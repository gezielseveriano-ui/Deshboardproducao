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154" documentId="8_{FDD42E6F-94E1-48F3-8613-54A91AB43A68}" xr6:coauthVersionLast="47" xr6:coauthVersionMax="47" xr10:uidLastSave="{A6A87EDF-7430-4281-ACE5-078946741B9E}"/>
  <bookViews>
    <workbookView xWindow="-120" yWindow="-120" windowWidth="24240" windowHeight="13020" tabRatio="818" activeTab="2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EMBARQUE'!$A$1:$N$4796</definedName>
    <definedName name="_xlnm._FilterDatabase" localSheetId="1" hidden="1">MICRO!$A$1:$AN$1</definedName>
    <definedName name="_xlnm.Print_Area" localSheetId="1">MICRO!$A$1:$Y$1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5" i="1" l="1"/>
  <c r="U456" i="1"/>
  <c r="U457" i="1"/>
  <c r="Y457" i="1" s="1"/>
  <c r="U458" i="1"/>
  <c r="U459" i="1"/>
  <c r="U460" i="1"/>
  <c r="U461" i="1"/>
  <c r="Y461" i="1" s="1"/>
  <c r="U453" i="1"/>
  <c r="Y453" i="1" s="1"/>
  <c r="U454" i="1"/>
  <c r="X454" i="1" s="1"/>
  <c r="V461" i="1"/>
  <c r="V460" i="1"/>
  <c r="V459" i="1"/>
  <c r="V458" i="1"/>
  <c r="V457" i="1"/>
  <c r="V456" i="1"/>
  <c r="V455" i="1"/>
  <c r="V454" i="1"/>
  <c r="V453" i="1"/>
  <c r="U606" i="1"/>
  <c r="AI453" i="1"/>
  <c r="AI454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6" i="1" l="1"/>
  <c r="X456" i="1"/>
  <c r="Y455" i="1"/>
  <c r="X455" i="1"/>
  <c r="X458" i="1"/>
  <c r="Y458" i="1"/>
  <c r="Y459" i="1"/>
  <c r="X459" i="1"/>
  <c r="X460" i="1"/>
  <c r="Y460" i="1"/>
  <c r="X457" i="1"/>
  <c r="X461" i="1"/>
  <c r="Y454" i="1"/>
  <c r="X453" i="1"/>
  <c r="H449" i="1"/>
  <c r="R449" i="1" s="1"/>
  <c r="H450" i="1"/>
  <c r="R450" i="1" s="1"/>
  <c r="H451" i="1"/>
  <c r="R451" i="1" s="1"/>
  <c r="H452" i="1"/>
  <c r="H453" i="1"/>
  <c r="H454" i="1"/>
  <c r="H455" i="1"/>
  <c r="Z455" i="1" s="1"/>
  <c r="AI455" i="1" s="1"/>
  <c r="H456" i="1"/>
  <c r="Z456" i="1" s="1"/>
  <c r="AI456" i="1" s="1"/>
  <c r="H457" i="1"/>
  <c r="Z457" i="1" s="1"/>
  <c r="AI457" i="1" s="1"/>
  <c r="H458" i="1"/>
  <c r="Z458" i="1" s="1"/>
  <c r="AI458" i="1" s="1"/>
  <c r="H459" i="1"/>
  <c r="Z459" i="1" s="1"/>
  <c r="AI459" i="1" s="1"/>
  <c r="H460" i="1"/>
  <c r="Z460" i="1" s="1"/>
  <c r="AI460" i="1" s="1"/>
  <c r="H461" i="1"/>
  <c r="Q458" i="1"/>
  <c r="Q459" i="1"/>
  <c r="Q460" i="1"/>
  <c r="Q461" i="1"/>
  <c r="Q453" i="1"/>
  <c r="Q454" i="1"/>
  <c r="Q455" i="1"/>
  <c r="Q456" i="1"/>
  <c r="Q457" i="1"/>
  <c r="H558" i="1"/>
  <c r="S558" i="1" s="1"/>
  <c r="T558" i="1" s="1"/>
  <c r="H557" i="1"/>
  <c r="S557" i="1" s="1"/>
  <c r="T557" i="1" s="1"/>
  <c r="H556" i="1"/>
  <c r="H555" i="1"/>
  <c r="S555" i="1" s="1"/>
  <c r="T555" i="1" s="1"/>
  <c r="H554" i="1"/>
  <c r="S554" i="1" s="1"/>
  <c r="T554" i="1" s="1"/>
  <c r="H553" i="1"/>
  <c r="S553" i="1" s="1"/>
  <c r="T553" i="1" s="1"/>
  <c r="H552" i="1"/>
  <c r="H551" i="1"/>
  <c r="S551" i="1" s="1"/>
  <c r="T551" i="1" s="1"/>
  <c r="H550" i="1"/>
  <c r="S550" i="1" s="1"/>
  <c r="T550" i="1" s="1"/>
  <c r="H549" i="1"/>
  <c r="AV549" i="1" s="1"/>
  <c r="AS549" i="1" s="1"/>
  <c r="H548" i="1"/>
  <c r="H547" i="1"/>
  <c r="AV547" i="1" s="1"/>
  <c r="AS547" i="1" s="1"/>
  <c r="H546" i="1"/>
  <c r="AV546" i="1" s="1"/>
  <c r="AS546" i="1" s="1"/>
  <c r="H545" i="1"/>
  <c r="S545" i="1" s="1"/>
  <c r="T545" i="1" s="1"/>
  <c r="H544" i="1"/>
  <c r="S544" i="1" s="1"/>
  <c r="T544" i="1" s="1"/>
  <c r="H543" i="1"/>
  <c r="H542" i="1"/>
  <c r="H541" i="1"/>
  <c r="S541" i="1" s="1"/>
  <c r="T541" i="1" s="1"/>
  <c r="H540" i="1"/>
  <c r="H539" i="1"/>
  <c r="H538" i="1"/>
  <c r="H537" i="1"/>
  <c r="H536" i="1"/>
  <c r="H535" i="1"/>
  <c r="S535" i="1" s="1"/>
  <c r="H534" i="1"/>
  <c r="S534" i="1" s="1"/>
  <c r="T534" i="1" s="1"/>
  <c r="H533" i="1"/>
  <c r="S533" i="1" s="1"/>
  <c r="T533" i="1" s="1"/>
  <c r="H532" i="1"/>
  <c r="H531" i="1"/>
  <c r="H530" i="1"/>
  <c r="AU530" i="1" s="1"/>
  <c r="H529" i="1"/>
  <c r="H528" i="1"/>
  <c r="H527" i="1"/>
  <c r="H526" i="1"/>
  <c r="H525" i="1"/>
  <c r="H524" i="1"/>
  <c r="H523" i="1"/>
  <c r="R523" i="1" s="1"/>
  <c r="H522" i="1"/>
  <c r="R522" i="1" s="1"/>
  <c r="H521" i="1"/>
  <c r="AU521" i="1" s="1"/>
  <c r="H520" i="1"/>
  <c r="H519" i="1"/>
  <c r="S519" i="1" s="1"/>
  <c r="H518" i="1"/>
  <c r="H517" i="1"/>
  <c r="H516" i="1"/>
  <c r="H515" i="1"/>
  <c r="H514" i="1"/>
  <c r="H513" i="1"/>
  <c r="H512" i="1"/>
  <c r="AU512" i="1" s="1"/>
  <c r="H511" i="1"/>
  <c r="AU511" i="1" s="1"/>
  <c r="H510" i="1"/>
  <c r="S510" i="1" s="1"/>
  <c r="T510" i="1" s="1"/>
  <c r="H509" i="1"/>
  <c r="AU509" i="1" s="1"/>
  <c r="H508" i="1"/>
  <c r="H507" i="1"/>
  <c r="H506" i="1"/>
  <c r="H505" i="1"/>
  <c r="H504" i="1"/>
  <c r="AU504" i="1" s="1"/>
  <c r="H503" i="1"/>
  <c r="AU503" i="1" s="1"/>
  <c r="H502" i="1"/>
  <c r="H501" i="1"/>
  <c r="H500" i="1"/>
  <c r="H499" i="1"/>
  <c r="R499" i="1" s="1"/>
  <c r="H498" i="1"/>
  <c r="R498" i="1" s="1"/>
  <c r="H497" i="1"/>
  <c r="R497" i="1" s="1"/>
  <c r="H496" i="1"/>
  <c r="H495" i="1"/>
  <c r="H494" i="1"/>
  <c r="H493" i="1"/>
  <c r="H492" i="1"/>
  <c r="H491" i="1"/>
  <c r="H490" i="1"/>
  <c r="H489" i="1"/>
  <c r="H488" i="1"/>
  <c r="H487" i="1"/>
  <c r="AV487" i="1" s="1"/>
  <c r="AS487" i="1" s="1"/>
  <c r="H486" i="1"/>
  <c r="AV486" i="1" s="1"/>
  <c r="AS486" i="1" s="1"/>
  <c r="H485" i="1"/>
  <c r="AV485" i="1" s="1"/>
  <c r="AS485" i="1" s="1"/>
  <c r="H484" i="1"/>
  <c r="H483" i="1"/>
  <c r="AU483" i="1" s="1"/>
  <c r="H482" i="1"/>
  <c r="AU482" i="1" s="1"/>
  <c r="H481" i="1"/>
  <c r="AU481" i="1" s="1"/>
  <c r="H480" i="1"/>
  <c r="H479" i="1"/>
  <c r="H478" i="1"/>
  <c r="H477" i="1"/>
  <c r="H476" i="1"/>
  <c r="AV476" i="1" s="1"/>
  <c r="AS476" i="1" s="1"/>
  <c r="H475" i="1"/>
  <c r="AV475" i="1" s="1"/>
  <c r="AS475" i="1" s="1"/>
  <c r="H474" i="1"/>
  <c r="AV474" i="1" s="1"/>
  <c r="AS474" i="1" s="1"/>
  <c r="H473" i="1"/>
  <c r="AU473" i="1" s="1"/>
  <c r="H472" i="1"/>
  <c r="H471" i="1"/>
  <c r="H470" i="1"/>
  <c r="H469" i="1"/>
  <c r="H468" i="1"/>
  <c r="H467" i="1"/>
  <c r="H466" i="1"/>
  <c r="AU466" i="1" s="1"/>
  <c r="H465" i="1"/>
  <c r="AU465" i="1" s="1"/>
  <c r="H464" i="1"/>
  <c r="AU464" i="1" s="1"/>
  <c r="H463" i="1"/>
  <c r="AU463" i="1" s="1"/>
  <c r="H462" i="1"/>
  <c r="AU462" i="1" s="1"/>
  <c r="AT462" i="1" s="1"/>
  <c r="H439" i="1"/>
  <c r="S439" i="1" s="1"/>
  <c r="H438" i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608" i="1"/>
  <c r="V608" i="1"/>
  <c r="U608" i="1"/>
  <c r="Q608" i="1"/>
  <c r="Q558" i="1"/>
  <c r="H608" i="1"/>
  <c r="S556" i="1"/>
  <c r="S414" i="1"/>
  <c r="S438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51" i="1"/>
  <c r="AO451" i="1"/>
  <c r="W451" i="1" s="1"/>
  <c r="AP451" i="1"/>
  <c r="AQ451" i="1"/>
  <c r="AR451" i="1"/>
  <c r="AU451" i="1"/>
  <c r="AT451" i="1" s="1"/>
  <c r="AV451" i="1"/>
  <c r="AS451" i="1" s="1"/>
  <c r="AK452" i="1"/>
  <c r="AO452" i="1"/>
  <c r="W452" i="1" s="1"/>
  <c r="AP452" i="1"/>
  <c r="AQ452" i="1"/>
  <c r="AR452" i="1"/>
  <c r="AU452" i="1"/>
  <c r="AT452" i="1" s="1"/>
  <c r="AV452" i="1"/>
  <c r="AS452" i="1" s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U468" i="1"/>
  <c r="AK469" i="1"/>
  <c r="AO469" i="1"/>
  <c r="W469" i="1" s="1"/>
  <c r="AP469" i="1"/>
  <c r="AQ469" i="1"/>
  <c r="AR469" i="1"/>
  <c r="AU469" i="1"/>
  <c r="AK470" i="1"/>
  <c r="AO470" i="1"/>
  <c r="W470" i="1" s="1"/>
  <c r="AP470" i="1"/>
  <c r="AQ470" i="1"/>
  <c r="AR470" i="1"/>
  <c r="AU470" i="1"/>
  <c r="AK471" i="1"/>
  <c r="AO471" i="1"/>
  <c r="W471" i="1" s="1"/>
  <c r="AP471" i="1"/>
  <c r="AQ471" i="1"/>
  <c r="AR471" i="1"/>
  <c r="AU471" i="1"/>
  <c r="AK472" i="1"/>
  <c r="AO472" i="1"/>
  <c r="W472" i="1" s="1"/>
  <c r="AP472" i="1"/>
  <c r="AQ472" i="1"/>
  <c r="AR472" i="1"/>
  <c r="AU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U476" i="1"/>
  <c r="AK477" i="1"/>
  <c r="AO477" i="1"/>
  <c r="W477" i="1" s="1"/>
  <c r="AP477" i="1"/>
  <c r="AQ477" i="1"/>
  <c r="AR477" i="1"/>
  <c r="AU477" i="1"/>
  <c r="AK478" i="1"/>
  <c r="AO478" i="1"/>
  <c r="W478" i="1" s="1"/>
  <c r="AP478" i="1"/>
  <c r="AQ478" i="1"/>
  <c r="AR478" i="1"/>
  <c r="AU478" i="1"/>
  <c r="AK479" i="1"/>
  <c r="AO479" i="1"/>
  <c r="W479" i="1" s="1"/>
  <c r="AP479" i="1"/>
  <c r="AQ479" i="1"/>
  <c r="AR479" i="1"/>
  <c r="AU479" i="1"/>
  <c r="AK480" i="1"/>
  <c r="AO480" i="1"/>
  <c r="W480" i="1" s="1"/>
  <c r="AP480" i="1"/>
  <c r="AQ480" i="1"/>
  <c r="AR480" i="1"/>
  <c r="AU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U513" i="1"/>
  <c r="AK514" i="1"/>
  <c r="AO514" i="1"/>
  <c r="W514" i="1" s="1"/>
  <c r="AP514" i="1"/>
  <c r="AQ514" i="1"/>
  <c r="AR514" i="1"/>
  <c r="AU514" i="1"/>
  <c r="AK515" i="1"/>
  <c r="AO515" i="1"/>
  <c r="W515" i="1" s="1"/>
  <c r="AP515" i="1"/>
  <c r="AQ515" i="1"/>
  <c r="AR515" i="1"/>
  <c r="AU515" i="1"/>
  <c r="AK516" i="1"/>
  <c r="AO516" i="1"/>
  <c r="W516" i="1" s="1"/>
  <c r="AP516" i="1"/>
  <c r="AQ516" i="1"/>
  <c r="AR516" i="1"/>
  <c r="AU516" i="1"/>
  <c r="AK517" i="1"/>
  <c r="AO517" i="1"/>
  <c r="W517" i="1" s="1"/>
  <c r="AP517" i="1"/>
  <c r="AQ517" i="1"/>
  <c r="AR517" i="1"/>
  <c r="AU517" i="1"/>
  <c r="AK518" i="1"/>
  <c r="AO518" i="1"/>
  <c r="W518" i="1" s="1"/>
  <c r="AP518" i="1"/>
  <c r="AQ518" i="1"/>
  <c r="AR518" i="1"/>
  <c r="AU518" i="1"/>
  <c r="AK519" i="1"/>
  <c r="AO519" i="1"/>
  <c r="W519" i="1" s="1"/>
  <c r="AP519" i="1"/>
  <c r="AQ519" i="1"/>
  <c r="AR519" i="1"/>
  <c r="AU519" i="1"/>
  <c r="AK520" i="1"/>
  <c r="AO520" i="1"/>
  <c r="W520" i="1" s="1"/>
  <c r="AP520" i="1"/>
  <c r="AQ520" i="1"/>
  <c r="AR520" i="1"/>
  <c r="AU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U541" i="1"/>
  <c r="AK542" i="1"/>
  <c r="AO542" i="1"/>
  <c r="W542" i="1" s="1"/>
  <c r="AP542" i="1"/>
  <c r="AQ542" i="1"/>
  <c r="AR542" i="1"/>
  <c r="AU542" i="1"/>
  <c r="AK543" i="1"/>
  <c r="AO543" i="1"/>
  <c r="W543" i="1" s="1"/>
  <c r="AP543" i="1"/>
  <c r="AQ543" i="1"/>
  <c r="AR543" i="1"/>
  <c r="AU543" i="1"/>
  <c r="AK544" i="1"/>
  <c r="AO544" i="1"/>
  <c r="W544" i="1" s="1"/>
  <c r="AP544" i="1"/>
  <c r="AQ544" i="1"/>
  <c r="AR544" i="1"/>
  <c r="AU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U547" i="1"/>
  <c r="AK548" i="1"/>
  <c r="AO548" i="1"/>
  <c r="W548" i="1" s="1"/>
  <c r="AP548" i="1"/>
  <c r="AQ548" i="1"/>
  <c r="AR548" i="1"/>
  <c r="AU548" i="1"/>
  <c r="AK549" i="1"/>
  <c r="AO549" i="1"/>
  <c r="W549" i="1" s="1"/>
  <c r="AP549" i="1"/>
  <c r="AQ549" i="1"/>
  <c r="AR549" i="1"/>
  <c r="AU549" i="1"/>
  <c r="AK550" i="1"/>
  <c r="AO550" i="1"/>
  <c r="W550" i="1" s="1"/>
  <c r="AP550" i="1"/>
  <c r="AQ550" i="1"/>
  <c r="AR550" i="1"/>
  <c r="AU550" i="1"/>
  <c r="AK551" i="1"/>
  <c r="AO551" i="1"/>
  <c r="W551" i="1" s="1"/>
  <c r="AP551" i="1"/>
  <c r="AQ551" i="1"/>
  <c r="AR551" i="1"/>
  <c r="AU551" i="1"/>
  <c r="AK552" i="1"/>
  <c r="AO552" i="1"/>
  <c r="W552" i="1" s="1"/>
  <c r="AP552" i="1"/>
  <c r="AQ552" i="1"/>
  <c r="AR552" i="1"/>
  <c r="AU552" i="1"/>
  <c r="AK553" i="1"/>
  <c r="AO553" i="1"/>
  <c r="W553" i="1" s="1"/>
  <c r="AP553" i="1"/>
  <c r="AQ553" i="1"/>
  <c r="AR553" i="1"/>
  <c r="AU553" i="1"/>
  <c r="AK554" i="1"/>
  <c r="AO554" i="1"/>
  <c r="W554" i="1" s="1"/>
  <c r="AP554" i="1"/>
  <c r="AQ554" i="1"/>
  <c r="AR554" i="1"/>
  <c r="AU554" i="1"/>
  <c r="AK555" i="1"/>
  <c r="AO555" i="1"/>
  <c r="W555" i="1" s="1"/>
  <c r="AP555" i="1"/>
  <c r="AQ555" i="1"/>
  <c r="AR555" i="1"/>
  <c r="AU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K558" i="1"/>
  <c r="AO558" i="1"/>
  <c r="W558" i="1" s="1"/>
  <c r="AP558" i="1"/>
  <c r="AQ558" i="1"/>
  <c r="AR558" i="1"/>
  <c r="AU558" i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AK606" i="1"/>
  <c r="AO606" i="1"/>
  <c r="W606" i="1" s="1"/>
  <c r="AP606" i="1"/>
  <c r="AQ606" i="1"/>
  <c r="AR606" i="1"/>
  <c r="AU606" i="1"/>
  <c r="AT606" i="1" s="1"/>
  <c r="AV606" i="1"/>
  <c r="AS606" i="1" s="1"/>
  <c r="AK607" i="1"/>
  <c r="AO607" i="1"/>
  <c r="W607" i="1" s="1"/>
  <c r="AP607" i="1"/>
  <c r="AQ607" i="1"/>
  <c r="AR607" i="1"/>
  <c r="AU607" i="1"/>
  <c r="AT607" i="1" s="1"/>
  <c r="AV607" i="1"/>
  <c r="AS607" i="1" s="1"/>
  <c r="H441" i="1"/>
  <c r="S441" i="1" s="1"/>
  <c r="T441" i="1" s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AK440" i="1"/>
  <c r="AO440" i="1"/>
  <c r="W440" i="1" s="1"/>
  <c r="AP440" i="1"/>
  <c r="AQ440" i="1"/>
  <c r="AR440" i="1"/>
  <c r="AU440" i="1"/>
  <c r="AT440" i="1" s="1"/>
  <c r="AV440" i="1"/>
  <c r="AS440" i="1" s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V462" i="1"/>
  <c r="U463" i="1"/>
  <c r="V463" i="1"/>
  <c r="U464" i="1"/>
  <c r="V464" i="1"/>
  <c r="V465" i="1"/>
  <c r="V466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V474" i="1"/>
  <c r="V475" i="1"/>
  <c r="X476" i="1"/>
  <c r="V476" i="1"/>
  <c r="U477" i="1"/>
  <c r="X477" i="1" s="1"/>
  <c r="V477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X485" i="1"/>
  <c r="V485" i="1"/>
  <c r="V486" i="1"/>
  <c r="V487" i="1"/>
  <c r="V488" i="1"/>
  <c r="V489" i="1"/>
  <c r="V490" i="1"/>
  <c r="V491" i="1"/>
  <c r="X492" i="1"/>
  <c r="V492" i="1"/>
  <c r="X493" i="1"/>
  <c r="V493" i="1"/>
  <c r="V494" i="1"/>
  <c r="V495" i="1"/>
  <c r="V496" i="1"/>
  <c r="V497" i="1"/>
  <c r="V498" i="1"/>
  <c r="V499" i="1"/>
  <c r="X500" i="1"/>
  <c r="V500" i="1"/>
  <c r="X501" i="1"/>
  <c r="V501" i="1"/>
  <c r="V502" i="1"/>
  <c r="U503" i="1"/>
  <c r="V503" i="1"/>
  <c r="U504" i="1"/>
  <c r="V504" i="1"/>
  <c r="V505" i="1"/>
  <c r="V506" i="1"/>
  <c r="X507" i="1"/>
  <c r="V507" i="1"/>
  <c r="X508" i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V519" i="1"/>
  <c r="U520" i="1"/>
  <c r="V520" i="1"/>
  <c r="U521" i="1"/>
  <c r="V521" i="1"/>
  <c r="V522" i="1"/>
  <c r="X523" i="1"/>
  <c r="V523" i="1"/>
  <c r="X524" i="1"/>
  <c r="V524" i="1"/>
  <c r="V525" i="1"/>
  <c r="V526" i="1"/>
  <c r="V527" i="1"/>
  <c r="R528" i="1"/>
  <c r="V528" i="1"/>
  <c r="V529" i="1"/>
  <c r="R530" i="1"/>
  <c r="U530" i="1"/>
  <c r="V530" i="1"/>
  <c r="R531" i="1"/>
  <c r="X531" i="1"/>
  <c r="Z531" i="1" s="1"/>
  <c r="V531" i="1"/>
  <c r="X532" i="1"/>
  <c r="V532" i="1"/>
  <c r="R533" i="1"/>
  <c r="V533" i="1"/>
  <c r="R534" i="1"/>
  <c r="V534" i="1"/>
  <c r="V535" i="1"/>
  <c r="R536" i="1"/>
  <c r="V536" i="1"/>
  <c r="R537" i="1"/>
  <c r="V537" i="1"/>
  <c r="V538" i="1"/>
  <c r="R539" i="1"/>
  <c r="X539" i="1"/>
  <c r="Z539" i="1" s="1"/>
  <c r="V539" i="1"/>
  <c r="X540" i="1"/>
  <c r="V540" i="1"/>
  <c r="R541" i="1"/>
  <c r="V541" i="1"/>
  <c r="R542" i="1"/>
  <c r="U542" i="1"/>
  <c r="V542" i="1"/>
  <c r="R543" i="1"/>
  <c r="U543" i="1"/>
  <c r="V543" i="1"/>
  <c r="R544" i="1"/>
  <c r="V544" i="1"/>
  <c r="R545" i="1"/>
  <c r="V545" i="1"/>
  <c r="R546" i="1"/>
  <c r="V546" i="1"/>
  <c r="R547" i="1"/>
  <c r="X547" i="1"/>
  <c r="Z547" i="1" s="1"/>
  <c r="V547" i="1"/>
  <c r="U548" i="1"/>
  <c r="X548" i="1" s="1"/>
  <c r="V548" i="1"/>
  <c r="V549" i="1"/>
  <c r="R550" i="1"/>
  <c r="V550" i="1"/>
  <c r="V551" i="1"/>
  <c r="R552" i="1"/>
  <c r="U552" i="1"/>
  <c r="V552" i="1"/>
  <c r="R553" i="1"/>
  <c r="V553" i="1"/>
  <c r="R554" i="1"/>
  <c r="V554" i="1"/>
  <c r="R555" i="1"/>
  <c r="X555" i="1"/>
  <c r="Z555" i="1" s="1"/>
  <c r="V555" i="1"/>
  <c r="X556" i="1"/>
  <c r="V556" i="1"/>
  <c r="R557" i="1"/>
  <c r="V557" i="1"/>
  <c r="R558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S540" i="1" l="1"/>
  <c r="AU540" i="1"/>
  <c r="AT540" i="1" s="1"/>
  <c r="S508" i="1"/>
  <c r="AU508" i="1"/>
  <c r="AV508" i="1"/>
  <c r="AS508" i="1" s="1"/>
  <c r="R507" i="1"/>
  <c r="AU507" i="1"/>
  <c r="R506" i="1"/>
  <c r="AU506" i="1"/>
  <c r="R505" i="1"/>
  <c r="AU505" i="1"/>
  <c r="AV467" i="1"/>
  <c r="AS467" i="1" s="1"/>
  <c r="AU467" i="1"/>
  <c r="R502" i="1"/>
  <c r="AU502" i="1"/>
  <c r="S539" i="1"/>
  <c r="T539" i="1" s="1"/>
  <c r="AU539" i="1"/>
  <c r="S538" i="1"/>
  <c r="T538" i="1" s="1"/>
  <c r="AU538" i="1"/>
  <c r="AT538" i="1" s="1"/>
  <c r="AV537" i="1"/>
  <c r="AS537" i="1" s="1"/>
  <c r="AU537" i="1"/>
  <c r="S536" i="1"/>
  <c r="T536" i="1" s="1"/>
  <c r="AU536" i="1"/>
  <c r="AT536" i="1" s="1"/>
  <c r="S532" i="1"/>
  <c r="AU532" i="1"/>
  <c r="S531" i="1"/>
  <c r="T531" i="1" s="1"/>
  <c r="AU531" i="1"/>
  <c r="AV529" i="1"/>
  <c r="AS529" i="1" s="1"/>
  <c r="AU529" i="1"/>
  <c r="S528" i="1"/>
  <c r="T528" i="1" s="1"/>
  <c r="AU528" i="1"/>
  <c r="AT528" i="1" s="1"/>
  <c r="S527" i="1"/>
  <c r="T527" i="1" s="1"/>
  <c r="AU527" i="1"/>
  <c r="AT527" i="1" s="1"/>
  <c r="AV526" i="1"/>
  <c r="AS526" i="1" s="1"/>
  <c r="AU526" i="1"/>
  <c r="AT526" i="1" s="1"/>
  <c r="R525" i="1"/>
  <c r="AU525" i="1"/>
  <c r="AV524" i="1"/>
  <c r="AS524" i="1" s="1"/>
  <c r="AU524" i="1"/>
  <c r="AV501" i="1"/>
  <c r="AS501" i="1" s="1"/>
  <c r="AU501" i="1"/>
  <c r="AT501" i="1" s="1"/>
  <c r="R500" i="1"/>
  <c r="AU500" i="1"/>
  <c r="AV496" i="1"/>
  <c r="AS496" i="1" s="1"/>
  <c r="AU496" i="1"/>
  <c r="AT496" i="1" s="1"/>
  <c r="R495" i="1"/>
  <c r="AU495" i="1"/>
  <c r="AT495" i="1" s="1"/>
  <c r="R494" i="1"/>
  <c r="AU494" i="1"/>
  <c r="AV493" i="1"/>
  <c r="AS493" i="1" s="1"/>
  <c r="AU493" i="1"/>
  <c r="AT493" i="1" s="1"/>
  <c r="R492" i="1"/>
  <c r="AU492" i="1"/>
  <c r="AV491" i="1"/>
  <c r="AS491" i="1" s="1"/>
  <c r="AU491" i="1"/>
  <c r="AV490" i="1"/>
  <c r="AS490" i="1" s="1"/>
  <c r="AU490" i="1"/>
  <c r="AT490" i="1" s="1"/>
  <c r="AV489" i="1"/>
  <c r="AS489" i="1" s="1"/>
  <c r="AU489" i="1"/>
  <c r="S488" i="1"/>
  <c r="T488" i="1" s="1"/>
  <c r="AU488" i="1"/>
  <c r="AT488" i="1" s="1"/>
  <c r="AV484" i="1"/>
  <c r="AS484" i="1" s="1"/>
  <c r="AU484" i="1"/>
  <c r="AT484" i="1" s="1"/>
  <c r="R452" i="1"/>
  <c r="S452" i="1"/>
  <c r="T452" i="1" s="1"/>
  <c r="Z461" i="1"/>
  <c r="AI461" i="1" s="1"/>
  <c r="AV509" i="1"/>
  <c r="AS509" i="1" s="1"/>
  <c r="AU533" i="1"/>
  <c r="AT533" i="1" s="1"/>
  <c r="AU535" i="1"/>
  <c r="AT535" i="1" s="1"/>
  <c r="AU475" i="1"/>
  <c r="AT475" i="1" s="1"/>
  <c r="AU487" i="1"/>
  <c r="AT487" i="1" s="1"/>
  <c r="AU499" i="1"/>
  <c r="AT499" i="1" s="1"/>
  <c r="AU523" i="1"/>
  <c r="AT523" i="1" s="1"/>
  <c r="AU497" i="1"/>
  <c r="AU485" i="1"/>
  <c r="AT485" i="1" s="1"/>
  <c r="AU546" i="1"/>
  <c r="AT546" i="1" s="1"/>
  <c r="AV534" i="1"/>
  <c r="AS534" i="1" s="1"/>
  <c r="AU534" i="1"/>
  <c r="AT534" i="1" s="1"/>
  <c r="AU522" i="1"/>
  <c r="AU510" i="1"/>
  <c r="AT510" i="1" s="1"/>
  <c r="AU498" i="1"/>
  <c r="AU486" i="1"/>
  <c r="AT486" i="1" s="1"/>
  <c r="AU474" i="1"/>
  <c r="AU557" i="1"/>
  <c r="AT557" i="1" s="1"/>
  <c r="AU545" i="1"/>
  <c r="AT509" i="1"/>
  <c r="AV557" i="1"/>
  <c r="AS557" i="1" s="1"/>
  <c r="S546" i="1"/>
  <c r="T546" i="1" s="1"/>
  <c r="AV532" i="1"/>
  <c r="AS532" i="1" s="1"/>
  <c r="AT532" i="1"/>
  <c r="AT508" i="1"/>
  <c r="AV479" i="1"/>
  <c r="AS479" i="1" s="1"/>
  <c r="R503" i="1"/>
  <c r="R515" i="1"/>
  <c r="Z515" i="1"/>
  <c r="AV468" i="1"/>
  <c r="AS468" i="1" s="1"/>
  <c r="Z468" i="1"/>
  <c r="AV480" i="1"/>
  <c r="AS480" i="1" s="1"/>
  <c r="R504" i="1"/>
  <c r="S516" i="1"/>
  <c r="T516" i="1" s="1"/>
  <c r="Z516" i="1"/>
  <c r="S552" i="1"/>
  <c r="T552" i="1" s="1"/>
  <c r="S469" i="1"/>
  <c r="T469" i="1" s="1"/>
  <c r="Z469" i="1"/>
  <c r="AV481" i="1"/>
  <c r="AS481" i="1" s="1"/>
  <c r="R517" i="1"/>
  <c r="AV470" i="1"/>
  <c r="AS470" i="1" s="1"/>
  <c r="AV482" i="1"/>
  <c r="AS482" i="1" s="1"/>
  <c r="R518" i="1"/>
  <c r="S530" i="1"/>
  <c r="T530" i="1" s="1"/>
  <c r="S542" i="1"/>
  <c r="T542" i="1" s="1"/>
  <c r="AV471" i="1"/>
  <c r="AS471" i="1" s="1"/>
  <c r="AV483" i="1"/>
  <c r="AS483" i="1" s="1"/>
  <c r="S543" i="1"/>
  <c r="T543" i="1" s="1"/>
  <c r="S472" i="1"/>
  <c r="T472" i="1" s="1"/>
  <c r="Z484" i="1"/>
  <c r="Z508" i="1"/>
  <c r="R520" i="1"/>
  <c r="R608" i="1"/>
  <c r="R473" i="1"/>
  <c r="Z473" i="1"/>
  <c r="R509" i="1"/>
  <c r="R521" i="1"/>
  <c r="AV462" i="1"/>
  <c r="AS462" i="1" s="1"/>
  <c r="R510" i="1"/>
  <c r="AV463" i="1"/>
  <c r="AS463" i="1" s="1"/>
  <c r="S511" i="1"/>
  <c r="T511" i="1" s="1"/>
  <c r="AV464" i="1"/>
  <c r="AS464" i="1" s="1"/>
  <c r="R512" i="1"/>
  <c r="S548" i="1"/>
  <c r="T548" i="1" s="1"/>
  <c r="Z548" i="1"/>
  <c r="AV465" i="1"/>
  <c r="AS465" i="1" s="1"/>
  <c r="AV477" i="1"/>
  <c r="AS477" i="1" s="1"/>
  <c r="Z477" i="1"/>
  <c r="R513" i="1"/>
  <c r="AV466" i="1"/>
  <c r="AS466" i="1" s="1"/>
  <c r="AV478" i="1"/>
  <c r="AS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443" i="1"/>
  <c r="S515" i="1"/>
  <c r="T515" i="1" s="1"/>
  <c r="AV514" i="1"/>
  <c r="AS514" i="1" s="1"/>
  <c r="R538" i="1"/>
  <c r="AV550" i="1"/>
  <c r="AS550" i="1" s="1"/>
  <c r="R526" i="1"/>
  <c r="AT550" i="1"/>
  <c r="AV538" i="1"/>
  <c r="AS538" i="1" s="1"/>
  <c r="AV558" i="1"/>
  <c r="AS558" i="1" s="1"/>
  <c r="AV533" i="1"/>
  <c r="AS533" i="1" s="1"/>
  <c r="S509" i="1"/>
  <c r="T509" i="1" s="1"/>
  <c r="AT558" i="1"/>
  <c r="S498" i="1"/>
  <c r="T498" i="1" s="1"/>
  <c r="AV510" i="1"/>
  <c r="AS510" i="1" s="1"/>
  <c r="S522" i="1"/>
  <c r="T522" i="1" s="1"/>
  <c r="AV515" i="1"/>
  <c r="AS515" i="1" s="1"/>
  <c r="AT515" i="1"/>
  <c r="AT491" i="1"/>
  <c r="AV539" i="1"/>
  <c r="AS539" i="1" s="1"/>
  <c r="AT539" i="1"/>
  <c r="AV516" i="1"/>
  <c r="AS516" i="1" s="1"/>
  <c r="S494" i="1"/>
  <c r="T494" i="1" s="1"/>
  <c r="AT516" i="1"/>
  <c r="AV540" i="1"/>
  <c r="AS540" i="1" s="1"/>
  <c r="AV506" i="1"/>
  <c r="AS506" i="1" s="1"/>
  <c r="AV492" i="1"/>
  <c r="AS492" i="1" s="1"/>
  <c r="AT492" i="1"/>
  <c r="S492" i="1"/>
  <c r="T492" i="1" s="1"/>
  <c r="R595" i="1"/>
  <c r="R571" i="1"/>
  <c r="AT468" i="1"/>
  <c r="R603" i="1"/>
  <c r="R579" i="1"/>
  <c r="AV531" i="1"/>
  <c r="AS531" i="1" s="1"/>
  <c r="AT531" i="1"/>
  <c r="AT483" i="1"/>
  <c r="AV555" i="1"/>
  <c r="AS555" i="1" s="1"/>
  <c r="AT555" i="1"/>
  <c r="AV507" i="1"/>
  <c r="AS507" i="1" s="1"/>
  <c r="AT507" i="1"/>
  <c r="S507" i="1"/>
  <c r="T507" i="1" s="1"/>
  <c r="R586" i="1"/>
  <c r="AT506" i="1"/>
  <c r="AV494" i="1"/>
  <c r="AS494" i="1" s="1"/>
  <c r="AT494" i="1"/>
  <c r="R573" i="1"/>
  <c r="R562" i="1"/>
  <c r="AV530" i="1"/>
  <c r="AS530" i="1" s="1"/>
  <c r="AV469" i="1"/>
  <c r="AS469" i="1" s="1"/>
  <c r="S518" i="1"/>
  <c r="T518" i="1" s="1"/>
  <c r="AT530" i="1"/>
  <c r="AV518" i="1"/>
  <c r="AS518" i="1" s="1"/>
  <c r="AT469" i="1"/>
  <c r="AV554" i="1"/>
  <c r="AS554" i="1" s="1"/>
  <c r="AT518" i="1"/>
  <c r="AT554" i="1"/>
  <c r="AV542" i="1"/>
  <c r="AS542" i="1" s="1"/>
  <c r="R529" i="1"/>
  <c r="AT542" i="1"/>
  <c r="AT482" i="1"/>
  <c r="AT470" i="1"/>
  <c r="S506" i="1"/>
  <c r="T506" i="1" s="1"/>
  <c r="R563" i="1"/>
  <c r="Z607" i="1"/>
  <c r="AI607" i="1" s="1"/>
  <c r="R607" i="1"/>
  <c r="R587" i="1"/>
  <c r="AV517" i="1"/>
  <c r="AS517" i="1" s="1"/>
  <c r="S493" i="1"/>
  <c r="T493" i="1" s="1"/>
  <c r="AT517" i="1"/>
  <c r="AV541" i="1"/>
  <c r="AS541" i="1" s="1"/>
  <c r="S517" i="1"/>
  <c r="T517" i="1" s="1"/>
  <c r="AT541" i="1"/>
  <c r="AT514" i="1"/>
  <c r="R442" i="1"/>
  <c r="S502" i="1"/>
  <c r="T502" i="1" s="1"/>
  <c r="AT478" i="1"/>
  <c r="S526" i="1"/>
  <c r="T526" i="1" s="1"/>
  <c r="AV502" i="1"/>
  <c r="AS502" i="1" s="1"/>
  <c r="AT502" i="1"/>
  <c r="R596" i="1"/>
  <c r="AT466" i="1"/>
  <c r="AT537" i="1"/>
  <c r="S549" i="1"/>
  <c r="T549" i="1" s="1"/>
  <c r="S525" i="1"/>
  <c r="T525" i="1" s="1"/>
  <c r="S501" i="1"/>
  <c r="T501" i="1" s="1"/>
  <c r="AV525" i="1"/>
  <c r="AS525" i="1" s="1"/>
  <c r="AT477" i="1"/>
  <c r="AT549" i="1"/>
  <c r="AT525" i="1"/>
  <c r="S537" i="1"/>
  <c r="T537" i="1" s="1"/>
  <c r="S547" i="1"/>
  <c r="T547" i="1" s="1"/>
  <c r="S524" i="1"/>
  <c r="T524" i="1" s="1"/>
  <c r="AV500" i="1"/>
  <c r="AS500" i="1" s="1"/>
  <c r="AT500" i="1"/>
  <c r="AT476" i="1"/>
  <c r="S523" i="1"/>
  <c r="T523" i="1" s="1"/>
  <c r="S500" i="1"/>
  <c r="T500" i="1" s="1"/>
  <c r="AT547" i="1"/>
  <c r="S499" i="1"/>
  <c r="T499" i="1" s="1"/>
  <c r="AV523" i="1"/>
  <c r="AS523" i="1" s="1"/>
  <c r="R570" i="1"/>
  <c r="AV499" i="1"/>
  <c r="AS499" i="1" s="1"/>
  <c r="AV548" i="1"/>
  <c r="AS548" i="1" s="1"/>
  <c r="AT548" i="1"/>
  <c r="R594" i="1"/>
  <c r="R578" i="1"/>
  <c r="AT524" i="1"/>
  <c r="AT467" i="1"/>
  <c r="AV513" i="1"/>
  <c r="AS513" i="1" s="1"/>
  <c r="AT473" i="1"/>
  <c r="AV545" i="1"/>
  <c r="AS545" i="1" s="1"/>
  <c r="S505" i="1"/>
  <c r="T505" i="1" s="1"/>
  <c r="AT505" i="1"/>
  <c r="R585" i="1"/>
  <c r="R561" i="1"/>
  <c r="R589" i="1"/>
  <c r="AV522" i="1"/>
  <c r="AS522" i="1" s="1"/>
  <c r="AV498" i="1"/>
  <c r="AS498" i="1" s="1"/>
  <c r="AT522" i="1"/>
  <c r="AT498" i="1"/>
  <c r="AT474" i="1"/>
  <c r="S514" i="1"/>
  <c r="T514" i="1" s="1"/>
  <c r="R600" i="1"/>
  <c r="R576" i="1"/>
  <c r="AV505" i="1"/>
  <c r="AS505" i="1" s="1"/>
  <c r="AV473" i="1"/>
  <c r="AS473" i="1" s="1"/>
  <c r="S529" i="1"/>
  <c r="T529" i="1" s="1"/>
  <c r="S497" i="1"/>
  <c r="T497" i="1" s="1"/>
  <c r="AT545" i="1"/>
  <c r="AT513" i="1"/>
  <c r="AT481" i="1"/>
  <c r="AV553" i="1"/>
  <c r="AS553" i="1" s="1"/>
  <c r="AV521" i="1"/>
  <c r="AS521" i="1" s="1"/>
  <c r="S513" i="1"/>
  <c r="T513" i="1" s="1"/>
  <c r="S473" i="1"/>
  <c r="T473" i="1" s="1"/>
  <c r="AT553" i="1"/>
  <c r="AT521" i="1"/>
  <c r="AT489" i="1"/>
  <c r="AV497" i="1"/>
  <c r="AS497" i="1" s="1"/>
  <c r="S521" i="1"/>
  <c r="T521" i="1" s="1"/>
  <c r="AT529" i="1"/>
  <c r="AT497" i="1"/>
  <c r="AT465" i="1"/>
  <c r="S504" i="1"/>
  <c r="T504" i="1" s="1"/>
  <c r="R605" i="1"/>
  <c r="AT512" i="1"/>
  <c r="AV520" i="1"/>
  <c r="AS520" i="1" s="1"/>
  <c r="AV528" i="1"/>
  <c r="AS528" i="1" s="1"/>
  <c r="AT520" i="1"/>
  <c r="R565" i="1"/>
  <c r="R597" i="1"/>
  <c r="R581" i="1"/>
  <c r="S496" i="1"/>
  <c r="T496" i="1" s="1"/>
  <c r="AV536" i="1"/>
  <c r="AS536" i="1" s="1"/>
  <c r="AV472" i="1"/>
  <c r="AS472" i="1" s="1"/>
  <c r="AT464" i="1"/>
  <c r="S512" i="1"/>
  <c r="T512" i="1" s="1"/>
  <c r="AV544" i="1"/>
  <c r="AS544" i="1" s="1"/>
  <c r="AT472" i="1"/>
  <c r="S520" i="1"/>
  <c r="T520" i="1" s="1"/>
  <c r="AV552" i="1"/>
  <c r="AS552" i="1" s="1"/>
  <c r="AT544" i="1"/>
  <c r="AV488" i="1"/>
  <c r="AS488" i="1" s="1"/>
  <c r="AT480" i="1"/>
  <c r="AT552" i="1"/>
  <c r="AV504" i="1"/>
  <c r="AS504" i="1" s="1"/>
  <c r="AV512" i="1"/>
  <c r="AS512" i="1" s="1"/>
  <c r="AT504" i="1"/>
  <c r="R606" i="1"/>
  <c r="R569" i="1"/>
  <c r="R560" i="1"/>
  <c r="R593" i="1"/>
  <c r="R584" i="1"/>
  <c r="AV551" i="1"/>
  <c r="AS551" i="1" s="1"/>
  <c r="AV543" i="1"/>
  <c r="AS543" i="1" s="1"/>
  <c r="AV535" i="1"/>
  <c r="AS535" i="1" s="1"/>
  <c r="AV527" i="1"/>
  <c r="AS527" i="1" s="1"/>
  <c r="AV519" i="1"/>
  <c r="AS519" i="1" s="1"/>
  <c r="AV511" i="1"/>
  <c r="AS511" i="1" s="1"/>
  <c r="AV503" i="1"/>
  <c r="AS503" i="1" s="1"/>
  <c r="AV495" i="1"/>
  <c r="AS495" i="1" s="1"/>
  <c r="R601" i="1"/>
  <c r="R577" i="1"/>
  <c r="R568" i="1"/>
  <c r="AT551" i="1"/>
  <c r="AT543" i="1"/>
  <c r="AT519" i="1"/>
  <c r="AT511" i="1"/>
  <c r="AT503" i="1"/>
  <c r="AT479" i="1"/>
  <c r="AT471" i="1"/>
  <c r="AT463" i="1"/>
  <c r="R592" i="1"/>
  <c r="R566" i="1"/>
  <c r="R574" i="1"/>
  <c r="R582" i="1"/>
  <c r="S608" i="1"/>
  <c r="T608" i="1" s="1"/>
  <c r="R590" i="1"/>
  <c r="R598" i="1"/>
  <c r="S503" i="1"/>
  <c r="T503" i="1" s="1"/>
  <c r="S495" i="1"/>
  <c r="T495" i="1" s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608" i="1"/>
  <c r="X608" i="1"/>
  <c r="S471" i="1"/>
  <c r="T471" i="1" s="1"/>
  <c r="R471" i="1"/>
  <c r="S470" i="1"/>
  <c r="T470" i="1" s="1"/>
  <c r="R470" i="1"/>
  <c r="S468" i="1"/>
  <c r="T468" i="1" s="1"/>
  <c r="R468" i="1"/>
  <c r="S467" i="1"/>
  <c r="T467" i="1" s="1"/>
  <c r="R467" i="1"/>
  <c r="Z451" i="1"/>
  <c r="AI451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R445" i="1"/>
  <c r="S445" i="1"/>
  <c r="T445" i="1" s="1"/>
  <c r="R446" i="1"/>
  <c r="S446" i="1"/>
  <c r="T446" i="1" s="1"/>
  <c r="X558" i="1"/>
  <c r="Z558" i="1" s="1"/>
  <c r="Y558" i="1"/>
  <c r="X559" i="1"/>
  <c r="Y559" i="1"/>
  <c r="X560" i="1"/>
  <c r="Y560" i="1"/>
  <c r="X566" i="1"/>
  <c r="Y566" i="1"/>
  <c r="Y570" i="1"/>
  <c r="X570" i="1"/>
  <c r="S440" i="1"/>
  <c r="T440" i="1" s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R549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S75" i="8"/>
  <c r="S69" i="8"/>
  <c r="T564" i="1"/>
  <c r="R524" i="1"/>
  <c r="T572" i="1"/>
  <c r="R564" i="1"/>
  <c r="Z556" i="1"/>
  <c r="R516" i="1"/>
  <c r="T508" i="1"/>
  <c r="R572" i="1"/>
  <c r="T556" i="1"/>
  <c r="R508" i="1"/>
  <c r="Z501" i="1"/>
  <c r="T588" i="1"/>
  <c r="R556" i="1"/>
  <c r="Z540" i="1"/>
  <c r="R588" i="1"/>
  <c r="T580" i="1"/>
  <c r="R548" i="1"/>
  <c r="T540" i="1"/>
  <c r="Z532" i="1"/>
  <c r="R501" i="1"/>
  <c r="Z493" i="1"/>
  <c r="R551" i="1"/>
  <c r="R527" i="1"/>
  <c r="R447" i="1"/>
  <c r="T604" i="1"/>
  <c r="R580" i="1"/>
  <c r="R540" i="1"/>
  <c r="T532" i="1"/>
  <c r="Z485" i="1"/>
  <c r="T444" i="1"/>
  <c r="R604" i="1"/>
  <c r="T596" i="1"/>
  <c r="R532" i="1"/>
  <c r="Z524" i="1"/>
  <c r="R493" i="1"/>
  <c r="R469" i="1"/>
  <c r="Z452" i="1"/>
  <c r="AI452" i="1" s="1"/>
  <c r="R444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T519" i="1"/>
  <c r="R511" i="1"/>
  <c r="R496" i="1"/>
  <c r="R488" i="1"/>
  <c r="R472" i="1"/>
  <c r="T447" i="1"/>
  <c r="Z443" i="1"/>
  <c r="AI443" i="1" s="1"/>
  <c r="T443" i="1"/>
  <c r="Z444" i="1"/>
  <c r="AI444" i="1" s="1"/>
  <c r="Y441" i="1"/>
  <c r="T442" i="1"/>
  <c r="R441" i="1"/>
  <c r="Z441" i="1"/>
  <c r="AI441" i="1" s="1"/>
  <c r="X587" i="1"/>
  <c r="Y587" i="1"/>
  <c r="X565" i="1"/>
  <c r="Y565" i="1"/>
  <c r="X517" i="1"/>
  <c r="Y517" i="1"/>
  <c r="Y586" i="1"/>
  <c r="X586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608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AP150" i="1"/>
  <c r="AQ150" i="1"/>
  <c r="AR150" i="1"/>
  <c r="AU150" i="1"/>
  <c r="AT150" i="1" s="1"/>
  <c r="AV150" i="1"/>
  <c r="AS150" i="1" s="1"/>
  <c r="H153" i="1"/>
  <c r="S153" i="1" s="1"/>
  <c r="N3603" i="6" l="1"/>
  <c r="N3604" i="6"/>
  <c r="L13" i="8"/>
  <c r="H72" i="1"/>
  <c r="S72" i="1" s="1"/>
  <c r="K3756" i="6"/>
  <c r="AU68" i="1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2" i="1"/>
  <c r="V3" i="1"/>
  <c r="U128" i="1"/>
  <c r="Y128" i="1" s="1"/>
  <c r="U129" i="1"/>
  <c r="X129" i="1" s="1"/>
  <c r="U130" i="1"/>
  <c r="X130" i="1" s="1"/>
  <c r="U131" i="1"/>
  <c r="X131" i="1" s="1"/>
  <c r="U132" i="1"/>
  <c r="X132" i="1" s="1"/>
  <c r="U133" i="1"/>
  <c r="X133" i="1" s="1"/>
  <c r="U134" i="1"/>
  <c r="X134" i="1" s="1"/>
  <c r="U135" i="1"/>
  <c r="Y135" i="1" s="1"/>
  <c r="U136" i="1"/>
  <c r="X136" i="1" s="1"/>
  <c r="U137" i="1"/>
  <c r="Y137" i="1" s="1"/>
  <c r="U138" i="1"/>
  <c r="X138" i="1" s="1"/>
  <c r="U139" i="1"/>
  <c r="X139" i="1" s="1"/>
  <c r="U140" i="1"/>
  <c r="Y140" i="1" s="1"/>
  <c r="U141" i="1"/>
  <c r="X141" i="1" s="1"/>
  <c r="U142" i="1"/>
  <c r="X142" i="1" s="1"/>
  <c r="U143" i="1"/>
  <c r="Y143" i="1" s="1"/>
  <c r="U144" i="1"/>
  <c r="X144" i="1" s="1"/>
  <c r="U145" i="1"/>
  <c r="X145" i="1" s="1"/>
  <c r="U146" i="1"/>
  <c r="Y146" i="1" s="1"/>
  <c r="U147" i="1"/>
  <c r="Y147" i="1" s="1"/>
  <c r="U148" i="1"/>
  <c r="X148" i="1" s="1"/>
  <c r="U149" i="1"/>
  <c r="Y149" i="1" s="1"/>
  <c r="U150" i="1"/>
  <c r="X150" i="1" s="1"/>
  <c r="U151" i="1"/>
  <c r="Y151" i="1" s="1"/>
  <c r="U152" i="1"/>
  <c r="Y152" i="1" s="1"/>
  <c r="U153" i="1"/>
  <c r="X153" i="1" s="1"/>
  <c r="H128" i="1"/>
  <c r="Q128" i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Q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Q130" i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Q131" i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AV132" i="1" s="1"/>
  <c r="AS132" i="1" s="1"/>
  <c r="Q132" i="1"/>
  <c r="AK132" i="1"/>
  <c r="AO132" i="1"/>
  <c r="W132" i="1" s="1"/>
  <c r="AP132" i="1"/>
  <c r="AQ132" i="1"/>
  <c r="AR132" i="1"/>
  <c r="AU132" i="1"/>
  <c r="H133" i="1"/>
  <c r="S133" i="1" s="1"/>
  <c r="T133" i="1" s="1"/>
  <c r="Q133" i="1"/>
  <c r="AK133" i="1"/>
  <c r="AO133" i="1"/>
  <c r="W133" i="1" s="1"/>
  <c r="AP133" i="1"/>
  <c r="AQ133" i="1"/>
  <c r="AR133" i="1"/>
  <c r="AU133" i="1"/>
  <c r="H134" i="1"/>
  <c r="S134" i="1" s="1"/>
  <c r="T134" i="1" s="1"/>
  <c r="Q134" i="1"/>
  <c r="AK134" i="1"/>
  <c r="AO134" i="1"/>
  <c r="AP134" i="1"/>
  <c r="AQ134" i="1"/>
  <c r="AR134" i="1"/>
  <c r="H135" i="1"/>
  <c r="Q135" i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Q136" i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Q137" i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Q138" i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Q139" i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Q140" i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T141" i="1" s="1"/>
  <c r="Q141" i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Q142" i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Q143" i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Q144" i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Q145" i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Q146" i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Q147" i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Q148" i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T149" i="1" s="1"/>
  <c r="Q149" i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Q150" i="1"/>
  <c r="W150" i="1"/>
  <c r="H151" i="1"/>
  <c r="Q151" i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Q152" i="1"/>
  <c r="AK152" i="1"/>
  <c r="AO152" i="1"/>
  <c r="W152" i="1" s="1"/>
  <c r="AP152" i="1"/>
  <c r="AQ152" i="1"/>
  <c r="AR152" i="1"/>
  <c r="AU152" i="1"/>
  <c r="AT152" i="1" s="1"/>
  <c r="AV152" i="1"/>
  <c r="AS152" i="1" s="1"/>
  <c r="R153" i="1"/>
  <c r="Q153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U103" i="1"/>
  <c r="X103" i="1" s="1"/>
  <c r="U104" i="1"/>
  <c r="U45" i="1"/>
  <c r="Y45" i="1" s="1"/>
  <c r="Q68" i="1"/>
  <c r="U68" i="1"/>
  <c r="X68" i="1" s="1"/>
  <c r="Q69" i="1"/>
  <c r="U69" i="1"/>
  <c r="Y69" i="1" s="1"/>
  <c r="Q70" i="1"/>
  <c r="U70" i="1"/>
  <c r="X70" i="1" s="1"/>
  <c r="Q71" i="1"/>
  <c r="U71" i="1"/>
  <c r="X71" i="1" s="1"/>
  <c r="Q72" i="1"/>
  <c r="U72" i="1"/>
  <c r="X72" i="1" s="1"/>
  <c r="AH72" i="1" s="1"/>
  <c r="Q73" i="1"/>
  <c r="U73" i="1"/>
  <c r="X73" i="1" s="1"/>
  <c r="Q74" i="1"/>
  <c r="U74" i="1"/>
  <c r="X74" i="1" s="1"/>
  <c r="Q75" i="1"/>
  <c r="U75" i="1"/>
  <c r="X75" i="1" s="1"/>
  <c r="Q76" i="1"/>
  <c r="U76" i="1"/>
  <c r="X76" i="1" s="1"/>
  <c r="Q77" i="1"/>
  <c r="U77" i="1"/>
  <c r="Y77" i="1" s="1"/>
  <c r="Q78" i="1"/>
  <c r="U78" i="1"/>
  <c r="X78" i="1" s="1"/>
  <c r="Q79" i="1"/>
  <c r="U79" i="1"/>
  <c r="X79" i="1" s="1"/>
  <c r="Q80" i="1"/>
  <c r="U80" i="1"/>
  <c r="X80" i="1" s="1"/>
  <c r="Q81" i="1"/>
  <c r="U81" i="1"/>
  <c r="X81" i="1" s="1"/>
  <c r="Q82" i="1"/>
  <c r="U82" i="1"/>
  <c r="Q83" i="1"/>
  <c r="U83" i="1"/>
  <c r="Q84" i="1"/>
  <c r="U84" i="1"/>
  <c r="Y84" i="1" s="1"/>
  <c r="Q85" i="1"/>
  <c r="U85" i="1"/>
  <c r="X85" i="1" s="1"/>
  <c r="Q86" i="1"/>
  <c r="U86" i="1"/>
  <c r="X86" i="1" s="1"/>
  <c r="Q87" i="1"/>
  <c r="U87" i="1"/>
  <c r="X87" i="1" s="1"/>
  <c r="Q88" i="1"/>
  <c r="U88" i="1"/>
  <c r="X88" i="1" s="1"/>
  <c r="Q89" i="1"/>
  <c r="U89" i="1"/>
  <c r="X89" i="1" s="1"/>
  <c r="Q90" i="1"/>
  <c r="U90" i="1"/>
  <c r="X90" i="1" s="1"/>
  <c r="Q91" i="1"/>
  <c r="U91" i="1"/>
  <c r="Q92" i="1"/>
  <c r="U92" i="1"/>
  <c r="Y92" i="1" s="1"/>
  <c r="Q93" i="1"/>
  <c r="U93" i="1"/>
  <c r="X93" i="1" s="1"/>
  <c r="Q94" i="1"/>
  <c r="U94" i="1"/>
  <c r="X94" i="1" s="1"/>
  <c r="Q95" i="1"/>
  <c r="U95" i="1"/>
  <c r="X95" i="1" s="1"/>
  <c r="Q96" i="1"/>
  <c r="U96" i="1"/>
  <c r="X96" i="1" s="1"/>
  <c r="Q97" i="1"/>
  <c r="U97" i="1"/>
  <c r="Y97" i="1" s="1"/>
  <c r="Q98" i="1"/>
  <c r="U98" i="1"/>
  <c r="X98" i="1" s="1"/>
  <c r="Q99" i="1"/>
  <c r="U99" i="1"/>
  <c r="X99" i="1" s="1"/>
  <c r="Q100" i="1"/>
  <c r="U100" i="1"/>
  <c r="Y100" i="1" s="1"/>
  <c r="Q101" i="1"/>
  <c r="U101" i="1"/>
  <c r="X101" i="1" s="1"/>
  <c r="Q102" i="1"/>
  <c r="U102" i="1"/>
  <c r="X102" i="1" s="1"/>
  <c r="Q103" i="1"/>
  <c r="Q104" i="1"/>
  <c r="Q105" i="1"/>
  <c r="U105" i="1"/>
  <c r="Y105" i="1" s="1"/>
  <c r="Q106" i="1"/>
  <c r="U106" i="1"/>
  <c r="Y106" i="1" s="1"/>
  <c r="Q107" i="1"/>
  <c r="U107" i="1"/>
  <c r="X107" i="1" s="1"/>
  <c r="Q108" i="1"/>
  <c r="U108" i="1"/>
  <c r="Y108" i="1" s="1"/>
  <c r="Q109" i="1"/>
  <c r="U109" i="1"/>
  <c r="X109" i="1" s="1"/>
  <c r="Q110" i="1"/>
  <c r="U110" i="1"/>
  <c r="X110" i="1" s="1"/>
  <c r="Q111" i="1"/>
  <c r="U111" i="1"/>
  <c r="X111" i="1" s="1"/>
  <c r="Q112" i="1"/>
  <c r="U112" i="1"/>
  <c r="X112" i="1" s="1"/>
  <c r="Q113" i="1"/>
  <c r="U113" i="1"/>
  <c r="X113" i="1" s="1"/>
  <c r="Q114" i="1"/>
  <c r="U114" i="1"/>
  <c r="Y114" i="1" s="1"/>
  <c r="Q115" i="1"/>
  <c r="U115" i="1"/>
  <c r="X115" i="1" s="1"/>
  <c r="Q116" i="1"/>
  <c r="U116" i="1"/>
  <c r="Q117" i="1"/>
  <c r="U117" i="1"/>
  <c r="X117" i="1" s="1"/>
  <c r="Q118" i="1"/>
  <c r="U118" i="1"/>
  <c r="X118" i="1" s="1"/>
  <c r="Q119" i="1"/>
  <c r="U119" i="1"/>
  <c r="X119" i="1" s="1"/>
  <c r="Q120" i="1"/>
  <c r="U120" i="1"/>
  <c r="X120" i="1" s="1"/>
  <c r="Q121" i="1"/>
  <c r="U121" i="1"/>
  <c r="X121" i="1" s="1"/>
  <c r="Q122" i="1"/>
  <c r="U122" i="1"/>
  <c r="Q123" i="1"/>
  <c r="U123" i="1"/>
  <c r="X123" i="1" s="1"/>
  <c r="Q124" i="1"/>
  <c r="U124" i="1"/>
  <c r="Y124" i="1" s="1"/>
  <c r="Q125" i="1"/>
  <c r="U125" i="1"/>
  <c r="X125" i="1" s="1"/>
  <c r="Q126" i="1"/>
  <c r="U126" i="1"/>
  <c r="X126" i="1" s="1"/>
  <c r="Q127" i="1"/>
  <c r="U127" i="1"/>
  <c r="X127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U38" i="1"/>
  <c r="Y38" i="1" s="1"/>
  <c r="U39" i="1"/>
  <c r="Y39" i="1" s="1"/>
  <c r="U40" i="1"/>
  <c r="Y40" i="1" s="1"/>
  <c r="U41" i="1"/>
  <c r="Y41" i="1" s="1"/>
  <c r="U42" i="1"/>
  <c r="Y42" i="1" s="1"/>
  <c r="U43" i="1"/>
  <c r="Y43" i="1" s="1"/>
  <c r="U44" i="1"/>
  <c r="Y44" i="1" s="1"/>
  <c r="U46" i="1"/>
  <c r="Y46" i="1" s="1"/>
  <c r="U47" i="1"/>
  <c r="Y47" i="1" s="1"/>
  <c r="U48" i="1"/>
  <c r="Y48" i="1" s="1"/>
  <c r="U49" i="1"/>
  <c r="Y49" i="1" s="1"/>
  <c r="U50" i="1"/>
  <c r="Y50" i="1" s="1"/>
  <c r="U51" i="1"/>
  <c r="Y51" i="1" s="1"/>
  <c r="U52" i="1"/>
  <c r="Y52" i="1" s="1"/>
  <c r="U53" i="1"/>
  <c r="Y53" i="1" s="1"/>
  <c r="U54" i="1"/>
  <c r="Y54" i="1" s="1"/>
  <c r="U55" i="1"/>
  <c r="Y55" i="1" s="1"/>
  <c r="U56" i="1"/>
  <c r="Y56" i="1" s="1"/>
  <c r="U57" i="1"/>
  <c r="Y57" i="1" s="1"/>
  <c r="U58" i="1"/>
  <c r="Y58" i="1" s="1"/>
  <c r="U59" i="1"/>
  <c r="Y59" i="1" s="1"/>
  <c r="U60" i="1"/>
  <c r="Y60" i="1" s="1"/>
  <c r="U61" i="1"/>
  <c r="Y61" i="1" s="1"/>
  <c r="U62" i="1"/>
  <c r="Y62" i="1" s="1"/>
  <c r="U63" i="1"/>
  <c r="Y63" i="1" s="1"/>
  <c r="U64" i="1"/>
  <c r="Y64" i="1" s="1"/>
  <c r="U65" i="1"/>
  <c r="Y65" i="1" s="1"/>
  <c r="U66" i="1"/>
  <c r="Y66" i="1" s="1"/>
  <c r="U67" i="1"/>
  <c r="Y6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AT133" i="1" l="1"/>
  <c r="AV133" i="1"/>
  <c r="AS133" i="1" s="1"/>
  <c r="AT132" i="1"/>
  <c r="R128" i="1"/>
  <c r="S128" i="1"/>
  <c r="T128" i="1" s="1"/>
  <c r="S129" i="1"/>
  <c r="T129" i="1" s="1"/>
  <c r="S130" i="1"/>
  <c r="T130" i="1" s="1"/>
  <c r="S131" i="1"/>
  <c r="T131" i="1" s="1"/>
  <c r="S132" i="1"/>
  <c r="T132" i="1" s="1"/>
  <c r="S135" i="1"/>
  <c r="T135" i="1" s="1"/>
  <c r="S136" i="1"/>
  <c r="T136" i="1" s="1"/>
  <c r="S137" i="1"/>
  <c r="T137" i="1" s="1"/>
  <c r="S138" i="1"/>
  <c r="T138" i="1" s="1"/>
  <c r="S139" i="1"/>
  <c r="T139" i="1" s="1"/>
  <c r="S140" i="1"/>
  <c r="T140" i="1" s="1"/>
  <c r="R142" i="1"/>
  <c r="S142" i="1"/>
  <c r="T142" i="1" s="1"/>
  <c r="S143" i="1"/>
  <c r="T143" i="1" s="1"/>
  <c r="S144" i="1"/>
  <c r="T144" i="1" s="1"/>
  <c r="R145" i="1"/>
  <c r="S145" i="1"/>
  <c r="T145" i="1" s="1"/>
  <c r="S146" i="1"/>
  <c r="T146" i="1" s="1"/>
  <c r="S147" i="1"/>
  <c r="T147" i="1" s="1"/>
  <c r="S148" i="1"/>
  <c r="T148" i="1" s="1"/>
  <c r="S151" i="1"/>
  <c r="T151" i="1" s="1"/>
  <c r="R152" i="1"/>
  <c r="S152" i="1"/>
  <c r="T152" i="1" s="1"/>
  <c r="R150" i="1"/>
  <c r="AV134" i="1"/>
  <c r="AS134" i="1" s="1"/>
  <c r="AU134" i="1"/>
  <c r="AT134" i="1" s="1"/>
  <c r="X128" i="1"/>
  <c r="Z128" i="1" s="1"/>
  <c r="AI128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137" i="1"/>
  <c r="Z137" i="1" s="1"/>
  <c r="AI137" i="1" s="1"/>
  <c r="Y129" i="1"/>
  <c r="X343" i="1"/>
  <c r="Y132" i="1"/>
  <c r="X146" i="1"/>
  <c r="Z146" i="1" s="1"/>
  <c r="AI146" i="1" s="1"/>
  <c r="Y131" i="1"/>
  <c r="Y139" i="1"/>
  <c r="X140" i="1"/>
  <c r="Z140" i="1" s="1"/>
  <c r="AI140" i="1" s="1"/>
  <c r="Y136" i="1"/>
  <c r="X221" i="1"/>
  <c r="Y145" i="1"/>
  <c r="Y173" i="1"/>
  <c r="X253" i="1"/>
  <c r="X31" i="1"/>
  <c r="Y309" i="1"/>
  <c r="Y341" i="1"/>
  <c r="Y205" i="1"/>
  <c r="X285" i="1"/>
  <c r="X181" i="1"/>
  <c r="Z141" i="1"/>
  <c r="AI141" i="1" s="1"/>
  <c r="R141" i="1"/>
  <c r="X149" i="1"/>
  <c r="Z149" i="1" s="1"/>
  <c r="AI149" i="1" s="1"/>
  <c r="Y138" i="1"/>
  <c r="Y130" i="1"/>
  <c r="Z144" i="1"/>
  <c r="AI144" i="1" s="1"/>
  <c r="Z150" i="1"/>
  <c r="AI150" i="1" s="1"/>
  <c r="Z142" i="1"/>
  <c r="AI142" i="1" s="1"/>
  <c r="Y133" i="1"/>
  <c r="X147" i="1"/>
  <c r="Z147" i="1" s="1"/>
  <c r="AI147" i="1" s="1"/>
  <c r="Y144" i="1"/>
  <c r="Y141" i="1"/>
  <c r="Z129" i="1"/>
  <c r="AI129" i="1" s="1"/>
  <c r="Z134" i="1"/>
  <c r="AI134" i="1" s="1"/>
  <c r="Z148" i="1"/>
  <c r="AI148" i="1" s="1"/>
  <c r="Z139" i="1"/>
  <c r="AI139" i="1" s="1"/>
  <c r="X152" i="1"/>
  <c r="Z152" i="1" s="1"/>
  <c r="AI152" i="1" s="1"/>
  <c r="R133" i="1"/>
  <c r="Z133" i="1"/>
  <c r="AI133" i="1" s="1"/>
  <c r="Y284" i="1"/>
  <c r="Y244" i="1"/>
  <c r="Y204" i="1"/>
  <c r="X340" i="1"/>
  <c r="X324" i="1"/>
  <c r="X172" i="1"/>
  <c r="X10" i="1"/>
  <c r="Z145" i="1"/>
  <c r="AI145" i="1" s="1"/>
  <c r="Z136" i="1"/>
  <c r="AI136" i="1" s="1"/>
  <c r="Z132" i="1"/>
  <c r="AI132" i="1" s="1"/>
  <c r="Y228" i="1"/>
  <c r="Y18" i="1"/>
  <c r="X268" i="1"/>
  <c r="X156" i="1"/>
  <c r="Y348" i="1"/>
  <c r="Y2" i="1"/>
  <c r="X308" i="1"/>
  <c r="X252" i="1"/>
  <c r="X236" i="1"/>
  <c r="X212" i="1"/>
  <c r="X196" i="1"/>
  <c r="Z130" i="1"/>
  <c r="AI130" i="1" s="1"/>
  <c r="Z138" i="1"/>
  <c r="AI138" i="1" s="1"/>
  <c r="Y134" i="1"/>
  <c r="X292" i="1"/>
  <c r="X220" i="1"/>
  <c r="X180" i="1"/>
  <c r="Y150" i="1"/>
  <c r="Y153" i="1"/>
  <c r="Y142" i="1"/>
  <c r="R134" i="1"/>
  <c r="Z153" i="1"/>
  <c r="AI153" i="1" s="1"/>
  <c r="X332" i="1"/>
  <c r="Y276" i="1"/>
  <c r="Y26" i="1"/>
  <c r="X164" i="1"/>
  <c r="Y30" i="1"/>
  <c r="Y316" i="1"/>
  <c r="Z131" i="1"/>
  <c r="AI131" i="1" s="1"/>
  <c r="X151" i="1"/>
  <c r="Z151" i="1" s="1"/>
  <c r="AI151" i="1" s="1"/>
  <c r="X135" i="1"/>
  <c r="Z135" i="1" s="1"/>
  <c r="AI135" i="1" s="1"/>
  <c r="X143" i="1"/>
  <c r="Z143" i="1" s="1"/>
  <c r="AI143" i="1" s="1"/>
  <c r="Y148" i="1"/>
  <c r="T153" i="1"/>
  <c r="R149" i="1"/>
  <c r="R138" i="1"/>
  <c r="R130" i="1"/>
  <c r="R140" i="1"/>
  <c r="R139" i="1"/>
  <c r="R147" i="1"/>
  <c r="R146" i="1"/>
  <c r="R131" i="1"/>
  <c r="X187" i="1"/>
  <c r="X163" i="1"/>
  <c r="Y315" i="1"/>
  <c r="Y291" i="1"/>
  <c r="Y243" i="1"/>
  <c r="Y219" i="1"/>
  <c r="X211" i="1"/>
  <c r="X17" i="1"/>
  <c r="R148" i="1"/>
  <c r="R132" i="1"/>
  <c r="Y339" i="1"/>
  <c r="Y267" i="1"/>
  <c r="R137" i="1"/>
  <c r="R129" i="1"/>
  <c r="Y203" i="1"/>
  <c r="Y9" i="1"/>
  <c r="R144" i="1"/>
  <c r="R136" i="1"/>
  <c r="Y29" i="1"/>
  <c r="Y283" i="1"/>
  <c r="R151" i="1"/>
  <c r="T150" i="1"/>
  <c r="R143" i="1"/>
  <c r="R135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X97" i="1"/>
  <c r="X77" i="1"/>
  <c r="Y90" i="1"/>
  <c r="Y99" i="1"/>
  <c r="Y96" i="1"/>
  <c r="Y89" i="1"/>
  <c r="Y98" i="1"/>
  <c r="Y74" i="1"/>
  <c r="Y123" i="1"/>
  <c r="Y120" i="1"/>
  <c r="Y113" i="1"/>
  <c r="Y75" i="1"/>
  <c r="Y112" i="1"/>
  <c r="X100" i="1"/>
  <c r="X124" i="1"/>
  <c r="Y121" i="1"/>
  <c r="X114" i="1"/>
  <c r="Y76" i="1"/>
  <c r="Y122" i="1"/>
  <c r="X122" i="1"/>
  <c r="Y116" i="1"/>
  <c r="X116" i="1"/>
  <c r="Y107" i="1"/>
  <c r="X104" i="1"/>
  <c r="Y104" i="1"/>
  <c r="X106" i="1"/>
  <c r="X82" i="1"/>
  <c r="Y82" i="1"/>
  <c r="Y115" i="1"/>
  <c r="X108" i="1"/>
  <c r="X105" i="1"/>
  <c r="X91" i="1"/>
  <c r="Y91" i="1"/>
  <c r="X83" i="1"/>
  <c r="Y83" i="1"/>
  <c r="Y88" i="1"/>
  <c r="Y68" i="1"/>
  <c r="Y80" i="1"/>
  <c r="X69" i="1"/>
  <c r="X92" i="1"/>
  <c r="Y81" i="1"/>
  <c r="Y73" i="1"/>
  <c r="Y119" i="1"/>
  <c r="Y111" i="1"/>
  <c r="Y103" i="1"/>
  <c r="Y95" i="1"/>
  <c r="Y87" i="1"/>
  <c r="Y72" i="1"/>
  <c r="X84" i="1"/>
  <c r="Y127" i="1"/>
  <c r="Y126" i="1"/>
  <c r="Y118" i="1"/>
  <c r="Y110" i="1"/>
  <c r="Y102" i="1"/>
  <c r="Y94" i="1"/>
  <c r="Y86" i="1"/>
  <c r="Y79" i="1"/>
  <c r="Y71" i="1"/>
  <c r="Y125" i="1"/>
  <c r="Y117" i="1"/>
  <c r="Y109" i="1"/>
  <c r="Y101" i="1"/>
  <c r="Y93" i="1"/>
  <c r="Y85" i="1"/>
  <c r="Y78" i="1"/>
  <c r="Y7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S69" i="1" s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V115" i="1"/>
  <c r="AS115" i="1" s="1"/>
  <c r="AU115" i="1"/>
  <c r="AT115" i="1" s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AU113" i="1"/>
  <c r="AR113" i="1"/>
  <c r="AQ113" i="1"/>
  <c r="AP113" i="1"/>
  <c r="AO113" i="1"/>
  <c r="W113" i="1" s="1"/>
  <c r="AK113" i="1"/>
  <c r="H113" i="1"/>
  <c r="S113" i="1" s="1"/>
  <c r="AR112" i="1"/>
  <c r="AQ112" i="1"/>
  <c r="AP112" i="1"/>
  <c r="AO112" i="1"/>
  <c r="W112" i="1" s="1"/>
  <c r="AK112" i="1"/>
  <c r="H112" i="1"/>
  <c r="AU111" i="1"/>
  <c r="AR111" i="1"/>
  <c r="AQ111" i="1"/>
  <c r="AP111" i="1"/>
  <c r="AO111" i="1"/>
  <c r="W111" i="1" s="1"/>
  <c r="AK111" i="1"/>
  <c r="H111" i="1"/>
  <c r="S111" i="1" s="1"/>
  <c r="AU110" i="1"/>
  <c r="AR110" i="1"/>
  <c r="AQ110" i="1"/>
  <c r="AP110" i="1"/>
  <c r="AO110" i="1"/>
  <c r="W110" i="1" s="1"/>
  <c r="AK110" i="1"/>
  <c r="H110" i="1"/>
  <c r="S110" i="1" s="1"/>
  <c r="AU109" i="1"/>
  <c r="AR109" i="1"/>
  <c r="AQ109" i="1"/>
  <c r="AP109" i="1"/>
  <c r="AO109" i="1"/>
  <c r="W109" i="1" s="1"/>
  <c r="AK109" i="1"/>
  <c r="H109" i="1"/>
  <c r="S109" i="1" s="1"/>
  <c r="AU108" i="1"/>
  <c r="AR108" i="1"/>
  <c r="AQ108" i="1"/>
  <c r="AP108" i="1"/>
  <c r="AO108" i="1"/>
  <c r="W108" i="1" s="1"/>
  <c r="AK108" i="1"/>
  <c r="H108" i="1"/>
  <c r="S108" i="1" s="1"/>
  <c r="AU107" i="1"/>
  <c r="AR107" i="1"/>
  <c r="AQ107" i="1"/>
  <c r="AP107" i="1"/>
  <c r="AO107" i="1"/>
  <c r="W107" i="1" s="1"/>
  <c r="AK107" i="1"/>
  <c r="H107" i="1"/>
  <c r="S107" i="1" s="1"/>
  <c r="AV106" i="1"/>
  <c r="AS106" i="1" s="1"/>
  <c r="AU106" i="1"/>
  <c r="AT106" i="1" s="1"/>
  <c r="AR106" i="1"/>
  <c r="AQ106" i="1"/>
  <c r="AP106" i="1"/>
  <c r="AO106" i="1"/>
  <c r="W106" i="1" s="1"/>
  <c r="AK106" i="1"/>
  <c r="H106" i="1"/>
  <c r="S106" i="1" s="1"/>
  <c r="AV105" i="1"/>
  <c r="AS105" i="1" s="1"/>
  <c r="AU105" i="1"/>
  <c r="AT105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V102" i="1"/>
  <c r="AS102" i="1" s="1"/>
  <c r="AU102" i="1"/>
  <c r="AT102" i="1" s="1"/>
  <c r="AR102" i="1"/>
  <c r="AQ102" i="1"/>
  <c r="AP102" i="1"/>
  <c r="AO102" i="1"/>
  <c r="W102" i="1" s="1"/>
  <c r="AK102" i="1"/>
  <c r="H102" i="1"/>
  <c r="S102" i="1" s="1"/>
  <c r="AV101" i="1"/>
  <c r="AS101" i="1" s="1"/>
  <c r="AU101" i="1"/>
  <c r="AT101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AV94" i="1" s="1"/>
  <c r="A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V81" i="1"/>
  <c r="AS81" i="1" s="1"/>
  <c r="AU81" i="1"/>
  <c r="AT81" i="1" s="1"/>
  <c r="AR81" i="1"/>
  <c r="AQ81" i="1"/>
  <c r="AP81" i="1"/>
  <c r="AO81" i="1"/>
  <c r="W81" i="1" s="1"/>
  <c r="AK81" i="1"/>
  <c r="H81" i="1"/>
  <c r="S81" i="1" s="1"/>
  <c r="AV80" i="1"/>
  <c r="AS80" i="1" s="1"/>
  <c r="AU80" i="1"/>
  <c r="AT80" i="1" s="1"/>
  <c r="AR80" i="1"/>
  <c r="AQ80" i="1"/>
  <c r="AP80" i="1"/>
  <c r="AO80" i="1"/>
  <c r="W80" i="1" s="1"/>
  <c r="AK80" i="1"/>
  <c r="H80" i="1"/>
  <c r="S80" i="1" s="1"/>
  <c r="AV79" i="1"/>
  <c r="AS79" i="1" s="1"/>
  <c r="AU79" i="1"/>
  <c r="AT79" i="1" s="1"/>
  <c r="AR79" i="1"/>
  <c r="AQ79" i="1"/>
  <c r="AP79" i="1"/>
  <c r="AO79" i="1"/>
  <c r="W79" i="1" s="1"/>
  <c r="AK79" i="1"/>
  <c r="H79" i="1"/>
  <c r="S79" i="1" s="1"/>
  <c r="AV78" i="1"/>
  <c r="AS78" i="1" s="1"/>
  <c r="AU78" i="1"/>
  <c r="AT78" i="1" s="1"/>
  <c r="AR78" i="1"/>
  <c r="AQ78" i="1"/>
  <c r="AP78" i="1"/>
  <c r="AO78" i="1"/>
  <c r="W78" i="1" s="1"/>
  <c r="AK78" i="1"/>
  <c r="H78" i="1"/>
  <c r="S78" i="1" s="1"/>
  <c r="AV77" i="1"/>
  <c r="AS77" i="1" s="1"/>
  <c r="AU77" i="1"/>
  <c r="AT77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V75" i="1"/>
  <c r="AS75" i="1" s="1"/>
  <c r="AU75" i="1"/>
  <c r="AT75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AR70" i="1"/>
  <c r="AQ70" i="1"/>
  <c r="AP70" i="1"/>
  <c r="AO70" i="1"/>
  <c r="W70" i="1" s="1"/>
  <c r="AK70" i="1"/>
  <c r="AU69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X67" i="1"/>
  <c r="Q67" i="1"/>
  <c r="H67" i="1"/>
  <c r="S67" i="1" s="1"/>
  <c r="AU66" i="1"/>
  <c r="AR66" i="1"/>
  <c r="AQ66" i="1"/>
  <c r="AP66" i="1"/>
  <c r="AO66" i="1"/>
  <c r="W66" i="1" s="1"/>
  <c r="AK66" i="1"/>
  <c r="X66" i="1"/>
  <c r="Q66" i="1"/>
  <c r="H66" i="1"/>
  <c r="S66" i="1" s="1"/>
  <c r="AR65" i="1"/>
  <c r="AQ65" i="1"/>
  <c r="AP65" i="1"/>
  <c r="AO65" i="1"/>
  <c r="W65" i="1" s="1"/>
  <c r="AK65" i="1"/>
  <c r="X65" i="1"/>
  <c r="Q65" i="1"/>
  <c r="H65" i="1"/>
  <c r="S65" i="1" s="1"/>
  <c r="AU64" i="1"/>
  <c r="AR64" i="1"/>
  <c r="AQ64" i="1"/>
  <c r="AP64" i="1"/>
  <c r="AO64" i="1"/>
  <c r="W64" i="1" s="1"/>
  <c r="AK64" i="1"/>
  <c r="X64" i="1"/>
  <c r="Q64" i="1"/>
  <c r="H64" i="1"/>
  <c r="S64" i="1" s="1"/>
  <c r="AU63" i="1"/>
  <c r="AR63" i="1"/>
  <c r="AQ63" i="1"/>
  <c r="AP63" i="1"/>
  <c r="AO63" i="1"/>
  <c r="W63" i="1" s="1"/>
  <c r="AK63" i="1"/>
  <c r="X63" i="1"/>
  <c r="Q63" i="1"/>
  <c r="H63" i="1"/>
  <c r="S63" i="1" s="1"/>
  <c r="AR62" i="1"/>
  <c r="AQ62" i="1"/>
  <c r="AP62" i="1"/>
  <c r="AO62" i="1"/>
  <c r="W62" i="1" s="1"/>
  <c r="AK62" i="1"/>
  <c r="X62" i="1"/>
  <c r="Q62" i="1"/>
  <c r="H62" i="1"/>
  <c r="S62" i="1" s="1"/>
  <c r="AR61" i="1"/>
  <c r="AQ61" i="1"/>
  <c r="AP61" i="1"/>
  <c r="AO61" i="1"/>
  <c r="W61" i="1" s="1"/>
  <c r="AK61" i="1"/>
  <c r="X61" i="1"/>
  <c r="Q61" i="1"/>
  <c r="H61" i="1"/>
  <c r="AR60" i="1"/>
  <c r="AQ60" i="1"/>
  <c r="AP60" i="1"/>
  <c r="AO60" i="1"/>
  <c r="W60" i="1" s="1"/>
  <c r="AK60" i="1"/>
  <c r="X60" i="1"/>
  <c r="Q60" i="1"/>
  <c r="H60" i="1"/>
  <c r="AR59" i="1"/>
  <c r="AQ59" i="1"/>
  <c r="AP59" i="1"/>
  <c r="AO59" i="1"/>
  <c r="W59" i="1" s="1"/>
  <c r="AK59" i="1"/>
  <c r="X59" i="1"/>
  <c r="Q59" i="1"/>
  <c r="H59" i="1"/>
  <c r="AU58" i="1"/>
  <c r="AR58" i="1"/>
  <c r="AQ58" i="1"/>
  <c r="AP58" i="1"/>
  <c r="AO58" i="1"/>
  <c r="W58" i="1" s="1"/>
  <c r="AK58" i="1"/>
  <c r="X58" i="1"/>
  <c r="Q58" i="1"/>
  <c r="H58" i="1"/>
  <c r="S58" i="1" s="1"/>
  <c r="AU57" i="1"/>
  <c r="AR57" i="1"/>
  <c r="AQ57" i="1"/>
  <c r="AP57" i="1"/>
  <c r="AO57" i="1"/>
  <c r="W57" i="1" s="1"/>
  <c r="AK57" i="1"/>
  <c r="X57" i="1"/>
  <c r="Q57" i="1"/>
  <c r="H57" i="1"/>
  <c r="S57" i="1" s="1"/>
  <c r="AR56" i="1"/>
  <c r="AQ56" i="1"/>
  <c r="AP56" i="1"/>
  <c r="AO56" i="1"/>
  <c r="W56" i="1" s="1"/>
  <c r="AK56" i="1"/>
  <c r="X56" i="1"/>
  <c r="Q56" i="1"/>
  <c r="H56" i="1"/>
  <c r="AV55" i="1"/>
  <c r="AS55" i="1" s="1"/>
  <c r="AU55" i="1"/>
  <c r="AT55" i="1" s="1"/>
  <c r="AR55" i="1"/>
  <c r="AQ55" i="1"/>
  <c r="AP55" i="1"/>
  <c r="AO55" i="1"/>
  <c r="W55" i="1" s="1"/>
  <c r="AK55" i="1"/>
  <c r="X55" i="1"/>
  <c r="Q55" i="1"/>
  <c r="H55" i="1"/>
  <c r="S55" i="1" s="1"/>
  <c r="AV54" i="1"/>
  <c r="AS54" i="1" s="1"/>
  <c r="AU54" i="1"/>
  <c r="AT54" i="1" s="1"/>
  <c r="AR54" i="1"/>
  <c r="AQ54" i="1"/>
  <c r="AP54" i="1"/>
  <c r="AO54" i="1"/>
  <c r="W54" i="1" s="1"/>
  <c r="AK54" i="1"/>
  <c r="X54" i="1"/>
  <c r="Q54" i="1"/>
  <c r="H54" i="1"/>
  <c r="S54" i="1" s="1"/>
  <c r="AV53" i="1"/>
  <c r="AS53" i="1" s="1"/>
  <c r="AU53" i="1"/>
  <c r="AT53" i="1" s="1"/>
  <c r="AR53" i="1"/>
  <c r="AQ53" i="1"/>
  <c r="AP53" i="1"/>
  <c r="AO53" i="1"/>
  <c r="W53" i="1" s="1"/>
  <c r="AK53" i="1"/>
  <c r="X53" i="1"/>
  <c r="Q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X52" i="1"/>
  <c r="Q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X51" i="1"/>
  <c r="Q51" i="1"/>
  <c r="H51" i="1"/>
  <c r="S51" i="1" s="1"/>
  <c r="AU50" i="1"/>
  <c r="AR50" i="1"/>
  <c r="AQ50" i="1"/>
  <c r="AP50" i="1"/>
  <c r="AO50" i="1"/>
  <c r="W50" i="1" s="1"/>
  <c r="AK50" i="1"/>
  <c r="X50" i="1"/>
  <c r="Q50" i="1"/>
  <c r="H50" i="1"/>
  <c r="S50" i="1" s="1"/>
  <c r="AV49" i="1"/>
  <c r="AS49" i="1" s="1"/>
  <c r="AU49" i="1"/>
  <c r="AT49" i="1" s="1"/>
  <c r="AR49" i="1"/>
  <c r="AQ49" i="1"/>
  <c r="AP49" i="1"/>
  <c r="AO49" i="1"/>
  <c r="W49" i="1" s="1"/>
  <c r="AK49" i="1"/>
  <c r="X49" i="1"/>
  <c r="Q49" i="1"/>
  <c r="H49" i="1"/>
  <c r="S49" i="1" s="1"/>
  <c r="AR48" i="1"/>
  <c r="AQ48" i="1"/>
  <c r="AP48" i="1"/>
  <c r="AO48" i="1"/>
  <c r="W48" i="1" s="1"/>
  <c r="AK48" i="1"/>
  <c r="X48" i="1"/>
  <c r="Q48" i="1"/>
  <c r="H48" i="1"/>
  <c r="AR47" i="1"/>
  <c r="AQ47" i="1"/>
  <c r="AP47" i="1"/>
  <c r="AO47" i="1"/>
  <c r="W47" i="1" s="1"/>
  <c r="AK47" i="1"/>
  <c r="X47" i="1"/>
  <c r="Q47" i="1"/>
  <c r="H47" i="1"/>
  <c r="S47" i="1" s="1"/>
  <c r="AR46" i="1"/>
  <c r="AQ46" i="1"/>
  <c r="AP46" i="1"/>
  <c r="AO46" i="1"/>
  <c r="W46" i="1" s="1"/>
  <c r="AK46" i="1"/>
  <c r="X46" i="1"/>
  <c r="Q46" i="1"/>
  <c r="H46" i="1"/>
  <c r="S46" i="1" s="1"/>
  <c r="AV45" i="1"/>
  <c r="AS45" i="1" s="1"/>
  <c r="AU45" i="1"/>
  <c r="AT45" i="1" s="1"/>
  <c r="AR45" i="1"/>
  <c r="AQ45" i="1"/>
  <c r="AP45" i="1"/>
  <c r="AO45" i="1"/>
  <c r="W45" i="1" s="1"/>
  <c r="AK45" i="1"/>
  <c r="X45" i="1"/>
  <c r="Q45" i="1"/>
  <c r="H45" i="1"/>
  <c r="S45" i="1" s="1"/>
  <c r="AV44" i="1"/>
  <c r="AS44" i="1" s="1"/>
  <c r="AU44" i="1"/>
  <c r="AT44" i="1" s="1"/>
  <c r="AR44" i="1"/>
  <c r="AQ44" i="1"/>
  <c r="AP44" i="1"/>
  <c r="AO44" i="1"/>
  <c r="W44" i="1" s="1"/>
  <c r="AK44" i="1"/>
  <c r="X44" i="1"/>
  <c r="Q44" i="1"/>
  <c r="H44" i="1"/>
  <c r="S44" i="1" s="1"/>
  <c r="AV43" i="1"/>
  <c r="AS43" i="1" s="1"/>
  <c r="AU43" i="1"/>
  <c r="AT43" i="1" s="1"/>
  <c r="AR43" i="1"/>
  <c r="AQ43" i="1"/>
  <c r="AP43" i="1"/>
  <c r="AO43" i="1"/>
  <c r="W43" i="1" s="1"/>
  <c r="AK43" i="1"/>
  <c r="X43" i="1"/>
  <c r="Q43" i="1"/>
  <c r="H43" i="1"/>
  <c r="S43" i="1" s="1"/>
  <c r="AV42" i="1"/>
  <c r="AS42" i="1" s="1"/>
  <c r="AU42" i="1"/>
  <c r="AT42" i="1" s="1"/>
  <c r="AR42" i="1"/>
  <c r="AQ42" i="1"/>
  <c r="AP42" i="1"/>
  <c r="AO42" i="1"/>
  <c r="W42" i="1" s="1"/>
  <c r="AK42" i="1"/>
  <c r="X42" i="1"/>
  <c r="Q42" i="1"/>
  <c r="H42" i="1"/>
  <c r="S42" i="1" s="1"/>
  <c r="AR41" i="1"/>
  <c r="AQ41" i="1"/>
  <c r="AP41" i="1"/>
  <c r="AO41" i="1"/>
  <c r="W41" i="1" s="1"/>
  <c r="AK41" i="1"/>
  <c r="X41" i="1"/>
  <c r="Q41" i="1"/>
  <c r="H41" i="1"/>
  <c r="S41" i="1" s="1"/>
  <c r="AV40" i="1"/>
  <c r="AS40" i="1" s="1"/>
  <c r="AU40" i="1"/>
  <c r="AT40" i="1" s="1"/>
  <c r="AR40" i="1"/>
  <c r="AQ40" i="1"/>
  <c r="AP40" i="1"/>
  <c r="AO40" i="1"/>
  <c r="W40" i="1" s="1"/>
  <c r="AK40" i="1"/>
  <c r="X40" i="1"/>
  <c r="Q40" i="1"/>
  <c r="H40" i="1"/>
  <c r="S40" i="1" s="1"/>
  <c r="AR39" i="1"/>
  <c r="AQ39" i="1"/>
  <c r="AP39" i="1"/>
  <c r="AO39" i="1"/>
  <c r="W39" i="1" s="1"/>
  <c r="AK39" i="1"/>
  <c r="X39" i="1"/>
  <c r="Q39" i="1"/>
  <c r="H39" i="1"/>
  <c r="AR38" i="1"/>
  <c r="AQ38" i="1"/>
  <c r="AP38" i="1"/>
  <c r="AO38" i="1"/>
  <c r="W38" i="1" s="1"/>
  <c r="AK38" i="1"/>
  <c r="X38" i="1"/>
  <c r="Q38" i="1"/>
  <c r="H38" i="1"/>
  <c r="AV37" i="1"/>
  <c r="AS37" i="1" s="1"/>
  <c r="AU37" i="1"/>
  <c r="AT37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V35" i="1"/>
  <c r="AS35" i="1" s="1"/>
  <c r="AU35" i="1"/>
  <c r="AT35" i="1" s="1"/>
  <c r="AR35" i="1"/>
  <c r="AQ35" i="1"/>
  <c r="AP35" i="1"/>
  <c r="AO35" i="1"/>
  <c r="AK35" i="1"/>
  <c r="Q35" i="1"/>
  <c r="H35" i="1"/>
  <c r="S35" i="1" s="1"/>
  <c r="AU34" i="1"/>
  <c r="AR34" i="1"/>
  <c r="AQ34" i="1"/>
  <c r="AP34" i="1"/>
  <c r="AO34" i="1"/>
  <c r="AK34" i="1"/>
  <c r="Q34" i="1"/>
  <c r="H34" i="1"/>
  <c r="AU33" i="1"/>
  <c r="AR33" i="1"/>
  <c r="AQ33" i="1"/>
  <c r="AP33" i="1"/>
  <c r="AO33" i="1"/>
  <c r="AK33" i="1"/>
  <c r="Q33" i="1"/>
  <c r="H33" i="1"/>
  <c r="AU32" i="1"/>
  <c r="AR32" i="1"/>
  <c r="AQ32" i="1"/>
  <c r="AP32" i="1"/>
  <c r="AO32" i="1"/>
  <c r="AK32" i="1"/>
  <c r="Q32" i="1"/>
  <c r="H32" i="1"/>
  <c r="AU31" i="1"/>
  <c r="AR31" i="1"/>
  <c r="AQ31" i="1"/>
  <c r="AP31" i="1"/>
  <c r="AO31" i="1"/>
  <c r="AK31" i="1"/>
  <c r="Q31" i="1"/>
  <c r="H31" i="1"/>
  <c r="AU30" i="1"/>
  <c r="AR30" i="1"/>
  <c r="AQ30" i="1"/>
  <c r="AP30" i="1"/>
  <c r="AO30" i="1"/>
  <c r="AK30" i="1"/>
  <c r="Q30" i="1"/>
  <c r="H30" i="1"/>
  <c r="AU29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U28" i="1" s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S27" i="1"/>
  <c r="AR26" i="1"/>
  <c r="AQ26" i="1"/>
  <c r="AP26" i="1"/>
  <c r="AO26" i="1"/>
  <c r="AK26" i="1"/>
  <c r="Q26" i="1"/>
  <c r="S26" i="1"/>
  <c r="AV25" i="1"/>
  <c r="AS25" i="1" s="1"/>
  <c r="AU25" i="1"/>
  <c r="AT25" i="1" s="1"/>
  <c r="AR25" i="1"/>
  <c r="AQ25" i="1"/>
  <c r="AP25" i="1"/>
  <c r="AO25" i="1"/>
  <c r="AK25" i="1"/>
  <c r="Q25" i="1"/>
  <c r="S25" i="1"/>
  <c r="AV24" i="1"/>
  <c r="AS24" i="1" s="1"/>
  <c r="AU24" i="1"/>
  <c r="AT24" i="1" s="1"/>
  <c r="AR24" i="1"/>
  <c r="AQ24" i="1"/>
  <c r="AP24" i="1"/>
  <c r="AO24" i="1"/>
  <c r="AK24" i="1"/>
  <c r="Q24" i="1"/>
  <c r="S24" i="1"/>
  <c r="AR23" i="1"/>
  <c r="AQ23" i="1"/>
  <c r="AP23" i="1"/>
  <c r="AO23" i="1"/>
  <c r="AK23" i="1"/>
  <c r="Q23" i="1"/>
  <c r="S23" i="1"/>
  <c r="AR22" i="1"/>
  <c r="AQ22" i="1"/>
  <c r="AP22" i="1"/>
  <c r="AO22" i="1"/>
  <c r="AK22" i="1"/>
  <c r="Q22" i="1"/>
  <c r="S22" i="1"/>
  <c r="AR21" i="1"/>
  <c r="AQ21" i="1"/>
  <c r="AP21" i="1"/>
  <c r="AO21" i="1"/>
  <c r="AK21" i="1"/>
  <c r="Q21" i="1"/>
  <c r="S21" i="1"/>
  <c r="AR20" i="1"/>
  <c r="AQ20" i="1"/>
  <c r="AP20" i="1"/>
  <c r="AO20" i="1"/>
  <c r="AK20" i="1"/>
  <c r="Q20" i="1"/>
  <c r="S20" i="1"/>
  <c r="AR19" i="1"/>
  <c r="AQ19" i="1"/>
  <c r="AP19" i="1"/>
  <c r="AO19" i="1"/>
  <c r="AK19" i="1"/>
  <c r="Q19" i="1"/>
  <c r="S19" i="1"/>
  <c r="AR18" i="1"/>
  <c r="AQ18" i="1"/>
  <c r="AP18" i="1"/>
  <c r="AO18" i="1"/>
  <c r="AK18" i="1"/>
  <c r="Q18" i="1"/>
  <c r="S18" i="1"/>
  <c r="AR17" i="1"/>
  <c r="AQ17" i="1"/>
  <c r="AP17" i="1"/>
  <c r="AO17" i="1"/>
  <c r="AK17" i="1"/>
  <c r="Q17" i="1"/>
  <c r="S17" i="1"/>
  <c r="AR16" i="1"/>
  <c r="AQ16" i="1"/>
  <c r="AP16" i="1"/>
  <c r="AO16" i="1"/>
  <c r="AK16" i="1"/>
  <c r="Q16" i="1"/>
  <c r="S16" i="1"/>
  <c r="AR15" i="1"/>
  <c r="AQ15" i="1"/>
  <c r="AP15" i="1"/>
  <c r="AO15" i="1"/>
  <c r="AK15" i="1"/>
  <c r="Q15" i="1"/>
  <c r="S15" i="1"/>
  <c r="AR14" i="1"/>
  <c r="AQ14" i="1"/>
  <c r="AP14" i="1"/>
  <c r="AO14" i="1"/>
  <c r="AK14" i="1"/>
  <c r="Q14" i="1"/>
  <c r="S14" i="1"/>
  <c r="AR13" i="1"/>
  <c r="AQ13" i="1"/>
  <c r="AP13" i="1"/>
  <c r="AO13" i="1"/>
  <c r="AK13" i="1"/>
  <c r="Q13" i="1"/>
  <c r="S13" i="1"/>
  <c r="AR12" i="1"/>
  <c r="AQ12" i="1"/>
  <c r="AP12" i="1"/>
  <c r="AO12" i="1"/>
  <c r="AK12" i="1"/>
  <c r="Q12" i="1"/>
  <c r="S12" i="1"/>
  <c r="AR11" i="1"/>
  <c r="AQ11" i="1"/>
  <c r="AP11" i="1"/>
  <c r="AO11" i="1"/>
  <c r="AK11" i="1"/>
  <c r="Q11" i="1"/>
  <c r="S11" i="1"/>
  <c r="AR10" i="1"/>
  <c r="AQ10" i="1"/>
  <c r="AP10" i="1"/>
  <c r="AO10" i="1"/>
  <c r="AK10" i="1"/>
  <c r="Q10" i="1"/>
  <c r="S10" i="1"/>
  <c r="AV9" i="1"/>
  <c r="AS9" i="1" s="1"/>
  <c r="AU9" i="1"/>
  <c r="AT9" i="1" s="1"/>
  <c r="AR9" i="1"/>
  <c r="AQ9" i="1"/>
  <c r="AP9" i="1"/>
  <c r="AO9" i="1"/>
  <c r="AK9" i="1"/>
  <c r="Q9" i="1"/>
  <c r="S9" i="1"/>
  <c r="AV8" i="1"/>
  <c r="AS8" i="1" s="1"/>
  <c r="AU8" i="1"/>
  <c r="AT8" i="1" s="1"/>
  <c r="AR8" i="1"/>
  <c r="AQ8" i="1"/>
  <c r="AP8" i="1"/>
  <c r="AO8" i="1"/>
  <c r="AK8" i="1"/>
  <c r="Q8" i="1"/>
  <c r="S8" i="1"/>
  <c r="AR7" i="1"/>
  <c r="AQ7" i="1"/>
  <c r="AP7" i="1"/>
  <c r="AO7" i="1"/>
  <c r="AK7" i="1"/>
  <c r="Q7" i="1"/>
  <c r="S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AT34" i="1" l="1"/>
  <c r="AT33" i="1"/>
  <c r="AT32" i="1"/>
  <c r="AT31" i="1"/>
  <c r="AT30" i="1"/>
  <c r="S34" i="1"/>
  <c r="T34" i="1" s="1"/>
  <c r="AV34" i="1"/>
  <c r="AS34" i="1" s="1"/>
  <c r="S33" i="1"/>
  <c r="T33" i="1" s="1"/>
  <c r="AV33" i="1"/>
  <c r="AS33" i="1" s="1"/>
  <c r="S32" i="1"/>
  <c r="T32" i="1" s="1"/>
  <c r="AV32" i="1"/>
  <c r="AS32" i="1" s="1"/>
  <c r="S31" i="1"/>
  <c r="T31" i="1" s="1"/>
  <c r="AV31" i="1"/>
  <c r="AS31" i="1" s="1"/>
  <c r="S30" i="1"/>
  <c r="T30" i="1" s="1"/>
  <c r="AV30" i="1"/>
  <c r="AS30" i="1" s="1"/>
  <c r="AT69" i="1"/>
  <c r="AV88" i="1"/>
  <c r="AS88" i="1" s="1"/>
  <c r="AT85" i="1"/>
  <c r="AT50" i="1"/>
  <c r="AV64" i="1"/>
  <c r="AS64" i="1" s="1"/>
  <c r="AV50" i="1"/>
  <c r="AS50" i="1" s="1"/>
  <c r="AT66" i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T63" i="1"/>
  <c r="AV82" i="1"/>
  <c r="AS82" i="1" s="1"/>
  <c r="AV85" i="1"/>
  <c r="AS85" i="1" s="1"/>
  <c r="AT98" i="1"/>
  <c r="AT109" i="1"/>
  <c r="AV98" i="1"/>
  <c r="AS98" i="1" s="1"/>
  <c r="AT111" i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T108" i="1"/>
  <c r="AV108" i="1"/>
  <c r="AS108" i="1" s="1"/>
  <c r="AT58" i="1"/>
  <c r="AV58" i="1"/>
  <c r="AS58" i="1" s="1"/>
  <c r="AV107" i="1"/>
  <c r="AS107" i="1" s="1"/>
  <c r="AT113" i="1"/>
  <c r="AV113" i="1"/>
  <c r="AS113" i="1" s="1"/>
  <c r="AT57" i="1"/>
  <c r="AT107" i="1"/>
  <c r="AT110" i="1"/>
  <c r="AV57" i="1"/>
  <c r="AS57" i="1" s="1"/>
  <c r="AT64" i="1"/>
  <c r="AV63" i="1"/>
  <c r="AS63" i="1" s="1"/>
  <c r="AV69" i="1"/>
  <c r="AS69" i="1" s="1"/>
  <c r="AV109" i="1"/>
  <c r="AS109" i="1" s="1"/>
  <c r="AV68" i="1"/>
  <c r="AS68" i="1" s="1"/>
  <c r="AT68" i="1"/>
  <c r="AT29" i="1"/>
  <c r="S29" i="1"/>
  <c r="T29" i="1" s="1"/>
  <c r="AV29" i="1"/>
  <c r="AS29" i="1" s="1"/>
  <c r="S68" i="1"/>
  <c r="T68" i="1" s="1"/>
  <c r="Z127" i="1"/>
  <c r="AI127" i="1" s="1"/>
  <c r="S127" i="1"/>
  <c r="T127" i="1" s="1"/>
  <c r="Z126" i="1"/>
  <c r="AI126" i="1" s="1"/>
  <c r="S126" i="1"/>
  <c r="T126" i="1" s="1"/>
  <c r="AV114" i="1"/>
  <c r="AS114" i="1" s="1"/>
  <c r="S114" i="1"/>
  <c r="T114" i="1" s="1"/>
  <c r="AU112" i="1"/>
  <c r="AT112" i="1" s="1"/>
  <c r="S112" i="1"/>
  <c r="T112" i="1" s="1"/>
  <c r="R94" i="1"/>
  <c r="S94" i="1"/>
  <c r="T94" i="1" s="1"/>
  <c r="AV71" i="1"/>
  <c r="AS71" i="1" s="1"/>
  <c r="S71" i="1"/>
  <c r="T71" i="1" s="1"/>
  <c r="AV61" i="1"/>
  <c r="AS61" i="1" s="1"/>
  <c r="S61" i="1"/>
  <c r="T61" i="1" s="1"/>
  <c r="AV60" i="1"/>
  <c r="AS60" i="1" s="1"/>
  <c r="S60" i="1"/>
  <c r="T60" i="1" s="1"/>
  <c r="AV59" i="1"/>
  <c r="AS59" i="1" s="1"/>
  <c r="S59" i="1"/>
  <c r="T59" i="1" s="1"/>
  <c r="AV56" i="1"/>
  <c r="AS56" i="1" s="1"/>
  <c r="S56" i="1"/>
  <c r="T56" i="1" s="1"/>
  <c r="AV48" i="1"/>
  <c r="AS48" i="1" s="1"/>
  <c r="S48" i="1"/>
  <c r="T48" i="1" s="1"/>
  <c r="AV39" i="1"/>
  <c r="AS39" i="1" s="1"/>
  <c r="S39" i="1"/>
  <c r="T39" i="1" s="1"/>
  <c r="AV38" i="1"/>
  <c r="AS38" i="1" s="1"/>
  <c r="S38" i="1"/>
  <c r="T38" i="1" s="1"/>
  <c r="AV28" i="1"/>
  <c r="AS28" i="1" s="1"/>
  <c r="S28" i="1"/>
  <c r="T28" i="1" s="1"/>
  <c r="S2" i="1"/>
  <c r="T2" i="1" s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H41" i="1"/>
  <c r="AU41" i="1" s="1"/>
  <c r="AT41" i="1" s="1"/>
  <c r="AH46" i="1"/>
  <c r="AU46" i="1" s="1"/>
  <c r="AT46" i="1" s="1"/>
  <c r="AH47" i="1"/>
  <c r="AU47" i="1" s="1"/>
  <c r="AT47" i="1" s="1"/>
  <c r="AH48" i="1"/>
  <c r="AU48" i="1" s="1"/>
  <c r="AT48" i="1" s="1"/>
  <c r="AT28" i="1"/>
  <c r="AH39" i="1"/>
  <c r="AH103" i="1"/>
  <c r="AU103" i="1" s="1"/>
  <c r="AT103" i="1" s="1"/>
  <c r="AV76" i="1"/>
  <c r="AS76" i="1" s="1"/>
  <c r="AH76" i="1"/>
  <c r="AV73" i="1"/>
  <c r="AS73" i="1" s="1"/>
  <c r="Z73" i="1"/>
  <c r="AI73" i="1" s="1"/>
  <c r="AV74" i="1"/>
  <c r="AS74" i="1" s="1"/>
  <c r="Z74" i="1"/>
  <c r="AI74" i="1" s="1"/>
  <c r="AV72" i="1"/>
  <c r="AS72" i="1" s="1"/>
  <c r="AV62" i="1"/>
  <c r="AS62" i="1" s="1"/>
  <c r="Z62" i="1"/>
  <c r="AI62" i="1" s="1"/>
  <c r="AV65" i="1"/>
  <c r="AS65" i="1" s="1"/>
  <c r="Z65" i="1"/>
  <c r="AI65" i="1" s="1"/>
  <c r="AV67" i="1"/>
  <c r="AS67" i="1" s="1"/>
  <c r="Z67" i="1"/>
  <c r="AI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45" i="1"/>
  <c r="AI45" i="1" s="1"/>
  <c r="Z50" i="1"/>
  <c r="AI50" i="1" s="1"/>
  <c r="Z54" i="1"/>
  <c r="AI54" i="1" s="1"/>
  <c r="Z58" i="1"/>
  <c r="AI58" i="1" s="1"/>
  <c r="Z66" i="1"/>
  <c r="AI66" i="1" s="1"/>
  <c r="Z43" i="1"/>
  <c r="AI43" i="1" s="1"/>
  <c r="Z48" i="1"/>
  <c r="AI48" i="1" s="1"/>
  <c r="Z52" i="1"/>
  <c r="AI52" i="1" s="1"/>
  <c r="Z56" i="1"/>
  <c r="AI56" i="1" s="1"/>
  <c r="Z60" i="1"/>
  <c r="AI60" i="1" s="1"/>
  <c r="Z64" i="1"/>
  <c r="AI64" i="1" s="1"/>
  <c r="Z39" i="1"/>
  <c r="AI39" i="1" s="1"/>
  <c r="Z37" i="1"/>
  <c r="AI37" i="1" s="1"/>
  <c r="Z41" i="1"/>
  <c r="AI41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T42" i="1"/>
  <c r="R42" i="1"/>
  <c r="AV46" i="1"/>
  <c r="AS46" i="1" s="1"/>
  <c r="R46" i="1"/>
  <c r="T46" i="1"/>
  <c r="T51" i="1"/>
  <c r="R51" i="1"/>
  <c r="R55" i="1"/>
  <c r="T55" i="1"/>
  <c r="R59" i="1"/>
  <c r="R63" i="1"/>
  <c r="T63" i="1"/>
  <c r="T67" i="1"/>
  <c r="R67" i="1"/>
  <c r="R76" i="1"/>
  <c r="T76" i="1"/>
  <c r="Z76" i="1"/>
  <c r="AI76" i="1" s="1"/>
  <c r="T83" i="1"/>
  <c r="R83" i="1"/>
  <c r="Z83" i="1"/>
  <c r="AI83" i="1" s="1"/>
  <c r="T91" i="1"/>
  <c r="R91" i="1"/>
  <c r="Z91" i="1"/>
  <c r="AI91" i="1" s="1"/>
  <c r="R99" i="1"/>
  <c r="T99" i="1"/>
  <c r="Z99" i="1"/>
  <c r="AI99" i="1" s="1"/>
  <c r="T108" i="1"/>
  <c r="R108" i="1"/>
  <c r="Z108" i="1"/>
  <c r="AI108" i="1" s="1"/>
  <c r="R116" i="1"/>
  <c r="T116" i="1"/>
  <c r="Z116" i="1"/>
  <c r="AI116" i="1" s="1"/>
  <c r="T124" i="1"/>
  <c r="R124" i="1"/>
  <c r="Z124" i="1"/>
  <c r="AI124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8" i="1"/>
  <c r="R47" i="1"/>
  <c r="T47" i="1"/>
  <c r="R77" i="1"/>
  <c r="T77" i="1"/>
  <c r="Z77" i="1"/>
  <c r="AI77" i="1" s="1"/>
  <c r="R84" i="1"/>
  <c r="T84" i="1"/>
  <c r="Z84" i="1"/>
  <c r="AI84" i="1" s="1"/>
  <c r="R92" i="1"/>
  <c r="T92" i="1"/>
  <c r="Z92" i="1"/>
  <c r="AI92" i="1" s="1"/>
  <c r="T100" i="1"/>
  <c r="R100" i="1"/>
  <c r="Z100" i="1"/>
  <c r="AI100" i="1" s="1"/>
  <c r="R109" i="1"/>
  <c r="T109" i="1"/>
  <c r="Z109" i="1"/>
  <c r="AI109" i="1" s="1"/>
  <c r="R117" i="1"/>
  <c r="T117" i="1"/>
  <c r="Z117" i="1"/>
  <c r="AI117" i="1" s="1"/>
  <c r="T125" i="1"/>
  <c r="R125" i="1"/>
  <c r="Z125" i="1"/>
  <c r="AI125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Z42" i="1"/>
  <c r="AI42" i="1" s="1"/>
  <c r="T43" i="1"/>
  <c r="R43" i="1"/>
  <c r="Z46" i="1"/>
  <c r="AI46" i="1" s="1"/>
  <c r="R48" i="1"/>
  <c r="Z51" i="1"/>
  <c r="AI51" i="1" s="1"/>
  <c r="R52" i="1"/>
  <c r="T52" i="1"/>
  <c r="Z55" i="1"/>
  <c r="AI55" i="1" s="1"/>
  <c r="R56" i="1"/>
  <c r="Z59" i="1"/>
  <c r="AI59" i="1" s="1"/>
  <c r="R60" i="1"/>
  <c r="Z63" i="1"/>
  <c r="AI63" i="1" s="1"/>
  <c r="T64" i="1"/>
  <c r="R64" i="1"/>
  <c r="T78" i="1"/>
  <c r="R78" i="1"/>
  <c r="Z78" i="1"/>
  <c r="AI78" i="1" s="1"/>
  <c r="R85" i="1"/>
  <c r="T85" i="1"/>
  <c r="Z85" i="1"/>
  <c r="AI85" i="1" s="1"/>
  <c r="T93" i="1"/>
  <c r="R93" i="1"/>
  <c r="Z93" i="1"/>
  <c r="AI93" i="1" s="1"/>
  <c r="R101" i="1"/>
  <c r="T101" i="1"/>
  <c r="Z101" i="1"/>
  <c r="AI101" i="1" s="1"/>
  <c r="R110" i="1"/>
  <c r="T110" i="1"/>
  <c r="Z110" i="1"/>
  <c r="AI110" i="1" s="1"/>
  <c r="R118" i="1"/>
  <c r="T118" i="1"/>
  <c r="Z118" i="1"/>
  <c r="AI118" i="1" s="1"/>
  <c r="R126" i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Z38" i="1"/>
  <c r="AI38" i="1" s="1"/>
  <c r="R39" i="1"/>
  <c r="Z47" i="1"/>
  <c r="AI47" i="1" s="1"/>
  <c r="R71" i="1"/>
  <c r="Z71" i="1"/>
  <c r="AI71" i="1" s="1"/>
  <c r="R79" i="1"/>
  <c r="T79" i="1"/>
  <c r="Z79" i="1"/>
  <c r="AI79" i="1" s="1"/>
  <c r="T86" i="1"/>
  <c r="R86" i="1"/>
  <c r="Z86" i="1"/>
  <c r="AI86" i="1" s="1"/>
  <c r="Z94" i="1"/>
  <c r="AI94" i="1" s="1"/>
  <c r="R102" i="1"/>
  <c r="T102" i="1"/>
  <c r="Z102" i="1"/>
  <c r="AI102" i="1" s="1"/>
  <c r="R111" i="1"/>
  <c r="T111" i="1"/>
  <c r="Z111" i="1"/>
  <c r="AI111" i="1" s="1"/>
  <c r="R119" i="1"/>
  <c r="T119" i="1"/>
  <c r="Z119" i="1"/>
  <c r="AI119" i="1" s="1"/>
  <c r="R127" i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44" i="1"/>
  <c r="T44" i="1"/>
  <c r="T49" i="1"/>
  <c r="R49" i="1"/>
  <c r="R53" i="1"/>
  <c r="T53" i="1"/>
  <c r="R57" i="1"/>
  <c r="T57" i="1"/>
  <c r="R61" i="1"/>
  <c r="R65" i="1"/>
  <c r="T65" i="1"/>
  <c r="T72" i="1"/>
  <c r="R72" i="1"/>
  <c r="Z72" i="1"/>
  <c r="AI72" i="1" s="1"/>
  <c r="R87" i="1"/>
  <c r="T87" i="1"/>
  <c r="Z87" i="1"/>
  <c r="AI87" i="1" s="1"/>
  <c r="R95" i="1"/>
  <c r="T95" i="1"/>
  <c r="Z95" i="1"/>
  <c r="AI95" i="1" s="1"/>
  <c r="R103" i="1"/>
  <c r="T103" i="1"/>
  <c r="Z103" i="1"/>
  <c r="AI103" i="1" s="1"/>
  <c r="R104" i="1"/>
  <c r="T104" i="1"/>
  <c r="Z104" i="1"/>
  <c r="AI104" i="1" s="1"/>
  <c r="R112" i="1"/>
  <c r="Z112" i="1"/>
  <c r="AI112" i="1" s="1"/>
  <c r="R120" i="1"/>
  <c r="T120" i="1"/>
  <c r="Z120" i="1"/>
  <c r="AI120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T40" i="1"/>
  <c r="R40" i="1"/>
  <c r="R73" i="1"/>
  <c r="T73" i="1"/>
  <c r="T80" i="1"/>
  <c r="R80" i="1"/>
  <c r="Z80" i="1"/>
  <c r="AI80" i="1" s="1"/>
  <c r="R88" i="1"/>
  <c r="T88" i="1"/>
  <c r="Z88" i="1"/>
  <c r="AI88" i="1" s="1"/>
  <c r="R96" i="1"/>
  <c r="T96" i="1"/>
  <c r="Z96" i="1"/>
  <c r="AI96" i="1" s="1"/>
  <c r="T105" i="1"/>
  <c r="R105" i="1"/>
  <c r="Z105" i="1"/>
  <c r="AI105" i="1" s="1"/>
  <c r="R113" i="1"/>
  <c r="T113" i="1"/>
  <c r="Z113" i="1"/>
  <c r="AI113" i="1" s="1"/>
  <c r="R121" i="1"/>
  <c r="T121" i="1"/>
  <c r="Z121" i="1"/>
  <c r="AI121" i="1" s="1"/>
  <c r="R70" i="1"/>
  <c r="T70" i="1"/>
  <c r="Z70" i="1"/>
  <c r="AI7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Z44" i="1"/>
  <c r="AI44" i="1" s="1"/>
  <c r="T45" i="1"/>
  <c r="R45" i="1"/>
  <c r="Z49" i="1"/>
  <c r="AI49" i="1" s="1"/>
  <c r="R50" i="1"/>
  <c r="T50" i="1"/>
  <c r="Z53" i="1"/>
  <c r="AI53" i="1" s="1"/>
  <c r="R54" i="1"/>
  <c r="T54" i="1"/>
  <c r="Z57" i="1"/>
  <c r="AI57" i="1" s="1"/>
  <c r="R58" i="1"/>
  <c r="T58" i="1"/>
  <c r="Z61" i="1"/>
  <c r="AI61" i="1" s="1"/>
  <c r="R62" i="1"/>
  <c r="T62" i="1"/>
  <c r="R66" i="1"/>
  <c r="T66" i="1"/>
  <c r="R74" i="1"/>
  <c r="T74" i="1"/>
  <c r="R81" i="1"/>
  <c r="T81" i="1"/>
  <c r="Z81" i="1"/>
  <c r="AI81" i="1" s="1"/>
  <c r="T89" i="1"/>
  <c r="R89" i="1"/>
  <c r="Z89" i="1"/>
  <c r="AI89" i="1" s="1"/>
  <c r="R97" i="1"/>
  <c r="T97" i="1"/>
  <c r="Z97" i="1"/>
  <c r="AI97" i="1" s="1"/>
  <c r="Z106" i="1"/>
  <c r="AI106" i="1" s="1"/>
  <c r="T106" i="1"/>
  <c r="R106" i="1"/>
  <c r="Z114" i="1"/>
  <c r="AI114" i="1" s="1"/>
  <c r="R114" i="1"/>
  <c r="R122" i="1"/>
  <c r="Z122" i="1"/>
  <c r="AI122" i="1" s="1"/>
  <c r="T122" i="1"/>
  <c r="T69" i="1"/>
  <c r="R69" i="1"/>
  <c r="Z69" i="1"/>
  <c r="AI69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T35" i="1"/>
  <c r="Z35" i="1"/>
  <c r="AI35" i="1" s="1"/>
  <c r="Z36" i="1"/>
  <c r="AI36" i="1" s="1"/>
  <c r="R37" i="1"/>
  <c r="T37" i="1"/>
  <c r="Z40" i="1"/>
  <c r="AI40" i="1" s="1"/>
  <c r="R41" i="1"/>
  <c r="T41" i="1"/>
  <c r="Z75" i="1"/>
  <c r="AI75" i="1" s="1"/>
  <c r="R75" i="1"/>
  <c r="T75" i="1"/>
  <c r="Z82" i="1"/>
  <c r="AI82" i="1" s="1"/>
  <c r="T82" i="1"/>
  <c r="R82" i="1"/>
  <c r="Z90" i="1"/>
  <c r="AI90" i="1" s="1"/>
  <c r="T90" i="1"/>
  <c r="R90" i="1"/>
  <c r="R98" i="1"/>
  <c r="T98" i="1"/>
  <c r="Z98" i="1"/>
  <c r="AI98" i="1" s="1"/>
  <c r="R107" i="1"/>
  <c r="T107" i="1"/>
  <c r="Z107" i="1"/>
  <c r="AI107" i="1" s="1"/>
  <c r="R115" i="1"/>
  <c r="T115" i="1"/>
  <c r="Z115" i="1"/>
  <c r="AI115" i="1" s="1"/>
  <c r="R123" i="1"/>
  <c r="T123" i="1"/>
  <c r="Z123" i="1"/>
  <c r="AI123" i="1" s="1"/>
  <c r="R68" i="1"/>
  <c r="Z68" i="1"/>
  <c r="AI68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<sst xmlns="http://schemas.openxmlformats.org/spreadsheetml/2006/main" count="26145" uniqueCount="4521">
  <si>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</si>
  <si>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</si>
  <si>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</si>
  <si>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</si>
  <si>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</si>
  <si>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</si>
  <si>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</si>
  <si>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</si>
  <si>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</si>
  <si>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</si>
  <si>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</si>
  <si>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</si>
  <si>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</si>
  <si>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</si>
  <si>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</si>
  <si>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</si>
  <si>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</si>
  <si>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</si>
  <si>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</si>
  <si>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</si>
  <si>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</si>
  <si>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</si>
  <si>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</si>
  <si>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</si>
  <si>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</si>
  <si>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</si>
  <si>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</si>
  <si>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</si>
  <si>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</si>
  <si>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</si>
  <si>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</si>
  <si>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</si>
  <si>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</si>
  <si>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</si>
  <si>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</si>
  <si>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DESENHO
MDE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</si>
  <si>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</si>
  <si>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</si>
  <si>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</si>
  <si>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</si>
  <si>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</si>
  <si>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</si>
  <si>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</si>
  <si>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</si>
  <si>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</si>
  <si>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</si>
  <si>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</si>
  <si>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</si>
  <si>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</si>
  <si>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</si>
  <si>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</si>
  <si>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</si>
  <si>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</si>
  <si>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</si>
  <si>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</si>
  <si>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</si>
  <si>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</si>
  <si>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</si>
  <si>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</si>
  <si>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</si>
  <si>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</si>
  <si>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</si>
  <si>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</si>
  <si>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</si>
  <si>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</si>
  <si>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</si>
  <si>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</si>
  <si>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</si>
  <si>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</si>
  <si>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</si>
  <si>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</si>
  <si>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</si>
  <si>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</si>
  <si>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</si>
  <si>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</si>
  <si>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</si>
  <si>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</si>
  <si>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</si>
  <si>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</si>
  <si>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</si>
  <si>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</si>
  <si>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</si>
  <si>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</si>
  <si>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</si>
  <si>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</si>
  <si>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</si>
  <si>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</si>
  <si>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</si>
  <si>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</si>
  <si>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</si>
  <si>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</si>
  <si>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</si>
  <si>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</si>
  <si>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</si>
  <si>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</si>
  <si>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</si>
  <si>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</si>
  <si>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</si>
  <si>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</si>
  <si>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</si>
  <si>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</si>
  <si>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</si>
  <si>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</si>
  <si>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</si>
  <si>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</si>
  <si>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</si>
  <si>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</si>
  <si>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</si>
  <si>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</si>
  <si>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</si>
  <si>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</si>
  <si>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</si>
  <si>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</si>
  <si>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</si>
  <si>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</si>
  <si>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</si>
  <si>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</si>
  <si>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</si>
  <si>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</si>
  <si>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</si>
  <si>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</si>
  <si>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</si>
  <si>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</si>
  <si>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</si>
  <si>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</si>
  <si>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</si>
  <si>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</si>
  <si>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</si>
  <si>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</si>
  <si>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</si>
  <si>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</si>
  <si>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</si>
  <si>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</si>
  <si>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</si>
  <si>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</si>
  <si>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</si>
  <si>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</si>
  <si>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</si>
  <si>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</si>
  <si>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</si>
  <si>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</si>
  <si>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</si>
  <si>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</si>
  <si>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</si>
  <si>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</si>
  <si>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</si>
  <si>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</si>
  <si>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</si>
  <si>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</si>
  <si>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</si>
  <si>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</si>
  <si>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</si>
  <si>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</si>
  <si>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</si>
  <si>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</si>
  <si>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</si>
  <si>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</si>
  <si>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</si>
  <si>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</si>
  <si>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</si>
  <si>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</si>
  <si>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</si>
  <si>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</si>
  <si>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</si>
  <si>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</si>
  <si>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</si>
  <si>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</si>
  <si>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</si>
  <si>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</si>
  <si>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</si>
  <si>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</si>
  <si>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</si>
  <si>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</si>
  <si>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</si>
  <si>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</si>
  <si>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</si>
  <si>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</si>
  <si>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</si>
  <si>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</si>
  <si>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</si>
  <si>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</si>
  <si>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</si>
  <si>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</si>
  <si>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</si>
  <si>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</si>
  <si>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</si>
  <si>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</si>
  <si>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</si>
  <si>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</si>
  <si>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</si>
  <si>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</si>
  <si>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</si>
  <si>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</si>
  <si>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</si>
  <si>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</si>
  <si>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</si>
  <si>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</si>
  <si>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</si>
  <si>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</si>
  <si>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</si>
  <si>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</si>
  <si>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</si>
  <si>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</si>
  <si>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</si>
  <si>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</si>
  <si>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</si>
  <si>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</si>
  <si>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</si>
  <si>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</si>
  <si>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</si>
  <si>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</si>
  <si>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</si>
  <si>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</si>
  <si>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</si>
  <si>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</si>
  <si>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</si>
  <si>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</si>
  <si>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</si>
  <si>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</si>
  <si>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</si>
  <si>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</si>
  <si>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</si>
  <si>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</si>
  <si>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</si>
  <si>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</si>
  <si>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</si>
  <si>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</si>
  <si>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</si>
  <si>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</si>
  <si>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</si>
  <si>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</si>
  <si>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</si>
  <si>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</si>
  <si>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</si>
  <si>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</si>
  <si>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</si>
  <si>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</si>
  <si>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</si>
  <si>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</si>
  <si>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</si>
  <si>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</si>
  <si>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</si>
  <si>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</si>
  <si>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</si>
  <si>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</si>
  <si>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</si>
  <si>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</si>
  <si>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</si>
  <si>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</si>
  <si>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</si>
  <si>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</si>
  <si>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</si>
  <si>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</si>
  <si>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</si>
  <si>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</si>
  <si>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</si>
  <si>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</si>
  <si>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</si>
  <si>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</si>
  <si>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</si>
  <si>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</si>
  <si>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</si>
  <si>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</si>
  <si>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</si>
  <si>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</si>
  <si>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</si>
  <si>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</si>
  <si>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</si>
  <si>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</si>
  <si>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</si>
  <si>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</si>
  <si>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</si>
  <si>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</si>
  <si>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</si>
  <si>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</si>
  <si>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</si>
  <si>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</si>
  <si>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</si>
  <si>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</si>
  <si>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</si>
  <si>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</si>
  <si>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</si>
  <si>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</si>
  <si>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</si>
  <si>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</si>
  <si>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</si>
  <si>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</si>
  <si>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</si>
  <si>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</si>
  <si>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</si>
  <si>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</si>
  <si>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</si>
  <si>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</si>
  <si>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</si>
  <si>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</si>
  <si>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</si>
  <si>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</si>
  <si>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</si>
  <si>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</si>
  <si>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</si>
  <si>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</si>
  <si>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</si>
  <si>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</si>
  <si>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</si>
  <si>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</si>
  <si>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</si>
  <si>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</si>
  <si>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</si>
  <si>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</si>
  <si>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</si>
  <si>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</si>
  <si>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</si>
  <si>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</si>
  <si>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</si>
  <si>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</si>
  <si>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</si>
  <si>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</si>
  <si>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</si>
  <si>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</si>
  <si>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</si>
  <si>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</si>
  <si>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</si>
  <si>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</si>
  <si>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</si>
  <si>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</si>
  <si>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</si>
  <si>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</si>
  <si>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</si>
  <si>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</si>
  <si>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</si>
  <si>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</si>
  <si>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</si>
  <si>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</si>
  <si>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</si>
  <si>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</si>
  <si>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</si>
  <si>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</si>
  <si>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</si>
  <si>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</si>
  <si>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</si>
  <si>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</si>
  <si>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</si>
  <si>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</si>
  <si>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</si>
  <si>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</si>
  <si>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</si>
  <si>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</si>
  <si>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</si>
  <si>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</si>
  <si>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</si>
  <si>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</si>
  <si>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</si>
  <si>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</si>
  <si>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</si>
  <si>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</si>
  <si>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</si>
  <si>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</si>
  <si>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</si>
  <si>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</si>
  <si>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</si>
  <si>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</si>
  <si>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</si>
  <si>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</si>
  <si>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</si>
  <si>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</si>
  <si>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</si>
  <si>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</si>
  <si>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</si>
  <si>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</si>
  <si>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</si>
  <si>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</si>
  <si>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</si>
  <si>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</si>
  <si>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</si>
  <si>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</si>
  <si>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</si>
  <si>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</si>
  <si>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</si>
  <si>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</si>
  <si>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</si>
  <si>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</si>
  <si>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</si>
  <si>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</si>
  <si>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</si>
  <si>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</si>
  <si>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</si>
  <si>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</si>
  <si>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</si>
  <si>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</si>
  <si>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</si>
  <si>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</si>
  <si>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</si>
  <si>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</si>
  <si>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</si>
  <si>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</si>
  <si>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</si>
  <si>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</si>
  <si>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</si>
  <si>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</si>
  <si>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</si>
  <si>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</si>
  <si>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</si>
  <si>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</si>
  <si>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</si>
  <si>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</si>
  <si>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</si>
  <si>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</si>
  <si>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</si>
  <si>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</si>
  <si>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</si>
  <si>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</si>
  <si>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</si>
  <si>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</si>
  <si>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</si>
  <si>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</si>
  <si>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</si>
  <si>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</si>
  <si>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</si>
  <si>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</si>
  <si>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</si>
  <si>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</si>
  <si>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</si>
  <si>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</si>
  <si>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</si>
  <si>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</si>
  <si>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</si>
  <si>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</si>
  <si>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</si>
  <si>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</si>
  <si>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</si>
  <si>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</si>
  <si>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</si>
  <si>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</si>
  <si>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</si>
  <si>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</si>
  <si>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</si>
  <si>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</si>
  <si>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</si>
  <si>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</si>
  <si>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</si>
  <si>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</si>
  <si>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</si>
  <si>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</si>
  <si>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</si>
  <si>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</si>
  <si>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</si>
  <si>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</si>
  <si>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</si>
  <si>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</si>
  <si>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</si>
  <si>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</si>
  <si>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</si>
  <si>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</si>
  <si>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</si>
  <si>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</si>
  <si>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</si>
  <si>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</si>
  <si>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</si>
  <si>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</si>
  <si>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</si>
  <si>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</si>
  <si>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</si>
  <si>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</si>
  <si>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</si>
  <si>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</si>
  <si>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</si>
  <si>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</si>
  <si>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</si>
  <si>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</si>
  <si>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</si>
  <si>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</si>
  <si>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</si>
  <si>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</si>
  <si>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</si>
  <si>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</si>
  <si>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</si>
  <si>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</si>
  <si>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</si>
  <si>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</si>
  <si>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</si>
  <si>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</si>
  <si>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</si>
  <si>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</si>
  <si>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</si>
  <si>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</si>
  <si>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</si>
  <si>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</si>
  <si>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</si>
  <si>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</si>
  <si>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</si>
  <si>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</si>
  <si>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</si>
  <si>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</si>
  <si>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</si>
  <si>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</si>
  <si>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</si>
  <si>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</si>
  <si>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</si>
  <si>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</si>
  <si>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</si>
  <si>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</si>
  <si>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</si>
  <si>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</si>
  <si>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</si>
  <si>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</si>
  <si>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</si>
  <si>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</si>
  <si>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</si>
  <si>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</si>
  <si>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</si>
  <si>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</si>
  <si>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</si>
  <si>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</si>
  <si>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</si>
  <si>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</si>
  <si>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</si>
  <si>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</si>
  <si>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</si>
  <si>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</si>
  <si>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</si>
  <si>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</si>
  <si>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</si>
  <si>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</si>
  <si>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</si>
  <si>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</si>
  <si>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</si>
  <si>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</si>
  <si>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</si>
  <si>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</si>
  <si>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</si>
  <si>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</si>
  <si>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</si>
  <si>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</si>
  <si>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</si>
  <si>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</si>
  <si>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</si>
  <si>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</si>
  <si>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</si>
  <si>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</si>
  <si>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</si>
  <si>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</si>
  <si>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</si>
  <si>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</si>
  <si>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</si>
  <si>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</si>
  <si>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</si>
  <si>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</si>
  <si>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</si>
  <si>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</si>
  <si>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</si>
  <si>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</si>
  <si>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</si>
  <si>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</si>
  <si>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</si>
  <si>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</si>
  <si>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</si>
  <si>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</si>
  <si>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</si>
  <si>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</si>
  <si>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</si>
  <si>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</si>
  <si>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</si>
  <si>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</si>
  <si>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</si>
  <si>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</si>
  <si>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</si>
  <si>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</si>
  <si>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</si>
  <si>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</si>
  <si>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</si>
  <si>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</si>
  <si>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</si>
  <si>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</si>
  <si>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</si>
  <si>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</si>
  <si>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</si>
  <si>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</si>
  <si>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</si>
  <si>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</si>
  <si>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</si>
  <si>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</si>
  <si>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</si>
  <si>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</si>
  <si>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</si>
  <si>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</si>
  <si>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</si>
  <si>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</si>
  <si>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</si>
  <si>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</si>
  <si>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</si>
  <si>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</si>
  <si>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</si>
  <si>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</si>
  <si>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</si>
  <si>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</si>
  <si>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</si>
  <si>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</si>
  <si>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</si>
  <si>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</si>
  <si>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</si>
  <si>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</si>
  <si>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</si>
  <si>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</si>
  <si>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</si>
  <si>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</si>
  <si>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</si>
  <si>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</si>
  <si>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</si>
  <si>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</si>
  <si>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</si>
  <si>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</si>
  <si>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</si>
  <si>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</si>
  <si>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</si>
  <si>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</si>
  <si>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</si>
  <si>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</si>
  <si>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</si>
  <si>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</si>
  <si>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</si>
  <si>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</si>
  <si>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</si>
  <si>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</si>
  <si>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</si>
  <si>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</si>
  <si>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</si>
  <si>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</si>
  <si>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</si>
  <si>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</si>
  <si>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</si>
  <si>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</si>
  <si>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</si>
  <si>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</si>
  <si>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</si>
  <si>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</si>
  <si>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</si>
  <si>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</si>
  <si>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</si>
  <si>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</si>
  <si>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</si>
  <si>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</si>
  <si>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</si>
  <si>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</si>
  <si>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</si>
  <si>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</si>
  <si>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</si>
  <si>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</si>
  <si>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</si>
  <si>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</si>
  <si>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</si>
  <si>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</si>
  <si>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</si>
  <si>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</si>
  <si>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</si>
  <si>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</si>
  <si>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</si>
  <si>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</si>
  <si>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</si>
  <si>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</si>
  <si>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</si>
  <si>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</si>
  <si>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</si>
  <si>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</si>
  <si>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</si>
  <si>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</si>
  <si>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</si>
  <si>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</si>
  <si>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</si>
  <si>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</si>
  <si>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</si>
  <si>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</si>
  <si>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</si>
  <si>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</si>
  <si>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</si>
  <si>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</si>
  <si>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</si>
  <si>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</si>
  <si>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</si>
  <si>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</si>
  <si>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</si>
  <si>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</si>
  <si>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</si>
  <si>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</si>
  <si>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</si>
  <si>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</si>
  <si>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</si>
  <si>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</si>
  <si>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</si>
  <si>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</si>
  <si>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</si>
  <si>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</si>
  <si>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</si>
  <si>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</si>
  <si>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</si>
  <si>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</si>
  <si>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</si>
  <si>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</si>
  <si>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</si>
  <si>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</si>
  <si>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</si>
  <si>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</si>
  <si>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</si>
  <si>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</si>
  <si>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</si>
  <si>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</si>
  <si>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</si>
  <si>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</si>
  <si>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</si>
  <si>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</si>
  <si>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</si>
  <si>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</si>
  <si>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</si>
  <si>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</si>
  <si>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</si>
  <si>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</si>
  <si>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</si>
  <si>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</si>
  <si>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</si>
  <si>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</si>
  <si>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</si>
  <si>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</si>
  <si>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</si>
  <si>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</si>
  <si>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</si>
  <si>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</si>
  <si>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</si>
  <si>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</si>
  <si>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</si>
  <si>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</si>
  <si>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</si>
  <si>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</si>
  <si>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</si>
  <si>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</si>
  <si>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</si>
  <si>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</si>
  <si>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</si>
  <si>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</si>
  <si>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</si>
  <si>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</si>
  <si>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</si>
  <si>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</si>
  <si>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</si>
  <si>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</si>
  <si>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</si>
  <si>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</si>
  <si>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</si>
  <si>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</si>
  <si>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</si>
  <si>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</si>
  <si>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</si>
  <si>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</si>
  <si>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</si>
  <si>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</si>
  <si>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</si>
  <si>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</si>
  <si>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</si>
  <si>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</si>
  <si>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</si>
  <si>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</si>
  <si>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</si>
  <si>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</si>
  <si>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</si>
  <si>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</si>
  <si>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</si>
  <si>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</si>
  <si>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</si>
  <si>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</si>
  <si>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</si>
  <si>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</si>
  <si>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</si>
  <si>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</si>
  <si>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</si>
  <si>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</si>
  <si>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</si>
  <si>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</si>
  <si>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</si>
  <si>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</si>
  <si>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</si>
  <si>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</si>
  <si>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</si>
  <si>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</si>
  <si>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</si>
  <si>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</si>
  <si>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</si>
  <si>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</si>
  <si>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</si>
  <si>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</si>
  <si>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</si>
  <si>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</si>
  <si>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</si>
  <si>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</si>
  <si>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</si>
  <si>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</si>
  <si>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</si>
  <si>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</si>
  <si>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</si>
  <si>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</si>
  <si>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</si>
  <si>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</si>
  <si>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</si>
  <si>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</si>
  <si>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</si>
  <si>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</si>
  <si>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</si>
  <si>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</si>
  <si>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</si>
  <si>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</si>
  <si>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</si>
  <si>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</si>
  <si>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</si>
  <si>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</si>
  <si>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</si>
  <si>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</si>
  <si>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</si>
  <si>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</si>
  <si>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</si>
  <si>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</si>
  <si>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</si>
  <si>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</si>
  <si>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</si>
  <si>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</si>
  <si>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</si>
  <si>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</si>
  <si>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</si>
  <si>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</si>
  <si>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</si>
  <si>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</si>
  <si>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</si>
  <si>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</si>
  <si>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</si>
  <si>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</si>
  <si>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</si>
  <si>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</si>
  <si>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</si>
  <si>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</si>
  <si>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</si>
  <si>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</si>
  <si>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</si>
  <si>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</si>
  <si>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</si>
  <si>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</si>
  <si>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</si>
  <si>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</si>
  <si>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</si>
  <si>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</si>
  <si>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</si>
  <si>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</si>
  <si>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</si>
  <si>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</si>
  <si>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</si>
  <si>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</si>
  <si>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</si>
  <si>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</si>
  <si>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</si>
  <si>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</si>
  <si>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</si>
  <si>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</si>
  <si>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</si>
  <si>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</si>
  <si>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</si>
  <si>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</si>
  <si>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</si>
  <si>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</si>
  <si>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</si>
  <si>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</si>
  <si>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</si>
  <si>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</si>
  <si>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</si>
  <si>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</si>
  <si>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</si>
  <si>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</si>
  <si>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</si>
  <si>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</si>
  <si>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</si>
  <si>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</si>
  <si>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</si>
  <si>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</si>
  <si>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</si>
  <si>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</si>
  <si>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</si>
  <si>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</si>
  <si>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</si>
  <si>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</si>
  <si>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</si>
  <si>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</si>
  <si>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</si>
  <si>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</si>
  <si>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</si>
  <si>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</si>
  <si>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</si>
  <si>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</si>
  <si>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</si>
  <si>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</si>
  <si>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</si>
  <si>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</si>
  <si>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</si>
  <si>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</si>
  <si>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</si>
  <si>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</si>
  <si>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</si>
  <si>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</si>
  <si>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</si>
  <si>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</si>
  <si>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</si>
  <si>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</si>
  <si>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</si>
  <si>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</si>
  <si>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</si>
  <si>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</si>
  <si>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</si>
  <si>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</si>
  <si>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</si>
  <si>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</si>
  <si>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</si>
  <si>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</si>
  <si>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</si>
  <si>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</si>
  <si>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</si>
  <si>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</si>
  <si>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</si>
  <si>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</si>
  <si>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</si>
  <si>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</si>
  <si>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</si>
  <si>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</si>
  <si>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</si>
  <si>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</si>
  <si>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</si>
  <si>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</si>
  <si>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</si>
  <si>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</si>
  <si>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</si>
  <si>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</si>
  <si>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</si>
  <si>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</si>
  <si>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</si>
  <si>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</si>
  <si>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</si>
  <si>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</si>
  <si>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</si>
  <si>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</si>
  <si>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</si>
  <si>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</si>
  <si>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</si>
  <si>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</si>
  <si>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</si>
  <si>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</si>
  <si>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</si>
  <si>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</si>
  <si>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</si>
  <si>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</si>
  <si>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</si>
  <si>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</si>
  <si>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</si>
  <si>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</si>
  <si>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</si>
  <si>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</si>
  <si>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</si>
  <si>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</si>
  <si>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</si>
  <si>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</si>
  <si>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</si>
  <si>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</si>
  <si>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</si>
  <si>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</si>
  <si>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</si>
  <si>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</si>
  <si>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</si>
  <si>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</si>
  <si>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</si>
  <si>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</si>
  <si>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</si>
  <si>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</si>
  <si>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</si>
  <si>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</si>
  <si>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</si>
  <si>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</si>
  <si>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</si>
  <si>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</si>
  <si>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</si>
  <si>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</si>
  <si>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</si>
  <si>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</si>
  <si>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</si>
  <si>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</si>
  <si>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</si>
  <si>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</si>
  <si>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</si>
  <si>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</si>
  <si>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</si>
  <si>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</si>
  <si>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</si>
  <si>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</si>
  <si>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</si>
  <si>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</si>
  <si>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</si>
  <si>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</si>
  <si>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</si>
  <si>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</si>
  <si>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</si>
  <si>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</si>
  <si>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</si>
  <si>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</si>
  <si>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</si>
  <si>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</si>
  <si>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</si>
  <si>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</si>
  <si>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</si>
  <si>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</si>
  <si>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</si>
  <si>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</si>
  <si>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</si>
  <si>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</si>
  <si>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</si>
  <si>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</si>
  <si>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</si>
  <si>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</si>
  <si>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</si>
  <si>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</si>
  <si>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</si>
  <si>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</si>
  <si>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</si>
  <si>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</si>
  <si>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</si>
  <si>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</si>
  <si>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</si>
  <si>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</si>
  <si>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</si>
  <si>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</si>
  <si>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</si>
  <si>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</si>
  <si>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</si>
  <si>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</si>
  <si>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</si>
  <si>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</si>
  <si>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</si>
  <si>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</si>
  <si>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</si>
  <si>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</si>
  <si>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</si>
  <si>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</si>
  <si>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</si>
  <si>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</si>
  <si>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</si>
  <si>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</si>
  <si>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</si>
  <si>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</si>
  <si>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</si>
  <si>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</si>
  <si>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</si>
  <si>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</si>
  <si>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</si>
  <si>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</si>
  <si>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</si>
  <si>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</si>
  <si>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</si>
  <si>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</si>
  <si>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</si>
  <si>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</si>
  <si>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</si>
  <si>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</si>
  <si>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</si>
  <si>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</si>
  <si>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</si>
  <si>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</si>
  <si>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</si>
  <si>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</si>
  <si>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</si>
  <si>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</si>
  <si>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</si>
  <si>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</si>
  <si>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</si>
  <si>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</si>
  <si>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</si>
  <si>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</si>
  <si>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</si>
  <si>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</si>
  <si>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</si>
  <si>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</si>
  <si>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</si>
  <si>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</si>
  <si>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</si>
  <si>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</si>
  <si>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</si>
  <si>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</si>
  <si>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</si>
  <si>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</si>
  <si>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</si>
  <si>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</si>
  <si>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</si>
  <si>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</si>
  <si>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</si>
  <si>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</si>
  <si>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</si>
  <si>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</si>
  <si>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</si>
  <si>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</si>
  <si>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</si>
  <si>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</si>
  <si>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</si>
  <si>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</si>
  <si>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</si>
  <si>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</si>
  <si>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</si>
  <si>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</si>
  <si>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</si>
  <si>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</si>
  <si>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</si>
  <si>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</si>
  <si>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</si>
  <si>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</si>
  <si>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</si>
  <si>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</si>
  <si>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</si>
  <si>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</si>
  <si>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</si>
  <si>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</si>
  <si>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</si>
  <si>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</si>
  <si>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</si>
  <si>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</si>
  <si>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</si>
  <si>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</si>
  <si>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</si>
  <si>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</si>
  <si>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</si>
  <si>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</si>
  <si>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</si>
  <si>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</si>
  <si>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</si>
  <si>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</si>
  <si>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</si>
  <si>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</si>
  <si>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</si>
  <si>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</si>
  <si>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</si>
  <si>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</si>
  <si>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</si>
  <si>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</si>
  <si>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</si>
  <si>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</si>
  <si>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</si>
  <si>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</si>
  <si>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</si>
  <si>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</si>
  <si>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</si>
  <si>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</si>
  <si>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</si>
  <si>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</si>
  <si>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</si>
  <si>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</si>
  <si>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</si>
  <si>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</si>
  <si>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</si>
  <si>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</si>
  <si>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</si>
  <si>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</si>
  <si>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</si>
  <si>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</si>
  <si>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</si>
  <si>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</si>
  <si>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</si>
  <si>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</si>
  <si>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</si>
  <si>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</si>
  <si>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</si>
  <si>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</si>
  <si>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</si>
  <si>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</si>
  <si>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</si>
  <si>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</si>
  <si>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</si>
  <si>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</si>
  <si>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</si>
  <si>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</si>
  <si>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</si>
  <si>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</si>
  <si>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</si>
  <si>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</si>
  <si>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</si>
  <si>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</si>
  <si>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</si>
  <si>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</si>
  <si>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</si>
  <si>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</si>
  <si>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</si>
  <si>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</si>
  <si>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</si>
  <si>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</si>
  <si>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</si>
  <si>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</si>
  <si>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</si>
  <si>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</si>
  <si>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</si>
  <si>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</si>
  <si>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</si>
  <si>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</si>
  <si>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</si>
  <si>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</si>
  <si>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</si>
  <si>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</si>
  <si>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</si>
  <si>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</si>
  <si>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</si>
  <si>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</si>
  <si>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</si>
  <si>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</si>
  <si>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</si>
  <si>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</si>
  <si>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</si>
  <si>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</si>
  <si>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</si>
  <si>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</si>
  <si>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</si>
  <si>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</si>
  <si>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</si>
  <si>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</si>
  <si>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</si>
  <si>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</si>
  <si>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</si>
  <si>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</si>
  <si>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</si>
  <si>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</si>
  <si>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</si>
  <si>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</si>
  <si>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</si>
  <si>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</si>
  <si>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</si>
  <si>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</si>
  <si>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</si>
  <si>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</si>
  <si>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</si>
  <si>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</si>
  <si>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</si>
  <si>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</si>
  <si>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</si>
  <si>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</si>
  <si>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</si>
  <si>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</si>
  <si>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</si>
  <si>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</si>
  <si>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</si>
  <si>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</si>
  <si>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</si>
  <si>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</si>
  <si>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</si>
  <si>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</si>
  <si>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</si>
  <si>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</si>
  <si>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</si>
  <si>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</si>
  <si>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</si>
  <si>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</si>
  <si>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</si>
  <si>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</si>
  <si>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</si>
  <si>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</si>
  <si>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</si>
  <si>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</si>
  <si>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</si>
  <si>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</si>
  <si>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</si>
  <si>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</si>
  <si>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</si>
  <si>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</si>
  <si>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</si>
  <si>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</si>
  <si>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</si>
  <si>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</si>
  <si>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</si>
  <si>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</si>
  <si>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</si>
  <si>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</si>
  <si>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</si>
  <si>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</si>
  <si>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</si>
  <si>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</si>
  <si>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</si>
  <si>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</si>
  <si>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</si>
  <si>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</si>
  <si>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</si>
  <si>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</si>
  <si>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</si>
  <si>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</si>
  <si>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</si>
  <si>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</si>
  <si>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</si>
  <si>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</si>
  <si>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</si>
  <si>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</si>
  <si>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</si>
  <si>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</si>
  <si>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</si>
  <si>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</si>
  <si>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</si>
  <si>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</si>
  <si>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</si>
  <si>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</si>
  <si>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</si>
  <si>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</si>
  <si>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</si>
  <si>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</si>
  <si>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</si>
  <si>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</si>
  <si>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</si>
  <si>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</si>
  <si>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</si>
  <si>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</si>
  <si>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</si>
  <si>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</si>
  <si>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</si>
  <si>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</si>
  <si>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</si>
  <si>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</si>
  <si>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</si>
  <si>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</si>
  <si>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</si>
  <si>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</si>
  <si>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</si>
  <si>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</si>
  <si>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</si>
  <si>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</si>
  <si>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</si>
  <si>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</si>
  <si>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</si>
  <si>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</si>
  <si>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</si>
  <si>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</si>
  <si>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</si>
  <si>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</si>
  <si>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</si>
  <si>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</si>
  <si>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</si>
  <si>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</si>
  <si>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</si>
  <si>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</si>
  <si>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</si>
  <si>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</si>
  <si>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</si>
  <si>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</si>
  <si>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</si>
  <si>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</si>
  <si>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</si>
  <si>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</si>
  <si>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</si>
  <si>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</si>
  <si>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</si>
  <si>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</si>
  <si>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</si>
  <si>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</si>
  <si>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</si>
  <si>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</si>
  <si>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</si>
  <si>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</si>
  <si>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</si>
  <si>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</si>
  <si>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</si>
  <si>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</si>
  <si>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</si>
  <si>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</si>
  <si>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</si>
  <si>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</si>
  <si>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</si>
  <si>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</si>
  <si>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</si>
  <si>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</si>
  <si>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</si>
  <si>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</si>
  <si>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</si>
  <si>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</si>
  <si>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</si>
  <si>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</si>
  <si>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</si>
  <si>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</si>
  <si>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</si>
  <si>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</si>
  <si>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</si>
  <si>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</si>
  <si>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</si>
  <si>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</si>
  <si>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</si>
  <si>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</si>
  <si>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</si>
  <si>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</si>
  <si>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</si>
  <si>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</si>
  <si>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</si>
  <si>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</si>
  <si>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</si>
  <si>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</si>
  <si>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</si>
  <si>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</si>
  <si>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</si>
  <si>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</si>
  <si>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</si>
  <si>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</si>
  <si>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</si>
  <si>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</si>
  <si>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</si>
  <si>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</si>
  <si>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</si>
  <si>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</si>
  <si>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</si>
  <si>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</si>
  <si>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</si>
  <si>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</si>
  <si>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</si>
  <si>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</si>
  <si>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</si>
  <si>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</si>
  <si>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</si>
  <si>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</si>
  <si>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</si>
  <si>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</si>
  <si>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</si>
  <si>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</si>
  <si>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</si>
  <si>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</si>
  <si>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</si>
  <si>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</si>
  <si>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</si>
  <si>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</si>
  <si>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</si>
  <si>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</si>
  <si>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</si>
  <si>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</si>
  <si>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</si>
  <si>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</si>
  <si>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</si>
  <si>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</si>
  <si>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</si>
  <si>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</si>
  <si>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</si>
  <si>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</si>
  <si>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</si>
  <si>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</si>
  <si>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</si>
  <si>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</si>
  <si>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</si>
  <si>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</si>
  <si>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</si>
  <si>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</si>
  <si>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</si>
  <si>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</si>
  <si>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</si>
  <si>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</si>
  <si>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</si>
  <si>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</si>
  <si>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</si>
  <si>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</si>
  <si>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</si>
  <si>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</si>
  <si>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</si>
  <si>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</si>
  <si>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</si>
  <si>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</si>
  <si>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</si>
  <si>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</si>
  <si>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</si>
  <si>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</si>
  <si>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</si>
  <si>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</si>
  <si>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</si>
  <si>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</si>
  <si>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</si>
  <si>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</si>
  <si>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</si>
  <si>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</si>
  <si>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</si>
  <si>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</si>
  <si>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</si>
  <si>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</si>
  <si>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</si>
  <si>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</si>
  <si>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</si>
  <si>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</si>
  <si>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</si>
  <si>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</si>
  <si>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</si>
  <si>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</si>
  <si>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</si>
  <si>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</si>
  <si>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</si>
  <si>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</si>
  <si>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</si>
  <si>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</si>
  <si>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</si>
  <si>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</si>
  <si>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</si>
  <si>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</si>
  <si>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</si>
  <si>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</si>
  <si>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</si>
  <si>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</si>
  <si>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</si>
  <si>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</si>
  <si>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</si>
  <si>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</si>
  <si>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</si>
  <si>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</si>
  <si>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</si>
  <si>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</si>
  <si>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</si>
  <si>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</si>
  <si>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</si>
  <si>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</si>
  <si>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</si>
  <si>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</si>
  <si>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</si>
  <si>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</si>
  <si>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</si>
  <si>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</si>
  <si>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</si>
  <si>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</si>
  <si>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</si>
  <si>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</si>
  <si>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</si>
  <si>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</si>
  <si>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</si>
  <si>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</si>
  <si>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</si>
  <si>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</si>
  <si>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</si>
  <si>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</si>
  <si>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</si>
  <si>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</si>
  <si>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</si>
  <si>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</si>
  <si>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</si>
  <si>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</si>
  <si>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</si>
  <si>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</si>
  <si>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</si>
  <si>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</si>
  <si>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</si>
  <si>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</si>
  <si>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</si>
  <si>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</si>
  <si>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</si>
  <si>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</si>
  <si>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</si>
  <si>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</si>
  <si>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</si>
  <si>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</si>
  <si>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</si>
  <si>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</si>
  <si>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</si>
  <si>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</si>
  <si>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</si>
  <si>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</si>
  <si>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</si>
  <si>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</si>
  <si>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</si>
  <si>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</si>
  <si>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</si>
  <si>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</si>
  <si>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</si>
  <si>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</si>
  <si>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</si>
  <si>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</si>
  <si>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</si>
  <si>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</si>
  <si>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</si>
  <si>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</si>
  <si>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</si>
  <si>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</si>
  <si>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</si>
  <si>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</si>
  <si>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</si>
  <si>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</si>
  <si>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</si>
  <si>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</si>
  <si>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</si>
  <si>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</si>
  <si>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</si>
  <si>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</si>
  <si>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</si>
  <si>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</si>
  <si>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</si>
  <si>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</si>
  <si>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</si>
  <si>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</si>
  <si>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</si>
  <si>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</si>
  <si>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</si>
  <si>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</si>
  <si>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</si>
  <si>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</si>
  <si>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</si>
  <si>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</si>
  <si>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</si>
  <si>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</si>
  <si>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</si>
  <si>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</si>
  <si>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</si>
  <si>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</si>
  <si>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</si>
  <si>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</si>
  <si>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</si>
  <si>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</si>
  <si>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</si>
  <si>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</si>
  <si>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</si>
  <si>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</si>
  <si>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</si>
  <si>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</si>
  <si>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</si>
  <si>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</si>
  <si>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</si>
  <si>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</si>
  <si>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</si>
  <si>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</si>
  <si>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</si>
  <si>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</si>
  <si>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</si>
  <si>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</si>
  <si>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</si>
  <si>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</si>
  <si>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</si>
  <si>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</si>
  <si>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</si>
  <si>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</si>
  <si>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</si>
  <si>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</si>
  <si>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</si>
  <si>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</si>
  <si>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</si>
  <si>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</si>
  <si>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</si>
  <si>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</si>
  <si>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</si>
  <si>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</si>
  <si>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</si>
  <si>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</si>
  <si>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</si>
  <si>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</si>
  <si>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</si>
  <si>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</si>
  <si>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</si>
  <si>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</si>
  <si>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</si>
  <si>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</si>
  <si>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</si>
  <si>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</si>
  <si>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</si>
  <si>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</si>
  <si>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</si>
  <si>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</si>
  <si>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</si>
  <si>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</si>
  <si>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</si>
  <si>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</si>
  <si>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</si>
  <si>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</si>
  <si>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</si>
  <si>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</si>
  <si>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</si>
  <si>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</si>
  <si>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</si>
  <si>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</si>
  <si>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</si>
  <si>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</si>
  <si>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</si>
  <si>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</si>
  <si>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</si>
  <si>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</si>
  <si>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</si>
  <si>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</si>
  <si>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</si>
  <si>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</si>
  <si>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</si>
  <si>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</si>
  <si>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</si>
  <si>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</si>
  <si>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</si>
  <si>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</si>
  <si>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</si>
  <si>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</si>
  <si>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</si>
  <si>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</si>
  <si>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</si>
  <si>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</si>
  <si>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</si>
  <si>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</si>
  <si>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</si>
  <si>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</si>
  <si>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</si>
  <si>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</si>
  <si>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</si>
  <si>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</si>
  <si>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</si>
  <si>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</si>
  <si>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</si>
  <si>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</si>
  <si>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</si>
  <si>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</si>
  <si>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</si>
  <si>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</si>
  <si>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</si>
  <si>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</si>
  <si>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</si>
  <si>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</si>
  <si>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</si>
  <si>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</si>
  <si>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</si>
  <si>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</si>
  <si>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</si>
  <si>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</si>
  <si>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</si>
  <si>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</si>
  <si>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</si>
  <si>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</si>
  <si>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</si>
  <si>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</si>
  <si>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</si>
  <si>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</si>
  <si>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</si>
  <si>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</si>
  <si>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</si>
  <si>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</si>
  <si>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</si>
  <si>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</si>
  <si>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</si>
  <si>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</si>
  <si>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</si>
  <si>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</si>
  <si>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</si>
  <si>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</si>
  <si>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</si>
  <si>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</si>
  <si>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</si>
  <si>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</si>
  <si>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</si>
  <si>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</si>
  <si>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</si>
  <si>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</si>
  <si>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</si>
  <si>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</si>
  <si>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</si>
  <si>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</si>
  <si>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</si>
  <si>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</si>
  <si>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</si>
  <si>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</si>
  <si>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</si>
  <si>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</si>
  <si>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</si>
  <si>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</si>
  <si>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</si>
  <si>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</si>
  <si>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</si>
  <si>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</si>
  <si>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</si>
  <si>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</si>
  <si>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</si>
  <si>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</si>
  <si>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</si>
  <si>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</si>
  <si>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</si>
  <si>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</si>
  <si>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</si>
  <si>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</si>
  <si>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</si>
  <si>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</si>
  <si>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</si>
  <si>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</si>
  <si>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</si>
  <si>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</si>
  <si>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</si>
  <si>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</si>
  <si>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</si>
  <si>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</si>
  <si>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</si>
  <si>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</si>
  <si>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</si>
  <si>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</si>
  <si>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</si>
  <si>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</si>
  <si>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</si>
  <si>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</si>
  <si>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</si>
  <si>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</si>
  <si>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</si>
  <si>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</si>
  <si>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</si>
  <si>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</si>
  <si>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</si>
  <si>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</si>
  <si>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</si>
  <si>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</si>
  <si>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</si>
  <si>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</si>
  <si>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</si>
  <si>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</si>
  <si>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</si>
  <si>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</si>
  <si>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</si>
  <si>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</si>
  <si>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</si>
  <si>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</si>
  <si>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</si>
  <si>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</si>
  <si>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</si>
  <si>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</si>
  <si>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</si>
  <si>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</si>
  <si>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</si>
  <si>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</si>
  <si>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</si>
  <si>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</si>
  <si>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</si>
  <si>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</si>
  <si>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</si>
  <si>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</si>
  <si>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</si>
  <si>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</si>
  <si>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</si>
  <si>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</si>
  <si>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</si>
  <si>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</si>
  <si>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</si>
  <si>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</si>
  <si>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</si>
  <si>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</si>
  <si>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</si>
  <si>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</si>
  <si>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</si>
  <si>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</si>
  <si>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</si>
  <si>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</si>
  <si>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</si>
  <si>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</si>
  <si>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</si>
  <si>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</si>
  <si>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</si>
  <si>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</si>
  <si>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</si>
  <si>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</si>
  <si>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</si>
  <si>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</si>
  <si>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</si>
  <si>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</si>
  <si>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</si>
  <si>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</si>
  <si>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</si>
  <si>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</si>
  <si>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</si>
  <si>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</si>
  <si>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</si>
  <si>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</si>
  <si>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</si>
  <si>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</si>
  <si>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</si>
  <si>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</si>
  <si>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</si>
  <si>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</si>
  <si>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</si>
  <si>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</si>
  <si>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</si>
  <si>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</si>
  <si>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</si>
  <si>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</si>
  <si>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</si>
  <si>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</si>
  <si>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</si>
  <si>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</si>
  <si>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</si>
  <si>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</si>
  <si>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</si>
  <si>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</si>
  <si>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</si>
  <si>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</si>
  <si>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</si>
  <si>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</si>
  <si>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</si>
  <si>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</si>
  <si>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</si>
  <si>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</si>
  <si>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</si>
  <si>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</si>
  <si>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</si>
  <si>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</si>
  <si>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</si>
  <si>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</si>
  <si>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</si>
  <si>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</si>
  <si>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</si>
  <si>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</si>
  <si>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</si>
  <si>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</si>
  <si>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</si>
  <si>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</si>
  <si>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</si>
  <si>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</si>
  <si>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</si>
  <si>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</si>
  <si>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</si>
  <si>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</si>
  <si>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</si>
  <si>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</si>
  <si>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</si>
  <si>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</si>
  <si>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</si>
  <si>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</si>
  <si>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</si>
  <si>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</si>
  <si>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</si>
  <si>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</si>
  <si>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</si>
  <si>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</si>
  <si>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</si>
  <si>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</si>
  <si>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</si>
  <si>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</si>
  <si>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</si>
  <si>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</si>
  <si>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</si>
  <si>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</si>
  <si>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</si>
  <si>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</si>
  <si>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</si>
  <si>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</si>
  <si>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</si>
  <si>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</si>
  <si>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</si>
  <si>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</si>
  <si>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</si>
  <si>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</si>
  <si>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</si>
  <si>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</si>
  <si>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</si>
  <si>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</si>
  <si>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</si>
  <si>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</si>
  <si>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</si>
  <si>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</si>
  <si>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</si>
  <si>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</si>
  <si>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</si>
  <si>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</si>
  <si>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</si>
  <si>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</si>
  <si>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</si>
  <si>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</si>
  <si>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</si>
  <si>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</si>
  <si>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</si>
  <si>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</si>
  <si>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</si>
  <si>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</si>
  <si>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</si>
  <si>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</si>
  <si>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</si>
  <si>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</si>
  <si>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</si>
  <si>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</si>
  <si>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</si>
  <si>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</si>
  <si>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</si>
  <si>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</si>
  <si>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</si>
  <si>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</si>
  <si>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</si>
  <si>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</si>
  <si>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</si>
  <si>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</si>
  <si>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</si>
  <si>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</si>
  <si>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</si>
  <si>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</si>
  <si>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</si>
  <si>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</si>
  <si>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</si>
  <si>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</si>
  <si>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</si>
  <si>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</si>
  <si>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</si>
  <si>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</si>
  <si>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</si>
  <si>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</si>
  <si>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</si>
  <si>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</si>
  <si>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</si>
  <si>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</si>
  <si>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</si>
  <si>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</si>
  <si>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</si>
  <si>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</si>
  <si>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</si>
  <si>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</si>
  <si>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</si>
  <si>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</si>
  <si>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</si>
  <si>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</si>
  <si>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</si>
  <si>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</si>
  <si>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</si>
  <si>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</si>
  <si>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</si>
  <si>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</si>
  <si>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</si>
  <si>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</si>
  <si>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</si>
  <si>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</si>
  <si>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</si>
  <si>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</si>
  <si>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</si>
  <si>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</si>
  <si>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</si>
  <si>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</si>
  <si>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</si>
  <si>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</si>
  <si>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</si>
  <si>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</si>
  <si>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</si>
  <si>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</si>
  <si>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</si>
  <si>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</si>
  <si>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</si>
  <si>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</si>
  <si>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</si>
  <si>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</si>
  <si>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</si>
  <si>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</si>
  <si>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</si>
  <si>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</si>
  <si>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</si>
  <si>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</si>
  <si>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</si>
  <si>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</si>
  <si>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</si>
  <si>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</si>
  <si>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</si>
  <si>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</si>
  <si>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</si>
  <si>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</si>
  <si>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</si>
  <si>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</si>
  <si>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</si>
  <si>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</si>
  <si>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</si>
  <si>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</si>
  <si>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</si>
  <si>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</si>
  <si>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</si>
  <si>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</si>
  <si>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</si>
  <si>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</si>
  <si>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</si>
  <si>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</si>
  <si>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</si>
  <si>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</si>
  <si>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</si>
  <si>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</si>
  <si>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</si>
  <si>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</si>
  <si>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</si>
  <si>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</si>
  <si>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</si>
  <si>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</si>
  <si>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</si>
  <si>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</si>
  <si>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</si>
  <si>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</si>
  <si>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</si>
  <si>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</si>
  <si>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</si>
  <si>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</si>
  <si>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</si>
  <si>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</si>
  <si>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</si>
  <si>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</si>
  <si>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</si>
  <si>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</si>
  <si>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</si>
  <si>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</si>
  <si>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</si>
  <si>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</si>
  <si>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</si>
  <si>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</si>
  <si>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</si>
  <si>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</si>
  <si>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</si>
  <si>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</si>
  <si>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</si>
  <si>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</si>
  <si>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</si>
  <si>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</si>
  <si>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</si>
  <si>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</si>
  <si>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</si>
  <si>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</si>
  <si>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</si>
  <si>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</si>
  <si>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</si>
  <si>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</si>
  <si>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</si>
  <si>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</si>
  <si>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</si>
  <si>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</si>
  <si>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</si>
  <si>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</si>
  <si>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</si>
  <si>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</si>
  <si>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</si>
  <si>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</si>
  <si>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</si>
  <si>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</si>
  <si>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</si>
  <si>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</si>
  <si>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</si>
  <si>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</si>
  <si>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</si>
  <si>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</si>
  <si>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</si>
  <si>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</si>
  <si>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</si>
  <si>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</si>
  <si>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</si>
  <si>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</si>
  <si>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</si>
  <si>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</si>
  <si>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</si>
  <si>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</si>
  <si>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</si>
  <si>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</si>
  <si>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</si>
  <si>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</si>
  <si>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</si>
  <si>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</si>
  <si>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</si>
  <si>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</si>
  <si>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</si>
  <si>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</si>
  <si>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</si>
  <si>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</si>
  <si>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</si>
  <si>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</si>
  <si>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</si>
  <si>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</si>
  <si>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</si>
  <si>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</si>
  <si>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</si>
  <si>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</si>
  <si>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</si>
  <si>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</si>
  <si>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</si>
  <si>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</si>
  <si>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</si>
  <si>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</si>
  <si>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</si>
  <si>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</si>
  <si>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</si>
  <si>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</si>
  <si>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</si>
  <si>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</si>
  <si>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</si>
  <si>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</si>
  <si>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</si>
  <si>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</si>
  <si>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</si>
  <si>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</si>
  <si>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</si>
  <si>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</si>
  <si>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</si>
  <si>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</si>
  <si>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</si>
  <si>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</si>
  <si>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</si>
  <si>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</si>
  <si>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</si>
  <si>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</si>
  <si>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</si>
  <si>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</si>
  <si>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</si>
  <si>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</si>
  <si>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</si>
  <si>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</si>
  <si>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</si>
  <si>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</si>
  <si>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</si>
  <si>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</si>
  <si>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</si>
  <si>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</si>
  <si>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</si>
  <si>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</si>
  <si>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</si>
  <si>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</si>
  <si>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</si>
  <si>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</si>
  <si>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</si>
  <si>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</si>
  <si>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</si>
  <si>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</si>
  <si>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</si>
  <si>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</si>
  <si>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</si>
  <si>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</si>
  <si>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</si>
  <si>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</si>
  <si>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</si>
  <si>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</si>
  <si>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</si>
  <si>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</si>
  <si>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</si>
  <si>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</si>
  <si>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</si>
  <si>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</si>
  <si>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</si>
  <si>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</si>
  <si>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</si>
  <si>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</si>
  <si>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</si>
  <si>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</si>
  <si>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</si>
  <si>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</si>
  <si>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</si>
  <si>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</si>
  <si>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</si>
  <si>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</si>
  <si>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</si>
  <si>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</si>
  <si>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</si>
  <si>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</si>
  <si>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</si>
  <si>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</si>
  <si>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</si>
  <si>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</si>
  <si>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</si>
  <si>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</si>
  <si>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</si>
  <si>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</si>
  <si>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</si>
  <si>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</si>
  <si>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</si>
  <si>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</si>
  <si>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</si>
  <si>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</si>
  <si>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</si>
  <si>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</si>
  <si>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</si>
  <si>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</si>
  <si>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</si>
  <si>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</si>
  <si>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</si>
  <si>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</si>
  <si>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</si>
  <si>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</si>
  <si>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</si>
  <si>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</si>
  <si>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</si>
  <si>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</si>
  <si>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</si>
  <si>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</si>
  <si>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</si>
  <si>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</si>
  <si>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</si>
  <si>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</si>
  <si>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</si>
  <si>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</si>
  <si>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</si>
  <si>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</si>
  <si>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</si>
  <si>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</si>
  <si>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</si>
  <si>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</si>
  <si>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</si>
  <si>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</si>
  <si>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</si>
  <si>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</si>
  <si>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</si>
  <si>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</si>
  <si>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</si>
  <si>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</si>
  <si>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</si>
  <si>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</si>
  <si>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</si>
  <si>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</si>
  <si>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</si>
  <si>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</si>
  <si>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</si>
  <si>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</si>
  <si>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</si>
  <si>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</si>
  <si>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</si>
  <si>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</si>
  <si>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</si>
  <si>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</si>
  <si>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</si>
  <si>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</si>
  <si>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</si>
  <si>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</si>
  <si>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</si>
  <si>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</si>
  <si>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</si>
  <si>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</si>
  <si>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</si>
  <si>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</si>
  <si>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</si>
  <si>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</si>
  <si>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</si>
  <si>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</si>
  <si>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</si>
  <si>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</si>
  <si>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</si>
  <si>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</si>
  <si>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</si>
  <si>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</si>
  <si>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</si>
  <si>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</si>
  <si>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</si>
  <si>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</si>
  <si>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</si>
  <si>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</si>
  <si>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</si>
  <si>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</si>
  <si>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</si>
  <si>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</si>
  <si>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</si>
  <si>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</si>
  <si>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</si>
  <si>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</si>
  <si>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</si>
  <si>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</si>
  <si>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</si>
  <si>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</si>
  <si>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</si>
  <si>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</si>
  <si>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</si>
  <si>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</si>
  <si>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</si>
  <si>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</si>
  <si>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</si>
  <si>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</si>
  <si>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</si>
  <si>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</si>
  <si>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</si>
  <si>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</si>
  <si>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</si>
  <si>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</si>
  <si>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</si>
  <si>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</si>
  <si>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</si>
  <si>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</si>
  <si>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</si>
  <si>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</si>
  <si>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</si>
  <si>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</si>
  <si>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</si>
  <si>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</si>
  <si>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</si>
  <si>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</si>
  <si>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</si>
  <si>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</si>
  <si>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</si>
  <si>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</si>
  <si>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</si>
  <si>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</si>
  <si>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</si>
  <si>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</si>
  <si>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</si>
  <si>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</si>
  <si>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</si>
  <si>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</si>
  <si>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</si>
  <si>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</si>
  <si>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</si>
  <si>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</si>
  <si>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</si>
  <si>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</si>
  <si>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</si>
  <si>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</si>
  <si>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</si>
  <si>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</si>
  <si>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</si>
  <si>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</si>
  <si>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</si>
  <si>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</si>
  <si>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</si>
  <si>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</si>
  <si>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</si>
  <si>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</si>
  <si>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</si>
  <si>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</si>
  <si>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</si>
  <si>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</si>
  <si>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</si>
  <si>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</si>
  <si>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</si>
  <si>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</si>
  <si>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</si>
  <si>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</si>
  <si>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</si>
  <si>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</si>
  <si>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</si>
  <si>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</si>
  <si>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</si>
  <si>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</si>
  <si>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</si>
  <si>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</si>
  <si>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</si>
  <si>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</si>
  <si>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</si>
  <si>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</si>
  <si>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</si>
  <si>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</si>
  <si>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</si>
  <si>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</si>
  <si>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</si>
  <si>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</si>
  <si>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</si>
  <si>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</si>
  <si>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</si>
  <si>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</si>
  <si>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</si>
  <si>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</si>
  <si>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</si>
  <si>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</si>
  <si>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</si>
  <si>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</si>
  <si>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</si>
  <si>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</si>
  <si>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</si>
  <si>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</si>
  <si>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</si>
  <si>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</si>
  <si>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</si>
  <si>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</si>
  <si>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</si>
  <si>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</si>
  <si>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</si>
  <si>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</si>
  <si>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</si>
  <si>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</si>
  <si>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</si>
  <si>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</si>
  <si>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</si>
  <si>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</si>
  <si>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</si>
  <si>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</si>
  <si>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</si>
  <si>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</si>
  <si>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</si>
  <si>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</si>
  <si>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</si>
  <si>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</si>
  <si>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</si>
  <si>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</si>
  <si>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</si>
  <si>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</si>
  <si>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</si>
  <si>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</si>
  <si>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</si>
  <si>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</si>
  <si>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</si>
  <si>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</si>
  <si>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</si>
  <si>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</si>
  <si>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</si>
  <si>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</si>
  <si>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</si>
  <si>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</si>
  <si>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</si>
  <si>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</si>
  <si>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</si>
  <si>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</si>
  <si>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</si>
  <si>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</si>
  <si>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</si>
  <si>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</si>
  <si>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</si>
  <si>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</si>
  <si>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</si>
  <si>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</si>
  <si>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</si>
  <si>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</si>
  <si>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</si>
  <si>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</si>
  <si>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</si>
  <si>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</si>
  <si>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</si>
  <si>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</si>
  <si>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</si>
  <si>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</si>
  <si>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</si>
  <si>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</si>
  <si>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</si>
  <si>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</si>
  <si>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</si>
  <si>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</si>
  <si>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</si>
  <si>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</si>
  <si>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</si>
  <si>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</si>
  <si>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</si>
  <si>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</si>
  <si>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</si>
  <si>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</si>
  <si>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</si>
  <si>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</si>
  <si>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</si>
  <si>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</si>
  <si>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</si>
  <si>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</si>
  <si>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</si>
  <si>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</si>
  <si>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</si>
  <si>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</si>
  <si>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</si>
  <si>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</si>
  <si>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</si>
  <si>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</si>
  <si>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</si>
  <si>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</si>
  <si>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</si>
  <si>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</si>
  <si>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</si>
  <si>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</si>
  <si>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</si>
  <si>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</si>
  <si>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</si>
  <si>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</si>
  <si>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</si>
  <si>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</si>
  <si>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</si>
  <si>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</si>
  <si>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</si>
  <si>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</si>
  <si>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</si>
  <si>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</si>
  <si>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</si>
  <si>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</si>
  <si>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</si>
  <si>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</si>
  <si>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</si>
  <si>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</si>
  <si>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</si>
  <si>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</si>
  <si>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</si>
  <si>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</si>
  <si>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</si>
  <si>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</si>
  <si>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</si>
  <si>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</si>
  <si>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</si>
  <si>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</si>
  <si>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</si>
  <si>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</si>
  <si>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</si>
  <si>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</si>
  <si>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</si>
  <si>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</si>
  <si>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</si>
  <si>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</si>
  <si>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</si>
  <si>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</si>
  <si>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</si>
  <si>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</si>
  <si>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</si>
  <si>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</si>
  <si>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</si>
  <si>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</si>
  <si>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</si>
  <si>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</si>
  <si>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</si>
  <si>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</si>
  <si>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</si>
  <si>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</si>
  <si>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</si>
  <si>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</si>
  <si>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</si>
  <si>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</si>
  <si>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</si>
  <si>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</si>
  <si>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</si>
  <si>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</si>
  <si>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</si>
  <si>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</si>
  <si>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</si>
  <si>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</si>
  <si>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</si>
  <si>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</si>
  <si>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</si>
  <si>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</si>
  <si>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</si>
  <si>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</si>
  <si>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</si>
  <si>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</si>
  <si>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</si>
  <si>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</si>
  <si>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</si>
  <si>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</si>
  <si>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</si>
  <si>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</si>
  <si>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</si>
  <si>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</si>
  <si>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</si>
  <si>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</si>
  <si>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</si>
  <si>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</si>
  <si>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</si>
  <si>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</si>
  <si>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</si>
  <si>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</si>
  <si>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</si>
  <si>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</si>
  <si>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</si>
  <si>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</si>
  <si>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</si>
  <si>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</si>
  <si>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</si>
  <si>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</si>
  <si>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</si>
  <si>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</si>
  <si>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</si>
  <si>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</si>
  <si>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</si>
  <si>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</si>
  <si>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</si>
  <si>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</si>
  <si>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</si>
  <si>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</si>
  <si>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</si>
  <si>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</si>
  <si>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</si>
  <si>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</si>
  <si>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</si>
  <si>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</si>
  <si>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</si>
  <si>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</si>
  <si>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</si>
  <si>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</si>
  <si>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</si>
  <si>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</si>
  <si>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</si>
  <si>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</si>
  <si>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</si>
  <si>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</si>
  <si>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</si>
  <si>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</si>
  <si>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</si>
  <si>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</si>
  <si>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</si>
  <si>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</si>
  <si>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</si>
  <si>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</si>
  <si>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</si>
  <si>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</si>
  <si>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</si>
  <si>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</si>
  <si>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</si>
  <si>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</si>
  <si>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</si>
  <si>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</si>
  <si>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</si>
  <si>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</si>
  <si>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</si>
  <si>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</si>
  <si>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</si>
  <si>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</si>
  <si>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</si>
  <si>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</si>
  <si>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</si>
  <si>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</si>
  <si>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</si>
  <si>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</si>
  <si>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</si>
  <si>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</si>
  <si>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</si>
  <si>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</si>
  <si>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</si>
  <si>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</si>
  <si>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</si>
  <si>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</si>
  <si>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</si>
  <si>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</si>
  <si>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</si>
  <si>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</si>
  <si>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</si>
  <si>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</si>
  <si>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</si>
  <si>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</si>
  <si>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</si>
  <si>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</si>
  <si>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</si>
  <si>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</si>
  <si>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</si>
  <si>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</si>
  <si>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</si>
  <si>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</si>
  <si>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</si>
  <si>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</si>
  <si>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</si>
  <si>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</si>
  <si>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</si>
  <si>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</si>
  <si>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</si>
  <si>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</si>
  <si>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</si>
  <si>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</si>
  <si>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</si>
  <si>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</si>
  <si>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</si>
  <si>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</si>
  <si>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</si>
  <si>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</si>
  <si>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</si>
  <si>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</si>
  <si>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</si>
  <si>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</si>
  <si>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</si>
  <si>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</si>
  <si>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</si>
  <si>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</si>
  <si>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</si>
  <si>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</si>
  <si>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</si>
  <si>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</si>
  <si>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</si>
  <si>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</si>
  <si>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</si>
  <si>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</si>
  <si>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</si>
  <si>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</si>
  <si>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</si>
  <si>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</si>
  <si>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</si>
  <si>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</si>
  <si>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</si>
  <si>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</si>
  <si>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</si>
  <si>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</si>
  <si>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</si>
  <si>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</si>
  <si>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</si>
  <si>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</si>
  <si>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</si>
  <si>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</si>
  <si>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</si>
  <si>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</si>
  <si>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</si>
  <si>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</si>
  <si>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</si>
  <si>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</si>
  <si>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</si>
  <si>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</si>
  <si>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</si>
  <si>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</si>
  <si>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</si>
  <si>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</si>
  <si>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</si>
  <si>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</si>
  <si>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</si>
  <si>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</si>
  <si>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</si>
  <si>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</si>
  <si>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</si>
  <si>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</si>
  <si>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</si>
  <si>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</si>
  <si>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</si>
  <si>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</si>
  <si>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</si>
  <si>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</si>
  <si>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</si>
  <si>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</si>
  <si>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</si>
  <si>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</si>
  <si>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</si>
  <si>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</si>
  <si>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</si>
  <si>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</si>
  <si>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</si>
  <si>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</si>
  <si>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</si>
  <si>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</si>
  <si>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</si>
  <si>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</si>
  <si>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</si>
  <si>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</si>
  <si>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</si>
  <si>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</si>
  <si>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</si>
  <si>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</si>
  <si>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</si>
  <si>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</si>
  <si>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</si>
  <si>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</si>
  <si>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</si>
  <si>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</si>
  <si>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</si>
  <si>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</si>
  <si>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</si>
  <si>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</si>
  <si>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</si>
  <si>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</si>
  <si>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</si>
  <si>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</si>
  <si>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</si>
  <si>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</si>
  <si>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</si>
  <si>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</si>
  <si>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</si>
  <si>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</si>
  <si>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</si>
  <si>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</si>
  <si>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</si>
  <si>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</si>
  <si>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</si>
  <si>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</si>
  <si>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</si>
  <si>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</si>
  <si>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</si>
  <si>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</si>
  <si>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</si>
  <si>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</si>
  <si>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</si>
  <si>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</si>
  <si>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</si>
  <si>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</si>
  <si>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</si>
  <si>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</si>
  <si>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</si>
  <si>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</si>
  <si>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</si>
  <si>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</si>
  <si>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</si>
  <si>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</si>
  <si>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</si>
  <si>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</si>
  <si>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</si>
  <si>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</si>
  <si>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</si>
  <si>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</si>
  <si>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</si>
  <si>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</si>
  <si>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</si>
  <si>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</si>
  <si>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</si>
  <si>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</si>
  <si>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</si>
  <si>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</si>
  <si>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</si>
  <si>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</si>
  <si>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</si>
  <si>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</si>
  <si>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</si>
  <si>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</si>
  <si>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</si>
  <si>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</si>
  <si>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</si>
  <si>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</si>
  <si>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</si>
  <si>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</si>
  <si>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</si>
  <si>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</si>
  <si>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</si>
  <si>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</si>
  <si>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</si>
  <si>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</si>
  <si>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</si>
  <si>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</si>
  <si>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</si>
  <si>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</si>
  <si>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</si>
  <si>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</si>
  <si>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</si>
  <si>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</si>
  <si>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</si>
  <si>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</si>
  <si>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</si>
  <si>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</si>
  <si>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</si>
  <si>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</si>
  <si>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</si>
  <si>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</si>
  <si>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</si>
  <si>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</si>
  <si>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</si>
  <si>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</si>
  <si>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</si>
  <si>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</si>
  <si>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</si>
  <si>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</si>
  <si>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</si>
  <si>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</si>
  <si>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</si>
  <si>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</si>
  <si>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</si>
  <si>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</si>
  <si>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</si>
  <si>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</si>
  <si>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</si>
  <si>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</si>
  <si>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</si>
  <si>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</si>
  <si>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</si>
  <si>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</si>
  <si>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</si>
  <si>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</si>
  <si>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</si>
  <si>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</si>
  <si>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</si>
  <si>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</si>
  <si>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</si>
  <si>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</si>
  <si>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</si>
  <si>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</si>
  <si>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</si>
  <si>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</si>
  <si>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</si>
  <si>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</si>
  <si>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</si>
  <si>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</si>
  <si>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</si>
  <si>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</si>
  <si>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</si>
  <si>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</si>
  <si>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</si>
  <si>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</si>
  <si>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</si>
  <si>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</si>
  <si>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</si>
  <si>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</si>
  <si>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</si>
  <si>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</si>
  <si>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</si>
  <si>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</si>
  <si>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</si>
  <si>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</si>
  <si>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</si>
  <si>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</si>
  <si>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</si>
  <si>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</si>
  <si>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</si>
  <si>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</si>
  <si>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</si>
  <si>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</si>
  <si>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</si>
  <si>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</si>
  <si>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</si>
  <si>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</si>
  <si>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</si>
  <si>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</si>
  <si>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</si>
  <si>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</si>
  <si>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</si>
  <si>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</si>
  <si>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</si>
  <si>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</si>
  <si>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</si>
  <si>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</si>
  <si>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</si>
  <si>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</si>
  <si>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</si>
  <si>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</si>
  <si>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</si>
  <si>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</si>
  <si>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</si>
  <si>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</si>
  <si>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</si>
  <si>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</si>
  <si>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</si>
  <si>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</si>
  <si>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</si>
  <si>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</si>
  <si>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</si>
  <si>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</si>
  <si>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</si>
  <si>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</si>
  <si>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</si>
  <si>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</si>
  <si>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</si>
  <si>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</si>
  <si>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</si>
  <si>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</si>
  <si>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</si>
  <si>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</si>
  <si>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</si>
  <si>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</si>
  <si>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</si>
  <si>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</si>
  <si>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</si>
  <si>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</si>
  <si>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</si>
  <si>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</si>
  <si>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</si>
  <si>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</si>
  <si>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</si>
  <si>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</si>
  <si>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</si>
  <si>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</si>
  <si>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</si>
  <si>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</si>
  <si>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</si>
  <si>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</si>
  <si>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</si>
  <si>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</si>
  <si>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</si>
  <si>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</si>
  <si>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</si>
  <si>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</si>
  <si>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</si>
  <si>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</si>
  <si>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</si>
  <si>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</si>
  <si>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</si>
  <si>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</si>
  <si>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</si>
  <si>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</si>
  <si>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</si>
  <si>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</si>
  <si>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</si>
  <si>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</si>
  <si>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</si>
  <si>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</si>
  <si>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</si>
  <si>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</si>
  <si>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</si>
  <si>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</si>
  <si>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</si>
  <si>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</si>
  <si>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</si>
  <si>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</si>
  <si>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</si>
  <si>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</si>
  <si>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</si>
  <si>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</si>
  <si>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</si>
  <si>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</si>
  <si>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</si>
  <si>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</si>
  <si>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</si>
  <si>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</si>
  <si>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</si>
  <si>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</si>
  <si>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</si>
  <si>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</si>
  <si>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</si>
  <si>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</si>
  <si>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</si>
  <si>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</si>
  <si>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</si>
  <si>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</si>
  <si>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</si>
  <si>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</si>
  <si>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</si>
  <si>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</si>
  <si>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</si>
  <si>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</si>
  <si>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</si>
  <si>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</si>
  <si>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</si>
  <si>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</si>
  <si>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</si>
  <si>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</si>
  <si>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</si>
  <si>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</si>
  <si>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</si>
  <si>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</si>
  <si>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</si>
  <si>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</si>
  <si>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</si>
  <si>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</si>
  <si>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</si>
  <si>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</si>
  <si>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</si>
  <si>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</si>
  <si>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</si>
  <si>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</si>
  <si>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</si>
  <si>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</si>
  <si>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</si>
  <si>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</si>
  <si>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</si>
  <si>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</si>
  <si>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</si>
  <si>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</si>
  <si>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</si>
  <si>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</si>
  <si>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</si>
  <si>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</si>
  <si>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</si>
  <si>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</si>
  <si>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</si>
  <si>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</si>
  <si>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</si>
  <si>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</si>
  <si>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</si>
  <si>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</si>
  <si>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</si>
  <si>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</si>
  <si>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</si>
  <si>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</si>
  <si>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</si>
  <si>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</si>
  <si>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</si>
  <si>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</si>
  <si>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</si>
  <si>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</si>
  <si>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</si>
  <si>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</si>
  <si>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</si>
  <si>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</si>
  <si>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</si>
  <si>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</si>
  <si>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</si>
  <si>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</si>
  <si>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</si>
  <si>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</si>
  <si>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</si>
  <si>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</si>
  <si>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</si>
  <si>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</si>
  <si>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</si>
  <si>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</si>
  <si>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</si>
  <si>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</si>
  <si>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</si>
  <si>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</si>
  <si>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</si>
  <si>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</si>
  <si>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</si>
  <si>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</si>
  <si>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</si>
  <si>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</si>
  <si>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</si>
  <si>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</si>
  <si>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</si>
  <si>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</si>
  <si>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</si>
  <si>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</si>
  <si>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</si>
  <si>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</si>
  <si>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</si>
  <si>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</si>
  <si>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</si>
  <si>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</si>
  <si>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</si>
  <si>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</si>
  <si>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</si>
  <si>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</si>
  <si>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</si>
  <si>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</si>
  <si>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</si>
  <si>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</si>
  <si>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</si>
  <si>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</si>
  <si>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</si>
  <si>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</si>
  <si>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</si>
  <si>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</si>
  <si>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</si>
  <si>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</si>
  <si>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</si>
  <si>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</si>
  <si>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</si>
  <si>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</si>
  <si>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</si>
  <si>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</si>
  <si>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</si>
  <si>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</si>
  <si>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</si>
  <si>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</si>
  <si>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</si>
  <si>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</si>
  <si>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</si>
  <si>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</si>
  <si>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</si>
  <si>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</si>
  <si>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</si>
  <si>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</si>
  <si>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</si>
  <si>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</si>
  <si>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</si>
  <si>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</si>
  <si>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</si>
  <si>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</si>
  <si>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</si>
  <si>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</si>
  <si>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</si>
  <si>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</si>
  <si>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</si>
  <si>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</si>
  <si>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</si>
  <si>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</si>
  <si>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</si>
  <si>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</si>
  <si>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</si>
  <si>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</si>
  <si>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</si>
  <si>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</si>
  <si>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</si>
  <si>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</si>
  <si>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</si>
  <si>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</si>
  <si>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</si>
  <si>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</si>
  <si>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</si>
  <si>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</si>
  <si>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</si>
  <si>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</si>
  <si>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</si>
  <si>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</si>
  <si>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</si>
  <si>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</si>
  <si>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</si>
  <si>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</si>
  <si>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</si>
  <si>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</si>
  <si>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</si>
  <si>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</si>
  <si>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</si>
  <si>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</si>
  <si>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</si>
  <si>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</si>
  <si>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</si>
  <si>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</si>
  <si>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</si>
  <si>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</si>
  <si>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</si>
  <si>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</si>
  <si>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</si>
  <si>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</si>
  <si>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</si>
  <si>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</si>
  <si>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</si>
  <si>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</si>
  <si>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</si>
  <si>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</si>
  <si>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</si>
  <si>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</si>
  <si>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</si>
  <si>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</si>
  <si>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</si>
  <si>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</si>
  <si>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</si>
  <si>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</si>
  <si>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</si>
  <si>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</si>
  <si>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</si>
  <si>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</si>
  <si>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</si>
  <si>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</si>
  <si>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</si>
  <si>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</si>
  <si>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</si>
  <si>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</si>
  <si>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</si>
  <si>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</si>
  <si>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</si>
  <si>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</si>
  <si>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</si>
  <si>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</si>
  <si>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</si>
  <si>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</si>
  <si>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</si>
  <si>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</si>
  <si>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</si>
  <si>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</si>
  <si>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</si>
  <si>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</si>
  <si>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</si>
  <si>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</si>
  <si>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</si>
  <si>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</si>
  <si>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</si>
  <si>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</si>
  <si>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</si>
  <si>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</si>
  <si>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</si>
  <si>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</si>
  <si>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</si>
  <si>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</si>
  <si>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</si>
  <si>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</si>
  <si>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</si>
  <si>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</si>
  <si>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</si>
  <si>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</si>
  <si>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</si>
  <si>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</si>
  <si>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</si>
  <si>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</si>
  <si>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</si>
  <si>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</si>
  <si>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</si>
  <si>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</si>
  <si>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</si>
  <si>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</si>
  <si>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</si>
  <si>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</si>
  <si>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</si>
  <si>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</si>
  <si>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</si>
  <si>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</si>
  <si>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</si>
  <si>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</si>
  <si>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</si>
  <si>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</si>
  <si>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</si>
  <si>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CHUTE DE DESCARGA PARTE SUPERIOR 73209-A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</si>
  <si>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</si>
  <si>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</si>
  <si>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</si>
  <si>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</si>
  <si>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</si>
  <si>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</si>
  <si>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</si>
  <si>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</si>
  <si>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</si>
  <si>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</si>
  <si>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</si>
  <si>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</si>
  <si>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</si>
  <si>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</si>
  <si>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</si>
  <si>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</si>
  <si>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</si>
  <si>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</si>
  <si>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</si>
  <si>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</si>
  <si>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</si>
  <si>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</si>
  <si>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</si>
  <si>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</si>
  <si>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</si>
  <si>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</si>
  <si>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</si>
  <si>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</si>
  <si>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</si>
  <si>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</si>
  <si>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</si>
  <si>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</si>
  <si>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</si>
  <si>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</si>
  <si>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</si>
  <si>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</si>
  <si>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</si>
  <si>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</si>
  <si>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</si>
  <si>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</si>
  <si>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</si>
  <si>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</si>
  <si>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</si>
  <si>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</si>
  <si>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</si>
  <si>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</si>
  <si>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</si>
  <si>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</si>
  <si>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</si>
  <si>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</si>
  <si>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</si>
  <si>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</si>
  <si>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</si>
  <si>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</si>
  <si>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</si>
  <si>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</si>
  <si>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</si>
  <si>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</si>
  <si>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</si>
  <si>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</si>
  <si>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</si>
  <si>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</si>
  <si>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</si>
  <si>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</si>
  <si>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</si>
  <si>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</si>
  <si>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</si>
  <si>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</si>
  <si>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</si>
  <si>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</si>
  <si>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</si>
  <si>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</si>
  <si>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</si>
  <si>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</si>
  <si>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</si>
  <si>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</si>
  <si>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</si>
  <si>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</si>
  <si>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</si>
  <si>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</si>
  <si>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</si>
  <si>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</si>
  <si>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</si>
  <si>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</si>
  <si>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</si>
  <si>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</si>
  <si>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</si>
  <si>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</si>
  <si>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</si>
  <si>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</si>
  <si>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</si>
  <si>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</si>
  <si>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</si>
  <si>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</si>
  <si>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</si>
  <si>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</si>
  <si>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</si>
  <si>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</si>
  <si>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</si>
  <si>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</si>
  <si>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</si>
  <si>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</si>
  <si>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</si>
  <si>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</si>
  <si>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</si>
  <si>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</si>
  <si>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</si>
  <si>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</si>
  <si>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</si>
  <si>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</si>
  <si>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</si>
  <si>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</si>
  <si>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</si>
  <si>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</si>
  <si>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</si>
  <si>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</si>
  <si>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</si>
  <si>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</si>
  <si>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</si>
  <si>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</si>
  <si>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</si>
  <si>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</si>
  <si>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</si>
  <si>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</si>
  <si>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</si>
  <si>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</si>
  <si>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</si>
  <si>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</si>
  <si>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</si>
  <si>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</si>
  <si>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</si>
  <si>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</si>
  <si>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</si>
  <si>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</si>
  <si>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</si>
  <si>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</si>
  <si>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</si>
  <si>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</si>
  <si>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</si>
  <si>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</si>
  <si>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</si>
  <si>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</si>
  <si>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</si>
  <si>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</si>
  <si>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</si>
  <si>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</si>
  <si>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</si>
  <si>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</si>
  <si>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</si>
  <si>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</si>
  <si>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</si>
  <si>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</si>
  <si>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</si>
  <si>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</si>
  <si>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</si>
  <si>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</si>
  <si>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</si>
  <si>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</si>
  <si>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</si>
  <si>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</si>
  <si>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</si>
  <si>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</si>
  <si>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</si>
  <si>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</si>
  <si>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</si>
  <si>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</si>
  <si>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</si>
  <si>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</si>
  <si>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</si>
  <si>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</si>
  <si>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</si>
  <si>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</si>
  <si>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</si>
  <si>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</si>
  <si>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</si>
  <si>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</si>
  <si>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</si>
  <si>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</si>
  <si>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</si>
  <si>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</si>
  <si>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</si>
  <si>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</si>
  <si>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</si>
  <si>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</si>
  <si>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</si>
  <si>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</si>
  <si>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</si>
  <si>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</si>
  <si>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</si>
  <si>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</si>
  <si>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</si>
  <si>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</si>
  <si>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</si>
  <si>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</si>
  <si>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</si>
  <si>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</si>
  <si>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</si>
  <si>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</si>
  <si>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</si>
  <si>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</si>
  <si>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</si>
  <si>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</si>
  <si>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</si>
  <si>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</si>
  <si>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</si>
  <si>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</si>
  <si>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</si>
  <si>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</si>
  <si>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</si>
  <si>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</si>
  <si>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</si>
  <si>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</si>
  <si>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</si>
  <si>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</si>
  <si>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</si>
  <si>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</si>
  <si>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</si>
  <si>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</si>
  <si>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</si>
  <si>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</si>
  <si>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</si>
  <si>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</si>
  <si>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</si>
  <si>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</si>
  <si>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</si>
  <si>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</si>
  <si>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</si>
  <si>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</si>
  <si>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</si>
  <si>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</si>
  <si>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</si>
  <si>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</si>
  <si>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</si>
  <si>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</si>
  <si>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</si>
  <si>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</si>
  <si>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</si>
  <si>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</si>
  <si>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</si>
  <si>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</si>
  <si>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</si>
  <si>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</si>
  <si>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</si>
  <si>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</si>
  <si>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</si>
  <si>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</si>
  <si>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</si>
  <si>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</si>
  <si>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</si>
  <si>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</si>
  <si>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</si>
  <si>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</si>
  <si>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</si>
  <si>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</si>
  <si>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</si>
  <si>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</si>
  <si>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</si>
  <si>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</si>
  <si>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</si>
  <si>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</si>
  <si>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</si>
  <si>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</si>
  <si>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</si>
  <si>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</si>
  <si>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</si>
  <si>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</si>
  <si>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</si>
  <si>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</si>
  <si>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</si>
  <si>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</si>
  <si>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</si>
  <si>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</si>
  <si>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</si>
  <si>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</si>
  <si>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</si>
  <si>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</si>
  <si>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</si>
  <si>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</si>
  <si>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</si>
  <si>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</si>
  <si>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</si>
  <si>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</si>
  <si>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</si>
  <si>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</si>
  <si>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</si>
  <si>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</si>
  <si>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</si>
  <si>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</si>
  <si>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</si>
  <si>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</si>
  <si>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</si>
  <si>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</si>
  <si>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</si>
  <si>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</si>
  <si>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</si>
  <si>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</si>
  <si>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</si>
  <si>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</si>
  <si>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</si>
  <si>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</si>
  <si>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</si>
  <si>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</si>
  <si>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</si>
  <si>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</si>
  <si>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</si>
  <si>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</si>
  <si>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</si>
  <si>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</si>
  <si>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</si>
  <si>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</si>
  <si>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</si>
  <si>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</si>
  <si>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</si>
  <si>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</si>
  <si>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</si>
  <si>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</si>
  <si>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</si>
  <si>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</si>
  <si>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</si>
  <si>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</si>
  <si>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</si>
  <si>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</si>
  <si>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</si>
  <si>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</si>
  <si>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</si>
  <si>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</si>
  <si>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</si>
  <si>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</si>
  <si>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</si>
  <si>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</si>
  <si>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</si>
  <si>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</si>
  <si>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</si>
  <si>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</si>
  <si>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</si>
  <si>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</si>
  <si>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</si>
  <si>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</si>
  <si>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</si>
  <si>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</si>
  <si>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</si>
  <si>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</si>
  <si>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</si>
  <si>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</si>
  <si>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</si>
  <si>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</si>
  <si>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</si>
  <si>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</si>
  <si>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</si>
  <si>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</si>
  <si>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</si>
  <si>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</si>
  <si>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</si>
  <si>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</si>
  <si>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</si>
  <si>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</si>
  <si>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</si>
  <si>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</si>
  <si>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</si>
  <si>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</si>
  <si>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</si>
  <si>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</si>
  <si>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</si>
  <si>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</si>
  <si>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</si>
  <si>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</si>
  <si>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</si>
  <si>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</si>
  <si>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</si>
  <si>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</si>
  <si>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</si>
  <si>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</si>
  <si>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</si>
  <si>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</si>
  <si>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</si>
  <si>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</si>
  <si>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</si>
  <si>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</si>
  <si>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</si>
  <si>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</si>
  <si>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</si>
  <si>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</si>
  <si>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</si>
  <si>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</si>
  <si>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</si>
  <si>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</si>
  <si>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</si>
  <si>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</si>
  <si>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</si>
  <si>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</si>
  <si>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</si>
  <si>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</si>
  <si>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</si>
  <si>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</si>
  <si>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</si>
  <si>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</si>
  <si>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</si>
  <si>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</si>
  <si>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</si>
  <si>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</si>
  <si>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</si>
  <si>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</si>
  <si>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</si>
  <si>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</si>
  <si>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</si>
  <si>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</si>
  <si>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</si>
  <si>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</si>
  <si>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</si>
  <si>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</si>
  <si>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</si>
  <si>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</si>
  <si>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</si>
  <si>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</si>
  <si>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</si>
  <si>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</si>
  <si>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</si>
  <si>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</si>
  <si>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</si>
  <si>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</si>
  <si>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</si>
  <si>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</si>
  <si>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</si>
  <si>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</si>
  <si>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</si>
  <si>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</si>
  <si>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</si>
  <si>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</si>
  <si>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</si>
  <si>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</si>
  <si>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</si>
  <si>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</si>
  <si>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</si>
  <si>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</si>
  <si>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</si>
  <si>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</si>
  <si>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</si>
  <si>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</si>
  <si>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</si>
  <si>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</si>
  <si>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</si>
  <si>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</si>
  <si>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</si>
  <si>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</si>
  <si>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</si>
  <si>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</si>
  <si>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</si>
  <si>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</si>
  <si>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</si>
  <si>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</si>
  <si>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</si>
  <si>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</si>
  <si>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</si>
  <si>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</si>
  <si>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</si>
  <si>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</si>
  <si>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</si>
  <si>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</si>
  <si>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</si>
  <si>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</si>
  <si>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</si>
  <si>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</si>
  <si>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</si>
  <si>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</si>
  <si>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</si>
  <si>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</si>
  <si>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</si>
  <si>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</si>
  <si>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</si>
  <si>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</si>
  <si>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</si>
  <si>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</si>
  <si>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</si>
  <si>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</si>
  <si>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</si>
  <si>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</si>
  <si>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</si>
  <si>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</si>
  <si>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</si>
  <si>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</si>
  <si>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</si>
  <si>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</si>
  <si>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</si>
  <si>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</si>
  <si>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</si>
  <si>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</si>
  <si>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</si>
  <si>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</si>
  <si>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</si>
  <si>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</si>
  <si>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</si>
  <si>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</si>
  <si>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</si>
  <si>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</si>
  <si>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</si>
  <si>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</si>
  <si>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</si>
  <si>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</si>
  <si>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</si>
  <si>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</si>
  <si>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</si>
  <si>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</si>
  <si>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</si>
  <si>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</si>
  <si>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</si>
  <si>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</si>
  <si>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</si>
  <si>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</si>
  <si>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</si>
  <si>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</si>
  <si>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</si>
  <si>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</si>
  <si>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</si>
  <si>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</si>
  <si>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</si>
  <si>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</si>
  <si>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</si>
  <si>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</si>
  <si>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</si>
  <si>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</si>
  <si>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</si>
  <si>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</si>
  <si>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</si>
  <si>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</si>
  <si>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</si>
  <si>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</si>
  <si>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</si>
  <si>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</si>
  <si>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</si>
  <si>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</si>
  <si>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</si>
  <si>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</si>
  <si>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</si>
  <si>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</si>
  <si>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</si>
  <si>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</si>
  <si>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</si>
  <si>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</si>
  <si>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</si>
  <si>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</si>
  <si>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</si>
  <si>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</si>
  <si>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</si>
  <si>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</si>
  <si>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</si>
  <si>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</si>
  <si>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</si>
  <si>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</si>
  <si>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</si>
  <si>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</si>
  <si>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</si>
  <si>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</si>
  <si>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</si>
  <si>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</si>
  <si>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</si>
  <si>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</si>
  <si>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</si>
  <si>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</si>
  <si>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</si>
  <si>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</si>
  <si>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</si>
  <si>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</si>
  <si>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</si>
  <si>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</si>
  <si>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</si>
  <si>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</si>
  <si>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</si>
  <si>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</si>
  <si>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</si>
  <si>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</si>
  <si>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</si>
  <si>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</si>
  <si>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</si>
  <si>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</si>
  <si>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</si>
  <si>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</si>
  <si>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</si>
  <si>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</si>
  <si>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</si>
  <si>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</si>
  <si>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</si>
  <si>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</si>
  <si>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</si>
  <si>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</si>
  <si>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</si>
  <si>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</si>
  <si>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</si>
  <si>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</si>
  <si>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</si>
  <si>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</si>
  <si>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</si>
  <si>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</si>
  <si>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</si>
  <si>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</si>
  <si>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</si>
  <si>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</si>
  <si>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</si>
  <si>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</si>
  <si>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</si>
  <si>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</si>
  <si>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</si>
  <si>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</si>
  <si>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</si>
  <si>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</si>
  <si>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</si>
  <si>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</si>
  <si>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</si>
  <si>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</si>
  <si>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</si>
  <si>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</si>
  <si>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</si>
  <si>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</si>
  <si>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</si>
  <si>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</si>
  <si>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</si>
  <si>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</si>
  <si>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</si>
  <si>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</si>
  <si>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</si>
  <si>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</si>
  <si>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</si>
  <si>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</si>
  <si>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</si>
  <si>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</si>
  <si>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</si>
  <si>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</si>
  <si>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</si>
  <si>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</si>
  <si>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</si>
  <si>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</si>
  <si>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</si>
  <si>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</si>
  <si>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</si>
  <si>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</si>
  <si>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</si>
  <si>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</si>
  <si>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</si>
  <si>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</si>
  <si>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</si>
  <si>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</si>
  <si>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</si>
  <si>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</si>
  <si>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</si>
  <si>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</si>
  <si>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</si>
  <si>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</si>
  <si>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</si>
  <si>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</si>
  <si>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</si>
  <si>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</si>
  <si>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</si>
  <si>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</si>
  <si>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</si>
  <si>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</si>
  <si>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</si>
  <si>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</si>
  <si>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</si>
  <si>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</si>
  <si>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</si>
  <si>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</si>
  <si>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</si>
  <si>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</si>
  <si>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</si>
  <si>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</si>
  <si>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</si>
  <si>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</si>
  <si>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</si>
  <si>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</si>
  <si>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</si>
  <si>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</si>
  <si>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</si>
  <si>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</si>
  <si>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</si>
  <si>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</si>
  <si>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</si>
  <si>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</si>
  <si>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</si>
  <si>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</si>
  <si>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</si>
  <si>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</si>
  <si>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</si>
  <si>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</si>
  <si>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</si>
  <si>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</si>
  <si>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</si>
  <si>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</si>
  <si>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</si>
  <si>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</si>
  <si>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</si>
  <si>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</si>
  <si>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</si>
  <si>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</si>
  <si>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</si>
  <si>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</si>
  <si>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</si>
  <si>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</si>
  <si>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</si>
  <si>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</si>
  <si>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</si>
  <si>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</si>
  <si>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</si>
  <si>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</si>
  <si>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</si>
  <si>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</si>
  <si>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</si>
  <si>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</si>
  <si>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</si>
  <si>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</si>
  <si>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</si>
  <si>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</si>
  <si>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</si>
  <si>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</si>
  <si>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</si>
  <si>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</si>
  <si>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</si>
  <si>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</si>
  <si>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</si>
  <si>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</si>
  <si>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</si>
  <si>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</si>
  <si>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</si>
  <si>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</si>
  <si>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</si>
  <si>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</si>
  <si>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</si>
  <si>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</si>
  <si>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</si>
  <si>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</si>
  <si>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</si>
  <si>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</si>
  <si>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</si>
  <si>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</si>
  <si>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</si>
  <si>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</si>
  <si>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</si>
  <si>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</si>
  <si>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</si>
  <si>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</si>
  <si>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</si>
  <si>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</si>
  <si>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</si>
  <si>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</si>
  <si>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</si>
  <si>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</si>
  <si>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</si>
  <si>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</si>
  <si>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</si>
  <si>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</si>
  <si>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</si>
  <si>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</si>
  <si>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</si>
  <si>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</si>
  <si>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</si>
  <si>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</si>
  <si>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</si>
  <si>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</si>
  <si>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</si>
  <si>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</si>
  <si>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</si>
  <si>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</si>
  <si>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</si>
  <si>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</si>
  <si>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</si>
  <si>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</si>
  <si>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</si>
  <si>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</si>
  <si>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</si>
  <si>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</si>
  <si>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</si>
  <si>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</si>
  <si>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</si>
  <si>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</si>
  <si>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</si>
  <si>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</si>
  <si>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</si>
  <si>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</si>
  <si>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</si>
  <si>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</si>
  <si>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</si>
  <si>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</si>
  <si>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</si>
  <si>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</si>
  <si>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</si>
  <si>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</si>
  <si>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</si>
  <si>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</si>
  <si>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</si>
  <si>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</si>
  <si>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</si>
  <si>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</si>
  <si>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</si>
  <si>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</si>
  <si>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</si>
  <si>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</si>
  <si>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</si>
  <si>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</si>
  <si>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</si>
  <si>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</si>
  <si>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</si>
  <si>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</si>
  <si>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</si>
  <si>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</si>
  <si>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</si>
  <si>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</si>
  <si>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</si>
  <si>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</si>
  <si>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</si>
  <si>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</si>
  <si>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</si>
  <si>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</si>
  <si>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</si>
  <si>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</si>
  <si>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</si>
  <si>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</si>
  <si>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</si>
  <si>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</si>
  <si>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</si>
  <si>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</si>
  <si>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</si>
  <si>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</si>
  <si>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</si>
  <si>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</si>
  <si>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</si>
  <si>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</si>
  <si>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</si>
  <si>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</si>
  <si>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</si>
  <si>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</si>
  <si>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</si>
  <si>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</si>
  <si>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</si>
  <si>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</si>
  <si>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</si>
  <si>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</si>
  <si>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</si>
  <si>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</si>
  <si>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</si>
  <si>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</si>
  <si>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</si>
  <si>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</si>
  <si>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</si>
  <si>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</si>
  <si>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</si>
  <si>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</si>
  <si>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</si>
  <si>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</si>
  <si>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</si>
  <si>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</si>
  <si>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</si>
  <si>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</si>
  <si>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</si>
  <si>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</si>
  <si>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</si>
  <si>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</si>
  <si>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</si>
  <si>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</si>
  <si>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</si>
  <si>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</si>
  <si>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</si>
  <si>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</si>
  <si>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</si>
  <si>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</si>
  <si>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</si>
  <si>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</si>
  <si>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</si>
  <si>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</si>
  <si>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</si>
  <si>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</si>
  <si>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</si>
  <si>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</si>
  <si>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</si>
  <si>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</si>
  <si>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</si>
  <si>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</si>
  <si>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</si>
  <si>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</si>
  <si>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</si>
  <si>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</si>
  <si>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</si>
  <si>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</si>
  <si>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</si>
  <si>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</si>
  <si>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</si>
  <si>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</si>
  <si>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</si>
  <si>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</si>
  <si>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</si>
  <si>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</si>
  <si>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</si>
  <si>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</si>
  <si>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</si>
  <si>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</si>
  <si>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</si>
  <si>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</si>
  <si>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</si>
  <si>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</si>
  <si>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</si>
  <si>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</si>
  <si>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</si>
  <si>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</si>
  <si>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</si>
  <si>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</si>
  <si>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</si>
  <si>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</si>
  <si>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</si>
  <si>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</si>
  <si>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</si>
  <si>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</si>
  <si>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</si>
  <si>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</si>
  <si>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</si>
  <si>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</si>
  <si>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</si>
  <si>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</si>
  <si>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</si>
  <si>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</si>
  <si>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</si>
  <si>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</si>
  <si>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</si>
  <si>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</si>
  <si>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</si>
  <si>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</si>
  <si>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</si>
  <si>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</si>
  <si>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</si>
  <si>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</si>
  <si>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</si>
  <si>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</si>
  <si>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</si>
  <si>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</si>
  <si>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</si>
  <si>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</si>
  <si>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</si>
  <si>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</si>
  <si>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</si>
  <si>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</si>
  <si>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</si>
  <si>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</si>
  <si>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</si>
  <si>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</si>
  <si>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</si>
  <si>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</si>
  <si>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</si>
  <si>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</si>
  <si>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</si>
  <si>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</si>
  <si>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</si>
  <si>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</si>
  <si>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</si>
  <si>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</si>
  <si>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</si>
  <si>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</si>
  <si>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</si>
  <si>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</si>
  <si>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</si>
  <si>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</si>
  <si>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</si>
  <si>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</si>
  <si>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</si>
  <si>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</si>
  <si>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</si>
  <si>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</si>
  <si>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</si>
  <si>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</si>
  <si>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</si>
  <si>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</si>
  <si>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</si>
  <si>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</si>
  <si>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</si>
  <si>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</si>
  <si>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</si>
  <si>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</si>
  <si>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</si>
  <si>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</si>
  <si>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</si>
  <si>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</si>
  <si>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</si>
  <si>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</si>
  <si>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</si>
  <si>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</si>
  <si>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</si>
  <si>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</si>
  <si>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</si>
  <si>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</si>
  <si>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</si>
  <si>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</si>
  <si>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</si>
  <si>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</si>
  <si>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</si>
  <si>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</si>
  <si>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</si>
  <si>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</si>
  <si>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</si>
  <si>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</si>
  <si>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</si>
  <si>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</si>
  <si>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</si>
  <si>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</si>
  <si>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</si>
  <si>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</si>
  <si>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</si>
  <si>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</si>
  <si>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</si>
  <si>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</si>
  <si>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</si>
  <si>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</si>
  <si>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</si>
  <si>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</si>
  <si>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</si>
  <si>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</si>
  <si>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</si>
  <si>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</si>
  <si>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</si>
  <si>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</si>
  <si>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</si>
  <si>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</si>
  <si>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</si>
  <si>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</si>
  <si>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</si>
  <si>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</si>
  <si>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</si>
  <si>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</si>
  <si>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</si>
  <si>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</si>
  <si>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</si>
  <si>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</si>
  <si>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</si>
  <si>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</si>
  <si>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</si>
  <si>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</si>
  <si>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</si>
  <si>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</si>
  <si>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</si>
  <si>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</si>
  <si>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</si>
  <si>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</si>
  <si>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</si>
  <si>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</si>
  <si>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</si>
  <si>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</si>
  <si>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</si>
  <si>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</si>
  <si>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</si>
  <si>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</si>
  <si>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</si>
  <si>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</si>
  <si>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</si>
  <si>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</si>
  <si>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</si>
  <si>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</si>
  <si>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</si>
  <si>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</si>
  <si>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</si>
  <si>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</si>
  <si>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</si>
  <si>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</si>
  <si>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</si>
  <si>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</si>
  <si>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</si>
  <si>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</si>
  <si>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</si>
  <si>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</si>
  <si>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</si>
  <si>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</si>
  <si>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</si>
  <si>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</si>
  <si>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</si>
  <si>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</si>
  <si>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</si>
  <si>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</si>
  <si>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</si>
  <si>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</si>
  <si>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</si>
  <si>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</si>
  <si>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</si>
  <si>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</si>
  <si>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</si>
  <si>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</si>
  <si>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</si>
  <si>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</si>
  <si>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</si>
  <si>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</si>
  <si>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</si>
  <si>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</si>
  <si>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</si>
  <si>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</si>
  <si>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</si>
  <si>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</si>
  <si>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</si>
  <si>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</si>
  <si>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</si>
  <si>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</si>
  <si>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</si>
  <si>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</si>
  <si>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</si>
  <si>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</si>
  <si>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</si>
  <si>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</si>
  <si>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</si>
  <si>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</si>
  <si>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</si>
  <si>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</si>
  <si>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</si>
  <si>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</si>
  <si>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</si>
  <si>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</si>
  <si>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</si>
  <si>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</si>
  <si>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</si>
  <si>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</si>
  <si>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</si>
  <si>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</si>
  <si>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</si>
  <si>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</si>
  <si>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</si>
  <si>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</si>
  <si>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</si>
  <si>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</si>
  <si>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</si>
  <si>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</si>
  <si>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</si>
  <si>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</si>
  <si>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</si>
  <si>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</si>
  <si>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</si>
  <si>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</si>
  <si>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</si>
  <si>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</si>
  <si>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</si>
  <si>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</si>
  <si>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</si>
  <si>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</si>
  <si>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</si>
  <si>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</si>
  <si>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</si>
  <si>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</si>
  <si>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</si>
  <si>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</si>
  <si>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</si>
  <si>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</si>
  <si>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</si>
  <si>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</si>
  <si>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</si>
  <si>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</si>
  <si>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</si>
  <si>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</si>
  <si>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</si>
  <si>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</si>
  <si>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</si>
  <si>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</si>
  <si>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</si>
  <si>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</si>
  <si>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</si>
  <si>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</si>
  <si>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</si>
  <si>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</si>
  <si>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</si>
  <si>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</si>
  <si>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</si>
  <si>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</si>
  <si>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</si>
  <si>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</si>
  <si>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</si>
  <si>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</si>
  <si>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</si>
  <si>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</si>
  <si>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</si>
  <si>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</si>
  <si>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</si>
  <si>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</si>
  <si>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</si>
  <si>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</si>
  <si>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</si>
  <si>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</si>
  <si>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</si>
  <si>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</si>
  <si>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</si>
  <si>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</si>
  <si>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</si>
  <si>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</si>
  <si>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</si>
  <si>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</si>
  <si>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</si>
  <si>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</si>
  <si>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</si>
  <si>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</si>
  <si>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</si>
  <si>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</si>
  <si>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</si>
  <si>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</si>
  <si>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</si>
  <si>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</si>
  <si>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</si>
  <si>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</si>
  <si>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</si>
  <si>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</si>
  <si>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</si>
  <si>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</si>
  <si>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</si>
  <si>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</si>
  <si>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</si>
  <si>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</si>
  <si>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</si>
  <si>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</si>
  <si>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</si>
  <si>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</si>
  <si>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</si>
  <si>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</si>
  <si>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</si>
  <si>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</si>
  <si>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</si>
  <si>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</si>
  <si>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</si>
  <si>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</si>
  <si>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</si>
  <si>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</si>
  <si>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EM PROCESSO FINAL DE FABRICAÇÃO 
3 CARRETAS DISPONIVEIS PARA EXPEDIÇÃO 23/07 e 27/07/2026</t>
  </si>
  <si>
    <t>Liberado para coleta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</si>
</sst>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88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7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14" fontId="0" fillId="0" borderId="6" xfId="0" applyNumberFormat="1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2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19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96.935400000000001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6.6255999999999986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9.3223999999999982</c:v>
                </c:pt>
                <c:pt idx="4">
                  <c:v>7.6869000000000014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29.148599999999998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18.076400000000003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3.6992000000000003</c:v>
                </c:pt>
                <c:pt idx="4">
                  <c:v>4.9574999999999996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67.786799999999999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5.8249999999999993</c:v>
                </c:pt>
                <c:pt idx="4">
                  <c:v>9.6000999999999994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64.571100000000001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7.2016000000000009</c:v>
                </c:pt>
                <c:pt idx="4">
                  <c:v>3.0447000000000015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31.996100000000002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608" totalsRowShown="0" headerRowDxfId="108" tableBorderDxfId="107">
  <autoFilter ref="A1:AW608" xr:uid="{00000000-000C-0000-FFFF-FFFF00000000}">
    <filterColumn colId="11">
      <filters>
        <filter val="P-898"/>
      </filters>
    </filterColumn>
  </autoFilter>
  <tableColumns count="49">
    <tableColumn id="1" xr3:uid="{00000000-0010-0000-0000-000001000000}" name="DESENHO_x000a_MDE" dataDxfId="106"/>
    <tableColumn id="43" xr3:uid="{56981E1B-CD3E-434D-AB02-C5F83A6F3E43}" name="DESENHO_x000a_CLIENTE" dataDxfId="105"/>
    <tableColumn id="2" xr3:uid="{00000000-0010-0000-0000-000002000000}" name="QTE" dataDxfId="104"/>
    <tableColumn id="3" xr3:uid="{00000000-0010-0000-0000-000003000000}" name="DESCRIÇÃO" dataDxfId="103"/>
    <tableColumn id="41" xr3:uid="{00000000-0010-0000-0000-000029000000}" name="COD.MDE" dataDxfId="102"/>
    <tableColumn id="40" xr3:uid="{00000000-0010-0000-0000-000028000000}" name="REMESSA" dataDxfId="101"/>
    <tableColumn id="4" xr3:uid="{00000000-0010-0000-0000-000004000000}" name="PESO UNI" dataDxfId="100"/>
    <tableColumn id="5" xr3:uid="{00000000-0010-0000-0000-000005000000}" name="PESO TOTAL" dataDxfId="99"/>
    <tableColumn id="6" xr3:uid="{00000000-0010-0000-0000-000006000000}" name="Revisão" dataDxfId="98"/>
    <tableColumn id="7" xr3:uid="{00000000-0010-0000-0000-000007000000}" name="TAG" dataDxfId="97"/>
    <tableColumn id="38" xr3:uid="{00000000-0010-0000-0000-000026000000}" name="PRODUTO" dataDxfId="96"/>
    <tableColumn id="8" xr3:uid="{00000000-0010-0000-0000-000008000000}" name="PEDIDO" dataDxfId="95"/>
    <tableColumn id="9" xr3:uid="{00000000-0010-0000-0000-000009000000}" name="Engenharia" dataDxfId="94"/>
    <tableColumn id="10" xr3:uid="{00000000-0010-0000-0000-00000A000000}" name="FORNECEDOR" dataDxfId="93"/>
    <tableColumn id="11" xr3:uid="{00000000-0010-0000-0000-00000B000000}" name="QTDE/ Fabricação" dataDxfId="92"/>
    <tableColumn id="12" xr3:uid="{00000000-0010-0000-0000-00000C000000}" name="DATA/Fabricação" dataDxfId="91"/>
    <tableColumn id="13" xr3:uid="{00000000-0010-0000-0000-00000D000000}" name="SALDO PENDENTE/Fabricação" dataDxfId="90"/>
    <tableColumn id="14" xr3:uid="{00000000-0010-0000-0000-00000E000000}" name="EVOLUÇÃO PRETO / Fabricação_x000a_(kg)" dataDxfId="89"/>
    <tableColumn id="15" xr3:uid="{00000000-0010-0000-0000-00000F000000}" name="PRONTO ACABADO kg" dataDxfId="88">
      <calculatedColumnFormula>IFERROR(H2*AG2,"")</calculatedColumnFormula>
    </tableColumn>
    <tableColumn id="16" xr3:uid="{00000000-0010-0000-0000-000010000000}" name="Pendencia  / Fabricação_x000a_EM KG" dataDxfId="87"/>
    <tableColumn id="17" xr3:uid="{00000000-0010-0000-0000-000011000000}" name="QIANTIDADE EXPEDIDA" dataDxfId="86"/>
    <tableColumn id="18" xr3:uid="{00000000-0010-0000-0000-000012000000}" name="ROMANEIO " dataDxfId="85"/>
    <tableColumn id="19" xr3:uid="{00000000-0010-0000-0000-000013000000}" name="DATA EXPEDIÇÃO" dataDxfId="84"/>
    <tableColumn id="20" xr3:uid="{00000000-0010-0000-0000-000014000000}" name="Peso Expedido" dataDxfId="83"/>
    <tableColumn id="21" xr3:uid="{00000000-0010-0000-0000-000015000000}" name="QUANTIDADE PENDENTE/Expedição" dataDxfId="82"/>
    <tableColumn id="22" xr3:uid="{00000000-0010-0000-0000-000016000000}" name="PESO PENDENTE/Expedição" dataDxfId="81"/>
    <tableColumn id="23" xr3:uid="{00000000-0010-0000-0000-000017000000}" name="MATÉRIA PRIMA" dataDxfId="80"/>
    <tableColumn id="24" xr3:uid="{00000000-0010-0000-0000-000018000000}" name="RELATORIO" dataDxfId="79"/>
    <tableColumn id="25" xr3:uid="{00000000-0010-0000-0000-000019000000}" name="PREPARAÇÃO " dataDxfId="78"/>
    <tableColumn id="26" xr3:uid="{00000000-0010-0000-0000-00001A000000}" name="CALDEIRARIA" dataDxfId="77"/>
    <tableColumn id="27" xr3:uid="{00000000-0010-0000-0000-00001B000000}" name="SOLDA" dataDxfId="76"/>
    <tableColumn id="28" xr3:uid="{00000000-0010-0000-0000-00001C000000}" name="ACABAMENTO" dataDxfId="75"/>
    <tableColumn id="29" xr3:uid="{00000000-0010-0000-0000-00001D000000}" name="PRONTO ACABADO" dataDxfId="74"/>
    <tableColumn id="30" xr3:uid="{00000000-0010-0000-0000-00001E000000}" name="EXPEDIÇÃO " dataDxfId="73"/>
    <tableColumn id="31" xr3:uid="{00000000-0010-0000-0000-00001F000000}" name="FINALIZADO " dataDxfId="72"/>
    <tableColumn id="32" xr3:uid="{00000000-0010-0000-0000-000020000000}" name="Coluna1" dataDxfId="71"/>
    <tableColumn id="33" xr3:uid="{00000000-0010-0000-0000-000021000000}" name="Coluna2" dataDxfId="70"/>
    <tableColumn id="34" xr3:uid="{00000000-0010-0000-0000-000022000000}" name="Coluna3" dataDxfId="69"/>
    <tableColumn id="35" xr3:uid="{00000000-0010-0000-0000-000023000000}" name="Coluna4" dataDxfId="68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67"/>
    <tableColumn id="42" xr3:uid="{44772FB5-94B9-4683-9D51-42A525419432}" name="Colunas7" dataDxfId="66"/>
    <tableColumn id="44" xr3:uid="{7DBCA215-A831-41EC-8668-4217050D7CEF}" name="Coluna5" dataDxfId="65"/>
    <tableColumn id="52" xr3:uid="{0F1E3E30-ACD2-41A7-9FEB-CFC4141C720F}" name="PRONTO NO PRETO" dataDxfId="64"/>
    <tableColumn id="53" xr3:uid="{7B42991E-C57D-449B-9CA4-FF51ED3B7EE1}" name="PRONTO ACABADO3" dataDxfId="63"/>
    <tableColumn id="54" xr3:uid="{B185D57F-2904-41B4-A913-414AD30553DC}" name="PESO EXPEDIDO2" dataDxfId="62"/>
    <tableColumn id="55" xr3:uid="{216FC5C0-1E81-4ACF-B1FE-D38AAA1F26E6}" name="PRONTO ACABADO2" dataDxfId="61"/>
    <tableColumn id="57" xr3:uid="{58807113-78D0-4422-B88A-8E66792B9681}" name="Coluna7" dataDxfId="60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4" totalsRowShown="0" headerRowDxfId="118" headerRowBorderDxfId="117" tableBorderDxfId="116" totalsRowBorderDxfId="115">
  <autoFilter ref="A1:F14" xr:uid="{9E04BDB3-7991-400D-A075-6EF4E207F167}"/>
  <tableColumns count="6">
    <tableColumn id="1" xr3:uid="{0986BF72-EBA9-4CAA-A22C-20021A2F0193}" name="PEDIDO" dataDxfId="114"/>
    <tableColumn id="2" xr3:uid="{1E29E510-3230-4D4A-9101-BF1603DA1959}" name="EQUIPAMENTO" dataDxfId="113"/>
    <tableColumn id="3" xr3:uid="{27EA8246-98FE-4DF0-AB4F-2563340E3A33}" name="DATA PREVISTA " dataDxfId="112"/>
    <tableColumn id="4" xr3:uid="{178705E0-20E1-4EA8-BD6A-04EDA09B960F}" name="DATA REPROGRAMADA" dataDxfId="111"/>
    <tableColumn id="5" xr3:uid="{D69E8AE6-FCF7-4D70-8443-DFF41092DBA5}" name="Observação" dataDxfId="110"/>
    <tableColumn id="6" xr3:uid="{7ED96CF2-6F65-4A02-A0B9-FFDE23E894EB}" name="CLIENTE" dataDxfId="10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59">
  <autoFilter ref="D3:R395" xr:uid="{D635AFD0-01A4-4F4C-B4BB-2C0A84AFA373}"/>
  <tableColumns count="15">
    <tableColumn id="1" xr3:uid="{71019319-E348-41C4-90A8-BD800AFA385A}" name="TAG" dataDxfId="58"/>
    <tableColumn id="2" xr3:uid="{6205B1F5-4B96-401E-A8F0-D0B582A87E91}" name="PEDIDO" dataDxfId="57">
      <calculatedColumnFormula>VLOOKUP(Tabela2[[#This Row],[TAG]],MICRO!J:L,3,0)</calculatedColumnFormula>
    </tableColumn>
    <tableColumn id="3" xr3:uid="{EBC41BBB-459B-4DB5-8152-2C7C2C7ADFAA}" name="FORNECEDOR" dataDxfId="56" dataCellStyle="Normal 2"/>
    <tableColumn id="4" xr3:uid="{EE719B42-3B82-4AC6-AB4D-66A5AF76AAFC}" name="RECEBIDO ENGENHARIA (kg)" dataDxfId="55">
      <calculatedColumnFormula>SUMIF(MICRO!AP:AP,O:O,MICRO!H:H)</calculatedColumnFormula>
    </tableColumn>
    <tableColumn id="5" xr3:uid="{F8EF71F0-2467-40E6-8596-0C50AE8B2E56}" name="EM AVANÇO NO PRETO (kg)" dataDxfId="54">
      <calculatedColumnFormula>SUMIF(MICRO!AP:AP,O:O,MICRO!R:R)</calculatedColumnFormula>
    </tableColumn>
    <tableColumn id="6" xr3:uid="{70FA8036-1726-409E-865E-BBD68DD0CF2B}" name="Pendencia  / Fabricação_x000a_EM KG _x000a_(Kg)" dataDxfId="53">
      <calculatedColumnFormula>SUMIF(MICRO!AP:AP,O:O,MICRO!T:T)</calculatedColumnFormula>
    </tableColumn>
    <tableColumn id="7" xr3:uid="{2EDBF5C8-B6A0-4234-9B37-F4D245CBE335}" name="EVOLUÇÃO %" dataDxfId="52">
      <calculatedColumnFormula>IF(G4 = 0,0,H4/G4)</calculatedColumnFormula>
    </tableColumn>
    <tableColumn id="8" xr3:uid="{981D372E-5C81-43AA-82CF-C526D0CD7BC5}" name="PESO EXPEDIDO" dataDxfId="51">
      <calculatedColumnFormula>SUMIF(MICRO!AP:AP,O:O,MICRO!X:X)</calculatedColumnFormula>
    </tableColumn>
    <tableColumn id="9" xr3:uid="{9581E1B5-4976-4A66-B050-5EDFF64499FF}" name="% EXPEDIDO" dataDxfId="50">
      <calculatedColumnFormula>IF(G4&lt;&gt;0,SUM(K4/G4*1),"0%")</calculatedColumnFormula>
    </tableColumn>
    <tableColumn id="10" xr3:uid="{5A0DEF47-FBD5-46D6-A019-DB5E3CF46E5B}" name="PESO PENDENTE4" dataDxfId="49">
      <calculatedColumnFormula>G4-K4</calculatedColumnFormula>
    </tableColumn>
    <tableColumn id="11" xr3:uid="{AD13F8E0-0652-4176-B922-E74BEC175E7A}" name="Coluna1" dataDxfId="48">
      <calculatedColumnFormula>E4&amp;F4</calculatedColumnFormula>
    </tableColumn>
    <tableColumn id="12" xr3:uid="{9AB5E2D8-1AD6-4B63-A9ED-66372E94A48F}" name="Coluna2" dataDxfId="47">
      <calculatedColumnFormula>D4&amp;E4&amp;F4</calculatedColumnFormula>
    </tableColumn>
    <tableColumn id="13" xr3:uid="{ED15B1A8-5672-4E4D-9246-3BC797332C64}" name="PRONTO NO PRETO" dataDxfId="46">
      <calculatedColumnFormula>SUMIF(MICRO!AP:AP,O4,MICRO!AS:AS)</calculatedColumnFormula>
    </tableColumn>
    <tableColumn id="14" xr3:uid="{986427E9-0E8F-46D1-987F-01DBA908B397}" name="PRONTO ACABADO" dataDxfId="45">
      <calculatedColumnFormula>SUMIF(MICRO!AP:AP,O4,MICRO!AT:AT)</calculatedColumnFormula>
    </tableColumn>
    <tableColumn id="15" xr3:uid="{4361E9F4-014E-4677-9D4A-8DBAE707BA31}" name="PESO EXPEDIDO2" dataDxfId="44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D22" sqref="D22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16" t="s">
        <v>327</v>
      </c>
      <c r="B1" s="218" t="s">
        <v>892</v>
      </c>
      <c r="C1" s="219"/>
      <c r="D1" s="219"/>
      <c r="E1" s="219"/>
      <c r="F1" s="219"/>
      <c r="G1" s="220"/>
      <c r="H1" s="213" t="s">
        <v>332</v>
      </c>
      <c r="I1" s="214"/>
      <c r="J1" s="214"/>
      <c r="K1" s="215"/>
    </row>
    <row r="2" spans="1:11" x14ac:dyDescent="0.25">
      <c r="A2" s="217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45</v>
      </c>
      <c r="H2" s="181" t="s">
        <v>328</v>
      </c>
      <c r="I2" s="181" t="s">
        <v>47</v>
      </c>
      <c r="J2" s="181" t="s">
        <v>1024</v>
      </c>
      <c r="K2" s="181" t="s">
        <v>333</v>
      </c>
    </row>
    <row r="3" spans="1:11" x14ac:dyDescent="0.25">
      <c r="A3" s="107" t="s">
        <v>3032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3029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10"/>
      <c r="B5" s="211"/>
      <c r="C5" s="211"/>
      <c r="D5" s="211"/>
      <c r="E5" s="211"/>
      <c r="F5" s="211"/>
      <c r="G5" s="211"/>
      <c r="H5" s="211"/>
      <c r="I5" s="211"/>
      <c r="J5" s="211"/>
      <c r="K5" s="212"/>
    </row>
    <row r="6" spans="1:11" x14ac:dyDescent="0.25">
      <c r="A6" s="107" t="s">
        <v>3031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316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3030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334</v>
      </c>
      <c r="B9" s="183">
        <v>25</v>
      </c>
      <c r="C9" s="183">
        <v>10</v>
      </c>
      <c r="D9" s="183">
        <v>15</v>
      </c>
      <c r="E9" s="183">
        <v>8</v>
      </c>
      <c r="F9" s="183">
        <v>5</v>
      </c>
      <c r="G9" s="183">
        <v>15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608"/>
  <sheetViews>
    <sheetView showGridLines="0" topLeftCell="K1" zoomScale="70" zoomScaleNormal="70" workbookViewId="0">
      <pane ySplit="1" topLeftCell="A455" activePane="bottomLeft" state="frozen"/>
      <selection pane="bottomLeft" activeCell="AA611" sqref="AA611"/>
    </sheetView>
  </sheetViews>
  <sheetFormatPr defaultColWidth="9.140625" defaultRowHeight="15.75" customHeight="1" x14ac:dyDescent="0.25"/>
  <cols>
    <col min="1" max="1" width="24.42578125" style="25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bestFit="1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hidden="1" customWidth="1"/>
    <col min="16" max="16" width="13" style="31" hidden="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35</v>
      </c>
      <c r="B1" s="38" t="s">
        <v>34</v>
      </c>
      <c r="C1" s="38" t="s">
        <v>0</v>
      </c>
      <c r="D1" s="38" t="s">
        <v>1</v>
      </c>
      <c r="E1" s="40" t="s">
        <v>231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48</v>
      </c>
      <c r="L1" s="38" t="s">
        <v>43</v>
      </c>
      <c r="M1" s="38" t="s">
        <v>7</v>
      </c>
      <c r="N1" s="38" t="s">
        <v>49</v>
      </c>
      <c r="O1" s="173" t="s">
        <v>50</v>
      </c>
      <c r="P1" s="4" t="s">
        <v>51</v>
      </c>
      <c r="Q1" s="4" t="s">
        <v>52</v>
      </c>
      <c r="R1" s="4" t="s">
        <v>53</v>
      </c>
      <c r="S1" s="4" t="s">
        <v>4326</v>
      </c>
      <c r="T1" s="15" t="s">
        <v>54</v>
      </c>
      <c r="U1" s="169" t="s">
        <v>8</v>
      </c>
      <c r="V1" s="170" t="s">
        <v>9</v>
      </c>
      <c r="W1" s="170" t="s">
        <v>37</v>
      </c>
      <c r="X1" s="170" t="s">
        <v>25</v>
      </c>
      <c r="Y1" s="171" t="s">
        <v>55</v>
      </c>
      <c r="Z1" s="172" t="s">
        <v>56</v>
      </c>
      <c r="AA1" s="174" t="s">
        <v>3000</v>
      </c>
      <c r="AB1" s="175" t="s">
        <v>10</v>
      </c>
      <c r="AC1" s="3" t="s">
        <v>3001</v>
      </c>
      <c r="AD1" s="3" t="s">
        <v>3002</v>
      </c>
      <c r="AE1" s="3" t="s">
        <v>3003</v>
      </c>
      <c r="AF1" s="3" t="s">
        <v>3162</v>
      </c>
      <c r="AG1" s="3" t="s">
        <v>3031</v>
      </c>
      <c r="AH1" s="3" t="s">
        <v>3004</v>
      </c>
      <c r="AI1" s="176" t="s">
        <v>3163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36</v>
      </c>
      <c r="AR1" s="2" t="s">
        <v>38</v>
      </c>
      <c r="AS1" s="119" t="s">
        <v>823</v>
      </c>
      <c r="AT1" s="119" t="s">
        <v>4327</v>
      </c>
      <c r="AU1" s="119" t="s">
        <v>1023</v>
      </c>
      <c r="AV1" s="119" t="s">
        <v>3310</v>
      </c>
      <c r="AW1" s="2" t="s">
        <v>1870</v>
      </c>
    </row>
    <row r="2" spans="1:49" ht="15.75" hidden="1" customHeight="1" x14ac:dyDescent="0.25">
      <c r="A2" s="6" t="s">
        <v>2273</v>
      </c>
      <c r="B2" s="21"/>
      <c r="C2" s="7">
        <v>38</v>
      </c>
      <c r="D2" s="39" t="s">
        <v>2274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2275</v>
      </c>
      <c r="K2" s="8" t="s">
        <v>33</v>
      </c>
      <c r="L2" s="9" t="s">
        <v>2070</v>
      </c>
      <c r="M2" s="10">
        <v>46100</v>
      </c>
      <c r="N2" s="8" t="s">
        <v>39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52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2273</v>
      </c>
      <c r="B3" s="21"/>
      <c r="C3" s="7">
        <v>38</v>
      </c>
      <c r="D3" s="39" t="s">
        <v>2274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2277</v>
      </c>
      <c r="K3" s="8" t="s">
        <v>33</v>
      </c>
      <c r="L3" s="9" t="s">
        <v>2070</v>
      </c>
      <c r="M3" s="10">
        <v>46100</v>
      </c>
      <c r="N3" s="8" t="s">
        <v>39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53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2276</v>
      </c>
      <c r="B4" s="21"/>
      <c r="C4" s="7">
        <v>1</v>
      </c>
      <c r="D4" s="39" t="s">
        <v>2279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2275</v>
      </c>
      <c r="K4" s="8" t="s">
        <v>33</v>
      </c>
      <c r="L4" s="9" t="s">
        <v>2070</v>
      </c>
      <c r="M4" s="10">
        <v>46100</v>
      </c>
      <c r="N4" s="8" t="s">
        <v>39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2276</v>
      </c>
      <c r="B5" s="21"/>
      <c r="C5" s="7">
        <v>1</v>
      </c>
      <c r="D5" s="39" t="s">
        <v>2279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2277</v>
      </c>
      <c r="K5" s="8" t="s">
        <v>33</v>
      </c>
      <c r="L5" s="9" t="s">
        <v>2070</v>
      </c>
      <c r="M5" s="10">
        <v>46100</v>
      </c>
      <c r="N5" s="8" t="s">
        <v>39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2278</v>
      </c>
      <c r="B6" s="21"/>
      <c r="C6" s="7">
        <v>4</v>
      </c>
      <c r="D6" s="39" t="s">
        <v>2280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2275</v>
      </c>
      <c r="K6" s="8" t="s">
        <v>33</v>
      </c>
      <c r="L6" s="9" t="s">
        <v>2070</v>
      </c>
      <c r="M6" s="10">
        <v>46100</v>
      </c>
      <c r="N6" s="8" t="s">
        <v>39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2278</v>
      </c>
      <c r="B7" s="21"/>
      <c r="C7" s="7">
        <v>4</v>
      </c>
      <c r="D7" s="39" t="s">
        <v>2280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2277</v>
      </c>
      <c r="K7" s="8" t="s">
        <v>33</v>
      </c>
      <c r="L7" s="9" t="s">
        <v>2070</v>
      </c>
      <c r="M7" s="10">
        <v>46100</v>
      </c>
      <c r="N7" s="8" t="s">
        <v>39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2281</v>
      </c>
      <c r="B8" s="21"/>
      <c r="C8" s="7">
        <v>1</v>
      </c>
      <c r="D8" s="39" t="s">
        <v>2282</v>
      </c>
      <c r="E8" s="7">
        <v>3398</v>
      </c>
      <c r="F8" s="7">
        <v>8</v>
      </c>
      <c r="G8" s="23">
        <v>67</v>
      </c>
      <c r="H8" s="34">
        <f>Tabela1[[#This Row],[PESO UNI]]*Tabela1[[#This Row],[QTE]]</f>
        <v>67</v>
      </c>
      <c r="I8" s="7">
        <v>0</v>
      </c>
      <c r="J8" s="8" t="s">
        <v>2275</v>
      </c>
      <c r="K8" s="8" t="s">
        <v>33</v>
      </c>
      <c r="L8" s="9" t="s">
        <v>2070</v>
      </c>
      <c r="M8" s="10">
        <v>46100</v>
      </c>
      <c r="N8" s="8" t="s">
        <v>39</v>
      </c>
      <c r="O8" s="12"/>
      <c r="P8" s="13"/>
      <c r="Q8" s="14">
        <f>Tabela1[[#This Row],[QTDE/ Fabricação]]-Tabela1[[#This Row],[QTE]]</f>
        <v>-1</v>
      </c>
      <c r="R8" s="18">
        <f t="shared" si="0"/>
        <v>0</v>
      </c>
      <c r="S8" s="18">
        <f t="shared" si="7"/>
        <v>0</v>
      </c>
      <c r="T8" s="19">
        <f t="shared" si="1"/>
        <v>-67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0">
        <f>Tabela1[[#This Row],[PESO TOTAL]]-Tabela1[[#This Row],[Peso Expedido]]</f>
        <v>0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2281</v>
      </c>
      <c r="B9" s="21"/>
      <c r="C9" s="7">
        <v>1</v>
      </c>
      <c r="D9" s="39" t="s">
        <v>2282</v>
      </c>
      <c r="E9" s="7">
        <v>3399</v>
      </c>
      <c r="F9" s="7">
        <v>8</v>
      </c>
      <c r="G9" s="23">
        <v>67</v>
      </c>
      <c r="H9" s="34">
        <f>Tabela1[[#This Row],[PESO UNI]]*Tabela1[[#This Row],[QTE]]</f>
        <v>67</v>
      </c>
      <c r="I9" s="7">
        <v>0</v>
      </c>
      <c r="J9" s="8" t="s">
        <v>2277</v>
      </c>
      <c r="K9" s="8" t="s">
        <v>33</v>
      </c>
      <c r="L9" s="9" t="s">
        <v>2070</v>
      </c>
      <c r="M9" s="10">
        <v>46100</v>
      </c>
      <c r="N9" s="8" t="s">
        <v>39</v>
      </c>
      <c r="O9" s="12"/>
      <c r="P9" s="13"/>
      <c r="Q9" s="14">
        <f>Tabela1[[#This Row],[QTDE/ Fabricação]]-Tabela1[[#This Row],[QTE]]</f>
        <v>-1</v>
      </c>
      <c r="R9" s="18">
        <f t="shared" si="0"/>
        <v>0</v>
      </c>
      <c r="S9" s="18">
        <f t="shared" si="7"/>
        <v>0</v>
      </c>
      <c r="T9" s="19">
        <f t="shared" si="1"/>
        <v>-67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0">
        <f>Tabela1[[#This Row],[PESO TOTAL]]-Tabela1[[#This Row],[Peso Expedido]]</f>
        <v>0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2283</v>
      </c>
      <c r="B10" s="21"/>
      <c r="C10" s="7">
        <v>9</v>
      </c>
      <c r="D10" s="39" t="s">
        <v>2284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2275</v>
      </c>
      <c r="K10" s="8" t="s">
        <v>33</v>
      </c>
      <c r="L10" s="9" t="s">
        <v>2070</v>
      </c>
      <c r="M10" s="10">
        <v>46100</v>
      </c>
      <c r="N10" s="8" t="s">
        <v>39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2283</v>
      </c>
      <c r="B11" s="21"/>
      <c r="C11" s="7">
        <v>9</v>
      </c>
      <c r="D11" s="39" t="s">
        <v>2284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2277</v>
      </c>
      <c r="K11" s="8" t="s">
        <v>33</v>
      </c>
      <c r="L11" s="9" t="s">
        <v>2070</v>
      </c>
      <c r="M11" s="10">
        <v>46100</v>
      </c>
      <c r="N11" s="8" t="s">
        <v>39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2285</v>
      </c>
      <c r="B12" s="21"/>
      <c r="C12" s="7">
        <v>11</v>
      </c>
      <c r="D12" s="39" t="s">
        <v>2286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2275</v>
      </c>
      <c r="K12" s="8" t="s">
        <v>33</v>
      </c>
      <c r="L12" s="9" t="s">
        <v>2070</v>
      </c>
      <c r="M12" s="10">
        <v>46100</v>
      </c>
      <c r="N12" s="8" t="s">
        <v>39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2285</v>
      </c>
      <c r="B13" s="21"/>
      <c r="C13" s="7">
        <v>11</v>
      </c>
      <c r="D13" s="39" t="s">
        <v>2286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2277</v>
      </c>
      <c r="K13" s="8" t="s">
        <v>33</v>
      </c>
      <c r="L13" s="9" t="s">
        <v>2070</v>
      </c>
      <c r="M13" s="10">
        <v>46100</v>
      </c>
      <c r="N13" s="8" t="s">
        <v>39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2287</v>
      </c>
      <c r="B14" s="21"/>
      <c r="C14" s="7">
        <v>2</v>
      </c>
      <c r="D14" s="39" t="s">
        <v>2288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2275</v>
      </c>
      <c r="K14" s="8" t="s">
        <v>33</v>
      </c>
      <c r="L14" s="9" t="s">
        <v>2070</v>
      </c>
      <c r="M14" s="10">
        <v>46100</v>
      </c>
      <c r="N14" s="8" t="s">
        <v>39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2287</v>
      </c>
      <c r="B15" s="21"/>
      <c r="C15" s="7">
        <v>2</v>
      </c>
      <c r="D15" s="39" t="s">
        <v>2288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2277</v>
      </c>
      <c r="K15" s="8" t="s">
        <v>33</v>
      </c>
      <c r="L15" s="9" t="s">
        <v>2070</v>
      </c>
      <c r="M15" s="10">
        <v>46100</v>
      </c>
      <c r="N15" s="8" t="s">
        <v>39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140</v>
      </c>
      <c r="B16" s="21"/>
      <c r="C16" s="7">
        <v>96</v>
      </c>
      <c r="D16" s="39" t="s">
        <v>189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2275</v>
      </c>
      <c r="K16" s="8" t="s">
        <v>23</v>
      </c>
      <c r="L16" s="9" t="s">
        <v>2070</v>
      </c>
      <c r="M16" s="10">
        <v>46100</v>
      </c>
      <c r="N16" s="8" t="s">
        <v>39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96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672</v>
      </c>
      <c r="Y16" s="14">
        <f t="shared" si="2"/>
        <v>0</v>
      </c>
      <c r="Z16" s="20">
        <f>Tabela1[[#This Row],[PESO TOTAL]]-Tabela1[[#This Row],[Peso Expedido]]</f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140</v>
      </c>
      <c r="B17" s="21"/>
      <c r="C17" s="7">
        <v>96</v>
      </c>
      <c r="D17" s="39" t="s">
        <v>189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2277</v>
      </c>
      <c r="K17" s="8" t="s">
        <v>23</v>
      </c>
      <c r="L17" s="9" t="s">
        <v>2070</v>
      </c>
      <c r="M17" s="10">
        <v>46100</v>
      </c>
      <c r="N17" s="8" t="s">
        <v>39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96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672</v>
      </c>
      <c r="Y17" s="14">
        <f t="shared" si="2"/>
        <v>0</v>
      </c>
      <c r="Z17" s="20">
        <f>Tabela1[[#This Row],[PESO TOTAL]]-Tabela1[[#This Row],[Peso Expedido]]</f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141</v>
      </c>
      <c r="B18" s="21"/>
      <c r="C18" s="7">
        <v>39</v>
      </c>
      <c r="D18" s="39" t="s">
        <v>1191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2275</v>
      </c>
      <c r="K18" s="8" t="s">
        <v>23</v>
      </c>
      <c r="L18" s="9" t="s">
        <v>2070</v>
      </c>
      <c r="M18" s="10">
        <v>46100</v>
      </c>
      <c r="N18" s="8" t="s">
        <v>39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141</v>
      </c>
      <c r="B19" s="21"/>
      <c r="C19" s="7">
        <v>39</v>
      </c>
      <c r="D19" s="39" t="s">
        <v>1191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2277</v>
      </c>
      <c r="K19" s="8" t="s">
        <v>23</v>
      </c>
      <c r="L19" s="9" t="s">
        <v>2070</v>
      </c>
      <c r="M19" s="10">
        <v>46100</v>
      </c>
      <c r="N19" s="8" t="s">
        <v>39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102</v>
      </c>
      <c r="B20" s="21"/>
      <c r="C20" s="7">
        <v>2</v>
      </c>
      <c r="D20" s="39" t="s">
        <v>147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2275</v>
      </c>
      <c r="K20" s="8" t="s">
        <v>23</v>
      </c>
      <c r="L20" s="9" t="s">
        <v>2070</v>
      </c>
      <c r="M20" s="10">
        <v>46100</v>
      </c>
      <c r="N20" s="8" t="s">
        <v>39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102</v>
      </c>
      <c r="B21" s="21"/>
      <c r="C21" s="7">
        <v>2</v>
      </c>
      <c r="D21" s="39" t="s">
        <v>147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2277</v>
      </c>
      <c r="K21" s="8" t="s">
        <v>23</v>
      </c>
      <c r="L21" s="9" t="s">
        <v>2070</v>
      </c>
      <c r="M21" s="10">
        <v>46100</v>
      </c>
      <c r="N21" s="8" t="s">
        <v>39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104</v>
      </c>
      <c r="B22" s="21"/>
      <c r="C22" s="7">
        <v>4</v>
      </c>
      <c r="D22" s="39" t="s">
        <v>125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2275</v>
      </c>
      <c r="K22" s="8" t="s">
        <v>23</v>
      </c>
      <c r="L22" s="9" t="s">
        <v>2070</v>
      </c>
      <c r="M22" s="10">
        <v>46100</v>
      </c>
      <c r="N22" s="8" t="s">
        <v>39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104</v>
      </c>
      <c r="B23" s="21"/>
      <c r="C23" s="7">
        <v>4</v>
      </c>
      <c r="D23" s="39" t="s">
        <v>125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2277</v>
      </c>
      <c r="K23" s="8" t="s">
        <v>23</v>
      </c>
      <c r="L23" s="9" t="s">
        <v>2070</v>
      </c>
      <c r="M23" s="10">
        <v>46100</v>
      </c>
      <c r="N23" s="8" t="s">
        <v>39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2289</v>
      </c>
      <c r="B24" s="21"/>
      <c r="C24" s="7">
        <v>14</v>
      </c>
      <c r="D24" s="39" t="s">
        <v>2290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2275</v>
      </c>
      <c r="K24" s="8" t="s">
        <v>23</v>
      </c>
      <c r="L24" s="9" t="s">
        <v>2070</v>
      </c>
      <c r="M24" s="10">
        <v>46100</v>
      </c>
      <c r="N24" s="8" t="s">
        <v>39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2289</v>
      </c>
      <c r="B25" s="21"/>
      <c r="C25" s="7">
        <v>14</v>
      </c>
      <c r="D25" s="39" t="s">
        <v>2290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2277</v>
      </c>
      <c r="K25" s="8" t="s">
        <v>23</v>
      </c>
      <c r="L25" s="9" t="s">
        <v>2070</v>
      </c>
      <c r="M25" s="10">
        <v>46100</v>
      </c>
      <c r="N25" s="8" t="s">
        <v>39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83</v>
      </c>
      <c r="B26" s="21"/>
      <c r="C26" s="7">
        <v>10</v>
      </c>
      <c r="D26" s="39" t="s">
        <v>2291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2275</v>
      </c>
      <c r="K26" s="8" t="s">
        <v>23</v>
      </c>
      <c r="L26" s="9" t="s">
        <v>2070</v>
      </c>
      <c r="M26" s="10">
        <v>46100</v>
      </c>
      <c r="N26" s="8" t="s">
        <v>39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83</v>
      </c>
      <c r="B27" s="21"/>
      <c r="C27" s="7">
        <v>10</v>
      </c>
      <c r="D27" s="39" t="s">
        <v>2291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2277</v>
      </c>
      <c r="K27" s="8" t="s">
        <v>23</v>
      </c>
      <c r="L27" s="9" t="s">
        <v>2070</v>
      </c>
      <c r="M27" s="10">
        <v>46100</v>
      </c>
      <c r="N27" s="8" t="s">
        <v>39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227</v>
      </c>
      <c r="B28" s="21"/>
      <c r="C28" s="7">
        <v>10</v>
      </c>
      <c r="D28" s="39" t="s">
        <v>3011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3012</v>
      </c>
      <c r="K28" s="8" t="s">
        <v>31</v>
      </c>
      <c r="L28" s="9" t="s">
        <v>2990</v>
      </c>
      <c r="M28" s="10">
        <v>46155</v>
      </c>
      <c r="N28" s="8" t="s">
        <v>39</v>
      </c>
      <c r="O28" s="12"/>
      <c r="P28" s="13"/>
      <c r="Q28" s="14">
        <f>Tabela1[[#This Row],[QTDE/ Fabricação]]-Tabela1[[#This Row],[QTE]]</f>
        <v>-10</v>
      </c>
      <c r="R28" s="18">
        <f t="shared" ref="R28:R52" si="8">IFERROR(H28*((AA28*0.25)+(AC28*0.25)+(AD28*0.225)+(AE28*0.225)+(AF28*0.05)),"")</f>
        <v>976</v>
      </c>
      <c r="S28" s="18">
        <f t="shared" si="7"/>
        <v>976</v>
      </c>
      <c r="T28" s="19">
        <f t="shared" ref="T28:T52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1016</v>
      </c>
      <c r="B29" s="21"/>
      <c r="C29" s="7">
        <v>1</v>
      </c>
      <c r="D29" s="39" t="s">
        <v>3013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3014</v>
      </c>
      <c r="K29" s="8" t="s">
        <v>22</v>
      </c>
      <c r="L29" s="9" t="s">
        <v>2991</v>
      </c>
      <c r="M29" s="10">
        <v>46155</v>
      </c>
      <c r="N29" s="8" t="s">
        <v>39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/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213.7</v>
      </c>
      <c r="AU29" s="37">
        <f t="shared" si="5"/>
        <v>0</v>
      </c>
      <c r="AV29" s="37">
        <f t="shared" si="6"/>
        <v>213.7</v>
      </c>
      <c r="AW29" s="37"/>
    </row>
    <row r="30" spans="1:49" ht="15.75" hidden="1" customHeight="1" x14ac:dyDescent="0.25">
      <c r="A30" s="6" t="s">
        <v>104</v>
      </c>
      <c r="B30" s="21"/>
      <c r="C30" s="7">
        <v>4</v>
      </c>
      <c r="D30" s="39" t="s">
        <v>3015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3016</v>
      </c>
      <c r="K30" s="8" t="s">
        <v>23</v>
      </c>
      <c r="L30" s="9" t="s">
        <v>3005</v>
      </c>
      <c r="M30" s="10">
        <v>46162</v>
      </c>
      <c r="N30" s="8" t="s">
        <v>39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33"/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10</v>
      </c>
      <c r="AU30" s="37">
        <f t="shared" si="5"/>
        <v>0</v>
      </c>
      <c r="AV30" s="37">
        <f t="shared" si="6"/>
        <v>10</v>
      </c>
      <c r="AW30" s="37"/>
    </row>
    <row r="31" spans="1:49" ht="15.75" hidden="1" customHeight="1" x14ac:dyDescent="0.25">
      <c r="A31" s="6" t="s">
        <v>171</v>
      </c>
      <c r="B31" s="21"/>
      <c r="C31" s="7">
        <v>30</v>
      </c>
      <c r="D31" s="39" t="s">
        <v>3017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3016</v>
      </c>
      <c r="K31" s="8" t="s">
        <v>23</v>
      </c>
      <c r="L31" s="9" t="s">
        <v>3005</v>
      </c>
      <c r="M31" s="10">
        <v>46162</v>
      </c>
      <c r="N31" s="8" t="s">
        <v>39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33"/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480</v>
      </c>
      <c r="AU31" s="37">
        <f t="shared" si="5"/>
        <v>0</v>
      </c>
      <c r="AV31" s="37">
        <f t="shared" si="6"/>
        <v>480</v>
      </c>
      <c r="AW31" s="37"/>
    </row>
    <row r="32" spans="1:49" ht="15.75" hidden="1" customHeight="1" x14ac:dyDescent="0.25">
      <c r="A32" s="6" t="s">
        <v>3196</v>
      </c>
      <c r="B32" s="21"/>
      <c r="C32" s="7">
        <v>12</v>
      </c>
      <c r="D32" s="39" t="s">
        <v>3018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3016</v>
      </c>
      <c r="K32" s="8" t="s">
        <v>23</v>
      </c>
      <c r="L32" s="9" t="s">
        <v>3005</v>
      </c>
      <c r="M32" s="10">
        <v>46162</v>
      </c>
      <c r="N32" s="8" t="s">
        <v>39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33"/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192</v>
      </c>
      <c r="AU32" s="37">
        <f t="shared" si="5"/>
        <v>0</v>
      </c>
      <c r="AV32" s="37">
        <f t="shared" si="6"/>
        <v>192</v>
      </c>
      <c r="AW32" s="37"/>
    </row>
    <row r="33" spans="1:49" ht="15.75" hidden="1" customHeight="1" x14ac:dyDescent="0.25">
      <c r="A33" s="6" t="s">
        <v>172</v>
      </c>
      <c r="B33" s="21"/>
      <c r="C33" s="7">
        <v>4</v>
      </c>
      <c r="D33" s="39" t="s">
        <v>3019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3016</v>
      </c>
      <c r="K33" s="8" t="s">
        <v>23</v>
      </c>
      <c r="L33" s="9" t="s">
        <v>3005</v>
      </c>
      <c r="M33" s="10">
        <v>46162</v>
      </c>
      <c r="N33" s="8" t="s">
        <v>39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33"/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164</v>
      </c>
      <c r="AU33" s="37">
        <f t="shared" si="5"/>
        <v>0</v>
      </c>
      <c r="AV33" s="37">
        <f t="shared" si="6"/>
        <v>164</v>
      </c>
      <c r="AW33" s="37"/>
    </row>
    <row r="34" spans="1:49" ht="15.75" hidden="1" customHeight="1" x14ac:dyDescent="0.25">
      <c r="A34" s="6" t="s">
        <v>85</v>
      </c>
      <c r="B34" s="21"/>
      <c r="C34" s="7">
        <v>4</v>
      </c>
      <c r="D34" s="39" t="s">
        <v>1861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3016</v>
      </c>
      <c r="K34" s="8" t="s">
        <v>23</v>
      </c>
      <c r="L34" s="9" t="s">
        <v>3005</v>
      </c>
      <c r="M34" s="10">
        <v>46162</v>
      </c>
      <c r="N34" s="8" t="s">
        <v>39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33"/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7.2</v>
      </c>
      <c r="AU34" s="37">
        <f t="shared" si="5"/>
        <v>0</v>
      </c>
      <c r="AV34" s="37">
        <f t="shared" si="6"/>
        <v>7.2</v>
      </c>
      <c r="AW34" s="37"/>
    </row>
    <row r="35" spans="1:49" ht="15.75" hidden="1" customHeight="1" x14ac:dyDescent="0.25">
      <c r="A35" s="6" t="s">
        <v>83</v>
      </c>
      <c r="B35" s="21"/>
      <c r="C35" s="7">
        <v>5</v>
      </c>
      <c r="D35" s="39" t="s">
        <v>3020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3021</v>
      </c>
      <c r="K35" s="8" t="s">
        <v>23</v>
      </c>
      <c r="L35" s="9" t="s">
        <v>3006</v>
      </c>
      <c r="M35" s="10">
        <v>46163</v>
      </c>
      <c r="N35" s="8" t="s">
        <v>39</v>
      </c>
      <c r="O35" s="12"/>
      <c r="P35" s="13"/>
      <c r="Q35" s="14">
        <f>Tabela1[[#This Row],[QTDE/ Fabricação]]-Tabela1[[#This Row],[QTE]]</f>
        <v>-5</v>
      </c>
      <c r="R35" s="18">
        <f t="shared" si="8"/>
        <v>60.637500000000003</v>
      </c>
      <c r="S35" s="18">
        <f t="shared" si="7"/>
        <v>0</v>
      </c>
      <c r="T35" s="19">
        <f t="shared" si="9"/>
        <v>-99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0.5</v>
      </c>
      <c r="AE35" s="33"/>
      <c r="AF35" s="33"/>
      <c r="AG35" s="33"/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0</v>
      </c>
      <c r="AV35" s="37">
        <f t="shared" si="6"/>
        <v>0</v>
      </c>
      <c r="AW35" s="37"/>
    </row>
    <row r="36" spans="1:49" ht="15.75" hidden="1" customHeight="1" x14ac:dyDescent="0.25">
      <c r="A36" s="6" t="s">
        <v>3025</v>
      </c>
      <c r="B36" s="21"/>
      <c r="C36" s="7">
        <v>1</v>
      </c>
      <c r="D36" s="39" t="s">
        <v>3026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3027</v>
      </c>
      <c r="K36" s="8" t="s">
        <v>22</v>
      </c>
      <c r="L36" s="9" t="s">
        <v>2989</v>
      </c>
      <c r="M36" s="10">
        <v>46150</v>
      </c>
      <c r="N36" s="8" t="s">
        <v>39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3033</v>
      </c>
      <c r="B37" s="21"/>
      <c r="C37" s="7">
        <v>16</v>
      </c>
      <c r="D37" s="39" t="s">
        <v>3034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3035</v>
      </c>
      <c r="K37" s="8" t="s">
        <v>23</v>
      </c>
      <c r="L37" s="9" t="s">
        <v>2985</v>
      </c>
      <c r="M37" s="10">
        <v>46183</v>
      </c>
      <c r="N37" s="8" t="s">
        <v>39</v>
      </c>
      <c r="O37" s="12"/>
      <c r="P37" s="13"/>
      <c r="Q37" s="14">
        <f>Tabela1[[#This Row],[QTDE/ Fabricação]]-Tabela1[[#This Row],[QTE]]</f>
        <v>-16</v>
      </c>
      <c r="R37" s="18">
        <f t="shared" si="8"/>
        <v>136.79999999999998</v>
      </c>
      <c r="S37" s="18">
        <f t="shared" si="7"/>
        <v>0</v>
      </c>
      <c r="T37" s="19">
        <f t="shared" si="9"/>
        <v>-144</v>
      </c>
      <c r="U37" s="16">
        <f>IFERROR(SUMIF('LISTA DE EMBARQUE'!B:B,MICRO!E:E,'LISTA DE EMBARQUE'!G:G),"")</f>
        <v>0</v>
      </c>
      <c r="V37" s="12" t="str">
        <f>IFERROR(VLOOKUP(Tabela1[[#This Row],[COD.MDE]],'LISTA DE EMBARQUE'!B:L,11,0),"")</f>
        <v/>
      </c>
      <c r="W37" s="13" t="str">
        <f>IFERROR(COUNTIF(#REF!,Tabela1[[#This Row],[Colunas5]]),"")</f>
        <v/>
      </c>
      <c r="X37" s="14">
        <f>Tabela1[[#This Row],[QIANTIDADE EXPEDIDA]]*Tabela1[[#This Row],[PESO UNI]]</f>
        <v>0</v>
      </c>
      <c r="Y37" s="14">
        <f t="shared" si="2"/>
        <v>-16</v>
      </c>
      <c r="Z37" s="20">
        <f>Tabela1[[#This Row],[PESO TOTAL]]-Tabela1[[#This Row],[Peso Expedido]]</f>
        <v>144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/>
      <c r="AG37" s="33"/>
      <c r="AH37" s="33"/>
      <c r="AI37" s="33" t="str">
        <f t="shared" si="10"/>
        <v/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0</v>
      </c>
      <c r="AV37" s="37">
        <f t="shared" ref="AV37:AV100" si="13">IF(AG37="",0,IF(ISTEXT(AG37),H37*VALUE(SUBSTITUTE(AG37,"%",""))/100,H37*AG37))</f>
        <v>0</v>
      </c>
      <c r="AW37" s="37"/>
    </row>
    <row r="38" spans="1:49" ht="15.75" hidden="1" customHeight="1" x14ac:dyDescent="0.25">
      <c r="A38" s="6" t="s">
        <v>3036</v>
      </c>
      <c r="B38" s="21"/>
      <c r="C38" s="7">
        <v>78</v>
      </c>
      <c r="D38" s="39" t="s">
        <v>3037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3035</v>
      </c>
      <c r="K38" s="8" t="s">
        <v>23</v>
      </c>
      <c r="L38" s="9" t="s">
        <v>2985</v>
      </c>
      <c r="M38" s="10"/>
      <c r="N38" s="8" t="s">
        <v>39</v>
      </c>
      <c r="O38" s="12"/>
      <c r="P38" s="13"/>
      <c r="Q38" s="14">
        <f>Tabela1[[#This Row],[QTDE/ Fabricação]]-Tabela1[[#This Row],[QTE]]</f>
        <v>-78</v>
      </c>
      <c r="R38" s="18">
        <f t="shared" si="8"/>
        <v>741</v>
      </c>
      <c r="S38" s="18">
        <f t="shared" si="7"/>
        <v>741</v>
      </c>
      <c r="T38" s="19">
        <f t="shared" si="9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2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3038</v>
      </c>
      <c r="B39" s="21"/>
      <c r="C39" s="7">
        <v>45</v>
      </c>
      <c r="D39" s="39" t="s">
        <v>3039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3035</v>
      </c>
      <c r="K39" s="8" t="s">
        <v>23</v>
      </c>
      <c r="L39" s="9" t="s">
        <v>2985</v>
      </c>
      <c r="M39" s="10"/>
      <c r="N39" s="8" t="s">
        <v>39</v>
      </c>
      <c r="O39" s="12"/>
      <c r="P39" s="13"/>
      <c r="Q39" s="14">
        <f>Tabela1[[#This Row],[QTDE/ Fabricação]]-Tabela1[[#This Row],[QTE]]</f>
        <v>-45</v>
      </c>
      <c r="R39" s="18">
        <f t="shared" si="8"/>
        <v>405</v>
      </c>
      <c r="S39" s="18">
        <f t="shared" si="7"/>
        <v>405</v>
      </c>
      <c r="T39" s="19">
        <f t="shared" si="9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2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f>Tabela1[[#This Row],[Peso Expedido]]/Tabela1[[#This Row],[PESO TOTAL]]</f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3040</v>
      </c>
      <c r="B40" s="21"/>
      <c r="C40" s="7">
        <v>4</v>
      </c>
      <c r="D40" s="39" t="s">
        <v>3041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0</v>
      </c>
      <c r="J40" s="8" t="s">
        <v>3035</v>
      </c>
      <c r="K40" s="8" t="s">
        <v>23</v>
      </c>
      <c r="L40" s="9" t="s">
        <v>2985</v>
      </c>
      <c r="M40" s="10"/>
      <c r="N40" s="8" t="s">
        <v>39</v>
      </c>
      <c r="O40" s="12"/>
      <c r="P40" s="13"/>
      <c r="Q40" s="14">
        <f>Tabela1[[#This Row],[QTDE/ Fabricação]]-Tabela1[[#This Row],[QTE]]</f>
        <v>-4</v>
      </c>
      <c r="R40" s="18">
        <f t="shared" si="8"/>
        <v>1.89</v>
      </c>
      <c r="S40" s="18">
        <f t="shared" si="7"/>
        <v>0</v>
      </c>
      <c r="T40" s="19">
        <f t="shared" si="9"/>
        <v>-10.8</v>
      </c>
      <c r="U40" s="16">
        <f>IFERROR(SUMIF('LISTA DE EMBARQUE'!B:B,MICRO!E:E,'LISTA DE EMBARQUE'!G:G),"")</f>
        <v>0</v>
      </c>
      <c r="V40" s="12" t="str">
        <f>IFERROR(VLOOKUP(Tabela1[[#This Row],[COD.MDE]],'LISTA DE EMBARQUE'!B:L,11,0),"")</f>
        <v/>
      </c>
      <c r="W40" s="13" t="str">
        <f>IFERROR(COUNTIF(#REF!,Tabela1[[#This Row],[Colunas5]]),"")</f>
        <v/>
      </c>
      <c r="X40" s="14">
        <f>Tabela1[[#This Row],[QIANTIDADE EXPEDIDA]]*Tabela1[[#This Row],[PESO UNI]]</f>
        <v>0</v>
      </c>
      <c r="Y40" s="14">
        <f t="shared" si="2"/>
        <v>-4</v>
      </c>
      <c r="Z40" s="20">
        <f>Tabela1[[#This Row],[PESO TOTAL]]-Tabela1[[#This Row],[Peso Expedido]]</f>
        <v>10.8</v>
      </c>
      <c r="AA40" s="17">
        <v>0.3</v>
      </c>
      <c r="AB40" s="33"/>
      <c r="AC40" s="33">
        <v>0.4</v>
      </c>
      <c r="AD40" s="33"/>
      <c r="AE40" s="33"/>
      <c r="AF40" s="33"/>
      <c r="AG40" s="33"/>
      <c r="AH40" s="33"/>
      <c r="AI40" s="33" t="str">
        <f t="shared" si="10"/>
        <v/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0</v>
      </c>
      <c r="AV40" s="37">
        <f t="shared" si="13"/>
        <v>0</v>
      </c>
      <c r="AW40" s="37"/>
    </row>
    <row r="41" spans="1:49" ht="15.75" hidden="1" customHeight="1" x14ac:dyDescent="0.25">
      <c r="A41" s="6" t="s">
        <v>3042</v>
      </c>
      <c r="B41" s="21"/>
      <c r="C41" s="7">
        <v>10</v>
      </c>
      <c r="D41" s="39" t="s">
        <v>3043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3035</v>
      </c>
      <c r="K41" s="8" t="s">
        <v>23</v>
      </c>
      <c r="L41" s="9" t="s">
        <v>2985</v>
      </c>
      <c r="M41" s="10"/>
      <c r="N41" s="8" t="s">
        <v>39</v>
      </c>
      <c r="O41" s="12"/>
      <c r="P41" s="13"/>
      <c r="Q41" s="14">
        <f>Tabela1[[#This Row],[QTDE/ Fabricação]]-Tabela1[[#This Row],[QTE]]</f>
        <v>-10</v>
      </c>
      <c r="R41" s="18">
        <f t="shared" si="8"/>
        <v>160</v>
      </c>
      <c r="S41" s="18">
        <f t="shared" si="7"/>
        <v>160</v>
      </c>
      <c r="T41" s="19">
        <f t="shared" si="9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2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f>Tabela1[[#This Row],[Peso Expedido]]/Tabela1[[#This Row],[PESO TOTAL]]</f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3044</v>
      </c>
      <c r="B42" s="21"/>
      <c r="C42" s="7">
        <v>4</v>
      </c>
      <c r="D42" s="39" t="s">
        <v>3045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3035</v>
      </c>
      <c r="K42" s="8" t="s">
        <v>23</v>
      </c>
      <c r="L42" s="9" t="s">
        <v>2985</v>
      </c>
      <c r="M42" s="10"/>
      <c r="N42" s="8" t="s">
        <v>39</v>
      </c>
      <c r="O42" s="12"/>
      <c r="P42" s="13"/>
      <c r="Q42" s="14">
        <f>Tabela1[[#This Row],[QTDE/ Fabricação]]-Tabela1[[#This Row],[QTE]]</f>
        <v>-4</v>
      </c>
      <c r="R42" s="18">
        <f t="shared" si="8"/>
        <v>2.2399999999999998</v>
      </c>
      <c r="S42" s="18">
        <f t="shared" si="7"/>
        <v>0</v>
      </c>
      <c r="T42" s="19">
        <f t="shared" si="9"/>
        <v>-12.8</v>
      </c>
      <c r="U42" s="16">
        <f>IFERROR(SUMIF('LISTA DE EMBARQUE'!B:B,MICRO!E:E,'LISTA DE EMBARQUE'!G:G),"")</f>
        <v>0</v>
      </c>
      <c r="V42" s="12" t="str">
        <f>IFERROR(VLOOKUP(Tabela1[[#This Row],[COD.MDE]],'LISTA DE EMBARQUE'!B:L,11,0),"")</f>
        <v/>
      </c>
      <c r="W42" s="13" t="str">
        <f>IFERROR(COUNTIF(#REF!,Tabela1[[#This Row],[Colunas5]]),"")</f>
        <v/>
      </c>
      <c r="X42" s="14">
        <f>Tabela1[[#This Row],[QIANTIDADE EXPEDIDA]]*Tabela1[[#This Row],[PESO UNI]]</f>
        <v>0</v>
      </c>
      <c r="Y42" s="14">
        <f t="shared" si="2"/>
        <v>-4</v>
      </c>
      <c r="Z42" s="20">
        <f>Tabela1[[#This Row],[PESO TOTAL]]-Tabela1[[#This Row],[Peso Expedido]]</f>
        <v>12.8</v>
      </c>
      <c r="AA42" s="17">
        <v>0.3</v>
      </c>
      <c r="AB42" s="33"/>
      <c r="AC42" s="33">
        <v>0.4</v>
      </c>
      <c r="AD42" s="33"/>
      <c r="AE42" s="33"/>
      <c r="AF42" s="33"/>
      <c r="AG42" s="33"/>
      <c r="AH42" s="33"/>
      <c r="AI42" s="33" t="str">
        <f t="shared" si="10"/>
        <v/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0</v>
      </c>
      <c r="AV42" s="37">
        <f t="shared" si="13"/>
        <v>0</v>
      </c>
      <c r="AW42" s="37"/>
    </row>
    <row r="43" spans="1:49" ht="15.75" hidden="1" customHeight="1" x14ac:dyDescent="0.25">
      <c r="A43" s="6" t="s">
        <v>3040</v>
      </c>
      <c r="B43" s="21"/>
      <c r="C43" s="7">
        <v>4</v>
      </c>
      <c r="D43" s="39" t="s">
        <v>3041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3046</v>
      </c>
      <c r="K43" s="8" t="s">
        <v>23</v>
      </c>
      <c r="L43" s="9" t="s">
        <v>2985</v>
      </c>
      <c r="M43" s="10"/>
      <c r="N43" s="8" t="s">
        <v>39</v>
      </c>
      <c r="O43" s="12"/>
      <c r="P43" s="13"/>
      <c r="Q43" s="14">
        <f>Tabela1[[#This Row],[QTDE/ Fabricação]]-Tabela1[[#This Row],[QTE]]</f>
        <v>-4</v>
      </c>
      <c r="R43" s="18">
        <f t="shared" si="8"/>
        <v>1.89</v>
      </c>
      <c r="S43" s="18">
        <f t="shared" si="7"/>
        <v>0</v>
      </c>
      <c r="T43" s="19">
        <f t="shared" si="9"/>
        <v>-10.8</v>
      </c>
      <c r="U43" s="16">
        <f>IFERROR(SUMIF('LISTA DE EMBARQUE'!B:B,MICRO!E:E,'LISTA DE EMBARQUE'!G:G),"")</f>
        <v>0</v>
      </c>
      <c r="V43" s="12" t="str">
        <f>IFERROR(VLOOKUP(Tabela1[[#This Row],[COD.MDE]],'LISTA DE EMBARQUE'!B:L,11,0),"")</f>
        <v/>
      </c>
      <c r="W43" s="13" t="str">
        <f>IFERROR(COUNTIF(#REF!,Tabela1[[#This Row],[Colunas5]]),"")</f>
        <v/>
      </c>
      <c r="X43" s="14">
        <f>Tabela1[[#This Row],[QIANTIDADE EXPEDIDA]]*Tabela1[[#This Row],[PESO UNI]]</f>
        <v>0</v>
      </c>
      <c r="Y43" s="14">
        <f t="shared" si="2"/>
        <v>-4</v>
      </c>
      <c r="Z43" s="20">
        <f>Tabela1[[#This Row],[PESO TOTAL]]-Tabela1[[#This Row],[Peso Expedido]]</f>
        <v>10.8</v>
      </c>
      <c r="AA43" s="17">
        <v>0.3</v>
      </c>
      <c r="AB43" s="33"/>
      <c r="AC43" s="33">
        <v>0.4</v>
      </c>
      <c r="AD43" s="33"/>
      <c r="AE43" s="33"/>
      <c r="AF43" s="33"/>
      <c r="AG43" s="33"/>
      <c r="AH43" s="33"/>
      <c r="AI43" s="33" t="str">
        <f t="shared" si="10"/>
        <v/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0</v>
      </c>
      <c r="AV43" s="37">
        <f t="shared" si="13"/>
        <v>0</v>
      </c>
      <c r="AW43" s="37"/>
    </row>
    <row r="44" spans="1:49" ht="15.75" hidden="1" customHeight="1" x14ac:dyDescent="0.25">
      <c r="A44" s="6" t="s">
        <v>3044</v>
      </c>
      <c r="B44" s="21"/>
      <c r="C44" s="7">
        <v>4</v>
      </c>
      <c r="D44" s="39" t="s">
        <v>3045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3046</v>
      </c>
      <c r="K44" s="8" t="s">
        <v>23</v>
      </c>
      <c r="L44" s="9" t="s">
        <v>2985</v>
      </c>
      <c r="M44" s="10"/>
      <c r="N44" s="8" t="s">
        <v>39</v>
      </c>
      <c r="O44" s="12"/>
      <c r="P44" s="13"/>
      <c r="Q44" s="14">
        <f>Tabela1[[#This Row],[QTDE/ Fabricação]]-Tabela1[[#This Row],[QTE]]</f>
        <v>-4</v>
      </c>
      <c r="R44" s="18">
        <f t="shared" si="8"/>
        <v>2.2399999999999998</v>
      </c>
      <c r="S44" s="18">
        <f t="shared" si="7"/>
        <v>0</v>
      </c>
      <c r="T44" s="19">
        <f t="shared" si="9"/>
        <v>-12.8</v>
      </c>
      <c r="U44" s="16">
        <f>IFERROR(SUMIF('LISTA DE EMBARQUE'!B:B,MICRO!E:E,'LISTA DE EMBARQUE'!G:G),"")</f>
        <v>0</v>
      </c>
      <c r="V44" s="12" t="str">
        <f>IFERROR(VLOOKUP(Tabela1[[#This Row],[COD.MDE]],'LISTA DE EMBARQUE'!B:L,11,0),"")</f>
        <v/>
      </c>
      <c r="W44" s="13" t="str">
        <f>IFERROR(COUNTIF(#REF!,Tabela1[[#This Row],[Colunas5]]),"")</f>
        <v/>
      </c>
      <c r="X44" s="14">
        <f>Tabela1[[#This Row],[QIANTIDADE EXPEDIDA]]*Tabela1[[#This Row],[PESO UNI]]</f>
        <v>0</v>
      </c>
      <c r="Y44" s="14">
        <f t="shared" si="2"/>
        <v>-4</v>
      </c>
      <c r="Z44" s="20">
        <f>Tabela1[[#This Row],[PESO TOTAL]]-Tabela1[[#This Row],[Peso Expedido]]</f>
        <v>12.8</v>
      </c>
      <c r="AA44" s="17">
        <v>0.3</v>
      </c>
      <c r="AB44" s="33"/>
      <c r="AC44" s="33">
        <v>0.4</v>
      </c>
      <c r="AD44" s="33"/>
      <c r="AE44" s="33"/>
      <c r="AF44" s="33"/>
      <c r="AG44" s="33"/>
      <c r="AH44" s="33"/>
      <c r="AI44" s="33" t="str">
        <f t="shared" si="10"/>
        <v/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0</v>
      </c>
      <c r="AV44" s="37">
        <f t="shared" si="13"/>
        <v>0</v>
      </c>
      <c r="AW44" s="37"/>
    </row>
    <row r="45" spans="1:49" ht="15.75" hidden="1" customHeight="1" x14ac:dyDescent="0.25">
      <c r="A45" s="6" t="s">
        <v>3047</v>
      </c>
      <c r="B45" s="21"/>
      <c r="C45" s="7">
        <v>32</v>
      </c>
      <c r="D45" s="39" t="s">
        <v>3048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3046</v>
      </c>
      <c r="K45" s="8" t="s">
        <v>23</v>
      </c>
      <c r="L45" s="9" t="s">
        <v>2985</v>
      </c>
      <c r="M45" s="10"/>
      <c r="N45" s="8" t="s">
        <v>39</v>
      </c>
      <c r="O45" s="12"/>
      <c r="P45" s="13"/>
      <c r="Q45" s="14">
        <f>Tabela1[[#This Row],[QTDE/ Fabricação]]-Tabela1[[#This Row],[QTE]]</f>
        <v>-32</v>
      </c>
      <c r="R45" s="18">
        <f t="shared" si="8"/>
        <v>547.19999999999993</v>
      </c>
      <c r="S45" s="18">
        <f t="shared" si="7"/>
        <v>0</v>
      </c>
      <c r="T45" s="19">
        <f t="shared" si="9"/>
        <v>-576</v>
      </c>
      <c r="U45" s="16">
        <f>IFERROR(SUMIF('LISTA DE EMBARQUE'!B:B,MICRO!E:E,'LISTA DE EMBARQUE'!G:G),"")</f>
        <v>0</v>
      </c>
      <c r="V45" s="12" t="str">
        <f>IFERROR(VLOOKUP(Tabela1[[#This Row],[COD.MDE]],'LISTA DE EMBARQUE'!B:L,11,0),"")</f>
        <v/>
      </c>
      <c r="W45" s="13" t="str">
        <f>IFERROR(COUNTIF(#REF!,Tabela1[[#This Row],[Colunas5]]),"")</f>
        <v/>
      </c>
      <c r="X45" s="14">
        <f>Tabela1[[#This Row],[QIANTIDADE EXPEDIDA]]*Tabela1[[#This Row],[PESO UNI]]</f>
        <v>0</v>
      </c>
      <c r="Y45" s="14">
        <f t="shared" si="2"/>
        <v>-32</v>
      </c>
      <c r="Z45" s="20">
        <f>Tabela1[[#This Row],[PESO TOTAL]]-Tabela1[[#This Row],[Peso Expedido]]</f>
        <v>576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/>
      <c r="AG45" s="33"/>
      <c r="AH45" s="33"/>
      <c r="AI45" s="33" t="str">
        <f t="shared" si="10"/>
        <v/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0</v>
      </c>
      <c r="AV45" s="37">
        <f t="shared" si="13"/>
        <v>0</v>
      </c>
      <c r="AW45" s="37"/>
    </row>
    <row r="46" spans="1:49" ht="15.75" hidden="1" customHeight="1" x14ac:dyDescent="0.25">
      <c r="A46" s="6" t="s">
        <v>3049</v>
      </c>
      <c r="B46" s="21"/>
      <c r="C46" s="7">
        <v>6</v>
      </c>
      <c r="D46" s="39" t="s">
        <v>3050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3046</v>
      </c>
      <c r="K46" s="8" t="s">
        <v>23</v>
      </c>
      <c r="L46" s="9" t="s">
        <v>2985</v>
      </c>
      <c r="M46" s="10"/>
      <c r="N46" s="8" t="s">
        <v>39</v>
      </c>
      <c r="O46" s="12"/>
      <c r="P46" s="13"/>
      <c r="Q46" s="14">
        <f>Tabela1[[#This Row],[QTDE/ Fabricação]]-Tabela1[[#This Row],[QTE]]</f>
        <v>-6</v>
      </c>
      <c r="R46" s="18">
        <f t="shared" si="8"/>
        <v>96</v>
      </c>
      <c r="S46" s="18">
        <f t="shared" si="7"/>
        <v>96</v>
      </c>
      <c r="T46" s="19">
        <f t="shared" si="9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2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f>Tabela1[[#This Row],[Peso Expedido]]/Tabela1[[#This Row],[PESO TOTAL]]</f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3051</v>
      </c>
      <c r="B47" s="21"/>
      <c r="C47" s="7">
        <v>21</v>
      </c>
      <c r="D47" s="39" t="s">
        <v>3052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3046</v>
      </c>
      <c r="K47" s="8" t="s">
        <v>23</v>
      </c>
      <c r="L47" s="9" t="s">
        <v>2985</v>
      </c>
      <c r="M47" s="10"/>
      <c r="N47" s="8" t="s">
        <v>39</v>
      </c>
      <c r="O47" s="12"/>
      <c r="P47" s="13"/>
      <c r="Q47" s="14">
        <f>Tabela1[[#This Row],[QTDE/ Fabricação]]-Tabela1[[#This Row],[QTE]]</f>
        <v>-21</v>
      </c>
      <c r="R47" s="18">
        <f t="shared" si="8"/>
        <v>357</v>
      </c>
      <c r="S47" s="18">
        <f t="shared" si="7"/>
        <v>357</v>
      </c>
      <c r="T47" s="19">
        <f t="shared" si="9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2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f>Tabela1[[#This Row],[Peso Expedido]]/Tabela1[[#This Row],[PESO TOTAL]]</f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123</v>
      </c>
      <c r="B48" s="21"/>
      <c r="C48" s="7">
        <v>24</v>
      </c>
      <c r="D48" s="39" t="s">
        <v>3053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3046</v>
      </c>
      <c r="K48" s="8" t="s">
        <v>23</v>
      </c>
      <c r="L48" s="9" t="s">
        <v>2985</v>
      </c>
      <c r="M48" s="10"/>
      <c r="N48" s="8" t="s">
        <v>39</v>
      </c>
      <c r="O48" s="12"/>
      <c r="P48" s="13"/>
      <c r="Q48" s="14">
        <f>Tabela1[[#This Row],[QTDE/ Fabricação]]-Tabela1[[#This Row],[QTE]]</f>
        <v>-24</v>
      </c>
      <c r="R48" s="18">
        <f t="shared" si="8"/>
        <v>384</v>
      </c>
      <c r="S48" s="18">
        <f t="shared" si="7"/>
        <v>384</v>
      </c>
      <c r="T48" s="19">
        <f t="shared" si="9"/>
        <v>0</v>
      </c>
      <c r="U48" s="16">
        <f>IFERROR(SUMIF('LISTA DE EMBARQUE'!B:B,MICRO!E:E,'LISTA DE EMBARQUE'!G:G),"")</f>
        <v>13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208</v>
      </c>
      <c r="Y48" s="14">
        <f t="shared" si="2"/>
        <v>-11</v>
      </c>
      <c r="Z48" s="20">
        <f>Tabela1[[#This Row],[PESO TOTAL]]-Tabela1[[#This Row],[Peso Expedido]]</f>
        <v>176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f>Tabela1[[#This Row],[Peso Expedido]]/Tabela1[[#This Row],[PESO TOTAL]]</f>
        <v>0.54166666666666663</v>
      </c>
      <c r="AI48" s="33" t="str">
        <f t="shared" si="10"/>
        <v/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176</v>
      </c>
      <c r="AU48" s="37">
        <f t="shared" si="12"/>
        <v>208</v>
      </c>
      <c r="AV48" s="37">
        <f t="shared" si="13"/>
        <v>384</v>
      </c>
      <c r="AW48" s="37"/>
    </row>
    <row r="49" spans="1:49" ht="15.75" hidden="1" customHeight="1" x14ac:dyDescent="0.25">
      <c r="A49" s="6" t="s">
        <v>3054</v>
      </c>
      <c r="B49" s="21"/>
      <c r="C49" s="7">
        <v>132</v>
      </c>
      <c r="D49" s="39" t="s">
        <v>3055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3046</v>
      </c>
      <c r="K49" s="8" t="s">
        <v>23</v>
      </c>
      <c r="L49" s="9" t="s">
        <v>2985</v>
      </c>
      <c r="M49" s="10"/>
      <c r="N49" s="8" t="s">
        <v>39</v>
      </c>
      <c r="O49" s="12"/>
      <c r="P49" s="13"/>
      <c r="Q49" s="14">
        <f>Tabela1[[#This Row],[QTDE/ Fabricação]]-Tabela1[[#This Row],[QTE]]</f>
        <v>-132</v>
      </c>
      <c r="R49" s="18">
        <f t="shared" si="8"/>
        <v>422.40000000000003</v>
      </c>
      <c r="S49" s="18">
        <f t="shared" si="7"/>
        <v>0</v>
      </c>
      <c r="T49" s="19">
        <f t="shared" si="9"/>
        <v>-2112</v>
      </c>
      <c r="U49" s="16">
        <f>IFERROR(SUMIF('LISTA DE EMBARQUE'!B:B,MICRO!E:E,'LISTA DE EMBARQUE'!G:G),"")</f>
        <v>0</v>
      </c>
      <c r="V49" s="12" t="str">
        <f>IFERROR(VLOOKUP(Tabela1[[#This Row],[COD.MDE]],'LISTA DE EMBARQUE'!B:L,11,0),"")</f>
        <v/>
      </c>
      <c r="W49" s="13" t="str">
        <f>IFERROR(COUNTIF(#REF!,Tabela1[[#This Row],[Colunas5]]),"")</f>
        <v/>
      </c>
      <c r="X49" s="14">
        <f>Tabela1[[#This Row],[QIANTIDADE EXPEDIDA]]*Tabela1[[#This Row],[PESO UNI]]</f>
        <v>0</v>
      </c>
      <c r="Y49" s="14">
        <f t="shared" si="2"/>
        <v>-132</v>
      </c>
      <c r="Z49" s="20">
        <f>Tabela1[[#This Row],[PESO TOTAL]]-Tabela1[[#This Row],[Peso Expedido]]</f>
        <v>2112</v>
      </c>
      <c r="AA49" s="17">
        <v>0.3</v>
      </c>
      <c r="AB49" s="33"/>
      <c r="AC49" s="33">
        <v>0.5</v>
      </c>
      <c r="AD49" s="33"/>
      <c r="AE49" s="33"/>
      <c r="AF49" s="33"/>
      <c r="AG49" s="33"/>
      <c r="AH49" s="33"/>
      <c r="AI49" s="33" t="str">
        <f t="shared" si="10"/>
        <v/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0</v>
      </c>
      <c r="AV49" s="37">
        <f t="shared" si="13"/>
        <v>0</v>
      </c>
      <c r="AW49" s="37"/>
    </row>
    <row r="50" spans="1:49" ht="15.75" hidden="1" customHeight="1" x14ac:dyDescent="0.25">
      <c r="A50" s="6" t="s">
        <v>3056</v>
      </c>
      <c r="B50" s="21"/>
      <c r="C50" s="7">
        <v>2</v>
      </c>
      <c r="D50" s="39" t="s">
        <v>3057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4420</v>
      </c>
      <c r="J50" s="8" t="s">
        <v>3035</v>
      </c>
      <c r="K50" s="8" t="s">
        <v>31</v>
      </c>
      <c r="L50" s="9" t="s">
        <v>2985</v>
      </c>
      <c r="M50" s="10"/>
      <c r="N50" s="8" t="s">
        <v>39</v>
      </c>
      <c r="O50" s="12"/>
      <c r="P50" s="13"/>
      <c r="Q50" s="14">
        <f>Tabela1[[#This Row],[QTDE/ Fabricação]]-Tabela1[[#This Row],[QTE]]</f>
        <v>-2</v>
      </c>
      <c r="R50" s="18">
        <f t="shared" si="8"/>
        <v>68.400000000000006</v>
      </c>
      <c r="S50" s="18">
        <f t="shared" si="7"/>
        <v>68.400000000000006</v>
      </c>
      <c r="T50" s="19">
        <f t="shared" si="9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2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3056</v>
      </c>
      <c r="B51" s="21"/>
      <c r="C51" s="7">
        <v>2</v>
      </c>
      <c r="D51" s="39" t="s">
        <v>3058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4420</v>
      </c>
      <c r="J51" s="8" t="s">
        <v>3035</v>
      </c>
      <c r="K51" s="8" t="s">
        <v>31</v>
      </c>
      <c r="L51" s="9" t="s">
        <v>2985</v>
      </c>
      <c r="M51" s="10"/>
      <c r="N51" s="8" t="s">
        <v>39</v>
      </c>
      <c r="O51" s="12"/>
      <c r="P51" s="13"/>
      <c r="Q51" s="14">
        <f>Tabela1[[#This Row],[QTDE/ Fabricação]]-Tabela1[[#This Row],[QTE]]</f>
        <v>-2</v>
      </c>
      <c r="R51" s="18">
        <f t="shared" si="8"/>
        <v>16.740000000000002</v>
      </c>
      <c r="S51" s="18">
        <f t="shared" si="7"/>
        <v>0</v>
      </c>
      <c r="T51" s="19">
        <f t="shared" si="9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2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3056</v>
      </c>
      <c r="B52" s="21"/>
      <c r="C52" s="7">
        <v>2</v>
      </c>
      <c r="D52" s="39" t="s">
        <v>3059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4420</v>
      </c>
      <c r="J52" s="8" t="s">
        <v>3035</v>
      </c>
      <c r="K52" s="8" t="s">
        <v>31</v>
      </c>
      <c r="L52" s="9" t="s">
        <v>2985</v>
      </c>
      <c r="M52" s="10"/>
      <c r="N52" s="8" t="s">
        <v>39</v>
      </c>
      <c r="O52" s="12"/>
      <c r="P52" s="13"/>
      <c r="Q52" s="14">
        <f>Tabela1[[#This Row],[QTDE/ Fabricação]]-Tabela1[[#This Row],[QTE]]</f>
        <v>-2</v>
      </c>
      <c r="R52" s="18">
        <f t="shared" si="8"/>
        <v>0.9</v>
      </c>
      <c r="S52" s="18">
        <f t="shared" si="7"/>
        <v>0</v>
      </c>
      <c r="T52" s="19">
        <f t="shared" si="9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2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3060</v>
      </c>
      <c r="B53" s="21"/>
      <c r="C53" s="7">
        <v>4</v>
      </c>
      <c r="D53" s="39" t="s">
        <v>3061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3290</v>
      </c>
      <c r="J53" s="8" t="s">
        <v>3035</v>
      </c>
      <c r="K53" s="8" t="s">
        <v>31</v>
      </c>
      <c r="L53" s="9" t="s">
        <v>2985</v>
      </c>
      <c r="M53" s="10"/>
      <c r="N53" s="8" t="s">
        <v>39</v>
      </c>
      <c r="O53" s="12"/>
      <c r="P53" s="13"/>
      <c r="Q53" s="14">
        <f>Tabela1[[#This Row],[QTDE/ Fabricação]]-Tabela1[[#This Row],[QTE]]</f>
        <v>-4</v>
      </c>
      <c r="R53" s="18">
        <f t="shared" ref="R53:R84" si="14">IFERROR(H53*((AA53*0.25)+(AC53*0.25)+(AD53*0.225)+(AE53*0.225)+(AF53*0.05)),"")</f>
        <v>12.96</v>
      </c>
      <c r="S53" s="18">
        <f t="shared" si="7"/>
        <v>0</v>
      </c>
      <c r="T53" s="19">
        <f t="shared" ref="T53:T84" si="15">IFERROR(S53-H53,"")</f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ref="Y53:Y116" si="16">U53-C53</f>
        <v>-4</v>
      </c>
      <c r="Z53" s="20">
        <f>Tabela1[[#This Row],[PESO TOTAL]]-Tabela1[[#This Row],[Peso Expedido]]</f>
        <v>28.8</v>
      </c>
      <c r="AA53" s="17">
        <v>0.9</v>
      </c>
      <c r="AB53" s="33"/>
      <c r="AC53" s="33">
        <v>0.9</v>
      </c>
      <c r="AD53" s="33"/>
      <c r="AE53" s="33"/>
      <c r="AF53" s="33"/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3060</v>
      </c>
      <c r="B54" s="21"/>
      <c r="C54" s="7">
        <v>1</v>
      </c>
      <c r="D54" s="39" t="s">
        <v>3062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3290</v>
      </c>
      <c r="J54" s="8" t="s">
        <v>3035</v>
      </c>
      <c r="K54" s="8" t="s">
        <v>31</v>
      </c>
      <c r="L54" s="9" t="s">
        <v>2985</v>
      </c>
      <c r="M54" s="10"/>
      <c r="N54" s="8" t="s">
        <v>39</v>
      </c>
      <c r="O54" s="12"/>
      <c r="P54" s="13"/>
      <c r="Q54" s="14">
        <f>Tabela1[[#This Row],[QTDE/ Fabricação]]-Tabela1[[#This Row],[QTE]]</f>
        <v>-1</v>
      </c>
      <c r="R54" s="18">
        <f t="shared" si="14"/>
        <v>234</v>
      </c>
      <c r="S54" s="18">
        <f t="shared" ref="S54:S117" si="17">IFERROR(H54*AG54,"")</f>
        <v>0</v>
      </c>
      <c r="T54" s="19">
        <f t="shared" si="15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6"/>
        <v>-1</v>
      </c>
      <c r="Z54" s="20">
        <f>Tabela1[[#This Row],[PESO TOTAL]]-Tabela1[[#This Row],[Peso Expedido]]</f>
        <v>520</v>
      </c>
      <c r="AA54" s="17">
        <v>0.9</v>
      </c>
      <c r="AB54" s="33"/>
      <c r="AC54" s="33">
        <v>0.9</v>
      </c>
      <c r="AD54" s="33"/>
      <c r="AE54" s="33"/>
      <c r="AF54" s="33"/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3060</v>
      </c>
      <c r="B55" s="21"/>
      <c r="C55" s="7">
        <v>2</v>
      </c>
      <c r="D55" s="39" t="s">
        <v>3063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3290</v>
      </c>
      <c r="J55" s="8" t="s">
        <v>3035</v>
      </c>
      <c r="K55" s="8" t="s">
        <v>31</v>
      </c>
      <c r="L55" s="9" t="s">
        <v>2985</v>
      </c>
      <c r="M55" s="10"/>
      <c r="N55" s="8" t="s">
        <v>39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7"/>
        <v>0</v>
      </c>
      <c r="T55" s="19">
        <f t="shared" si="15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6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3064</v>
      </c>
      <c r="B56" s="21"/>
      <c r="C56" s="7">
        <v>4</v>
      </c>
      <c r="D56" s="39" t="s">
        <v>3065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>
        <v>0</v>
      </c>
      <c r="J56" s="8" t="s">
        <v>3046</v>
      </c>
      <c r="K56" s="8" t="s">
        <v>33</v>
      </c>
      <c r="L56" s="9" t="s">
        <v>2985</v>
      </c>
      <c r="M56" s="10"/>
      <c r="N56" s="8" t="s">
        <v>39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7"/>
        <v>10.8</v>
      </c>
      <c r="T56" s="19">
        <f t="shared" si="15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6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3066</v>
      </c>
      <c r="B57" s="21"/>
      <c r="C57" s="7">
        <v>1</v>
      </c>
      <c r="D57" s="39" t="s">
        <v>3067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>
        <v>1</v>
      </c>
      <c r="J57" s="8" t="s">
        <v>3046</v>
      </c>
      <c r="K57" s="8" t="s">
        <v>33</v>
      </c>
      <c r="L57" s="9" t="s">
        <v>2985</v>
      </c>
      <c r="M57" s="10"/>
      <c r="N57" s="8" t="s">
        <v>39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7"/>
        <v>41.9</v>
      </c>
      <c r="T57" s="19">
        <f t="shared" si="15"/>
        <v>0</v>
      </c>
      <c r="U57" s="16">
        <f>IFERROR(SUMIF('LISTA DE EMBARQUE'!B:B,MICRO!E:E,'LISTA DE EMBARQUE'!G:G),"")</f>
        <v>0</v>
      </c>
      <c r="V57" s="12" t="str">
        <f>IFERROR(VLOOKUP(Tabela1[[#This Row],[COD.MDE]],'LISTA DE EMBARQUE'!B:L,11,0),"")</f>
        <v/>
      </c>
      <c r="W57" s="13" t="str">
        <f>IFERROR(COUNTIF(#REF!,Tabela1[[#This Row],[Colunas5]]),"")</f>
        <v/>
      </c>
      <c r="X57" s="14">
        <f>Tabela1[[#This Row],[QIANTIDADE EXPEDIDA]]*Tabela1[[#This Row],[PESO UNI]]</f>
        <v>0</v>
      </c>
      <c r="Y57" s="14">
        <f t="shared" si="16"/>
        <v>-1</v>
      </c>
      <c r="Z57" s="20">
        <f>Tabela1[[#This Row],[PESO TOTAL]]-Tabela1[[#This Row],[Peso Expedido]]</f>
        <v>41.9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/>
      <c r="AI57" s="33" t="str">
        <f t="shared" si="10"/>
        <v/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41.9</v>
      </c>
      <c r="AU57" s="37">
        <f t="shared" si="12"/>
        <v>0</v>
      </c>
      <c r="AV57" s="37">
        <f t="shared" si="13"/>
        <v>41.9</v>
      </c>
      <c r="AW57" s="37"/>
    </row>
    <row r="58" spans="1:49" ht="15.75" hidden="1" customHeight="1" x14ac:dyDescent="0.25">
      <c r="A58" s="6" t="s">
        <v>3068</v>
      </c>
      <c r="B58" s="21"/>
      <c r="C58" s="7">
        <v>1</v>
      </c>
      <c r="D58" s="39" t="s">
        <v>3072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3290</v>
      </c>
      <c r="J58" s="8" t="s">
        <v>3046</v>
      </c>
      <c r="K58" s="8" t="s">
        <v>33</v>
      </c>
      <c r="L58" s="9" t="s">
        <v>2985</v>
      </c>
      <c r="M58" s="10"/>
      <c r="N58" s="8" t="s">
        <v>39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7"/>
        <v>54</v>
      </c>
      <c r="T58" s="19">
        <f t="shared" si="15"/>
        <v>0</v>
      </c>
      <c r="U58" s="16">
        <f>IFERROR(SUMIF('LISTA DE EMBARQUE'!B:B,MICRO!E:E,'LISTA DE EMBARQUE'!G:G),"")</f>
        <v>0</v>
      </c>
      <c r="V58" s="12" t="str">
        <f>IFERROR(VLOOKUP(Tabela1[[#This Row],[COD.MDE]],'LISTA DE EMBARQUE'!B:L,11,0),"")</f>
        <v/>
      </c>
      <c r="W58" s="13" t="str">
        <f>IFERROR(COUNTIF(#REF!,Tabela1[[#This Row],[Colunas5]]),"")</f>
        <v/>
      </c>
      <c r="X58" s="14">
        <f>Tabela1[[#This Row],[QIANTIDADE EXPEDIDA]]*Tabela1[[#This Row],[PESO UNI]]</f>
        <v>0</v>
      </c>
      <c r="Y58" s="14">
        <f t="shared" si="16"/>
        <v>-1</v>
      </c>
      <c r="Z58" s="20">
        <f>Tabela1[[#This Row],[PESO TOTAL]]-Tabela1[[#This Row],[Peso Expedido]]</f>
        <v>54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/>
      <c r="AI58" s="33" t="str">
        <f t="shared" si="10"/>
        <v/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54</v>
      </c>
      <c r="AU58" s="37">
        <f t="shared" si="12"/>
        <v>0</v>
      </c>
      <c r="AV58" s="37">
        <f t="shared" si="13"/>
        <v>54</v>
      </c>
      <c r="AW58" s="37"/>
    </row>
    <row r="59" spans="1:49" ht="15.75" hidden="1" customHeight="1" x14ac:dyDescent="0.25">
      <c r="A59" s="6" t="s">
        <v>3069</v>
      </c>
      <c r="B59" s="21"/>
      <c r="C59" s="7">
        <v>2</v>
      </c>
      <c r="D59" s="39" t="s">
        <v>3070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3046</v>
      </c>
      <c r="K59" s="8" t="s">
        <v>33</v>
      </c>
      <c r="L59" s="9" t="s">
        <v>2985</v>
      </c>
      <c r="M59" s="10"/>
      <c r="N59" s="8" t="s">
        <v>39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7"/>
        <v>95.2</v>
      </c>
      <c r="T59" s="19">
        <f t="shared" si="15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6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3071</v>
      </c>
      <c r="B60" s="21"/>
      <c r="C60" s="7">
        <v>45</v>
      </c>
      <c r="D60" s="39" t="s">
        <v>3073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3046</v>
      </c>
      <c r="K60" s="8" t="s">
        <v>33</v>
      </c>
      <c r="L60" s="9" t="s">
        <v>2985</v>
      </c>
      <c r="M60" s="10"/>
      <c r="N60" s="8" t="s">
        <v>39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7"/>
        <v>2142</v>
      </c>
      <c r="T60" s="19">
        <f t="shared" si="15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6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3074</v>
      </c>
      <c r="B61" s="21"/>
      <c r="C61" s="7">
        <v>11</v>
      </c>
      <c r="D61" s="39" t="s">
        <v>3075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3046</v>
      </c>
      <c r="K61" s="8" t="s">
        <v>33</v>
      </c>
      <c r="L61" s="9" t="s">
        <v>2985</v>
      </c>
      <c r="M61" s="10"/>
      <c r="N61" s="8" t="s">
        <v>39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7"/>
        <v>591.79999999999995</v>
      </c>
      <c r="T61" s="19">
        <f t="shared" si="15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6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3076</v>
      </c>
      <c r="B62" s="21"/>
      <c r="C62" s="7">
        <v>15</v>
      </c>
      <c r="D62" s="39" t="s">
        <v>3077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3046</v>
      </c>
      <c r="K62" s="8" t="s">
        <v>33</v>
      </c>
      <c r="L62" s="9" t="s">
        <v>2985</v>
      </c>
      <c r="M62" s="10"/>
      <c r="N62" s="8" t="s">
        <v>39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7"/>
        <v>394.5</v>
      </c>
      <c r="T62" s="19">
        <f t="shared" si="15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6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3078</v>
      </c>
      <c r="B63" s="21"/>
      <c r="C63" s="7">
        <v>2</v>
      </c>
      <c r="D63" s="39" t="s">
        <v>3079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3046</v>
      </c>
      <c r="K63" s="8" t="s">
        <v>33</v>
      </c>
      <c r="L63" s="9" t="s">
        <v>2985</v>
      </c>
      <c r="M63" s="10"/>
      <c r="N63" s="8" t="s">
        <v>39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7"/>
        <v>118.2</v>
      </c>
      <c r="T63" s="19">
        <f t="shared" si="15"/>
        <v>0</v>
      </c>
      <c r="U63" s="16">
        <f>IFERROR(SUMIF('LISTA DE EMBARQUE'!B:B,MICRO!E:E,'LISTA DE EMBARQUE'!G:G),"")</f>
        <v>0</v>
      </c>
      <c r="V63" s="12" t="str">
        <f>IFERROR(VLOOKUP(Tabela1[[#This Row],[COD.MDE]],'LISTA DE EMBARQUE'!B:L,11,0),"")</f>
        <v/>
      </c>
      <c r="W63" s="13" t="str">
        <f>IFERROR(COUNTIF(#REF!,Tabela1[[#This Row],[Colunas5]]),"")</f>
        <v/>
      </c>
      <c r="X63" s="14">
        <f>Tabela1[[#This Row],[QIANTIDADE EXPEDIDA]]*Tabela1[[#This Row],[PESO UNI]]</f>
        <v>0</v>
      </c>
      <c r="Y63" s="14">
        <f t="shared" si="16"/>
        <v>-2</v>
      </c>
      <c r="Z63" s="20">
        <f>Tabela1[[#This Row],[PESO TOTAL]]-Tabela1[[#This Row],[Peso Expedido]]</f>
        <v>118.2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/>
      <c r="AI63" s="33" t="str">
        <f t="shared" si="10"/>
        <v/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118.2</v>
      </c>
      <c r="AU63" s="37">
        <f t="shared" si="12"/>
        <v>0</v>
      </c>
      <c r="AV63" s="37">
        <f t="shared" si="13"/>
        <v>118.2</v>
      </c>
      <c r="AW63" s="37"/>
    </row>
    <row r="64" spans="1:49" ht="15.75" hidden="1" customHeight="1" x14ac:dyDescent="0.25">
      <c r="A64" s="6" t="s">
        <v>3080</v>
      </c>
      <c r="B64" s="21"/>
      <c r="C64" s="7">
        <v>1</v>
      </c>
      <c r="D64" s="39" t="s">
        <v>3081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3035</v>
      </c>
      <c r="K64" s="8" t="s">
        <v>33</v>
      </c>
      <c r="L64" s="9" t="s">
        <v>2985</v>
      </c>
      <c r="M64" s="10"/>
      <c r="N64" s="8" t="s">
        <v>39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7"/>
        <v>53.8</v>
      </c>
      <c r="T64" s="19">
        <f t="shared" si="15"/>
        <v>0</v>
      </c>
      <c r="U64" s="16">
        <f>IFERROR(SUMIF('LISTA DE EMBARQUE'!B:B,MICRO!E:E,'LISTA DE EMBARQUE'!G:G),"")</f>
        <v>0</v>
      </c>
      <c r="V64" s="12" t="str">
        <f>IFERROR(VLOOKUP(Tabela1[[#This Row],[COD.MDE]],'LISTA DE EMBARQUE'!B:L,11,0),"")</f>
        <v/>
      </c>
      <c r="W64" s="13" t="str">
        <f>IFERROR(COUNTIF(#REF!,Tabela1[[#This Row],[Colunas5]]),"")</f>
        <v/>
      </c>
      <c r="X64" s="14">
        <f>Tabela1[[#This Row],[QIANTIDADE EXPEDIDA]]*Tabela1[[#This Row],[PESO UNI]]</f>
        <v>0</v>
      </c>
      <c r="Y64" s="14">
        <f t="shared" si="16"/>
        <v>-1</v>
      </c>
      <c r="Z64" s="20">
        <f>Tabela1[[#This Row],[PESO TOTAL]]-Tabela1[[#This Row],[Peso Expedido]]</f>
        <v>53.8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/>
      <c r="AI64" s="33" t="str">
        <f t="shared" si="10"/>
        <v/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53.8</v>
      </c>
      <c r="AU64" s="37">
        <f t="shared" si="12"/>
        <v>0</v>
      </c>
      <c r="AV64" s="37">
        <f t="shared" si="13"/>
        <v>53.8</v>
      </c>
      <c r="AW64" s="37"/>
    </row>
    <row r="65" spans="1:49" ht="15.75" hidden="1" customHeight="1" x14ac:dyDescent="0.25">
      <c r="A65" s="6" t="s">
        <v>3082</v>
      </c>
      <c r="B65" s="21"/>
      <c r="C65" s="7">
        <v>38</v>
      </c>
      <c r="D65" s="39" t="s">
        <v>3313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3035</v>
      </c>
      <c r="K65" s="8" t="s">
        <v>33</v>
      </c>
      <c r="L65" s="9" t="s">
        <v>2985</v>
      </c>
      <c r="M65" s="10"/>
      <c r="N65" s="8" t="s">
        <v>39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7"/>
        <v>1064</v>
      </c>
      <c r="T65" s="19">
        <f t="shared" si="15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6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3084</v>
      </c>
      <c r="B66" s="21"/>
      <c r="C66" s="7">
        <v>8</v>
      </c>
      <c r="D66" s="39" t="s">
        <v>3085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3035</v>
      </c>
      <c r="K66" s="8" t="s">
        <v>33</v>
      </c>
      <c r="L66" s="9" t="s">
        <v>2985</v>
      </c>
      <c r="M66" s="10"/>
      <c r="N66" s="8" t="s">
        <v>39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7"/>
        <v>230.4</v>
      </c>
      <c r="T66" s="19">
        <f t="shared" si="15"/>
        <v>0</v>
      </c>
      <c r="U66" s="16">
        <f>IFERROR(SUMIF('LISTA DE EMBARQUE'!B:B,MICRO!E:E,'LISTA DE EMBARQUE'!G:G),"")</f>
        <v>0</v>
      </c>
      <c r="V66" s="12" t="str">
        <f>IFERROR(VLOOKUP(Tabela1[[#This Row],[COD.MDE]],'LISTA DE EMBARQUE'!B:L,11,0),"")</f>
        <v/>
      </c>
      <c r="W66" s="13" t="str">
        <f>IFERROR(COUNTIF(#REF!,Tabela1[[#This Row],[Colunas5]]),"")</f>
        <v/>
      </c>
      <c r="X66" s="14">
        <f>Tabela1[[#This Row],[QIANTIDADE EXPEDIDA]]*Tabela1[[#This Row],[PESO UNI]]</f>
        <v>0</v>
      </c>
      <c r="Y66" s="14">
        <f t="shared" si="16"/>
        <v>-8</v>
      </c>
      <c r="Z66" s="20">
        <f>Tabela1[[#This Row],[PESO TOTAL]]-Tabela1[[#This Row],[Peso Expedido]]</f>
        <v>230.4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/>
      <c r="AI66" s="33" t="str">
        <f t="shared" si="10"/>
        <v/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230.4</v>
      </c>
      <c r="AU66" s="37">
        <f t="shared" si="12"/>
        <v>0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3087</v>
      </c>
      <c r="B67" s="21"/>
      <c r="C67" s="7">
        <v>8</v>
      </c>
      <c r="D67" s="39" t="s">
        <v>3086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3035</v>
      </c>
      <c r="K67" s="8" t="s">
        <v>33</v>
      </c>
      <c r="L67" s="9" t="s">
        <v>2985</v>
      </c>
      <c r="M67" s="10"/>
      <c r="N67" s="8" t="s">
        <v>39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7"/>
        <v>41.6</v>
      </c>
      <c r="T67" s="19">
        <f t="shared" si="15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6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3088</v>
      </c>
      <c r="B68" s="21"/>
      <c r="C68" s="7">
        <v>2</v>
      </c>
      <c r="D68" s="39" t="s">
        <v>3089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3035</v>
      </c>
      <c r="K68" s="8" t="s">
        <v>33</v>
      </c>
      <c r="L68" s="9" t="s">
        <v>2985</v>
      </c>
      <c r="M68" s="10"/>
      <c r="N68" s="8" t="s">
        <v>39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7"/>
        <v>98</v>
      </c>
      <c r="T68" s="19">
        <f t="shared" si="15"/>
        <v>0</v>
      </c>
      <c r="U68" s="16">
        <f>IFERROR(SUMIF('LISTA DE EMBARQUE'!B:B,MICRO!E:E,'LISTA DE EMBARQUE'!G:G),"")</f>
        <v>0</v>
      </c>
      <c r="V68" s="12" t="str">
        <f>IFERROR(VLOOKUP(Tabela1[[#This Row],[COD.MDE]],'LISTA DE EMBARQUE'!B:L,11,0),"")</f>
        <v/>
      </c>
      <c r="W68" s="13" t="str">
        <f>IFERROR(COUNTIF(#REF!,Tabela1[[#This Row],[Colunas5]]),"")</f>
        <v/>
      </c>
      <c r="X68" s="14">
        <f>Tabela1[[#This Row],[QIANTIDADE EXPEDIDA]]*Tabela1[[#This Row],[PESO UNI]]</f>
        <v>0</v>
      </c>
      <c r="Y68" s="14">
        <f t="shared" si="16"/>
        <v>-2</v>
      </c>
      <c r="Z68" s="20">
        <f>Tabela1[[#This Row],[PESO TOTAL]]-Tabela1[[#This Row],[Peso Expedido]]</f>
        <v>98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/>
      <c r="AI68" s="33" t="str">
        <f t="shared" si="10"/>
        <v/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98</v>
      </c>
      <c r="AU68" s="37">
        <f t="shared" si="12"/>
        <v>0</v>
      </c>
      <c r="AV68" s="37">
        <f t="shared" si="13"/>
        <v>98</v>
      </c>
      <c r="AW68" s="37"/>
    </row>
    <row r="69" spans="1:49" ht="15.75" hidden="1" customHeight="1" x14ac:dyDescent="0.25">
      <c r="A69" s="6" t="s">
        <v>3090</v>
      </c>
      <c r="B69" s="21"/>
      <c r="C69" s="7">
        <v>2</v>
      </c>
      <c r="D69" s="39" t="s">
        <v>3091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3035</v>
      </c>
      <c r="K69" s="8" t="s">
        <v>33</v>
      </c>
      <c r="L69" s="9" t="s">
        <v>2985</v>
      </c>
      <c r="M69" s="10"/>
      <c r="N69" s="8" t="s">
        <v>39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7"/>
        <v>56</v>
      </c>
      <c r="T69" s="19">
        <f t="shared" si="15"/>
        <v>0</v>
      </c>
      <c r="U69" s="16">
        <f>IFERROR(SUMIF('LISTA DE EMBARQUE'!B:B,MICRO!E:E,'LISTA DE EMBARQUE'!G:G),"")</f>
        <v>0</v>
      </c>
      <c r="V69" s="12" t="str">
        <f>IFERROR(VLOOKUP(Tabela1[[#This Row],[COD.MDE]],'LISTA DE EMBARQUE'!B:L,11,0),"")</f>
        <v/>
      </c>
      <c r="W69" s="13" t="str">
        <f>IFERROR(COUNTIF(#REF!,Tabela1[[#This Row],[Colunas5]]),"")</f>
        <v/>
      </c>
      <c r="X69" s="14">
        <f>Tabela1[[#This Row],[QIANTIDADE EXPEDIDA]]*Tabela1[[#This Row],[PESO UNI]]</f>
        <v>0</v>
      </c>
      <c r="Y69" s="14">
        <f t="shared" si="16"/>
        <v>-2</v>
      </c>
      <c r="Z69" s="20">
        <f>Tabela1[[#This Row],[PESO TOTAL]]-Tabela1[[#This Row],[Peso Expedido]]</f>
        <v>56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/>
      <c r="AI69" s="33" t="str">
        <f t="shared" si="10"/>
        <v/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56</v>
      </c>
      <c r="AU69" s="37">
        <f t="shared" si="12"/>
        <v>0</v>
      </c>
      <c r="AV69" s="37">
        <f t="shared" si="13"/>
        <v>56</v>
      </c>
      <c r="AW69" s="37"/>
    </row>
    <row r="70" spans="1:49" ht="15.75" hidden="1" customHeight="1" x14ac:dyDescent="0.25">
      <c r="A70" s="6" t="s">
        <v>3064</v>
      </c>
      <c r="B70" s="21"/>
      <c r="C70" s="7">
        <v>4</v>
      </c>
      <c r="D70" s="39" t="s">
        <v>3092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3035</v>
      </c>
      <c r="K70" s="8" t="s">
        <v>33</v>
      </c>
      <c r="L70" s="9" t="s">
        <v>2985</v>
      </c>
      <c r="M70" s="10"/>
      <c r="N70" s="8" t="s">
        <v>39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7"/>
        <v>10.8</v>
      </c>
      <c r="T70" s="19">
        <f t="shared" si="15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6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3064</v>
      </c>
      <c r="B71" s="21"/>
      <c r="C71" s="7">
        <v>4</v>
      </c>
      <c r="D71" s="39" t="s">
        <v>3093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3094</v>
      </c>
      <c r="K71" s="8" t="s">
        <v>33</v>
      </c>
      <c r="L71" s="9" t="s">
        <v>2985</v>
      </c>
      <c r="M71" s="10"/>
      <c r="N71" s="8" t="s">
        <v>39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7"/>
        <v>10.8</v>
      </c>
      <c r="T71" s="19">
        <f t="shared" si="15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6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3095</v>
      </c>
      <c r="B72" s="21"/>
      <c r="C72" s="7">
        <v>36</v>
      </c>
      <c r="D72" s="39" t="s">
        <v>3096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3094</v>
      </c>
      <c r="K72" s="8" t="s">
        <v>33</v>
      </c>
      <c r="L72" s="9" t="s">
        <v>2985</v>
      </c>
      <c r="M72" s="10"/>
      <c r="N72" s="8" t="s">
        <v>39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7"/>
        <v>3103.2000000000003</v>
      </c>
      <c r="T72" s="19">
        <f t="shared" si="15"/>
        <v>0</v>
      </c>
      <c r="U72" s="16">
        <f>IFERROR(SUMIF('LISTA DE EMBARQUE'!B:B,MICRO!E:E,'LISTA DE EMBARQUE'!G:G),"")</f>
        <v>23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1982.6000000000001</v>
      </c>
      <c r="Y72" s="14">
        <f t="shared" si="16"/>
        <v>-13</v>
      </c>
      <c r="Z72" s="20">
        <f>Tabela1[[#This Row],[PESO TOTAL]]-Tabela1[[#This Row],[Peso Expedido]]</f>
        <v>1120.6000000000001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59">
        <f>Tabela1[[#This Row],[Peso Expedido]]/Tabela1[[#This Row],[PESO TOTAL]]</f>
        <v>0.63888888888888884</v>
      </c>
      <c r="AI72" s="33" t="str">
        <f t="shared" si="10"/>
        <v/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1120.6000000000004</v>
      </c>
      <c r="AU72" s="37">
        <f t="shared" si="12"/>
        <v>1982.6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3098</v>
      </c>
      <c r="B73" s="21"/>
      <c r="C73" s="7">
        <v>4</v>
      </c>
      <c r="D73" s="39" t="s">
        <v>3097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3094</v>
      </c>
      <c r="K73" s="8" t="s">
        <v>33</v>
      </c>
      <c r="L73" s="9" t="s">
        <v>2985</v>
      </c>
      <c r="M73" s="10"/>
      <c r="N73" s="8" t="s">
        <v>39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7"/>
        <v>240</v>
      </c>
      <c r="T73" s="19">
        <f t="shared" si="15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6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3099</v>
      </c>
      <c r="B74" s="21"/>
      <c r="C74" s="7">
        <v>2</v>
      </c>
      <c r="D74" s="39" t="s">
        <v>3100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3094</v>
      </c>
      <c r="K74" s="8" t="s">
        <v>33</v>
      </c>
      <c r="L74" s="9" t="s">
        <v>2985</v>
      </c>
      <c r="M74" s="10"/>
      <c r="N74" s="8" t="s">
        <v>39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7"/>
        <v>56</v>
      </c>
      <c r="T74" s="19">
        <f t="shared" si="15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6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3101</v>
      </c>
      <c r="B75" s="21"/>
      <c r="C75" s="7">
        <v>24</v>
      </c>
      <c r="D75" s="39" t="s">
        <v>3102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3094</v>
      </c>
      <c r="K75" s="8" t="s">
        <v>23</v>
      </c>
      <c r="L75" s="9" t="s">
        <v>2985</v>
      </c>
      <c r="M75" s="10"/>
      <c r="N75" s="8" t="s">
        <v>39</v>
      </c>
      <c r="O75" s="12"/>
      <c r="P75" s="13"/>
      <c r="Q75" s="14">
        <f>Tabela1[[#This Row],[QTDE/ Fabricação]]-Tabela1[[#This Row],[QTE]]</f>
        <v>-24</v>
      </c>
      <c r="R75" s="18">
        <f t="shared" si="14"/>
        <v>0</v>
      </c>
      <c r="S75" s="18">
        <f t="shared" si="17"/>
        <v>0</v>
      </c>
      <c r="T75" s="19">
        <f t="shared" si="15"/>
        <v>-1200</v>
      </c>
      <c r="U75" s="16">
        <f>IFERROR(SUMIF('LISTA DE EMBARQUE'!B:B,MICRO!E:E,'LISTA DE EMBARQUE'!G:G),"")</f>
        <v>0</v>
      </c>
      <c r="V75" s="12" t="str">
        <f>IFERROR(VLOOKUP(Tabela1[[#This Row],[COD.MDE]],'LISTA DE EMBARQUE'!B:L,11,0),"")</f>
        <v/>
      </c>
      <c r="W75" s="13" t="str">
        <f>IFERROR(COUNTIF(#REF!,Tabela1[[#This Row],[Colunas5]]),"")</f>
        <v/>
      </c>
      <c r="X75" s="14">
        <f>Tabela1[[#This Row],[QIANTIDADE EXPEDIDA]]*Tabela1[[#This Row],[PESO UNI]]</f>
        <v>0</v>
      </c>
      <c r="Y75" s="14">
        <f t="shared" si="16"/>
        <v>-24</v>
      </c>
      <c r="Z75" s="20">
        <f>Tabela1[[#This Row],[PESO TOTAL]]-Tabela1[[#This Row],[Peso Expedido]]</f>
        <v>1200</v>
      </c>
      <c r="AA75" s="17"/>
      <c r="AB75" s="33"/>
      <c r="AC75" s="33"/>
      <c r="AD75" s="33"/>
      <c r="AE75" s="33"/>
      <c r="AF75" s="33"/>
      <c r="AG75" s="33"/>
      <c r="AH75" s="33"/>
      <c r="AI75" s="33" t="str">
        <f t="shared" si="10"/>
        <v/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0</v>
      </c>
      <c r="AV75" s="37">
        <f t="shared" si="13"/>
        <v>0</v>
      </c>
      <c r="AW75" s="37"/>
    </row>
    <row r="76" spans="1:49" ht="15.75" hidden="1" customHeight="1" x14ac:dyDescent="0.25">
      <c r="A76" s="6" t="s">
        <v>3103</v>
      </c>
      <c r="B76" s="21"/>
      <c r="C76" s="7">
        <v>72</v>
      </c>
      <c r="D76" s="39" t="s">
        <v>3104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3094</v>
      </c>
      <c r="K76" s="8" t="s">
        <v>23</v>
      </c>
      <c r="L76" s="9" t="s">
        <v>2985</v>
      </c>
      <c r="M76" s="10"/>
      <c r="N76" s="8" t="s">
        <v>39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7"/>
        <v>864</v>
      </c>
      <c r="T76" s="19">
        <f t="shared" si="15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6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f>Tabela1[[#This Row],[Peso Expedido]]/Tabela1[[#This Row],[PESO TOTAL]]</f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3105</v>
      </c>
      <c r="B77" s="21"/>
      <c r="C77" s="7">
        <v>12</v>
      </c>
      <c r="D77" s="39" t="s">
        <v>3106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3094</v>
      </c>
      <c r="K77" s="8" t="s">
        <v>23</v>
      </c>
      <c r="L77" s="9" t="s">
        <v>2985</v>
      </c>
      <c r="M77" s="10"/>
      <c r="N77" s="8" t="s">
        <v>39</v>
      </c>
      <c r="O77" s="12"/>
      <c r="P77" s="13"/>
      <c r="Q77" s="14">
        <f>Tabela1[[#This Row],[QTDE/ Fabricação]]-Tabela1[[#This Row],[QTE]]</f>
        <v>-12</v>
      </c>
      <c r="R77" s="18">
        <f t="shared" si="14"/>
        <v>534.66000000000008</v>
      </c>
      <c r="S77" s="18">
        <f t="shared" si="17"/>
        <v>0</v>
      </c>
      <c r="T77" s="19">
        <f t="shared" si="15"/>
        <v>-804</v>
      </c>
      <c r="U77" s="16">
        <f>IFERROR(SUMIF('LISTA DE EMBARQUE'!B:B,MICRO!E:E,'LISTA DE EMBARQUE'!G:G),"")</f>
        <v>0</v>
      </c>
      <c r="V77" s="12" t="str">
        <f>IFERROR(VLOOKUP(Tabela1[[#This Row],[COD.MDE]],'LISTA DE EMBARQUE'!B:L,11,0),"")</f>
        <v/>
      </c>
      <c r="W77" s="13" t="str">
        <f>IFERROR(COUNTIF(#REF!,Tabela1[[#This Row],[Colunas5]]),"")</f>
        <v/>
      </c>
      <c r="X77" s="14">
        <f>Tabela1[[#This Row],[QIANTIDADE EXPEDIDA]]*Tabela1[[#This Row],[PESO UNI]]</f>
        <v>0</v>
      </c>
      <c r="Y77" s="14">
        <f t="shared" si="16"/>
        <v>-12</v>
      </c>
      <c r="Z77" s="20">
        <f>Tabela1[[#This Row],[PESO TOTAL]]-Tabela1[[#This Row],[Peso Expedido]]</f>
        <v>804</v>
      </c>
      <c r="AA77" s="17">
        <v>0.8</v>
      </c>
      <c r="AB77" s="33"/>
      <c r="AC77" s="33">
        <v>0.6</v>
      </c>
      <c r="AD77" s="33">
        <v>0.4</v>
      </c>
      <c r="AE77" s="33">
        <v>1</v>
      </c>
      <c r="AF77" s="33"/>
      <c r="AG77" s="33"/>
      <c r="AH77" s="33"/>
      <c r="AI77" s="33" t="str">
        <f t="shared" si="10"/>
        <v/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0</v>
      </c>
      <c r="AV77" s="37">
        <f t="shared" si="13"/>
        <v>0</v>
      </c>
      <c r="AW77" s="37"/>
    </row>
    <row r="78" spans="1:49" ht="15.75" hidden="1" customHeight="1" x14ac:dyDescent="0.25">
      <c r="A78" s="6" t="s">
        <v>3107</v>
      </c>
      <c r="B78" s="21"/>
      <c r="C78" s="7">
        <v>10</v>
      </c>
      <c r="D78" s="39" t="s">
        <v>3108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3094</v>
      </c>
      <c r="K78" s="8" t="s">
        <v>23</v>
      </c>
      <c r="L78" s="9" t="s">
        <v>2985</v>
      </c>
      <c r="M78" s="10"/>
      <c r="N78" s="8" t="s">
        <v>39</v>
      </c>
      <c r="O78" s="12"/>
      <c r="P78" s="13"/>
      <c r="Q78" s="14">
        <f>Tabela1[[#This Row],[QTDE/ Fabricação]]-Tabela1[[#This Row],[QTE]]</f>
        <v>-10</v>
      </c>
      <c r="R78" s="18">
        <f t="shared" si="14"/>
        <v>269.67499999999995</v>
      </c>
      <c r="S78" s="18">
        <f t="shared" si="17"/>
        <v>0</v>
      </c>
      <c r="T78" s="19">
        <f t="shared" si="15"/>
        <v>-469</v>
      </c>
      <c r="U78" s="16">
        <f>IFERROR(SUMIF('LISTA DE EMBARQUE'!B:B,MICRO!E:E,'LISTA DE EMBARQUE'!G:G),"")</f>
        <v>0</v>
      </c>
      <c r="V78" s="12" t="str">
        <f>IFERROR(VLOOKUP(Tabela1[[#This Row],[COD.MDE]],'LISTA DE EMBARQUE'!B:L,11,0),"")</f>
        <v/>
      </c>
      <c r="W78" s="13" t="str">
        <f>IFERROR(COUNTIF(#REF!,Tabela1[[#This Row],[Colunas5]]),"")</f>
        <v/>
      </c>
      <c r="X78" s="14">
        <f>Tabela1[[#This Row],[QIANTIDADE EXPEDIDA]]*Tabela1[[#This Row],[PESO UNI]]</f>
        <v>0</v>
      </c>
      <c r="Y78" s="14">
        <f t="shared" si="16"/>
        <v>-10</v>
      </c>
      <c r="Z78" s="20">
        <f>Tabela1[[#This Row],[PESO TOTAL]]-Tabela1[[#This Row],[Peso Expedido]]</f>
        <v>469</v>
      </c>
      <c r="AA78" s="17">
        <v>0.7</v>
      </c>
      <c r="AB78" s="33"/>
      <c r="AC78" s="33">
        <v>0.7</v>
      </c>
      <c r="AD78" s="33"/>
      <c r="AE78" s="33">
        <v>1</v>
      </c>
      <c r="AF78" s="33"/>
      <c r="AG78" s="33"/>
      <c r="AH78" s="33"/>
      <c r="AI78" s="33" t="str">
        <f t="shared" si="10"/>
        <v/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0</v>
      </c>
      <c r="AV78" s="37">
        <f t="shared" si="13"/>
        <v>0</v>
      </c>
      <c r="AW78" s="37"/>
    </row>
    <row r="79" spans="1:49" ht="15.75" hidden="1" customHeight="1" x14ac:dyDescent="0.25">
      <c r="A79" s="6" t="s">
        <v>3040</v>
      </c>
      <c r="B79" s="21"/>
      <c r="C79" s="7">
        <v>4</v>
      </c>
      <c r="D79" s="39" t="s">
        <v>3109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3094</v>
      </c>
      <c r="K79" s="8" t="s">
        <v>23</v>
      </c>
      <c r="L79" s="9" t="s">
        <v>2985</v>
      </c>
      <c r="M79" s="10"/>
      <c r="N79" s="8" t="s">
        <v>39</v>
      </c>
      <c r="O79" s="12"/>
      <c r="P79" s="13"/>
      <c r="Q79" s="14">
        <f>Tabela1[[#This Row],[QTDE/ Fabricação]]-Tabela1[[#This Row],[QTE]]</f>
        <v>-4</v>
      </c>
      <c r="R79" s="18">
        <f t="shared" si="14"/>
        <v>1.89</v>
      </c>
      <c r="S79" s="18">
        <f t="shared" si="17"/>
        <v>0</v>
      </c>
      <c r="T79" s="19">
        <f t="shared" si="15"/>
        <v>-10.8</v>
      </c>
      <c r="U79" s="16">
        <f>IFERROR(SUMIF('LISTA DE EMBARQUE'!B:B,MICRO!E:E,'LISTA DE EMBARQUE'!G:G),"")</f>
        <v>0</v>
      </c>
      <c r="V79" s="12" t="str">
        <f>IFERROR(VLOOKUP(Tabela1[[#This Row],[COD.MDE]],'LISTA DE EMBARQUE'!B:L,11,0),"")</f>
        <v/>
      </c>
      <c r="W79" s="13" t="str">
        <f>IFERROR(COUNTIF(#REF!,Tabela1[[#This Row],[Colunas5]]),"")</f>
        <v/>
      </c>
      <c r="X79" s="14">
        <f>Tabela1[[#This Row],[QIANTIDADE EXPEDIDA]]*Tabela1[[#This Row],[PESO UNI]]</f>
        <v>0</v>
      </c>
      <c r="Y79" s="14">
        <f t="shared" si="16"/>
        <v>-4</v>
      </c>
      <c r="Z79" s="20">
        <f>Tabela1[[#This Row],[PESO TOTAL]]-Tabela1[[#This Row],[Peso Expedido]]</f>
        <v>10.8</v>
      </c>
      <c r="AA79" s="17">
        <v>0.3</v>
      </c>
      <c r="AB79" s="33"/>
      <c r="AC79" s="33">
        <v>0.4</v>
      </c>
      <c r="AD79" s="33"/>
      <c r="AE79" s="33"/>
      <c r="AF79" s="33"/>
      <c r="AG79" s="33"/>
      <c r="AH79" s="33"/>
      <c r="AI79" s="33" t="str">
        <f t="shared" si="10"/>
        <v/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0</v>
      </c>
      <c r="AV79" s="37">
        <f t="shared" si="13"/>
        <v>0</v>
      </c>
      <c r="AW79" s="37"/>
    </row>
    <row r="80" spans="1:49" ht="15.75" hidden="1" customHeight="1" x14ac:dyDescent="0.25">
      <c r="A80" s="6" t="s">
        <v>79</v>
      </c>
      <c r="B80" s="21"/>
      <c r="C80" s="7">
        <v>30</v>
      </c>
      <c r="D80" s="39" t="s">
        <v>3110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3111</v>
      </c>
      <c r="K80" s="8" t="s">
        <v>23</v>
      </c>
      <c r="L80" s="9" t="s">
        <v>3112</v>
      </c>
      <c r="M80" s="10"/>
      <c r="N80" s="8" t="s">
        <v>39</v>
      </c>
      <c r="O80" s="12"/>
      <c r="P80" s="13"/>
      <c r="Q80" s="14">
        <f>Tabela1[[#This Row],[QTDE/ Fabricação]]-Tabela1[[#This Row],[QTE]]</f>
        <v>-30</v>
      </c>
      <c r="R80" s="18">
        <f t="shared" si="14"/>
        <v>75.337499999999991</v>
      </c>
      <c r="S80" s="18">
        <f t="shared" si="17"/>
        <v>0</v>
      </c>
      <c r="T80" s="19">
        <f t="shared" si="15"/>
        <v>-122.99999999999999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si="16"/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0.5</v>
      </c>
      <c r="AE80" s="33"/>
      <c r="AF80" s="33"/>
      <c r="AG80" s="33"/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0</v>
      </c>
      <c r="AV80" s="37">
        <f t="shared" si="13"/>
        <v>0</v>
      </c>
      <c r="AW80" s="37"/>
    </row>
    <row r="81" spans="1:49" ht="15.75" hidden="1" customHeight="1" x14ac:dyDescent="0.25">
      <c r="A81" s="6" t="s">
        <v>3113</v>
      </c>
      <c r="B81" s="21" t="s">
        <v>3120</v>
      </c>
      <c r="C81" s="7">
        <v>18</v>
      </c>
      <c r="D81" s="39" t="s">
        <v>3114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4421</v>
      </c>
      <c r="J81" s="8" t="s">
        <v>3035</v>
      </c>
      <c r="K81" s="8" t="s">
        <v>31</v>
      </c>
      <c r="L81" s="9" t="s">
        <v>2985</v>
      </c>
      <c r="M81" s="10">
        <v>46183</v>
      </c>
      <c r="N81" s="8" t="s">
        <v>39</v>
      </c>
      <c r="O81" s="12"/>
      <c r="P81" s="13"/>
      <c r="Q81" s="14">
        <f>Tabela1[[#This Row],[QTDE/ Fabricação]]-Tabela1[[#This Row],[QTE]]</f>
        <v>-18</v>
      </c>
      <c r="R81" s="18">
        <f t="shared" si="14"/>
        <v>20.25</v>
      </c>
      <c r="S81" s="18">
        <f t="shared" si="17"/>
        <v>0</v>
      </c>
      <c r="T81" s="19">
        <f t="shared" si="15"/>
        <v>-45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16"/>
        <v>-18</v>
      </c>
      <c r="Z81" s="20">
        <f>Tabela1[[#This Row],[PESO TOTAL]]-Tabela1[[#This Row],[Peso Expedido]]</f>
        <v>45</v>
      </c>
      <c r="AA81" s="17">
        <v>0.9</v>
      </c>
      <c r="AB81" s="33"/>
      <c r="AC81" s="33">
        <v>0.9</v>
      </c>
      <c r="AD81" s="33"/>
      <c r="AE81" s="33"/>
      <c r="AF81" s="33"/>
      <c r="AG81" s="33"/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2"/>
        <v>0</v>
      </c>
      <c r="AV81" s="37">
        <f t="shared" si="13"/>
        <v>0</v>
      </c>
      <c r="AW81" s="37"/>
    </row>
    <row r="82" spans="1:49" ht="15.75" hidden="1" customHeight="1" x14ac:dyDescent="0.25">
      <c r="A82" s="6" t="s">
        <v>3113</v>
      </c>
      <c r="B82" s="21" t="s">
        <v>3120</v>
      </c>
      <c r="C82" s="7">
        <v>1</v>
      </c>
      <c r="D82" s="39" t="s">
        <v>3115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4421</v>
      </c>
      <c r="J82" s="8" t="s">
        <v>3035</v>
      </c>
      <c r="K82" s="8" t="s">
        <v>31</v>
      </c>
      <c r="L82" s="9" t="s">
        <v>2985</v>
      </c>
      <c r="M82" s="10">
        <v>46183</v>
      </c>
      <c r="N82" s="8" t="s">
        <v>39</v>
      </c>
      <c r="O82" s="12"/>
      <c r="P82" s="13"/>
      <c r="Q82" s="14">
        <f>Tabela1[[#This Row],[QTDE/ Fabricação]]-Tabela1[[#This Row],[QTE]]</f>
        <v>-1</v>
      </c>
      <c r="R82" s="18">
        <f t="shared" si="14"/>
        <v>396.3</v>
      </c>
      <c r="S82" s="18">
        <f t="shared" si="17"/>
        <v>396.3</v>
      </c>
      <c r="T82" s="19">
        <f t="shared" si="15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16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3113</v>
      </c>
      <c r="B83" s="21" t="s">
        <v>3120</v>
      </c>
      <c r="C83" s="7">
        <v>1</v>
      </c>
      <c r="D83" s="39" t="s">
        <v>3116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4421</v>
      </c>
      <c r="J83" s="8" t="s">
        <v>3035</v>
      </c>
      <c r="K83" s="8" t="s">
        <v>31</v>
      </c>
      <c r="L83" s="9" t="s">
        <v>2985</v>
      </c>
      <c r="M83" s="10">
        <v>46183</v>
      </c>
      <c r="N83" s="8" t="s">
        <v>39</v>
      </c>
      <c r="O83" s="12"/>
      <c r="P83" s="13"/>
      <c r="Q83" s="14">
        <f>Tabela1[[#This Row],[QTDE/ Fabricação]]-Tabela1[[#This Row],[QTE]]</f>
        <v>-1</v>
      </c>
      <c r="R83" s="18">
        <f t="shared" si="14"/>
        <v>290.60000000000002</v>
      </c>
      <c r="S83" s="18">
        <f t="shared" si="17"/>
        <v>290.60000000000002</v>
      </c>
      <c r="T83" s="19">
        <f t="shared" si="15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16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3113</v>
      </c>
      <c r="B84" s="21" t="s">
        <v>3120</v>
      </c>
      <c r="C84" s="7">
        <v>1</v>
      </c>
      <c r="D84" s="39" t="s">
        <v>3117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4421</v>
      </c>
      <c r="J84" s="8" t="s">
        <v>3035</v>
      </c>
      <c r="K84" s="8" t="s">
        <v>31</v>
      </c>
      <c r="L84" s="9" t="s">
        <v>2985</v>
      </c>
      <c r="M84" s="10">
        <v>46183</v>
      </c>
      <c r="N84" s="8" t="s">
        <v>39</v>
      </c>
      <c r="O84" s="12"/>
      <c r="P84" s="13"/>
      <c r="Q84" s="14">
        <f>Tabela1[[#This Row],[QTDE/ Fabricação]]-Tabela1[[#This Row],[QTE]]</f>
        <v>-1</v>
      </c>
      <c r="R84" s="18">
        <f t="shared" si="14"/>
        <v>290.60000000000002</v>
      </c>
      <c r="S84" s="18">
        <f t="shared" si="17"/>
        <v>290.60000000000002</v>
      </c>
      <c r="T84" s="19">
        <f t="shared" si="15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16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3113</v>
      </c>
      <c r="B85" s="21" t="s">
        <v>3120</v>
      </c>
      <c r="C85" s="7">
        <v>1</v>
      </c>
      <c r="D85" s="39" t="s">
        <v>3118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4421</v>
      </c>
      <c r="J85" s="8" t="s">
        <v>3035</v>
      </c>
      <c r="K85" s="8" t="s">
        <v>31</v>
      </c>
      <c r="L85" s="9" t="s">
        <v>2985</v>
      </c>
      <c r="M85" s="10">
        <v>46183</v>
      </c>
      <c r="N85" s="8" t="s">
        <v>39</v>
      </c>
      <c r="O85" s="12"/>
      <c r="P85" s="13"/>
      <c r="Q85" s="14">
        <f>Tabela1[[#This Row],[QTDE/ Fabricação]]-Tabela1[[#This Row],[QTE]]</f>
        <v>-1</v>
      </c>
      <c r="R85" s="18">
        <f t="shared" ref="R85:R116" si="19">IFERROR(H85*((AA85*0.25)+(AC85*0.25)+(AD85*0.225)+(AE85*0.225)+(AF85*0.05)),"")</f>
        <v>295</v>
      </c>
      <c r="S85" s="18">
        <f t="shared" si="17"/>
        <v>295</v>
      </c>
      <c r="T85" s="19">
        <f t="shared" ref="T85:T116" si="20">IFERROR(S85-H85,"")</f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16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3113</v>
      </c>
      <c r="B86" s="21" t="s">
        <v>3120</v>
      </c>
      <c r="C86" s="7">
        <v>6</v>
      </c>
      <c r="D86" s="39" t="s">
        <v>3119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4421</v>
      </c>
      <c r="J86" s="8" t="s">
        <v>3035</v>
      </c>
      <c r="K86" s="8" t="s">
        <v>31</v>
      </c>
      <c r="L86" s="9" t="s">
        <v>2985</v>
      </c>
      <c r="M86" s="10">
        <v>46183</v>
      </c>
      <c r="N86" s="8" t="s">
        <v>39</v>
      </c>
      <c r="O86" s="12"/>
      <c r="P86" s="13"/>
      <c r="Q86" s="14">
        <f>Tabela1[[#This Row],[QTDE/ Fabricação]]-Tabela1[[#This Row],[QTE]]</f>
        <v>-6</v>
      </c>
      <c r="R86" s="18">
        <f t="shared" si="19"/>
        <v>64.8</v>
      </c>
      <c r="S86" s="18">
        <f t="shared" si="17"/>
        <v>0</v>
      </c>
      <c r="T86" s="19">
        <f t="shared" si="20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16"/>
        <v>-6</v>
      </c>
      <c r="Z86" s="20">
        <f>Tabela1[[#This Row],[PESO TOTAL]]-Tabela1[[#This Row],[Peso Expedido]]</f>
        <v>144</v>
      </c>
      <c r="AA86" s="17">
        <v>0.9</v>
      </c>
      <c r="AB86" s="33"/>
      <c r="AC86" s="33">
        <v>0.9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3121</v>
      </c>
      <c r="B87" s="21" t="s">
        <v>3122</v>
      </c>
      <c r="C87" s="7">
        <v>4</v>
      </c>
      <c r="D87" s="39" t="s">
        <v>3123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4420</v>
      </c>
      <c r="J87" s="8" t="s">
        <v>3035</v>
      </c>
      <c r="K87" s="8" t="s">
        <v>31</v>
      </c>
      <c r="L87" s="9" t="s">
        <v>2985</v>
      </c>
      <c r="M87" s="10">
        <v>46185</v>
      </c>
      <c r="N87" s="8" t="s">
        <v>39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17"/>
        <v>29.6</v>
      </c>
      <c r="T87" s="19">
        <f t="shared" si="20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16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3121</v>
      </c>
      <c r="B88" s="21" t="s">
        <v>3122</v>
      </c>
      <c r="C88" s="7">
        <v>1</v>
      </c>
      <c r="D88" s="39" t="s">
        <v>3124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4420</v>
      </c>
      <c r="J88" s="8" t="s">
        <v>3035</v>
      </c>
      <c r="K88" s="8" t="s">
        <v>31</v>
      </c>
      <c r="L88" s="9" t="s">
        <v>2985</v>
      </c>
      <c r="M88" s="10">
        <v>46185</v>
      </c>
      <c r="N88" s="8" t="s">
        <v>39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17"/>
        <v>252</v>
      </c>
      <c r="T88" s="19">
        <f t="shared" si="20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16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3125</v>
      </c>
      <c r="B89" s="21" t="s">
        <v>3126</v>
      </c>
      <c r="C89" s="7">
        <v>2</v>
      </c>
      <c r="D89" s="39" t="s">
        <v>3127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4421</v>
      </c>
      <c r="J89" s="8" t="s">
        <v>3035</v>
      </c>
      <c r="K89" s="8" t="s">
        <v>31</v>
      </c>
      <c r="L89" s="9" t="s">
        <v>2985</v>
      </c>
      <c r="M89" s="10">
        <v>46185</v>
      </c>
      <c r="N89" s="8" t="s">
        <v>39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17"/>
        <v>0</v>
      </c>
      <c r="T89" s="19">
        <f t="shared" si="20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16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3128</v>
      </c>
      <c r="B90" s="21" t="s">
        <v>3129</v>
      </c>
      <c r="C90" s="7">
        <v>28</v>
      </c>
      <c r="D90" s="39" t="s">
        <v>3130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4419</v>
      </c>
      <c r="J90" s="8" t="s">
        <v>3035</v>
      </c>
      <c r="K90" s="8" t="s">
        <v>31</v>
      </c>
      <c r="L90" s="9" t="s">
        <v>2985</v>
      </c>
      <c r="M90" s="10">
        <v>46188</v>
      </c>
      <c r="N90" s="8" t="s">
        <v>39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17"/>
        <v>36.4</v>
      </c>
      <c r="T90" s="19">
        <f t="shared" si="20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16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3128</v>
      </c>
      <c r="B91" s="21" t="s">
        <v>3129</v>
      </c>
      <c r="C91" s="7">
        <v>28</v>
      </c>
      <c r="D91" s="39" t="s">
        <v>3131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4419</v>
      </c>
      <c r="J91" s="8" t="s">
        <v>3035</v>
      </c>
      <c r="K91" s="8" t="s">
        <v>31</v>
      </c>
      <c r="L91" s="9" t="s">
        <v>2985</v>
      </c>
      <c r="M91" s="10">
        <v>46188</v>
      </c>
      <c r="N91" s="8" t="s">
        <v>39</v>
      </c>
      <c r="O91" s="12"/>
      <c r="P91" s="13"/>
      <c r="Q91" s="14">
        <f>Tabela1[[#This Row],[QTDE/ Fabricação]]-Tabela1[[#This Row],[QTE]]</f>
        <v>-28</v>
      </c>
      <c r="R91" s="18">
        <f t="shared" si="19"/>
        <v>283.91999999999996</v>
      </c>
      <c r="S91" s="18">
        <f t="shared" si="17"/>
        <v>291.2</v>
      </c>
      <c r="T91" s="19">
        <f t="shared" si="20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16"/>
        <v>-28</v>
      </c>
      <c r="Z91" s="20">
        <f>Tabela1[[#This Row],[PESO TOTAL]]-Tabela1[[#This Row],[Peso Expedido]]</f>
        <v>291.2</v>
      </c>
      <c r="AA91" s="17">
        <v>0.9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3128</v>
      </c>
      <c r="B92" s="21" t="s">
        <v>3129</v>
      </c>
      <c r="C92" s="7">
        <v>12</v>
      </c>
      <c r="D92" s="39" t="s">
        <v>3132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4419</v>
      </c>
      <c r="J92" s="8" t="s">
        <v>3035</v>
      </c>
      <c r="K92" s="8" t="s">
        <v>31</v>
      </c>
      <c r="L92" s="9" t="s">
        <v>2985</v>
      </c>
      <c r="M92" s="10">
        <v>46188</v>
      </c>
      <c r="N92" s="8" t="s">
        <v>39</v>
      </c>
      <c r="O92" s="12"/>
      <c r="P92" s="13"/>
      <c r="Q92" s="14">
        <f>Tabela1[[#This Row],[QTDE/ Fabricação]]-Tabela1[[#This Row],[QTE]]</f>
        <v>-12</v>
      </c>
      <c r="R92" s="18">
        <f t="shared" si="19"/>
        <v>311.04000000000002</v>
      </c>
      <c r="S92" s="18">
        <f t="shared" si="17"/>
        <v>0</v>
      </c>
      <c r="T92" s="19">
        <f t="shared" si="20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16"/>
        <v>-12</v>
      </c>
      <c r="Z92" s="20">
        <f>Tabela1[[#This Row],[PESO TOTAL]]-Tabela1[[#This Row],[Peso Expedido]]</f>
        <v>691.2</v>
      </c>
      <c r="AA92" s="17">
        <v>0.9</v>
      </c>
      <c r="AB92" s="33"/>
      <c r="AC92" s="33">
        <v>0.9</v>
      </c>
      <c r="AD92" s="33"/>
      <c r="AE92" s="33"/>
      <c r="AF92" s="33"/>
      <c r="AG92" s="33"/>
      <c r="AH92" s="33"/>
      <c r="AI92" s="33" t="str">
        <f t="shared" ref="AI92:AI155" si="21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3128</v>
      </c>
      <c r="B93" s="21" t="s">
        <v>3129</v>
      </c>
      <c r="C93" s="7">
        <v>2</v>
      </c>
      <c r="D93" s="39" t="s">
        <v>3133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4419</v>
      </c>
      <c r="J93" s="8" t="s">
        <v>3035</v>
      </c>
      <c r="K93" s="8" t="s">
        <v>31</v>
      </c>
      <c r="L93" s="9" t="s">
        <v>2985</v>
      </c>
      <c r="M93" s="10">
        <v>46188</v>
      </c>
      <c r="N93" s="8" t="s">
        <v>39</v>
      </c>
      <c r="O93" s="12"/>
      <c r="P93" s="13"/>
      <c r="Q93" s="14">
        <f>Tabela1[[#This Row],[QTDE/ Fabricação]]-Tabela1[[#This Row],[QTE]]</f>
        <v>-2</v>
      </c>
      <c r="R93" s="18">
        <f t="shared" si="19"/>
        <v>51.84</v>
      </c>
      <c r="S93" s="18">
        <f t="shared" si="17"/>
        <v>0</v>
      </c>
      <c r="T93" s="19">
        <f t="shared" si="20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16"/>
        <v>-2</v>
      </c>
      <c r="Z93" s="20">
        <f>Tabela1[[#This Row],[PESO TOTAL]]-Tabela1[[#This Row],[Peso Expedido]]</f>
        <v>115.2</v>
      </c>
      <c r="AA93" s="17">
        <v>0.9</v>
      </c>
      <c r="AB93" s="33"/>
      <c r="AC93" s="33">
        <v>0.9</v>
      </c>
      <c r="AD93" s="33"/>
      <c r="AE93" s="33"/>
      <c r="AF93" s="33"/>
      <c r="AG93" s="33"/>
      <c r="AH93" s="33"/>
      <c r="AI93" s="33" t="str">
        <f t="shared" si="21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3128</v>
      </c>
      <c r="B94" s="21" t="s">
        <v>3129</v>
      </c>
      <c r="C94" s="7">
        <v>28</v>
      </c>
      <c r="D94" s="39" t="s">
        <v>3134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4419</v>
      </c>
      <c r="J94" s="8" t="s">
        <v>3035</v>
      </c>
      <c r="K94" s="8" t="s">
        <v>46</v>
      </c>
      <c r="L94" s="9" t="s">
        <v>2985</v>
      </c>
      <c r="M94" s="10">
        <v>46188</v>
      </c>
      <c r="N94" s="8" t="s">
        <v>39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17"/>
        <v>134.4</v>
      </c>
      <c r="T94" s="19">
        <f t="shared" si="20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16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1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3128</v>
      </c>
      <c r="B95" s="21" t="s">
        <v>3129</v>
      </c>
      <c r="C95" s="7">
        <v>14</v>
      </c>
      <c r="D95" s="39" t="s">
        <v>3135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4419</v>
      </c>
      <c r="J95" s="8" t="s">
        <v>3035</v>
      </c>
      <c r="K95" s="8" t="s">
        <v>31</v>
      </c>
      <c r="L95" s="9" t="s">
        <v>2985</v>
      </c>
      <c r="M95" s="10">
        <v>46188</v>
      </c>
      <c r="N95" s="8" t="s">
        <v>39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17"/>
        <v>0</v>
      </c>
      <c r="T95" s="19">
        <f t="shared" si="20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16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1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3128</v>
      </c>
      <c r="B96" s="21" t="s">
        <v>3129</v>
      </c>
      <c r="C96" s="7">
        <v>84</v>
      </c>
      <c r="D96" s="39" t="s">
        <v>3136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4419</v>
      </c>
      <c r="J96" s="8" t="s">
        <v>3035</v>
      </c>
      <c r="K96" s="8" t="s">
        <v>31</v>
      </c>
      <c r="L96" s="9" t="s">
        <v>2985</v>
      </c>
      <c r="M96" s="10">
        <v>46188</v>
      </c>
      <c r="N96" s="8" t="s">
        <v>39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17"/>
        <v>0</v>
      </c>
      <c r="T96" s="19">
        <f t="shared" si="20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16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1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3128</v>
      </c>
      <c r="B97" s="21" t="s">
        <v>3129</v>
      </c>
      <c r="C97" s="7">
        <v>1</v>
      </c>
      <c r="D97" s="39" t="s">
        <v>3137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4419</v>
      </c>
      <c r="J97" s="8" t="s">
        <v>3035</v>
      </c>
      <c r="K97" s="8" t="s">
        <v>31</v>
      </c>
      <c r="L97" s="9" t="s">
        <v>2985</v>
      </c>
      <c r="M97" s="10">
        <v>46188</v>
      </c>
      <c r="N97" s="8" t="s">
        <v>39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17"/>
        <v>26.3</v>
      </c>
      <c r="T97" s="19">
        <f t="shared" si="20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16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1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3128</v>
      </c>
      <c r="B98" s="21" t="s">
        <v>3129</v>
      </c>
      <c r="C98" s="7">
        <v>1</v>
      </c>
      <c r="D98" s="39" t="s">
        <v>3138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4419</v>
      </c>
      <c r="J98" s="8" t="s">
        <v>3035</v>
      </c>
      <c r="K98" s="8" t="s">
        <v>46</v>
      </c>
      <c r="L98" s="9" t="s">
        <v>2985</v>
      </c>
      <c r="M98" s="10">
        <v>46188</v>
      </c>
      <c r="N98" s="8" t="s">
        <v>39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17"/>
        <v>2.4</v>
      </c>
      <c r="T98" s="19">
        <f t="shared" si="20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16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1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3128</v>
      </c>
      <c r="B99" s="21" t="s">
        <v>3129</v>
      </c>
      <c r="C99" s="7">
        <v>1</v>
      </c>
      <c r="D99" s="39" t="s">
        <v>3139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4419</v>
      </c>
      <c r="J99" s="8" t="s">
        <v>3035</v>
      </c>
      <c r="K99" s="8" t="s">
        <v>31</v>
      </c>
      <c r="L99" s="9" t="s">
        <v>2985</v>
      </c>
      <c r="M99" s="10">
        <v>46188</v>
      </c>
      <c r="N99" s="8" t="s">
        <v>39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17"/>
        <v>0</v>
      </c>
      <c r="T99" s="19">
        <f t="shared" si="20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16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1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3128</v>
      </c>
      <c r="B100" s="21" t="s">
        <v>3129</v>
      </c>
      <c r="C100" s="7">
        <v>2</v>
      </c>
      <c r="D100" s="39" t="s">
        <v>3140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4419</v>
      </c>
      <c r="J100" s="8" t="s">
        <v>3035</v>
      </c>
      <c r="K100" s="8" t="s">
        <v>31</v>
      </c>
      <c r="L100" s="9" t="s">
        <v>2985</v>
      </c>
      <c r="M100" s="10">
        <v>46188</v>
      </c>
      <c r="N100" s="8" t="s">
        <v>39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17"/>
        <v>0</v>
      </c>
      <c r="T100" s="19">
        <f t="shared" si="20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16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1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3040</v>
      </c>
      <c r="B101" s="21"/>
      <c r="C101" s="7">
        <v>4</v>
      </c>
      <c r="D101" s="39" t="s">
        <v>3041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3141</v>
      </c>
      <c r="K101" s="8" t="s">
        <v>23</v>
      </c>
      <c r="L101" s="9" t="s">
        <v>2985</v>
      </c>
      <c r="M101" s="10">
        <v>46188</v>
      </c>
      <c r="N101" s="8" t="s">
        <v>39</v>
      </c>
      <c r="O101" s="12"/>
      <c r="P101" s="13"/>
      <c r="Q101" s="14">
        <f>Tabela1[[#This Row],[QTDE/ Fabricação]]-Tabela1[[#This Row],[QTE]]</f>
        <v>-4</v>
      </c>
      <c r="R101" s="18">
        <f t="shared" si="19"/>
        <v>1.89</v>
      </c>
      <c r="S101" s="18">
        <f t="shared" si="17"/>
        <v>0</v>
      </c>
      <c r="T101" s="19">
        <f t="shared" si="20"/>
        <v>-10.8</v>
      </c>
      <c r="U101" s="16">
        <f>IFERROR(SUMIF('LISTA DE EMBARQUE'!B:B,MICRO!E:E,'LISTA DE EMBARQUE'!G:G),"")</f>
        <v>0</v>
      </c>
      <c r="V101" s="12" t="str">
        <f>IFERROR(VLOOKUP(Tabela1[[#This Row],[COD.MDE]],'LISTA DE EMBARQUE'!B:L,11,0),"")</f>
        <v/>
      </c>
      <c r="W101" s="13" t="str">
        <f>IFERROR(COUNTIF(#REF!,Tabela1[[#This Row],[Colunas5]]),"")</f>
        <v/>
      </c>
      <c r="X101" s="14">
        <f>Tabela1[[#This Row],[QIANTIDADE EXPEDIDA]]*Tabela1[[#This Row],[PESO UNI]]</f>
        <v>0</v>
      </c>
      <c r="Y101" s="14">
        <f t="shared" si="16"/>
        <v>-4</v>
      </c>
      <c r="Z101" s="20">
        <f>Tabela1[[#This Row],[PESO TOTAL]]-Tabela1[[#This Row],[Peso Expedido]]</f>
        <v>10.8</v>
      </c>
      <c r="AA101" s="17">
        <v>0.3</v>
      </c>
      <c r="AB101" s="33"/>
      <c r="AC101" s="33">
        <v>0.4</v>
      </c>
      <c r="AD101" s="33"/>
      <c r="AE101" s="33"/>
      <c r="AF101" s="33"/>
      <c r="AG101" s="33"/>
      <c r="AH101" s="33"/>
      <c r="AI101" s="33" t="str">
        <f t="shared" si="21"/>
        <v/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2">IF(AH101="",0,IF(ISTEXT(AH101),H101*VALUE(SUBSTITUTE(AH101,"%",""))/100,H101*AH101))</f>
        <v>0</v>
      </c>
      <c r="AV101" s="37">
        <f t="shared" ref="AV101:AV164" si="23">IF(AG101="",0,IF(ISTEXT(AG101),H101*VALUE(SUBSTITUTE(AG101,"%",""))/100,H101*AG101))</f>
        <v>0</v>
      </c>
      <c r="AW101" s="37"/>
    </row>
    <row r="102" spans="1:49" ht="15.75" hidden="1" customHeight="1" x14ac:dyDescent="0.25">
      <c r="A102" s="6" t="s">
        <v>3044</v>
      </c>
      <c r="B102" s="21"/>
      <c r="C102" s="7">
        <v>4</v>
      </c>
      <c r="D102" s="39" t="s">
        <v>3142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3141</v>
      </c>
      <c r="K102" s="8" t="s">
        <v>23</v>
      </c>
      <c r="L102" s="9" t="s">
        <v>2985</v>
      </c>
      <c r="M102" s="10">
        <v>46188</v>
      </c>
      <c r="N102" s="8" t="s">
        <v>39</v>
      </c>
      <c r="O102" s="12"/>
      <c r="P102" s="13"/>
      <c r="Q102" s="14">
        <f>Tabela1[[#This Row],[QTDE/ Fabricação]]-Tabela1[[#This Row],[QTE]]</f>
        <v>-4</v>
      </c>
      <c r="R102" s="18">
        <f t="shared" si="19"/>
        <v>2.2399999999999998</v>
      </c>
      <c r="S102" s="18">
        <f t="shared" si="17"/>
        <v>0</v>
      </c>
      <c r="T102" s="19">
        <f t="shared" si="20"/>
        <v>-12.8</v>
      </c>
      <c r="U102" s="16">
        <f>IFERROR(SUMIF('LISTA DE EMBARQUE'!B:B,MICRO!E:E,'LISTA DE EMBARQUE'!G:G),"")</f>
        <v>0</v>
      </c>
      <c r="V102" s="12" t="str">
        <f>IFERROR(VLOOKUP(Tabela1[[#This Row],[COD.MDE]],'LISTA DE EMBARQUE'!B:L,11,0),"")</f>
        <v/>
      </c>
      <c r="W102" s="13" t="str">
        <f>IFERROR(COUNTIF(#REF!,Tabela1[[#This Row],[Colunas5]]),"")</f>
        <v/>
      </c>
      <c r="X102" s="14">
        <f>Tabela1[[#This Row],[QIANTIDADE EXPEDIDA]]*Tabela1[[#This Row],[PESO UNI]]</f>
        <v>0</v>
      </c>
      <c r="Y102" s="14">
        <f t="shared" si="16"/>
        <v>-4</v>
      </c>
      <c r="Z102" s="20">
        <f>Tabela1[[#This Row],[PESO TOTAL]]-Tabela1[[#This Row],[Peso Expedido]]</f>
        <v>12.8</v>
      </c>
      <c r="AA102" s="17">
        <v>0.3</v>
      </c>
      <c r="AB102" s="33"/>
      <c r="AC102" s="33">
        <v>0.4</v>
      </c>
      <c r="AD102" s="33"/>
      <c r="AE102" s="33"/>
      <c r="AF102" s="33"/>
      <c r="AG102" s="33"/>
      <c r="AH102" s="33"/>
      <c r="AI102" s="33" t="str">
        <f t="shared" si="21"/>
        <v/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2"/>
        <v>0</v>
      </c>
      <c r="AV102" s="37">
        <f t="shared" si="23"/>
        <v>0</v>
      </c>
      <c r="AW102" s="37"/>
    </row>
    <row r="103" spans="1:49" ht="15.75" hidden="1" customHeight="1" x14ac:dyDescent="0.25">
      <c r="A103" s="6" t="s">
        <v>3143</v>
      </c>
      <c r="B103" s="21"/>
      <c r="C103" s="7">
        <v>6</v>
      </c>
      <c r="D103" s="39" t="s">
        <v>3144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3141</v>
      </c>
      <c r="K103" s="8" t="s">
        <v>23</v>
      </c>
      <c r="L103" s="9" t="s">
        <v>2985</v>
      </c>
      <c r="M103" s="10">
        <v>46188</v>
      </c>
      <c r="N103" s="8" t="s">
        <v>39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17"/>
        <v>324</v>
      </c>
      <c r="T103" s="19">
        <f t="shared" si="20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16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f>Tabela1[[#This Row],[Peso Expedido]]/Tabela1[[#This Row],[PESO TOTAL]]</f>
        <v>1</v>
      </c>
      <c r="AI103" s="33" t="str">
        <f t="shared" si="21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2"/>
        <v>324</v>
      </c>
      <c r="AV103" s="37">
        <f t="shared" si="23"/>
        <v>324</v>
      </c>
      <c r="AW103" s="37"/>
    </row>
    <row r="104" spans="1:49" ht="15.75" hidden="1" customHeight="1" x14ac:dyDescent="0.25">
      <c r="A104" s="6" t="s">
        <v>3145</v>
      </c>
      <c r="B104" s="21"/>
      <c r="C104" s="7">
        <v>14</v>
      </c>
      <c r="D104" s="39" t="s">
        <v>661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3141</v>
      </c>
      <c r="K104" s="8" t="s">
        <v>23</v>
      </c>
      <c r="L104" s="9" t="s">
        <v>2985</v>
      </c>
      <c r="M104" s="10">
        <v>46188</v>
      </c>
      <c r="N104" s="8" t="s">
        <v>39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17"/>
        <v>0</v>
      </c>
      <c r="T104" s="19">
        <f t="shared" si="20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16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1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2"/>
        <v>0</v>
      </c>
      <c r="AV104" s="37">
        <f t="shared" si="23"/>
        <v>0</v>
      </c>
      <c r="AW104" s="37"/>
    </row>
    <row r="105" spans="1:49" ht="15.75" hidden="1" customHeight="1" x14ac:dyDescent="0.25">
      <c r="A105" s="6" t="s">
        <v>145</v>
      </c>
      <c r="B105" s="21"/>
      <c r="C105" s="7">
        <v>42</v>
      </c>
      <c r="D105" s="39" t="s">
        <v>206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3141</v>
      </c>
      <c r="K105" s="8" t="s">
        <v>23</v>
      </c>
      <c r="L105" s="9" t="s">
        <v>2985</v>
      </c>
      <c r="M105" s="10">
        <v>46188</v>
      </c>
      <c r="N105" s="8" t="s">
        <v>39</v>
      </c>
      <c r="O105" s="12"/>
      <c r="P105" s="13"/>
      <c r="Q105" s="14">
        <f>Tabela1[[#This Row],[QTDE/ Fabricação]]-Tabela1[[#This Row],[QTE]]</f>
        <v>-42</v>
      </c>
      <c r="R105" s="18">
        <f t="shared" si="19"/>
        <v>66.149999999999991</v>
      </c>
      <c r="S105" s="18">
        <f t="shared" si="17"/>
        <v>0</v>
      </c>
      <c r="T105" s="19">
        <f t="shared" si="20"/>
        <v>-378</v>
      </c>
      <c r="U105" s="16">
        <f>IFERROR(SUMIF('LISTA DE EMBARQUE'!B:B,MICRO!E:E,'LISTA DE EMBARQUE'!G:G),"")</f>
        <v>0</v>
      </c>
      <c r="V105" s="12" t="str">
        <f>IFERROR(VLOOKUP(Tabela1[[#This Row],[COD.MDE]],'LISTA DE EMBARQUE'!B:L,11,0),"")</f>
        <v/>
      </c>
      <c r="W105" s="13" t="str">
        <f>IFERROR(COUNTIF(#REF!,Tabela1[[#This Row],[Colunas5]]),"")</f>
        <v/>
      </c>
      <c r="X105" s="14">
        <f>Tabela1[[#This Row],[QIANTIDADE EXPEDIDA]]*Tabela1[[#This Row],[PESO UNI]]</f>
        <v>0</v>
      </c>
      <c r="Y105" s="14">
        <f t="shared" si="16"/>
        <v>-42</v>
      </c>
      <c r="Z105" s="20">
        <f>Tabela1[[#This Row],[PESO TOTAL]]-Tabela1[[#This Row],[Peso Expedido]]</f>
        <v>378</v>
      </c>
      <c r="AA105" s="17">
        <v>0.3</v>
      </c>
      <c r="AB105" s="33"/>
      <c r="AC105" s="33">
        <v>0.4</v>
      </c>
      <c r="AD105" s="33"/>
      <c r="AE105" s="33"/>
      <c r="AF105" s="33"/>
      <c r="AG105" s="33"/>
      <c r="AH105" s="33"/>
      <c r="AI105" s="33" t="str">
        <f t="shared" si="21"/>
        <v/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2"/>
        <v>0</v>
      </c>
      <c r="AV105" s="37">
        <f t="shared" si="23"/>
        <v>0</v>
      </c>
      <c r="AW105" s="37"/>
    </row>
    <row r="106" spans="1:49" ht="15.75" hidden="1" customHeight="1" x14ac:dyDescent="0.25">
      <c r="A106" s="6" t="s">
        <v>415</v>
      </c>
      <c r="B106" s="21"/>
      <c r="C106" s="7">
        <v>24</v>
      </c>
      <c r="D106" s="39" t="s">
        <v>3146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3141</v>
      </c>
      <c r="K106" s="8" t="s">
        <v>23</v>
      </c>
      <c r="L106" s="9" t="s">
        <v>2985</v>
      </c>
      <c r="M106" s="10">
        <v>46188</v>
      </c>
      <c r="N106" s="8" t="s">
        <v>39</v>
      </c>
      <c r="O106" s="12"/>
      <c r="P106" s="13"/>
      <c r="Q106" s="14">
        <f>Tabela1[[#This Row],[QTDE/ Fabricação]]-Tabela1[[#This Row],[QTE]]</f>
        <v>-24</v>
      </c>
      <c r="R106" s="18">
        <f t="shared" si="19"/>
        <v>21</v>
      </c>
      <c r="S106" s="18">
        <f t="shared" si="17"/>
        <v>0</v>
      </c>
      <c r="T106" s="19">
        <f t="shared" si="20"/>
        <v>-120</v>
      </c>
      <c r="U106" s="16">
        <f>IFERROR(SUMIF('LISTA DE EMBARQUE'!B:B,MICRO!E:E,'LISTA DE EMBARQUE'!G:G),"")</f>
        <v>0</v>
      </c>
      <c r="V106" s="12" t="str">
        <f>IFERROR(VLOOKUP(Tabela1[[#This Row],[COD.MDE]],'LISTA DE EMBARQUE'!B:L,11,0),"")</f>
        <v/>
      </c>
      <c r="W106" s="13" t="str">
        <f>IFERROR(COUNTIF(#REF!,Tabela1[[#This Row],[Colunas5]]),"")</f>
        <v/>
      </c>
      <c r="X106" s="14">
        <f>Tabela1[[#This Row],[QIANTIDADE EXPEDIDA]]*Tabela1[[#This Row],[PESO UNI]]</f>
        <v>0</v>
      </c>
      <c r="Y106" s="14">
        <f t="shared" si="16"/>
        <v>-24</v>
      </c>
      <c r="Z106" s="20">
        <f>Tabela1[[#This Row],[PESO TOTAL]]-Tabela1[[#This Row],[Peso Expedido]]</f>
        <v>120</v>
      </c>
      <c r="AA106" s="17">
        <v>0.3</v>
      </c>
      <c r="AB106" s="33"/>
      <c r="AC106" s="33">
        <v>0.4</v>
      </c>
      <c r="AD106" s="33"/>
      <c r="AE106" s="33"/>
      <c r="AF106" s="33"/>
      <c r="AG106" s="33"/>
      <c r="AH106" s="33"/>
      <c r="AI106" s="33" t="str">
        <f t="shared" si="21"/>
        <v/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2"/>
        <v>0</v>
      </c>
      <c r="AV106" s="37">
        <f t="shared" si="23"/>
        <v>0</v>
      </c>
      <c r="AW106" s="37"/>
    </row>
    <row r="107" spans="1:49" ht="15.75" hidden="1" customHeight="1" x14ac:dyDescent="0.25">
      <c r="A107" s="6" t="s">
        <v>3147</v>
      </c>
      <c r="B107" s="21"/>
      <c r="C107" s="7">
        <v>1</v>
      </c>
      <c r="D107" s="39" t="s">
        <v>3148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3141</v>
      </c>
      <c r="K107" s="8" t="s">
        <v>33</v>
      </c>
      <c r="L107" s="9" t="s">
        <v>2985</v>
      </c>
      <c r="M107" s="10">
        <v>46188</v>
      </c>
      <c r="N107" s="8" t="s">
        <v>39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17"/>
        <v>18.5</v>
      </c>
      <c r="T107" s="19">
        <f t="shared" si="20"/>
        <v>0</v>
      </c>
      <c r="U107" s="16">
        <f>IFERROR(SUMIF('LISTA DE EMBARQUE'!B:B,MICRO!E:E,'LISTA DE EMBARQUE'!G:G),"")</f>
        <v>0</v>
      </c>
      <c r="V107" s="12" t="str">
        <f>IFERROR(VLOOKUP(Tabela1[[#This Row],[COD.MDE]],'LISTA DE EMBARQUE'!B:L,11,0),"")</f>
        <v/>
      </c>
      <c r="W107" s="13" t="str">
        <f>IFERROR(COUNTIF(#REF!,Tabela1[[#This Row],[Colunas5]]),"")</f>
        <v/>
      </c>
      <c r="X107" s="14">
        <f>Tabela1[[#This Row],[QIANTIDADE EXPEDIDA]]*Tabela1[[#This Row],[PESO UNI]]</f>
        <v>0</v>
      </c>
      <c r="Y107" s="14">
        <f t="shared" si="16"/>
        <v>-1</v>
      </c>
      <c r="Z107" s="20">
        <f>Tabela1[[#This Row],[PESO TOTAL]]-Tabela1[[#This Row],[Peso Expedido]]</f>
        <v>18.5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/>
      <c r="AI107" s="33" t="str">
        <f t="shared" si="21"/>
        <v/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18.5</v>
      </c>
      <c r="AU107" s="37">
        <f t="shared" si="22"/>
        <v>0</v>
      </c>
      <c r="AV107" s="37">
        <f t="shared" si="23"/>
        <v>18.5</v>
      </c>
      <c r="AW107" s="37"/>
    </row>
    <row r="108" spans="1:49" ht="15.75" hidden="1" customHeight="1" x14ac:dyDescent="0.25">
      <c r="A108" s="6" t="s">
        <v>3149</v>
      </c>
      <c r="B108" s="21"/>
      <c r="C108" s="7">
        <v>1</v>
      </c>
      <c r="D108" s="39" t="s">
        <v>3150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3141</v>
      </c>
      <c r="K108" s="8" t="s">
        <v>33</v>
      </c>
      <c r="L108" s="9" t="s">
        <v>2985</v>
      </c>
      <c r="M108" s="10">
        <v>46188</v>
      </c>
      <c r="N108" s="8" t="s">
        <v>39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17"/>
        <v>31.2</v>
      </c>
      <c r="T108" s="19">
        <f t="shared" si="20"/>
        <v>0</v>
      </c>
      <c r="U108" s="16">
        <f>IFERROR(SUMIF('LISTA DE EMBARQUE'!B:B,MICRO!E:E,'LISTA DE EMBARQUE'!G:G),"")</f>
        <v>0</v>
      </c>
      <c r="V108" s="12" t="str">
        <f>IFERROR(VLOOKUP(Tabela1[[#This Row],[COD.MDE]],'LISTA DE EMBARQUE'!B:L,11,0),"")</f>
        <v/>
      </c>
      <c r="W108" s="13" t="str">
        <f>IFERROR(COUNTIF(#REF!,Tabela1[[#This Row],[Colunas5]]),"")</f>
        <v/>
      </c>
      <c r="X108" s="14">
        <f>Tabela1[[#This Row],[QIANTIDADE EXPEDIDA]]*Tabela1[[#This Row],[PESO UNI]]</f>
        <v>0</v>
      </c>
      <c r="Y108" s="14">
        <f t="shared" si="16"/>
        <v>-1</v>
      </c>
      <c r="Z108" s="20">
        <f>Tabela1[[#This Row],[PESO TOTAL]]-Tabela1[[#This Row],[Peso Expedido]]</f>
        <v>31.2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/>
      <c r="AI108" s="33" t="str">
        <f t="shared" si="21"/>
        <v/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31.2</v>
      </c>
      <c r="AU108" s="37">
        <f t="shared" si="22"/>
        <v>0</v>
      </c>
      <c r="AV108" s="37">
        <f t="shared" si="23"/>
        <v>31.2</v>
      </c>
      <c r="AW108" s="37"/>
    </row>
    <row r="109" spans="1:49" ht="15.75" hidden="1" customHeight="1" x14ac:dyDescent="0.25">
      <c r="A109" s="6" t="s">
        <v>3151</v>
      </c>
      <c r="B109" s="21"/>
      <c r="C109" s="7">
        <v>5</v>
      </c>
      <c r="D109" s="39" t="s">
        <v>3152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3141</v>
      </c>
      <c r="K109" s="8" t="s">
        <v>33</v>
      </c>
      <c r="L109" s="9" t="s">
        <v>2985</v>
      </c>
      <c r="M109" s="10">
        <v>46188</v>
      </c>
      <c r="N109" s="8" t="s">
        <v>39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17"/>
        <v>30</v>
      </c>
      <c r="T109" s="19">
        <f t="shared" si="20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16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1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2"/>
        <v>0</v>
      </c>
      <c r="AV109" s="37">
        <f t="shared" si="23"/>
        <v>30</v>
      </c>
      <c r="AW109" s="37"/>
    </row>
    <row r="110" spans="1:49" ht="15.75" hidden="1" customHeight="1" x14ac:dyDescent="0.25">
      <c r="A110" s="6" t="s">
        <v>3153</v>
      </c>
      <c r="B110" s="21"/>
      <c r="C110" s="7">
        <v>2</v>
      </c>
      <c r="D110" s="39" t="s">
        <v>3154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3141</v>
      </c>
      <c r="K110" s="8" t="s">
        <v>33</v>
      </c>
      <c r="L110" s="9" t="s">
        <v>2985</v>
      </c>
      <c r="M110" s="10">
        <v>46188</v>
      </c>
      <c r="N110" s="8" t="s">
        <v>39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17"/>
        <v>103.2</v>
      </c>
      <c r="T110" s="19">
        <f t="shared" si="20"/>
        <v>0</v>
      </c>
      <c r="U110" s="16">
        <f>IFERROR(SUMIF('LISTA DE EMBARQUE'!B:B,MICRO!E:E,'LISTA DE EMBARQUE'!G:G),"")</f>
        <v>0</v>
      </c>
      <c r="V110" s="12" t="str">
        <f>IFERROR(VLOOKUP(Tabela1[[#This Row],[COD.MDE]],'LISTA DE EMBARQUE'!B:L,11,0),"")</f>
        <v/>
      </c>
      <c r="W110" s="13" t="str">
        <f>IFERROR(COUNTIF(#REF!,Tabela1[[#This Row],[Colunas5]]),"")</f>
        <v/>
      </c>
      <c r="X110" s="14">
        <f>Tabela1[[#This Row],[QIANTIDADE EXPEDIDA]]*Tabela1[[#This Row],[PESO UNI]]</f>
        <v>0</v>
      </c>
      <c r="Y110" s="14">
        <f t="shared" si="16"/>
        <v>-2</v>
      </c>
      <c r="Z110" s="20">
        <f>Tabela1[[#This Row],[PESO TOTAL]]-Tabela1[[#This Row],[Peso Expedido]]</f>
        <v>103.2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/>
      <c r="AI110" s="33" t="str">
        <f t="shared" si="21"/>
        <v/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103.2</v>
      </c>
      <c r="AU110" s="37">
        <f t="shared" si="22"/>
        <v>0</v>
      </c>
      <c r="AV110" s="37">
        <f t="shared" si="23"/>
        <v>103.2</v>
      </c>
      <c r="AW110" s="37"/>
    </row>
    <row r="111" spans="1:49" ht="15.75" hidden="1" customHeight="1" x14ac:dyDescent="0.25">
      <c r="A111" s="6" t="s">
        <v>3155</v>
      </c>
      <c r="B111" s="21"/>
      <c r="C111" s="7">
        <v>11</v>
      </c>
      <c r="D111" s="39" t="s">
        <v>3156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3141</v>
      </c>
      <c r="K111" s="8" t="s">
        <v>33</v>
      </c>
      <c r="L111" s="9" t="s">
        <v>2985</v>
      </c>
      <c r="M111" s="10">
        <v>46188</v>
      </c>
      <c r="N111" s="8" t="s">
        <v>39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17"/>
        <v>309.10000000000002</v>
      </c>
      <c r="T111" s="19">
        <f t="shared" si="20"/>
        <v>0</v>
      </c>
      <c r="U111" s="16">
        <f>IFERROR(SUMIF('LISTA DE EMBARQUE'!B:B,MICRO!E:E,'LISTA DE EMBARQUE'!G:G),"")</f>
        <v>0</v>
      </c>
      <c r="V111" s="12" t="str">
        <f>IFERROR(VLOOKUP(Tabela1[[#This Row],[COD.MDE]],'LISTA DE EMBARQUE'!B:L,11,0),"")</f>
        <v/>
      </c>
      <c r="W111" s="13" t="str">
        <f>IFERROR(COUNTIF(#REF!,Tabela1[[#This Row],[Colunas5]]),"")</f>
        <v/>
      </c>
      <c r="X111" s="14">
        <f>Tabela1[[#This Row],[QIANTIDADE EXPEDIDA]]*Tabela1[[#This Row],[PESO UNI]]</f>
        <v>0</v>
      </c>
      <c r="Y111" s="14">
        <f t="shared" si="16"/>
        <v>-11</v>
      </c>
      <c r="Z111" s="20">
        <f>Tabela1[[#This Row],[PESO TOTAL]]-Tabela1[[#This Row],[Peso Expedido]]</f>
        <v>309.10000000000002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/>
      <c r="AI111" s="33" t="str">
        <f t="shared" si="21"/>
        <v/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309.10000000000002</v>
      </c>
      <c r="AU111" s="37">
        <f t="shared" si="22"/>
        <v>0</v>
      </c>
      <c r="AV111" s="37">
        <f t="shared" si="23"/>
        <v>309.10000000000002</v>
      </c>
      <c r="AW111" s="37"/>
    </row>
    <row r="112" spans="1:49" ht="15.75" hidden="1" customHeight="1" x14ac:dyDescent="0.25">
      <c r="A112" s="6" t="s">
        <v>3157</v>
      </c>
      <c r="B112" s="21"/>
      <c r="C112" s="7">
        <v>14</v>
      </c>
      <c r="D112" s="39" t="s">
        <v>3160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3141</v>
      </c>
      <c r="K112" s="8" t="s">
        <v>33</v>
      </c>
      <c r="L112" s="9" t="s">
        <v>2985</v>
      </c>
      <c r="M112" s="10">
        <v>46188</v>
      </c>
      <c r="N112" s="8" t="s">
        <v>39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17"/>
        <v>392</v>
      </c>
      <c r="T112" s="19">
        <f t="shared" si="20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16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1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2"/>
        <v>392</v>
      </c>
      <c r="AV112" s="37">
        <f t="shared" si="23"/>
        <v>392</v>
      </c>
      <c r="AW112" s="37"/>
    </row>
    <row r="113" spans="1:49" ht="15.75" hidden="1" customHeight="1" x14ac:dyDescent="0.25">
      <c r="A113" s="6" t="s">
        <v>3158</v>
      </c>
      <c r="B113" s="21"/>
      <c r="C113" s="7">
        <v>1</v>
      </c>
      <c r="D113" s="39" t="s">
        <v>3159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3141</v>
      </c>
      <c r="K113" s="8" t="s">
        <v>33</v>
      </c>
      <c r="L113" s="9" t="s">
        <v>2985</v>
      </c>
      <c r="M113" s="10">
        <v>46188</v>
      </c>
      <c r="N113" s="8" t="s">
        <v>39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17"/>
        <v>41.8</v>
      </c>
      <c r="T113" s="19">
        <f t="shared" si="20"/>
        <v>0</v>
      </c>
      <c r="U113" s="16">
        <f>IFERROR(SUMIF('LISTA DE EMBARQUE'!B:B,MICRO!E:E,'LISTA DE EMBARQUE'!G:G),"")</f>
        <v>0</v>
      </c>
      <c r="V113" s="12" t="str">
        <f>IFERROR(VLOOKUP(Tabela1[[#This Row],[COD.MDE]],'LISTA DE EMBARQUE'!B:L,11,0),"")</f>
        <v/>
      </c>
      <c r="W113" s="13" t="str">
        <f>IFERROR(COUNTIF(#REF!,Tabela1[[#This Row],[Colunas5]]),"")</f>
        <v/>
      </c>
      <c r="X113" s="14">
        <f>Tabela1[[#This Row],[QIANTIDADE EXPEDIDA]]*Tabela1[[#This Row],[PESO UNI]]</f>
        <v>0</v>
      </c>
      <c r="Y113" s="14">
        <f t="shared" si="16"/>
        <v>-1</v>
      </c>
      <c r="Z113" s="20">
        <f>Tabela1[[#This Row],[PESO TOTAL]]-Tabela1[[#This Row],[Peso Expedido]]</f>
        <v>41.8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/>
      <c r="AI113" s="33" t="str">
        <f t="shared" si="21"/>
        <v/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41.8</v>
      </c>
      <c r="AU113" s="37">
        <f t="shared" si="22"/>
        <v>0</v>
      </c>
      <c r="AV113" s="37">
        <f t="shared" si="23"/>
        <v>41.8</v>
      </c>
      <c r="AW113" s="37"/>
    </row>
    <row r="114" spans="1:49" ht="15.75" hidden="1" customHeight="1" x14ac:dyDescent="0.25">
      <c r="A114" s="6" t="s">
        <v>3064</v>
      </c>
      <c r="B114" s="21"/>
      <c r="C114" s="7">
        <v>4</v>
      </c>
      <c r="D114" s="39" t="s">
        <v>3161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3141</v>
      </c>
      <c r="K114" s="8" t="s">
        <v>33</v>
      </c>
      <c r="L114" s="9" t="s">
        <v>2985</v>
      </c>
      <c r="M114" s="10">
        <v>46188</v>
      </c>
      <c r="N114" s="8" t="s">
        <v>39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17"/>
        <v>10.8</v>
      </c>
      <c r="T114" s="19">
        <f t="shared" si="20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16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1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2"/>
        <v>10.8</v>
      </c>
      <c r="AV114" s="37">
        <f t="shared" si="23"/>
        <v>10.8</v>
      </c>
      <c r="AW114" s="37"/>
    </row>
    <row r="115" spans="1:49" ht="15.75" hidden="1" customHeight="1" x14ac:dyDescent="0.25">
      <c r="A115" s="6" t="s">
        <v>150</v>
      </c>
      <c r="B115" s="21"/>
      <c r="C115" s="7">
        <v>3</v>
      </c>
      <c r="D115" s="39" t="s">
        <v>3172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3169</v>
      </c>
      <c r="K115" s="8" t="s">
        <v>33</v>
      </c>
      <c r="L115" s="9" t="s">
        <v>3164</v>
      </c>
      <c r="M115" s="10">
        <v>46192</v>
      </c>
      <c r="N115" s="8" t="s">
        <v>39</v>
      </c>
      <c r="O115" s="12"/>
      <c r="P115" s="13"/>
      <c r="Q115" s="14">
        <f>Tabela1[[#This Row],[QTDE/ Fabricação]]-Tabela1[[#This Row],[QTE]]</f>
        <v>-3</v>
      </c>
      <c r="R115" s="18">
        <f t="shared" si="19"/>
        <v>70.469999999999985</v>
      </c>
      <c r="S115" s="18">
        <f t="shared" si="17"/>
        <v>0</v>
      </c>
      <c r="T115" s="19">
        <f t="shared" si="20"/>
        <v>-97.199999999999989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16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/>
      <c r="AF115" s="33"/>
      <c r="AG115" s="33"/>
      <c r="AH115" s="33"/>
      <c r="AI115" s="33" t="str">
        <f t="shared" si="21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2"/>
        <v>0</v>
      </c>
      <c r="AV115" s="37">
        <f t="shared" si="23"/>
        <v>0</v>
      </c>
      <c r="AW115" s="37"/>
    </row>
    <row r="116" spans="1:49" ht="15.75" hidden="1" customHeight="1" x14ac:dyDescent="0.25">
      <c r="A116" s="6" t="s">
        <v>3173</v>
      </c>
      <c r="B116" s="21" t="s">
        <v>3180</v>
      </c>
      <c r="C116" s="7">
        <v>1</v>
      </c>
      <c r="D116" s="39" t="s">
        <v>3174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3035</v>
      </c>
      <c r="K116" s="8" t="s">
        <v>31</v>
      </c>
      <c r="L116" s="9" t="s">
        <v>2985</v>
      </c>
      <c r="M116" s="10">
        <v>46189</v>
      </c>
      <c r="N116" s="8" t="s">
        <v>39</v>
      </c>
      <c r="O116" s="12"/>
      <c r="P116" s="13"/>
      <c r="Q116" s="14">
        <f>Tabela1[[#This Row],[QTDE/ Fabricação]]-Tabela1[[#This Row],[QTE]]</f>
        <v>-1</v>
      </c>
      <c r="R116" s="18">
        <f t="shared" si="19"/>
        <v>0</v>
      </c>
      <c r="S116" s="18">
        <f t="shared" si="17"/>
        <v>0</v>
      </c>
      <c r="T116" s="19">
        <f t="shared" si="20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16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1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2"/>
        <v>0</v>
      </c>
      <c r="AV116" s="37">
        <f t="shared" si="23"/>
        <v>0</v>
      </c>
      <c r="AW116" s="37"/>
    </row>
    <row r="117" spans="1:49" ht="15.75" hidden="1" customHeight="1" x14ac:dyDescent="0.25">
      <c r="A117" s="6" t="s">
        <v>3173</v>
      </c>
      <c r="B117" s="21" t="s">
        <v>3180</v>
      </c>
      <c r="C117" s="7">
        <v>4</v>
      </c>
      <c r="D117" s="39" t="s">
        <v>3175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3035</v>
      </c>
      <c r="K117" s="8" t="s">
        <v>31</v>
      </c>
      <c r="L117" s="9" t="s">
        <v>2985</v>
      </c>
      <c r="M117" s="10">
        <v>46189</v>
      </c>
      <c r="N117" s="8" t="s">
        <v>39</v>
      </c>
      <c r="O117" s="12"/>
      <c r="P117" s="13"/>
      <c r="Q117" s="14">
        <f>Tabela1[[#This Row],[QTDE/ Fabricação]]-Tabela1[[#This Row],[QTE]]</f>
        <v>-4</v>
      </c>
      <c r="R117" s="18">
        <f t="shared" ref="R117:R127" si="24">IFERROR(H117*((AA117*0.25)+(AC117*0.25)+(AD117*0.225)+(AE117*0.225)+(AF117*0.05)),"")</f>
        <v>0</v>
      </c>
      <c r="S117" s="18">
        <f t="shared" si="17"/>
        <v>0</v>
      </c>
      <c r="T117" s="19">
        <f t="shared" ref="T117:T127" si="25">IFERROR(S117-H117,"")</f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80" si="26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1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2"/>
        <v>0</v>
      </c>
      <c r="AV117" s="37">
        <f t="shared" si="23"/>
        <v>0</v>
      </c>
      <c r="AW117" s="37"/>
    </row>
    <row r="118" spans="1:49" ht="15.75" hidden="1" customHeight="1" x14ac:dyDescent="0.25">
      <c r="A118" s="6" t="s">
        <v>3173</v>
      </c>
      <c r="B118" s="21" t="s">
        <v>3180</v>
      </c>
      <c r="C118" s="7">
        <v>1</v>
      </c>
      <c r="D118" s="39" t="s">
        <v>3176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3035</v>
      </c>
      <c r="K118" s="8" t="s">
        <v>31</v>
      </c>
      <c r="L118" s="9" t="s">
        <v>2985</v>
      </c>
      <c r="M118" s="10">
        <v>46189</v>
      </c>
      <c r="N118" s="8" t="s">
        <v>39</v>
      </c>
      <c r="O118" s="12"/>
      <c r="P118" s="13"/>
      <c r="Q118" s="14">
        <f>Tabela1[[#This Row],[QTDE/ Fabricação]]-Tabela1[[#This Row],[QTE]]</f>
        <v>-1</v>
      </c>
      <c r="R118" s="18">
        <f t="shared" si="24"/>
        <v>0</v>
      </c>
      <c r="S118" s="18">
        <f t="shared" ref="S118:S181" si="27">IFERROR(H118*AG118,"")</f>
        <v>0</v>
      </c>
      <c r="T118" s="19">
        <f t="shared" si="25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6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1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2"/>
        <v>0</v>
      </c>
      <c r="AV118" s="37">
        <f t="shared" si="23"/>
        <v>0</v>
      </c>
      <c r="AW118" s="37"/>
    </row>
    <row r="119" spans="1:49" ht="15.75" hidden="1" customHeight="1" x14ac:dyDescent="0.25">
      <c r="A119" s="6" t="s">
        <v>3173</v>
      </c>
      <c r="B119" s="21" t="s">
        <v>3180</v>
      </c>
      <c r="C119" s="7">
        <v>1</v>
      </c>
      <c r="D119" s="39" t="s">
        <v>3177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3035</v>
      </c>
      <c r="K119" s="8" t="s">
        <v>31</v>
      </c>
      <c r="L119" s="9" t="s">
        <v>2985</v>
      </c>
      <c r="M119" s="10">
        <v>46189</v>
      </c>
      <c r="N119" s="8" t="s">
        <v>39</v>
      </c>
      <c r="O119" s="12"/>
      <c r="P119" s="13"/>
      <c r="Q119" s="14">
        <f>Tabela1[[#This Row],[QTDE/ Fabricação]]-Tabela1[[#This Row],[QTE]]</f>
        <v>-1</v>
      </c>
      <c r="R119" s="18">
        <f t="shared" si="24"/>
        <v>0</v>
      </c>
      <c r="S119" s="18">
        <f t="shared" si="27"/>
        <v>0</v>
      </c>
      <c r="T119" s="19">
        <f t="shared" si="25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6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1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2"/>
        <v>0</v>
      </c>
      <c r="AV119" s="37">
        <f t="shared" si="23"/>
        <v>0</v>
      </c>
      <c r="AW119" s="37"/>
    </row>
    <row r="120" spans="1:49" ht="15.75" hidden="1" customHeight="1" x14ac:dyDescent="0.25">
      <c r="A120" s="6" t="s">
        <v>3173</v>
      </c>
      <c r="B120" s="21" t="s">
        <v>3180</v>
      </c>
      <c r="C120" s="7">
        <v>1</v>
      </c>
      <c r="D120" s="39" t="s">
        <v>3178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3035</v>
      </c>
      <c r="K120" s="8" t="s">
        <v>31</v>
      </c>
      <c r="L120" s="9" t="s">
        <v>2985</v>
      </c>
      <c r="M120" s="10">
        <v>46189</v>
      </c>
      <c r="N120" s="8" t="s">
        <v>39</v>
      </c>
      <c r="O120" s="12"/>
      <c r="P120" s="13"/>
      <c r="Q120" s="14">
        <f>Tabela1[[#This Row],[QTDE/ Fabricação]]-Tabela1[[#This Row],[QTE]]</f>
        <v>-1</v>
      </c>
      <c r="R120" s="18">
        <f t="shared" si="24"/>
        <v>0</v>
      </c>
      <c r="S120" s="18">
        <f t="shared" si="27"/>
        <v>0</v>
      </c>
      <c r="T120" s="19">
        <f t="shared" si="25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6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1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2"/>
        <v>0</v>
      </c>
      <c r="AV120" s="37">
        <f t="shared" si="23"/>
        <v>0</v>
      </c>
      <c r="AW120" s="37"/>
    </row>
    <row r="121" spans="1:49" ht="15.75" hidden="1" customHeight="1" x14ac:dyDescent="0.25">
      <c r="A121" s="6" t="s">
        <v>3173</v>
      </c>
      <c r="B121" s="21" t="s">
        <v>3180</v>
      </c>
      <c r="C121" s="7">
        <v>1</v>
      </c>
      <c r="D121" s="39" t="s">
        <v>3179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3035</v>
      </c>
      <c r="K121" s="8" t="s">
        <v>31</v>
      </c>
      <c r="L121" s="9" t="s">
        <v>2985</v>
      </c>
      <c r="M121" s="10">
        <v>46189</v>
      </c>
      <c r="N121" s="8" t="s">
        <v>39</v>
      </c>
      <c r="O121" s="12"/>
      <c r="P121" s="13"/>
      <c r="Q121" s="14">
        <f>Tabela1[[#This Row],[QTDE/ Fabricação]]-Tabela1[[#This Row],[QTE]]</f>
        <v>-1</v>
      </c>
      <c r="R121" s="18">
        <f t="shared" si="24"/>
        <v>0</v>
      </c>
      <c r="S121" s="18">
        <f t="shared" si="27"/>
        <v>0</v>
      </c>
      <c r="T121" s="19">
        <f t="shared" si="25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6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1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2"/>
        <v>0</v>
      </c>
      <c r="AV121" s="37">
        <f t="shared" si="23"/>
        <v>0</v>
      </c>
      <c r="AW121" s="37"/>
    </row>
    <row r="122" spans="1:49" ht="15.75" hidden="1" customHeight="1" x14ac:dyDescent="0.25">
      <c r="A122" s="6" t="s">
        <v>3181</v>
      </c>
      <c r="B122" s="21"/>
      <c r="C122" s="7">
        <v>1</v>
      </c>
      <c r="D122" s="39" t="s">
        <v>3182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3141</v>
      </c>
      <c r="K122" s="8" t="s">
        <v>22</v>
      </c>
      <c r="L122" s="9" t="s">
        <v>2985</v>
      </c>
      <c r="M122" s="10">
        <v>46195</v>
      </c>
      <c r="N122" s="8" t="s">
        <v>39</v>
      </c>
      <c r="O122" s="12"/>
      <c r="P122" s="13"/>
      <c r="Q122" s="14">
        <f>Tabela1[[#This Row],[QTDE/ Fabricação]]-Tabela1[[#This Row],[QTE]]</f>
        <v>-1</v>
      </c>
      <c r="R122" s="18">
        <f t="shared" si="24"/>
        <v>0</v>
      </c>
      <c r="S122" s="18">
        <f t="shared" si="27"/>
        <v>0</v>
      </c>
      <c r="T122" s="19">
        <f t="shared" si="25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6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1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2"/>
        <v>0</v>
      </c>
      <c r="AV122" s="37">
        <f t="shared" si="23"/>
        <v>0</v>
      </c>
      <c r="AW122" s="37"/>
    </row>
    <row r="123" spans="1:49" ht="15.75" hidden="1" customHeight="1" x14ac:dyDescent="0.25">
      <c r="A123" s="6" t="s">
        <v>3183</v>
      </c>
      <c r="B123" s="21"/>
      <c r="C123" s="7">
        <v>1</v>
      </c>
      <c r="D123" s="39" t="s">
        <v>3184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3035</v>
      </c>
      <c r="K123" s="8" t="s">
        <v>22</v>
      </c>
      <c r="L123" s="9" t="s">
        <v>2985</v>
      </c>
      <c r="M123" s="10">
        <v>46195</v>
      </c>
      <c r="N123" s="8" t="s">
        <v>39</v>
      </c>
      <c r="O123" s="12"/>
      <c r="P123" s="13"/>
      <c r="Q123" s="14">
        <f>Tabela1[[#This Row],[QTDE/ Fabricação]]-Tabela1[[#This Row],[QTE]]</f>
        <v>-1</v>
      </c>
      <c r="R123" s="18">
        <f t="shared" si="24"/>
        <v>0</v>
      </c>
      <c r="S123" s="18">
        <f t="shared" si="27"/>
        <v>0</v>
      </c>
      <c r="T123" s="19">
        <f t="shared" si="25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6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1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2"/>
        <v>0</v>
      </c>
      <c r="AV123" s="37">
        <f t="shared" si="23"/>
        <v>0</v>
      </c>
      <c r="AW123" s="37"/>
    </row>
    <row r="124" spans="1:49" ht="15.75" hidden="1" customHeight="1" x14ac:dyDescent="0.25">
      <c r="A124" s="6" t="s">
        <v>3185</v>
      </c>
      <c r="B124" s="21"/>
      <c r="C124" s="7">
        <v>1</v>
      </c>
      <c r="D124" s="39" t="s">
        <v>3186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3046</v>
      </c>
      <c r="K124" s="8" t="s">
        <v>22</v>
      </c>
      <c r="L124" s="9" t="s">
        <v>2985</v>
      </c>
      <c r="M124" s="10">
        <v>46195</v>
      </c>
      <c r="N124" s="8" t="s">
        <v>39</v>
      </c>
      <c r="O124" s="12"/>
      <c r="P124" s="13"/>
      <c r="Q124" s="14">
        <f>Tabela1[[#This Row],[QTDE/ Fabricação]]-Tabela1[[#This Row],[QTE]]</f>
        <v>-1</v>
      </c>
      <c r="R124" s="18">
        <f t="shared" si="24"/>
        <v>0</v>
      </c>
      <c r="S124" s="18">
        <f t="shared" si="27"/>
        <v>0</v>
      </c>
      <c r="T124" s="19">
        <f t="shared" si="25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6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1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2"/>
        <v>0</v>
      </c>
      <c r="AV124" s="37">
        <f t="shared" si="23"/>
        <v>0</v>
      </c>
      <c r="AW124" s="37"/>
    </row>
    <row r="125" spans="1:49" ht="15.75" hidden="1" customHeight="1" x14ac:dyDescent="0.25">
      <c r="A125" s="6" t="s">
        <v>3187</v>
      </c>
      <c r="B125" s="21"/>
      <c r="C125" s="7">
        <v>1</v>
      </c>
      <c r="D125" s="39" t="s">
        <v>3188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3141</v>
      </c>
      <c r="K125" s="8" t="s">
        <v>22</v>
      </c>
      <c r="L125" s="9" t="s">
        <v>2985</v>
      </c>
      <c r="M125" s="10">
        <v>46195</v>
      </c>
      <c r="N125" s="8" t="s">
        <v>39</v>
      </c>
      <c r="O125" s="12"/>
      <c r="P125" s="13"/>
      <c r="Q125" s="14">
        <f>Tabela1[[#This Row],[QTDE/ Fabricação]]-Tabela1[[#This Row],[QTE]]</f>
        <v>-1</v>
      </c>
      <c r="R125" s="18">
        <f t="shared" si="24"/>
        <v>0</v>
      </c>
      <c r="S125" s="18">
        <f t="shared" si="27"/>
        <v>0</v>
      </c>
      <c r="T125" s="19">
        <f t="shared" si="25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6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1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2"/>
        <v>0</v>
      </c>
      <c r="AV125" s="37">
        <f t="shared" si="23"/>
        <v>0</v>
      </c>
      <c r="AW125" s="37"/>
    </row>
    <row r="126" spans="1:49" ht="15.75" hidden="1" customHeight="1" x14ac:dyDescent="0.25">
      <c r="A126" s="6" t="s">
        <v>3189</v>
      </c>
      <c r="B126" s="21"/>
      <c r="C126" s="7">
        <v>1</v>
      </c>
      <c r="D126" s="39" t="s">
        <v>3190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3035</v>
      </c>
      <c r="K126" s="8" t="s">
        <v>22</v>
      </c>
      <c r="L126" s="9" t="s">
        <v>2985</v>
      </c>
      <c r="M126" s="10">
        <v>46195</v>
      </c>
      <c r="N126" s="8" t="s">
        <v>39</v>
      </c>
      <c r="O126" s="12"/>
      <c r="P126" s="13"/>
      <c r="Q126" s="14">
        <f>Tabela1[[#This Row],[QTDE/ Fabricação]]-Tabela1[[#This Row],[QTE]]</f>
        <v>-1</v>
      </c>
      <c r="R126" s="18">
        <f t="shared" si="24"/>
        <v>0</v>
      </c>
      <c r="S126" s="18">
        <f t="shared" si="27"/>
        <v>0</v>
      </c>
      <c r="T126" s="19">
        <f t="shared" si="25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6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1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2"/>
        <v>0</v>
      </c>
      <c r="AV126" s="37">
        <f t="shared" si="23"/>
        <v>0</v>
      </c>
      <c r="AW126" s="37"/>
    </row>
    <row r="127" spans="1:49" ht="15.75" hidden="1" customHeight="1" x14ac:dyDescent="0.25">
      <c r="A127" s="6" t="s">
        <v>3191</v>
      </c>
      <c r="B127" s="21"/>
      <c r="C127" s="7">
        <v>4</v>
      </c>
      <c r="D127" s="39" t="s">
        <v>3192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3046</v>
      </c>
      <c r="K127" s="8" t="s">
        <v>22</v>
      </c>
      <c r="L127" s="9" t="s">
        <v>2985</v>
      </c>
      <c r="M127" s="10">
        <v>46195</v>
      </c>
      <c r="N127" s="8" t="s">
        <v>39</v>
      </c>
      <c r="O127" s="12"/>
      <c r="P127" s="13"/>
      <c r="Q127" s="14">
        <f>Tabela1[[#This Row],[QTDE/ Fabricação]]-Tabela1[[#This Row],[QTE]]</f>
        <v>-4</v>
      </c>
      <c r="R127" s="18">
        <f t="shared" si="24"/>
        <v>0</v>
      </c>
      <c r="S127" s="18">
        <f t="shared" si="27"/>
        <v>0</v>
      </c>
      <c r="T127" s="19">
        <f t="shared" si="25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6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1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2"/>
        <v>0</v>
      </c>
      <c r="AV127" s="37">
        <f t="shared" si="23"/>
        <v>0</v>
      </c>
      <c r="AW127" s="37"/>
    </row>
    <row r="128" spans="1:49" ht="15.75" hidden="1" customHeight="1" x14ac:dyDescent="0.25">
      <c r="A128" s="6" t="s">
        <v>3297</v>
      </c>
      <c r="B128" s="21" t="s">
        <v>3298</v>
      </c>
      <c r="C128" s="7">
        <v>1</v>
      </c>
      <c r="D128" s="39" t="s">
        <v>3299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4418</v>
      </c>
      <c r="J128" s="8" t="s">
        <v>3035</v>
      </c>
      <c r="K128" s="8" t="s">
        <v>31</v>
      </c>
      <c r="L128" s="9" t="s">
        <v>2985</v>
      </c>
      <c r="M128" s="10">
        <v>46202</v>
      </c>
      <c r="N128" s="8" t="s">
        <v>39</v>
      </c>
      <c r="O128" s="12"/>
      <c r="P128" s="13"/>
      <c r="Q128" s="14">
        <f>Tabela1[[#This Row],[QTDE/ Fabricação]]-Tabela1[[#This Row],[QTE]]</f>
        <v>-1</v>
      </c>
      <c r="R128" s="18">
        <f t="shared" ref="R128:R153" si="28">H128*((AA128*0.25)+(AC128*0.25)+(AD128*0.225)+(AE128*0.225)+(AF128*0.05))</f>
        <v>0</v>
      </c>
      <c r="S128" s="18">
        <f t="shared" si="27"/>
        <v>0</v>
      </c>
      <c r="T128" s="19">
        <f t="shared" ref="T128:T153" si="29">S128-H128</f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6"/>
        <v>-1</v>
      </c>
      <c r="Z128" s="20">
        <f>Tabela1[[#This Row],[PESO TOTAL]]-Tabela1[[#This Row],[Peso Expedido]]</f>
        <v>33</v>
      </c>
      <c r="AA128" s="17"/>
      <c r="AB128" s="33"/>
      <c r="AC128" s="33"/>
      <c r="AD128" s="33"/>
      <c r="AE128" s="33"/>
      <c r="AF128" s="33"/>
      <c r="AG128" s="33"/>
      <c r="AH128" s="33"/>
      <c r="AI128" s="33" t="str">
        <f t="shared" si="21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2"/>
        <v>0</v>
      </c>
      <c r="AV128" s="37">
        <f t="shared" si="23"/>
        <v>0</v>
      </c>
      <c r="AW128" s="37"/>
    </row>
    <row r="129" spans="1:49" ht="15.75" hidden="1" customHeight="1" x14ac:dyDescent="0.25">
      <c r="A129" s="6" t="s">
        <v>3300</v>
      </c>
      <c r="B129" s="21" t="s">
        <v>3301</v>
      </c>
      <c r="C129" s="7">
        <v>1</v>
      </c>
      <c r="D129" s="39" t="s">
        <v>3302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4304</v>
      </c>
      <c r="J129" s="8" t="s">
        <v>3035</v>
      </c>
      <c r="K129" s="8" t="s">
        <v>31</v>
      </c>
      <c r="L129" s="9" t="s">
        <v>2985</v>
      </c>
      <c r="M129" s="10">
        <v>46202</v>
      </c>
      <c r="N129" s="8" t="s">
        <v>39</v>
      </c>
      <c r="O129" s="12"/>
      <c r="P129" s="13"/>
      <c r="Q129" s="14">
        <f>Tabela1[[#This Row],[QTDE/ Fabricação]]-Tabela1[[#This Row],[QTE]]</f>
        <v>-1</v>
      </c>
      <c r="R129" s="18">
        <f t="shared" si="28"/>
        <v>0</v>
      </c>
      <c r="S129" s="18">
        <f t="shared" si="27"/>
        <v>0</v>
      </c>
      <c r="T129" s="19">
        <f t="shared" si="29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6"/>
        <v>-1</v>
      </c>
      <c r="Z129" s="20">
        <f>Tabela1[[#This Row],[PESO TOTAL]]-Tabela1[[#This Row],[Peso Expedido]]</f>
        <v>448.3</v>
      </c>
      <c r="AA129" s="17"/>
      <c r="AB129" s="33"/>
      <c r="AC129" s="33"/>
      <c r="AD129" s="33"/>
      <c r="AE129" s="33"/>
      <c r="AF129" s="33"/>
      <c r="AG129" s="33"/>
      <c r="AH129" s="33"/>
      <c r="AI129" s="33" t="str">
        <f t="shared" si="21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2"/>
        <v>0</v>
      </c>
      <c r="AV129" s="37">
        <f t="shared" si="23"/>
        <v>0</v>
      </c>
      <c r="AW129" s="37"/>
    </row>
    <row r="130" spans="1:49" ht="15.75" hidden="1" customHeight="1" x14ac:dyDescent="0.25">
      <c r="A130" s="6" t="s">
        <v>3303</v>
      </c>
      <c r="B130" s="21" t="s">
        <v>3304</v>
      </c>
      <c r="C130" s="7">
        <v>3</v>
      </c>
      <c r="D130" s="39" t="s">
        <v>3305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4304</v>
      </c>
      <c r="J130" s="8" t="s">
        <v>3035</v>
      </c>
      <c r="K130" s="8" t="s">
        <v>31</v>
      </c>
      <c r="L130" s="9" t="s">
        <v>2985</v>
      </c>
      <c r="M130" s="10">
        <v>46202</v>
      </c>
      <c r="N130" s="8" t="s">
        <v>39</v>
      </c>
      <c r="O130" s="12"/>
      <c r="P130" s="13"/>
      <c r="Q130" s="14">
        <f>Tabela1[[#This Row],[QTDE/ Fabricação]]-Tabela1[[#This Row],[QTE]]</f>
        <v>-3</v>
      </c>
      <c r="R130" s="18">
        <f t="shared" si="28"/>
        <v>0</v>
      </c>
      <c r="S130" s="18">
        <f t="shared" si="27"/>
        <v>0</v>
      </c>
      <c r="T130" s="19">
        <f t="shared" si="29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6"/>
        <v>-3</v>
      </c>
      <c r="Z130" s="20">
        <f>Tabela1[[#This Row],[PESO TOTAL]]-Tabela1[[#This Row],[Peso Expedido]]</f>
        <v>66.599999999999994</v>
      </c>
      <c r="AA130" s="17"/>
      <c r="AB130" s="33"/>
      <c r="AC130" s="33"/>
      <c r="AD130" s="33"/>
      <c r="AE130" s="33"/>
      <c r="AF130" s="33"/>
      <c r="AG130" s="33"/>
      <c r="AH130" s="33"/>
      <c r="AI130" s="33" t="str">
        <f t="shared" si="21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2"/>
        <v>0</v>
      </c>
      <c r="AV130" s="37">
        <f t="shared" si="23"/>
        <v>0</v>
      </c>
      <c r="AW130" s="37"/>
    </row>
    <row r="131" spans="1:49" ht="15.75" hidden="1" customHeight="1" x14ac:dyDescent="0.25">
      <c r="A131" s="6" t="s">
        <v>3303</v>
      </c>
      <c r="B131" s="21" t="s">
        <v>3304</v>
      </c>
      <c r="C131" s="7">
        <v>1</v>
      </c>
      <c r="D131" s="39" t="s">
        <v>3306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4304</v>
      </c>
      <c r="J131" s="8" t="s">
        <v>3035</v>
      </c>
      <c r="K131" s="8" t="s">
        <v>31</v>
      </c>
      <c r="L131" s="9" t="s">
        <v>2985</v>
      </c>
      <c r="M131" s="10">
        <v>46202</v>
      </c>
      <c r="N131" s="8" t="s">
        <v>39</v>
      </c>
      <c r="O131" s="12"/>
      <c r="P131" s="13"/>
      <c r="Q131" s="14">
        <f>Tabela1[[#This Row],[QTDE/ Fabricação]]-Tabela1[[#This Row],[QTE]]</f>
        <v>-1</v>
      </c>
      <c r="R131" s="18">
        <f t="shared" si="28"/>
        <v>0</v>
      </c>
      <c r="S131" s="18">
        <f t="shared" si="27"/>
        <v>0</v>
      </c>
      <c r="T131" s="19">
        <f t="shared" si="29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6"/>
        <v>-1</v>
      </c>
      <c r="Z131" s="20">
        <f>Tabela1[[#This Row],[PESO TOTAL]]-Tabela1[[#This Row],[Peso Expedido]]</f>
        <v>467.8</v>
      </c>
      <c r="AA131" s="17"/>
      <c r="AB131" s="33"/>
      <c r="AC131" s="33"/>
      <c r="AD131" s="33"/>
      <c r="AE131" s="33"/>
      <c r="AF131" s="33"/>
      <c r="AG131" s="33"/>
      <c r="AH131" s="33"/>
      <c r="AI131" s="33" t="str">
        <f t="shared" si="21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2"/>
        <v>0</v>
      </c>
      <c r="AV131" s="37">
        <f t="shared" si="23"/>
        <v>0</v>
      </c>
      <c r="AW131" s="37"/>
    </row>
    <row r="132" spans="1:49" ht="15.75" hidden="1" customHeight="1" x14ac:dyDescent="0.25">
      <c r="A132" s="6" t="s">
        <v>3095</v>
      </c>
      <c r="B132" s="21"/>
      <c r="C132" s="7">
        <v>72</v>
      </c>
      <c r="D132" s="39" t="s">
        <v>3311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3094</v>
      </c>
      <c r="K132" s="8" t="s">
        <v>33</v>
      </c>
      <c r="L132" s="9" t="s">
        <v>2985</v>
      </c>
      <c r="M132" s="10">
        <v>46176</v>
      </c>
      <c r="N132" s="8" t="s">
        <v>39</v>
      </c>
      <c r="O132" s="12"/>
      <c r="P132" s="13"/>
      <c r="Q132" s="14">
        <f>Tabela1[[#This Row],[QTDE/ Fabricação]]-Tabela1[[#This Row],[QTE]]</f>
        <v>-72</v>
      </c>
      <c r="R132" s="18">
        <f t="shared" si="28"/>
        <v>158.4</v>
      </c>
      <c r="S132" s="18">
        <f t="shared" si="27"/>
        <v>316.8</v>
      </c>
      <c r="T132" s="19">
        <f t="shared" si="29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6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1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2"/>
        <v>0</v>
      </c>
      <c r="AV132" s="37">
        <f t="shared" si="23"/>
        <v>316.8</v>
      </c>
      <c r="AW132" s="37"/>
    </row>
    <row r="133" spans="1:49" ht="15.75" hidden="1" customHeight="1" x14ac:dyDescent="0.25">
      <c r="A133" s="6" t="s">
        <v>3095</v>
      </c>
      <c r="B133" s="21"/>
      <c r="C133" s="7">
        <v>72</v>
      </c>
      <c r="D133" s="39" t="s">
        <v>3312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3094</v>
      </c>
      <c r="K133" s="8" t="s">
        <v>33</v>
      </c>
      <c r="L133" s="9" t="s">
        <v>2985</v>
      </c>
      <c r="M133" s="10">
        <v>46176</v>
      </c>
      <c r="N133" s="8" t="s">
        <v>39</v>
      </c>
      <c r="O133" s="12"/>
      <c r="P133" s="13"/>
      <c r="Q133" s="14">
        <f>Tabela1[[#This Row],[QTDE/ Fabricação]]-Tabela1[[#This Row],[QTE]]</f>
        <v>-72</v>
      </c>
      <c r="R133" s="18">
        <f t="shared" si="28"/>
        <v>162</v>
      </c>
      <c r="S133" s="18">
        <f t="shared" si="27"/>
        <v>324</v>
      </c>
      <c r="T133" s="19">
        <f t="shared" si="29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6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1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2"/>
        <v>0</v>
      </c>
      <c r="AV133" s="37">
        <f t="shared" si="23"/>
        <v>324</v>
      </c>
      <c r="AW133" s="37"/>
    </row>
    <row r="134" spans="1:49" ht="15.75" hidden="1" customHeight="1" x14ac:dyDescent="0.25">
      <c r="A134" s="6" t="s">
        <v>3082</v>
      </c>
      <c r="B134" s="21"/>
      <c r="C134" s="7">
        <v>76</v>
      </c>
      <c r="D134" s="39" t="s">
        <v>3314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3035</v>
      </c>
      <c r="K134" s="8" t="s">
        <v>33</v>
      </c>
      <c r="L134" s="9" t="s">
        <v>2985</v>
      </c>
      <c r="M134" s="10">
        <v>46170</v>
      </c>
      <c r="N134" s="8" t="s">
        <v>39</v>
      </c>
      <c r="O134" s="12"/>
      <c r="P134" s="13"/>
      <c r="Q134" s="14">
        <f>Tabela1[[#This Row],[QTDE/ Fabricação]]-Tabela1[[#This Row],[QTE]]</f>
        <v>-76</v>
      </c>
      <c r="R134" s="18">
        <f t="shared" si="28"/>
        <v>547.20000000000005</v>
      </c>
      <c r="S134" s="18">
        <f t="shared" si="27"/>
        <v>547.20000000000005</v>
      </c>
      <c r="T134" s="19">
        <f t="shared" si="29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>
        <v>46206</v>
      </c>
      <c r="X134" s="14">
        <f>Tabela1[[#This Row],[QIANTIDADE EXPEDIDA]]*Tabela1[[#This Row],[PESO UNI]]</f>
        <v>547.20000000000005</v>
      </c>
      <c r="Y134" s="14">
        <f t="shared" si="26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1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2"/>
        <v>547.20000000000005</v>
      </c>
      <c r="AV134" s="37">
        <f t="shared" si="23"/>
        <v>547.20000000000005</v>
      </c>
      <c r="AW134" s="37"/>
    </row>
    <row r="135" spans="1:49" ht="15.75" hidden="1" customHeight="1" x14ac:dyDescent="0.25">
      <c r="A135" s="6" t="s">
        <v>3317</v>
      </c>
      <c r="B135" s="21" t="s">
        <v>3318</v>
      </c>
      <c r="C135" s="7">
        <v>38</v>
      </c>
      <c r="D135" s="39" t="s">
        <v>3319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4304</v>
      </c>
      <c r="J135" s="8" t="s">
        <v>3035</v>
      </c>
      <c r="K135" s="8" t="s">
        <v>31</v>
      </c>
      <c r="L135" s="9" t="s">
        <v>2985</v>
      </c>
      <c r="M135" s="10">
        <v>46206</v>
      </c>
      <c r="N135" s="8" t="s">
        <v>39</v>
      </c>
      <c r="O135" s="12"/>
      <c r="P135" s="13"/>
      <c r="Q135" s="14">
        <f>Tabela1[[#This Row],[QTDE/ Fabricação]]-Tabela1[[#This Row],[QTE]]</f>
        <v>-38</v>
      </c>
      <c r="R135" s="18">
        <f t="shared" si="28"/>
        <v>0</v>
      </c>
      <c r="S135" s="18">
        <f t="shared" si="27"/>
        <v>0</v>
      </c>
      <c r="T135" s="19">
        <f t="shared" si="29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6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1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2"/>
        <v>0</v>
      </c>
      <c r="AV135" s="37">
        <f t="shared" si="23"/>
        <v>0</v>
      </c>
      <c r="AW135" s="37"/>
    </row>
    <row r="136" spans="1:49" ht="15.75" hidden="1" customHeight="1" x14ac:dyDescent="0.25">
      <c r="A136" s="6" t="s">
        <v>3317</v>
      </c>
      <c r="B136" s="21" t="s">
        <v>3318</v>
      </c>
      <c r="C136" s="7">
        <v>16</v>
      </c>
      <c r="D136" s="39" t="s">
        <v>3321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4304</v>
      </c>
      <c r="J136" s="8" t="s">
        <v>3035</v>
      </c>
      <c r="K136" s="8" t="s">
        <v>31</v>
      </c>
      <c r="L136" s="9" t="s">
        <v>2985</v>
      </c>
      <c r="M136" s="10">
        <v>46206</v>
      </c>
      <c r="N136" s="8" t="s">
        <v>39</v>
      </c>
      <c r="O136" s="12"/>
      <c r="P136" s="13"/>
      <c r="Q136" s="14">
        <f>Tabela1[[#This Row],[QTDE/ Fabricação]]-Tabela1[[#This Row],[QTE]]</f>
        <v>-16</v>
      </c>
      <c r="R136" s="18">
        <f t="shared" si="28"/>
        <v>0</v>
      </c>
      <c r="S136" s="18">
        <f t="shared" si="27"/>
        <v>0</v>
      </c>
      <c r="T136" s="19">
        <f t="shared" si="29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6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1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2"/>
        <v>0</v>
      </c>
      <c r="AV136" s="37">
        <f t="shared" si="23"/>
        <v>0</v>
      </c>
      <c r="AW136" s="37"/>
    </row>
    <row r="137" spans="1:49" ht="15.75" hidden="1" customHeight="1" x14ac:dyDescent="0.25">
      <c r="A137" s="6" t="s">
        <v>3317</v>
      </c>
      <c r="B137" s="21" t="s">
        <v>3318</v>
      </c>
      <c r="C137" s="7">
        <v>54</v>
      </c>
      <c r="D137" s="39" t="s">
        <v>3320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4304</v>
      </c>
      <c r="J137" s="8" t="s">
        <v>3035</v>
      </c>
      <c r="K137" s="8" t="s">
        <v>31</v>
      </c>
      <c r="L137" s="9" t="s">
        <v>2985</v>
      </c>
      <c r="M137" s="10">
        <v>46206</v>
      </c>
      <c r="N137" s="8" t="s">
        <v>39</v>
      </c>
      <c r="O137" s="12"/>
      <c r="P137" s="13"/>
      <c r="Q137" s="14">
        <f>Tabela1[[#This Row],[QTDE/ Fabricação]]-Tabela1[[#This Row],[QTE]]</f>
        <v>-54</v>
      </c>
      <c r="R137" s="18">
        <f t="shared" si="28"/>
        <v>0</v>
      </c>
      <c r="S137" s="18">
        <f t="shared" si="27"/>
        <v>0</v>
      </c>
      <c r="T137" s="19">
        <f t="shared" si="29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6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1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2"/>
        <v>0</v>
      </c>
      <c r="AV137" s="37">
        <f t="shared" si="23"/>
        <v>0</v>
      </c>
      <c r="AW137" s="37"/>
    </row>
    <row r="138" spans="1:49" ht="15.75" hidden="1" customHeight="1" x14ac:dyDescent="0.25">
      <c r="A138" s="6" t="s">
        <v>3317</v>
      </c>
      <c r="B138" s="21" t="s">
        <v>3318</v>
      </c>
      <c r="C138" s="7">
        <v>54</v>
      </c>
      <c r="D138" s="39" t="s">
        <v>3322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4304</v>
      </c>
      <c r="J138" s="8" t="s">
        <v>3035</v>
      </c>
      <c r="K138" s="8" t="s">
        <v>31</v>
      </c>
      <c r="L138" s="9" t="s">
        <v>2985</v>
      </c>
      <c r="M138" s="10">
        <v>46206</v>
      </c>
      <c r="N138" s="8" t="s">
        <v>39</v>
      </c>
      <c r="O138" s="12"/>
      <c r="P138" s="13"/>
      <c r="Q138" s="14">
        <f>Tabela1[[#This Row],[QTDE/ Fabricação]]-Tabela1[[#This Row],[QTE]]</f>
        <v>-54</v>
      </c>
      <c r="R138" s="18">
        <f t="shared" si="28"/>
        <v>0</v>
      </c>
      <c r="S138" s="18">
        <f t="shared" si="27"/>
        <v>0</v>
      </c>
      <c r="T138" s="19">
        <f t="shared" si="29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6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1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2"/>
        <v>0</v>
      </c>
      <c r="AV138" s="37">
        <f t="shared" si="23"/>
        <v>0</v>
      </c>
      <c r="AW138" s="37"/>
    </row>
    <row r="139" spans="1:49" ht="15.75" hidden="1" customHeight="1" x14ac:dyDescent="0.25">
      <c r="A139" s="6" t="s">
        <v>3317</v>
      </c>
      <c r="B139" s="21" t="s">
        <v>3318</v>
      </c>
      <c r="C139" s="7">
        <v>208</v>
      </c>
      <c r="D139" s="39" t="s">
        <v>3323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4304</v>
      </c>
      <c r="J139" s="8" t="s">
        <v>3035</v>
      </c>
      <c r="K139" s="8" t="s">
        <v>31</v>
      </c>
      <c r="L139" s="9" t="s">
        <v>2985</v>
      </c>
      <c r="M139" s="10">
        <v>46206</v>
      </c>
      <c r="N139" s="8" t="s">
        <v>39</v>
      </c>
      <c r="O139" s="12"/>
      <c r="P139" s="13"/>
      <c r="Q139" s="14">
        <f>Tabela1[[#This Row],[QTDE/ Fabricação]]-Tabela1[[#This Row],[QTE]]</f>
        <v>-208</v>
      </c>
      <c r="R139" s="18">
        <f t="shared" si="28"/>
        <v>0</v>
      </c>
      <c r="S139" s="18">
        <f t="shared" si="27"/>
        <v>0</v>
      </c>
      <c r="T139" s="19">
        <f t="shared" si="29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6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1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2"/>
        <v>0</v>
      </c>
      <c r="AV139" s="37">
        <f t="shared" si="23"/>
        <v>0</v>
      </c>
      <c r="AW139" s="37"/>
    </row>
    <row r="140" spans="1:49" ht="15.75" hidden="1" customHeight="1" x14ac:dyDescent="0.25">
      <c r="A140" s="6" t="s">
        <v>3317</v>
      </c>
      <c r="B140" s="21" t="s">
        <v>3318</v>
      </c>
      <c r="C140" s="7">
        <v>2</v>
      </c>
      <c r="D140" s="39" t="s">
        <v>3324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4304</v>
      </c>
      <c r="J140" s="8" t="s">
        <v>3035</v>
      </c>
      <c r="K140" s="8" t="s">
        <v>31</v>
      </c>
      <c r="L140" s="9" t="s">
        <v>2985</v>
      </c>
      <c r="M140" s="10">
        <v>46206</v>
      </c>
      <c r="N140" s="8" t="s">
        <v>39</v>
      </c>
      <c r="O140" s="12"/>
      <c r="P140" s="13"/>
      <c r="Q140" s="14">
        <f>Tabela1[[#This Row],[QTDE/ Fabricação]]-Tabela1[[#This Row],[QTE]]</f>
        <v>-2</v>
      </c>
      <c r="R140" s="18">
        <f t="shared" si="28"/>
        <v>0</v>
      </c>
      <c r="S140" s="18">
        <f t="shared" si="27"/>
        <v>0</v>
      </c>
      <c r="T140" s="19">
        <f t="shared" si="29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6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1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2"/>
        <v>0</v>
      </c>
      <c r="AV140" s="37">
        <f t="shared" si="23"/>
        <v>0</v>
      </c>
      <c r="AW140" s="37"/>
    </row>
    <row r="141" spans="1:49" ht="15.75" hidden="1" customHeight="1" x14ac:dyDescent="0.25">
      <c r="A141" s="6" t="s">
        <v>3317</v>
      </c>
      <c r="B141" s="21" t="s">
        <v>3318</v>
      </c>
      <c r="C141" s="7">
        <v>2</v>
      </c>
      <c r="D141" s="39" t="s">
        <v>3325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4304</v>
      </c>
      <c r="J141" s="8" t="s">
        <v>3035</v>
      </c>
      <c r="K141" s="8" t="s">
        <v>31</v>
      </c>
      <c r="L141" s="9" t="s">
        <v>2985</v>
      </c>
      <c r="M141" s="10">
        <v>46206</v>
      </c>
      <c r="N141" s="8" t="s">
        <v>39</v>
      </c>
      <c r="O141" s="12"/>
      <c r="P141" s="13"/>
      <c r="Q141" s="14">
        <f>Tabela1[[#This Row],[QTDE/ Fabricação]]-Tabela1[[#This Row],[QTE]]</f>
        <v>-2</v>
      </c>
      <c r="R141" s="18">
        <f t="shared" si="28"/>
        <v>0</v>
      </c>
      <c r="S141" s="18">
        <f t="shared" si="27"/>
        <v>0</v>
      </c>
      <c r="T141" s="19">
        <f t="shared" si="29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6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1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2"/>
        <v>0</v>
      </c>
      <c r="AV141" s="37">
        <f t="shared" si="23"/>
        <v>0</v>
      </c>
      <c r="AW141" s="37"/>
    </row>
    <row r="142" spans="1:49" ht="15.75" hidden="1" customHeight="1" x14ac:dyDescent="0.25">
      <c r="A142" s="6" t="s">
        <v>3317</v>
      </c>
      <c r="B142" s="21" t="s">
        <v>3318</v>
      </c>
      <c r="C142" s="7">
        <v>14</v>
      </c>
      <c r="D142" s="39" t="s">
        <v>3326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4304</v>
      </c>
      <c r="J142" s="8" t="s">
        <v>3035</v>
      </c>
      <c r="K142" s="8" t="s">
        <v>31</v>
      </c>
      <c r="L142" s="9" t="s">
        <v>2985</v>
      </c>
      <c r="M142" s="10">
        <v>46206</v>
      </c>
      <c r="N142" s="8" t="s">
        <v>39</v>
      </c>
      <c r="O142" s="12"/>
      <c r="P142" s="13"/>
      <c r="Q142" s="14">
        <f>Tabela1[[#This Row],[QTDE/ Fabricação]]-Tabela1[[#This Row],[QTE]]</f>
        <v>-14</v>
      </c>
      <c r="R142" s="18">
        <f t="shared" si="28"/>
        <v>0</v>
      </c>
      <c r="S142" s="18">
        <f t="shared" si="27"/>
        <v>0</v>
      </c>
      <c r="T142" s="19">
        <f t="shared" si="29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6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1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2"/>
        <v>0</v>
      </c>
      <c r="AV142" s="37">
        <f t="shared" si="23"/>
        <v>0</v>
      </c>
      <c r="AW142" s="37"/>
    </row>
    <row r="143" spans="1:49" ht="15.75" hidden="1" customHeight="1" x14ac:dyDescent="0.25">
      <c r="A143" s="6" t="s">
        <v>3317</v>
      </c>
      <c r="B143" s="21" t="s">
        <v>3318</v>
      </c>
      <c r="C143" s="7">
        <v>14</v>
      </c>
      <c r="D143" s="39" t="s">
        <v>3327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4304</v>
      </c>
      <c r="J143" s="8" t="s">
        <v>3035</v>
      </c>
      <c r="K143" s="8" t="s">
        <v>31</v>
      </c>
      <c r="L143" s="9" t="s">
        <v>2985</v>
      </c>
      <c r="M143" s="10">
        <v>46206</v>
      </c>
      <c r="N143" s="8" t="s">
        <v>39</v>
      </c>
      <c r="O143" s="12"/>
      <c r="P143" s="13"/>
      <c r="Q143" s="14">
        <f>Tabela1[[#This Row],[QTDE/ Fabricação]]-Tabela1[[#This Row],[QTE]]</f>
        <v>-14</v>
      </c>
      <c r="R143" s="18">
        <f t="shared" si="28"/>
        <v>0</v>
      </c>
      <c r="S143" s="18">
        <f t="shared" si="27"/>
        <v>0</v>
      </c>
      <c r="T143" s="19">
        <f t="shared" si="29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6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1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2"/>
        <v>0</v>
      </c>
      <c r="AV143" s="37">
        <f t="shared" si="23"/>
        <v>0</v>
      </c>
      <c r="AW143" s="37"/>
    </row>
    <row r="144" spans="1:49" ht="15.75" hidden="1" customHeight="1" x14ac:dyDescent="0.25">
      <c r="A144" s="6" t="s">
        <v>3317</v>
      </c>
      <c r="B144" s="21" t="s">
        <v>3318</v>
      </c>
      <c r="C144" s="7">
        <v>4</v>
      </c>
      <c r="D144" s="39" t="s">
        <v>3328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4304</v>
      </c>
      <c r="J144" s="8" t="s">
        <v>3035</v>
      </c>
      <c r="K144" s="8" t="s">
        <v>31</v>
      </c>
      <c r="L144" s="9" t="s">
        <v>2985</v>
      </c>
      <c r="M144" s="10">
        <v>46206</v>
      </c>
      <c r="N144" s="8" t="s">
        <v>39</v>
      </c>
      <c r="O144" s="12"/>
      <c r="P144" s="13"/>
      <c r="Q144" s="14">
        <f>Tabela1[[#This Row],[QTDE/ Fabricação]]-Tabela1[[#This Row],[QTE]]</f>
        <v>-4</v>
      </c>
      <c r="R144" s="18">
        <f t="shared" si="28"/>
        <v>0</v>
      </c>
      <c r="S144" s="18">
        <f t="shared" si="27"/>
        <v>0</v>
      </c>
      <c r="T144" s="19">
        <f t="shared" si="29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6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1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2"/>
        <v>0</v>
      </c>
      <c r="AV144" s="37">
        <f t="shared" si="23"/>
        <v>0</v>
      </c>
      <c r="AW144" s="37"/>
    </row>
    <row r="145" spans="1:49" ht="15.75" hidden="1" customHeight="1" x14ac:dyDescent="0.25">
      <c r="A145" s="6" t="s">
        <v>3317</v>
      </c>
      <c r="B145" s="21" t="s">
        <v>3318</v>
      </c>
      <c r="C145" s="7">
        <v>2</v>
      </c>
      <c r="D145" s="39" t="s">
        <v>3329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4304</v>
      </c>
      <c r="J145" s="8" t="s">
        <v>3035</v>
      </c>
      <c r="K145" s="8" t="s">
        <v>31</v>
      </c>
      <c r="L145" s="9" t="s">
        <v>2985</v>
      </c>
      <c r="M145" s="10">
        <v>46206</v>
      </c>
      <c r="N145" s="8" t="s">
        <v>39</v>
      </c>
      <c r="O145" s="12"/>
      <c r="P145" s="13"/>
      <c r="Q145" s="14">
        <f>Tabela1[[#This Row],[QTDE/ Fabricação]]-Tabela1[[#This Row],[QTE]]</f>
        <v>-2</v>
      </c>
      <c r="R145" s="18">
        <f t="shared" si="28"/>
        <v>0</v>
      </c>
      <c r="S145" s="18">
        <f t="shared" si="27"/>
        <v>0</v>
      </c>
      <c r="T145" s="19">
        <f t="shared" si="29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6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1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2"/>
        <v>0</v>
      </c>
      <c r="AV145" s="37">
        <f t="shared" si="23"/>
        <v>0</v>
      </c>
      <c r="AW145" s="37"/>
    </row>
    <row r="146" spans="1:49" ht="15.75" hidden="1" customHeight="1" x14ac:dyDescent="0.25">
      <c r="A146" s="6" t="s">
        <v>3317</v>
      </c>
      <c r="B146" s="21" t="s">
        <v>3318</v>
      </c>
      <c r="C146" s="7">
        <v>2</v>
      </c>
      <c r="D146" s="39" t="s">
        <v>3330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4304</v>
      </c>
      <c r="J146" s="8" t="s">
        <v>3035</v>
      </c>
      <c r="K146" s="8" t="s">
        <v>31</v>
      </c>
      <c r="L146" s="9" t="s">
        <v>2985</v>
      </c>
      <c r="M146" s="10">
        <v>46206</v>
      </c>
      <c r="N146" s="8" t="s">
        <v>39</v>
      </c>
      <c r="O146" s="12"/>
      <c r="P146" s="13"/>
      <c r="Q146" s="14">
        <f>Tabela1[[#This Row],[QTDE/ Fabricação]]-Tabela1[[#This Row],[QTE]]</f>
        <v>-2</v>
      </c>
      <c r="R146" s="18">
        <f t="shared" si="28"/>
        <v>0</v>
      </c>
      <c r="S146" s="18">
        <f t="shared" si="27"/>
        <v>0</v>
      </c>
      <c r="T146" s="19">
        <f t="shared" si="29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6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1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2"/>
        <v>0</v>
      </c>
      <c r="AV146" s="37">
        <f t="shared" si="23"/>
        <v>0</v>
      </c>
      <c r="AW146" s="37"/>
    </row>
    <row r="147" spans="1:49" ht="15.75" hidden="1" customHeight="1" x14ac:dyDescent="0.25">
      <c r="A147" s="6" t="s">
        <v>3317</v>
      </c>
      <c r="B147" s="21" t="s">
        <v>3318</v>
      </c>
      <c r="C147" s="7">
        <v>2</v>
      </c>
      <c r="D147" s="39" t="s">
        <v>3331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4304</v>
      </c>
      <c r="J147" s="8" t="s">
        <v>3035</v>
      </c>
      <c r="K147" s="8" t="s">
        <v>31</v>
      </c>
      <c r="L147" s="9" t="s">
        <v>2985</v>
      </c>
      <c r="M147" s="10">
        <v>46206</v>
      </c>
      <c r="N147" s="8" t="s">
        <v>39</v>
      </c>
      <c r="O147" s="12"/>
      <c r="P147" s="13"/>
      <c r="Q147" s="14">
        <f>Tabela1[[#This Row],[QTDE/ Fabricação]]-Tabela1[[#This Row],[QTE]]</f>
        <v>-2</v>
      </c>
      <c r="R147" s="18">
        <f t="shared" si="28"/>
        <v>0</v>
      </c>
      <c r="S147" s="18">
        <f t="shared" si="27"/>
        <v>0</v>
      </c>
      <c r="T147" s="19">
        <f t="shared" si="29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6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1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2"/>
        <v>0</v>
      </c>
      <c r="AV147" s="37">
        <f t="shared" si="23"/>
        <v>0</v>
      </c>
      <c r="AW147" s="37"/>
    </row>
    <row r="148" spans="1:49" ht="15.75" hidden="1" customHeight="1" x14ac:dyDescent="0.25">
      <c r="A148" s="6" t="s">
        <v>3317</v>
      </c>
      <c r="B148" s="21" t="s">
        <v>3318</v>
      </c>
      <c r="C148" s="7">
        <v>2</v>
      </c>
      <c r="D148" s="39" t="s">
        <v>3332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4304</v>
      </c>
      <c r="J148" s="8" t="s">
        <v>3035</v>
      </c>
      <c r="K148" s="8" t="s">
        <v>31</v>
      </c>
      <c r="L148" s="9" t="s">
        <v>2985</v>
      </c>
      <c r="M148" s="10">
        <v>46206</v>
      </c>
      <c r="N148" s="8" t="s">
        <v>39</v>
      </c>
      <c r="O148" s="12"/>
      <c r="P148" s="13"/>
      <c r="Q148" s="14">
        <f>Tabela1[[#This Row],[QTDE/ Fabricação]]-Tabela1[[#This Row],[QTE]]</f>
        <v>-2</v>
      </c>
      <c r="R148" s="18">
        <f t="shared" si="28"/>
        <v>0</v>
      </c>
      <c r="S148" s="18">
        <f t="shared" si="27"/>
        <v>0</v>
      </c>
      <c r="T148" s="19">
        <f t="shared" si="29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6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1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2"/>
        <v>0</v>
      </c>
      <c r="AV148" s="37">
        <f t="shared" si="23"/>
        <v>0</v>
      </c>
      <c r="AW148" s="37"/>
    </row>
    <row r="149" spans="1:49" ht="15.75" hidden="1" customHeight="1" x14ac:dyDescent="0.25">
      <c r="A149" s="6" t="s">
        <v>3317</v>
      </c>
      <c r="B149" s="21" t="s">
        <v>3318</v>
      </c>
      <c r="C149" s="7">
        <v>2</v>
      </c>
      <c r="D149" s="39" t="s">
        <v>3333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4304</v>
      </c>
      <c r="J149" s="8" t="s">
        <v>3035</v>
      </c>
      <c r="K149" s="8" t="s">
        <v>31</v>
      </c>
      <c r="L149" s="9" t="s">
        <v>2985</v>
      </c>
      <c r="M149" s="10">
        <v>46206</v>
      </c>
      <c r="N149" s="8" t="s">
        <v>39</v>
      </c>
      <c r="O149" s="12"/>
      <c r="P149" s="13"/>
      <c r="Q149" s="14">
        <f>Tabela1[[#This Row],[QTDE/ Fabricação]]-Tabela1[[#This Row],[QTE]]</f>
        <v>-2</v>
      </c>
      <c r="R149" s="18">
        <f t="shared" si="28"/>
        <v>0</v>
      </c>
      <c r="S149" s="18">
        <f t="shared" si="27"/>
        <v>0</v>
      </c>
      <c r="T149" s="19">
        <f t="shared" si="29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6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1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2"/>
        <v>0</v>
      </c>
      <c r="AV149" s="37">
        <f t="shared" si="23"/>
        <v>0</v>
      </c>
      <c r="AW149" s="37"/>
    </row>
    <row r="150" spans="1:49" ht="15.75" hidden="1" customHeight="1" x14ac:dyDescent="0.25">
      <c r="A150" s="6" t="s">
        <v>3317</v>
      </c>
      <c r="B150" s="21" t="s">
        <v>3318</v>
      </c>
      <c r="C150" s="7">
        <v>2</v>
      </c>
      <c r="D150" s="39" t="s">
        <v>3334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4304</v>
      </c>
      <c r="J150" s="8" t="s">
        <v>3035</v>
      </c>
      <c r="K150" s="8" t="s">
        <v>31</v>
      </c>
      <c r="L150" s="9" t="s">
        <v>2985</v>
      </c>
      <c r="M150" s="10">
        <v>46206</v>
      </c>
      <c r="N150" s="8" t="s">
        <v>39</v>
      </c>
      <c r="O150" s="12"/>
      <c r="P150" s="13"/>
      <c r="Q150" s="14">
        <f>Tabela1[[#This Row],[QTDE/ Fabricação]]-Tabela1[[#This Row],[QTE]]</f>
        <v>-2</v>
      </c>
      <c r="R150" s="18">
        <f t="shared" si="28"/>
        <v>0</v>
      </c>
      <c r="S150" s="18">
        <f t="shared" si="27"/>
        <v>0</v>
      </c>
      <c r="T150" s="19">
        <f t="shared" si="29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6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1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2"/>
        <v>0</v>
      </c>
      <c r="AV150" s="37">
        <f t="shared" si="23"/>
        <v>0</v>
      </c>
      <c r="AW150" s="37"/>
    </row>
    <row r="151" spans="1:49" ht="15.75" hidden="1" customHeight="1" x14ac:dyDescent="0.25">
      <c r="A151" s="6" t="s">
        <v>3731</v>
      </c>
      <c r="B151" s="21" t="s">
        <v>3732</v>
      </c>
      <c r="C151" s="7">
        <v>4</v>
      </c>
      <c r="D151" s="39" t="s">
        <v>3733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4304</v>
      </c>
      <c r="J151" s="8" t="s">
        <v>3046</v>
      </c>
      <c r="K151" s="8" t="s">
        <v>31</v>
      </c>
      <c r="L151" s="9" t="s">
        <v>2985</v>
      </c>
      <c r="M151" s="10">
        <v>46210</v>
      </c>
      <c r="N151" s="8" t="s">
        <v>39</v>
      </c>
      <c r="O151" s="12"/>
      <c r="P151" s="13"/>
      <c r="Q151" s="14">
        <f>Tabela1[[#This Row],[QTDE/ Fabricação]]-Tabela1[[#This Row],[QTE]]</f>
        <v>-4</v>
      </c>
      <c r="R151" s="18">
        <f t="shared" si="28"/>
        <v>0</v>
      </c>
      <c r="S151" s="18">
        <f t="shared" si="27"/>
        <v>0</v>
      </c>
      <c r="T151" s="19">
        <f t="shared" si="29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6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1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2"/>
        <v>0</v>
      </c>
      <c r="AV151" s="37">
        <f t="shared" si="23"/>
        <v>0</v>
      </c>
      <c r="AW151" s="37"/>
    </row>
    <row r="152" spans="1:49" ht="15.75" hidden="1" customHeight="1" x14ac:dyDescent="0.25">
      <c r="A152" s="6" t="s">
        <v>3734</v>
      </c>
      <c r="B152" s="21" t="s">
        <v>3735</v>
      </c>
      <c r="C152" s="7">
        <v>4</v>
      </c>
      <c r="D152" s="39" t="s">
        <v>3736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3046</v>
      </c>
      <c r="K152" s="8" t="s">
        <v>31</v>
      </c>
      <c r="L152" s="9" t="s">
        <v>2985</v>
      </c>
      <c r="M152" s="10">
        <v>46210</v>
      </c>
      <c r="N152" s="8" t="s">
        <v>39</v>
      </c>
      <c r="O152" s="12"/>
      <c r="P152" s="13"/>
      <c r="Q152" s="14">
        <f>Tabela1[[#This Row],[QTDE/ Fabricação]]-Tabela1[[#This Row],[QTE]]</f>
        <v>-4</v>
      </c>
      <c r="R152" s="18">
        <f t="shared" si="28"/>
        <v>0</v>
      </c>
      <c r="S152" s="18">
        <f t="shared" si="27"/>
        <v>0</v>
      </c>
      <c r="T152" s="19">
        <f t="shared" si="29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6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1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2"/>
        <v>0</v>
      </c>
      <c r="AV152" s="37">
        <f t="shared" si="23"/>
        <v>0</v>
      </c>
      <c r="AW152" s="37"/>
    </row>
    <row r="153" spans="1:49" ht="15.75" hidden="1" customHeight="1" x14ac:dyDescent="0.25">
      <c r="A153" s="6" t="s">
        <v>3734</v>
      </c>
      <c r="B153" s="21" t="s">
        <v>3735</v>
      </c>
      <c r="C153" s="7">
        <v>1</v>
      </c>
      <c r="D153" s="39" t="s">
        <v>3737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3046</v>
      </c>
      <c r="K153" s="8" t="s">
        <v>31</v>
      </c>
      <c r="L153" s="9" t="s">
        <v>2985</v>
      </c>
      <c r="M153" s="10">
        <v>46210</v>
      </c>
      <c r="N153" s="8" t="s">
        <v>39</v>
      </c>
      <c r="O153" s="12"/>
      <c r="P153" s="13"/>
      <c r="Q153" s="14">
        <f>Tabela1[[#This Row],[QTDE/ Fabricação]]-Tabela1[[#This Row],[QTE]]</f>
        <v>-1</v>
      </c>
      <c r="R153" s="18">
        <f t="shared" si="28"/>
        <v>0</v>
      </c>
      <c r="S153" s="18">
        <f t="shared" si="27"/>
        <v>0</v>
      </c>
      <c r="T153" s="19">
        <f t="shared" si="29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6"/>
        <v>-1</v>
      </c>
      <c r="Z153" s="20">
        <f>Tabela1[[#This Row],[PESO TOTAL]]-Tabela1[[#This Row],[Peso Expedido]]</f>
        <v>255</v>
      </c>
      <c r="AA153" s="17"/>
      <c r="AB153" s="33"/>
      <c r="AC153" s="33"/>
      <c r="AD153" s="33"/>
      <c r="AE153" s="33"/>
      <c r="AF153" s="33"/>
      <c r="AG153" s="33"/>
      <c r="AH153" s="33"/>
      <c r="AI153" s="33" t="str">
        <f t="shared" si="21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2"/>
        <v>0</v>
      </c>
      <c r="AV153" s="37">
        <f t="shared" si="23"/>
        <v>0</v>
      </c>
      <c r="AW153" s="37"/>
    </row>
    <row r="154" spans="1:49" ht="15.75" hidden="1" customHeight="1" x14ac:dyDescent="0.25">
      <c r="A154" s="6" t="s">
        <v>3760</v>
      </c>
      <c r="B154" s="21" t="s">
        <v>3761</v>
      </c>
      <c r="C154" s="7">
        <v>1</v>
      </c>
      <c r="D154" s="39" t="s">
        <v>3762</v>
      </c>
      <c r="E154" s="7">
        <v>4039</v>
      </c>
      <c r="F154" s="7" t="s">
        <v>3763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2275</v>
      </c>
      <c r="K154" s="8" t="s">
        <v>328</v>
      </c>
      <c r="L154" s="9" t="s">
        <v>2070</v>
      </c>
      <c r="M154" s="10">
        <v>46146</v>
      </c>
      <c r="N154" s="8" t="s">
        <v>328</v>
      </c>
      <c r="O154" s="12"/>
      <c r="P154" s="13"/>
      <c r="Q154" s="14">
        <f>Tabela1[[#This Row],[QTDE/ Fabricação]]-Tabela1[[#This Row],[QTE]]</f>
        <v>-1</v>
      </c>
      <c r="R154" s="18">
        <f t="shared" ref="R154:R217" si="31">IFERROR(H154*((AA154*0.25)+(AC154*0.25)+(AD154*0.225)+(AE154*0.225)+(AF154*0.05)),"")</f>
        <v>1360</v>
      </c>
      <c r="S154" s="18">
        <f t="shared" si="27"/>
        <v>1360</v>
      </c>
      <c r="T154" s="19">
        <f t="shared" ref="T154:T217" si="32">IFERROR(S154-H154,"")</f>
        <v>0</v>
      </c>
      <c r="U154" s="207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2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1"/>
        <v>ok</v>
      </c>
      <c r="AJ154" s="33" t="s">
        <v>4417</v>
      </c>
      <c r="AK154" s="33" t="s">
        <v>4417</v>
      </c>
      <c r="AL154" s="33" t="s">
        <v>4417</v>
      </c>
      <c r="AM154" s="33" t="s">
        <v>4417</v>
      </c>
      <c r="AN154" s="33" t="s">
        <v>4417</v>
      </c>
      <c r="AO154" s="33" t="s">
        <v>4417</v>
      </c>
      <c r="AP154" s="33" t="s">
        <v>4417</v>
      </c>
      <c r="AQ154" s="33" t="s">
        <v>4417</v>
      </c>
      <c r="AR154" s="33" t="s">
        <v>4417</v>
      </c>
      <c r="AS154" s="33" t="s">
        <v>4417</v>
      </c>
      <c r="AT154" s="33" t="s">
        <v>4417</v>
      </c>
      <c r="AU154" s="33" t="s">
        <v>4417</v>
      </c>
      <c r="AV154" s="33" t="s">
        <v>4417</v>
      </c>
      <c r="AW154" s="33" t="s">
        <v>4417</v>
      </c>
    </row>
    <row r="155" spans="1:49" ht="15.75" hidden="1" customHeight="1" x14ac:dyDescent="0.25">
      <c r="A155" s="6" t="s">
        <v>3760</v>
      </c>
      <c r="B155" s="21" t="s">
        <v>3761</v>
      </c>
      <c r="C155" s="7">
        <v>1</v>
      </c>
      <c r="D155" s="39" t="s">
        <v>3762</v>
      </c>
      <c r="E155" s="7">
        <v>4040</v>
      </c>
      <c r="F155" s="7" t="s">
        <v>3763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2277</v>
      </c>
      <c r="K155" s="8" t="s">
        <v>328</v>
      </c>
      <c r="L155" s="9" t="s">
        <v>2070</v>
      </c>
      <c r="M155" s="10">
        <v>46146</v>
      </c>
      <c r="N155" s="8" t="s">
        <v>328</v>
      </c>
      <c r="O155" s="12"/>
      <c r="P155" s="13"/>
      <c r="Q155" s="14">
        <f>Tabela1[[#This Row],[QTDE/ Fabricação]]-Tabela1[[#This Row],[QTE]]</f>
        <v>-1</v>
      </c>
      <c r="R155" s="18">
        <f t="shared" si="31"/>
        <v>1360</v>
      </c>
      <c r="S155" s="18">
        <f t="shared" si="27"/>
        <v>1360</v>
      </c>
      <c r="T155" s="19">
        <f t="shared" si="32"/>
        <v>0</v>
      </c>
      <c r="U155" s="207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2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1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2"/>
        <v>1360</v>
      </c>
      <c r="AV155" s="37">
        <f t="shared" si="23"/>
        <v>1360</v>
      </c>
      <c r="AW155" s="37"/>
    </row>
    <row r="156" spans="1:49" ht="15.75" hidden="1" customHeight="1" x14ac:dyDescent="0.25">
      <c r="A156" s="6" t="s">
        <v>3764</v>
      </c>
      <c r="B156" s="21" t="s">
        <v>3765</v>
      </c>
      <c r="C156" s="7">
        <v>1</v>
      </c>
      <c r="D156" s="39" t="s">
        <v>3762</v>
      </c>
      <c r="E156" s="7">
        <v>4041</v>
      </c>
      <c r="F156" s="7" t="s">
        <v>3763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2275</v>
      </c>
      <c r="K156" s="8" t="s">
        <v>328</v>
      </c>
      <c r="L156" s="9" t="s">
        <v>2070</v>
      </c>
      <c r="M156" s="10">
        <v>46146</v>
      </c>
      <c r="N156" s="8" t="s">
        <v>328</v>
      </c>
      <c r="O156" s="12"/>
      <c r="P156" s="13"/>
      <c r="Q156" s="14">
        <f>Tabela1[[#This Row],[QTDE/ Fabricação]]-Tabela1[[#This Row],[QTE]]</f>
        <v>-1</v>
      </c>
      <c r="R156" s="18">
        <f t="shared" si="31"/>
        <v>1335.1</v>
      </c>
      <c r="S156" s="18">
        <f t="shared" si="27"/>
        <v>1335.1</v>
      </c>
      <c r="T156" s="19">
        <f t="shared" si="32"/>
        <v>0</v>
      </c>
      <c r="U156" s="207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2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3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2"/>
        <v>1335.1</v>
      </c>
      <c r="AV156" s="37">
        <f t="shared" si="23"/>
        <v>1335.1</v>
      </c>
      <c r="AW156" s="37"/>
    </row>
    <row r="157" spans="1:49" ht="15.75" hidden="1" customHeight="1" x14ac:dyDescent="0.25">
      <c r="A157" s="6" t="s">
        <v>3764</v>
      </c>
      <c r="B157" s="21" t="s">
        <v>3765</v>
      </c>
      <c r="C157" s="7">
        <v>1</v>
      </c>
      <c r="D157" s="39" t="s">
        <v>3762</v>
      </c>
      <c r="E157" s="7">
        <v>4042</v>
      </c>
      <c r="F157" s="7" t="s">
        <v>3763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2277</v>
      </c>
      <c r="K157" s="8" t="s">
        <v>328</v>
      </c>
      <c r="L157" s="9" t="s">
        <v>2070</v>
      </c>
      <c r="M157" s="10">
        <v>46146</v>
      </c>
      <c r="N157" s="8" t="s">
        <v>328</v>
      </c>
      <c r="O157" s="12"/>
      <c r="P157" s="13"/>
      <c r="Q157" s="14">
        <f>Tabela1[[#This Row],[QTDE/ Fabricação]]-Tabela1[[#This Row],[QTE]]</f>
        <v>-1</v>
      </c>
      <c r="R157" s="18">
        <f t="shared" si="31"/>
        <v>1335.1</v>
      </c>
      <c r="S157" s="18">
        <f t="shared" si="27"/>
        <v>1335.1</v>
      </c>
      <c r="T157" s="19">
        <f t="shared" si="32"/>
        <v>0</v>
      </c>
      <c r="U157" s="207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2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3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2"/>
        <v>1335.1</v>
      </c>
      <c r="AV157" s="37">
        <f t="shared" si="23"/>
        <v>1335.1</v>
      </c>
      <c r="AW157" s="37"/>
    </row>
    <row r="158" spans="1:49" ht="15.75" hidden="1" customHeight="1" x14ac:dyDescent="0.25">
      <c r="A158" s="6" t="s">
        <v>3766</v>
      </c>
      <c r="B158" s="21" t="s">
        <v>3767</v>
      </c>
      <c r="C158" s="7">
        <v>2</v>
      </c>
      <c r="D158" s="39" t="s">
        <v>3768</v>
      </c>
      <c r="E158" s="7">
        <v>4043</v>
      </c>
      <c r="F158" s="7" t="s">
        <v>3769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2275</v>
      </c>
      <c r="K158" s="8" t="s">
        <v>328</v>
      </c>
      <c r="L158" s="9" t="s">
        <v>2070</v>
      </c>
      <c r="M158" s="10">
        <v>46119</v>
      </c>
      <c r="N158" s="8" t="s">
        <v>328</v>
      </c>
      <c r="O158" s="12"/>
      <c r="P158" s="13"/>
      <c r="Q158" s="14">
        <f>Tabela1[[#This Row],[QTDE/ Fabricação]]-Tabela1[[#This Row],[QTE]]</f>
        <v>-2</v>
      </c>
      <c r="R158" s="18">
        <f t="shared" si="31"/>
        <v>25.2</v>
      </c>
      <c r="S158" s="18">
        <f t="shared" si="27"/>
        <v>25.2</v>
      </c>
      <c r="T158" s="19">
        <f t="shared" si="32"/>
        <v>0</v>
      </c>
      <c r="U158" s="207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2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3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2"/>
        <v>25.2</v>
      </c>
      <c r="AV158" s="37">
        <f t="shared" si="23"/>
        <v>25.2</v>
      </c>
      <c r="AW158" s="37"/>
    </row>
    <row r="159" spans="1:49" ht="15.75" hidden="1" customHeight="1" x14ac:dyDescent="0.25">
      <c r="A159" s="6" t="s">
        <v>3766</v>
      </c>
      <c r="B159" s="21" t="s">
        <v>3770</v>
      </c>
      <c r="C159" s="7">
        <v>4</v>
      </c>
      <c r="D159" s="39" t="s">
        <v>3768</v>
      </c>
      <c r="E159" s="7">
        <v>4044</v>
      </c>
      <c r="F159" s="7" t="s">
        <v>3769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2275</v>
      </c>
      <c r="K159" s="8" t="s">
        <v>328</v>
      </c>
      <c r="L159" s="9" t="s">
        <v>2070</v>
      </c>
      <c r="M159" s="10">
        <v>46119</v>
      </c>
      <c r="N159" s="8" t="s">
        <v>328</v>
      </c>
      <c r="O159" s="12"/>
      <c r="P159" s="13"/>
      <c r="Q159" s="14">
        <f>Tabela1[[#This Row],[QTDE/ Fabricação]]-Tabela1[[#This Row],[QTE]]</f>
        <v>-4</v>
      </c>
      <c r="R159" s="18">
        <f t="shared" si="31"/>
        <v>50.4</v>
      </c>
      <c r="S159" s="18">
        <f t="shared" si="27"/>
        <v>50.4</v>
      </c>
      <c r="T159" s="19">
        <f t="shared" si="32"/>
        <v>0</v>
      </c>
      <c r="U159" s="207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2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3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2"/>
        <v>50.4</v>
      </c>
      <c r="AV159" s="37">
        <f t="shared" si="23"/>
        <v>50.4</v>
      </c>
      <c r="AW159" s="37"/>
    </row>
    <row r="160" spans="1:49" ht="15.75" hidden="1" customHeight="1" x14ac:dyDescent="0.25">
      <c r="A160" s="6" t="s">
        <v>3766</v>
      </c>
      <c r="B160" s="21" t="s">
        <v>3771</v>
      </c>
      <c r="C160" s="7">
        <v>4</v>
      </c>
      <c r="D160" s="39" t="s">
        <v>3772</v>
      </c>
      <c r="E160" s="7">
        <v>4045</v>
      </c>
      <c r="F160" s="7" t="s">
        <v>3769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2275</v>
      </c>
      <c r="K160" s="8" t="s">
        <v>328</v>
      </c>
      <c r="L160" s="9" t="s">
        <v>2070</v>
      </c>
      <c r="M160" s="10">
        <v>46119</v>
      </c>
      <c r="N160" s="8" t="s">
        <v>328</v>
      </c>
      <c r="O160" s="12"/>
      <c r="P160" s="13"/>
      <c r="Q160" s="14">
        <f>Tabela1[[#This Row],[QTDE/ Fabricação]]-Tabela1[[#This Row],[QTE]]</f>
        <v>-4</v>
      </c>
      <c r="R160" s="18">
        <f t="shared" si="31"/>
        <v>228.4</v>
      </c>
      <c r="S160" s="18">
        <f t="shared" si="27"/>
        <v>228.4</v>
      </c>
      <c r="T160" s="19">
        <f t="shared" si="32"/>
        <v>0</v>
      </c>
      <c r="U160" s="207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2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3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2"/>
        <v>228.4</v>
      </c>
      <c r="AV160" s="37">
        <f t="shared" si="23"/>
        <v>228.4</v>
      </c>
      <c r="AW160" s="37"/>
    </row>
    <row r="161" spans="1:49" ht="15.75" hidden="1" customHeight="1" x14ac:dyDescent="0.25">
      <c r="A161" s="6" t="s">
        <v>3766</v>
      </c>
      <c r="B161" s="21" t="s">
        <v>3773</v>
      </c>
      <c r="C161" s="7">
        <v>24</v>
      </c>
      <c r="D161" s="39" t="s">
        <v>3772</v>
      </c>
      <c r="E161" s="7">
        <v>4046</v>
      </c>
      <c r="F161" s="7" t="s">
        <v>3769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2275</v>
      </c>
      <c r="K161" s="8" t="s">
        <v>328</v>
      </c>
      <c r="L161" s="9" t="s">
        <v>2070</v>
      </c>
      <c r="M161" s="10">
        <v>46119</v>
      </c>
      <c r="N161" s="8" t="s">
        <v>328</v>
      </c>
      <c r="O161" s="12"/>
      <c r="P161" s="13"/>
      <c r="Q161" s="14">
        <f>Tabela1[[#This Row],[QTDE/ Fabricação]]-Tabela1[[#This Row],[QTE]]</f>
        <v>-24</v>
      </c>
      <c r="R161" s="18">
        <f t="shared" si="31"/>
        <v>19.200000000000003</v>
      </c>
      <c r="S161" s="18">
        <f t="shared" si="27"/>
        <v>19.200000000000003</v>
      </c>
      <c r="T161" s="19">
        <f t="shared" si="32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2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3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2"/>
        <v>0</v>
      </c>
      <c r="AV161" s="37">
        <f t="shared" si="23"/>
        <v>19.200000000000003</v>
      </c>
      <c r="AW161" s="37"/>
    </row>
    <row r="162" spans="1:49" ht="15.75" hidden="1" customHeight="1" x14ac:dyDescent="0.25">
      <c r="A162" s="6" t="s">
        <v>3766</v>
      </c>
      <c r="B162" s="21" t="s">
        <v>3774</v>
      </c>
      <c r="C162" s="7">
        <v>1</v>
      </c>
      <c r="D162" s="39" t="s">
        <v>3772</v>
      </c>
      <c r="E162" s="7">
        <v>4047</v>
      </c>
      <c r="F162" s="7" t="s">
        <v>3769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2275</v>
      </c>
      <c r="K162" s="8" t="s">
        <v>328</v>
      </c>
      <c r="L162" s="9" t="s">
        <v>2070</v>
      </c>
      <c r="M162" s="10">
        <v>46119</v>
      </c>
      <c r="N162" s="8" t="s">
        <v>328</v>
      </c>
      <c r="O162" s="12"/>
      <c r="P162" s="13"/>
      <c r="Q162" s="14">
        <f>Tabela1[[#This Row],[QTDE/ Fabricação]]-Tabela1[[#This Row],[QTE]]</f>
        <v>-1</v>
      </c>
      <c r="R162" s="18">
        <f t="shared" si="31"/>
        <v>128.80000000000001</v>
      </c>
      <c r="S162" s="18">
        <f t="shared" si="27"/>
        <v>0</v>
      </c>
      <c r="T162" s="19">
        <f t="shared" si="32"/>
        <v>-128.80000000000001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2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0</v>
      </c>
      <c r="AH162" s="33"/>
      <c r="AI162" s="33" t="str">
        <f t="shared" si="33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128.80000000000001</v>
      </c>
      <c r="AT162" s="37">
        <f>IF(AG162="",0,IF(ISTEXT(AG162),H162*VALUE(SUBSTITUTE(AG162,"%",""))/100,H162*AG162))-Tabela1[[#This Row],[PESO EXPEDIDO2]]</f>
        <v>0</v>
      </c>
      <c r="AU162" s="37">
        <f t="shared" si="22"/>
        <v>0</v>
      </c>
      <c r="AV162" s="37">
        <f t="shared" si="23"/>
        <v>0</v>
      </c>
      <c r="AW162" s="37"/>
    </row>
    <row r="163" spans="1:49" ht="15.75" hidden="1" customHeight="1" x14ac:dyDescent="0.25">
      <c r="A163" s="6" t="s">
        <v>3766</v>
      </c>
      <c r="B163" s="21" t="s">
        <v>3767</v>
      </c>
      <c r="C163" s="7">
        <v>2</v>
      </c>
      <c r="D163" s="39" t="s">
        <v>3768</v>
      </c>
      <c r="E163" s="7">
        <v>4048</v>
      </c>
      <c r="F163" s="7" t="s">
        <v>3769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2277</v>
      </c>
      <c r="K163" s="8" t="s">
        <v>328</v>
      </c>
      <c r="L163" s="9" t="s">
        <v>2070</v>
      </c>
      <c r="M163" s="10">
        <v>46119</v>
      </c>
      <c r="N163" s="8" t="s">
        <v>328</v>
      </c>
      <c r="O163" s="12"/>
      <c r="P163" s="13"/>
      <c r="Q163" s="14">
        <f>Tabela1[[#This Row],[QTDE/ Fabricação]]-Tabela1[[#This Row],[QTE]]</f>
        <v>-2</v>
      </c>
      <c r="R163" s="18">
        <f t="shared" si="31"/>
        <v>25.2</v>
      </c>
      <c r="S163" s="18">
        <f t="shared" si="27"/>
        <v>25.2</v>
      </c>
      <c r="T163" s="19">
        <f t="shared" si="32"/>
        <v>0</v>
      </c>
      <c r="U163" s="207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2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3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2"/>
        <v>25.2</v>
      </c>
      <c r="AV163" s="37">
        <f t="shared" si="23"/>
        <v>25.2</v>
      </c>
      <c r="AW163" s="37"/>
    </row>
    <row r="164" spans="1:49" ht="15.75" hidden="1" customHeight="1" x14ac:dyDescent="0.25">
      <c r="A164" s="6" t="s">
        <v>3766</v>
      </c>
      <c r="B164" s="21" t="s">
        <v>3770</v>
      </c>
      <c r="C164" s="7">
        <v>4</v>
      </c>
      <c r="D164" s="39" t="s">
        <v>3768</v>
      </c>
      <c r="E164" s="7">
        <v>4049</v>
      </c>
      <c r="F164" s="7" t="s">
        <v>3769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2277</v>
      </c>
      <c r="K164" s="8" t="s">
        <v>328</v>
      </c>
      <c r="L164" s="9" t="s">
        <v>2070</v>
      </c>
      <c r="M164" s="10">
        <v>46119</v>
      </c>
      <c r="N164" s="8" t="s">
        <v>328</v>
      </c>
      <c r="O164" s="12"/>
      <c r="P164" s="13"/>
      <c r="Q164" s="14">
        <f>Tabela1[[#This Row],[QTDE/ Fabricação]]-Tabela1[[#This Row],[QTE]]</f>
        <v>-4</v>
      </c>
      <c r="R164" s="18">
        <f t="shared" si="31"/>
        <v>50.4</v>
      </c>
      <c r="S164" s="18">
        <f t="shared" si="27"/>
        <v>50.4</v>
      </c>
      <c r="T164" s="19">
        <f t="shared" si="32"/>
        <v>0</v>
      </c>
      <c r="U164" s="207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2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3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2"/>
        <v>50.4</v>
      </c>
      <c r="AV164" s="37">
        <f t="shared" si="23"/>
        <v>50.4</v>
      </c>
      <c r="AW164" s="37"/>
    </row>
    <row r="165" spans="1:49" ht="15.75" hidden="1" customHeight="1" x14ac:dyDescent="0.25">
      <c r="A165" s="6" t="s">
        <v>3766</v>
      </c>
      <c r="B165" s="21" t="s">
        <v>3771</v>
      </c>
      <c r="C165" s="7">
        <v>4</v>
      </c>
      <c r="D165" s="39" t="s">
        <v>3772</v>
      </c>
      <c r="E165" s="7">
        <v>4050</v>
      </c>
      <c r="F165" s="7" t="s">
        <v>3769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2277</v>
      </c>
      <c r="K165" s="8" t="s">
        <v>328</v>
      </c>
      <c r="L165" s="9" t="s">
        <v>2070</v>
      </c>
      <c r="M165" s="10">
        <v>46119</v>
      </c>
      <c r="N165" s="8" t="s">
        <v>328</v>
      </c>
      <c r="O165" s="12"/>
      <c r="P165" s="13"/>
      <c r="Q165" s="14">
        <f>Tabela1[[#This Row],[QTDE/ Fabricação]]-Tabela1[[#This Row],[QTE]]</f>
        <v>-4</v>
      </c>
      <c r="R165" s="18">
        <f t="shared" si="31"/>
        <v>228.4</v>
      </c>
      <c r="S165" s="18">
        <f t="shared" si="27"/>
        <v>228.4</v>
      </c>
      <c r="T165" s="19">
        <f t="shared" si="32"/>
        <v>0</v>
      </c>
      <c r="U165" s="207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2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3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4">IF(AH165="",0,IF(ISTEXT(AH165),H165*VALUE(SUBSTITUTE(AH165,"%",""))/100,H165*AH165))</f>
        <v>228.4</v>
      </c>
      <c r="AV165" s="37">
        <f t="shared" ref="AV165:AV228" si="35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3766</v>
      </c>
      <c r="B166" s="21" t="s">
        <v>3774</v>
      </c>
      <c r="C166" s="7">
        <v>1</v>
      </c>
      <c r="D166" s="39" t="s">
        <v>3772</v>
      </c>
      <c r="E166" s="7">
        <v>4051</v>
      </c>
      <c r="F166" s="7" t="s">
        <v>3769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2277</v>
      </c>
      <c r="K166" s="8" t="s">
        <v>328</v>
      </c>
      <c r="L166" s="9" t="s">
        <v>2070</v>
      </c>
      <c r="M166" s="10">
        <v>46119</v>
      </c>
      <c r="N166" s="8" t="s">
        <v>328</v>
      </c>
      <c r="O166" s="12"/>
      <c r="P166" s="13"/>
      <c r="Q166" s="14">
        <f>Tabela1[[#This Row],[QTDE/ Fabricação]]-Tabela1[[#This Row],[QTE]]</f>
        <v>-1</v>
      </c>
      <c r="R166" s="18">
        <f t="shared" si="31"/>
        <v>128.80000000000001</v>
      </c>
      <c r="S166" s="18">
        <f t="shared" si="27"/>
        <v>0</v>
      </c>
      <c r="T166" s="19">
        <f t="shared" si="32"/>
        <v>-128.80000000000001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2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0</v>
      </c>
      <c r="AH166" s="33"/>
      <c r="AI166" s="33" t="str">
        <f t="shared" si="33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128.80000000000001</v>
      </c>
      <c r="AT166" s="37">
        <f>IF(AG166="",0,IF(ISTEXT(AG166),H166*VALUE(SUBSTITUTE(AG166,"%",""))/100,H166*AG166))-Tabela1[[#This Row],[PESO EXPEDIDO2]]</f>
        <v>0</v>
      </c>
      <c r="AU166" s="37">
        <f t="shared" si="34"/>
        <v>0</v>
      </c>
      <c r="AV166" s="37">
        <f t="shared" si="35"/>
        <v>0</v>
      </c>
      <c r="AW166" s="37"/>
    </row>
    <row r="167" spans="1:49" ht="15.75" hidden="1" customHeight="1" x14ac:dyDescent="0.25">
      <c r="A167" s="6" t="s">
        <v>3766</v>
      </c>
      <c r="B167" s="21" t="s">
        <v>3773</v>
      </c>
      <c r="C167" s="7">
        <v>24</v>
      </c>
      <c r="D167" s="39" t="s">
        <v>3772</v>
      </c>
      <c r="E167" s="7">
        <v>4052</v>
      </c>
      <c r="F167" s="7" t="s">
        <v>3769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2277</v>
      </c>
      <c r="K167" s="8" t="s">
        <v>328</v>
      </c>
      <c r="L167" s="9" t="s">
        <v>2070</v>
      </c>
      <c r="M167" s="10">
        <v>46119</v>
      </c>
      <c r="N167" s="8" t="s">
        <v>328</v>
      </c>
      <c r="O167" s="12"/>
      <c r="P167" s="13"/>
      <c r="Q167" s="14">
        <f>Tabela1[[#This Row],[QTDE/ Fabricação]]-Tabela1[[#This Row],[QTE]]</f>
        <v>-24</v>
      </c>
      <c r="R167" s="18">
        <f t="shared" si="31"/>
        <v>19.200000000000003</v>
      </c>
      <c r="S167" s="18">
        <f t="shared" si="27"/>
        <v>19.200000000000003</v>
      </c>
      <c r="T167" s="19">
        <f t="shared" si="32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2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3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4"/>
        <v>0</v>
      </c>
      <c r="AV167" s="37">
        <f t="shared" si="35"/>
        <v>19.200000000000003</v>
      </c>
      <c r="AW167" s="37"/>
    </row>
    <row r="168" spans="1:49" ht="15.75" hidden="1" customHeight="1" x14ac:dyDescent="0.25">
      <c r="A168" s="6" t="s">
        <v>3775</v>
      </c>
      <c r="B168" s="21" t="s">
        <v>3776</v>
      </c>
      <c r="C168" s="7">
        <v>1</v>
      </c>
      <c r="D168" s="39" t="s">
        <v>3762</v>
      </c>
      <c r="E168" s="7">
        <v>4053</v>
      </c>
      <c r="F168" s="7" t="s">
        <v>3777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2275</v>
      </c>
      <c r="K168" s="8" t="s">
        <v>328</v>
      </c>
      <c r="L168" s="9" t="s">
        <v>2070</v>
      </c>
      <c r="M168" s="10">
        <v>46149</v>
      </c>
      <c r="N168" s="8" t="s">
        <v>328</v>
      </c>
      <c r="O168" s="12"/>
      <c r="P168" s="13"/>
      <c r="Q168" s="14">
        <f>Tabela1[[#This Row],[QTDE/ Fabricação]]-Tabela1[[#This Row],[QTE]]</f>
        <v>-1</v>
      </c>
      <c r="R168" s="18">
        <f t="shared" si="31"/>
        <v>1137.2</v>
      </c>
      <c r="S168" s="18">
        <f t="shared" si="27"/>
        <v>1137.2</v>
      </c>
      <c r="T168" s="19">
        <f t="shared" si="32"/>
        <v>0</v>
      </c>
      <c r="U168" s="207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2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3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4"/>
        <v>1137.2</v>
      </c>
      <c r="AV168" s="37">
        <f t="shared" si="35"/>
        <v>1137.2</v>
      </c>
      <c r="AW168" s="37"/>
    </row>
    <row r="169" spans="1:49" ht="15.75" hidden="1" customHeight="1" x14ac:dyDescent="0.25">
      <c r="A169" s="6" t="s">
        <v>3775</v>
      </c>
      <c r="B169" s="21" t="s">
        <v>3778</v>
      </c>
      <c r="C169" s="7">
        <v>1</v>
      </c>
      <c r="D169" s="39" t="s">
        <v>3779</v>
      </c>
      <c r="E169" s="7">
        <v>4054</v>
      </c>
      <c r="F169" s="7" t="s">
        <v>3777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2275</v>
      </c>
      <c r="K169" s="8" t="s">
        <v>328</v>
      </c>
      <c r="L169" s="9" t="s">
        <v>2070</v>
      </c>
      <c r="M169" s="10">
        <v>46149</v>
      </c>
      <c r="N169" s="8" t="s">
        <v>328</v>
      </c>
      <c r="O169" s="12"/>
      <c r="P169" s="13"/>
      <c r="Q169" s="14">
        <f>Tabela1[[#This Row],[QTDE/ Fabricação]]-Tabela1[[#This Row],[QTE]]</f>
        <v>-1</v>
      </c>
      <c r="R169" s="18">
        <f t="shared" si="31"/>
        <v>142.19999999999999</v>
      </c>
      <c r="S169" s="18">
        <f t="shared" si="27"/>
        <v>142.19999999999999</v>
      </c>
      <c r="T169" s="19">
        <f t="shared" si="32"/>
        <v>0</v>
      </c>
      <c r="U169" s="207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2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3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4"/>
        <v>142.19999999999999</v>
      </c>
      <c r="AV169" s="37">
        <f t="shared" si="35"/>
        <v>142.19999999999999</v>
      </c>
      <c r="AW169" s="37"/>
    </row>
    <row r="170" spans="1:49" ht="15.75" hidden="1" customHeight="1" x14ac:dyDescent="0.25">
      <c r="A170" s="6" t="s">
        <v>3775</v>
      </c>
      <c r="B170" s="21" t="s">
        <v>3780</v>
      </c>
      <c r="C170" s="7">
        <v>1</v>
      </c>
      <c r="D170" s="39" t="s">
        <v>3779</v>
      </c>
      <c r="E170" s="7">
        <v>4055</v>
      </c>
      <c r="F170" s="7" t="s">
        <v>3777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2275</v>
      </c>
      <c r="K170" s="8" t="s">
        <v>328</v>
      </c>
      <c r="L170" s="9" t="s">
        <v>2070</v>
      </c>
      <c r="M170" s="10">
        <v>46149</v>
      </c>
      <c r="N170" s="8" t="s">
        <v>328</v>
      </c>
      <c r="O170" s="12"/>
      <c r="P170" s="13"/>
      <c r="Q170" s="14">
        <f>Tabela1[[#This Row],[QTDE/ Fabricação]]-Tabela1[[#This Row],[QTE]]</f>
        <v>-1</v>
      </c>
      <c r="R170" s="18">
        <f t="shared" si="31"/>
        <v>295.39999999999998</v>
      </c>
      <c r="S170" s="18">
        <f t="shared" si="27"/>
        <v>295.39999999999998</v>
      </c>
      <c r="T170" s="19">
        <f t="shared" si="32"/>
        <v>0</v>
      </c>
      <c r="U170" s="207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2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3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4"/>
        <v>295.39999999999998</v>
      </c>
      <c r="AV170" s="37">
        <f t="shared" si="35"/>
        <v>295.39999999999998</v>
      </c>
      <c r="AW170" s="37"/>
    </row>
    <row r="171" spans="1:49" ht="15.75" hidden="1" customHeight="1" x14ac:dyDescent="0.25">
      <c r="A171" s="6" t="s">
        <v>3775</v>
      </c>
      <c r="B171" s="21" t="s">
        <v>3776</v>
      </c>
      <c r="C171" s="7">
        <v>1</v>
      </c>
      <c r="D171" s="39" t="s">
        <v>3762</v>
      </c>
      <c r="E171" s="7">
        <v>4056</v>
      </c>
      <c r="F171" s="7" t="s">
        <v>3777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2277</v>
      </c>
      <c r="K171" s="8" t="s">
        <v>328</v>
      </c>
      <c r="L171" s="9" t="s">
        <v>2070</v>
      </c>
      <c r="M171" s="10">
        <v>46149</v>
      </c>
      <c r="N171" s="8" t="s">
        <v>328</v>
      </c>
      <c r="O171" s="12"/>
      <c r="P171" s="13"/>
      <c r="Q171" s="14">
        <f>Tabela1[[#This Row],[QTDE/ Fabricação]]-Tabela1[[#This Row],[QTE]]</f>
        <v>-1</v>
      </c>
      <c r="R171" s="18">
        <f t="shared" si="31"/>
        <v>1137.2</v>
      </c>
      <c r="S171" s="18">
        <f t="shared" si="27"/>
        <v>1137.2</v>
      </c>
      <c r="T171" s="19">
        <f t="shared" si="32"/>
        <v>0</v>
      </c>
      <c r="U171" s="207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2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3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4"/>
        <v>1137.2</v>
      </c>
      <c r="AV171" s="37">
        <f t="shared" si="35"/>
        <v>1137.2</v>
      </c>
      <c r="AW171" s="37"/>
    </row>
    <row r="172" spans="1:49" ht="15.75" hidden="1" customHeight="1" x14ac:dyDescent="0.25">
      <c r="A172" s="6" t="s">
        <v>3775</v>
      </c>
      <c r="B172" s="21" t="s">
        <v>3778</v>
      </c>
      <c r="C172" s="7">
        <v>1</v>
      </c>
      <c r="D172" s="39" t="s">
        <v>3779</v>
      </c>
      <c r="E172" s="7">
        <v>4057</v>
      </c>
      <c r="F172" s="7" t="s">
        <v>3777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2277</v>
      </c>
      <c r="K172" s="8" t="s">
        <v>328</v>
      </c>
      <c r="L172" s="9" t="s">
        <v>2070</v>
      </c>
      <c r="M172" s="10">
        <v>46149</v>
      </c>
      <c r="N172" s="8" t="s">
        <v>328</v>
      </c>
      <c r="O172" s="12"/>
      <c r="P172" s="13"/>
      <c r="Q172" s="14">
        <f>Tabela1[[#This Row],[QTDE/ Fabricação]]-Tabela1[[#This Row],[QTE]]</f>
        <v>-1</v>
      </c>
      <c r="R172" s="18">
        <f t="shared" si="31"/>
        <v>142.19999999999999</v>
      </c>
      <c r="S172" s="18">
        <f t="shared" si="27"/>
        <v>142.19999999999999</v>
      </c>
      <c r="T172" s="19">
        <f t="shared" si="32"/>
        <v>0</v>
      </c>
      <c r="U172" s="207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2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3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4"/>
        <v>142.19999999999999</v>
      </c>
      <c r="AV172" s="37">
        <f t="shared" si="35"/>
        <v>142.19999999999999</v>
      </c>
      <c r="AW172" s="37"/>
    </row>
    <row r="173" spans="1:49" ht="15.75" hidden="1" customHeight="1" x14ac:dyDescent="0.25">
      <c r="A173" s="6" t="s">
        <v>3775</v>
      </c>
      <c r="B173" s="21" t="s">
        <v>3780</v>
      </c>
      <c r="C173" s="7">
        <v>1</v>
      </c>
      <c r="D173" s="39" t="s">
        <v>3779</v>
      </c>
      <c r="E173" s="7">
        <v>4058</v>
      </c>
      <c r="F173" s="7" t="s">
        <v>3777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2277</v>
      </c>
      <c r="K173" s="8" t="s">
        <v>328</v>
      </c>
      <c r="L173" s="9" t="s">
        <v>2070</v>
      </c>
      <c r="M173" s="10">
        <v>46149</v>
      </c>
      <c r="N173" s="8" t="s">
        <v>328</v>
      </c>
      <c r="O173" s="12"/>
      <c r="P173" s="13"/>
      <c r="Q173" s="14">
        <f>Tabela1[[#This Row],[QTDE/ Fabricação]]-Tabela1[[#This Row],[QTE]]</f>
        <v>-1</v>
      </c>
      <c r="R173" s="18">
        <f t="shared" si="31"/>
        <v>295.39999999999998</v>
      </c>
      <c r="S173" s="18">
        <f t="shared" si="27"/>
        <v>295.39999999999998</v>
      </c>
      <c r="T173" s="19">
        <f t="shared" si="32"/>
        <v>0</v>
      </c>
      <c r="U173" s="207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2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3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4"/>
        <v>295.39999999999998</v>
      </c>
      <c r="AV173" s="37">
        <f t="shared" si="35"/>
        <v>295.39999999999998</v>
      </c>
      <c r="AW173" s="37"/>
    </row>
    <row r="174" spans="1:49" ht="15.75" hidden="1" customHeight="1" x14ac:dyDescent="0.25">
      <c r="A174" s="6" t="s">
        <v>3781</v>
      </c>
      <c r="B174" s="21" t="s">
        <v>3782</v>
      </c>
      <c r="C174" s="7">
        <v>1</v>
      </c>
      <c r="D174" s="39" t="s">
        <v>3783</v>
      </c>
      <c r="E174" s="7">
        <v>4059</v>
      </c>
      <c r="F174" s="7" t="s">
        <v>3784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2275</v>
      </c>
      <c r="K174" s="8" t="s">
        <v>328</v>
      </c>
      <c r="L174" s="9" t="s">
        <v>2070</v>
      </c>
      <c r="M174" s="10">
        <v>46139</v>
      </c>
      <c r="N174" s="8" t="s">
        <v>328</v>
      </c>
      <c r="O174" s="12"/>
      <c r="P174" s="13"/>
      <c r="Q174" s="14">
        <f>Tabela1[[#This Row],[QTDE/ Fabricação]]-Tabela1[[#This Row],[QTE]]</f>
        <v>-1</v>
      </c>
      <c r="R174" s="18">
        <f t="shared" si="31"/>
        <v>950.5</v>
      </c>
      <c r="S174" s="18">
        <f t="shared" si="27"/>
        <v>950.5</v>
      </c>
      <c r="T174" s="19">
        <f t="shared" si="32"/>
        <v>0</v>
      </c>
      <c r="U174" s="207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2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3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4"/>
        <v>950.5</v>
      </c>
      <c r="AV174" s="37">
        <f t="shared" si="35"/>
        <v>950.5</v>
      </c>
      <c r="AW174" s="37"/>
    </row>
    <row r="175" spans="1:49" ht="15.75" hidden="1" customHeight="1" x14ac:dyDescent="0.25">
      <c r="A175" s="6" t="s">
        <v>3781</v>
      </c>
      <c r="B175" s="21" t="s">
        <v>3782</v>
      </c>
      <c r="C175" s="7">
        <v>1</v>
      </c>
      <c r="D175" s="39" t="s">
        <v>3783</v>
      </c>
      <c r="E175" s="7">
        <v>4060</v>
      </c>
      <c r="F175" s="7" t="s">
        <v>3784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2277</v>
      </c>
      <c r="K175" s="8" t="s">
        <v>328</v>
      </c>
      <c r="L175" s="9" t="s">
        <v>2070</v>
      </c>
      <c r="M175" s="10">
        <v>46139</v>
      </c>
      <c r="N175" s="8" t="s">
        <v>328</v>
      </c>
      <c r="O175" s="12"/>
      <c r="P175" s="13"/>
      <c r="Q175" s="14">
        <f>Tabela1[[#This Row],[QTDE/ Fabricação]]-Tabela1[[#This Row],[QTE]]</f>
        <v>-1</v>
      </c>
      <c r="R175" s="18">
        <f t="shared" si="31"/>
        <v>950.5</v>
      </c>
      <c r="S175" s="18">
        <f t="shared" si="27"/>
        <v>950.5</v>
      </c>
      <c r="T175" s="19">
        <f t="shared" si="32"/>
        <v>0</v>
      </c>
      <c r="U175" s="207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2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3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4"/>
        <v>950.5</v>
      </c>
      <c r="AV175" s="37">
        <f t="shared" si="35"/>
        <v>950.5</v>
      </c>
      <c r="AW175" s="37"/>
    </row>
    <row r="176" spans="1:49" ht="15.75" hidden="1" customHeight="1" x14ac:dyDescent="0.25">
      <c r="A176" s="6" t="s">
        <v>3785</v>
      </c>
      <c r="B176" s="21" t="s">
        <v>3786</v>
      </c>
      <c r="C176" s="7">
        <v>1</v>
      </c>
      <c r="D176" s="39" t="s">
        <v>3783</v>
      </c>
      <c r="E176" s="7">
        <v>4061</v>
      </c>
      <c r="F176" s="7" t="s">
        <v>3787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2275</v>
      </c>
      <c r="K176" s="8" t="s">
        <v>328</v>
      </c>
      <c r="L176" s="9" t="s">
        <v>2070</v>
      </c>
      <c r="M176" s="10">
        <v>46149</v>
      </c>
      <c r="N176" s="8" t="s">
        <v>328</v>
      </c>
      <c r="O176" s="12"/>
      <c r="P176" s="13"/>
      <c r="Q176" s="14">
        <f>Tabela1[[#This Row],[QTDE/ Fabricação]]-Tabela1[[#This Row],[QTE]]</f>
        <v>-1</v>
      </c>
      <c r="R176" s="18">
        <f t="shared" si="31"/>
        <v>675.7</v>
      </c>
      <c r="S176" s="18">
        <f t="shared" si="27"/>
        <v>675.7</v>
      </c>
      <c r="T176" s="19">
        <f t="shared" si="32"/>
        <v>0</v>
      </c>
      <c r="U176" s="207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2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3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4"/>
        <v>675.7</v>
      </c>
      <c r="AV176" s="37">
        <f t="shared" si="35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1</v>
      </c>
      <c r="D177" s="39" t="s">
        <v>3783</v>
      </c>
      <c r="E177" s="7">
        <v>4062</v>
      </c>
      <c r="F177" s="7" t="s">
        <v>3787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2277</v>
      </c>
      <c r="K177" s="8" t="s">
        <v>328</v>
      </c>
      <c r="L177" s="9" t="s">
        <v>2070</v>
      </c>
      <c r="M177" s="10">
        <v>46149</v>
      </c>
      <c r="N177" s="8" t="s">
        <v>328</v>
      </c>
      <c r="O177" s="12"/>
      <c r="P177" s="13"/>
      <c r="Q177" s="14">
        <f>Tabela1[[#This Row],[QTDE/ Fabricação]]-Tabela1[[#This Row],[QTE]]</f>
        <v>-1</v>
      </c>
      <c r="R177" s="18">
        <f t="shared" si="31"/>
        <v>675.7</v>
      </c>
      <c r="S177" s="18">
        <f t="shared" si="27"/>
        <v>675.7</v>
      </c>
      <c r="T177" s="19">
        <f t="shared" si="32"/>
        <v>0</v>
      </c>
      <c r="U177" s="207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2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3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4"/>
        <v>675.7</v>
      </c>
      <c r="AV177" s="37">
        <f t="shared" si="35"/>
        <v>675.7</v>
      </c>
      <c r="AW177" s="37"/>
    </row>
    <row r="178" spans="1:49" ht="15.75" hidden="1" customHeight="1" x14ac:dyDescent="0.25">
      <c r="A178" s="6" t="s">
        <v>3788</v>
      </c>
      <c r="B178" s="21" t="s">
        <v>3789</v>
      </c>
      <c r="C178" s="7">
        <v>2</v>
      </c>
      <c r="D178" s="39" t="s">
        <v>3790</v>
      </c>
      <c r="E178" s="7">
        <v>4063</v>
      </c>
      <c r="F178" s="7" t="s">
        <v>3791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3792</v>
      </c>
      <c r="K178" s="8" t="s">
        <v>328</v>
      </c>
      <c r="L178" s="9" t="s">
        <v>2070</v>
      </c>
      <c r="M178" s="10">
        <v>46127</v>
      </c>
      <c r="N178" s="8" t="s">
        <v>328</v>
      </c>
      <c r="O178" s="12"/>
      <c r="P178" s="13"/>
      <c r="Q178" s="14">
        <f>Tabela1[[#This Row],[QTDE/ Fabricação]]-Tabela1[[#This Row],[QTE]]</f>
        <v>-2</v>
      </c>
      <c r="R178" s="18">
        <f t="shared" si="31"/>
        <v>0.52</v>
      </c>
      <c r="S178" s="18">
        <f t="shared" si="27"/>
        <v>0</v>
      </c>
      <c r="T178" s="19">
        <f t="shared" si="32"/>
        <v>-1.04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2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0</v>
      </c>
      <c r="AE178" s="33">
        <v>0</v>
      </c>
      <c r="AF178" s="33">
        <v>0</v>
      </c>
      <c r="AG178" s="33">
        <v>0</v>
      </c>
      <c r="AH178" s="33"/>
      <c r="AI178" s="33" t="str">
        <f t="shared" si="33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4"/>
        <v>0</v>
      </c>
      <c r="AV178" s="37">
        <f t="shared" si="35"/>
        <v>0</v>
      </c>
      <c r="AW178" s="37"/>
    </row>
    <row r="179" spans="1:49" ht="15.75" hidden="1" customHeight="1" x14ac:dyDescent="0.25">
      <c r="A179" s="6" t="s">
        <v>3788</v>
      </c>
      <c r="B179" s="21" t="s">
        <v>3793</v>
      </c>
      <c r="C179" s="7">
        <v>2</v>
      </c>
      <c r="D179" s="39" t="s">
        <v>3790</v>
      </c>
      <c r="E179" s="7">
        <v>4064</v>
      </c>
      <c r="F179" s="7" t="s">
        <v>3791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3792</v>
      </c>
      <c r="K179" s="8" t="s">
        <v>328</v>
      </c>
      <c r="L179" s="9" t="s">
        <v>2070</v>
      </c>
      <c r="M179" s="10">
        <v>46127</v>
      </c>
      <c r="N179" s="8" t="s">
        <v>328</v>
      </c>
      <c r="O179" s="12"/>
      <c r="P179" s="13"/>
      <c r="Q179" s="14">
        <f>Tabela1[[#This Row],[QTDE/ Fabricação]]-Tabela1[[#This Row],[QTE]]</f>
        <v>-2</v>
      </c>
      <c r="R179" s="18">
        <f t="shared" si="31"/>
        <v>0.66</v>
      </c>
      <c r="S179" s="18">
        <f t="shared" si="27"/>
        <v>0</v>
      </c>
      <c r="T179" s="19">
        <f t="shared" si="32"/>
        <v>-1.32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2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0</v>
      </c>
      <c r="AE179" s="33">
        <v>0</v>
      </c>
      <c r="AF179" s="33">
        <v>0</v>
      </c>
      <c r="AG179" s="33">
        <v>0</v>
      </c>
      <c r="AH179" s="33"/>
      <c r="AI179" s="33" t="str">
        <f t="shared" si="33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4"/>
        <v>0</v>
      </c>
      <c r="AV179" s="37">
        <f t="shared" si="35"/>
        <v>0</v>
      </c>
      <c r="AW179" s="37"/>
    </row>
    <row r="180" spans="1:49" ht="15.75" hidden="1" customHeight="1" x14ac:dyDescent="0.25">
      <c r="A180" s="6" t="s">
        <v>3788</v>
      </c>
      <c r="B180" s="21" t="s">
        <v>3794</v>
      </c>
      <c r="C180" s="7">
        <v>4</v>
      </c>
      <c r="D180" s="39" t="s">
        <v>3795</v>
      </c>
      <c r="E180" s="7">
        <v>4065</v>
      </c>
      <c r="F180" s="7" t="s">
        <v>3791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3792</v>
      </c>
      <c r="K180" s="8" t="s">
        <v>328</v>
      </c>
      <c r="L180" s="9" t="s">
        <v>2070</v>
      </c>
      <c r="M180" s="10">
        <v>46127</v>
      </c>
      <c r="N180" s="8" t="s">
        <v>328</v>
      </c>
      <c r="O180" s="12"/>
      <c r="P180" s="13"/>
      <c r="Q180" s="14">
        <f>Tabela1[[#This Row],[QTDE/ Fabricação]]-Tabela1[[#This Row],[QTE]]</f>
        <v>-4</v>
      </c>
      <c r="R180" s="18">
        <f t="shared" si="31"/>
        <v>1.02</v>
      </c>
      <c r="S180" s="18">
        <f t="shared" si="27"/>
        <v>0</v>
      </c>
      <c r="T180" s="19">
        <f t="shared" si="32"/>
        <v>-2.04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2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0</v>
      </c>
      <c r="AE180" s="33">
        <v>0</v>
      </c>
      <c r="AF180" s="33">
        <v>0</v>
      </c>
      <c r="AG180" s="33">
        <v>0</v>
      </c>
      <c r="AH180" s="33"/>
      <c r="AI180" s="33" t="str">
        <f t="shared" si="33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4"/>
        <v>0</v>
      </c>
      <c r="AV180" s="37">
        <f t="shared" si="35"/>
        <v>0</v>
      </c>
      <c r="AW180" s="37"/>
    </row>
    <row r="181" spans="1:49" ht="15.75" hidden="1" customHeight="1" x14ac:dyDescent="0.25">
      <c r="A181" s="6" t="s">
        <v>3788</v>
      </c>
      <c r="B181" s="21" t="s">
        <v>3796</v>
      </c>
      <c r="C181" s="7">
        <v>8</v>
      </c>
      <c r="D181" s="39" t="s">
        <v>3797</v>
      </c>
      <c r="E181" s="7">
        <v>4066</v>
      </c>
      <c r="F181" s="7" t="s">
        <v>3791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3792</v>
      </c>
      <c r="K181" s="8" t="s">
        <v>328</v>
      </c>
      <c r="L181" s="9" t="s">
        <v>2070</v>
      </c>
      <c r="M181" s="10">
        <v>46127</v>
      </c>
      <c r="N181" s="8" t="s">
        <v>328</v>
      </c>
      <c r="O181" s="12"/>
      <c r="P181" s="13"/>
      <c r="Q181" s="14">
        <f>Tabela1[[#This Row],[QTDE/ Fabricação]]-Tabela1[[#This Row],[QTE]]</f>
        <v>-8</v>
      </c>
      <c r="R181" s="18">
        <f t="shared" si="31"/>
        <v>0.2</v>
      </c>
      <c r="S181" s="18">
        <f t="shared" si="27"/>
        <v>0</v>
      </c>
      <c r="T181" s="19">
        <f t="shared" si="32"/>
        <v>-0.4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36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0</v>
      </c>
      <c r="AE181" s="33">
        <v>0</v>
      </c>
      <c r="AF181" s="33">
        <v>0</v>
      </c>
      <c r="AG181" s="33">
        <v>0</v>
      </c>
      <c r="AH181" s="33"/>
      <c r="AI181" s="33" t="str">
        <f t="shared" si="33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4"/>
        <v>0</v>
      </c>
      <c r="AV181" s="37">
        <f t="shared" si="35"/>
        <v>0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3800</v>
      </c>
      <c r="E182" s="7">
        <v>4067</v>
      </c>
      <c r="F182" s="7" t="s">
        <v>3791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3792</v>
      </c>
      <c r="K182" s="8" t="s">
        <v>328</v>
      </c>
      <c r="L182" s="9" t="s">
        <v>2070</v>
      </c>
      <c r="M182" s="10">
        <v>46127</v>
      </c>
      <c r="N182" s="8" t="s">
        <v>328</v>
      </c>
      <c r="O182" s="12"/>
      <c r="P182" s="13"/>
      <c r="Q182" s="14">
        <f>Tabela1[[#This Row],[QTDE/ Fabricação]]-Tabela1[[#This Row],[QTE]]</f>
        <v>-8</v>
      </c>
      <c r="R182" s="18">
        <f t="shared" si="31"/>
        <v>1.28</v>
      </c>
      <c r="S182" s="18">
        <f t="shared" ref="S182:S245" si="37">IFERROR(H182*AG182,"")</f>
        <v>0</v>
      </c>
      <c r="T182" s="19">
        <f t="shared" si="32"/>
        <v>-2.56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36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0</v>
      </c>
      <c r="AE182" s="33">
        <v>0</v>
      </c>
      <c r="AF182" s="33">
        <v>0</v>
      </c>
      <c r="AG182" s="33">
        <v>0</v>
      </c>
      <c r="AH182" s="33"/>
      <c r="AI182" s="33" t="str">
        <f t="shared" si="33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4"/>
        <v>0</v>
      </c>
      <c r="AV182" s="37">
        <f t="shared" si="35"/>
        <v>0</v>
      </c>
      <c r="AW182" s="37"/>
    </row>
    <row r="183" spans="1:49" ht="15.75" hidden="1" customHeight="1" x14ac:dyDescent="0.25">
      <c r="A183" s="6" t="s">
        <v>3801</v>
      </c>
      <c r="B183" s="21" t="s">
        <v>3802</v>
      </c>
      <c r="C183" s="7">
        <v>8</v>
      </c>
      <c r="D183" s="39" t="s">
        <v>3800</v>
      </c>
      <c r="E183" s="7">
        <v>4068</v>
      </c>
      <c r="F183" s="7" t="s">
        <v>3791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3792</v>
      </c>
      <c r="K183" s="8" t="s">
        <v>328</v>
      </c>
      <c r="L183" s="9" t="s">
        <v>2070</v>
      </c>
      <c r="M183" s="10">
        <v>46127</v>
      </c>
      <c r="N183" s="8" t="s">
        <v>328</v>
      </c>
      <c r="O183" s="12"/>
      <c r="P183" s="13"/>
      <c r="Q183" s="14">
        <f>Tabela1[[#This Row],[QTDE/ Fabricação]]-Tabela1[[#This Row],[QTE]]</f>
        <v>-8</v>
      </c>
      <c r="R183" s="18">
        <f t="shared" si="31"/>
        <v>1.56</v>
      </c>
      <c r="S183" s="18">
        <f t="shared" si="37"/>
        <v>0</v>
      </c>
      <c r="T183" s="19">
        <f t="shared" si="32"/>
        <v>-3.12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36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0</v>
      </c>
      <c r="AE183" s="33">
        <v>0</v>
      </c>
      <c r="AF183" s="33">
        <v>0</v>
      </c>
      <c r="AG183" s="33">
        <v>0</v>
      </c>
      <c r="AH183" s="33"/>
      <c r="AI183" s="33" t="str">
        <f t="shared" si="33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34"/>
        <v>0</v>
      </c>
      <c r="AV183" s="37">
        <f t="shared" si="35"/>
        <v>0</v>
      </c>
      <c r="AW183" s="37"/>
    </row>
    <row r="184" spans="1:49" ht="15.75" hidden="1" customHeight="1" x14ac:dyDescent="0.25">
      <c r="A184" s="6" t="s">
        <v>3803</v>
      </c>
      <c r="B184" s="21" t="s">
        <v>2997</v>
      </c>
      <c r="C184" s="7">
        <v>2</v>
      </c>
      <c r="D184" s="39" t="s">
        <v>3790</v>
      </c>
      <c r="E184" s="7">
        <v>4069</v>
      </c>
      <c r="F184" s="7" t="s">
        <v>3791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3792</v>
      </c>
      <c r="K184" s="8" t="s">
        <v>328</v>
      </c>
      <c r="L184" s="9" t="s">
        <v>2070</v>
      </c>
      <c r="M184" s="10">
        <v>46127</v>
      </c>
      <c r="N184" s="8" t="s">
        <v>328</v>
      </c>
      <c r="O184" s="12"/>
      <c r="P184" s="13"/>
      <c r="Q184" s="14">
        <f>Tabela1[[#This Row],[QTDE/ Fabricação]]-Tabela1[[#This Row],[QTE]]</f>
        <v>-2</v>
      </c>
      <c r="R184" s="18">
        <f t="shared" si="31"/>
        <v>0.53</v>
      </c>
      <c r="S184" s="18">
        <f t="shared" si="37"/>
        <v>0</v>
      </c>
      <c r="T184" s="19">
        <f t="shared" si="32"/>
        <v>-1.06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36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0</v>
      </c>
      <c r="AE184" s="33">
        <v>0</v>
      </c>
      <c r="AF184" s="33">
        <v>0</v>
      </c>
      <c r="AG184" s="33">
        <v>0</v>
      </c>
      <c r="AH184" s="33"/>
      <c r="AI184" s="33" t="str">
        <f t="shared" si="33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34"/>
        <v>0</v>
      </c>
      <c r="AV184" s="37">
        <f t="shared" si="35"/>
        <v>0</v>
      </c>
      <c r="AW184" s="37"/>
    </row>
    <row r="185" spans="1:49" ht="15.75" hidden="1" customHeight="1" x14ac:dyDescent="0.25">
      <c r="A185" s="6" t="s">
        <v>3803</v>
      </c>
      <c r="B185" s="21" t="s">
        <v>2998</v>
      </c>
      <c r="C185" s="7">
        <v>2</v>
      </c>
      <c r="D185" s="39" t="s">
        <v>3790</v>
      </c>
      <c r="E185" s="7">
        <v>4070</v>
      </c>
      <c r="F185" s="7" t="s">
        <v>3791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3792</v>
      </c>
      <c r="K185" s="8" t="s">
        <v>328</v>
      </c>
      <c r="L185" s="9" t="s">
        <v>2070</v>
      </c>
      <c r="M185" s="10">
        <v>46127</v>
      </c>
      <c r="N185" s="8" t="s">
        <v>328</v>
      </c>
      <c r="O185" s="12"/>
      <c r="P185" s="13"/>
      <c r="Q185" s="14">
        <f>Tabela1[[#This Row],[QTDE/ Fabricação]]-Tabela1[[#This Row],[QTE]]</f>
        <v>-2</v>
      </c>
      <c r="R185" s="18">
        <f t="shared" si="31"/>
        <v>0.74</v>
      </c>
      <c r="S185" s="18">
        <f t="shared" si="37"/>
        <v>0</v>
      </c>
      <c r="T185" s="19">
        <f t="shared" si="32"/>
        <v>-1.48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36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0</v>
      </c>
      <c r="AE185" s="33">
        <v>0</v>
      </c>
      <c r="AF185" s="33">
        <v>0</v>
      </c>
      <c r="AG185" s="33">
        <v>0</v>
      </c>
      <c r="AH185" s="33"/>
      <c r="AI185" s="33" t="str">
        <f t="shared" si="33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34"/>
        <v>0</v>
      </c>
      <c r="AV185" s="37">
        <f t="shared" si="35"/>
        <v>0</v>
      </c>
      <c r="AW185" s="37"/>
    </row>
    <row r="186" spans="1:49" ht="15.75" hidden="1" customHeight="1" x14ac:dyDescent="0.25">
      <c r="A186" s="6" t="s">
        <v>3803</v>
      </c>
      <c r="B186" s="21" t="s">
        <v>3802</v>
      </c>
      <c r="C186" s="7">
        <v>2</v>
      </c>
      <c r="D186" s="39" t="s">
        <v>3795</v>
      </c>
      <c r="E186" s="7">
        <v>4071</v>
      </c>
      <c r="F186" s="7" t="s">
        <v>3791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3792</v>
      </c>
      <c r="K186" s="8" t="s">
        <v>328</v>
      </c>
      <c r="L186" s="9" t="s">
        <v>2070</v>
      </c>
      <c r="M186" s="10">
        <v>46127</v>
      </c>
      <c r="N186" s="8" t="s">
        <v>328</v>
      </c>
      <c r="O186" s="12"/>
      <c r="P186" s="13"/>
      <c r="Q186" s="14">
        <f>Tabela1[[#This Row],[QTDE/ Fabricação]]-Tabela1[[#This Row],[QTE]]</f>
        <v>-2</v>
      </c>
      <c r="R186" s="18">
        <f t="shared" si="31"/>
        <v>0.51</v>
      </c>
      <c r="S186" s="18">
        <f t="shared" si="37"/>
        <v>0</v>
      </c>
      <c r="T186" s="19">
        <f t="shared" si="32"/>
        <v>-1.02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36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0</v>
      </c>
      <c r="AE186" s="33">
        <v>0</v>
      </c>
      <c r="AF186" s="33">
        <v>0</v>
      </c>
      <c r="AG186" s="33">
        <v>0</v>
      </c>
      <c r="AH186" s="33"/>
      <c r="AI186" s="33" t="str">
        <f t="shared" si="33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34"/>
        <v>0</v>
      </c>
      <c r="AV186" s="37">
        <f t="shared" si="35"/>
        <v>0</v>
      </c>
      <c r="AW186" s="37"/>
    </row>
    <row r="187" spans="1:49" ht="15.75" hidden="1" customHeight="1" x14ac:dyDescent="0.25">
      <c r="A187" s="6" t="s">
        <v>3803</v>
      </c>
      <c r="B187" s="21" t="s">
        <v>3799</v>
      </c>
      <c r="C187" s="7">
        <v>6</v>
      </c>
      <c r="D187" s="39" t="s">
        <v>3797</v>
      </c>
      <c r="E187" s="7">
        <v>4072</v>
      </c>
      <c r="F187" s="7" t="s">
        <v>3791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3792</v>
      </c>
      <c r="K187" s="8" t="s">
        <v>328</v>
      </c>
      <c r="L187" s="9" t="s">
        <v>2070</v>
      </c>
      <c r="M187" s="10">
        <v>46127</v>
      </c>
      <c r="N187" s="8" t="s">
        <v>328</v>
      </c>
      <c r="O187" s="12"/>
      <c r="P187" s="13"/>
      <c r="Q187" s="14">
        <f>Tabela1[[#This Row],[QTDE/ Fabricação]]-Tabela1[[#This Row],[QTE]]</f>
        <v>-6</v>
      </c>
      <c r="R187" s="18">
        <f t="shared" si="31"/>
        <v>0.15000000000000002</v>
      </c>
      <c r="S187" s="18">
        <f t="shared" si="37"/>
        <v>0</v>
      </c>
      <c r="T187" s="19">
        <f t="shared" si="32"/>
        <v>-0.30000000000000004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36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0</v>
      </c>
      <c r="AE187" s="33">
        <v>0</v>
      </c>
      <c r="AF187" s="33">
        <v>0</v>
      </c>
      <c r="AG187" s="33">
        <v>0</v>
      </c>
      <c r="AH187" s="33"/>
      <c r="AI187" s="33" t="str">
        <f t="shared" si="33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4"/>
        <v>0</v>
      </c>
      <c r="AV187" s="37">
        <f t="shared" si="35"/>
        <v>0</v>
      </c>
      <c r="AW187" s="37"/>
    </row>
    <row r="188" spans="1:49" ht="15.75" hidden="1" customHeight="1" x14ac:dyDescent="0.25">
      <c r="A188" s="6" t="s">
        <v>3804</v>
      </c>
      <c r="B188" s="21" t="s">
        <v>3805</v>
      </c>
      <c r="C188" s="7">
        <v>2</v>
      </c>
      <c r="D188" s="39" t="s">
        <v>3806</v>
      </c>
      <c r="E188" s="7">
        <v>4073</v>
      </c>
      <c r="F188" s="7" t="s">
        <v>3791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3792</v>
      </c>
      <c r="K188" s="8" t="s">
        <v>328</v>
      </c>
      <c r="L188" s="9" t="s">
        <v>2070</v>
      </c>
      <c r="M188" s="10">
        <v>46127</v>
      </c>
      <c r="N188" s="8" t="s">
        <v>328</v>
      </c>
      <c r="O188" s="12"/>
      <c r="P188" s="13"/>
      <c r="Q188" s="14">
        <f>Tabela1[[#This Row],[QTDE/ Fabricação]]-Tabela1[[#This Row],[QTE]]</f>
        <v>-2</v>
      </c>
      <c r="R188" s="18">
        <f t="shared" si="31"/>
        <v>323.33999999999997</v>
      </c>
      <c r="S188" s="18">
        <f t="shared" si="37"/>
        <v>323.33999999999997</v>
      </c>
      <c r="T188" s="19">
        <f t="shared" si="32"/>
        <v>0</v>
      </c>
      <c r="U188" s="207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36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3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4"/>
        <v>323.33999999999997</v>
      </c>
      <c r="AV188" s="37">
        <f t="shared" si="35"/>
        <v>323.33999999999997</v>
      </c>
      <c r="AW188" s="37"/>
    </row>
    <row r="189" spans="1:49" ht="15.75" hidden="1" customHeight="1" x14ac:dyDescent="0.25">
      <c r="A189" s="6" t="s">
        <v>3804</v>
      </c>
      <c r="B189" s="21" t="s">
        <v>3807</v>
      </c>
      <c r="C189" s="7">
        <v>2</v>
      </c>
      <c r="D189" s="39" t="s">
        <v>3808</v>
      </c>
      <c r="E189" s="7">
        <v>4074</v>
      </c>
      <c r="F189" s="7" t="s">
        <v>3791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3792</v>
      </c>
      <c r="K189" s="8" t="s">
        <v>328</v>
      </c>
      <c r="L189" s="9" t="s">
        <v>2070</v>
      </c>
      <c r="M189" s="10">
        <v>46127</v>
      </c>
      <c r="N189" s="8" t="s">
        <v>328</v>
      </c>
      <c r="O189" s="12"/>
      <c r="P189" s="13"/>
      <c r="Q189" s="14">
        <f>Tabela1[[#This Row],[QTDE/ Fabricação]]-Tabela1[[#This Row],[QTE]]</f>
        <v>-2</v>
      </c>
      <c r="R189" s="18">
        <f t="shared" si="31"/>
        <v>323.33999999999997</v>
      </c>
      <c r="S189" s="18">
        <f t="shared" si="37"/>
        <v>323.33999999999997</v>
      </c>
      <c r="T189" s="19">
        <f t="shared" si="32"/>
        <v>0</v>
      </c>
      <c r="U189" s="207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36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3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4"/>
        <v>323.33999999999997</v>
      </c>
      <c r="AV189" s="37">
        <f t="shared" si="35"/>
        <v>323.33999999999997</v>
      </c>
      <c r="AW189" s="37"/>
    </row>
    <row r="190" spans="1:49" ht="15.75" hidden="1" customHeight="1" x14ac:dyDescent="0.25">
      <c r="A190" s="6" t="s">
        <v>3804</v>
      </c>
      <c r="B190" s="21" t="s">
        <v>3809</v>
      </c>
      <c r="C190" s="7">
        <v>8</v>
      </c>
      <c r="D190" s="39" t="s">
        <v>3810</v>
      </c>
      <c r="E190" s="7">
        <v>4075</v>
      </c>
      <c r="F190" s="7" t="s">
        <v>3791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3792</v>
      </c>
      <c r="K190" s="8" t="s">
        <v>328</v>
      </c>
      <c r="L190" s="9" t="s">
        <v>2070</v>
      </c>
      <c r="M190" s="10">
        <v>46127</v>
      </c>
      <c r="N190" s="8" t="s">
        <v>328</v>
      </c>
      <c r="O190" s="12"/>
      <c r="P190" s="13"/>
      <c r="Q190" s="14">
        <f>Tabela1[[#This Row],[QTDE/ Fabricação]]-Tabela1[[#This Row],[QTE]]</f>
        <v>-8</v>
      </c>
      <c r="R190" s="18">
        <f t="shared" si="31"/>
        <v>189.44</v>
      </c>
      <c r="S190" s="18">
        <f t="shared" si="37"/>
        <v>189.44</v>
      </c>
      <c r="T190" s="19">
        <f t="shared" si="32"/>
        <v>0</v>
      </c>
      <c r="U190" s="207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36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3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4"/>
        <v>189.44</v>
      </c>
      <c r="AV190" s="37">
        <f t="shared" si="35"/>
        <v>189.44</v>
      </c>
      <c r="AW190" s="37"/>
    </row>
    <row r="191" spans="1:49" ht="15.75" hidden="1" customHeight="1" x14ac:dyDescent="0.25">
      <c r="A191" s="6" t="s">
        <v>3804</v>
      </c>
      <c r="B191" s="21" t="s">
        <v>3811</v>
      </c>
      <c r="C191" s="7">
        <v>2</v>
      </c>
      <c r="D191" s="39" t="s">
        <v>3810</v>
      </c>
      <c r="E191" s="7">
        <v>4076</v>
      </c>
      <c r="F191" s="7" t="s">
        <v>3791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3792</v>
      </c>
      <c r="K191" s="8" t="s">
        <v>328</v>
      </c>
      <c r="L191" s="9" t="s">
        <v>2070</v>
      </c>
      <c r="M191" s="10">
        <v>46127</v>
      </c>
      <c r="N191" s="8" t="s">
        <v>328</v>
      </c>
      <c r="O191" s="12"/>
      <c r="P191" s="13"/>
      <c r="Q191" s="14">
        <f>Tabela1[[#This Row],[QTDE/ Fabricação]]-Tabela1[[#This Row],[QTE]]</f>
        <v>-2</v>
      </c>
      <c r="R191" s="18">
        <f t="shared" si="31"/>
        <v>51.88</v>
      </c>
      <c r="S191" s="18">
        <f t="shared" si="37"/>
        <v>51.88</v>
      </c>
      <c r="T191" s="19">
        <f t="shared" si="32"/>
        <v>0</v>
      </c>
      <c r="U191" s="207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36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3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4"/>
        <v>51.88</v>
      </c>
      <c r="AV191" s="37">
        <f t="shared" si="35"/>
        <v>51.88</v>
      </c>
      <c r="AW191" s="37"/>
    </row>
    <row r="192" spans="1:49" ht="15.75" hidden="1" customHeight="1" x14ac:dyDescent="0.25">
      <c r="A192" s="6" t="s">
        <v>3804</v>
      </c>
      <c r="B192" s="21" t="s">
        <v>3812</v>
      </c>
      <c r="C192" s="7">
        <v>4</v>
      </c>
      <c r="D192" s="39" t="s">
        <v>3810</v>
      </c>
      <c r="E192" s="7">
        <v>4077</v>
      </c>
      <c r="F192" s="7" t="s">
        <v>3791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3792</v>
      </c>
      <c r="K192" s="8" t="s">
        <v>328</v>
      </c>
      <c r="L192" s="9" t="s">
        <v>2070</v>
      </c>
      <c r="M192" s="10">
        <v>46127</v>
      </c>
      <c r="N192" s="8" t="s">
        <v>328</v>
      </c>
      <c r="O192" s="12"/>
      <c r="P192" s="13"/>
      <c r="Q192" s="14">
        <f>Tabela1[[#This Row],[QTDE/ Fabricação]]-Tabela1[[#This Row],[QTE]]</f>
        <v>-4</v>
      </c>
      <c r="R192" s="18">
        <f t="shared" si="31"/>
        <v>133.64000000000001</v>
      </c>
      <c r="S192" s="18">
        <f t="shared" si="37"/>
        <v>133.64000000000001</v>
      </c>
      <c r="T192" s="19">
        <f t="shared" si="32"/>
        <v>0</v>
      </c>
      <c r="U192" s="207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36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3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4"/>
        <v>133.64000000000001</v>
      </c>
      <c r="AV192" s="37">
        <f t="shared" si="35"/>
        <v>133.64000000000001</v>
      </c>
      <c r="AW192" s="37"/>
    </row>
    <row r="193" spans="1:49" ht="15.75" hidden="1" customHeight="1" x14ac:dyDescent="0.25">
      <c r="A193" s="6" t="s">
        <v>3804</v>
      </c>
      <c r="B193" s="21" t="s">
        <v>3813</v>
      </c>
      <c r="C193" s="7">
        <v>2</v>
      </c>
      <c r="D193" s="39" t="s">
        <v>3810</v>
      </c>
      <c r="E193" s="7">
        <v>4078</v>
      </c>
      <c r="F193" s="7" t="s">
        <v>3791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3792</v>
      </c>
      <c r="K193" s="8" t="s">
        <v>328</v>
      </c>
      <c r="L193" s="9" t="s">
        <v>2070</v>
      </c>
      <c r="M193" s="10">
        <v>46127</v>
      </c>
      <c r="N193" s="8" t="s">
        <v>328</v>
      </c>
      <c r="O193" s="12"/>
      <c r="P193" s="13"/>
      <c r="Q193" s="14">
        <f>Tabela1[[#This Row],[QTDE/ Fabricação]]-Tabela1[[#This Row],[QTE]]</f>
        <v>-2</v>
      </c>
      <c r="R193" s="18">
        <f t="shared" si="31"/>
        <v>51.88</v>
      </c>
      <c r="S193" s="18">
        <f t="shared" si="37"/>
        <v>51.88</v>
      </c>
      <c r="T193" s="19">
        <f t="shared" si="32"/>
        <v>0</v>
      </c>
      <c r="U193" s="207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36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3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4"/>
        <v>51.88</v>
      </c>
      <c r="AV193" s="37">
        <f t="shared" si="35"/>
        <v>51.88</v>
      </c>
      <c r="AW193" s="37"/>
    </row>
    <row r="194" spans="1:49" ht="15.75" hidden="1" customHeight="1" x14ac:dyDescent="0.25">
      <c r="A194" s="6" t="s">
        <v>3814</v>
      </c>
      <c r="B194" s="21" t="s">
        <v>3815</v>
      </c>
      <c r="C194" s="7">
        <v>4</v>
      </c>
      <c r="D194" s="39" t="s">
        <v>3816</v>
      </c>
      <c r="E194" s="7">
        <v>4079</v>
      </c>
      <c r="F194" s="7" t="s">
        <v>3791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3792</v>
      </c>
      <c r="K194" s="8" t="s">
        <v>328</v>
      </c>
      <c r="L194" s="9" t="s">
        <v>2070</v>
      </c>
      <c r="M194" s="10">
        <v>46127</v>
      </c>
      <c r="N194" s="8" t="s">
        <v>328</v>
      </c>
      <c r="O194" s="12"/>
      <c r="P194" s="13"/>
      <c r="Q194" s="14">
        <f>Tabela1[[#This Row],[QTDE/ Fabricação]]-Tabela1[[#This Row],[QTE]]</f>
        <v>-4</v>
      </c>
      <c r="R194" s="18">
        <f t="shared" si="31"/>
        <v>195.76</v>
      </c>
      <c r="S194" s="18">
        <f t="shared" si="37"/>
        <v>195.76</v>
      </c>
      <c r="T194" s="19">
        <f t="shared" si="32"/>
        <v>0</v>
      </c>
      <c r="U194" s="207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36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3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4"/>
        <v>195.76</v>
      </c>
      <c r="AV194" s="37">
        <f t="shared" si="35"/>
        <v>195.76</v>
      </c>
      <c r="AW194" s="37"/>
    </row>
    <row r="195" spans="1:49" ht="15.75" hidden="1" customHeight="1" x14ac:dyDescent="0.25">
      <c r="A195" s="6" t="s">
        <v>3814</v>
      </c>
      <c r="B195" s="21" t="s">
        <v>3817</v>
      </c>
      <c r="C195" s="7">
        <v>4</v>
      </c>
      <c r="D195" s="39" t="s">
        <v>3818</v>
      </c>
      <c r="E195" s="7">
        <v>4080</v>
      </c>
      <c r="F195" s="7" t="s">
        <v>3791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3792</v>
      </c>
      <c r="K195" s="8" t="s">
        <v>328</v>
      </c>
      <c r="L195" s="9" t="s">
        <v>2070</v>
      </c>
      <c r="M195" s="10">
        <v>46127</v>
      </c>
      <c r="N195" s="8" t="s">
        <v>328</v>
      </c>
      <c r="O195" s="12"/>
      <c r="P195" s="13"/>
      <c r="Q195" s="14">
        <f>Tabela1[[#This Row],[QTDE/ Fabricação]]-Tabela1[[#This Row],[QTE]]</f>
        <v>-4</v>
      </c>
      <c r="R195" s="18">
        <f t="shared" si="31"/>
        <v>327.64</v>
      </c>
      <c r="S195" s="18">
        <f t="shared" si="37"/>
        <v>327.64</v>
      </c>
      <c r="T195" s="19">
        <f t="shared" si="32"/>
        <v>0</v>
      </c>
      <c r="U195" s="207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36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3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4"/>
        <v>327.64</v>
      </c>
      <c r="AV195" s="37">
        <f t="shared" si="35"/>
        <v>327.64</v>
      </c>
      <c r="AW195" s="37"/>
    </row>
    <row r="196" spans="1:49" ht="15.75" hidden="1" customHeight="1" x14ac:dyDescent="0.25">
      <c r="A196" s="6" t="s">
        <v>3814</v>
      </c>
      <c r="B196" s="21" t="s">
        <v>3819</v>
      </c>
      <c r="C196" s="7">
        <v>4</v>
      </c>
      <c r="D196" s="39" t="s">
        <v>3820</v>
      </c>
      <c r="E196" s="7">
        <v>4081</v>
      </c>
      <c r="F196" s="7" t="s">
        <v>3791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3792</v>
      </c>
      <c r="K196" s="8" t="s">
        <v>328</v>
      </c>
      <c r="L196" s="9" t="s">
        <v>2070</v>
      </c>
      <c r="M196" s="10">
        <v>46127</v>
      </c>
      <c r="N196" s="8" t="s">
        <v>328</v>
      </c>
      <c r="O196" s="12"/>
      <c r="P196" s="13"/>
      <c r="Q196" s="14">
        <f>Tabela1[[#This Row],[QTDE/ Fabricação]]-Tabela1[[#This Row],[QTE]]</f>
        <v>-4</v>
      </c>
      <c r="R196" s="18">
        <f t="shared" si="31"/>
        <v>186.12</v>
      </c>
      <c r="S196" s="18">
        <f t="shared" si="37"/>
        <v>186.12</v>
      </c>
      <c r="T196" s="19">
        <f t="shared" si="32"/>
        <v>0</v>
      </c>
      <c r="U196" s="207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36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3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4"/>
        <v>186.12</v>
      </c>
      <c r="AV196" s="37">
        <f t="shared" si="35"/>
        <v>186.12</v>
      </c>
      <c r="AW196" s="37"/>
    </row>
    <row r="197" spans="1:49" ht="15.75" hidden="1" customHeight="1" x14ac:dyDescent="0.25">
      <c r="A197" s="6" t="s">
        <v>3814</v>
      </c>
      <c r="B197" s="21" t="s">
        <v>3821</v>
      </c>
      <c r="C197" s="7">
        <v>4</v>
      </c>
      <c r="D197" s="39" t="s">
        <v>3822</v>
      </c>
      <c r="E197" s="7">
        <v>4082</v>
      </c>
      <c r="F197" s="7" t="s">
        <v>3791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3792</v>
      </c>
      <c r="K197" s="8" t="s">
        <v>328</v>
      </c>
      <c r="L197" s="9" t="s">
        <v>2070</v>
      </c>
      <c r="M197" s="10">
        <v>46127</v>
      </c>
      <c r="N197" s="8" t="s">
        <v>328</v>
      </c>
      <c r="O197" s="12"/>
      <c r="P197" s="13"/>
      <c r="Q197" s="14">
        <f>Tabela1[[#This Row],[QTDE/ Fabricação]]-Tabela1[[#This Row],[QTE]]</f>
        <v>-4</v>
      </c>
      <c r="R197" s="18">
        <f t="shared" si="31"/>
        <v>199.48</v>
      </c>
      <c r="S197" s="18">
        <f t="shared" si="37"/>
        <v>0</v>
      </c>
      <c r="T197" s="19">
        <f t="shared" si="32"/>
        <v>-199.48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36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0</v>
      </c>
      <c r="AH197" s="33"/>
      <c r="AI197" s="33" t="str">
        <f t="shared" si="33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38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199.48</v>
      </c>
      <c r="AT197" s="37">
        <f>IF(AG197="",0,IF(ISTEXT(AG197),H197*VALUE(SUBSTITUTE(AG197,"%",""))/100,H197*AG197))-Tabela1[[#This Row],[PESO EXPEDIDO2]]</f>
        <v>0</v>
      </c>
      <c r="AU197" s="37">
        <f t="shared" si="34"/>
        <v>0</v>
      </c>
      <c r="AV197" s="37">
        <f t="shared" si="35"/>
        <v>0</v>
      </c>
      <c r="AW197" s="37"/>
    </row>
    <row r="198" spans="1:49" ht="15.75" hidden="1" customHeight="1" x14ac:dyDescent="0.25">
      <c r="A198" s="6" t="s">
        <v>3823</v>
      </c>
      <c r="B198" s="21" t="s">
        <v>3824</v>
      </c>
      <c r="C198" s="7">
        <v>2</v>
      </c>
      <c r="D198" s="39" t="s">
        <v>3806</v>
      </c>
      <c r="E198" s="7">
        <v>4083</v>
      </c>
      <c r="F198" s="7" t="s">
        <v>3791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3792</v>
      </c>
      <c r="K198" s="8" t="s">
        <v>328</v>
      </c>
      <c r="L198" s="9" t="s">
        <v>2070</v>
      </c>
      <c r="M198" s="10">
        <v>46127</v>
      </c>
      <c r="N198" s="8" t="s">
        <v>328</v>
      </c>
      <c r="O198" s="12"/>
      <c r="P198" s="13"/>
      <c r="Q198" s="14">
        <f>Tabela1[[#This Row],[QTDE/ Fabricação]]-Tabela1[[#This Row],[QTE]]</f>
        <v>-2</v>
      </c>
      <c r="R198" s="18">
        <f t="shared" si="31"/>
        <v>318.5</v>
      </c>
      <c r="S198" s="18">
        <f t="shared" si="37"/>
        <v>318.5</v>
      </c>
      <c r="T198" s="19">
        <f t="shared" si="32"/>
        <v>0</v>
      </c>
      <c r="U198" s="207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36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3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38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4"/>
        <v>318.5</v>
      </c>
      <c r="AV198" s="37">
        <f t="shared" si="35"/>
        <v>318.5</v>
      </c>
      <c r="AW198" s="37"/>
    </row>
    <row r="199" spans="1:49" ht="15.75" hidden="1" customHeight="1" x14ac:dyDescent="0.25">
      <c r="A199" s="6" t="s">
        <v>3823</v>
      </c>
      <c r="B199" s="21" t="s">
        <v>3825</v>
      </c>
      <c r="C199" s="7">
        <v>2</v>
      </c>
      <c r="D199" s="39" t="s">
        <v>3808</v>
      </c>
      <c r="E199" s="7">
        <v>4084</v>
      </c>
      <c r="F199" s="7" t="s">
        <v>3791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3792</v>
      </c>
      <c r="K199" s="8" t="s">
        <v>328</v>
      </c>
      <c r="L199" s="9" t="s">
        <v>2070</v>
      </c>
      <c r="M199" s="10">
        <v>46127</v>
      </c>
      <c r="N199" s="8" t="s">
        <v>328</v>
      </c>
      <c r="O199" s="12"/>
      <c r="P199" s="13"/>
      <c r="Q199" s="14">
        <f>Tabela1[[#This Row],[QTDE/ Fabricação]]-Tabela1[[#This Row],[QTE]]</f>
        <v>-2</v>
      </c>
      <c r="R199" s="18">
        <f t="shared" si="31"/>
        <v>318.5</v>
      </c>
      <c r="S199" s="18">
        <f t="shared" si="37"/>
        <v>318.5</v>
      </c>
      <c r="T199" s="19">
        <f t="shared" si="32"/>
        <v>0</v>
      </c>
      <c r="U199" s="207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36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3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38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4"/>
        <v>318.5</v>
      </c>
      <c r="AV199" s="37">
        <f t="shared" si="35"/>
        <v>318.5</v>
      </c>
      <c r="AW199" s="37"/>
    </row>
    <row r="200" spans="1:49" ht="15.75" hidden="1" customHeight="1" x14ac:dyDescent="0.25">
      <c r="A200" s="6" t="s">
        <v>3823</v>
      </c>
      <c r="B200" s="21" t="s">
        <v>3826</v>
      </c>
      <c r="C200" s="7">
        <v>2</v>
      </c>
      <c r="D200" s="39" t="s">
        <v>3810</v>
      </c>
      <c r="E200" s="7">
        <v>4085</v>
      </c>
      <c r="F200" s="7" t="s">
        <v>3791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3792</v>
      </c>
      <c r="K200" s="8" t="s">
        <v>328</v>
      </c>
      <c r="L200" s="9" t="s">
        <v>2070</v>
      </c>
      <c r="M200" s="10">
        <v>46127</v>
      </c>
      <c r="N200" s="8" t="s">
        <v>328</v>
      </c>
      <c r="O200" s="12"/>
      <c r="P200" s="13"/>
      <c r="Q200" s="14">
        <f>Tabela1[[#This Row],[QTDE/ Fabricação]]-Tabela1[[#This Row],[QTE]]</f>
        <v>-2</v>
      </c>
      <c r="R200" s="18">
        <f t="shared" si="31"/>
        <v>66.819999999999993</v>
      </c>
      <c r="S200" s="18">
        <f t="shared" si="37"/>
        <v>66.819999999999993</v>
      </c>
      <c r="T200" s="19">
        <f t="shared" si="32"/>
        <v>0</v>
      </c>
      <c r="U200" s="207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36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3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38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4"/>
        <v>66.819999999999993</v>
      </c>
      <c r="AV200" s="37">
        <f t="shared" si="35"/>
        <v>66.819999999999993</v>
      </c>
      <c r="AW200" s="37"/>
    </row>
    <row r="201" spans="1:49" ht="15.75" hidden="1" customHeight="1" x14ac:dyDescent="0.25">
      <c r="A201" s="6" t="s">
        <v>3823</v>
      </c>
      <c r="B201" s="21" t="s">
        <v>3827</v>
      </c>
      <c r="C201" s="7">
        <v>2</v>
      </c>
      <c r="D201" s="39" t="s">
        <v>3810</v>
      </c>
      <c r="E201" s="7">
        <v>4086</v>
      </c>
      <c r="F201" s="7" t="s">
        <v>3791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3792</v>
      </c>
      <c r="K201" s="8" t="s">
        <v>328</v>
      </c>
      <c r="L201" s="9" t="s">
        <v>2070</v>
      </c>
      <c r="M201" s="10">
        <v>46127</v>
      </c>
      <c r="N201" s="8" t="s">
        <v>328</v>
      </c>
      <c r="O201" s="12"/>
      <c r="P201" s="13"/>
      <c r="Q201" s="14">
        <f>Tabela1[[#This Row],[QTDE/ Fabricação]]-Tabela1[[#This Row],[QTE]]</f>
        <v>-2</v>
      </c>
      <c r="R201" s="18">
        <f t="shared" si="31"/>
        <v>47.36</v>
      </c>
      <c r="S201" s="18">
        <f t="shared" si="37"/>
        <v>47.36</v>
      </c>
      <c r="T201" s="19">
        <f t="shared" si="32"/>
        <v>0</v>
      </c>
      <c r="U201" s="207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36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3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38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4"/>
        <v>47.36</v>
      </c>
      <c r="AV201" s="37">
        <f t="shared" si="35"/>
        <v>47.36</v>
      </c>
      <c r="AW201" s="37"/>
    </row>
    <row r="202" spans="1:49" ht="15.75" hidden="1" customHeight="1" x14ac:dyDescent="0.25">
      <c r="A202" s="6" t="s">
        <v>3823</v>
      </c>
      <c r="B202" s="21" t="s">
        <v>3828</v>
      </c>
      <c r="C202" s="7">
        <v>6</v>
      </c>
      <c r="D202" s="39" t="s">
        <v>3810</v>
      </c>
      <c r="E202" s="7">
        <v>4087</v>
      </c>
      <c r="F202" s="7" t="s">
        <v>3791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3792</v>
      </c>
      <c r="K202" s="8" t="s">
        <v>328</v>
      </c>
      <c r="L202" s="9" t="s">
        <v>2070</v>
      </c>
      <c r="M202" s="10">
        <v>46127</v>
      </c>
      <c r="N202" s="8" t="s">
        <v>328</v>
      </c>
      <c r="O202" s="12"/>
      <c r="P202" s="13"/>
      <c r="Q202" s="14">
        <f>Tabela1[[#This Row],[QTDE/ Fabricação]]-Tabela1[[#This Row],[QTE]]</f>
        <v>-6</v>
      </c>
      <c r="R202" s="18">
        <f t="shared" si="31"/>
        <v>142.07999999999998</v>
      </c>
      <c r="S202" s="18">
        <f t="shared" si="37"/>
        <v>142.07999999999998</v>
      </c>
      <c r="T202" s="19">
        <f t="shared" si="32"/>
        <v>0</v>
      </c>
      <c r="U202" s="207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36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3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38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4"/>
        <v>142.07999999999998</v>
      </c>
      <c r="AV202" s="37">
        <f t="shared" si="35"/>
        <v>142.07999999999998</v>
      </c>
      <c r="AW202" s="37"/>
    </row>
    <row r="203" spans="1:49" ht="15.75" hidden="1" customHeight="1" x14ac:dyDescent="0.25">
      <c r="A203" s="6" t="s">
        <v>3823</v>
      </c>
      <c r="B203" s="21" t="s">
        <v>3829</v>
      </c>
      <c r="C203" s="7">
        <v>4</v>
      </c>
      <c r="D203" s="39" t="s">
        <v>3810</v>
      </c>
      <c r="E203" s="7">
        <v>4088</v>
      </c>
      <c r="F203" s="7" t="s">
        <v>3791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3792</v>
      </c>
      <c r="K203" s="8" t="s">
        <v>328</v>
      </c>
      <c r="L203" s="9" t="s">
        <v>2070</v>
      </c>
      <c r="M203" s="10">
        <v>46127</v>
      </c>
      <c r="N203" s="8" t="s">
        <v>328</v>
      </c>
      <c r="O203" s="12"/>
      <c r="P203" s="13"/>
      <c r="Q203" s="14">
        <f>Tabela1[[#This Row],[QTDE/ Fabricação]]-Tabela1[[#This Row],[QTE]]</f>
        <v>-4</v>
      </c>
      <c r="R203" s="18">
        <f t="shared" si="31"/>
        <v>103.76</v>
      </c>
      <c r="S203" s="18">
        <f t="shared" si="37"/>
        <v>103.76</v>
      </c>
      <c r="T203" s="19">
        <f t="shared" si="32"/>
        <v>0</v>
      </c>
      <c r="U203" s="207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36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3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38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4"/>
        <v>103.76</v>
      </c>
      <c r="AV203" s="37">
        <f t="shared" si="35"/>
        <v>103.76</v>
      </c>
      <c r="AW203" s="37"/>
    </row>
    <row r="204" spans="1:49" ht="15.75" hidden="1" customHeight="1" x14ac:dyDescent="0.25">
      <c r="A204" s="6" t="s">
        <v>3830</v>
      </c>
      <c r="B204" s="21" t="s">
        <v>3831</v>
      </c>
      <c r="C204" s="7">
        <v>4</v>
      </c>
      <c r="D204" s="39" t="s">
        <v>3816</v>
      </c>
      <c r="E204" s="7">
        <v>4089</v>
      </c>
      <c r="F204" s="7" t="s">
        <v>3791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3792</v>
      </c>
      <c r="K204" s="8" t="s">
        <v>328</v>
      </c>
      <c r="L204" s="9" t="s">
        <v>2070</v>
      </c>
      <c r="M204" s="10">
        <v>46127</v>
      </c>
      <c r="N204" s="8" t="s">
        <v>328</v>
      </c>
      <c r="O204" s="12"/>
      <c r="P204" s="13"/>
      <c r="Q204" s="14">
        <f>Tabela1[[#This Row],[QTDE/ Fabricação]]-Tabela1[[#This Row],[QTE]]</f>
        <v>-4</v>
      </c>
      <c r="R204" s="18">
        <f t="shared" si="31"/>
        <v>308</v>
      </c>
      <c r="S204" s="18">
        <f t="shared" si="37"/>
        <v>308</v>
      </c>
      <c r="T204" s="19">
        <f t="shared" si="32"/>
        <v>0</v>
      </c>
      <c r="U204" s="207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36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3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38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4"/>
        <v>308</v>
      </c>
      <c r="AV204" s="37">
        <f t="shared" si="35"/>
        <v>308</v>
      </c>
      <c r="AW204" s="37"/>
    </row>
    <row r="205" spans="1:49" ht="15.75" hidden="1" customHeight="1" x14ac:dyDescent="0.25">
      <c r="A205" s="6" t="s">
        <v>3830</v>
      </c>
      <c r="B205" s="21" t="s">
        <v>3832</v>
      </c>
      <c r="C205" s="7">
        <v>4</v>
      </c>
      <c r="D205" s="39" t="s">
        <v>3818</v>
      </c>
      <c r="E205" s="7">
        <v>4090</v>
      </c>
      <c r="F205" s="7" t="s">
        <v>3791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3792</v>
      </c>
      <c r="K205" s="8" t="s">
        <v>328</v>
      </c>
      <c r="L205" s="9" t="s">
        <v>2070</v>
      </c>
      <c r="M205" s="10">
        <v>46127</v>
      </c>
      <c r="N205" s="8" t="s">
        <v>328</v>
      </c>
      <c r="O205" s="12"/>
      <c r="P205" s="13"/>
      <c r="Q205" s="14">
        <f>Tabela1[[#This Row],[QTDE/ Fabricação]]-Tabela1[[#This Row],[QTE]]</f>
        <v>-4</v>
      </c>
      <c r="R205" s="18">
        <f t="shared" si="31"/>
        <v>340</v>
      </c>
      <c r="S205" s="18">
        <f t="shared" si="37"/>
        <v>340</v>
      </c>
      <c r="T205" s="19">
        <f t="shared" si="32"/>
        <v>0</v>
      </c>
      <c r="U205" s="207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36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3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38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4"/>
        <v>340</v>
      </c>
      <c r="AV205" s="37">
        <f t="shared" si="35"/>
        <v>340</v>
      </c>
      <c r="AW205" s="37"/>
    </row>
    <row r="206" spans="1:49" ht="15.75" hidden="1" customHeight="1" x14ac:dyDescent="0.25">
      <c r="A206" s="6" t="s">
        <v>3830</v>
      </c>
      <c r="B206" s="21" t="s">
        <v>3833</v>
      </c>
      <c r="C206" s="7">
        <v>4</v>
      </c>
      <c r="D206" s="39" t="s">
        <v>3820</v>
      </c>
      <c r="E206" s="7">
        <v>4091</v>
      </c>
      <c r="F206" s="7" t="s">
        <v>3791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3792</v>
      </c>
      <c r="K206" s="8" t="s">
        <v>328</v>
      </c>
      <c r="L206" s="9" t="s">
        <v>2070</v>
      </c>
      <c r="M206" s="10">
        <v>46127</v>
      </c>
      <c r="N206" s="8" t="s">
        <v>328</v>
      </c>
      <c r="O206" s="12"/>
      <c r="P206" s="13"/>
      <c r="Q206" s="14">
        <f>Tabela1[[#This Row],[QTDE/ Fabricação]]-Tabela1[[#This Row],[QTE]]</f>
        <v>-4</v>
      </c>
      <c r="R206" s="18">
        <f t="shared" si="31"/>
        <v>200</v>
      </c>
      <c r="S206" s="18">
        <f t="shared" si="37"/>
        <v>0</v>
      </c>
      <c r="T206" s="19">
        <f t="shared" si="32"/>
        <v>-200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36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0</v>
      </c>
      <c r="AH206" s="33"/>
      <c r="AI206" s="33" t="str">
        <f t="shared" si="33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38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200</v>
      </c>
      <c r="AT206" s="37">
        <f>IF(AG206="",0,IF(ISTEXT(AG206),H206*VALUE(SUBSTITUTE(AG206,"%",""))/100,H206*AG206))-Tabela1[[#This Row],[PESO EXPEDIDO2]]</f>
        <v>0</v>
      </c>
      <c r="AU206" s="37">
        <f t="shared" si="34"/>
        <v>0</v>
      </c>
      <c r="AV206" s="37">
        <f t="shared" si="35"/>
        <v>0</v>
      </c>
      <c r="AW206" s="37"/>
    </row>
    <row r="207" spans="1:49" ht="15.75" hidden="1" customHeight="1" x14ac:dyDescent="0.25">
      <c r="A207" s="6" t="s">
        <v>3834</v>
      </c>
      <c r="B207" s="21" t="s">
        <v>3835</v>
      </c>
      <c r="C207" s="7">
        <v>2</v>
      </c>
      <c r="D207" s="39" t="s">
        <v>3816</v>
      </c>
      <c r="E207" s="7">
        <v>4092</v>
      </c>
      <c r="F207" s="7" t="s">
        <v>3791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3792</v>
      </c>
      <c r="K207" s="8" t="s">
        <v>328</v>
      </c>
      <c r="L207" s="9" t="s">
        <v>2070</v>
      </c>
      <c r="M207" s="10">
        <v>46127</v>
      </c>
      <c r="N207" s="8" t="s">
        <v>328</v>
      </c>
      <c r="O207" s="12"/>
      <c r="P207" s="13"/>
      <c r="Q207" s="14">
        <f>Tabela1[[#This Row],[QTDE/ Fabricação]]-Tabela1[[#This Row],[QTE]]</f>
        <v>-2</v>
      </c>
      <c r="R207" s="18">
        <f t="shared" si="31"/>
        <v>163.36000000000001</v>
      </c>
      <c r="S207" s="18">
        <f t="shared" si="37"/>
        <v>163.36000000000001</v>
      </c>
      <c r="T207" s="19">
        <f t="shared" si="32"/>
        <v>0</v>
      </c>
      <c r="U207" s="207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36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3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38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4"/>
        <v>163.36000000000001</v>
      </c>
      <c r="AV207" s="37">
        <f t="shared" si="35"/>
        <v>163.36000000000001</v>
      </c>
      <c r="AW207" s="37"/>
    </row>
    <row r="208" spans="1:49" ht="15.75" hidden="1" customHeight="1" x14ac:dyDescent="0.25">
      <c r="A208" s="6" t="s">
        <v>3834</v>
      </c>
      <c r="B208" s="21" t="s">
        <v>3836</v>
      </c>
      <c r="C208" s="7">
        <v>2</v>
      </c>
      <c r="D208" s="39" t="s">
        <v>3818</v>
      </c>
      <c r="E208" s="7">
        <v>4093</v>
      </c>
      <c r="F208" s="7" t="s">
        <v>3791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3792</v>
      </c>
      <c r="K208" s="8" t="s">
        <v>328</v>
      </c>
      <c r="L208" s="9" t="s">
        <v>2070</v>
      </c>
      <c r="M208" s="10">
        <v>46127</v>
      </c>
      <c r="N208" s="8" t="s">
        <v>328</v>
      </c>
      <c r="O208" s="12"/>
      <c r="P208" s="13"/>
      <c r="Q208" s="14">
        <f>Tabela1[[#This Row],[QTDE/ Fabricação]]-Tabela1[[#This Row],[QTE]]</f>
        <v>-2</v>
      </c>
      <c r="R208" s="18">
        <f t="shared" si="31"/>
        <v>166.34</v>
      </c>
      <c r="S208" s="18">
        <f t="shared" si="37"/>
        <v>166.34</v>
      </c>
      <c r="T208" s="19">
        <f t="shared" si="32"/>
        <v>0</v>
      </c>
      <c r="U208" s="207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36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3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38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4"/>
        <v>166.34</v>
      </c>
      <c r="AV208" s="37">
        <f t="shared" si="35"/>
        <v>166.34</v>
      </c>
      <c r="AW208" s="37"/>
    </row>
    <row r="209" spans="1:49" ht="15.75" hidden="1" customHeight="1" x14ac:dyDescent="0.25">
      <c r="A209" s="6" t="s">
        <v>3834</v>
      </c>
      <c r="B209" s="21" t="s">
        <v>3837</v>
      </c>
      <c r="C209" s="7">
        <v>2</v>
      </c>
      <c r="D209" s="39" t="s">
        <v>3820</v>
      </c>
      <c r="E209" s="7">
        <v>4094</v>
      </c>
      <c r="F209" s="7" t="s">
        <v>3791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3792</v>
      </c>
      <c r="K209" s="8" t="s">
        <v>328</v>
      </c>
      <c r="L209" s="9" t="s">
        <v>2070</v>
      </c>
      <c r="M209" s="10">
        <v>46127</v>
      </c>
      <c r="N209" s="8" t="s">
        <v>328</v>
      </c>
      <c r="O209" s="12"/>
      <c r="P209" s="13"/>
      <c r="Q209" s="14">
        <f>Tabela1[[#This Row],[QTDE/ Fabricação]]-Tabela1[[#This Row],[QTE]]</f>
        <v>-2</v>
      </c>
      <c r="R209" s="18">
        <f t="shared" si="31"/>
        <v>230.2</v>
      </c>
      <c r="S209" s="18">
        <f t="shared" si="37"/>
        <v>230.2</v>
      </c>
      <c r="T209" s="19">
        <f t="shared" si="32"/>
        <v>0</v>
      </c>
      <c r="U209" s="207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36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3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38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4"/>
        <v>230.2</v>
      </c>
      <c r="AV209" s="37">
        <f t="shared" si="35"/>
        <v>230.2</v>
      </c>
      <c r="AW209" s="37"/>
    </row>
    <row r="210" spans="1:49" ht="15.75" hidden="1" customHeight="1" x14ac:dyDescent="0.25">
      <c r="A210" s="6" t="s">
        <v>3834</v>
      </c>
      <c r="B210" s="21" t="s">
        <v>3838</v>
      </c>
      <c r="C210" s="7">
        <v>2</v>
      </c>
      <c r="D210" s="39" t="s">
        <v>3822</v>
      </c>
      <c r="E210" s="7">
        <v>4095</v>
      </c>
      <c r="F210" s="7" t="s">
        <v>3791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3792</v>
      </c>
      <c r="K210" s="8" t="s">
        <v>328</v>
      </c>
      <c r="L210" s="9" t="s">
        <v>2070</v>
      </c>
      <c r="M210" s="10">
        <v>46127</v>
      </c>
      <c r="N210" s="8" t="s">
        <v>328</v>
      </c>
      <c r="O210" s="12"/>
      <c r="P210" s="13"/>
      <c r="Q210" s="14">
        <f>Tabela1[[#This Row],[QTDE/ Fabricação]]-Tabela1[[#This Row],[QTE]]</f>
        <v>-2</v>
      </c>
      <c r="R210" s="18">
        <f t="shared" si="31"/>
        <v>88.64</v>
      </c>
      <c r="S210" s="18">
        <f t="shared" si="37"/>
        <v>88.64</v>
      </c>
      <c r="T210" s="19">
        <f t="shared" si="32"/>
        <v>0</v>
      </c>
      <c r="U210" s="207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36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3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38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4"/>
        <v>88.64</v>
      </c>
      <c r="AV210" s="37">
        <f t="shared" si="35"/>
        <v>88.64</v>
      </c>
      <c r="AW210" s="37"/>
    </row>
    <row r="211" spans="1:49" ht="15.75" hidden="1" customHeight="1" x14ac:dyDescent="0.25">
      <c r="A211" s="6" t="s">
        <v>3839</v>
      </c>
      <c r="B211" s="21" t="s">
        <v>3840</v>
      </c>
      <c r="C211" s="7">
        <v>2</v>
      </c>
      <c r="D211" s="39" t="s">
        <v>3816</v>
      </c>
      <c r="E211" s="7">
        <v>4096</v>
      </c>
      <c r="F211" s="7" t="s">
        <v>3791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3792</v>
      </c>
      <c r="K211" s="8" t="s">
        <v>328</v>
      </c>
      <c r="L211" s="9" t="s">
        <v>2070</v>
      </c>
      <c r="M211" s="10">
        <v>46127</v>
      </c>
      <c r="N211" s="8" t="s">
        <v>328</v>
      </c>
      <c r="O211" s="12"/>
      <c r="P211" s="13"/>
      <c r="Q211" s="14">
        <f>Tabela1[[#This Row],[QTDE/ Fabricação]]-Tabela1[[#This Row],[QTE]]</f>
        <v>-2</v>
      </c>
      <c r="R211" s="18">
        <f t="shared" si="31"/>
        <v>203.5</v>
      </c>
      <c r="S211" s="18">
        <f t="shared" si="37"/>
        <v>203.5</v>
      </c>
      <c r="T211" s="19">
        <f t="shared" si="32"/>
        <v>0</v>
      </c>
      <c r="U211" s="207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36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3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38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4"/>
        <v>203.5</v>
      </c>
      <c r="AV211" s="37">
        <f t="shared" si="35"/>
        <v>203.5</v>
      </c>
      <c r="AW211" s="37"/>
    </row>
    <row r="212" spans="1:49" ht="15.75" hidden="1" customHeight="1" x14ac:dyDescent="0.25">
      <c r="A212" s="6" t="s">
        <v>3839</v>
      </c>
      <c r="B212" s="21" t="s">
        <v>3841</v>
      </c>
      <c r="C212" s="7">
        <v>4</v>
      </c>
      <c r="D212" s="39" t="s">
        <v>3818</v>
      </c>
      <c r="E212" s="7">
        <v>4097</v>
      </c>
      <c r="F212" s="7" t="s">
        <v>3791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3792</v>
      </c>
      <c r="K212" s="8" t="s">
        <v>328</v>
      </c>
      <c r="L212" s="9" t="s">
        <v>2070</v>
      </c>
      <c r="M212" s="10">
        <v>46127</v>
      </c>
      <c r="N212" s="8" t="s">
        <v>328</v>
      </c>
      <c r="O212" s="12"/>
      <c r="P212" s="13"/>
      <c r="Q212" s="14">
        <f>Tabela1[[#This Row],[QTDE/ Fabricação]]-Tabela1[[#This Row],[QTE]]</f>
        <v>-4</v>
      </c>
      <c r="R212" s="18">
        <f t="shared" si="31"/>
        <v>125.56</v>
      </c>
      <c r="S212" s="18">
        <f t="shared" si="37"/>
        <v>125.56</v>
      </c>
      <c r="T212" s="19">
        <f t="shared" si="32"/>
        <v>0</v>
      </c>
      <c r="U212" s="207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36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3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38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4"/>
        <v>125.56</v>
      </c>
      <c r="AV212" s="37">
        <f t="shared" si="35"/>
        <v>125.56</v>
      </c>
      <c r="AW212" s="37"/>
    </row>
    <row r="213" spans="1:49" ht="15.75" hidden="1" customHeight="1" x14ac:dyDescent="0.25">
      <c r="A213" s="6" t="s">
        <v>3839</v>
      </c>
      <c r="B213" s="21" t="s">
        <v>3842</v>
      </c>
      <c r="C213" s="7">
        <v>2</v>
      </c>
      <c r="D213" s="39" t="s">
        <v>3820</v>
      </c>
      <c r="E213" s="7">
        <v>4098</v>
      </c>
      <c r="F213" s="7" t="s">
        <v>3791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3792</v>
      </c>
      <c r="K213" s="8" t="s">
        <v>328</v>
      </c>
      <c r="L213" s="9" t="s">
        <v>2070</v>
      </c>
      <c r="M213" s="10">
        <v>46127</v>
      </c>
      <c r="N213" s="8" t="s">
        <v>328</v>
      </c>
      <c r="O213" s="12"/>
      <c r="P213" s="13"/>
      <c r="Q213" s="14">
        <f>Tabela1[[#This Row],[QTDE/ Fabricação]]-Tabela1[[#This Row],[QTE]]</f>
        <v>-2</v>
      </c>
      <c r="R213" s="18">
        <f t="shared" si="31"/>
        <v>124.24</v>
      </c>
      <c r="S213" s="18">
        <f t="shared" si="37"/>
        <v>124.24</v>
      </c>
      <c r="T213" s="19">
        <f t="shared" si="32"/>
        <v>0</v>
      </c>
      <c r="U213" s="207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36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3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38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4"/>
        <v>124.24</v>
      </c>
      <c r="AV213" s="37">
        <f t="shared" si="35"/>
        <v>124.24</v>
      </c>
      <c r="AW213" s="37"/>
    </row>
    <row r="214" spans="1:49" ht="15.75" hidden="1" customHeight="1" x14ac:dyDescent="0.25">
      <c r="A214" s="6" t="s">
        <v>3839</v>
      </c>
      <c r="B214" s="21" t="s">
        <v>3843</v>
      </c>
      <c r="C214" s="7">
        <v>2</v>
      </c>
      <c r="D214" s="39" t="s">
        <v>3822</v>
      </c>
      <c r="E214" s="7">
        <v>4099</v>
      </c>
      <c r="F214" s="7" t="s">
        <v>3791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3792</v>
      </c>
      <c r="K214" s="8" t="s">
        <v>328</v>
      </c>
      <c r="L214" s="9" t="s">
        <v>2070</v>
      </c>
      <c r="M214" s="10">
        <v>46127</v>
      </c>
      <c r="N214" s="8" t="s">
        <v>328</v>
      </c>
      <c r="O214" s="12"/>
      <c r="P214" s="13"/>
      <c r="Q214" s="14">
        <f>Tabela1[[#This Row],[QTDE/ Fabricação]]-Tabela1[[#This Row],[QTE]]</f>
        <v>-2</v>
      </c>
      <c r="R214" s="18">
        <f t="shared" si="31"/>
        <v>81.64</v>
      </c>
      <c r="S214" s="18">
        <f t="shared" si="37"/>
        <v>81.64</v>
      </c>
      <c r="T214" s="19">
        <f t="shared" si="32"/>
        <v>0</v>
      </c>
      <c r="U214" s="207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36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3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38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4"/>
        <v>81.64</v>
      </c>
      <c r="AV214" s="37">
        <f t="shared" si="35"/>
        <v>81.64</v>
      </c>
      <c r="AW214" s="37"/>
    </row>
    <row r="215" spans="1:49" ht="15.75" hidden="1" customHeight="1" x14ac:dyDescent="0.25">
      <c r="A215" s="6" t="s">
        <v>3844</v>
      </c>
      <c r="B215" s="21" t="s">
        <v>3845</v>
      </c>
      <c r="C215" s="7">
        <v>2</v>
      </c>
      <c r="D215" s="39" t="s">
        <v>3846</v>
      </c>
      <c r="E215" s="7">
        <v>4100</v>
      </c>
      <c r="F215" s="7" t="s">
        <v>3791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3792</v>
      </c>
      <c r="K215" s="8" t="s">
        <v>328</v>
      </c>
      <c r="L215" s="9" t="s">
        <v>2070</v>
      </c>
      <c r="M215" s="10">
        <v>46127</v>
      </c>
      <c r="N215" s="8" t="s">
        <v>328</v>
      </c>
      <c r="O215" s="12"/>
      <c r="P215" s="13"/>
      <c r="Q215" s="14">
        <f>Tabela1[[#This Row],[QTDE/ Fabricação]]-Tabela1[[#This Row],[QTE]]</f>
        <v>-2</v>
      </c>
      <c r="R215" s="18">
        <f t="shared" si="31"/>
        <v>78.760000000000005</v>
      </c>
      <c r="S215" s="18">
        <f t="shared" si="37"/>
        <v>78.760000000000005</v>
      </c>
      <c r="T215" s="19">
        <f t="shared" si="32"/>
        <v>0</v>
      </c>
      <c r="U215" s="207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36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3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38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4"/>
        <v>78.760000000000005</v>
      </c>
      <c r="AV215" s="37">
        <f t="shared" si="35"/>
        <v>78.760000000000005</v>
      </c>
      <c r="AW215" s="37"/>
    </row>
    <row r="216" spans="1:49" ht="15.75" hidden="1" customHeight="1" x14ac:dyDescent="0.25">
      <c r="A216" s="6" t="s">
        <v>3844</v>
      </c>
      <c r="B216" s="21" t="s">
        <v>3847</v>
      </c>
      <c r="C216" s="7">
        <v>4</v>
      </c>
      <c r="D216" s="39" t="s">
        <v>3848</v>
      </c>
      <c r="E216" s="7">
        <v>4101</v>
      </c>
      <c r="F216" s="7" t="s">
        <v>3791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3792</v>
      </c>
      <c r="K216" s="8" t="s">
        <v>328</v>
      </c>
      <c r="L216" s="9" t="s">
        <v>2070</v>
      </c>
      <c r="M216" s="10">
        <v>46127</v>
      </c>
      <c r="N216" s="8" t="s">
        <v>328</v>
      </c>
      <c r="O216" s="12"/>
      <c r="P216" s="13"/>
      <c r="Q216" s="14">
        <f>Tabela1[[#This Row],[QTDE/ Fabricação]]-Tabela1[[#This Row],[QTE]]</f>
        <v>-4</v>
      </c>
      <c r="R216" s="18">
        <f t="shared" si="31"/>
        <v>159.12</v>
      </c>
      <c r="S216" s="18">
        <f t="shared" si="37"/>
        <v>159.12</v>
      </c>
      <c r="T216" s="19">
        <f t="shared" si="32"/>
        <v>0</v>
      </c>
      <c r="U216" s="207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36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3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38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4"/>
        <v>159.12</v>
      </c>
      <c r="AV216" s="37">
        <f t="shared" si="35"/>
        <v>159.12</v>
      </c>
      <c r="AW216" s="37"/>
    </row>
    <row r="217" spans="1:49" ht="15.75" hidden="1" customHeight="1" x14ac:dyDescent="0.25">
      <c r="A217" s="6" t="s">
        <v>3844</v>
      </c>
      <c r="B217" s="21" t="s">
        <v>3849</v>
      </c>
      <c r="C217" s="7">
        <v>4</v>
      </c>
      <c r="D217" s="39" t="s">
        <v>3850</v>
      </c>
      <c r="E217" s="7">
        <v>4102</v>
      </c>
      <c r="F217" s="7" t="s">
        <v>3791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3792</v>
      </c>
      <c r="K217" s="8" t="s">
        <v>328</v>
      </c>
      <c r="L217" s="9" t="s">
        <v>2070</v>
      </c>
      <c r="M217" s="10">
        <v>46127</v>
      </c>
      <c r="N217" s="8" t="s">
        <v>328</v>
      </c>
      <c r="O217" s="12"/>
      <c r="P217" s="13"/>
      <c r="Q217" s="14">
        <f>Tabela1[[#This Row],[QTDE/ Fabricação]]-Tabela1[[#This Row],[QTE]]</f>
        <v>-4</v>
      </c>
      <c r="R217" s="18">
        <f t="shared" si="31"/>
        <v>539.91999999999996</v>
      </c>
      <c r="S217" s="18">
        <f t="shared" si="37"/>
        <v>539.91999999999996</v>
      </c>
      <c r="T217" s="19">
        <f t="shared" si="32"/>
        <v>0</v>
      </c>
      <c r="U217" s="207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36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3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38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4"/>
        <v>539.91999999999996</v>
      </c>
      <c r="AV217" s="37">
        <f t="shared" si="35"/>
        <v>539.91999999999996</v>
      </c>
      <c r="AW217" s="37"/>
    </row>
    <row r="218" spans="1:49" ht="15.75" hidden="1" customHeight="1" x14ac:dyDescent="0.25">
      <c r="A218" s="6" t="s">
        <v>3851</v>
      </c>
      <c r="B218" s="21" t="s">
        <v>3852</v>
      </c>
      <c r="C218" s="7">
        <v>4</v>
      </c>
      <c r="D218" s="39" t="s">
        <v>3816</v>
      </c>
      <c r="E218" s="7">
        <v>4103</v>
      </c>
      <c r="F218" s="7" t="s">
        <v>3791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3792</v>
      </c>
      <c r="K218" s="8" t="s">
        <v>328</v>
      </c>
      <c r="L218" s="9" t="s">
        <v>2070</v>
      </c>
      <c r="M218" s="10">
        <v>46127</v>
      </c>
      <c r="N218" s="8" t="s">
        <v>328</v>
      </c>
      <c r="O218" s="12"/>
      <c r="P218" s="13"/>
      <c r="Q218" s="14">
        <f>Tabela1[[#This Row],[QTDE/ Fabricação]]-Tabela1[[#This Row],[QTE]]</f>
        <v>-4</v>
      </c>
      <c r="R218" s="18">
        <f t="shared" ref="R218:R281" si="39">IFERROR(H218*((AA218*0.25)+(AC218*0.25)+(AD218*0.225)+(AE218*0.225)+(AF218*0.05)),"")</f>
        <v>189.88</v>
      </c>
      <c r="S218" s="18">
        <f t="shared" si="37"/>
        <v>189.88</v>
      </c>
      <c r="T218" s="19">
        <f t="shared" ref="T218:T281" si="40">IFERROR(S218-H218,"")</f>
        <v>0</v>
      </c>
      <c r="U218" s="207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36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3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38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4"/>
        <v>189.88</v>
      </c>
      <c r="AV218" s="37">
        <f t="shared" si="35"/>
        <v>189.88</v>
      </c>
      <c r="AW218" s="37"/>
    </row>
    <row r="219" spans="1:49" ht="15.75" hidden="1" customHeight="1" x14ac:dyDescent="0.25">
      <c r="A219" s="6" t="s">
        <v>3851</v>
      </c>
      <c r="B219" s="21" t="s">
        <v>3853</v>
      </c>
      <c r="C219" s="7">
        <v>2</v>
      </c>
      <c r="D219" s="39" t="s">
        <v>3818</v>
      </c>
      <c r="E219" s="7">
        <v>4104</v>
      </c>
      <c r="F219" s="7" t="s">
        <v>3791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3792</v>
      </c>
      <c r="K219" s="8" t="s">
        <v>328</v>
      </c>
      <c r="L219" s="9" t="s">
        <v>2070</v>
      </c>
      <c r="M219" s="10">
        <v>46127</v>
      </c>
      <c r="N219" s="8" t="s">
        <v>328</v>
      </c>
      <c r="O219" s="12"/>
      <c r="P219" s="13"/>
      <c r="Q219" s="14">
        <f>Tabela1[[#This Row],[QTDE/ Fabricação]]-Tabela1[[#This Row],[QTE]]</f>
        <v>-2</v>
      </c>
      <c r="R219" s="18">
        <f t="shared" si="39"/>
        <v>101.64</v>
      </c>
      <c r="S219" s="18">
        <f t="shared" si="37"/>
        <v>101.64</v>
      </c>
      <c r="T219" s="19">
        <f t="shared" si="40"/>
        <v>0</v>
      </c>
      <c r="U219" s="207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36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3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38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4"/>
        <v>101.64</v>
      </c>
      <c r="AV219" s="37">
        <f t="shared" si="35"/>
        <v>101.64</v>
      </c>
      <c r="AW219" s="37"/>
    </row>
    <row r="220" spans="1:49" ht="15.75" hidden="1" customHeight="1" x14ac:dyDescent="0.25">
      <c r="A220" s="6" t="s">
        <v>3851</v>
      </c>
      <c r="B220" s="21" t="s">
        <v>3854</v>
      </c>
      <c r="C220" s="7">
        <v>2</v>
      </c>
      <c r="D220" s="39" t="s">
        <v>3820</v>
      </c>
      <c r="E220" s="7">
        <v>4105</v>
      </c>
      <c r="F220" s="7" t="s">
        <v>3791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3792</v>
      </c>
      <c r="K220" s="8" t="s">
        <v>328</v>
      </c>
      <c r="L220" s="9" t="s">
        <v>2070</v>
      </c>
      <c r="M220" s="10">
        <v>46127</v>
      </c>
      <c r="N220" s="8" t="s">
        <v>328</v>
      </c>
      <c r="O220" s="12"/>
      <c r="P220" s="13"/>
      <c r="Q220" s="14">
        <f>Tabela1[[#This Row],[QTDE/ Fabricação]]-Tabela1[[#This Row],[QTE]]</f>
        <v>-2</v>
      </c>
      <c r="R220" s="18">
        <f t="shared" si="39"/>
        <v>111.62</v>
      </c>
      <c r="S220" s="18">
        <f t="shared" si="37"/>
        <v>111.62</v>
      </c>
      <c r="T220" s="19">
        <f t="shared" si="40"/>
        <v>0</v>
      </c>
      <c r="U220" s="207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36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1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38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4"/>
        <v>111.62</v>
      </c>
      <c r="AV220" s="37">
        <f t="shared" si="35"/>
        <v>111.62</v>
      </c>
      <c r="AW220" s="37"/>
    </row>
    <row r="221" spans="1:49" ht="15.75" hidden="1" customHeight="1" x14ac:dyDescent="0.25">
      <c r="A221" s="6" t="s">
        <v>3851</v>
      </c>
      <c r="B221" s="21" t="s">
        <v>3855</v>
      </c>
      <c r="C221" s="7">
        <v>2</v>
      </c>
      <c r="D221" s="39" t="s">
        <v>3822</v>
      </c>
      <c r="E221" s="7">
        <v>4106</v>
      </c>
      <c r="F221" s="7" t="s">
        <v>3791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3792</v>
      </c>
      <c r="K221" s="8" t="s">
        <v>328</v>
      </c>
      <c r="L221" s="9" t="s">
        <v>2070</v>
      </c>
      <c r="M221" s="10">
        <v>46127</v>
      </c>
      <c r="N221" s="8" t="s">
        <v>328</v>
      </c>
      <c r="O221" s="12"/>
      <c r="P221" s="13"/>
      <c r="Q221" s="14">
        <f>Tabela1[[#This Row],[QTDE/ Fabricação]]-Tabela1[[#This Row],[QTE]]</f>
        <v>-2</v>
      </c>
      <c r="R221" s="18">
        <f t="shared" si="39"/>
        <v>156.66</v>
      </c>
      <c r="S221" s="18">
        <f t="shared" si="37"/>
        <v>156.66</v>
      </c>
      <c r="T221" s="19">
        <f t="shared" si="40"/>
        <v>0</v>
      </c>
      <c r="U221" s="207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36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1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38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4"/>
        <v>156.66</v>
      </c>
      <c r="AV221" s="37">
        <f t="shared" si="35"/>
        <v>156.66</v>
      </c>
      <c r="AW221" s="37"/>
    </row>
    <row r="222" spans="1:49" ht="15.75" hidden="1" customHeight="1" x14ac:dyDescent="0.25">
      <c r="A222" s="6" t="s">
        <v>3851</v>
      </c>
      <c r="B222" s="21" t="s">
        <v>3856</v>
      </c>
      <c r="C222" s="7">
        <v>2</v>
      </c>
      <c r="D222" s="39" t="s">
        <v>3846</v>
      </c>
      <c r="E222" s="7">
        <v>4107</v>
      </c>
      <c r="F222" s="7" t="s">
        <v>3791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3792</v>
      </c>
      <c r="K222" s="8" t="s">
        <v>328</v>
      </c>
      <c r="L222" s="9" t="s">
        <v>2070</v>
      </c>
      <c r="M222" s="10">
        <v>46127</v>
      </c>
      <c r="N222" s="8" t="s">
        <v>328</v>
      </c>
      <c r="O222" s="12"/>
      <c r="P222" s="13"/>
      <c r="Q222" s="14">
        <f>Tabela1[[#This Row],[QTDE/ Fabricação]]-Tabela1[[#This Row],[QTE]]</f>
        <v>-2</v>
      </c>
      <c r="R222" s="18">
        <f t="shared" si="39"/>
        <v>151.04</v>
      </c>
      <c r="S222" s="18">
        <f t="shared" si="37"/>
        <v>151.04</v>
      </c>
      <c r="T222" s="19">
        <f t="shared" si="40"/>
        <v>0</v>
      </c>
      <c r="U222" s="207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36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1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38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4"/>
        <v>151.04</v>
      </c>
      <c r="AV222" s="37">
        <f t="shared" si="35"/>
        <v>151.04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3859</v>
      </c>
      <c r="E223" s="7">
        <v>4108</v>
      </c>
      <c r="F223" s="7" t="s">
        <v>3791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3792</v>
      </c>
      <c r="K223" s="8" t="s">
        <v>328</v>
      </c>
      <c r="L223" s="9" t="s">
        <v>2070</v>
      </c>
      <c r="M223" s="10">
        <v>46153</v>
      </c>
      <c r="N223" s="8" t="s">
        <v>328</v>
      </c>
      <c r="O223" s="12"/>
      <c r="P223" s="13"/>
      <c r="Q223" s="14">
        <f>Tabela1[[#This Row],[QTDE/ Fabricação]]-Tabela1[[#This Row],[QTE]]</f>
        <v>-2</v>
      </c>
      <c r="R223" s="18">
        <f t="shared" si="39"/>
        <v>350.08</v>
      </c>
      <c r="S223" s="18">
        <f t="shared" si="37"/>
        <v>0</v>
      </c>
      <c r="T223" s="19">
        <f t="shared" si="40"/>
        <v>-350.08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36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0</v>
      </c>
      <c r="AH223" s="33"/>
      <c r="AI223" s="33" t="str">
        <f t="shared" si="41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38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350.08</v>
      </c>
      <c r="AT223" s="37">
        <f>IF(AG223="",0,IF(ISTEXT(AG223),H223*VALUE(SUBSTITUTE(AG223,"%",""))/100,H223*AG223))-Tabela1[[#This Row],[PESO EXPEDIDO2]]</f>
        <v>0</v>
      </c>
      <c r="AU223" s="37">
        <f t="shared" si="34"/>
        <v>0</v>
      </c>
      <c r="AV223" s="37">
        <f t="shared" si="35"/>
        <v>0</v>
      </c>
      <c r="AW223" s="37"/>
    </row>
    <row r="224" spans="1:49" ht="15.75" hidden="1" customHeight="1" x14ac:dyDescent="0.25">
      <c r="A224" s="6" t="s">
        <v>3860</v>
      </c>
      <c r="B224" s="21" t="s">
        <v>3861</v>
      </c>
      <c r="C224" s="7">
        <v>2</v>
      </c>
      <c r="D224" s="39" t="s">
        <v>3806</v>
      </c>
      <c r="E224" s="7">
        <v>4109</v>
      </c>
      <c r="F224" s="7" t="s">
        <v>3791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3792</v>
      </c>
      <c r="K224" s="8" t="s">
        <v>328</v>
      </c>
      <c r="L224" s="9" t="s">
        <v>2070</v>
      </c>
      <c r="M224" s="10">
        <v>46127</v>
      </c>
      <c r="N224" s="8" t="s">
        <v>328</v>
      </c>
      <c r="O224" s="12"/>
      <c r="P224" s="13"/>
      <c r="Q224" s="14">
        <f>Tabela1[[#This Row],[QTDE/ Fabricação]]-Tabela1[[#This Row],[QTE]]</f>
        <v>-2</v>
      </c>
      <c r="R224" s="18">
        <f t="shared" si="39"/>
        <v>304.44</v>
      </c>
      <c r="S224" s="18">
        <f t="shared" si="37"/>
        <v>304.44</v>
      </c>
      <c r="T224" s="19">
        <f t="shared" si="40"/>
        <v>0</v>
      </c>
      <c r="U224" s="207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36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1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38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4"/>
        <v>304.44</v>
      </c>
      <c r="AV224" s="37">
        <f t="shared" si="35"/>
        <v>304.44</v>
      </c>
      <c r="AW224" s="37"/>
    </row>
    <row r="225" spans="1:49" ht="15.75" hidden="1" customHeight="1" x14ac:dyDescent="0.25">
      <c r="A225" s="6" t="s">
        <v>3860</v>
      </c>
      <c r="B225" s="21" t="s">
        <v>3862</v>
      </c>
      <c r="C225" s="7">
        <v>2</v>
      </c>
      <c r="D225" s="39" t="s">
        <v>3808</v>
      </c>
      <c r="E225" s="7">
        <v>4110</v>
      </c>
      <c r="F225" s="7" t="s">
        <v>3791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3792</v>
      </c>
      <c r="K225" s="8" t="s">
        <v>328</v>
      </c>
      <c r="L225" s="9" t="s">
        <v>2070</v>
      </c>
      <c r="M225" s="10">
        <v>46127</v>
      </c>
      <c r="N225" s="8" t="s">
        <v>328</v>
      </c>
      <c r="O225" s="12"/>
      <c r="P225" s="13"/>
      <c r="Q225" s="14">
        <f>Tabela1[[#This Row],[QTDE/ Fabricação]]-Tabela1[[#This Row],[QTE]]</f>
        <v>-2</v>
      </c>
      <c r="R225" s="18">
        <f t="shared" si="39"/>
        <v>304.44</v>
      </c>
      <c r="S225" s="18">
        <f t="shared" si="37"/>
        <v>304.44</v>
      </c>
      <c r="T225" s="19">
        <f t="shared" si="40"/>
        <v>0</v>
      </c>
      <c r="U225" s="207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36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1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38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4"/>
        <v>304.44</v>
      </c>
      <c r="AV225" s="37">
        <f t="shared" si="35"/>
        <v>304.44</v>
      </c>
      <c r="AW225" s="37"/>
    </row>
    <row r="226" spans="1:49" ht="15.75" hidden="1" customHeight="1" x14ac:dyDescent="0.25">
      <c r="A226" s="6" t="s">
        <v>3860</v>
      </c>
      <c r="B226" s="21" t="s">
        <v>3863</v>
      </c>
      <c r="C226" s="7">
        <v>10</v>
      </c>
      <c r="D226" s="39" t="s">
        <v>3810</v>
      </c>
      <c r="E226" s="7">
        <v>4111</v>
      </c>
      <c r="F226" s="7" t="s">
        <v>3791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3792</v>
      </c>
      <c r="K226" s="8" t="s">
        <v>328</v>
      </c>
      <c r="L226" s="9" t="s">
        <v>2070</v>
      </c>
      <c r="M226" s="10">
        <v>46127</v>
      </c>
      <c r="N226" s="8" t="s">
        <v>328</v>
      </c>
      <c r="O226" s="12"/>
      <c r="P226" s="13"/>
      <c r="Q226" s="14">
        <f>Tabela1[[#This Row],[QTDE/ Fabricação]]-Tabela1[[#This Row],[QTE]]</f>
        <v>-10</v>
      </c>
      <c r="R226" s="18">
        <f t="shared" si="39"/>
        <v>279</v>
      </c>
      <c r="S226" s="18">
        <f t="shared" si="37"/>
        <v>279</v>
      </c>
      <c r="T226" s="19">
        <f t="shared" si="40"/>
        <v>0</v>
      </c>
      <c r="U226" s="207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36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1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38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4"/>
        <v>279</v>
      </c>
      <c r="AV226" s="37">
        <f t="shared" si="35"/>
        <v>279</v>
      </c>
      <c r="AW226" s="37"/>
    </row>
    <row r="227" spans="1:49" ht="15.75" hidden="1" customHeight="1" x14ac:dyDescent="0.25">
      <c r="A227" s="6" t="s">
        <v>3860</v>
      </c>
      <c r="B227" s="21" t="s">
        <v>3864</v>
      </c>
      <c r="C227" s="7">
        <v>2</v>
      </c>
      <c r="D227" s="39" t="s">
        <v>3810</v>
      </c>
      <c r="E227" s="7">
        <v>4112</v>
      </c>
      <c r="F227" s="7" t="s">
        <v>3791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3792</v>
      </c>
      <c r="K227" s="8" t="s">
        <v>328</v>
      </c>
      <c r="L227" s="9" t="s">
        <v>2070</v>
      </c>
      <c r="M227" s="10">
        <v>46127</v>
      </c>
      <c r="N227" s="8" t="s">
        <v>328</v>
      </c>
      <c r="O227" s="12"/>
      <c r="P227" s="13"/>
      <c r="Q227" s="14">
        <f>Tabela1[[#This Row],[QTDE/ Fabricação]]-Tabela1[[#This Row],[QTE]]</f>
        <v>-2</v>
      </c>
      <c r="R227" s="18">
        <f t="shared" si="39"/>
        <v>50.04</v>
      </c>
      <c r="S227" s="18">
        <f t="shared" si="37"/>
        <v>50.04</v>
      </c>
      <c r="T227" s="19">
        <f t="shared" si="40"/>
        <v>0</v>
      </c>
      <c r="U227" s="207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36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1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38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4"/>
        <v>50.04</v>
      </c>
      <c r="AV227" s="37">
        <f t="shared" si="35"/>
        <v>50.04</v>
      </c>
      <c r="AW227" s="37"/>
    </row>
    <row r="228" spans="1:49" ht="15.75" hidden="1" customHeight="1" x14ac:dyDescent="0.25">
      <c r="A228" s="6" t="s">
        <v>3860</v>
      </c>
      <c r="B228" s="21" t="s">
        <v>3865</v>
      </c>
      <c r="C228" s="7">
        <v>2</v>
      </c>
      <c r="D228" s="39" t="s">
        <v>3810</v>
      </c>
      <c r="E228" s="7">
        <v>4113</v>
      </c>
      <c r="F228" s="7" t="s">
        <v>3791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3792</v>
      </c>
      <c r="K228" s="8" t="s">
        <v>328</v>
      </c>
      <c r="L228" s="9" t="s">
        <v>2070</v>
      </c>
      <c r="M228" s="10">
        <v>46127</v>
      </c>
      <c r="N228" s="8" t="s">
        <v>328</v>
      </c>
      <c r="O228" s="12"/>
      <c r="P228" s="13"/>
      <c r="Q228" s="14">
        <f>Tabela1[[#This Row],[QTDE/ Fabricação]]-Tabela1[[#This Row],[QTE]]</f>
        <v>-2</v>
      </c>
      <c r="R228" s="18">
        <f t="shared" si="39"/>
        <v>47.36</v>
      </c>
      <c r="S228" s="18">
        <f t="shared" si="37"/>
        <v>47.36</v>
      </c>
      <c r="T228" s="19">
        <f t="shared" si="40"/>
        <v>0</v>
      </c>
      <c r="U228" s="207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36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1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38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4"/>
        <v>47.36</v>
      </c>
      <c r="AV228" s="37">
        <f t="shared" si="35"/>
        <v>47.36</v>
      </c>
      <c r="AW228" s="37"/>
    </row>
    <row r="229" spans="1:49" ht="15.75" hidden="1" customHeight="1" x14ac:dyDescent="0.25">
      <c r="A229" s="6" t="s">
        <v>3866</v>
      </c>
      <c r="B229" s="21" t="s">
        <v>3867</v>
      </c>
      <c r="C229" s="7">
        <v>2</v>
      </c>
      <c r="D229" s="39" t="s">
        <v>3806</v>
      </c>
      <c r="E229" s="7">
        <v>4114</v>
      </c>
      <c r="F229" s="7" t="s">
        <v>3791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3792</v>
      </c>
      <c r="K229" s="8" t="s">
        <v>328</v>
      </c>
      <c r="L229" s="9" t="s">
        <v>2070</v>
      </c>
      <c r="M229" s="10">
        <v>46127</v>
      </c>
      <c r="N229" s="8" t="s">
        <v>328</v>
      </c>
      <c r="O229" s="12"/>
      <c r="P229" s="13"/>
      <c r="Q229" s="14">
        <f>Tabela1[[#This Row],[QTDE/ Fabricação]]-Tabela1[[#This Row],[QTE]]</f>
        <v>-2</v>
      </c>
      <c r="R229" s="18">
        <f t="shared" si="39"/>
        <v>245.96</v>
      </c>
      <c r="S229" s="18">
        <f t="shared" si="37"/>
        <v>245.96</v>
      </c>
      <c r="T229" s="19">
        <f t="shared" si="40"/>
        <v>0</v>
      </c>
      <c r="U229" s="207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36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1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38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2">IF(AH229="",0,IF(ISTEXT(AH229),H229*VALUE(SUBSTITUTE(AH229,"%",""))/100,H229*AH229))</f>
        <v>245.96</v>
      </c>
      <c r="AV229" s="37">
        <f t="shared" ref="AV229:AV292" si="43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3866</v>
      </c>
      <c r="B230" s="21" t="s">
        <v>3868</v>
      </c>
      <c r="C230" s="7">
        <v>2</v>
      </c>
      <c r="D230" s="39" t="s">
        <v>3808</v>
      </c>
      <c r="E230" s="7">
        <v>4115</v>
      </c>
      <c r="F230" s="7" t="s">
        <v>3791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3792</v>
      </c>
      <c r="K230" s="8" t="s">
        <v>328</v>
      </c>
      <c r="L230" s="9" t="s">
        <v>2070</v>
      </c>
      <c r="M230" s="10">
        <v>46127</v>
      </c>
      <c r="N230" s="8" t="s">
        <v>328</v>
      </c>
      <c r="O230" s="12"/>
      <c r="P230" s="13"/>
      <c r="Q230" s="14">
        <f>Tabela1[[#This Row],[QTDE/ Fabricação]]-Tabela1[[#This Row],[QTE]]</f>
        <v>-2</v>
      </c>
      <c r="R230" s="18">
        <f t="shared" si="39"/>
        <v>245.96</v>
      </c>
      <c r="S230" s="18">
        <f t="shared" si="37"/>
        <v>245.96</v>
      </c>
      <c r="T230" s="19">
        <f t="shared" si="40"/>
        <v>0</v>
      </c>
      <c r="U230" s="207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36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1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38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2"/>
        <v>245.96</v>
      </c>
      <c r="AV230" s="37">
        <f t="shared" si="43"/>
        <v>245.96</v>
      </c>
      <c r="AW230" s="37"/>
    </row>
    <row r="231" spans="1:49" ht="15.75" hidden="1" customHeight="1" x14ac:dyDescent="0.25">
      <c r="A231" s="6" t="s">
        <v>3866</v>
      </c>
      <c r="B231" s="21" t="s">
        <v>3869</v>
      </c>
      <c r="C231" s="7">
        <v>2</v>
      </c>
      <c r="D231" s="39" t="s">
        <v>3810</v>
      </c>
      <c r="E231" s="7">
        <v>4116</v>
      </c>
      <c r="F231" s="7" t="s">
        <v>3791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3792</v>
      </c>
      <c r="K231" s="8" t="s">
        <v>328</v>
      </c>
      <c r="L231" s="9" t="s">
        <v>2070</v>
      </c>
      <c r="M231" s="10">
        <v>46127</v>
      </c>
      <c r="N231" s="8" t="s">
        <v>328</v>
      </c>
      <c r="O231" s="12"/>
      <c r="P231" s="13"/>
      <c r="Q231" s="14">
        <f>Tabela1[[#This Row],[QTDE/ Fabricação]]-Tabela1[[#This Row],[QTE]]</f>
        <v>-2</v>
      </c>
      <c r="R231" s="18">
        <f t="shared" si="39"/>
        <v>68.8</v>
      </c>
      <c r="S231" s="18">
        <f t="shared" si="37"/>
        <v>68.8</v>
      </c>
      <c r="T231" s="19">
        <f t="shared" si="40"/>
        <v>0</v>
      </c>
      <c r="U231" s="207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36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1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38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2"/>
        <v>68.8</v>
      </c>
      <c r="AV231" s="37">
        <f t="shared" si="43"/>
        <v>68.8</v>
      </c>
      <c r="AW231" s="37"/>
    </row>
    <row r="232" spans="1:49" ht="15.75" hidden="1" customHeight="1" x14ac:dyDescent="0.25">
      <c r="A232" s="6" t="s">
        <v>3866</v>
      </c>
      <c r="B232" s="21" t="s">
        <v>3870</v>
      </c>
      <c r="C232" s="7">
        <v>2</v>
      </c>
      <c r="D232" s="39" t="s">
        <v>3810</v>
      </c>
      <c r="E232" s="7">
        <v>4117</v>
      </c>
      <c r="F232" s="7" t="s">
        <v>3791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3792</v>
      </c>
      <c r="K232" s="8" t="s">
        <v>328</v>
      </c>
      <c r="L232" s="9" t="s">
        <v>2070</v>
      </c>
      <c r="M232" s="10">
        <v>46127</v>
      </c>
      <c r="N232" s="8" t="s">
        <v>328</v>
      </c>
      <c r="O232" s="12"/>
      <c r="P232" s="13"/>
      <c r="Q232" s="14">
        <f>Tabela1[[#This Row],[QTDE/ Fabricação]]-Tabela1[[#This Row],[QTE]]</f>
        <v>-2</v>
      </c>
      <c r="R232" s="18">
        <f t="shared" si="39"/>
        <v>68.739999999999995</v>
      </c>
      <c r="S232" s="18">
        <f t="shared" si="37"/>
        <v>68.739999999999995</v>
      </c>
      <c r="T232" s="19">
        <f t="shared" si="40"/>
        <v>0</v>
      </c>
      <c r="U232" s="207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36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1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38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2"/>
        <v>68.739999999999995</v>
      </c>
      <c r="AV232" s="37">
        <f t="shared" si="43"/>
        <v>68.739999999999995</v>
      </c>
      <c r="AW232" s="37"/>
    </row>
    <row r="233" spans="1:49" ht="15.75" hidden="1" customHeight="1" x14ac:dyDescent="0.25">
      <c r="A233" s="6" t="s">
        <v>3866</v>
      </c>
      <c r="B233" s="21" t="s">
        <v>3871</v>
      </c>
      <c r="C233" s="7">
        <v>2</v>
      </c>
      <c r="D233" s="39" t="s">
        <v>3810</v>
      </c>
      <c r="E233" s="7">
        <v>4118</v>
      </c>
      <c r="F233" s="7" t="s">
        <v>3791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3792</v>
      </c>
      <c r="K233" s="8" t="s">
        <v>328</v>
      </c>
      <c r="L233" s="9" t="s">
        <v>2070</v>
      </c>
      <c r="M233" s="10">
        <v>46127</v>
      </c>
      <c r="N233" s="8" t="s">
        <v>328</v>
      </c>
      <c r="O233" s="12"/>
      <c r="P233" s="13"/>
      <c r="Q233" s="14">
        <f>Tabela1[[#This Row],[QTDE/ Fabricação]]-Tabela1[[#This Row],[QTE]]</f>
        <v>-2</v>
      </c>
      <c r="R233" s="18">
        <f t="shared" si="39"/>
        <v>68.739999999999995</v>
      </c>
      <c r="S233" s="18">
        <f t="shared" si="37"/>
        <v>68.739999999999995</v>
      </c>
      <c r="T233" s="19">
        <f t="shared" si="40"/>
        <v>0</v>
      </c>
      <c r="U233" s="207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36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1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38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2"/>
        <v>68.739999999999995</v>
      </c>
      <c r="AV233" s="37">
        <f t="shared" si="43"/>
        <v>68.739999999999995</v>
      </c>
      <c r="AW233" s="37"/>
    </row>
    <row r="234" spans="1:49" ht="15.75" hidden="1" customHeight="1" x14ac:dyDescent="0.25">
      <c r="A234" s="6" t="s">
        <v>3866</v>
      </c>
      <c r="B234" s="21" t="s">
        <v>3872</v>
      </c>
      <c r="C234" s="7">
        <v>2</v>
      </c>
      <c r="D234" s="39" t="s">
        <v>3810</v>
      </c>
      <c r="E234" s="7">
        <v>4119</v>
      </c>
      <c r="F234" s="7" t="s">
        <v>3791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3792</v>
      </c>
      <c r="K234" s="8" t="s">
        <v>328</v>
      </c>
      <c r="L234" s="9" t="s">
        <v>2070</v>
      </c>
      <c r="M234" s="10">
        <v>46127</v>
      </c>
      <c r="N234" s="8" t="s">
        <v>328</v>
      </c>
      <c r="O234" s="12"/>
      <c r="P234" s="13"/>
      <c r="Q234" s="14">
        <f>Tabela1[[#This Row],[QTDE/ Fabricação]]-Tabela1[[#This Row],[QTE]]</f>
        <v>-2</v>
      </c>
      <c r="R234" s="18">
        <f t="shared" si="39"/>
        <v>54.02</v>
      </c>
      <c r="S234" s="18">
        <f t="shared" si="37"/>
        <v>54.02</v>
      </c>
      <c r="T234" s="19">
        <f t="shared" si="40"/>
        <v>0</v>
      </c>
      <c r="U234" s="207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36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1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38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2"/>
        <v>54.02</v>
      </c>
      <c r="AV234" s="37">
        <f t="shared" si="43"/>
        <v>54.02</v>
      </c>
      <c r="AW234" s="37"/>
    </row>
    <row r="235" spans="1:49" ht="15.75" hidden="1" customHeight="1" x14ac:dyDescent="0.25">
      <c r="A235" s="6" t="s">
        <v>3866</v>
      </c>
      <c r="B235" s="21" t="s">
        <v>3873</v>
      </c>
      <c r="C235" s="7">
        <v>2</v>
      </c>
      <c r="D235" s="39" t="s">
        <v>3810</v>
      </c>
      <c r="E235" s="7">
        <v>4120</v>
      </c>
      <c r="F235" s="7" t="s">
        <v>3791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3792</v>
      </c>
      <c r="K235" s="8" t="s">
        <v>328</v>
      </c>
      <c r="L235" s="9" t="s">
        <v>2070</v>
      </c>
      <c r="M235" s="10">
        <v>46127</v>
      </c>
      <c r="N235" s="8" t="s">
        <v>328</v>
      </c>
      <c r="O235" s="12"/>
      <c r="P235" s="13"/>
      <c r="Q235" s="14">
        <f>Tabela1[[#This Row],[QTDE/ Fabricação]]-Tabela1[[#This Row],[QTE]]</f>
        <v>-2</v>
      </c>
      <c r="R235" s="18">
        <f t="shared" si="39"/>
        <v>54.02</v>
      </c>
      <c r="S235" s="18">
        <f t="shared" si="37"/>
        <v>54.02</v>
      </c>
      <c r="T235" s="19">
        <f t="shared" si="40"/>
        <v>0</v>
      </c>
      <c r="U235" s="207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36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1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38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2"/>
        <v>54.02</v>
      </c>
      <c r="AV235" s="37">
        <f t="shared" si="43"/>
        <v>54.02</v>
      </c>
      <c r="AW235" s="37"/>
    </row>
    <row r="236" spans="1:49" ht="15.75" hidden="1" customHeight="1" x14ac:dyDescent="0.25">
      <c r="A236" s="6" t="s">
        <v>3866</v>
      </c>
      <c r="B236" s="21" t="s">
        <v>3874</v>
      </c>
      <c r="C236" s="7">
        <v>4</v>
      </c>
      <c r="D236" s="39" t="s">
        <v>3810</v>
      </c>
      <c r="E236" s="7">
        <v>4121</v>
      </c>
      <c r="F236" s="7" t="s">
        <v>3791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3792</v>
      </c>
      <c r="K236" s="8" t="s">
        <v>328</v>
      </c>
      <c r="L236" s="9" t="s">
        <v>2070</v>
      </c>
      <c r="M236" s="10">
        <v>46127</v>
      </c>
      <c r="N236" s="8" t="s">
        <v>328</v>
      </c>
      <c r="O236" s="12"/>
      <c r="P236" s="13"/>
      <c r="Q236" s="14">
        <f>Tabela1[[#This Row],[QTDE/ Fabricação]]-Tabela1[[#This Row],[QTE]]</f>
        <v>-4</v>
      </c>
      <c r="R236" s="18">
        <f t="shared" si="39"/>
        <v>95</v>
      </c>
      <c r="S236" s="18">
        <f t="shared" si="37"/>
        <v>95</v>
      </c>
      <c r="T236" s="19">
        <f t="shared" si="40"/>
        <v>0</v>
      </c>
      <c r="U236" s="207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36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1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38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2"/>
        <v>95</v>
      </c>
      <c r="AV236" s="37">
        <f t="shared" si="43"/>
        <v>95</v>
      </c>
      <c r="AW236" s="37"/>
    </row>
    <row r="237" spans="1:49" ht="15.75" hidden="1" customHeight="1" x14ac:dyDescent="0.25">
      <c r="A237" s="6" t="s">
        <v>3875</v>
      </c>
      <c r="B237" s="21" t="s">
        <v>3831</v>
      </c>
      <c r="C237" s="7">
        <v>2</v>
      </c>
      <c r="D237" s="39" t="s">
        <v>3806</v>
      </c>
      <c r="E237" s="7">
        <v>4122</v>
      </c>
      <c r="F237" s="7" t="s">
        <v>3791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3792</v>
      </c>
      <c r="K237" s="8" t="s">
        <v>328</v>
      </c>
      <c r="L237" s="9" t="s">
        <v>2070</v>
      </c>
      <c r="M237" s="10">
        <v>46127</v>
      </c>
      <c r="N237" s="8" t="s">
        <v>328</v>
      </c>
      <c r="O237" s="12"/>
      <c r="P237" s="13"/>
      <c r="Q237" s="14">
        <f>Tabela1[[#This Row],[QTDE/ Fabricação]]-Tabela1[[#This Row],[QTE]]</f>
        <v>-2</v>
      </c>
      <c r="R237" s="18">
        <f t="shared" si="39"/>
        <v>258.18</v>
      </c>
      <c r="S237" s="18">
        <f t="shared" si="37"/>
        <v>258.18</v>
      </c>
      <c r="T237" s="19">
        <f t="shared" si="40"/>
        <v>0</v>
      </c>
      <c r="U237" s="207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36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1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38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2"/>
        <v>258.18</v>
      </c>
      <c r="AV237" s="37">
        <f t="shared" si="43"/>
        <v>258.18</v>
      </c>
      <c r="AW237" s="37"/>
    </row>
    <row r="238" spans="1:49" ht="15.75" hidden="1" customHeight="1" x14ac:dyDescent="0.25">
      <c r="A238" s="6" t="s">
        <v>3875</v>
      </c>
      <c r="B238" s="21" t="s">
        <v>3832</v>
      </c>
      <c r="C238" s="7">
        <v>2</v>
      </c>
      <c r="D238" s="39" t="s">
        <v>3808</v>
      </c>
      <c r="E238" s="7">
        <v>4123</v>
      </c>
      <c r="F238" s="7" t="s">
        <v>3791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3792</v>
      </c>
      <c r="K238" s="8" t="s">
        <v>328</v>
      </c>
      <c r="L238" s="9" t="s">
        <v>2070</v>
      </c>
      <c r="M238" s="10">
        <v>46127</v>
      </c>
      <c r="N238" s="8" t="s">
        <v>328</v>
      </c>
      <c r="O238" s="12"/>
      <c r="P238" s="13"/>
      <c r="Q238" s="14">
        <f>Tabela1[[#This Row],[QTDE/ Fabricação]]-Tabela1[[#This Row],[QTE]]</f>
        <v>-2</v>
      </c>
      <c r="R238" s="18">
        <f t="shared" si="39"/>
        <v>258.18</v>
      </c>
      <c r="S238" s="18">
        <f t="shared" si="37"/>
        <v>258.18</v>
      </c>
      <c r="T238" s="19">
        <f t="shared" si="40"/>
        <v>0</v>
      </c>
      <c r="U238" s="207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36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1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38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2"/>
        <v>258.18</v>
      </c>
      <c r="AV238" s="37">
        <f t="shared" si="43"/>
        <v>258.18</v>
      </c>
      <c r="AW238" s="37"/>
    </row>
    <row r="239" spans="1:49" ht="15.75" hidden="1" customHeight="1" x14ac:dyDescent="0.25">
      <c r="A239" s="6" t="s">
        <v>3875</v>
      </c>
      <c r="B239" s="21" t="s">
        <v>3876</v>
      </c>
      <c r="C239" s="7">
        <v>12</v>
      </c>
      <c r="D239" s="39" t="s">
        <v>3810</v>
      </c>
      <c r="E239" s="7">
        <v>4124</v>
      </c>
      <c r="F239" s="7" t="s">
        <v>3791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3792</v>
      </c>
      <c r="K239" s="8" t="s">
        <v>328</v>
      </c>
      <c r="L239" s="9" t="s">
        <v>2070</v>
      </c>
      <c r="M239" s="10">
        <v>46127</v>
      </c>
      <c r="N239" s="8" t="s">
        <v>328</v>
      </c>
      <c r="O239" s="12"/>
      <c r="P239" s="13"/>
      <c r="Q239" s="14">
        <f>Tabela1[[#This Row],[QTDE/ Fabricação]]-Tabela1[[#This Row],[QTE]]</f>
        <v>-12</v>
      </c>
      <c r="R239" s="18">
        <f t="shared" si="39"/>
        <v>284.15999999999997</v>
      </c>
      <c r="S239" s="18">
        <f t="shared" si="37"/>
        <v>284.15999999999997</v>
      </c>
      <c r="T239" s="19">
        <f t="shared" si="40"/>
        <v>0</v>
      </c>
      <c r="U239" s="207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36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1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38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2"/>
        <v>284.15999999999997</v>
      </c>
      <c r="AV239" s="37">
        <f t="shared" si="43"/>
        <v>284.15999999999997</v>
      </c>
      <c r="AW239" s="37"/>
    </row>
    <row r="240" spans="1:49" ht="15.75" hidden="1" customHeight="1" x14ac:dyDescent="0.25">
      <c r="A240" s="6" t="s">
        <v>3875</v>
      </c>
      <c r="B240" s="21" t="s">
        <v>3832</v>
      </c>
      <c r="C240" s="7">
        <v>4</v>
      </c>
      <c r="D240" s="39" t="s">
        <v>3816</v>
      </c>
      <c r="E240" s="7">
        <v>4125</v>
      </c>
      <c r="F240" s="7" t="s">
        <v>3791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3792</v>
      </c>
      <c r="K240" s="8" t="s">
        <v>328</v>
      </c>
      <c r="L240" s="9" t="s">
        <v>2070</v>
      </c>
      <c r="M240" s="10">
        <v>46127</v>
      </c>
      <c r="N240" s="8" t="s">
        <v>328</v>
      </c>
      <c r="O240" s="12"/>
      <c r="P240" s="13"/>
      <c r="Q240" s="14">
        <f>Tabela1[[#This Row],[QTDE/ Fabricação]]-Tabela1[[#This Row],[QTE]]</f>
        <v>-4</v>
      </c>
      <c r="R240" s="18">
        <f t="shared" si="39"/>
        <v>285.76</v>
      </c>
      <c r="S240" s="18">
        <f t="shared" si="37"/>
        <v>285.76</v>
      </c>
      <c r="T240" s="19">
        <f t="shared" si="40"/>
        <v>0</v>
      </c>
      <c r="U240" s="207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36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1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38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2"/>
        <v>285.76</v>
      </c>
      <c r="AV240" s="37">
        <f t="shared" si="43"/>
        <v>285.76</v>
      </c>
      <c r="AW240" s="37"/>
    </row>
    <row r="241" spans="1:49" ht="15.75" hidden="1" customHeight="1" x14ac:dyDescent="0.25">
      <c r="A241" s="6" t="s">
        <v>3875</v>
      </c>
      <c r="B241" s="21" t="s">
        <v>3833</v>
      </c>
      <c r="C241" s="7">
        <v>4</v>
      </c>
      <c r="D241" s="39" t="s">
        <v>3818</v>
      </c>
      <c r="E241" s="7">
        <v>4126</v>
      </c>
      <c r="F241" s="7" t="s">
        <v>3791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3792</v>
      </c>
      <c r="K241" s="8" t="s">
        <v>328</v>
      </c>
      <c r="L241" s="9" t="s">
        <v>2070</v>
      </c>
      <c r="M241" s="10">
        <v>46127</v>
      </c>
      <c r="N241" s="8" t="s">
        <v>328</v>
      </c>
      <c r="O241" s="12"/>
      <c r="P241" s="13"/>
      <c r="Q241" s="14">
        <f>Tabela1[[#This Row],[QTDE/ Fabricação]]-Tabela1[[#This Row],[QTE]]</f>
        <v>-4</v>
      </c>
      <c r="R241" s="18">
        <f t="shared" si="39"/>
        <v>285.76</v>
      </c>
      <c r="S241" s="18">
        <f t="shared" si="37"/>
        <v>285.76</v>
      </c>
      <c r="T241" s="19">
        <f t="shared" si="40"/>
        <v>0</v>
      </c>
      <c r="U241" s="207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36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1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38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2"/>
        <v>285.76</v>
      </c>
      <c r="AV241" s="37">
        <f t="shared" si="43"/>
        <v>285.76</v>
      </c>
      <c r="AW241" s="37"/>
    </row>
    <row r="242" spans="1:49" ht="15.75" hidden="1" customHeight="1" x14ac:dyDescent="0.25">
      <c r="A242" s="6" t="s">
        <v>3877</v>
      </c>
      <c r="B242" s="21" t="s">
        <v>3878</v>
      </c>
      <c r="C242" s="7">
        <v>2</v>
      </c>
      <c r="D242" s="39" t="s">
        <v>3806</v>
      </c>
      <c r="E242" s="7">
        <v>4127</v>
      </c>
      <c r="F242" s="7" t="s">
        <v>3791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3792</v>
      </c>
      <c r="K242" s="8" t="s">
        <v>328</v>
      </c>
      <c r="L242" s="9" t="s">
        <v>2070</v>
      </c>
      <c r="M242" s="10">
        <v>46127</v>
      </c>
      <c r="N242" s="8" t="s">
        <v>328</v>
      </c>
      <c r="O242" s="12"/>
      <c r="P242" s="13"/>
      <c r="Q242" s="14">
        <f>Tabela1[[#This Row],[QTDE/ Fabricação]]-Tabela1[[#This Row],[QTE]]</f>
        <v>-2</v>
      </c>
      <c r="R242" s="18">
        <f t="shared" si="39"/>
        <v>257.72000000000003</v>
      </c>
      <c r="S242" s="18">
        <f t="shared" si="37"/>
        <v>257.72000000000003</v>
      </c>
      <c r="T242" s="19">
        <f t="shared" si="40"/>
        <v>0</v>
      </c>
      <c r="U242" s="207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36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1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38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2"/>
        <v>257.72000000000003</v>
      </c>
      <c r="AV242" s="37">
        <f t="shared" si="43"/>
        <v>257.72000000000003</v>
      </c>
      <c r="AW242" s="37"/>
    </row>
    <row r="243" spans="1:49" ht="15.75" hidden="1" customHeight="1" x14ac:dyDescent="0.25">
      <c r="A243" s="6" t="s">
        <v>3877</v>
      </c>
      <c r="B243" s="21" t="s">
        <v>3879</v>
      </c>
      <c r="C243" s="7">
        <v>2</v>
      </c>
      <c r="D243" s="39" t="s">
        <v>3808</v>
      </c>
      <c r="E243" s="7">
        <v>4128</v>
      </c>
      <c r="F243" s="7" t="s">
        <v>3791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3792</v>
      </c>
      <c r="K243" s="8" t="s">
        <v>328</v>
      </c>
      <c r="L243" s="9" t="s">
        <v>2070</v>
      </c>
      <c r="M243" s="10">
        <v>46127</v>
      </c>
      <c r="N243" s="8" t="s">
        <v>328</v>
      </c>
      <c r="O243" s="12"/>
      <c r="P243" s="13"/>
      <c r="Q243" s="14">
        <f>Tabela1[[#This Row],[QTDE/ Fabricação]]-Tabela1[[#This Row],[QTE]]</f>
        <v>-2</v>
      </c>
      <c r="R243" s="18">
        <f t="shared" si="39"/>
        <v>257.72000000000003</v>
      </c>
      <c r="S243" s="18">
        <f t="shared" si="37"/>
        <v>257.72000000000003</v>
      </c>
      <c r="T243" s="19">
        <f t="shared" si="40"/>
        <v>0</v>
      </c>
      <c r="U243" s="207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36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1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38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2"/>
        <v>257.72000000000003</v>
      </c>
      <c r="AV243" s="37">
        <f t="shared" si="43"/>
        <v>257.72000000000003</v>
      </c>
      <c r="AW243" s="37"/>
    </row>
    <row r="244" spans="1:49" ht="15.75" hidden="1" customHeight="1" x14ac:dyDescent="0.25">
      <c r="A244" s="6" t="s">
        <v>3877</v>
      </c>
      <c r="B244" s="21" t="s">
        <v>3880</v>
      </c>
      <c r="C244" s="7">
        <v>12</v>
      </c>
      <c r="D244" s="39" t="s">
        <v>3810</v>
      </c>
      <c r="E244" s="7">
        <v>4129</v>
      </c>
      <c r="F244" s="7" t="s">
        <v>3791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3792</v>
      </c>
      <c r="K244" s="8" t="s">
        <v>328</v>
      </c>
      <c r="L244" s="9" t="s">
        <v>2070</v>
      </c>
      <c r="M244" s="10">
        <v>46127</v>
      </c>
      <c r="N244" s="8" t="s">
        <v>328</v>
      </c>
      <c r="O244" s="12"/>
      <c r="P244" s="13"/>
      <c r="Q244" s="14">
        <f>Tabela1[[#This Row],[QTDE/ Fabricação]]-Tabela1[[#This Row],[QTE]]</f>
        <v>-12</v>
      </c>
      <c r="R244" s="18">
        <f t="shared" si="39"/>
        <v>284.15999999999997</v>
      </c>
      <c r="S244" s="18">
        <f t="shared" si="37"/>
        <v>284.15999999999997</v>
      </c>
      <c r="T244" s="19">
        <f t="shared" si="40"/>
        <v>0</v>
      </c>
      <c r="U244" s="207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36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1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38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2"/>
        <v>284.15999999999997</v>
      </c>
      <c r="AV244" s="37">
        <f t="shared" si="43"/>
        <v>284.15999999999997</v>
      </c>
      <c r="AW244" s="37"/>
    </row>
    <row r="245" spans="1:49" ht="15.75" hidden="1" customHeight="1" x14ac:dyDescent="0.25">
      <c r="A245" s="6" t="s">
        <v>3877</v>
      </c>
      <c r="B245" s="21" t="s">
        <v>3832</v>
      </c>
      <c r="C245" s="7">
        <v>8</v>
      </c>
      <c r="D245" s="39" t="s">
        <v>3881</v>
      </c>
      <c r="E245" s="7">
        <v>4130</v>
      </c>
      <c r="F245" s="7" t="s">
        <v>3791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3792</v>
      </c>
      <c r="K245" s="8" t="s">
        <v>328</v>
      </c>
      <c r="L245" s="9" t="s">
        <v>2070</v>
      </c>
      <c r="M245" s="10">
        <v>46127</v>
      </c>
      <c r="N245" s="8" t="s">
        <v>328</v>
      </c>
      <c r="O245" s="12"/>
      <c r="P245" s="13"/>
      <c r="Q245" s="14">
        <f>Tabela1[[#This Row],[QTDE/ Fabricação]]-Tabela1[[#This Row],[QTE]]</f>
        <v>-8</v>
      </c>
      <c r="R245" s="18">
        <f t="shared" si="39"/>
        <v>571.52</v>
      </c>
      <c r="S245" s="18">
        <f t="shared" si="37"/>
        <v>571.52</v>
      </c>
      <c r="T245" s="19">
        <f t="shared" si="40"/>
        <v>0</v>
      </c>
      <c r="U245" s="207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4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1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38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2"/>
        <v>571.52</v>
      </c>
      <c r="AV245" s="37">
        <f t="shared" si="43"/>
        <v>571.52</v>
      </c>
      <c r="AW245" s="37"/>
    </row>
    <row r="246" spans="1:49" ht="15.75" hidden="1" customHeight="1" x14ac:dyDescent="0.25">
      <c r="A246" s="6" t="s">
        <v>3882</v>
      </c>
      <c r="B246" s="21" t="s">
        <v>3883</v>
      </c>
      <c r="C246" s="7">
        <v>1</v>
      </c>
      <c r="D246" s="39" t="s">
        <v>3884</v>
      </c>
      <c r="E246" s="7">
        <v>4131</v>
      </c>
      <c r="F246" s="7" t="s">
        <v>3885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2275</v>
      </c>
      <c r="K246" s="8" t="s">
        <v>328</v>
      </c>
      <c r="L246" s="9" t="s">
        <v>2070</v>
      </c>
      <c r="M246" s="10">
        <v>46150</v>
      </c>
      <c r="N246" s="8" t="s">
        <v>328</v>
      </c>
      <c r="O246" s="12"/>
      <c r="P246" s="13"/>
      <c r="Q246" s="14">
        <f>Tabela1[[#This Row],[QTDE/ Fabricação]]-Tabela1[[#This Row],[QTE]]</f>
        <v>-1</v>
      </c>
      <c r="R246" s="18">
        <f t="shared" si="39"/>
        <v>383.4</v>
      </c>
      <c r="S246" s="18">
        <f t="shared" ref="S246:S309" si="45">IFERROR(H246*AG246,"")</f>
        <v>383.4</v>
      </c>
      <c r="T246" s="19">
        <f t="shared" si="40"/>
        <v>0</v>
      </c>
      <c r="U246" s="207">
        <v>1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383.4</v>
      </c>
      <c r="Y246" s="14">
        <f t="shared" si="44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1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38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2"/>
        <v>383.4</v>
      </c>
      <c r="AV246" s="37">
        <f t="shared" si="43"/>
        <v>383.4</v>
      </c>
      <c r="AW246" s="37"/>
    </row>
    <row r="247" spans="1:49" ht="15.75" hidden="1" customHeight="1" x14ac:dyDescent="0.25">
      <c r="A247" s="6" t="s">
        <v>3882</v>
      </c>
      <c r="B247" s="21" t="s">
        <v>3886</v>
      </c>
      <c r="C247" s="7">
        <v>4</v>
      </c>
      <c r="D247" s="39" t="s">
        <v>3887</v>
      </c>
      <c r="E247" s="7">
        <v>4132</v>
      </c>
      <c r="F247" s="7" t="s">
        <v>3885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2275</v>
      </c>
      <c r="K247" s="8" t="s">
        <v>328</v>
      </c>
      <c r="L247" s="9" t="s">
        <v>2070</v>
      </c>
      <c r="M247" s="10">
        <v>46150</v>
      </c>
      <c r="N247" s="8" t="s">
        <v>328</v>
      </c>
      <c r="O247" s="12"/>
      <c r="P247" s="13"/>
      <c r="Q247" s="14">
        <f>Tabela1[[#This Row],[QTDE/ Fabricação]]-Tabela1[[#This Row],[QTE]]</f>
        <v>-4</v>
      </c>
      <c r="R247" s="18">
        <f t="shared" si="39"/>
        <v>1.2</v>
      </c>
      <c r="S247" s="18">
        <f t="shared" si="45"/>
        <v>1.2</v>
      </c>
      <c r="T247" s="19">
        <f t="shared" si="40"/>
        <v>0</v>
      </c>
      <c r="U247" s="207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4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1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38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2"/>
        <v>1.2</v>
      </c>
      <c r="AV247" s="37">
        <f t="shared" si="43"/>
        <v>1.2</v>
      </c>
      <c r="AW247" s="37"/>
    </row>
    <row r="248" spans="1:49" ht="15.75" hidden="1" customHeight="1" x14ac:dyDescent="0.25">
      <c r="A248" s="6" t="s">
        <v>3882</v>
      </c>
      <c r="B248" s="21" t="s">
        <v>3883</v>
      </c>
      <c r="C248" s="7">
        <v>1</v>
      </c>
      <c r="D248" s="39" t="s">
        <v>3884</v>
      </c>
      <c r="E248" s="7">
        <v>4133</v>
      </c>
      <c r="F248" s="7" t="s">
        <v>3885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2277</v>
      </c>
      <c r="K248" s="8" t="s">
        <v>328</v>
      </c>
      <c r="L248" s="9" t="s">
        <v>2070</v>
      </c>
      <c r="M248" s="10">
        <v>46150</v>
      </c>
      <c r="N248" s="8" t="s">
        <v>328</v>
      </c>
      <c r="O248" s="12"/>
      <c r="P248" s="13"/>
      <c r="Q248" s="14">
        <f>Tabela1[[#This Row],[QTDE/ Fabricação]]-Tabela1[[#This Row],[QTE]]</f>
        <v>-1</v>
      </c>
      <c r="R248" s="18">
        <f t="shared" si="39"/>
        <v>383.4</v>
      </c>
      <c r="S248" s="18">
        <f t="shared" si="45"/>
        <v>383.4</v>
      </c>
      <c r="T248" s="19">
        <f t="shared" si="40"/>
        <v>0</v>
      </c>
      <c r="U248" s="207">
        <v>1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383.4</v>
      </c>
      <c r="Y248" s="14">
        <f t="shared" si="44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1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38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2"/>
        <v>383.4</v>
      </c>
      <c r="AV248" s="37">
        <f t="shared" si="43"/>
        <v>383.4</v>
      </c>
      <c r="AW248" s="37"/>
    </row>
    <row r="249" spans="1:49" ht="15.75" hidden="1" customHeight="1" x14ac:dyDescent="0.25">
      <c r="A249" s="6" t="s">
        <v>3882</v>
      </c>
      <c r="B249" s="21" t="s">
        <v>3886</v>
      </c>
      <c r="C249" s="7">
        <v>4</v>
      </c>
      <c r="D249" s="39" t="s">
        <v>3887</v>
      </c>
      <c r="E249" s="7">
        <v>4134</v>
      </c>
      <c r="F249" s="7" t="s">
        <v>3885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2277</v>
      </c>
      <c r="K249" s="8" t="s">
        <v>328</v>
      </c>
      <c r="L249" s="9" t="s">
        <v>2070</v>
      </c>
      <c r="M249" s="10">
        <v>46150</v>
      </c>
      <c r="N249" s="8" t="s">
        <v>328</v>
      </c>
      <c r="O249" s="12"/>
      <c r="P249" s="13"/>
      <c r="Q249" s="14">
        <f>Tabela1[[#This Row],[QTDE/ Fabricação]]-Tabela1[[#This Row],[QTE]]</f>
        <v>-4</v>
      </c>
      <c r="R249" s="18">
        <f t="shared" si="39"/>
        <v>1.2</v>
      </c>
      <c r="S249" s="18">
        <f t="shared" si="45"/>
        <v>1.2</v>
      </c>
      <c r="T249" s="19">
        <f t="shared" si="40"/>
        <v>0</v>
      </c>
      <c r="U249" s="207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4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1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38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2"/>
        <v>1.2</v>
      </c>
      <c r="AV249" s="37">
        <f t="shared" si="43"/>
        <v>1.2</v>
      </c>
      <c r="AW249" s="37"/>
    </row>
    <row r="250" spans="1:49" ht="15.75" hidden="1" customHeight="1" x14ac:dyDescent="0.25">
      <c r="A250" s="6" t="s">
        <v>3888</v>
      </c>
      <c r="B250" s="21" t="s">
        <v>3889</v>
      </c>
      <c r="C250" s="7">
        <v>1</v>
      </c>
      <c r="D250" s="39" t="s">
        <v>3890</v>
      </c>
      <c r="E250" s="7">
        <v>4135</v>
      </c>
      <c r="F250" s="7" t="s">
        <v>3891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2275</v>
      </c>
      <c r="K250" s="8" t="s">
        <v>328</v>
      </c>
      <c r="L250" s="9" t="s">
        <v>2070</v>
      </c>
      <c r="M250" s="10">
        <v>46192</v>
      </c>
      <c r="N250" s="8" t="s">
        <v>328</v>
      </c>
      <c r="O250" s="12"/>
      <c r="P250" s="13"/>
      <c r="Q250" s="14">
        <f>Tabela1[[#This Row],[QTDE/ Fabricação]]-Tabela1[[#This Row],[QTE]]</f>
        <v>-1</v>
      </c>
      <c r="R250" s="18">
        <f t="shared" si="39"/>
        <v>577.39</v>
      </c>
      <c r="S250" s="18">
        <f t="shared" si="45"/>
        <v>0</v>
      </c>
      <c r="T250" s="19">
        <f t="shared" si="40"/>
        <v>-638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4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0.9</v>
      </c>
      <c r="AE250" s="33">
        <v>0.9</v>
      </c>
      <c r="AF250" s="33">
        <v>0</v>
      </c>
      <c r="AG250" s="33">
        <v>0</v>
      </c>
      <c r="AH250" s="33"/>
      <c r="AI250" s="33" t="str">
        <f t="shared" si="41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38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2"/>
        <v>0</v>
      </c>
      <c r="AV250" s="37">
        <f t="shared" si="43"/>
        <v>0</v>
      </c>
      <c r="AW250" s="37"/>
    </row>
    <row r="251" spans="1:49" ht="15.75" hidden="1" customHeight="1" x14ac:dyDescent="0.25">
      <c r="A251" s="6" t="s">
        <v>3888</v>
      </c>
      <c r="B251" s="21" t="s">
        <v>3892</v>
      </c>
      <c r="C251" s="7">
        <v>4</v>
      </c>
      <c r="D251" s="39" t="s">
        <v>3893</v>
      </c>
      <c r="E251" s="7">
        <v>4136</v>
      </c>
      <c r="F251" s="7" t="s">
        <v>3891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2275</v>
      </c>
      <c r="K251" s="8" t="s">
        <v>328</v>
      </c>
      <c r="L251" s="9" t="s">
        <v>2070</v>
      </c>
      <c r="M251" s="10">
        <v>46192</v>
      </c>
      <c r="N251" s="8" t="s">
        <v>328</v>
      </c>
      <c r="O251" s="12"/>
      <c r="P251" s="13"/>
      <c r="Q251" s="14">
        <f>Tabela1[[#This Row],[QTDE/ Fabricação]]-Tabela1[[#This Row],[QTE]]</f>
        <v>-4</v>
      </c>
      <c r="R251" s="18">
        <f t="shared" si="39"/>
        <v>16.29</v>
      </c>
      <c r="S251" s="18">
        <f t="shared" si="45"/>
        <v>0</v>
      </c>
      <c r="T251" s="19">
        <f t="shared" si="40"/>
        <v>-18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4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0.9</v>
      </c>
      <c r="AE251" s="33">
        <v>0.9</v>
      </c>
      <c r="AF251" s="33">
        <v>0</v>
      </c>
      <c r="AG251" s="33">
        <v>0</v>
      </c>
      <c r="AH251" s="33"/>
      <c r="AI251" s="33" t="str">
        <f t="shared" si="41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38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2"/>
        <v>0</v>
      </c>
      <c r="AV251" s="37">
        <f t="shared" si="43"/>
        <v>0</v>
      </c>
      <c r="AW251" s="37"/>
    </row>
    <row r="252" spans="1:49" ht="15.75" hidden="1" customHeight="1" x14ac:dyDescent="0.25">
      <c r="A252" s="6" t="s">
        <v>3888</v>
      </c>
      <c r="B252" s="21" t="s">
        <v>3894</v>
      </c>
      <c r="C252" s="7">
        <v>4</v>
      </c>
      <c r="D252" s="39" t="s">
        <v>3895</v>
      </c>
      <c r="E252" s="7">
        <v>4137</v>
      </c>
      <c r="F252" s="7" t="s">
        <v>3891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2275</v>
      </c>
      <c r="K252" s="8" t="s">
        <v>328</v>
      </c>
      <c r="L252" s="9" t="s">
        <v>2070</v>
      </c>
      <c r="M252" s="10">
        <v>46192</v>
      </c>
      <c r="N252" s="8" t="s">
        <v>328</v>
      </c>
      <c r="O252" s="12"/>
      <c r="P252" s="13"/>
      <c r="Q252" s="14">
        <f>Tabela1[[#This Row],[QTDE/ Fabricação]]-Tabela1[[#This Row],[QTE]]</f>
        <v>-4</v>
      </c>
      <c r="R252" s="18">
        <f t="shared" si="39"/>
        <v>20.995999999999999</v>
      </c>
      <c r="S252" s="18">
        <f t="shared" si="45"/>
        <v>0</v>
      </c>
      <c r="T252" s="19">
        <f t="shared" si="40"/>
        <v>-23.2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4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0.9</v>
      </c>
      <c r="AE252" s="33">
        <v>0.9</v>
      </c>
      <c r="AF252" s="33">
        <v>0</v>
      </c>
      <c r="AG252" s="33">
        <v>0</v>
      </c>
      <c r="AH252" s="33"/>
      <c r="AI252" s="33" t="str">
        <f t="shared" si="41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38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2"/>
        <v>0</v>
      </c>
      <c r="AV252" s="37">
        <f t="shared" si="43"/>
        <v>0</v>
      </c>
      <c r="AW252" s="37"/>
    </row>
    <row r="253" spans="1:49" ht="15.75" hidden="1" customHeight="1" x14ac:dyDescent="0.25">
      <c r="A253" s="6" t="s">
        <v>3888</v>
      </c>
      <c r="B253" s="21" t="s">
        <v>3896</v>
      </c>
      <c r="C253" s="7">
        <v>8</v>
      </c>
      <c r="D253" s="39" t="s">
        <v>3897</v>
      </c>
      <c r="E253" s="7">
        <v>4138</v>
      </c>
      <c r="F253" s="7" t="s">
        <v>3891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2275</v>
      </c>
      <c r="K253" s="8" t="s">
        <v>328</v>
      </c>
      <c r="L253" s="9" t="s">
        <v>2070</v>
      </c>
      <c r="M253" s="10">
        <v>46192</v>
      </c>
      <c r="N253" s="8" t="s">
        <v>328</v>
      </c>
      <c r="O253" s="12"/>
      <c r="P253" s="13"/>
      <c r="Q253" s="14">
        <f>Tabela1[[#This Row],[QTDE/ Fabricação]]-Tabela1[[#This Row],[QTE]]</f>
        <v>-8</v>
      </c>
      <c r="R253" s="18">
        <f t="shared" si="39"/>
        <v>0.4</v>
      </c>
      <c r="S253" s="18">
        <f t="shared" si="45"/>
        <v>0</v>
      </c>
      <c r="T253" s="19">
        <f t="shared" si="40"/>
        <v>-0.8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4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0</v>
      </c>
      <c r="AE253" s="33">
        <v>0</v>
      </c>
      <c r="AF253" s="33">
        <v>0</v>
      </c>
      <c r="AG253" s="33">
        <v>0</v>
      </c>
      <c r="AH253" s="33"/>
      <c r="AI253" s="33" t="str">
        <f t="shared" si="41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38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2"/>
        <v>0</v>
      </c>
      <c r="AV253" s="37">
        <f t="shared" si="43"/>
        <v>0</v>
      </c>
      <c r="AW253" s="37"/>
    </row>
    <row r="254" spans="1:49" ht="15.75" hidden="1" customHeight="1" x14ac:dyDescent="0.25">
      <c r="A254" s="6" t="s">
        <v>3888</v>
      </c>
      <c r="B254" s="21" t="s">
        <v>3898</v>
      </c>
      <c r="C254" s="7">
        <v>8</v>
      </c>
      <c r="D254" s="39" t="s">
        <v>3899</v>
      </c>
      <c r="E254" s="7">
        <v>4139</v>
      </c>
      <c r="F254" s="7" t="s">
        <v>3891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2275</v>
      </c>
      <c r="K254" s="8" t="s">
        <v>328</v>
      </c>
      <c r="L254" s="9" t="s">
        <v>2070</v>
      </c>
      <c r="M254" s="10">
        <v>46192</v>
      </c>
      <c r="N254" s="8" t="s">
        <v>328</v>
      </c>
      <c r="O254" s="12"/>
      <c r="P254" s="13"/>
      <c r="Q254" s="14">
        <f>Tabela1[[#This Row],[QTDE/ Fabricação]]-Tabela1[[#This Row],[QTE]]</f>
        <v>-8</v>
      </c>
      <c r="R254" s="18">
        <f t="shared" si="39"/>
        <v>0.4</v>
      </c>
      <c r="S254" s="18">
        <f t="shared" si="45"/>
        <v>0</v>
      </c>
      <c r="T254" s="19">
        <f t="shared" si="40"/>
        <v>-0.8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4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0</v>
      </c>
      <c r="AE254" s="33">
        <v>0</v>
      </c>
      <c r="AF254" s="33">
        <v>0</v>
      </c>
      <c r="AG254" s="33">
        <v>0</v>
      </c>
      <c r="AH254" s="33"/>
      <c r="AI254" s="33" t="str">
        <f t="shared" si="41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38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2"/>
        <v>0</v>
      </c>
      <c r="AV254" s="37">
        <f t="shared" si="43"/>
        <v>0</v>
      </c>
      <c r="AW254" s="37"/>
    </row>
    <row r="255" spans="1:49" ht="15.75" hidden="1" customHeight="1" x14ac:dyDescent="0.25">
      <c r="A255" s="6" t="s">
        <v>3888</v>
      </c>
      <c r="B255" s="21" t="s">
        <v>3900</v>
      </c>
      <c r="C255" s="7">
        <v>4</v>
      </c>
      <c r="D255" s="39" t="s">
        <v>3899</v>
      </c>
      <c r="E255" s="7">
        <v>4140</v>
      </c>
      <c r="F255" s="7" t="s">
        <v>3891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2275</v>
      </c>
      <c r="K255" s="8" t="s">
        <v>328</v>
      </c>
      <c r="L255" s="9" t="s">
        <v>2070</v>
      </c>
      <c r="M255" s="10">
        <v>46192</v>
      </c>
      <c r="N255" s="8" t="s">
        <v>328</v>
      </c>
      <c r="O255" s="12"/>
      <c r="P255" s="13"/>
      <c r="Q255" s="14">
        <f>Tabela1[[#This Row],[QTDE/ Fabricação]]-Tabela1[[#This Row],[QTE]]</f>
        <v>-4</v>
      </c>
      <c r="R255" s="18">
        <f t="shared" si="39"/>
        <v>0.2</v>
      </c>
      <c r="S255" s="18">
        <f t="shared" si="45"/>
        <v>0</v>
      </c>
      <c r="T255" s="19">
        <f t="shared" si="40"/>
        <v>-0.4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4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0</v>
      </c>
      <c r="AE255" s="33">
        <v>0</v>
      </c>
      <c r="AF255" s="33">
        <v>0</v>
      </c>
      <c r="AG255" s="33">
        <v>0</v>
      </c>
      <c r="AH255" s="33"/>
      <c r="AI255" s="33" t="str">
        <f t="shared" si="41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38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2"/>
        <v>0</v>
      </c>
      <c r="AV255" s="37">
        <f t="shared" si="43"/>
        <v>0</v>
      </c>
      <c r="AW255" s="37"/>
    </row>
    <row r="256" spans="1:49" ht="15.75" hidden="1" customHeight="1" x14ac:dyDescent="0.25">
      <c r="A256" s="6" t="s">
        <v>3888</v>
      </c>
      <c r="B256" s="21" t="s">
        <v>3901</v>
      </c>
      <c r="C256" s="7">
        <v>4</v>
      </c>
      <c r="D256" s="39" t="s">
        <v>3899</v>
      </c>
      <c r="E256" s="7">
        <v>4141</v>
      </c>
      <c r="F256" s="7" t="s">
        <v>3891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2275</v>
      </c>
      <c r="K256" s="8" t="s">
        <v>328</v>
      </c>
      <c r="L256" s="9" t="s">
        <v>2070</v>
      </c>
      <c r="M256" s="10">
        <v>46192</v>
      </c>
      <c r="N256" s="8" t="s">
        <v>328</v>
      </c>
      <c r="O256" s="12"/>
      <c r="P256" s="13"/>
      <c r="Q256" s="14">
        <f>Tabela1[[#This Row],[QTDE/ Fabricação]]-Tabela1[[#This Row],[QTE]]</f>
        <v>-4</v>
      </c>
      <c r="R256" s="18">
        <f t="shared" si="39"/>
        <v>0.2</v>
      </c>
      <c r="S256" s="18">
        <f t="shared" si="45"/>
        <v>0</v>
      </c>
      <c r="T256" s="19">
        <f t="shared" si="40"/>
        <v>-0.4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4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0</v>
      </c>
      <c r="AE256" s="33">
        <v>0</v>
      </c>
      <c r="AF256" s="33">
        <v>0</v>
      </c>
      <c r="AG256" s="33">
        <v>0</v>
      </c>
      <c r="AH256" s="33"/>
      <c r="AI256" s="33" t="str">
        <f t="shared" si="41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38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2"/>
        <v>0</v>
      </c>
      <c r="AV256" s="37">
        <f t="shared" si="43"/>
        <v>0</v>
      </c>
      <c r="AW256" s="37"/>
    </row>
    <row r="257" spans="1:49" ht="15.75" hidden="1" customHeight="1" x14ac:dyDescent="0.25">
      <c r="A257" s="6" t="s">
        <v>3888</v>
      </c>
      <c r="B257" s="21" t="s">
        <v>3889</v>
      </c>
      <c r="C257" s="7">
        <v>1</v>
      </c>
      <c r="D257" s="39" t="s">
        <v>3890</v>
      </c>
      <c r="E257" s="7">
        <v>4142</v>
      </c>
      <c r="F257" s="7" t="s">
        <v>3891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2277</v>
      </c>
      <c r="K257" s="8" t="s">
        <v>328</v>
      </c>
      <c r="L257" s="9" t="s">
        <v>2070</v>
      </c>
      <c r="M257" s="10">
        <v>46192</v>
      </c>
      <c r="N257" s="8" t="s">
        <v>328</v>
      </c>
      <c r="O257" s="12"/>
      <c r="P257" s="13"/>
      <c r="Q257" s="14">
        <f>Tabela1[[#This Row],[QTDE/ Fabricação]]-Tabela1[[#This Row],[QTE]]</f>
        <v>-1</v>
      </c>
      <c r="R257" s="18">
        <f t="shared" si="39"/>
        <v>577.39</v>
      </c>
      <c r="S257" s="18">
        <f t="shared" si="45"/>
        <v>0</v>
      </c>
      <c r="T257" s="19">
        <f t="shared" si="40"/>
        <v>-638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4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0.9</v>
      </c>
      <c r="AE257" s="33">
        <v>0.9</v>
      </c>
      <c r="AF257" s="33">
        <v>0</v>
      </c>
      <c r="AG257" s="33">
        <v>0</v>
      </c>
      <c r="AH257" s="33"/>
      <c r="AI257" s="33" t="str">
        <f t="shared" si="41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38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2"/>
        <v>0</v>
      </c>
      <c r="AV257" s="37">
        <f t="shared" si="43"/>
        <v>0</v>
      </c>
      <c r="AW257" s="37"/>
    </row>
    <row r="258" spans="1:49" ht="15.75" hidden="1" customHeight="1" x14ac:dyDescent="0.25">
      <c r="A258" s="6" t="s">
        <v>3888</v>
      </c>
      <c r="B258" s="21" t="s">
        <v>3892</v>
      </c>
      <c r="C258" s="7">
        <v>4</v>
      </c>
      <c r="D258" s="39" t="s">
        <v>3893</v>
      </c>
      <c r="E258" s="7">
        <v>4143</v>
      </c>
      <c r="F258" s="7" t="s">
        <v>3891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2277</v>
      </c>
      <c r="K258" s="8" t="s">
        <v>328</v>
      </c>
      <c r="L258" s="9" t="s">
        <v>2070</v>
      </c>
      <c r="M258" s="10">
        <v>46192</v>
      </c>
      <c r="N258" s="8" t="s">
        <v>328</v>
      </c>
      <c r="O258" s="12"/>
      <c r="P258" s="13"/>
      <c r="Q258" s="14">
        <f>Tabela1[[#This Row],[QTDE/ Fabricação]]-Tabela1[[#This Row],[QTE]]</f>
        <v>-4</v>
      </c>
      <c r="R258" s="18">
        <f t="shared" si="39"/>
        <v>16.29</v>
      </c>
      <c r="S258" s="18">
        <f t="shared" si="45"/>
        <v>0</v>
      </c>
      <c r="T258" s="19">
        <f t="shared" si="40"/>
        <v>-18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4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0.9</v>
      </c>
      <c r="AE258" s="33">
        <v>0.9</v>
      </c>
      <c r="AF258" s="33">
        <v>0</v>
      </c>
      <c r="AG258" s="33">
        <v>0</v>
      </c>
      <c r="AH258" s="33"/>
      <c r="AI258" s="33" t="str">
        <f t="shared" si="41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38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2"/>
        <v>0</v>
      </c>
      <c r="AV258" s="37">
        <f t="shared" si="43"/>
        <v>0</v>
      </c>
      <c r="AW258" s="37"/>
    </row>
    <row r="259" spans="1:49" ht="15.75" hidden="1" customHeight="1" x14ac:dyDescent="0.25">
      <c r="A259" s="6" t="s">
        <v>3888</v>
      </c>
      <c r="B259" s="21" t="s">
        <v>3894</v>
      </c>
      <c r="C259" s="7">
        <v>4</v>
      </c>
      <c r="D259" s="39" t="s">
        <v>3895</v>
      </c>
      <c r="E259" s="7">
        <v>4144</v>
      </c>
      <c r="F259" s="7" t="s">
        <v>3891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2277</v>
      </c>
      <c r="K259" s="8" t="s">
        <v>328</v>
      </c>
      <c r="L259" s="9" t="s">
        <v>2070</v>
      </c>
      <c r="M259" s="10">
        <v>46192</v>
      </c>
      <c r="N259" s="8" t="s">
        <v>328</v>
      </c>
      <c r="O259" s="12"/>
      <c r="P259" s="13"/>
      <c r="Q259" s="14">
        <f>Tabela1[[#This Row],[QTDE/ Fabricação]]-Tabela1[[#This Row],[QTE]]</f>
        <v>-4</v>
      </c>
      <c r="R259" s="18">
        <f t="shared" si="39"/>
        <v>20.995999999999999</v>
      </c>
      <c r="S259" s="18">
        <f t="shared" si="45"/>
        <v>0</v>
      </c>
      <c r="T259" s="19">
        <f t="shared" si="40"/>
        <v>-23.2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4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0.9</v>
      </c>
      <c r="AE259" s="33">
        <v>0.9</v>
      </c>
      <c r="AF259" s="33">
        <v>0</v>
      </c>
      <c r="AG259" s="33">
        <v>0</v>
      </c>
      <c r="AH259" s="33"/>
      <c r="AI259" s="33" t="str">
        <f t="shared" si="41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38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2"/>
        <v>0</v>
      </c>
      <c r="AV259" s="37">
        <f t="shared" si="43"/>
        <v>0</v>
      </c>
      <c r="AW259" s="37"/>
    </row>
    <row r="260" spans="1:49" ht="15.75" hidden="1" customHeight="1" x14ac:dyDescent="0.25">
      <c r="A260" s="6" t="s">
        <v>3888</v>
      </c>
      <c r="B260" s="21" t="s">
        <v>3896</v>
      </c>
      <c r="C260" s="7">
        <v>8</v>
      </c>
      <c r="D260" s="39" t="s">
        <v>3897</v>
      </c>
      <c r="E260" s="7">
        <v>4145</v>
      </c>
      <c r="F260" s="7" t="s">
        <v>3891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2277</v>
      </c>
      <c r="K260" s="8" t="s">
        <v>328</v>
      </c>
      <c r="L260" s="9" t="s">
        <v>2070</v>
      </c>
      <c r="M260" s="10">
        <v>46192</v>
      </c>
      <c r="N260" s="8" t="s">
        <v>328</v>
      </c>
      <c r="O260" s="12"/>
      <c r="P260" s="13"/>
      <c r="Q260" s="14">
        <f>Tabela1[[#This Row],[QTDE/ Fabricação]]-Tabela1[[#This Row],[QTE]]</f>
        <v>-8</v>
      </c>
      <c r="R260" s="18">
        <f t="shared" si="39"/>
        <v>0.57999999999999996</v>
      </c>
      <c r="S260" s="18">
        <f t="shared" si="45"/>
        <v>0</v>
      </c>
      <c r="T260" s="19">
        <f t="shared" si="40"/>
        <v>-0.8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4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0</v>
      </c>
      <c r="AF260" s="33">
        <v>0</v>
      </c>
      <c r="AG260" s="33">
        <v>0</v>
      </c>
      <c r="AH260" s="33"/>
      <c r="AI260" s="33" t="str">
        <f t="shared" si="41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38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2"/>
        <v>0</v>
      </c>
      <c r="AV260" s="37">
        <f t="shared" si="43"/>
        <v>0</v>
      </c>
      <c r="AW260" s="37"/>
    </row>
    <row r="261" spans="1:49" ht="15.75" hidden="1" customHeight="1" x14ac:dyDescent="0.25">
      <c r="A261" s="6" t="s">
        <v>3888</v>
      </c>
      <c r="B261" s="21" t="s">
        <v>3898</v>
      </c>
      <c r="C261" s="7">
        <v>8</v>
      </c>
      <c r="D261" s="39" t="s">
        <v>3899</v>
      </c>
      <c r="E261" s="7">
        <v>4146</v>
      </c>
      <c r="F261" s="7" t="s">
        <v>3891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2277</v>
      </c>
      <c r="K261" s="8" t="s">
        <v>328</v>
      </c>
      <c r="L261" s="9" t="s">
        <v>2070</v>
      </c>
      <c r="M261" s="10">
        <v>46192</v>
      </c>
      <c r="N261" s="8" t="s">
        <v>328</v>
      </c>
      <c r="O261" s="12"/>
      <c r="P261" s="13"/>
      <c r="Q261" s="14">
        <f>Tabela1[[#This Row],[QTDE/ Fabricação]]-Tabela1[[#This Row],[QTE]]</f>
        <v>-8</v>
      </c>
      <c r="R261" s="18">
        <f t="shared" si="39"/>
        <v>0.4</v>
      </c>
      <c r="S261" s="18">
        <f t="shared" si="45"/>
        <v>0</v>
      </c>
      <c r="T261" s="19">
        <f t="shared" si="40"/>
        <v>-0.8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4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0</v>
      </c>
      <c r="AE261" s="33">
        <v>0</v>
      </c>
      <c r="AF261" s="33">
        <v>0</v>
      </c>
      <c r="AG261" s="33">
        <v>0</v>
      </c>
      <c r="AH261" s="33"/>
      <c r="AI261" s="33" t="str">
        <f t="shared" si="41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46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2"/>
        <v>0</v>
      </c>
      <c r="AV261" s="37">
        <f t="shared" si="43"/>
        <v>0</v>
      </c>
      <c r="AW261" s="37"/>
    </row>
    <row r="262" spans="1:49" ht="15.75" hidden="1" customHeight="1" x14ac:dyDescent="0.25">
      <c r="A262" s="6" t="s">
        <v>3888</v>
      </c>
      <c r="B262" s="21" t="s">
        <v>3900</v>
      </c>
      <c r="C262" s="7">
        <v>4</v>
      </c>
      <c r="D262" s="39" t="s">
        <v>3899</v>
      </c>
      <c r="E262" s="7">
        <v>4147</v>
      </c>
      <c r="F262" s="7" t="s">
        <v>3891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2277</v>
      </c>
      <c r="K262" s="8" t="s">
        <v>328</v>
      </c>
      <c r="L262" s="9" t="s">
        <v>2070</v>
      </c>
      <c r="M262" s="10">
        <v>46192</v>
      </c>
      <c r="N262" s="8" t="s">
        <v>328</v>
      </c>
      <c r="O262" s="12"/>
      <c r="P262" s="13"/>
      <c r="Q262" s="14">
        <f>Tabela1[[#This Row],[QTDE/ Fabricação]]-Tabela1[[#This Row],[QTE]]</f>
        <v>-4</v>
      </c>
      <c r="R262" s="18">
        <f t="shared" si="39"/>
        <v>0.2</v>
      </c>
      <c r="S262" s="18">
        <f t="shared" si="45"/>
        <v>0</v>
      </c>
      <c r="T262" s="19">
        <f t="shared" si="40"/>
        <v>-0.4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4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0</v>
      </c>
      <c r="AE262" s="33">
        <v>0</v>
      </c>
      <c r="AF262" s="33">
        <v>0</v>
      </c>
      <c r="AG262" s="33">
        <v>0</v>
      </c>
      <c r="AH262" s="33"/>
      <c r="AI262" s="33" t="str">
        <f t="shared" si="41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46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2"/>
        <v>0</v>
      </c>
      <c r="AV262" s="37">
        <f t="shared" si="43"/>
        <v>0</v>
      </c>
      <c r="AW262" s="37"/>
    </row>
    <row r="263" spans="1:49" ht="15.75" hidden="1" customHeight="1" x14ac:dyDescent="0.25">
      <c r="A263" s="6" t="s">
        <v>3888</v>
      </c>
      <c r="B263" s="21" t="s">
        <v>3901</v>
      </c>
      <c r="C263" s="7">
        <v>4</v>
      </c>
      <c r="D263" s="39" t="s">
        <v>3899</v>
      </c>
      <c r="E263" s="7">
        <v>4148</v>
      </c>
      <c r="F263" s="7" t="s">
        <v>3891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2275</v>
      </c>
      <c r="K263" s="8" t="s">
        <v>328</v>
      </c>
      <c r="L263" s="9" t="s">
        <v>2070</v>
      </c>
      <c r="M263" s="10">
        <v>46192</v>
      </c>
      <c r="N263" s="8" t="s">
        <v>328</v>
      </c>
      <c r="O263" s="12"/>
      <c r="P263" s="13"/>
      <c r="Q263" s="14">
        <f>Tabela1[[#This Row],[QTDE/ Fabricação]]-Tabela1[[#This Row],[QTE]]</f>
        <v>-4</v>
      </c>
      <c r="R263" s="18">
        <f t="shared" si="39"/>
        <v>0.2</v>
      </c>
      <c r="S263" s="18">
        <f t="shared" si="45"/>
        <v>0</v>
      </c>
      <c r="T263" s="19">
        <f t="shared" si="40"/>
        <v>-0.4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4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0</v>
      </c>
      <c r="AE263" s="33">
        <v>0</v>
      </c>
      <c r="AF263" s="33">
        <v>0</v>
      </c>
      <c r="AG263" s="33">
        <v>0</v>
      </c>
      <c r="AH263" s="33"/>
      <c r="AI263" s="33" t="str">
        <f t="shared" si="41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46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2"/>
        <v>0</v>
      </c>
      <c r="AV263" s="37">
        <f t="shared" si="43"/>
        <v>0</v>
      </c>
      <c r="AW263" s="37"/>
    </row>
    <row r="264" spans="1:49" ht="15.75" hidden="1" customHeight="1" x14ac:dyDescent="0.25">
      <c r="A264" s="6" t="s">
        <v>3902</v>
      </c>
      <c r="B264" s="21" t="s">
        <v>3903</v>
      </c>
      <c r="C264" s="7">
        <v>1</v>
      </c>
      <c r="D264" s="39" t="s">
        <v>3904</v>
      </c>
      <c r="E264" s="7">
        <v>4149</v>
      </c>
      <c r="F264" s="7" t="s">
        <v>3905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2275</v>
      </c>
      <c r="K264" s="8" t="s">
        <v>328</v>
      </c>
      <c r="L264" s="9" t="s">
        <v>2070</v>
      </c>
      <c r="M264" s="10">
        <v>46134</v>
      </c>
      <c r="N264" s="8" t="s">
        <v>328</v>
      </c>
      <c r="O264" s="12"/>
      <c r="P264" s="13"/>
      <c r="Q264" s="14">
        <f>Tabela1[[#This Row],[QTDE/ Fabricação]]-Tabela1[[#This Row],[QTE]]</f>
        <v>-1</v>
      </c>
      <c r="R264" s="18">
        <f t="shared" si="39"/>
        <v>300.39999999999998</v>
      </c>
      <c r="S264" s="18">
        <f t="shared" si="45"/>
        <v>300.39999999999998</v>
      </c>
      <c r="T264" s="19">
        <f t="shared" si="40"/>
        <v>0</v>
      </c>
      <c r="U264" s="207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4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1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46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2"/>
        <v>300.39999999999998</v>
      </c>
      <c r="AV264" s="37">
        <f t="shared" si="43"/>
        <v>300.39999999999998</v>
      </c>
      <c r="AW264" s="37"/>
    </row>
    <row r="265" spans="1:49" ht="15.75" hidden="1" customHeight="1" x14ac:dyDescent="0.25">
      <c r="A265" s="6" t="s">
        <v>3902</v>
      </c>
      <c r="B265" s="21" t="s">
        <v>3903</v>
      </c>
      <c r="C265" s="7">
        <v>1</v>
      </c>
      <c r="D265" s="39" t="s">
        <v>3904</v>
      </c>
      <c r="E265" s="7">
        <v>4150</v>
      </c>
      <c r="F265" s="7" t="s">
        <v>3905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2277</v>
      </c>
      <c r="K265" s="8" t="s">
        <v>328</v>
      </c>
      <c r="L265" s="9" t="s">
        <v>2070</v>
      </c>
      <c r="M265" s="10">
        <v>46134</v>
      </c>
      <c r="N265" s="8" t="s">
        <v>328</v>
      </c>
      <c r="O265" s="12"/>
      <c r="P265" s="13"/>
      <c r="Q265" s="14">
        <f>Tabela1[[#This Row],[QTDE/ Fabricação]]-Tabela1[[#This Row],[QTE]]</f>
        <v>-1</v>
      </c>
      <c r="R265" s="18">
        <f t="shared" si="39"/>
        <v>300.39999999999998</v>
      </c>
      <c r="S265" s="18">
        <f t="shared" si="45"/>
        <v>300.39999999999998</v>
      </c>
      <c r="T265" s="19">
        <f t="shared" si="40"/>
        <v>0</v>
      </c>
      <c r="U265" s="207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4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1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46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2"/>
        <v>300.39999999999998</v>
      </c>
      <c r="AV265" s="37">
        <f t="shared" si="43"/>
        <v>300.39999999999998</v>
      </c>
      <c r="AW265" s="37"/>
    </row>
    <row r="266" spans="1:49" ht="15.75" hidden="1" customHeight="1" x14ac:dyDescent="0.25">
      <c r="A266" s="6" t="s">
        <v>3906</v>
      </c>
      <c r="B266" s="21" t="s">
        <v>3907</v>
      </c>
      <c r="C266" s="7">
        <v>1</v>
      </c>
      <c r="D266" s="39" t="s">
        <v>3908</v>
      </c>
      <c r="E266" s="7">
        <v>4151</v>
      </c>
      <c r="F266" s="7" t="s">
        <v>3905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2275</v>
      </c>
      <c r="K266" s="8" t="s">
        <v>328</v>
      </c>
      <c r="L266" s="9" t="s">
        <v>2070</v>
      </c>
      <c r="M266" s="10">
        <v>46134</v>
      </c>
      <c r="N266" s="8" t="s">
        <v>328</v>
      </c>
      <c r="O266" s="12"/>
      <c r="P266" s="13"/>
      <c r="Q266" s="14">
        <f>Tabela1[[#This Row],[QTDE/ Fabricação]]-Tabela1[[#This Row],[QTE]]</f>
        <v>-1</v>
      </c>
      <c r="R266" s="18">
        <f t="shared" si="39"/>
        <v>273.2</v>
      </c>
      <c r="S266" s="18">
        <f t="shared" si="45"/>
        <v>273.2</v>
      </c>
      <c r="T266" s="19">
        <f t="shared" si="40"/>
        <v>0</v>
      </c>
      <c r="U266" s="207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4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1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46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2"/>
        <v>273.2</v>
      </c>
      <c r="AV266" s="37">
        <f t="shared" si="43"/>
        <v>273.2</v>
      </c>
      <c r="AW266" s="37"/>
    </row>
    <row r="267" spans="1:49" ht="15.75" hidden="1" customHeight="1" x14ac:dyDescent="0.25">
      <c r="A267" s="6" t="s">
        <v>3906</v>
      </c>
      <c r="B267" s="21" t="s">
        <v>3909</v>
      </c>
      <c r="C267" s="7">
        <v>1</v>
      </c>
      <c r="D267" s="39" t="s">
        <v>3910</v>
      </c>
      <c r="E267" s="7">
        <v>4152</v>
      </c>
      <c r="F267" s="7" t="s">
        <v>3905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2275</v>
      </c>
      <c r="K267" s="8" t="s">
        <v>328</v>
      </c>
      <c r="L267" s="9" t="s">
        <v>2070</v>
      </c>
      <c r="M267" s="10">
        <v>46134</v>
      </c>
      <c r="N267" s="8" t="s">
        <v>328</v>
      </c>
      <c r="O267" s="12"/>
      <c r="P267" s="13"/>
      <c r="Q267" s="14">
        <f>Tabela1[[#This Row],[QTDE/ Fabricação]]-Tabela1[[#This Row],[QTE]]</f>
        <v>-1</v>
      </c>
      <c r="R267" s="18">
        <f t="shared" si="39"/>
        <v>97.8</v>
      </c>
      <c r="S267" s="18">
        <f t="shared" si="45"/>
        <v>97.8</v>
      </c>
      <c r="T267" s="19">
        <f t="shared" si="40"/>
        <v>0</v>
      </c>
      <c r="U267" s="207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4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1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46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2"/>
        <v>97.8</v>
      </c>
      <c r="AV267" s="37">
        <f t="shared" si="43"/>
        <v>97.8</v>
      </c>
      <c r="AW267" s="37"/>
    </row>
    <row r="268" spans="1:49" ht="15.75" hidden="1" customHeight="1" x14ac:dyDescent="0.25">
      <c r="A268" s="6" t="s">
        <v>3906</v>
      </c>
      <c r="B268" s="21" t="s">
        <v>3907</v>
      </c>
      <c r="C268" s="7">
        <v>1</v>
      </c>
      <c r="D268" s="39" t="s">
        <v>3908</v>
      </c>
      <c r="E268" s="7">
        <v>4153</v>
      </c>
      <c r="F268" s="7" t="s">
        <v>3905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2277</v>
      </c>
      <c r="K268" s="8" t="s">
        <v>328</v>
      </c>
      <c r="L268" s="9" t="s">
        <v>2070</v>
      </c>
      <c r="M268" s="10">
        <v>46134</v>
      </c>
      <c r="N268" s="8" t="s">
        <v>328</v>
      </c>
      <c r="O268" s="12"/>
      <c r="P268" s="13"/>
      <c r="Q268" s="14">
        <f>Tabela1[[#This Row],[QTDE/ Fabricação]]-Tabela1[[#This Row],[QTE]]</f>
        <v>-1</v>
      </c>
      <c r="R268" s="18">
        <f t="shared" si="39"/>
        <v>273.2</v>
      </c>
      <c r="S268" s="18">
        <f t="shared" si="45"/>
        <v>0</v>
      </c>
      <c r="T268" s="19">
        <f t="shared" si="40"/>
        <v>-273.2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4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0</v>
      </c>
      <c r="AH268" s="33"/>
      <c r="AI268" s="33" t="str">
        <f t="shared" si="41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46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273.2</v>
      </c>
      <c r="AT268" s="37">
        <f>IF(AG268="",0,IF(ISTEXT(AG268),H268*VALUE(SUBSTITUTE(AG268,"%",""))/100,H268*AG268))-Tabela1[[#This Row],[PESO EXPEDIDO2]]</f>
        <v>0</v>
      </c>
      <c r="AU268" s="37">
        <f t="shared" si="42"/>
        <v>0</v>
      </c>
      <c r="AV268" s="37">
        <f t="shared" si="43"/>
        <v>0</v>
      </c>
      <c r="AW268" s="37"/>
    </row>
    <row r="269" spans="1:49" ht="15.75" hidden="1" customHeight="1" x14ac:dyDescent="0.25">
      <c r="A269" s="6" t="s">
        <v>3906</v>
      </c>
      <c r="B269" s="21" t="s">
        <v>3909</v>
      </c>
      <c r="C269" s="7">
        <v>1</v>
      </c>
      <c r="D269" s="39" t="s">
        <v>3910</v>
      </c>
      <c r="E269" s="7">
        <v>4154</v>
      </c>
      <c r="F269" s="7" t="s">
        <v>3905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2277</v>
      </c>
      <c r="K269" s="8" t="s">
        <v>328</v>
      </c>
      <c r="L269" s="9" t="s">
        <v>2070</v>
      </c>
      <c r="M269" s="10">
        <v>46134</v>
      </c>
      <c r="N269" s="8" t="s">
        <v>328</v>
      </c>
      <c r="O269" s="12"/>
      <c r="P269" s="13"/>
      <c r="Q269" s="14">
        <f>Tabela1[[#This Row],[QTDE/ Fabricação]]-Tabela1[[#This Row],[QTE]]</f>
        <v>-1</v>
      </c>
      <c r="R269" s="18">
        <f t="shared" si="39"/>
        <v>97.8</v>
      </c>
      <c r="S269" s="18">
        <f t="shared" si="45"/>
        <v>97.8</v>
      </c>
      <c r="T269" s="19">
        <f t="shared" si="40"/>
        <v>0</v>
      </c>
      <c r="U269" s="207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4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1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46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2"/>
        <v>97.8</v>
      </c>
      <c r="AV269" s="37">
        <f t="shared" si="43"/>
        <v>97.8</v>
      </c>
      <c r="AW269" s="37"/>
    </row>
    <row r="270" spans="1:49" ht="15.75" hidden="1" customHeight="1" x14ac:dyDescent="0.25">
      <c r="A270" s="6" t="s">
        <v>3911</v>
      </c>
      <c r="B270" s="21" t="s">
        <v>3912</v>
      </c>
      <c r="C270" s="7">
        <v>1</v>
      </c>
      <c r="D270" s="39" t="s">
        <v>3913</v>
      </c>
      <c r="E270" s="7">
        <v>4155</v>
      </c>
      <c r="F270" s="7" t="s">
        <v>3905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2275</v>
      </c>
      <c r="K270" s="8" t="s">
        <v>328</v>
      </c>
      <c r="L270" s="9" t="s">
        <v>2070</v>
      </c>
      <c r="M270" s="10">
        <v>46134</v>
      </c>
      <c r="N270" s="8" t="s">
        <v>328</v>
      </c>
      <c r="O270" s="12"/>
      <c r="P270" s="13"/>
      <c r="Q270" s="14">
        <f>Tabela1[[#This Row],[QTDE/ Fabricação]]-Tabela1[[#This Row],[QTE]]</f>
        <v>-1</v>
      </c>
      <c r="R270" s="18">
        <f t="shared" si="39"/>
        <v>20.350000000000001</v>
      </c>
      <c r="S270" s="18">
        <f t="shared" si="45"/>
        <v>20.350000000000001</v>
      </c>
      <c r="T270" s="19">
        <f t="shared" si="40"/>
        <v>0</v>
      </c>
      <c r="U270" s="207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4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1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46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2"/>
        <v>20.350000000000001</v>
      </c>
      <c r="AV270" s="37">
        <f t="shared" si="43"/>
        <v>20.350000000000001</v>
      </c>
      <c r="AW270" s="37"/>
    </row>
    <row r="271" spans="1:49" ht="15.75" hidden="1" customHeight="1" x14ac:dyDescent="0.25">
      <c r="A271" s="6" t="s">
        <v>3911</v>
      </c>
      <c r="B271" s="21" t="s">
        <v>2997</v>
      </c>
      <c r="C271" s="7">
        <v>1</v>
      </c>
      <c r="D271" s="39" t="s">
        <v>3914</v>
      </c>
      <c r="E271" s="7">
        <v>4156</v>
      </c>
      <c r="F271" s="7" t="s">
        <v>3905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2275</v>
      </c>
      <c r="K271" s="8" t="s">
        <v>328</v>
      </c>
      <c r="L271" s="9" t="s">
        <v>2070</v>
      </c>
      <c r="M271" s="10">
        <v>46134</v>
      </c>
      <c r="N271" s="8" t="s">
        <v>328</v>
      </c>
      <c r="O271" s="12"/>
      <c r="P271" s="13"/>
      <c r="Q271" s="14">
        <f>Tabela1[[#This Row],[QTDE/ Fabricação]]-Tabela1[[#This Row],[QTE]]</f>
        <v>-1</v>
      </c>
      <c r="R271" s="18">
        <f t="shared" si="39"/>
        <v>1</v>
      </c>
      <c r="S271" s="18">
        <f t="shared" si="45"/>
        <v>1</v>
      </c>
      <c r="T271" s="19">
        <f t="shared" si="40"/>
        <v>0</v>
      </c>
      <c r="U271" s="207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4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1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46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2"/>
        <v>1</v>
      </c>
      <c r="AV271" s="37">
        <f t="shared" si="43"/>
        <v>1</v>
      </c>
      <c r="AW271" s="37"/>
    </row>
    <row r="272" spans="1:49" ht="15.75" hidden="1" customHeight="1" x14ac:dyDescent="0.25">
      <c r="A272" s="6" t="s">
        <v>3911</v>
      </c>
      <c r="B272" s="21" t="s">
        <v>3912</v>
      </c>
      <c r="C272" s="7">
        <v>1</v>
      </c>
      <c r="D272" s="39" t="s">
        <v>3913</v>
      </c>
      <c r="E272" s="7">
        <v>4157</v>
      </c>
      <c r="F272" s="7" t="s">
        <v>3905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2277</v>
      </c>
      <c r="K272" s="8" t="s">
        <v>328</v>
      </c>
      <c r="L272" s="9" t="s">
        <v>2070</v>
      </c>
      <c r="M272" s="10">
        <v>46134</v>
      </c>
      <c r="N272" s="8" t="s">
        <v>328</v>
      </c>
      <c r="O272" s="12"/>
      <c r="P272" s="13"/>
      <c r="Q272" s="14">
        <f>Tabela1[[#This Row],[QTDE/ Fabricação]]-Tabela1[[#This Row],[QTE]]</f>
        <v>-1</v>
      </c>
      <c r="R272" s="18">
        <f t="shared" si="39"/>
        <v>20.350000000000001</v>
      </c>
      <c r="S272" s="18">
        <f t="shared" si="45"/>
        <v>20.350000000000001</v>
      </c>
      <c r="T272" s="19">
        <f t="shared" si="40"/>
        <v>0</v>
      </c>
      <c r="U272" s="207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4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1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46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2"/>
        <v>20.350000000000001</v>
      </c>
      <c r="AV272" s="37">
        <f t="shared" si="43"/>
        <v>20.350000000000001</v>
      </c>
      <c r="AW272" s="37"/>
    </row>
    <row r="273" spans="1:49" ht="15.75" hidden="1" customHeight="1" x14ac:dyDescent="0.25">
      <c r="A273" s="6" t="s">
        <v>3911</v>
      </c>
      <c r="B273" s="21" t="s">
        <v>2997</v>
      </c>
      <c r="C273" s="7">
        <v>1</v>
      </c>
      <c r="D273" s="39" t="s">
        <v>3914</v>
      </c>
      <c r="E273" s="7">
        <v>4158</v>
      </c>
      <c r="F273" s="7" t="s">
        <v>3905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2277</v>
      </c>
      <c r="K273" s="8" t="s">
        <v>328</v>
      </c>
      <c r="L273" s="9" t="s">
        <v>2070</v>
      </c>
      <c r="M273" s="10">
        <v>46134</v>
      </c>
      <c r="N273" s="8" t="s">
        <v>328</v>
      </c>
      <c r="O273" s="12"/>
      <c r="P273" s="13"/>
      <c r="Q273" s="14">
        <f>Tabela1[[#This Row],[QTDE/ Fabricação]]-Tabela1[[#This Row],[QTE]]</f>
        <v>-1</v>
      </c>
      <c r="R273" s="18">
        <f t="shared" si="39"/>
        <v>1</v>
      </c>
      <c r="S273" s="18">
        <f t="shared" si="45"/>
        <v>1</v>
      </c>
      <c r="T273" s="19">
        <f t="shared" si="40"/>
        <v>0</v>
      </c>
      <c r="U273" s="207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4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1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46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2"/>
        <v>1</v>
      </c>
      <c r="AV273" s="37">
        <f t="shared" si="43"/>
        <v>1</v>
      </c>
      <c r="AW273" s="37"/>
    </row>
    <row r="274" spans="1:49" ht="15.75" hidden="1" customHeight="1" x14ac:dyDescent="0.25">
      <c r="A274" s="6" t="s">
        <v>3915</v>
      </c>
      <c r="B274" s="21" t="s">
        <v>3916</v>
      </c>
      <c r="C274" s="7">
        <v>30</v>
      </c>
      <c r="D274" s="39" t="s">
        <v>3917</v>
      </c>
      <c r="E274" s="7">
        <v>4159</v>
      </c>
      <c r="F274" s="7" t="s">
        <v>3918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3792</v>
      </c>
      <c r="K274" s="8" t="s">
        <v>328</v>
      </c>
      <c r="L274" s="9" t="s">
        <v>2070</v>
      </c>
      <c r="M274" s="10">
        <v>46134</v>
      </c>
      <c r="N274" s="8" t="s">
        <v>328</v>
      </c>
      <c r="O274" s="12"/>
      <c r="P274" s="13"/>
      <c r="Q274" s="14">
        <f>Tabela1[[#This Row],[QTDE/ Fabricação]]-Tabela1[[#This Row],[QTE]]</f>
        <v>-30</v>
      </c>
      <c r="R274" s="18">
        <f t="shared" si="39"/>
        <v>266.09999999999997</v>
      </c>
      <c r="S274" s="18">
        <f t="shared" si="45"/>
        <v>266.09999999999997</v>
      </c>
      <c r="T274" s="19">
        <f t="shared" si="40"/>
        <v>0</v>
      </c>
      <c r="U274" s="207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4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1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46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2"/>
        <v>266.09999999999997</v>
      </c>
      <c r="AV274" s="37">
        <f t="shared" si="43"/>
        <v>266.09999999999997</v>
      </c>
      <c r="AW274" s="37"/>
    </row>
    <row r="275" spans="1:49" ht="15.75" hidden="1" customHeight="1" x14ac:dyDescent="0.25">
      <c r="A275" s="6" t="s">
        <v>3915</v>
      </c>
      <c r="B275" s="21" t="s">
        <v>3919</v>
      </c>
      <c r="C275" s="7">
        <v>30</v>
      </c>
      <c r="D275" s="39" t="s">
        <v>3920</v>
      </c>
      <c r="E275" s="7">
        <v>4160</v>
      </c>
      <c r="F275" s="7" t="s">
        <v>3918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3792</v>
      </c>
      <c r="K275" s="8" t="s">
        <v>328</v>
      </c>
      <c r="L275" s="9" t="s">
        <v>2070</v>
      </c>
      <c r="M275" s="10">
        <v>46134</v>
      </c>
      <c r="N275" s="8" t="s">
        <v>328</v>
      </c>
      <c r="O275" s="12"/>
      <c r="P275" s="13"/>
      <c r="Q275" s="14">
        <f>Tabela1[[#This Row],[QTDE/ Fabricação]]-Tabela1[[#This Row],[QTE]]</f>
        <v>-30</v>
      </c>
      <c r="R275" s="18">
        <f t="shared" si="39"/>
        <v>266.09999999999997</v>
      </c>
      <c r="S275" s="18">
        <f t="shared" si="45"/>
        <v>266.09999999999997</v>
      </c>
      <c r="T275" s="19">
        <f t="shared" si="40"/>
        <v>0</v>
      </c>
      <c r="U275" s="207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4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1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46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2"/>
        <v>266.09999999999997</v>
      </c>
      <c r="AV275" s="37">
        <f t="shared" si="43"/>
        <v>266.09999999999997</v>
      </c>
      <c r="AW275" s="37"/>
    </row>
    <row r="276" spans="1:49" ht="15.75" hidden="1" customHeight="1" x14ac:dyDescent="0.25">
      <c r="A276" s="6" t="s">
        <v>3915</v>
      </c>
      <c r="B276" s="21" t="s">
        <v>3921</v>
      </c>
      <c r="C276" s="7">
        <v>40</v>
      </c>
      <c r="D276" s="39" t="s">
        <v>3922</v>
      </c>
      <c r="E276" s="7">
        <v>4161</v>
      </c>
      <c r="F276" s="7" t="s">
        <v>3918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3792</v>
      </c>
      <c r="K276" s="8" t="s">
        <v>328</v>
      </c>
      <c r="L276" s="9" t="s">
        <v>2070</v>
      </c>
      <c r="M276" s="10">
        <v>46134</v>
      </c>
      <c r="N276" s="8" t="s">
        <v>328</v>
      </c>
      <c r="O276" s="12"/>
      <c r="P276" s="13"/>
      <c r="Q276" s="14">
        <f>Tabela1[[#This Row],[QTDE/ Fabricação]]-Tabela1[[#This Row],[QTE]]</f>
        <v>-40</v>
      </c>
      <c r="R276" s="18">
        <f t="shared" si="39"/>
        <v>172.39999999999998</v>
      </c>
      <c r="S276" s="18">
        <f t="shared" si="45"/>
        <v>172.39999999999998</v>
      </c>
      <c r="T276" s="19">
        <f t="shared" si="40"/>
        <v>0</v>
      </c>
      <c r="U276" s="207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4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1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46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2"/>
        <v>172.39999999999998</v>
      </c>
      <c r="AV276" s="37">
        <f t="shared" si="43"/>
        <v>172.39999999999998</v>
      </c>
      <c r="AW276" s="37"/>
    </row>
    <row r="277" spans="1:49" ht="15.75" hidden="1" customHeight="1" x14ac:dyDescent="0.25">
      <c r="A277" s="6" t="s">
        <v>3915</v>
      </c>
      <c r="B277" s="21" t="s">
        <v>3923</v>
      </c>
      <c r="C277" s="7">
        <v>10</v>
      </c>
      <c r="D277" s="39" t="s">
        <v>3924</v>
      </c>
      <c r="E277" s="7">
        <v>4162</v>
      </c>
      <c r="F277" s="7" t="s">
        <v>3918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3792</v>
      </c>
      <c r="K277" s="8" t="s">
        <v>328</v>
      </c>
      <c r="L277" s="9" t="s">
        <v>2070</v>
      </c>
      <c r="M277" s="10">
        <v>46134</v>
      </c>
      <c r="N277" s="8" t="s">
        <v>328</v>
      </c>
      <c r="O277" s="12"/>
      <c r="P277" s="13"/>
      <c r="Q277" s="14">
        <f>Tabela1[[#This Row],[QTDE/ Fabricação]]-Tabela1[[#This Row],[QTE]]</f>
        <v>-10</v>
      </c>
      <c r="R277" s="18">
        <f t="shared" si="39"/>
        <v>836</v>
      </c>
      <c r="S277" s="18">
        <f t="shared" si="45"/>
        <v>836</v>
      </c>
      <c r="T277" s="19">
        <f t="shared" si="40"/>
        <v>0</v>
      </c>
      <c r="U277" s="207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4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1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46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2"/>
        <v>836</v>
      </c>
      <c r="AV277" s="37">
        <f t="shared" si="43"/>
        <v>836</v>
      </c>
      <c r="AW277" s="37"/>
    </row>
    <row r="278" spans="1:49" ht="15.75" hidden="1" customHeight="1" x14ac:dyDescent="0.25">
      <c r="A278" s="6" t="s">
        <v>3915</v>
      </c>
      <c r="B278" s="21" t="s">
        <v>3925</v>
      </c>
      <c r="C278" s="7">
        <v>10</v>
      </c>
      <c r="D278" s="39" t="s">
        <v>3926</v>
      </c>
      <c r="E278" s="7">
        <v>4163</v>
      </c>
      <c r="F278" s="7" t="s">
        <v>3918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3792</v>
      </c>
      <c r="K278" s="8" t="s">
        <v>328</v>
      </c>
      <c r="L278" s="9" t="s">
        <v>2070</v>
      </c>
      <c r="M278" s="10">
        <v>46134</v>
      </c>
      <c r="N278" s="8" t="s">
        <v>328</v>
      </c>
      <c r="O278" s="12"/>
      <c r="P278" s="13"/>
      <c r="Q278" s="14">
        <f>Tabela1[[#This Row],[QTDE/ Fabricação]]-Tabela1[[#This Row],[QTE]]</f>
        <v>-10</v>
      </c>
      <c r="R278" s="18">
        <f t="shared" si="39"/>
        <v>836</v>
      </c>
      <c r="S278" s="18">
        <f t="shared" si="45"/>
        <v>836</v>
      </c>
      <c r="T278" s="19">
        <f t="shared" si="40"/>
        <v>0</v>
      </c>
      <c r="U278" s="207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4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1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46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2"/>
        <v>836</v>
      </c>
      <c r="AV278" s="37">
        <f t="shared" si="43"/>
        <v>836</v>
      </c>
      <c r="AW278" s="37"/>
    </row>
    <row r="279" spans="1:49" ht="15.75" hidden="1" customHeight="1" x14ac:dyDescent="0.25">
      <c r="A279" s="6" t="s">
        <v>3915</v>
      </c>
      <c r="B279" s="21" t="s">
        <v>3927</v>
      </c>
      <c r="C279" s="7">
        <v>22</v>
      </c>
      <c r="D279" s="39" t="s">
        <v>3928</v>
      </c>
      <c r="E279" s="7">
        <v>4164</v>
      </c>
      <c r="F279" s="7" t="s">
        <v>3918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3792</v>
      </c>
      <c r="K279" s="8" t="s">
        <v>328</v>
      </c>
      <c r="L279" s="9" t="s">
        <v>2070</v>
      </c>
      <c r="M279" s="10">
        <v>46134</v>
      </c>
      <c r="N279" s="8" t="s">
        <v>328</v>
      </c>
      <c r="O279" s="12"/>
      <c r="P279" s="13"/>
      <c r="Q279" s="14">
        <f>Tabela1[[#This Row],[QTDE/ Fabricação]]-Tabela1[[#This Row],[QTE]]</f>
        <v>-22</v>
      </c>
      <c r="R279" s="18">
        <f t="shared" si="39"/>
        <v>62.7</v>
      </c>
      <c r="S279" s="18">
        <f t="shared" si="45"/>
        <v>62.7</v>
      </c>
      <c r="T279" s="19">
        <f t="shared" si="40"/>
        <v>0</v>
      </c>
      <c r="U279" s="207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4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1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46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2"/>
        <v>62.7</v>
      </c>
      <c r="AV279" s="37">
        <f t="shared" si="43"/>
        <v>62.7</v>
      </c>
      <c r="AW279" s="37"/>
    </row>
    <row r="280" spans="1:49" ht="15.75" hidden="1" customHeight="1" x14ac:dyDescent="0.25">
      <c r="A280" s="6" t="s">
        <v>3915</v>
      </c>
      <c r="B280" s="21" t="s">
        <v>3929</v>
      </c>
      <c r="C280" s="7">
        <v>2</v>
      </c>
      <c r="D280" s="39" t="s">
        <v>3930</v>
      </c>
      <c r="E280" s="7">
        <v>4165</v>
      </c>
      <c r="F280" s="7" t="s">
        <v>3918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3792</v>
      </c>
      <c r="K280" s="8" t="s">
        <v>328</v>
      </c>
      <c r="L280" s="9" t="s">
        <v>2070</v>
      </c>
      <c r="M280" s="10">
        <v>46134</v>
      </c>
      <c r="N280" s="8" t="s">
        <v>328</v>
      </c>
      <c r="O280" s="12"/>
      <c r="P280" s="13"/>
      <c r="Q280" s="14">
        <f>Tabela1[[#This Row],[QTDE/ Fabricação]]-Tabela1[[#This Row],[QTE]]</f>
        <v>-2</v>
      </c>
      <c r="R280" s="18">
        <f t="shared" si="39"/>
        <v>46</v>
      </c>
      <c r="S280" s="18">
        <f t="shared" si="45"/>
        <v>46</v>
      </c>
      <c r="T280" s="19">
        <f t="shared" si="40"/>
        <v>0</v>
      </c>
      <c r="U280" s="207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4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1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46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2"/>
        <v>46</v>
      </c>
      <c r="AV280" s="37">
        <f t="shared" si="43"/>
        <v>46</v>
      </c>
      <c r="AW280" s="37"/>
    </row>
    <row r="281" spans="1:49" ht="15.75" hidden="1" customHeight="1" x14ac:dyDescent="0.25">
      <c r="A281" s="6" t="s">
        <v>3915</v>
      </c>
      <c r="B281" s="21" t="s">
        <v>3931</v>
      </c>
      <c r="C281" s="7">
        <v>60</v>
      </c>
      <c r="D281" s="39" t="s">
        <v>3899</v>
      </c>
      <c r="E281" s="7">
        <v>4166</v>
      </c>
      <c r="F281" s="7" t="s">
        <v>3918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3792</v>
      </c>
      <c r="K281" s="8" t="s">
        <v>328</v>
      </c>
      <c r="L281" s="9" t="s">
        <v>2070</v>
      </c>
      <c r="M281" s="10">
        <v>46134</v>
      </c>
      <c r="N281" s="8" t="s">
        <v>328</v>
      </c>
      <c r="O281" s="12"/>
      <c r="P281" s="13"/>
      <c r="Q281" s="14">
        <f>Tabela1[[#This Row],[QTDE/ Fabricação]]-Tabela1[[#This Row],[QTE]]</f>
        <v>-60</v>
      </c>
      <c r="R281" s="18">
        <f t="shared" si="39"/>
        <v>38.4</v>
      </c>
      <c r="S281" s="18">
        <f t="shared" si="45"/>
        <v>38.4</v>
      </c>
      <c r="T281" s="19">
        <f t="shared" si="40"/>
        <v>0</v>
      </c>
      <c r="U281" s="207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4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1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46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2"/>
        <v>38.4</v>
      </c>
      <c r="AV281" s="37">
        <f t="shared" si="43"/>
        <v>38.4</v>
      </c>
      <c r="AW281" s="37"/>
    </row>
    <row r="282" spans="1:49" ht="15.75" hidden="1" customHeight="1" x14ac:dyDescent="0.25">
      <c r="A282" s="6" t="s">
        <v>3932</v>
      </c>
      <c r="B282" s="21" t="s">
        <v>3933</v>
      </c>
      <c r="C282" s="7">
        <v>1</v>
      </c>
      <c r="D282" s="39" t="s">
        <v>3783</v>
      </c>
      <c r="E282" s="7">
        <v>4167</v>
      </c>
      <c r="F282" s="7" t="s">
        <v>3934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2275</v>
      </c>
      <c r="K282" s="8" t="s">
        <v>328</v>
      </c>
      <c r="L282" s="9" t="s">
        <v>2070</v>
      </c>
      <c r="M282" s="10">
        <v>46150</v>
      </c>
      <c r="N282" s="8" t="s">
        <v>328</v>
      </c>
      <c r="O282" s="12"/>
      <c r="P282" s="13"/>
      <c r="Q282" s="14">
        <f>Tabela1[[#This Row],[QTDE/ Fabricação]]-Tabela1[[#This Row],[QTE]]</f>
        <v>-1</v>
      </c>
      <c r="R282" s="18">
        <f t="shared" ref="R282:R345" si="47">IFERROR(H282*((AA282*0.25)+(AC282*0.25)+(AD282*0.225)+(AE282*0.225)+(AF282*0.05)),"")</f>
        <v>466.3</v>
      </c>
      <c r="S282" s="18">
        <f t="shared" si="45"/>
        <v>466.3</v>
      </c>
      <c r="T282" s="19">
        <f t="shared" ref="T282:T345" si="48">IFERROR(S282-H282,"")</f>
        <v>0</v>
      </c>
      <c r="U282" s="207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4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1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46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2"/>
        <v>466.3</v>
      </c>
      <c r="AV282" s="37">
        <f t="shared" si="43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3783</v>
      </c>
      <c r="E283" s="7">
        <v>4168</v>
      </c>
      <c r="F283" s="7" t="s">
        <v>3934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2277</v>
      </c>
      <c r="K283" s="8" t="s">
        <v>328</v>
      </c>
      <c r="L283" s="9" t="s">
        <v>2070</v>
      </c>
      <c r="M283" s="10">
        <v>46150</v>
      </c>
      <c r="N283" s="8" t="s">
        <v>328</v>
      </c>
      <c r="O283" s="12"/>
      <c r="P283" s="13"/>
      <c r="Q283" s="14">
        <f>Tabela1[[#This Row],[QTDE/ Fabricação]]-Tabela1[[#This Row],[QTE]]</f>
        <v>-1</v>
      </c>
      <c r="R283" s="18">
        <f t="shared" si="47"/>
        <v>466.3</v>
      </c>
      <c r="S283" s="18">
        <f t="shared" si="45"/>
        <v>466.3</v>
      </c>
      <c r="T283" s="19">
        <f t="shared" si="48"/>
        <v>0</v>
      </c>
      <c r="U283" s="207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4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1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46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2"/>
        <v>466.3</v>
      </c>
      <c r="AV283" s="37">
        <f t="shared" si="43"/>
        <v>466.3</v>
      </c>
      <c r="AW283" s="37"/>
    </row>
    <row r="284" spans="1:49" ht="15.75" hidden="1" customHeight="1" x14ac:dyDescent="0.25">
      <c r="A284" s="6" t="s">
        <v>3935</v>
      </c>
      <c r="B284" s="21" t="s">
        <v>3936</v>
      </c>
      <c r="C284" s="7">
        <v>1</v>
      </c>
      <c r="D284" s="39" t="s">
        <v>3783</v>
      </c>
      <c r="E284" s="7">
        <v>4169</v>
      </c>
      <c r="F284" s="7" t="s">
        <v>3934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2275</v>
      </c>
      <c r="K284" s="8" t="s">
        <v>328</v>
      </c>
      <c r="L284" s="9" t="s">
        <v>2070</v>
      </c>
      <c r="M284" s="10">
        <v>46150</v>
      </c>
      <c r="N284" s="8" t="s">
        <v>328</v>
      </c>
      <c r="O284" s="12"/>
      <c r="P284" s="13"/>
      <c r="Q284" s="14">
        <f>Tabela1[[#This Row],[QTDE/ Fabricação]]-Tabela1[[#This Row],[QTE]]</f>
        <v>-1</v>
      </c>
      <c r="R284" s="18">
        <f t="shared" si="47"/>
        <v>320.39999999999998</v>
      </c>
      <c r="S284" s="18">
        <f t="shared" si="45"/>
        <v>320.39999999999998</v>
      </c>
      <c r="T284" s="19">
        <f t="shared" si="48"/>
        <v>0</v>
      </c>
      <c r="U284" s="207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4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49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46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2"/>
        <v>320.39999999999998</v>
      </c>
      <c r="AV284" s="37">
        <f t="shared" si="43"/>
        <v>320.39999999999998</v>
      </c>
      <c r="AW284" s="37"/>
    </row>
    <row r="285" spans="1:49" ht="15.75" hidden="1" customHeight="1" x14ac:dyDescent="0.25">
      <c r="A285" s="6" t="s">
        <v>3935</v>
      </c>
      <c r="B285" s="21" t="s">
        <v>3936</v>
      </c>
      <c r="C285" s="7">
        <v>1</v>
      </c>
      <c r="D285" s="39" t="s">
        <v>3783</v>
      </c>
      <c r="E285" s="7">
        <v>4170</v>
      </c>
      <c r="F285" s="7" t="s">
        <v>3934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2277</v>
      </c>
      <c r="K285" s="8" t="s">
        <v>328</v>
      </c>
      <c r="L285" s="9" t="s">
        <v>2070</v>
      </c>
      <c r="M285" s="10">
        <v>46150</v>
      </c>
      <c r="N285" s="8" t="s">
        <v>328</v>
      </c>
      <c r="O285" s="12"/>
      <c r="P285" s="13"/>
      <c r="Q285" s="14">
        <f>Tabela1[[#This Row],[QTDE/ Fabricação]]-Tabela1[[#This Row],[QTE]]</f>
        <v>-1</v>
      </c>
      <c r="R285" s="18">
        <f t="shared" si="47"/>
        <v>320.39999999999998</v>
      </c>
      <c r="S285" s="18">
        <f t="shared" si="45"/>
        <v>320.39999999999998</v>
      </c>
      <c r="T285" s="19">
        <f t="shared" si="48"/>
        <v>0</v>
      </c>
      <c r="U285" s="207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4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49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46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2"/>
        <v>320.39999999999998</v>
      </c>
      <c r="AV285" s="37">
        <f t="shared" si="43"/>
        <v>320.39999999999998</v>
      </c>
      <c r="AW285" s="37"/>
    </row>
    <row r="286" spans="1:49" ht="15.75" hidden="1" customHeight="1" x14ac:dyDescent="0.25">
      <c r="A286" s="6" t="s">
        <v>3937</v>
      </c>
      <c r="B286" s="21" t="s">
        <v>3938</v>
      </c>
      <c r="C286" s="7">
        <v>1</v>
      </c>
      <c r="D286" s="39" t="s">
        <v>3939</v>
      </c>
      <c r="E286" s="7">
        <v>4171</v>
      </c>
      <c r="F286" s="7" t="s">
        <v>3934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2275</v>
      </c>
      <c r="K286" s="8" t="s">
        <v>328</v>
      </c>
      <c r="L286" s="9" t="s">
        <v>2070</v>
      </c>
      <c r="M286" s="10">
        <v>46136</v>
      </c>
      <c r="N286" s="8" t="s">
        <v>328</v>
      </c>
      <c r="O286" s="12"/>
      <c r="P286" s="13"/>
      <c r="Q286" s="14">
        <f>Tabela1[[#This Row],[QTDE/ Fabricação]]-Tabela1[[#This Row],[QTE]]</f>
        <v>-1</v>
      </c>
      <c r="R286" s="18">
        <f t="shared" si="47"/>
        <v>32.9</v>
      </c>
      <c r="S286" s="18">
        <f t="shared" si="45"/>
        <v>32.9</v>
      </c>
      <c r="T286" s="19">
        <f t="shared" si="48"/>
        <v>0</v>
      </c>
      <c r="U286" s="207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4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49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46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2"/>
        <v>32.9</v>
      </c>
      <c r="AV286" s="37">
        <f t="shared" si="43"/>
        <v>32.9</v>
      </c>
      <c r="AW286" s="37"/>
    </row>
    <row r="287" spans="1:49" ht="15.75" hidden="1" customHeight="1" x14ac:dyDescent="0.25">
      <c r="A287" s="6" t="s">
        <v>3937</v>
      </c>
      <c r="B287" s="21" t="s">
        <v>3940</v>
      </c>
      <c r="C287" s="7">
        <v>1</v>
      </c>
      <c r="D287" s="39" t="s">
        <v>3939</v>
      </c>
      <c r="E287" s="7">
        <v>4172</v>
      </c>
      <c r="F287" s="7" t="s">
        <v>3934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2275</v>
      </c>
      <c r="K287" s="8" t="s">
        <v>328</v>
      </c>
      <c r="L287" s="9" t="s">
        <v>2070</v>
      </c>
      <c r="M287" s="10">
        <v>46136</v>
      </c>
      <c r="N287" s="8" t="s">
        <v>328</v>
      </c>
      <c r="O287" s="12"/>
      <c r="P287" s="13"/>
      <c r="Q287" s="14">
        <f>Tabela1[[#This Row],[QTDE/ Fabricação]]-Tabela1[[#This Row],[QTE]]</f>
        <v>-1</v>
      </c>
      <c r="R287" s="18">
        <f t="shared" si="47"/>
        <v>45.6</v>
      </c>
      <c r="S287" s="18">
        <f t="shared" si="45"/>
        <v>45.6</v>
      </c>
      <c r="T287" s="19">
        <f t="shared" si="48"/>
        <v>0</v>
      </c>
      <c r="U287" s="207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4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49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46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2"/>
        <v>45.6</v>
      </c>
      <c r="AV287" s="37">
        <f t="shared" si="43"/>
        <v>45.6</v>
      </c>
      <c r="AW287" s="37"/>
    </row>
    <row r="288" spans="1:49" ht="15.75" hidden="1" customHeight="1" x14ac:dyDescent="0.25">
      <c r="A288" s="6" t="s">
        <v>3937</v>
      </c>
      <c r="B288" s="21" t="s">
        <v>3941</v>
      </c>
      <c r="C288" s="7">
        <v>1</v>
      </c>
      <c r="D288" s="39" t="s">
        <v>3939</v>
      </c>
      <c r="E288" s="7">
        <v>4173</v>
      </c>
      <c r="F288" s="7" t="s">
        <v>3934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2275</v>
      </c>
      <c r="K288" s="8" t="s">
        <v>328</v>
      </c>
      <c r="L288" s="9" t="s">
        <v>2070</v>
      </c>
      <c r="M288" s="10">
        <v>46136</v>
      </c>
      <c r="N288" s="8" t="s">
        <v>328</v>
      </c>
      <c r="O288" s="12"/>
      <c r="P288" s="13"/>
      <c r="Q288" s="14">
        <f>Tabela1[[#This Row],[QTDE/ Fabricação]]-Tabela1[[#This Row],[QTE]]</f>
        <v>-1</v>
      </c>
      <c r="R288" s="18">
        <f t="shared" si="47"/>
        <v>22.2</v>
      </c>
      <c r="S288" s="18">
        <f t="shared" si="45"/>
        <v>22.2</v>
      </c>
      <c r="T288" s="19">
        <f t="shared" si="48"/>
        <v>0</v>
      </c>
      <c r="U288" s="207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4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49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46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2"/>
        <v>22.2</v>
      </c>
      <c r="AV288" s="37">
        <f t="shared" si="43"/>
        <v>22.2</v>
      </c>
      <c r="AW288" s="37"/>
    </row>
    <row r="289" spans="1:49" ht="15.75" hidden="1" customHeight="1" x14ac:dyDescent="0.25">
      <c r="A289" s="6" t="s">
        <v>3937</v>
      </c>
      <c r="B289" s="21" t="s">
        <v>3942</v>
      </c>
      <c r="C289" s="7">
        <v>1</v>
      </c>
      <c r="D289" s="39" t="s">
        <v>3939</v>
      </c>
      <c r="E289" s="7">
        <v>4174</v>
      </c>
      <c r="F289" s="7" t="s">
        <v>3934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2275</v>
      </c>
      <c r="K289" s="8" t="s">
        <v>328</v>
      </c>
      <c r="L289" s="9" t="s">
        <v>2070</v>
      </c>
      <c r="M289" s="10">
        <v>46136</v>
      </c>
      <c r="N289" s="8" t="s">
        <v>328</v>
      </c>
      <c r="O289" s="12"/>
      <c r="P289" s="13"/>
      <c r="Q289" s="14">
        <f>Tabela1[[#This Row],[QTDE/ Fabricação]]-Tabela1[[#This Row],[QTE]]</f>
        <v>-1</v>
      </c>
      <c r="R289" s="18">
        <f t="shared" si="47"/>
        <v>34</v>
      </c>
      <c r="S289" s="18">
        <f t="shared" si="45"/>
        <v>34</v>
      </c>
      <c r="T289" s="19">
        <f t="shared" si="48"/>
        <v>0</v>
      </c>
      <c r="U289" s="207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4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49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46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2"/>
        <v>34</v>
      </c>
      <c r="AV289" s="37">
        <f t="shared" si="43"/>
        <v>34</v>
      </c>
      <c r="AW289" s="37"/>
    </row>
    <row r="290" spans="1:49" ht="15.75" hidden="1" customHeight="1" x14ac:dyDescent="0.25">
      <c r="A290" s="6" t="s">
        <v>3937</v>
      </c>
      <c r="B290" s="21" t="s">
        <v>3943</v>
      </c>
      <c r="C290" s="7">
        <v>1</v>
      </c>
      <c r="D290" s="39" t="s">
        <v>3939</v>
      </c>
      <c r="E290" s="7">
        <v>4175</v>
      </c>
      <c r="F290" s="7" t="s">
        <v>3934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2275</v>
      </c>
      <c r="K290" s="8" t="s">
        <v>328</v>
      </c>
      <c r="L290" s="9" t="s">
        <v>2070</v>
      </c>
      <c r="M290" s="10">
        <v>46136</v>
      </c>
      <c r="N290" s="8" t="s">
        <v>328</v>
      </c>
      <c r="O290" s="12"/>
      <c r="P290" s="13"/>
      <c r="Q290" s="14">
        <f>Tabela1[[#This Row],[QTDE/ Fabricação]]-Tabela1[[#This Row],[QTE]]</f>
        <v>-1</v>
      </c>
      <c r="R290" s="18">
        <f t="shared" si="47"/>
        <v>10.199999999999999</v>
      </c>
      <c r="S290" s="18">
        <f t="shared" si="45"/>
        <v>10.199999999999999</v>
      </c>
      <c r="T290" s="19">
        <f t="shared" si="48"/>
        <v>0</v>
      </c>
      <c r="U290" s="207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4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49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46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2"/>
        <v>10.199999999999999</v>
      </c>
      <c r="AV290" s="37">
        <f t="shared" si="43"/>
        <v>10.199999999999999</v>
      </c>
      <c r="AW290" s="37"/>
    </row>
    <row r="291" spans="1:49" ht="15.75" hidden="1" customHeight="1" x14ac:dyDescent="0.25">
      <c r="A291" s="6" t="s">
        <v>3937</v>
      </c>
      <c r="B291" s="21" t="s">
        <v>3944</v>
      </c>
      <c r="C291" s="7">
        <v>1</v>
      </c>
      <c r="D291" s="39" t="s">
        <v>3939</v>
      </c>
      <c r="E291" s="7">
        <v>4176</v>
      </c>
      <c r="F291" s="7" t="s">
        <v>3934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2275</v>
      </c>
      <c r="K291" s="8" t="s">
        <v>328</v>
      </c>
      <c r="L291" s="9" t="s">
        <v>2070</v>
      </c>
      <c r="M291" s="10">
        <v>46136</v>
      </c>
      <c r="N291" s="8" t="s">
        <v>328</v>
      </c>
      <c r="O291" s="12"/>
      <c r="P291" s="13"/>
      <c r="Q291" s="14">
        <f>Tabela1[[#This Row],[QTDE/ Fabricação]]-Tabela1[[#This Row],[QTE]]</f>
        <v>-1</v>
      </c>
      <c r="R291" s="18">
        <f t="shared" si="47"/>
        <v>49.8</v>
      </c>
      <c r="S291" s="18">
        <f t="shared" si="45"/>
        <v>49.8</v>
      </c>
      <c r="T291" s="19">
        <f t="shared" si="48"/>
        <v>0</v>
      </c>
      <c r="U291" s="207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4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49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46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2"/>
        <v>49.8</v>
      </c>
      <c r="AV291" s="37">
        <f t="shared" si="43"/>
        <v>49.8</v>
      </c>
      <c r="AW291" s="37"/>
    </row>
    <row r="292" spans="1:49" ht="15.75" hidden="1" customHeight="1" x14ac:dyDescent="0.25">
      <c r="A292" s="6" t="s">
        <v>3937</v>
      </c>
      <c r="B292" s="21" t="s">
        <v>3945</v>
      </c>
      <c r="C292" s="7">
        <v>1</v>
      </c>
      <c r="D292" s="39" t="s">
        <v>3939</v>
      </c>
      <c r="E292" s="7">
        <v>4177</v>
      </c>
      <c r="F292" s="7" t="s">
        <v>3934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2275</v>
      </c>
      <c r="K292" s="8" t="s">
        <v>328</v>
      </c>
      <c r="L292" s="9" t="s">
        <v>2070</v>
      </c>
      <c r="M292" s="10">
        <v>46136</v>
      </c>
      <c r="N292" s="8" t="s">
        <v>328</v>
      </c>
      <c r="O292" s="12"/>
      <c r="P292" s="13"/>
      <c r="Q292" s="14">
        <f>Tabela1[[#This Row],[QTDE/ Fabricação]]-Tabela1[[#This Row],[QTE]]</f>
        <v>-1</v>
      </c>
      <c r="R292" s="18">
        <f t="shared" si="47"/>
        <v>24.3</v>
      </c>
      <c r="S292" s="18">
        <f t="shared" si="45"/>
        <v>24.3</v>
      </c>
      <c r="T292" s="19">
        <f t="shared" si="48"/>
        <v>0</v>
      </c>
      <c r="U292" s="207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4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49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46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2"/>
        <v>24.3</v>
      </c>
      <c r="AV292" s="37">
        <f t="shared" si="43"/>
        <v>24.3</v>
      </c>
      <c r="AW292" s="37"/>
    </row>
    <row r="293" spans="1:49" ht="15.75" hidden="1" customHeight="1" x14ac:dyDescent="0.25">
      <c r="A293" s="6" t="s">
        <v>3937</v>
      </c>
      <c r="B293" s="21" t="s">
        <v>3946</v>
      </c>
      <c r="C293" s="7">
        <v>4</v>
      </c>
      <c r="D293" s="39" t="s">
        <v>3947</v>
      </c>
      <c r="E293" s="7">
        <v>4178</v>
      </c>
      <c r="F293" s="7" t="s">
        <v>3934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2275</v>
      </c>
      <c r="K293" s="8" t="s">
        <v>328</v>
      </c>
      <c r="L293" s="9" t="s">
        <v>2070</v>
      </c>
      <c r="M293" s="10">
        <v>46136</v>
      </c>
      <c r="N293" s="8" t="s">
        <v>328</v>
      </c>
      <c r="O293" s="12"/>
      <c r="P293" s="13"/>
      <c r="Q293" s="14">
        <f>Tabela1[[#This Row],[QTDE/ Fabricação]]-Tabela1[[#This Row],[QTE]]</f>
        <v>-4</v>
      </c>
      <c r="R293" s="18">
        <f t="shared" si="47"/>
        <v>108.8</v>
      </c>
      <c r="S293" s="18">
        <f t="shared" si="45"/>
        <v>0</v>
      </c>
      <c r="T293" s="19">
        <f t="shared" si="48"/>
        <v>-108.8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4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0</v>
      </c>
      <c r="AH293" s="33"/>
      <c r="AI293" s="33" t="str">
        <f t="shared" si="49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46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108.8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50">IF(AH293="",0,IF(ISTEXT(AH293),H293*VALUE(SUBSTITUTE(AH293,"%",""))/100,H293*AH293))</f>
        <v>0</v>
      </c>
      <c r="AV293" s="37">
        <f t="shared" ref="AV293:AV356" si="51">IF(AG293="",0,IF(ISTEXT(AG293),H293*VALUE(SUBSTITUTE(AG293,"%",""))/100,H293*AG293))</f>
        <v>0</v>
      </c>
      <c r="AW293" s="37"/>
    </row>
    <row r="294" spans="1:49" ht="15.75" hidden="1" customHeight="1" x14ac:dyDescent="0.25">
      <c r="A294" s="6" t="s">
        <v>3937</v>
      </c>
      <c r="B294" s="21" t="s">
        <v>3938</v>
      </c>
      <c r="C294" s="7">
        <v>1</v>
      </c>
      <c r="D294" s="39" t="s">
        <v>3939</v>
      </c>
      <c r="E294" s="7">
        <v>4179</v>
      </c>
      <c r="F294" s="7" t="s">
        <v>3934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2277</v>
      </c>
      <c r="K294" s="8" t="s">
        <v>328</v>
      </c>
      <c r="L294" s="9" t="s">
        <v>2070</v>
      </c>
      <c r="M294" s="10">
        <v>46136</v>
      </c>
      <c r="N294" s="8" t="s">
        <v>328</v>
      </c>
      <c r="O294" s="12"/>
      <c r="P294" s="13"/>
      <c r="Q294" s="14">
        <f>Tabela1[[#This Row],[QTDE/ Fabricação]]-Tabela1[[#This Row],[QTE]]</f>
        <v>-1</v>
      </c>
      <c r="R294" s="18">
        <f t="shared" si="47"/>
        <v>32.9</v>
      </c>
      <c r="S294" s="18">
        <f t="shared" si="45"/>
        <v>32.9</v>
      </c>
      <c r="T294" s="19">
        <f t="shared" si="48"/>
        <v>0</v>
      </c>
      <c r="U294" s="207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4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49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46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0"/>
        <v>32.9</v>
      </c>
      <c r="AV294" s="37">
        <f t="shared" si="51"/>
        <v>32.9</v>
      </c>
      <c r="AW294" s="37"/>
    </row>
    <row r="295" spans="1:49" ht="15.75" hidden="1" customHeight="1" x14ac:dyDescent="0.25">
      <c r="A295" s="6" t="s">
        <v>3937</v>
      </c>
      <c r="B295" s="21" t="s">
        <v>3940</v>
      </c>
      <c r="C295" s="7">
        <v>1</v>
      </c>
      <c r="D295" s="39" t="s">
        <v>3939</v>
      </c>
      <c r="E295" s="7">
        <v>4180</v>
      </c>
      <c r="F295" s="7" t="s">
        <v>3934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2277</v>
      </c>
      <c r="K295" s="8" t="s">
        <v>328</v>
      </c>
      <c r="L295" s="9" t="s">
        <v>2070</v>
      </c>
      <c r="M295" s="10">
        <v>46136</v>
      </c>
      <c r="N295" s="8" t="s">
        <v>328</v>
      </c>
      <c r="O295" s="12"/>
      <c r="P295" s="13"/>
      <c r="Q295" s="14">
        <f>Tabela1[[#This Row],[QTDE/ Fabricação]]-Tabela1[[#This Row],[QTE]]</f>
        <v>-1</v>
      </c>
      <c r="R295" s="18">
        <f t="shared" si="47"/>
        <v>45.6</v>
      </c>
      <c r="S295" s="18">
        <f t="shared" si="45"/>
        <v>45.6</v>
      </c>
      <c r="T295" s="19">
        <f t="shared" si="48"/>
        <v>0</v>
      </c>
      <c r="U295" s="207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4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49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46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0"/>
        <v>45.6</v>
      </c>
      <c r="AV295" s="37">
        <f t="shared" si="51"/>
        <v>45.6</v>
      </c>
      <c r="AW295" s="37"/>
    </row>
    <row r="296" spans="1:49" ht="15.75" hidden="1" customHeight="1" x14ac:dyDescent="0.25">
      <c r="A296" s="6" t="s">
        <v>3937</v>
      </c>
      <c r="B296" s="21" t="s">
        <v>3941</v>
      </c>
      <c r="C296" s="7">
        <v>1</v>
      </c>
      <c r="D296" s="39" t="s">
        <v>3939</v>
      </c>
      <c r="E296" s="7">
        <v>4181</v>
      </c>
      <c r="F296" s="7" t="s">
        <v>3934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2277</v>
      </c>
      <c r="K296" s="8" t="s">
        <v>328</v>
      </c>
      <c r="L296" s="9" t="s">
        <v>2070</v>
      </c>
      <c r="M296" s="10">
        <v>46136</v>
      </c>
      <c r="N296" s="8" t="s">
        <v>328</v>
      </c>
      <c r="O296" s="12"/>
      <c r="P296" s="13"/>
      <c r="Q296" s="14">
        <f>Tabela1[[#This Row],[QTDE/ Fabricação]]-Tabela1[[#This Row],[QTE]]</f>
        <v>-1</v>
      </c>
      <c r="R296" s="18">
        <f t="shared" si="47"/>
        <v>22.2</v>
      </c>
      <c r="S296" s="18">
        <f t="shared" si="45"/>
        <v>22.2</v>
      </c>
      <c r="T296" s="19">
        <f t="shared" si="48"/>
        <v>0</v>
      </c>
      <c r="U296" s="207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4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49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46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0"/>
        <v>22.2</v>
      </c>
      <c r="AV296" s="37">
        <f t="shared" si="51"/>
        <v>22.2</v>
      </c>
      <c r="AW296" s="37"/>
    </row>
    <row r="297" spans="1:49" ht="15.75" hidden="1" customHeight="1" x14ac:dyDescent="0.25">
      <c r="A297" s="6" t="s">
        <v>3937</v>
      </c>
      <c r="B297" s="21" t="s">
        <v>3942</v>
      </c>
      <c r="C297" s="7">
        <v>1</v>
      </c>
      <c r="D297" s="39" t="s">
        <v>3939</v>
      </c>
      <c r="E297" s="7">
        <v>4182</v>
      </c>
      <c r="F297" s="7" t="s">
        <v>3934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2277</v>
      </c>
      <c r="K297" s="8" t="s">
        <v>328</v>
      </c>
      <c r="L297" s="9" t="s">
        <v>2070</v>
      </c>
      <c r="M297" s="10">
        <v>46136</v>
      </c>
      <c r="N297" s="8" t="s">
        <v>328</v>
      </c>
      <c r="O297" s="12"/>
      <c r="P297" s="13"/>
      <c r="Q297" s="14">
        <f>Tabela1[[#This Row],[QTDE/ Fabricação]]-Tabela1[[#This Row],[QTE]]</f>
        <v>-1</v>
      </c>
      <c r="R297" s="18">
        <f t="shared" si="47"/>
        <v>34</v>
      </c>
      <c r="S297" s="18">
        <f t="shared" si="45"/>
        <v>34</v>
      </c>
      <c r="T297" s="19">
        <f t="shared" si="48"/>
        <v>0</v>
      </c>
      <c r="U297" s="207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4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49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46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0"/>
        <v>34</v>
      </c>
      <c r="AV297" s="37">
        <f t="shared" si="51"/>
        <v>34</v>
      </c>
      <c r="AW297" s="37"/>
    </row>
    <row r="298" spans="1:49" ht="15.75" hidden="1" customHeight="1" x14ac:dyDescent="0.25">
      <c r="A298" s="6" t="s">
        <v>3937</v>
      </c>
      <c r="B298" s="21" t="s">
        <v>3943</v>
      </c>
      <c r="C298" s="7">
        <v>1</v>
      </c>
      <c r="D298" s="39" t="s">
        <v>3939</v>
      </c>
      <c r="E298" s="7">
        <v>4183</v>
      </c>
      <c r="F298" s="7" t="s">
        <v>3934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2277</v>
      </c>
      <c r="K298" s="8" t="s">
        <v>328</v>
      </c>
      <c r="L298" s="9" t="s">
        <v>2070</v>
      </c>
      <c r="M298" s="10">
        <v>46136</v>
      </c>
      <c r="N298" s="8" t="s">
        <v>328</v>
      </c>
      <c r="O298" s="12"/>
      <c r="P298" s="13"/>
      <c r="Q298" s="14">
        <f>Tabela1[[#This Row],[QTDE/ Fabricação]]-Tabela1[[#This Row],[QTE]]</f>
        <v>-1</v>
      </c>
      <c r="R298" s="18">
        <f t="shared" si="47"/>
        <v>10.199999999999999</v>
      </c>
      <c r="S298" s="18">
        <f t="shared" si="45"/>
        <v>10.199999999999999</v>
      </c>
      <c r="T298" s="19">
        <f t="shared" si="48"/>
        <v>0</v>
      </c>
      <c r="U298" s="207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4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49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46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0"/>
        <v>10.199999999999999</v>
      </c>
      <c r="AV298" s="37">
        <f t="shared" si="51"/>
        <v>10.199999999999999</v>
      </c>
      <c r="AW298" s="37"/>
    </row>
    <row r="299" spans="1:49" ht="15.75" hidden="1" customHeight="1" x14ac:dyDescent="0.25">
      <c r="A299" s="6" t="s">
        <v>3937</v>
      </c>
      <c r="B299" s="21" t="s">
        <v>3944</v>
      </c>
      <c r="C299" s="7">
        <v>1</v>
      </c>
      <c r="D299" s="39" t="s">
        <v>3939</v>
      </c>
      <c r="E299" s="7">
        <v>4184</v>
      </c>
      <c r="F299" s="7" t="s">
        <v>3934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2277</v>
      </c>
      <c r="K299" s="8" t="s">
        <v>328</v>
      </c>
      <c r="L299" s="9" t="s">
        <v>2070</v>
      </c>
      <c r="M299" s="10">
        <v>46136</v>
      </c>
      <c r="N299" s="8" t="s">
        <v>328</v>
      </c>
      <c r="O299" s="12"/>
      <c r="P299" s="13"/>
      <c r="Q299" s="14">
        <f>Tabela1[[#This Row],[QTDE/ Fabricação]]-Tabela1[[#This Row],[QTE]]</f>
        <v>-1</v>
      </c>
      <c r="R299" s="18">
        <f t="shared" si="47"/>
        <v>49.8</v>
      </c>
      <c r="S299" s="18">
        <f t="shared" si="45"/>
        <v>49.8</v>
      </c>
      <c r="T299" s="19">
        <f t="shared" si="48"/>
        <v>0</v>
      </c>
      <c r="U299" s="207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4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49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46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0"/>
        <v>49.8</v>
      </c>
      <c r="AV299" s="37">
        <f t="shared" si="51"/>
        <v>49.8</v>
      </c>
      <c r="AW299" s="37"/>
    </row>
    <row r="300" spans="1:49" ht="15.75" hidden="1" customHeight="1" x14ac:dyDescent="0.25">
      <c r="A300" s="6" t="s">
        <v>3937</v>
      </c>
      <c r="B300" s="21" t="s">
        <v>3945</v>
      </c>
      <c r="C300" s="7">
        <v>1</v>
      </c>
      <c r="D300" s="39" t="s">
        <v>3939</v>
      </c>
      <c r="E300" s="7">
        <v>4185</v>
      </c>
      <c r="F300" s="7" t="s">
        <v>3934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2277</v>
      </c>
      <c r="K300" s="8" t="s">
        <v>328</v>
      </c>
      <c r="L300" s="9" t="s">
        <v>2070</v>
      </c>
      <c r="M300" s="10">
        <v>46136</v>
      </c>
      <c r="N300" s="8" t="s">
        <v>328</v>
      </c>
      <c r="O300" s="12"/>
      <c r="P300" s="13"/>
      <c r="Q300" s="14">
        <f>Tabela1[[#This Row],[QTDE/ Fabricação]]-Tabela1[[#This Row],[QTE]]</f>
        <v>-1</v>
      </c>
      <c r="R300" s="18">
        <f t="shared" si="47"/>
        <v>24.3</v>
      </c>
      <c r="S300" s="18">
        <f t="shared" si="45"/>
        <v>24.3</v>
      </c>
      <c r="T300" s="19">
        <f t="shared" si="48"/>
        <v>0</v>
      </c>
      <c r="U300" s="207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4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49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46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0"/>
        <v>24.3</v>
      </c>
      <c r="AV300" s="37">
        <f t="shared" si="51"/>
        <v>24.3</v>
      </c>
      <c r="AW300" s="37"/>
    </row>
    <row r="301" spans="1:49" ht="15.75" hidden="1" customHeight="1" x14ac:dyDescent="0.25">
      <c r="A301" s="6" t="s">
        <v>3937</v>
      </c>
      <c r="B301" s="21" t="s">
        <v>3946</v>
      </c>
      <c r="C301" s="7">
        <v>4</v>
      </c>
      <c r="D301" s="39" t="s">
        <v>3947</v>
      </c>
      <c r="E301" s="7">
        <v>4186</v>
      </c>
      <c r="F301" s="7" t="s">
        <v>3934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2277</v>
      </c>
      <c r="K301" s="8" t="s">
        <v>328</v>
      </c>
      <c r="L301" s="9" t="s">
        <v>2070</v>
      </c>
      <c r="M301" s="10">
        <v>46136</v>
      </c>
      <c r="N301" s="8" t="s">
        <v>328</v>
      </c>
      <c r="O301" s="12"/>
      <c r="P301" s="13"/>
      <c r="Q301" s="14">
        <f>Tabela1[[#This Row],[QTDE/ Fabricação]]-Tabela1[[#This Row],[QTE]]</f>
        <v>-4</v>
      </c>
      <c r="R301" s="18">
        <f t="shared" si="47"/>
        <v>108.8</v>
      </c>
      <c r="S301" s="18">
        <f t="shared" si="45"/>
        <v>0</v>
      </c>
      <c r="T301" s="19">
        <f t="shared" si="48"/>
        <v>-108.8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4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0</v>
      </c>
      <c r="AH301" s="33"/>
      <c r="AI301" s="33" t="str">
        <f t="shared" si="49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46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108.8</v>
      </c>
      <c r="AT301" s="37">
        <f>IF(AG301="",0,IF(ISTEXT(AG301),H301*VALUE(SUBSTITUTE(AG301,"%",""))/100,H301*AG301))-Tabela1[[#This Row],[PESO EXPEDIDO2]]</f>
        <v>0</v>
      </c>
      <c r="AU301" s="37">
        <f t="shared" si="50"/>
        <v>0</v>
      </c>
      <c r="AV301" s="37">
        <f t="shared" si="51"/>
        <v>0</v>
      </c>
      <c r="AW301" s="37"/>
    </row>
    <row r="302" spans="1:49" ht="15.75" hidden="1" customHeight="1" x14ac:dyDescent="0.25">
      <c r="A302" s="6" t="s">
        <v>3781</v>
      </c>
      <c r="B302" s="21" t="s">
        <v>3948</v>
      </c>
      <c r="C302" s="7">
        <v>2</v>
      </c>
      <c r="D302" s="39" t="s">
        <v>3949</v>
      </c>
      <c r="E302" s="7">
        <v>4187</v>
      </c>
      <c r="F302" s="7" t="s">
        <v>3784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2275</v>
      </c>
      <c r="K302" s="8" t="s">
        <v>328</v>
      </c>
      <c r="L302" s="9" t="s">
        <v>2070</v>
      </c>
      <c r="M302" s="10">
        <v>46139</v>
      </c>
      <c r="N302" s="8" t="s">
        <v>328</v>
      </c>
      <c r="O302" s="12"/>
      <c r="P302" s="13"/>
      <c r="Q302" s="14">
        <f>Tabela1[[#This Row],[QTDE/ Fabricação]]-Tabela1[[#This Row],[QTE]]</f>
        <v>-2</v>
      </c>
      <c r="R302" s="18">
        <f t="shared" si="47"/>
        <v>216.4</v>
      </c>
      <c r="S302" s="18">
        <f t="shared" si="45"/>
        <v>216.4</v>
      </c>
      <c r="T302" s="19">
        <f t="shared" si="48"/>
        <v>0</v>
      </c>
      <c r="U302" s="207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4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49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46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0"/>
        <v>216.4</v>
      </c>
      <c r="AV302" s="37">
        <f t="shared" si="51"/>
        <v>216.4</v>
      </c>
      <c r="AW302" s="37"/>
    </row>
    <row r="303" spans="1:49" ht="15.75" hidden="1" customHeight="1" x14ac:dyDescent="0.25">
      <c r="A303" s="6" t="s">
        <v>3781</v>
      </c>
      <c r="B303" s="21" t="s">
        <v>3948</v>
      </c>
      <c r="C303" s="7">
        <v>2</v>
      </c>
      <c r="D303" s="39" t="s">
        <v>3949</v>
      </c>
      <c r="E303" s="7">
        <v>4188</v>
      </c>
      <c r="F303" s="7" t="s">
        <v>3784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2277</v>
      </c>
      <c r="K303" s="8" t="s">
        <v>328</v>
      </c>
      <c r="L303" s="9" t="s">
        <v>2070</v>
      </c>
      <c r="M303" s="10">
        <v>46139</v>
      </c>
      <c r="N303" s="8" t="s">
        <v>328</v>
      </c>
      <c r="O303" s="12"/>
      <c r="P303" s="13"/>
      <c r="Q303" s="14">
        <f>Tabela1[[#This Row],[QTDE/ Fabricação]]-Tabela1[[#This Row],[QTE]]</f>
        <v>-2</v>
      </c>
      <c r="R303" s="18">
        <f t="shared" si="47"/>
        <v>216.4</v>
      </c>
      <c r="S303" s="18">
        <f t="shared" si="45"/>
        <v>216.4</v>
      </c>
      <c r="T303" s="19">
        <f t="shared" si="48"/>
        <v>0</v>
      </c>
      <c r="U303" s="207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4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49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46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0"/>
        <v>216.4</v>
      </c>
      <c r="AV303" s="37">
        <f t="shared" si="51"/>
        <v>216.4</v>
      </c>
      <c r="AW303" s="37"/>
    </row>
    <row r="304" spans="1:49" ht="15.75" hidden="1" customHeight="1" x14ac:dyDescent="0.25">
      <c r="A304" s="6" t="s">
        <v>3950</v>
      </c>
      <c r="B304" s="21" t="s">
        <v>3951</v>
      </c>
      <c r="C304" s="7">
        <v>76</v>
      </c>
      <c r="D304" s="39" t="s">
        <v>3952</v>
      </c>
      <c r="E304" s="7">
        <v>4189</v>
      </c>
      <c r="F304" s="7" t="s">
        <v>3953</v>
      </c>
      <c r="G304" s="23">
        <v>1.4</v>
      </c>
      <c r="H304" s="34">
        <f>Tabela1[[#This Row],[PESO UNI]]*Tabela1[[#This Row],[QTE]]</f>
        <v>106.39999999999999</v>
      </c>
      <c r="I304" s="7" t="s">
        <v>747</v>
      </c>
      <c r="J304" s="8" t="s">
        <v>2275</v>
      </c>
      <c r="K304" s="8" t="s">
        <v>328</v>
      </c>
      <c r="L304" s="9" t="s">
        <v>2070</v>
      </c>
      <c r="M304" s="10">
        <v>46154</v>
      </c>
      <c r="N304" s="8" t="s">
        <v>328</v>
      </c>
      <c r="O304" s="12"/>
      <c r="P304" s="13"/>
      <c r="Q304" s="14">
        <f>Tabela1[[#This Row],[QTDE/ Fabricação]]-Tabela1[[#This Row],[QTE]]</f>
        <v>-76</v>
      </c>
      <c r="R304" s="18">
        <f t="shared" si="47"/>
        <v>106.39999999999999</v>
      </c>
      <c r="S304" s="18">
        <f t="shared" si="45"/>
        <v>0</v>
      </c>
      <c r="T304" s="19">
        <f t="shared" si="48"/>
        <v>-106.39999999999999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4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0</v>
      </c>
      <c r="AH304" s="33"/>
      <c r="AI304" s="33" t="str">
        <f t="shared" si="49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46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106.39999999999999</v>
      </c>
      <c r="AT304" s="37">
        <f>IF(AG304="",0,IF(ISTEXT(AG304),H304*VALUE(SUBSTITUTE(AG304,"%",""))/100,H304*AG304))-Tabela1[[#This Row],[PESO EXPEDIDO2]]</f>
        <v>0</v>
      </c>
      <c r="AU304" s="37">
        <f t="shared" si="50"/>
        <v>0</v>
      </c>
      <c r="AV304" s="37">
        <f t="shared" si="51"/>
        <v>0</v>
      </c>
      <c r="AW304" s="37"/>
    </row>
    <row r="305" spans="1:49" ht="15.75" hidden="1" customHeight="1" x14ac:dyDescent="0.25">
      <c r="A305" s="6" t="s">
        <v>3950</v>
      </c>
      <c r="B305" s="21" t="s">
        <v>3954</v>
      </c>
      <c r="C305" s="7">
        <v>8</v>
      </c>
      <c r="D305" s="39" t="s">
        <v>3952</v>
      </c>
      <c r="E305" s="7">
        <v>4190</v>
      </c>
      <c r="F305" s="7" t="s">
        <v>3953</v>
      </c>
      <c r="G305" s="23">
        <v>2.8</v>
      </c>
      <c r="H305" s="34">
        <f>Tabela1[[#This Row],[PESO UNI]]*Tabela1[[#This Row],[QTE]]</f>
        <v>22.4</v>
      </c>
      <c r="I305" s="7" t="s">
        <v>747</v>
      </c>
      <c r="J305" s="8" t="s">
        <v>2275</v>
      </c>
      <c r="K305" s="8" t="s">
        <v>328</v>
      </c>
      <c r="L305" s="9" t="s">
        <v>2070</v>
      </c>
      <c r="M305" s="10">
        <v>46154</v>
      </c>
      <c r="N305" s="8" t="s">
        <v>328</v>
      </c>
      <c r="O305" s="12"/>
      <c r="P305" s="13"/>
      <c r="Q305" s="14">
        <f>Tabela1[[#This Row],[QTDE/ Fabricação]]-Tabela1[[#This Row],[QTE]]</f>
        <v>-8</v>
      </c>
      <c r="R305" s="18">
        <f t="shared" si="47"/>
        <v>16.239999999999998</v>
      </c>
      <c r="S305" s="18">
        <f t="shared" si="45"/>
        <v>0</v>
      </c>
      <c r="T305" s="19">
        <f t="shared" si="48"/>
        <v>-22.4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4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0</v>
      </c>
      <c r="AF305" s="33">
        <v>0</v>
      </c>
      <c r="AG305" s="33">
        <v>0</v>
      </c>
      <c r="AH305" s="33"/>
      <c r="AI305" s="33" t="str">
        <f t="shared" si="49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46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0"/>
        <v>0</v>
      </c>
      <c r="AV305" s="37">
        <f t="shared" si="51"/>
        <v>0</v>
      </c>
      <c r="AW305" s="37"/>
    </row>
    <row r="306" spans="1:49" ht="15.75" hidden="1" customHeight="1" x14ac:dyDescent="0.25">
      <c r="A306" s="6" t="s">
        <v>3950</v>
      </c>
      <c r="B306" s="21" t="s">
        <v>3955</v>
      </c>
      <c r="C306" s="7">
        <v>2</v>
      </c>
      <c r="D306" s="39" t="s">
        <v>3956</v>
      </c>
      <c r="E306" s="7">
        <v>4191</v>
      </c>
      <c r="F306" s="7" t="s">
        <v>3953</v>
      </c>
      <c r="G306" s="23">
        <v>17.3</v>
      </c>
      <c r="H306" s="34">
        <f>Tabela1[[#This Row],[PESO UNI]]*Tabela1[[#This Row],[QTE]]</f>
        <v>34.6</v>
      </c>
      <c r="I306" s="7" t="s">
        <v>747</v>
      </c>
      <c r="J306" s="8" t="s">
        <v>2275</v>
      </c>
      <c r="K306" s="8" t="s">
        <v>328</v>
      </c>
      <c r="L306" s="9" t="s">
        <v>2070</v>
      </c>
      <c r="M306" s="10">
        <v>46154</v>
      </c>
      <c r="N306" s="8" t="s">
        <v>328</v>
      </c>
      <c r="O306" s="12"/>
      <c r="P306" s="13"/>
      <c r="Q306" s="14">
        <f>Tabela1[[#This Row],[QTDE/ Fabricação]]-Tabela1[[#This Row],[QTE]]</f>
        <v>-2</v>
      </c>
      <c r="R306" s="18">
        <f t="shared" si="47"/>
        <v>34.6</v>
      </c>
      <c r="S306" s="18">
        <f t="shared" si="45"/>
        <v>0</v>
      </c>
      <c r="T306" s="19">
        <f t="shared" si="48"/>
        <v>-34.6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4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0</v>
      </c>
      <c r="AH306" s="33"/>
      <c r="AI306" s="33" t="str">
        <f t="shared" si="49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46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34.6</v>
      </c>
      <c r="AT306" s="37">
        <f>IF(AG306="",0,IF(ISTEXT(AG306),H306*VALUE(SUBSTITUTE(AG306,"%",""))/100,H306*AG306))-Tabela1[[#This Row],[PESO EXPEDIDO2]]</f>
        <v>0</v>
      </c>
      <c r="AU306" s="37">
        <f t="shared" si="50"/>
        <v>0</v>
      </c>
      <c r="AV306" s="37">
        <f t="shared" si="51"/>
        <v>0</v>
      </c>
      <c r="AW306" s="37"/>
    </row>
    <row r="307" spans="1:49" ht="15.75" hidden="1" customHeight="1" x14ac:dyDescent="0.25">
      <c r="A307" s="6" t="s">
        <v>3950</v>
      </c>
      <c r="B307" s="21" t="s">
        <v>3957</v>
      </c>
      <c r="C307" s="7">
        <v>4</v>
      </c>
      <c r="D307" s="39" t="s">
        <v>3956</v>
      </c>
      <c r="E307" s="7">
        <v>4192</v>
      </c>
      <c r="F307" s="7" t="s">
        <v>3953</v>
      </c>
      <c r="G307" s="23">
        <v>22.8</v>
      </c>
      <c r="H307" s="34">
        <f>Tabela1[[#This Row],[PESO UNI]]*Tabela1[[#This Row],[QTE]]</f>
        <v>91.2</v>
      </c>
      <c r="I307" s="7" t="s">
        <v>747</v>
      </c>
      <c r="J307" s="8" t="s">
        <v>2275</v>
      </c>
      <c r="K307" s="8" t="s">
        <v>328</v>
      </c>
      <c r="L307" s="9" t="s">
        <v>2070</v>
      </c>
      <c r="M307" s="10">
        <v>46154</v>
      </c>
      <c r="N307" s="8" t="s">
        <v>328</v>
      </c>
      <c r="O307" s="12"/>
      <c r="P307" s="13"/>
      <c r="Q307" s="14">
        <f>Tabela1[[#This Row],[QTDE/ Fabricação]]-Tabela1[[#This Row],[QTE]]</f>
        <v>-4</v>
      </c>
      <c r="R307" s="18">
        <f t="shared" si="47"/>
        <v>91.2</v>
      </c>
      <c r="S307" s="18">
        <f t="shared" si="45"/>
        <v>0</v>
      </c>
      <c r="T307" s="19">
        <f t="shared" si="48"/>
        <v>-91.2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4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0</v>
      </c>
      <c r="AH307" s="33"/>
      <c r="AI307" s="33" t="str">
        <f t="shared" si="49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46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4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91.2</v>
      </c>
      <c r="AT307" s="32">
        <f>IF(AG307="",0,IF(ISTEXT(AG307),H307*VALUE(SUBSTITUTE(AG307,"%",""))/100,H307*AG307))-Tabela1[[#This Row],[PESO EXPEDIDO2]]</f>
        <v>0</v>
      </c>
      <c r="AU307" s="32">
        <f t="shared" si="50"/>
        <v>0</v>
      </c>
      <c r="AV307" s="32">
        <f t="shared" si="51"/>
        <v>0</v>
      </c>
      <c r="AW307" s="32"/>
    </row>
    <row r="308" spans="1:49" ht="15.75" hidden="1" customHeight="1" x14ac:dyDescent="0.25">
      <c r="A308" s="6" t="s">
        <v>3950</v>
      </c>
      <c r="B308" s="21" t="s">
        <v>3958</v>
      </c>
      <c r="C308" s="7">
        <v>2</v>
      </c>
      <c r="D308" s="39" t="s">
        <v>3956</v>
      </c>
      <c r="E308" s="7">
        <v>4193</v>
      </c>
      <c r="F308" s="7" t="s">
        <v>3953</v>
      </c>
      <c r="G308" s="23">
        <v>17.100000000000001</v>
      </c>
      <c r="H308" s="34">
        <f>Tabela1[[#This Row],[PESO UNI]]*Tabela1[[#This Row],[QTE]]</f>
        <v>34.200000000000003</v>
      </c>
      <c r="I308" s="7" t="s">
        <v>747</v>
      </c>
      <c r="J308" s="8" t="s">
        <v>2275</v>
      </c>
      <c r="K308" s="8" t="s">
        <v>328</v>
      </c>
      <c r="L308" s="9" t="s">
        <v>2070</v>
      </c>
      <c r="M308" s="10">
        <v>46154</v>
      </c>
      <c r="N308" s="8" t="s">
        <v>328</v>
      </c>
      <c r="O308" s="12"/>
      <c r="P308" s="13"/>
      <c r="Q308" s="14">
        <f>Tabela1[[#This Row],[QTDE/ Fabricação]]-Tabela1[[#This Row],[QTE]]</f>
        <v>-2</v>
      </c>
      <c r="R308" s="18">
        <f t="shared" si="47"/>
        <v>34.200000000000003</v>
      </c>
      <c r="S308" s="18">
        <f t="shared" si="45"/>
        <v>0</v>
      </c>
      <c r="T308" s="19">
        <f t="shared" si="48"/>
        <v>-34.200000000000003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4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0</v>
      </c>
      <c r="AH308" s="33"/>
      <c r="AI308" s="33" t="str">
        <f t="shared" si="49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46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34.200000000000003</v>
      </c>
      <c r="AT308" s="37">
        <f>IF(AG308="",0,IF(ISTEXT(AG308),H308*VALUE(SUBSTITUTE(AG308,"%",""))/100,H308*AG308))-Tabela1[[#This Row],[PESO EXPEDIDO2]]</f>
        <v>0</v>
      </c>
      <c r="AU308" s="37">
        <f t="shared" si="50"/>
        <v>0</v>
      </c>
      <c r="AV308" s="37">
        <f t="shared" si="51"/>
        <v>0</v>
      </c>
      <c r="AW308" s="37"/>
    </row>
    <row r="309" spans="1:49" ht="15.75" hidden="1" customHeight="1" x14ac:dyDescent="0.25">
      <c r="A309" s="6" t="s">
        <v>3950</v>
      </c>
      <c r="B309" s="21" t="s">
        <v>3959</v>
      </c>
      <c r="C309" s="7">
        <v>4</v>
      </c>
      <c r="D309" s="39" t="s">
        <v>3956</v>
      </c>
      <c r="E309" s="7">
        <v>4194</v>
      </c>
      <c r="F309" s="7" t="s">
        <v>3953</v>
      </c>
      <c r="G309" s="23">
        <v>13.1</v>
      </c>
      <c r="H309" s="34">
        <f>Tabela1[[#This Row],[PESO UNI]]*Tabela1[[#This Row],[QTE]]</f>
        <v>52.4</v>
      </c>
      <c r="I309" s="7" t="s">
        <v>747</v>
      </c>
      <c r="J309" s="8" t="s">
        <v>2275</v>
      </c>
      <c r="K309" s="8" t="s">
        <v>328</v>
      </c>
      <c r="L309" s="9" t="s">
        <v>2070</v>
      </c>
      <c r="M309" s="10">
        <v>46154</v>
      </c>
      <c r="N309" s="8" t="s">
        <v>328</v>
      </c>
      <c r="O309" s="12"/>
      <c r="P309" s="13"/>
      <c r="Q309" s="14">
        <f>Tabela1[[#This Row],[QTDE/ Fabricação]]-Tabela1[[#This Row],[QTE]]</f>
        <v>-4</v>
      </c>
      <c r="R309" s="18">
        <f t="shared" si="47"/>
        <v>52.4</v>
      </c>
      <c r="S309" s="18">
        <f t="shared" si="45"/>
        <v>0</v>
      </c>
      <c r="T309" s="19">
        <f t="shared" si="48"/>
        <v>-52.4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2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0</v>
      </c>
      <c r="AH309" s="33"/>
      <c r="AI309" s="33" t="str">
        <f t="shared" si="49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46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52.4</v>
      </c>
      <c r="AT309" s="37">
        <f>IF(AG309="",0,IF(ISTEXT(AG309),H309*VALUE(SUBSTITUTE(AG309,"%",""))/100,H309*AG309))-Tabela1[[#This Row],[PESO EXPEDIDO2]]</f>
        <v>0</v>
      </c>
      <c r="AU309" s="37">
        <f t="shared" si="50"/>
        <v>0</v>
      </c>
      <c r="AV309" s="37">
        <f t="shared" si="51"/>
        <v>0</v>
      </c>
      <c r="AW309" s="37"/>
    </row>
    <row r="310" spans="1:49" ht="15.75" hidden="1" customHeight="1" x14ac:dyDescent="0.25">
      <c r="A310" s="6" t="s">
        <v>3950</v>
      </c>
      <c r="B310" s="21" t="s">
        <v>3951</v>
      </c>
      <c r="C310" s="7">
        <v>76</v>
      </c>
      <c r="D310" s="39" t="s">
        <v>3952</v>
      </c>
      <c r="E310" s="7">
        <v>4195</v>
      </c>
      <c r="F310" s="7" t="s">
        <v>3953</v>
      </c>
      <c r="G310" s="23">
        <v>1.4</v>
      </c>
      <c r="H310" s="34">
        <f>Tabela1[[#This Row],[PESO UNI]]*Tabela1[[#This Row],[QTE]]</f>
        <v>106.39999999999999</v>
      </c>
      <c r="I310" s="7" t="s">
        <v>747</v>
      </c>
      <c r="J310" s="8" t="s">
        <v>2277</v>
      </c>
      <c r="K310" s="8" t="s">
        <v>328</v>
      </c>
      <c r="L310" s="9" t="s">
        <v>2070</v>
      </c>
      <c r="M310" s="10">
        <v>46154</v>
      </c>
      <c r="N310" s="8" t="s">
        <v>328</v>
      </c>
      <c r="O310" s="12"/>
      <c r="P310" s="13"/>
      <c r="Q310" s="14">
        <f>Tabela1[[#This Row],[QTDE/ Fabricação]]-Tabela1[[#This Row],[QTE]]</f>
        <v>-76</v>
      </c>
      <c r="R310" s="18">
        <f t="shared" si="47"/>
        <v>106.39999999999999</v>
      </c>
      <c r="S310" s="18">
        <f t="shared" ref="S310:S373" si="53">IFERROR(H310*AG310,"")</f>
        <v>0</v>
      </c>
      <c r="T310" s="19">
        <f t="shared" si="48"/>
        <v>-106.39999999999999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2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0</v>
      </c>
      <c r="AH310" s="33"/>
      <c r="AI310" s="33" t="str">
        <f t="shared" si="49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46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106.39999999999999</v>
      </c>
      <c r="AT310" s="37">
        <f>IF(AG310="",0,IF(ISTEXT(AG310),H310*VALUE(SUBSTITUTE(AG310,"%",""))/100,H310*AG310))-Tabela1[[#This Row],[PESO EXPEDIDO2]]</f>
        <v>0</v>
      </c>
      <c r="AU310" s="37">
        <f t="shared" si="50"/>
        <v>0</v>
      </c>
      <c r="AV310" s="37">
        <f t="shared" si="51"/>
        <v>0</v>
      </c>
      <c r="AW310" s="37"/>
    </row>
    <row r="311" spans="1:49" ht="15.75" hidden="1" customHeight="1" x14ac:dyDescent="0.25">
      <c r="A311" s="6" t="s">
        <v>3950</v>
      </c>
      <c r="B311" s="21" t="s">
        <v>3954</v>
      </c>
      <c r="C311" s="7">
        <v>8</v>
      </c>
      <c r="D311" s="39" t="s">
        <v>3952</v>
      </c>
      <c r="E311" s="7">
        <v>4196</v>
      </c>
      <c r="F311" s="7" t="s">
        <v>3953</v>
      </c>
      <c r="G311" s="23">
        <v>2.4</v>
      </c>
      <c r="H311" s="34">
        <f>Tabela1[[#This Row],[PESO UNI]]*Tabela1[[#This Row],[QTE]]</f>
        <v>19.2</v>
      </c>
      <c r="I311" s="7" t="s">
        <v>747</v>
      </c>
      <c r="J311" s="8" t="s">
        <v>2277</v>
      </c>
      <c r="K311" s="8" t="s">
        <v>328</v>
      </c>
      <c r="L311" s="9" t="s">
        <v>2070</v>
      </c>
      <c r="M311" s="10">
        <v>46154</v>
      </c>
      <c r="N311" s="8" t="s">
        <v>328</v>
      </c>
      <c r="O311" s="12"/>
      <c r="P311" s="13"/>
      <c r="Q311" s="14">
        <f>Tabela1[[#This Row],[QTDE/ Fabricação]]-Tabela1[[#This Row],[QTE]]</f>
        <v>-8</v>
      </c>
      <c r="R311" s="18">
        <f t="shared" si="47"/>
        <v>13.92</v>
      </c>
      <c r="S311" s="18">
        <f t="shared" si="53"/>
        <v>0</v>
      </c>
      <c r="T311" s="19">
        <f t="shared" si="48"/>
        <v>-19.2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2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0</v>
      </c>
      <c r="AF311" s="33">
        <v>0</v>
      </c>
      <c r="AG311" s="33">
        <v>0</v>
      </c>
      <c r="AH311" s="33"/>
      <c r="AI311" s="33" t="str">
        <f t="shared" si="49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46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0"/>
        <v>0</v>
      </c>
      <c r="AV311" s="37">
        <f t="shared" si="51"/>
        <v>0</v>
      </c>
      <c r="AW311" s="37"/>
    </row>
    <row r="312" spans="1:49" ht="15.75" hidden="1" customHeight="1" x14ac:dyDescent="0.25">
      <c r="A312" s="6" t="s">
        <v>3950</v>
      </c>
      <c r="B312" s="21" t="s">
        <v>3955</v>
      </c>
      <c r="C312" s="7">
        <v>2</v>
      </c>
      <c r="D312" s="39" t="s">
        <v>3956</v>
      </c>
      <c r="E312" s="7">
        <v>4197</v>
      </c>
      <c r="F312" s="7" t="s">
        <v>3953</v>
      </c>
      <c r="G312" s="23">
        <v>17.3</v>
      </c>
      <c r="H312" s="34">
        <f>Tabela1[[#This Row],[PESO UNI]]*Tabela1[[#This Row],[QTE]]</f>
        <v>34.6</v>
      </c>
      <c r="I312" s="7" t="s">
        <v>747</v>
      </c>
      <c r="J312" s="8" t="s">
        <v>2277</v>
      </c>
      <c r="K312" s="8" t="s">
        <v>328</v>
      </c>
      <c r="L312" s="9" t="s">
        <v>2070</v>
      </c>
      <c r="M312" s="10">
        <v>46154</v>
      </c>
      <c r="N312" s="8" t="s">
        <v>328</v>
      </c>
      <c r="O312" s="12"/>
      <c r="P312" s="13"/>
      <c r="Q312" s="14">
        <f>Tabela1[[#This Row],[QTDE/ Fabricação]]-Tabela1[[#This Row],[QTE]]</f>
        <v>-2</v>
      </c>
      <c r="R312" s="18">
        <f t="shared" si="47"/>
        <v>34.6</v>
      </c>
      <c r="S312" s="18">
        <f t="shared" si="53"/>
        <v>0</v>
      </c>
      <c r="T312" s="19">
        <f t="shared" si="48"/>
        <v>-34.6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2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0</v>
      </c>
      <c r="AH312" s="33"/>
      <c r="AI312" s="33" t="str">
        <f t="shared" si="49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46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34.6</v>
      </c>
      <c r="AT312" s="37">
        <f>IF(AG312="",0,IF(ISTEXT(AG312),H312*VALUE(SUBSTITUTE(AG312,"%",""))/100,H312*AG312))-Tabela1[[#This Row],[PESO EXPEDIDO2]]</f>
        <v>0</v>
      </c>
      <c r="AU312" s="37">
        <f t="shared" si="50"/>
        <v>0</v>
      </c>
      <c r="AV312" s="37">
        <f t="shared" si="51"/>
        <v>0</v>
      </c>
      <c r="AW312" s="37"/>
    </row>
    <row r="313" spans="1:49" ht="15.75" hidden="1" customHeight="1" x14ac:dyDescent="0.25">
      <c r="A313" s="6" t="s">
        <v>3950</v>
      </c>
      <c r="B313" s="21" t="s">
        <v>3957</v>
      </c>
      <c r="C313" s="7">
        <v>4</v>
      </c>
      <c r="D313" s="39" t="s">
        <v>3956</v>
      </c>
      <c r="E313" s="7">
        <v>4198</v>
      </c>
      <c r="F313" s="7" t="s">
        <v>3953</v>
      </c>
      <c r="G313" s="23">
        <v>22.8</v>
      </c>
      <c r="H313" s="34">
        <f>Tabela1[[#This Row],[PESO UNI]]*Tabela1[[#This Row],[QTE]]</f>
        <v>91.2</v>
      </c>
      <c r="I313" s="7" t="s">
        <v>747</v>
      </c>
      <c r="J313" s="8" t="s">
        <v>2277</v>
      </c>
      <c r="K313" s="8" t="s">
        <v>328</v>
      </c>
      <c r="L313" s="9" t="s">
        <v>2070</v>
      </c>
      <c r="M313" s="10">
        <v>46154</v>
      </c>
      <c r="N313" s="8" t="s">
        <v>328</v>
      </c>
      <c r="O313" s="12"/>
      <c r="P313" s="13"/>
      <c r="Q313" s="14">
        <f>Tabela1[[#This Row],[QTDE/ Fabricação]]-Tabela1[[#This Row],[QTE]]</f>
        <v>-4</v>
      </c>
      <c r="R313" s="18">
        <f t="shared" si="47"/>
        <v>91.2</v>
      </c>
      <c r="S313" s="18">
        <f t="shared" si="53"/>
        <v>0</v>
      </c>
      <c r="T313" s="19">
        <f t="shared" si="48"/>
        <v>-91.2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2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0</v>
      </c>
      <c r="AH313" s="33"/>
      <c r="AI313" s="33" t="str">
        <f t="shared" si="49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46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91.2</v>
      </c>
      <c r="AT313" s="37">
        <f>IF(AG313="",0,IF(ISTEXT(AG313),H313*VALUE(SUBSTITUTE(AG313,"%",""))/100,H313*AG313))-Tabela1[[#This Row],[PESO EXPEDIDO2]]</f>
        <v>0</v>
      </c>
      <c r="AU313" s="37">
        <f t="shared" si="50"/>
        <v>0</v>
      </c>
      <c r="AV313" s="37">
        <f t="shared" si="51"/>
        <v>0</v>
      </c>
      <c r="AW313" s="37"/>
    </row>
    <row r="314" spans="1:49" ht="15.75" hidden="1" customHeight="1" x14ac:dyDescent="0.25">
      <c r="A314" s="6" t="s">
        <v>3950</v>
      </c>
      <c r="B314" s="21" t="s">
        <v>3958</v>
      </c>
      <c r="C314" s="7">
        <v>2</v>
      </c>
      <c r="D314" s="39" t="s">
        <v>3956</v>
      </c>
      <c r="E314" s="7">
        <v>4199</v>
      </c>
      <c r="F314" s="7" t="s">
        <v>3953</v>
      </c>
      <c r="G314" s="23">
        <v>17.100000000000001</v>
      </c>
      <c r="H314" s="34">
        <f>Tabela1[[#This Row],[PESO UNI]]*Tabela1[[#This Row],[QTE]]</f>
        <v>34.200000000000003</v>
      </c>
      <c r="I314" s="7" t="s">
        <v>747</v>
      </c>
      <c r="J314" s="8" t="s">
        <v>2277</v>
      </c>
      <c r="K314" s="8" t="s">
        <v>328</v>
      </c>
      <c r="L314" s="9" t="s">
        <v>2070</v>
      </c>
      <c r="M314" s="10">
        <v>46154</v>
      </c>
      <c r="N314" s="8" t="s">
        <v>328</v>
      </c>
      <c r="O314" s="12"/>
      <c r="P314" s="13"/>
      <c r="Q314" s="14">
        <f>Tabela1[[#This Row],[QTDE/ Fabricação]]-Tabela1[[#This Row],[QTE]]</f>
        <v>-2</v>
      </c>
      <c r="R314" s="18">
        <f t="shared" si="47"/>
        <v>34.200000000000003</v>
      </c>
      <c r="S314" s="18">
        <f t="shared" si="53"/>
        <v>0</v>
      </c>
      <c r="T314" s="19">
        <f t="shared" si="48"/>
        <v>-34.200000000000003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2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0</v>
      </c>
      <c r="AH314" s="33"/>
      <c r="AI314" s="33" t="str">
        <f t="shared" si="49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46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34.200000000000003</v>
      </c>
      <c r="AT314" s="37">
        <f>IF(AG314="",0,IF(ISTEXT(AG314),H314*VALUE(SUBSTITUTE(AG314,"%",""))/100,H314*AG314))-Tabela1[[#This Row],[PESO EXPEDIDO2]]</f>
        <v>0</v>
      </c>
      <c r="AU314" s="37">
        <f t="shared" si="50"/>
        <v>0</v>
      </c>
      <c r="AV314" s="37">
        <f t="shared" si="51"/>
        <v>0</v>
      </c>
      <c r="AW314" s="37"/>
    </row>
    <row r="315" spans="1:49" ht="15.75" hidden="1" customHeight="1" x14ac:dyDescent="0.25">
      <c r="A315" s="6" t="s">
        <v>3950</v>
      </c>
      <c r="B315" s="21" t="s">
        <v>3959</v>
      </c>
      <c r="C315" s="7">
        <v>4</v>
      </c>
      <c r="D315" s="39" t="s">
        <v>3956</v>
      </c>
      <c r="E315" s="7">
        <v>4200</v>
      </c>
      <c r="F315" s="7" t="s">
        <v>3953</v>
      </c>
      <c r="G315" s="23">
        <v>13.1</v>
      </c>
      <c r="H315" s="34">
        <f>Tabela1[[#This Row],[PESO UNI]]*Tabela1[[#This Row],[QTE]]</f>
        <v>52.4</v>
      </c>
      <c r="I315" s="7" t="s">
        <v>747</v>
      </c>
      <c r="J315" s="8" t="s">
        <v>2277</v>
      </c>
      <c r="K315" s="8" t="s">
        <v>328</v>
      </c>
      <c r="L315" s="9" t="s">
        <v>2070</v>
      </c>
      <c r="M315" s="10">
        <v>46154</v>
      </c>
      <c r="N315" s="8" t="s">
        <v>328</v>
      </c>
      <c r="O315" s="12"/>
      <c r="P315" s="13"/>
      <c r="Q315" s="14">
        <f>Tabela1[[#This Row],[QTDE/ Fabricação]]-Tabela1[[#This Row],[QTE]]</f>
        <v>-4</v>
      </c>
      <c r="R315" s="18">
        <f t="shared" si="47"/>
        <v>52.4</v>
      </c>
      <c r="S315" s="18">
        <f t="shared" si="53"/>
        <v>0</v>
      </c>
      <c r="T315" s="19">
        <f t="shared" si="48"/>
        <v>-52.4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2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0</v>
      </c>
      <c r="AH315" s="33"/>
      <c r="AI315" s="33" t="str">
        <f t="shared" si="49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46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52.4</v>
      </c>
      <c r="AT315" s="37">
        <f>IF(AG315="",0,IF(ISTEXT(AG315),H315*VALUE(SUBSTITUTE(AG315,"%",""))/100,H315*AG315))-Tabela1[[#This Row],[PESO EXPEDIDO2]]</f>
        <v>0</v>
      </c>
      <c r="AU315" s="37">
        <f t="shared" si="50"/>
        <v>0</v>
      </c>
      <c r="AV315" s="37">
        <f t="shared" si="51"/>
        <v>0</v>
      </c>
      <c r="AW315" s="37"/>
    </row>
    <row r="316" spans="1:49" ht="15.75" hidden="1" customHeight="1" x14ac:dyDescent="0.25">
      <c r="A316" s="6" t="s">
        <v>3960</v>
      </c>
      <c r="B316" s="21" t="s">
        <v>3961</v>
      </c>
      <c r="C316" s="7">
        <v>1</v>
      </c>
      <c r="D316" s="39" t="s">
        <v>3962</v>
      </c>
      <c r="E316" s="7">
        <v>4201</v>
      </c>
      <c r="F316" s="7" t="s">
        <v>3963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2275</v>
      </c>
      <c r="K316" s="8" t="s">
        <v>328</v>
      </c>
      <c r="L316" s="9" t="s">
        <v>2070</v>
      </c>
      <c r="M316" s="10">
        <v>46149</v>
      </c>
      <c r="N316" s="8" t="s">
        <v>328</v>
      </c>
      <c r="O316" s="12"/>
      <c r="P316" s="13"/>
      <c r="Q316" s="14">
        <f>Tabela1[[#This Row],[QTDE/ Fabricação]]-Tabela1[[#This Row],[QTE]]</f>
        <v>-1</v>
      </c>
      <c r="R316" s="18">
        <f t="shared" si="47"/>
        <v>96.4</v>
      </c>
      <c r="S316" s="18">
        <f t="shared" si="53"/>
        <v>0</v>
      </c>
      <c r="T316" s="19">
        <f t="shared" si="48"/>
        <v>-96.4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2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0</v>
      </c>
      <c r="AH316" s="33"/>
      <c r="AI316" s="33" t="str">
        <f t="shared" si="49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46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96.4</v>
      </c>
      <c r="AT316" s="37">
        <f>IF(AG316="",0,IF(ISTEXT(AG316),H316*VALUE(SUBSTITUTE(AG316,"%",""))/100,H316*AG316))-Tabela1[[#This Row],[PESO EXPEDIDO2]]</f>
        <v>0</v>
      </c>
      <c r="AU316" s="37">
        <f t="shared" si="50"/>
        <v>0</v>
      </c>
      <c r="AV316" s="37">
        <f t="shared" si="51"/>
        <v>0</v>
      </c>
      <c r="AW316" s="37"/>
    </row>
    <row r="317" spans="1:49" ht="15.75" hidden="1" customHeight="1" x14ac:dyDescent="0.25">
      <c r="A317" s="6" t="s">
        <v>3960</v>
      </c>
      <c r="B317" s="21" t="s">
        <v>3964</v>
      </c>
      <c r="C317" s="7">
        <v>1</v>
      </c>
      <c r="D317" s="39" t="s">
        <v>3965</v>
      </c>
      <c r="E317" s="7">
        <v>4202</v>
      </c>
      <c r="F317" s="7" t="s">
        <v>3963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2275</v>
      </c>
      <c r="K317" s="8" t="s">
        <v>328</v>
      </c>
      <c r="L317" s="9" t="s">
        <v>2070</v>
      </c>
      <c r="M317" s="10">
        <v>46149</v>
      </c>
      <c r="N317" s="8" t="s">
        <v>328</v>
      </c>
      <c r="O317" s="12"/>
      <c r="P317" s="13"/>
      <c r="Q317" s="14">
        <f>Tabela1[[#This Row],[QTDE/ Fabricação]]-Tabela1[[#This Row],[QTE]]</f>
        <v>-1</v>
      </c>
      <c r="R317" s="18">
        <f t="shared" si="47"/>
        <v>25.2</v>
      </c>
      <c r="S317" s="18">
        <f t="shared" si="53"/>
        <v>0</v>
      </c>
      <c r="T317" s="19">
        <f t="shared" si="48"/>
        <v>-25.2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2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0</v>
      </c>
      <c r="AH317" s="33"/>
      <c r="AI317" s="33" t="str">
        <f t="shared" si="49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46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25.2</v>
      </c>
      <c r="AT317" s="37">
        <f>IF(AG317="",0,IF(ISTEXT(AG317),H317*VALUE(SUBSTITUTE(AG317,"%",""))/100,H317*AG317))-Tabela1[[#This Row],[PESO EXPEDIDO2]]</f>
        <v>0</v>
      </c>
      <c r="AU317" s="37">
        <f t="shared" si="50"/>
        <v>0</v>
      </c>
      <c r="AV317" s="37">
        <f t="shared" si="51"/>
        <v>0</v>
      </c>
      <c r="AW317" s="37"/>
    </row>
    <row r="318" spans="1:49" ht="15.75" hidden="1" customHeight="1" x14ac:dyDescent="0.25">
      <c r="A318" s="6" t="s">
        <v>3960</v>
      </c>
      <c r="B318" s="21" t="s">
        <v>3966</v>
      </c>
      <c r="C318" s="7">
        <v>2</v>
      </c>
      <c r="D318" s="39" t="s">
        <v>3967</v>
      </c>
      <c r="E318" s="7">
        <v>4203</v>
      </c>
      <c r="F318" s="7" t="s">
        <v>3963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2275</v>
      </c>
      <c r="K318" s="8" t="s">
        <v>328</v>
      </c>
      <c r="L318" s="9" t="s">
        <v>2070</v>
      </c>
      <c r="M318" s="10">
        <v>46149</v>
      </c>
      <c r="N318" s="8" t="s">
        <v>328</v>
      </c>
      <c r="O318" s="12"/>
      <c r="P318" s="13"/>
      <c r="Q318" s="14">
        <f>Tabela1[[#This Row],[QTDE/ Fabricação]]-Tabela1[[#This Row],[QTE]]</f>
        <v>-2</v>
      </c>
      <c r="R318" s="18">
        <f t="shared" si="47"/>
        <v>4</v>
      </c>
      <c r="S318" s="18">
        <f t="shared" si="53"/>
        <v>0</v>
      </c>
      <c r="T318" s="19">
        <f t="shared" si="48"/>
        <v>-4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2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0</v>
      </c>
      <c r="AH318" s="33"/>
      <c r="AI318" s="33" t="str">
        <f t="shared" si="49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46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4</v>
      </c>
      <c r="AT318" s="37">
        <f>IF(AG318="",0,IF(ISTEXT(AG318),H318*VALUE(SUBSTITUTE(AG318,"%",""))/100,H318*AG318))-Tabela1[[#This Row],[PESO EXPEDIDO2]]</f>
        <v>0</v>
      </c>
      <c r="AU318" s="37">
        <f t="shared" si="50"/>
        <v>0</v>
      </c>
      <c r="AV318" s="37">
        <f t="shared" si="51"/>
        <v>0</v>
      </c>
      <c r="AW318" s="37"/>
    </row>
    <row r="319" spans="1:49" ht="15.75" hidden="1" customHeight="1" x14ac:dyDescent="0.25">
      <c r="A319" s="6" t="s">
        <v>3960</v>
      </c>
      <c r="B319" s="21" t="s">
        <v>3961</v>
      </c>
      <c r="C319" s="7">
        <v>1</v>
      </c>
      <c r="D319" s="39" t="s">
        <v>3962</v>
      </c>
      <c r="E319" s="7">
        <v>4204</v>
      </c>
      <c r="F319" s="7" t="s">
        <v>3963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2277</v>
      </c>
      <c r="K319" s="8" t="s">
        <v>328</v>
      </c>
      <c r="L319" s="9" t="s">
        <v>2070</v>
      </c>
      <c r="M319" s="10">
        <v>46149</v>
      </c>
      <c r="N319" s="8" t="s">
        <v>328</v>
      </c>
      <c r="O319" s="12"/>
      <c r="P319" s="13"/>
      <c r="Q319" s="14">
        <f>Tabela1[[#This Row],[QTDE/ Fabricação]]-Tabela1[[#This Row],[QTE]]</f>
        <v>-1</v>
      </c>
      <c r="R319" s="18">
        <f t="shared" si="47"/>
        <v>96.4</v>
      </c>
      <c r="S319" s="18">
        <f t="shared" si="53"/>
        <v>0</v>
      </c>
      <c r="T319" s="19">
        <f t="shared" si="48"/>
        <v>-96.4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2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0</v>
      </c>
      <c r="AH319" s="33"/>
      <c r="AI319" s="33" t="str">
        <f t="shared" si="49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46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96.4</v>
      </c>
      <c r="AT319" s="37">
        <f>IF(AG319="",0,IF(ISTEXT(AG319),H319*VALUE(SUBSTITUTE(AG319,"%",""))/100,H319*AG319))-Tabela1[[#This Row],[PESO EXPEDIDO2]]</f>
        <v>0</v>
      </c>
      <c r="AU319" s="37">
        <f t="shared" si="50"/>
        <v>0</v>
      </c>
      <c r="AV319" s="37">
        <f t="shared" si="51"/>
        <v>0</v>
      </c>
      <c r="AW319" s="37"/>
    </row>
    <row r="320" spans="1:49" ht="15.75" hidden="1" customHeight="1" x14ac:dyDescent="0.25">
      <c r="A320" s="6" t="s">
        <v>3960</v>
      </c>
      <c r="B320" s="21" t="s">
        <v>3964</v>
      </c>
      <c r="C320" s="7">
        <v>1</v>
      </c>
      <c r="D320" s="39" t="s">
        <v>3965</v>
      </c>
      <c r="E320" s="7">
        <v>4205</v>
      </c>
      <c r="F320" s="7" t="s">
        <v>3963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2277</v>
      </c>
      <c r="K320" s="8" t="s">
        <v>328</v>
      </c>
      <c r="L320" s="9" t="s">
        <v>2070</v>
      </c>
      <c r="M320" s="10">
        <v>46149</v>
      </c>
      <c r="N320" s="8" t="s">
        <v>328</v>
      </c>
      <c r="O320" s="12"/>
      <c r="P320" s="13"/>
      <c r="Q320" s="14">
        <f>Tabela1[[#This Row],[QTDE/ Fabricação]]-Tabela1[[#This Row],[QTE]]</f>
        <v>-1</v>
      </c>
      <c r="R320" s="18">
        <f t="shared" si="47"/>
        <v>25.2</v>
      </c>
      <c r="S320" s="18">
        <f t="shared" si="53"/>
        <v>0</v>
      </c>
      <c r="T320" s="19">
        <f t="shared" si="48"/>
        <v>-25.2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2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0</v>
      </c>
      <c r="AH320" s="33"/>
      <c r="AI320" s="33" t="str">
        <f t="shared" si="49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46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25.2</v>
      </c>
      <c r="AT320" s="37">
        <f>IF(AG320="",0,IF(ISTEXT(AG320),H320*VALUE(SUBSTITUTE(AG320,"%",""))/100,H320*AG320))-Tabela1[[#This Row],[PESO EXPEDIDO2]]</f>
        <v>0</v>
      </c>
      <c r="AU320" s="37">
        <f t="shared" si="50"/>
        <v>0</v>
      </c>
      <c r="AV320" s="37">
        <f t="shared" si="51"/>
        <v>0</v>
      </c>
      <c r="AW320" s="37"/>
    </row>
    <row r="321" spans="1:49" ht="15.75" hidden="1" customHeight="1" x14ac:dyDescent="0.25">
      <c r="A321" s="6" t="s">
        <v>3960</v>
      </c>
      <c r="B321" s="21" t="s">
        <v>3966</v>
      </c>
      <c r="C321" s="7">
        <v>2</v>
      </c>
      <c r="D321" s="39" t="s">
        <v>3967</v>
      </c>
      <c r="E321" s="7">
        <v>4206</v>
      </c>
      <c r="F321" s="7" t="s">
        <v>3963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2277</v>
      </c>
      <c r="K321" s="8" t="s">
        <v>328</v>
      </c>
      <c r="L321" s="9" t="s">
        <v>2070</v>
      </c>
      <c r="M321" s="10">
        <v>46149</v>
      </c>
      <c r="N321" s="8" t="s">
        <v>328</v>
      </c>
      <c r="O321" s="12"/>
      <c r="P321" s="13"/>
      <c r="Q321" s="14">
        <f>Tabela1[[#This Row],[QTDE/ Fabricação]]-Tabela1[[#This Row],[QTE]]</f>
        <v>-2</v>
      </c>
      <c r="R321" s="18">
        <f t="shared" si="47"/>
        <v>4</v>
      </c>
      <c r="S321" s="18">
        <f t="shared" si="53"/>
        <v>0</v>
      </c>
      <c r="T321" s="19">
        <f t="shared" si="48"/>
        <v>-4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2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0</v>
      </c>
      <c r="AH321" s="33"/>
      <c r="AI321" s="33" t="str">
        <f t="shared" si="49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46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4</v>
      </c>
      <c r="AT321" s="37">
        <f>IF(AG321="",0,IF(ISTEXT(AG321),H321*VALUE(SUBSTITUTE(AG321,"%",""))/100,H321*AG321))-Tabela1[[#This Row],[PESO EXPEDIDO2]]</f>
        <v>0</v>
      </c>
      <c r="AU321" s="37">
        <f t="shared" si="50"/>
        <v>0</v>
      </c>
      <c r="AV321" s="37">
        <f t="shared" si="51"/>
        <v>0</v>
      </c>
      <c r="AW321" s="37"/>
    </row>
    <row r="322" spans="1:49" ht="15.75" hidden="1" customHeight="1" x14ac:dyDescent="0.25">
      <c r="A322" s="6" t="s">
        <v>3968</v>
      </c>
      <c r="B322" s="21" t="s">
        <v>3969</v>
      </c>
      <c r="C322" s="7">
        <v>1</v>
      </c>
      <c r="D322" s="39" t="s">
        <v>3970</v>
      </c>
      <c r="E322" s="7">
        <v>4207</v>
      </c>
      <c r="F322" s="7" t="s">
        <v>3963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2275</v>
      </c>
      <c r="K322" s="8" t="s">
        <v>328</v>
      </c>
      <c r="L322" s="9" t="s">
        <v>2070</v>
      </c>
      <c r="M322" s="10">
        <v>46142</v>
      </c>
      <c r="N322" s="8" t="s">
        <v>328</v>
      </c>
      <c r="O322" s="12"/>
      <c r="P322" s="13"/>
      <c r="Q322" s="14">
        <f>Tabela1[[#This Row],[QTDE/ Fabricação]]-Tabela1[[#This Row],[QTE]]</f>
        <v>-1</v>
      </c>
      <c r="R322" s="18">
        <f t="shared" si="47"/>
        <v>97.6</v>
      </c>
      <c r="S322" s="18">
        <f t="shared" si="53"/>
        <v>0</v>
      </c>
      <c r="T322" s="19">
        <f t="shared" si="48"/>
        <v>-97.6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2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0</v>
      </c>
      <c r="AH322" s="33"/>
      <c r="AI322" s="33" t="str">
        <f t="shared" si="49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46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97.6</v>
      </c>
      <c r="AT322" s="37">
        <f>IF(AG322="",0,IF(ISTEXT(AG322),H322*VALUE(SUBSTITUTE(AG322,"%",""))/100,H322*AG322))-Tabela1[[#This Row],[PESO EXPEDIDO2]]</f>
        <v>0</v>
      </c>
      <c r="AU322" s="37">
        <f t="shared" si="50"/>
        <v>0</v>
      </c>
      <c r="AV322" s="37">
        <f t="shared" si="51"/>
        <v>0</v>
      </c>
      <c r="AW322" s="37"/>
    </row>
    <row r="323" spans="1:49" ht="15.75" hidden="1" customHeight="1" x14ac:dyDescent="0.25">
      <c r="A323" s="6" t="s">
        <v>3968</v>
      </c>
      <c r="B323" s="21" t="s">
        <v>3971</v>
      </c>
      <c r="C323" s="7">
        <v>1</v>
      </c>
      <c r="D323" s="39" t="s">
        <v>3965</v>
      </c>
      <c r="E323" s="7">
        <v>4208</v>
      </c>
      <c r="F323" s="7" t="s">
        <v>3963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2275</v>
      </c>
      <c r="K323" s="8" t="s">
        <v>328</v>
      </c>
      <c r="L323" s="9" t="s">
        <v>2070</v>
      </c>
      <c r="M323" s="10">
        <v>46142</v>
      </c>
      <c r="N323" s="8" t="s">
        <v>328</v>
      </c>
      <c r="O323" s="12"/>
      <c r="P323" s="13"/>
      <c r="Q323" s="14">
        <f>Tabela1[[#This Row],[QTDE/ Fabricação]]-Tabela1[[#This Row],[QTE]]</f>
        <v>-1</v>
      </c>
      <c r="R323" s="18">
        <f t="shared" si="47"/>
        <v>25.2</v>
      </c>
      <c r="S323" s="18">
        <f t="shared" si="53"/>
        <v>0</v>
      </c>
      <c r="T323" s="19">
        <f t="shared" si="48"/>
        <v>-25.2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2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0</v>
      </c>
      <c r="AH323" s="33"/>
      <c r="AI323" s="33" t="str">
        <f t="shared" si="49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46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25.2</v>
      </c>
      <c r="AT323" s="37">
        <f>IF(AG323="",0,IF(ISTEXT(AG323),H323*VALUE(SUBSTITUTE(AG323,"%",""))/100,H323*AG323))-Tabela1[[#This Row],[PESO EXPEDIDO2]]</f>
        <v>0</v>
      </c>
      <c r="AU323" s="37">
        <f t="shared" si="50"/>
        <v>0</v>
      </c>
      <c r="AV323" s="37">
        <f t="shared" si="51"/>
        <v>0</v>
      </c>
      <c r="AW323" s="37"/>
    </row>
    <row r="324" spans="1:49" ht="15.75" hidden="1" customHeight="1" x14ac:dyDescent="0.25">
      <c r="A324" s="6" t="s">
        <v>3968</v>
      </c>
      <c r="B324" s="21" t="s">
        <v>3972</v>
      </c>
      <c r="C324" s="7">
        <v>2</v>
      </c>
      <c r="D324" s="39" t="s">
        <v>3967</v>
      </c>
      <c r="E324" s="7">
        <v>4209</v>
      </c>
      <c r="F324" s="7" t="s">
        <v>3963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2275</v>
      </c>
      <c r="K324" s="8" t="s">
        <v>328</v>
      </c>
      <c r="L324" s="9" t="s">
        <v>2070</v>
      </c>
      <c r="M324" s="10">
        <v>46142</v>
      </c>
      <c r="N324" s="8" t="s">
        <v>328</v>
      </c>
      <c r="O324" s="12"/>
      <c r="P324" s="13"/>
      <c r="Q324" s="14">
        <f>Tabela1[[#This Row],[QTDE/ Fabricação]]-Tabela1[[#This Row],[QTE]]</f>
        <v>-2</v>
      </c>
      <c r="R324" s="18">
        <f t="shared" si="47"/>
        <v>4</v>
      </c>
      <c r="S324" s="18">
        <f t="shared" si="53"/>
        <v>0</v>
      </c>
      <c r="T324" s="19">
        <f t="shared" si="48"/>
        <v>-4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2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0</v>
      </c>
      <c r="AH324" s="33"/>
      <c r="AI324" s="33" t="str">
        <f t="shared" si="49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46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4</v>
      </c>
      <c r="AT324" s="37">
        <f>IF(AG324="",0,IF(ISTEXT(AG324),H324*VALUE(SUBSTITUTE(AG324,"%",""))/100,H324*AG324))-Tabela1[[#This Row],[PESO EXPEDIDO2]]</f>
        <v>0</v>
      </c>
      <c r="AU324" s="37">
        <f t="shared" si="50"/>
        <v>0</v>
      </c>
      <c r="AV324" s="37">
        <f t="shared" si="51"/>
        <v>0</v>
      </c>
      <c r="AW324" s="37"/>
    </row>
    <row r="325" spans="1:49" ht="15.75" hidden="1" customHeight="1" x14ac:dyDescent="0.25">
      <c r="A325" s="6" t="s">
        <v>3968</v>
      </c>
      <c r="B325" s="21" t="s">
        <v>3969</v>
      </c>
      <c r="C325" s="7">
        <v>1</v>
      </c>
      <c r="D325" s="39" t="s">
        <v>3970</v>
      </c>
      <c r="E325" s="7">
        <v>4210</v>
      </c>
      <c r="F325" s="7" t="s">
        <v>3963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2277</v>
      </c>
      <c r="K325" s="8" t="s">
        <v>328</v>
      </c>
      <c r="L325" s="9" t="s">
        <v>2070</v>
      </c>
      <c r="M325" s="10">
        <v>46142</v>
      </c>
      <c r="N325" s="8" t="s">
        <v>328</v>
      </c>
      <c r="O325" s="12"/>
      <c r="P325" s="13"/>
      <c r="Q325" s="14">
        <f>Tabela1[[#This Row],[QTDE/ Fabricação]]-Tabela1[[#This Row],[QTE]]</f>
        <v>-1</v>
      </c>
      <c r="R325" s="18">
        <f t="shared" si="47"/>
        <v>97.6</v>
      </c>
      <c r="S325" s="18">
        <f t="shared" si="53"/>
        <v>0</v>
      </c>
      <c r="T325" s="19">
        <f t="shared" si="48"/>
        <v>-97.6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2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0</v>
      </c>
      <c r="AH325" s="33"/>
      <c r="AI325" s="33" t="str">
        <f t="shared" si="49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4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97.6</v>
      </c>
      <c r="AT325" s="37">
        <f>IF(AG325="",0,IF(ISTEXT(AG325),H325*VALUE(SUBSTITUTE(AG325,"%",""))/100,H325*AG325))-Tabela1[[#This Row],[PESO EXPEDIDO2]]</f>
        <v>0</v>
      </c>
      <c r="AU325" s="37">
        <f t="shared" si="50"/>
        <v>0</v>
      </c>
      <c r="AV325" s="37">
        <f t="shared" si="51"/>
        <v>0</v>
      </c>
      <c r="AW325" s="37"/>
    </row>
    <row r="326" spans="1:49" ht="15.75" hidden="1" customHeight="1" x14ac:dyDescent="0.25">
      <c r="A326" s="6" t="s">
        <v>3968</v>
      </c>
      <c r="B326" s="21" t="s">
        <v>3971</v>
      </c>
      <c r="C326" s="7">
        <v>1</v>
      </c>
      <c r="D326" s="39" t="s">
        <v>3965</v>
      </c>
      <c r="E326" s="7">
        <v>4211</v>
      </c>
      <c r="F326" s="7" t="s">
        <v>3963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2277</v>
      </c>
      <c r="K326" s="8" t="s">
        <v>328</v>
      </c>
      <c r="L326" s="9" t="s">
        <v>2070</v>
      </c>
      <c r="M326" s="10">
        <v>46142</v>
      </c>
      <c r="N326" s="8" t="s">
        <v>328</v>
      </c>
      <c r="O326" s="12"/>
      <c r="P326" s="13"/>
      <c r="Q326" s="14">
        <f>Tabela1[[#This Row],[QTDE/ Fabricação]]-Tabela1[[#This Row],[QTE]]</f>
        <v>-1</v>
      </c>
      <c r="R326" s="18">
        <f t="shared" si="47"/>
        <v>25.2</v>
      </c>
      <c r="S326" s="18">
        <f t="shared" si="53"/>
        <v>0</v>
      </c>
      <c r="T326" s="19">
        <f t="shared" si="48"/>
        <v>-25.2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2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0</v>
      </c>
      <c r="AH326" s="33"/>
      <c r="AI326" s="33" t="str">
        <f t="shared" si="49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4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25.2</v>
      </c>
      <c r="AT326" s="37">
        <f>IF(AG326="",0,IF(ISTEXT(AG326),H326*VALUE(SUBSTITUTE(AG326,"%",""))/100,H326*AG326))-Tabela1[[#This Row],[PESO EXPEDIDO2]]</f>
        <v>0</v>
      </c>
      <c r="AU326" s="37">
        <f t="shared" si="50"/>
        <v>0</v>
      </c>
      <c r="AV326" s="37">
        <f t="shared" si="51"/>
        <v>0</v>
      </c>
      <c r="AW326" s="37"/>
    </row>
    <row r="327" spans="1:49" ht="15.75" hidden="1" customHeight="1" x14ac:dyDescent="0.25">
      <c r="A327" s="6" t="s">
        <v>3968</v>
      </c>
      <c r="B327" s="21" t="s">
        <v>3972</v>
      </c>
      <c r="C327" s="7">
        <v>2</v>
      </c>
      <c r="D327" s="39" t="s">
        <v>3967</v>
      </c>
      <c r="E327" s="7">
        <v>4212</v>
      </c>
      <c r="F327" s="7" t="s">
        <v>3963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2277</v>
      </c>
      <c r="K327" s="8" t="s">
        <v>328</v>
      </c>
      <c r="L327" s="9" t="s">
        <v>2070</v>
      </c>
      <c r="M327" s="10">
        <v>46142</v>
      </c>
      <c r="N327" s="8" t="s">
        <v>328</v>
      </c>
      <c r="O327" s="12"/>
      <c r="P327" s="13"/>
      <c r="Q327" s="14">
        <f>Tabela1[[#This Row],[QTDE/ Fabricação]]-Tabela1[[#This Row],[QTE]]</f>
        <v>-2</v>
      </c>
      <c r="R327" s="18">
        <f t="shared" si="47"/>
        <v>4</v>
      </c>
      <c r="S327" s="18">
        <f t="shared" si="53"/>
        <v>0</v>
      </c>
      <c r="T327" s="19">
        <f t="shared" si="48"/>
        <v>-4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2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0</v>
      </c>
      <c r="AH327" s="33"/>
      <c r="AI327" s="33" t="str">
        <f t="shared" si="49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4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4</v>
      </c>
      <c r="AT327" s="37">
        <f>IF(AG327="",0,IF(ISTEXT(AG327),H327*VALUE(SUBSTITUTE(AG327,"%",""))/100,H327*AG327))-Tabela1[[#This Row],[PESO EXPEDIDO2]]</f>
        <v>0</v>
      </c>
      <c r="AU327" s="37">
        <f t="shared" si="50"/>
        <v>0</v>
      </c>
      <c r="AV327" s="37">
        <f t="shared" si="51"/>
        <v>0</v>
      </c>
      <c r="AW327" s="37"/>
    </row>
    <row r="328" spans="1:49" ht="15.75" hidden="1" customHeight="1" x14ac:dyDescent="0.25">
      <c r="A328" s="6" t="s">
        <v>3973</v>
      </c>
      <c r="B328" s="21" t="s">
        <v>3974</v>
      </c>
      <c r="C328" s="7">
        <v>1</v>
      </c>
      <c r="D328" s="39" t="s">
        <v>3975</v>
      </c>
      <c r="E328" s="7">
        <v>4213</v>
      </c>
      <c r="F328" s="7" t="s">
        <v>3976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2275</v>
      </c>
      <c r="K328" s="8" t="s">
        <v>328</v>
      </c>
      <c r="L328" s="9" t="s">
        <v>2070</v>
      </c>
      <c r="M328" s="10">
        <v>46142</v>
      </c>
      <c r="N328" s="8" t="s">
        <v>328</v>
      </c>
      <c r="O328" s="12"/>
      <c r="P328" s="13"/>
      <c r="Q328" s="14">
        <f>Tabela1[[#This Row],[QTDE/ Fabricação]]-Tabela1[[#This Row],[QTE]]</f>
        <v>-1</v>
      </c>
      <c r="R328" s="18">
        <f t="shared" si="47"/>
        <v>704.9</v>
      </c>
      <c r="S328" s="18">
        <f t="shared" si="53"/>
        <v>704.9</v>
      </c>
      <c r="T328" s="19">
        <f t="shared" si="48"/>
        <v>0</v>
      </c>
      <c r="U328" s="207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2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49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4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0"/>
        <v>704.9</v>
      </c>
      <c r="AV328" s="37">
        <f t="shared" si="51"/>
        <v>704.9</v>
      </c>
      <c r="AW328" s="37"/>
    </row>
    <row r="329" spans="1:49" ht="15.75" hidden="1" customHeight="1" x14ac:dyDescent="0.25">
      <c r="A329" s="6" t="s">
        <v>3973</v>
      </c>
      <c r="B329" s="21" t="s">
        <v>3977</v>
      </c>
      <c r="C329" s="7">
        <v>8</v>
      </c>
      <c r="D329" s="39" t="s">
        <v>3978</v>
      </c>
      <c r="E329" s="7">
        <v>4214</v>
      </c>
      <c r="F329" s="7" t="s">
        <v>3976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2275</v>
      </c>
      <c r="K329" s="8" t="s">
        <v>328</v>
      </c>
      <c r="L329" s="9" t="s">
        <v>2070</v>
      </c>
      <c r="M329" s="10">
        <v>46142</v>
      </c>
      <c r="N329" s="8" t="s">
        <v>328</v>
      </c>
      <c r="O329" s="12"/>
      <c r="P329" s="13"/>
      <c r="Q329" s="14">
        <f>Tabela1[[#This Row],[QTDE/ Fabricação]]-Tabela1[[#This Row],[QTE]]</f>
        <v>-8</v>
      </c>
      <c r="R329" s="18">
        <f t="shared" si="47"/>
        <v>20.8</v>
      </c>
      <c r="S329" s="18">
        <f t="shared" si="53"/>
        <v>20.8</v>
      </c>
      <c r="T329" s="19">
        <f t="shared" si="48"/>
        <v>0</v>
      </c>
      <c r="U329" s="207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2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49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4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0"/>
        <v>20.8</v>
      </c>
      <c r="AV329" s="37">
        <f t="shared" si="51"/>
        <v>20.8</v>
      </c>
      <c r="AW329" s="37"/>
    </row>
    <row r="330" spans="1:49" ht="15.75" hidden="1" customHeight="1" x14ac:dyDescent="0.25">
      <c r="A330" s="6" t="s">
        <v>3973</v>
      </c>
      <c r="B330" s="21" t="s">
        <v>3979</v>
      </c>
      <c r="C330" s="7">
        <v>2</v>
      </c>
      <c r="D330" s="39" t="s">
        <v>3980</v>
      </c>
      <c r="E330" s="7">
        <v>4215</v>
      </c>
      <c r="F330" s="7" t="s">
        <v>3976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2275</v>
      </c>
      <c r="K330" s="8" t="s">
        <v>328</v>
      </c>
      <c r="L330" s="9" t="s">
        <v>2070</v>
      </c>
      <c r="M330" s="10">
        <v>46142</v>
      </c>
      <c r="N330" s="8" t="s">
        <v>328</v>
      </c>
      <c r="O330" s="12"/>
      <c r="P330" s="13"/>
      <c r="Q330" s="14">
        <f>Tabela1[[#This Row],[QTDE/ Fabricação]]-Tabela1[[#This Row],[QTE]]</f>
        <v>-2</v>
      </c>
      <c r="R330" s="18">
        <f t="shared" si="47"/>
        <v>74.400000000000006</v>
      </c>
      <c r="S330" s="18">
        <f t="shared" si="53"/>
        <v>74.400000000000006</v>
      </c>
      <c r="T330" s="19">
        <f t="shared" si="48"/>
        <v>0</v>
      </c>
      <c r="U330" s="207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2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49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4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0"/>
        <v>74.400000000000006</v>
      </c>
      <c r="AV330" s="37">
        <f t="shared" si="51"/>
        <v>74.400000000000006</v>
      </c>
      <c r="AW330" s="37"/>
    </row>
    <row r="331" spans="1:49" ht="15.75" hidden="1" customHeight="1" x14ac:dyDescent="0.25">
      <c r="A331" s="6" t="s">
        <v>3973</v>
      </c>
      <c r="B331" s="21" t="s">
        <v>3974</v>
      </c>
      <c r="C331" s="7">
        <v>1</v>
      </c>
      <c r="D331" s="39" t="s">
        <v>3975</v>
      </c>
      <c r="E331" s="7">
        <v>4216</v>
      </c>
      <c r="F331" s="7" t="s">
        <v>3976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2277</v>
      </c>
      <c r="K331" s="8" t="s">
        <v>328</v>
      </c>
      <c r="L331" s="9" t="s">
        <v>2070</v>
      </c>
      <c r="M331" s="10">
        <v>46142</v>
      </c>
      <c r="N331" s="8" t="s">
        <v>328</v>
      </c>
      <c r="O331" s="12"/>
      <c r="P331" s="13"/>
      <c r="Q331" s="14">
        <f>Tabela1[[#This Row],[QTDE/ Fabricação]]-Tabela1[[#This Row],[QTE]]</f>
        <v>-1</v>
      </c>
      <c r="R331" s="18">
        <f t="shared" si="47"/>
        <v>704.9</v>
      </c>
      <c r="S331" s="18">
        <f t="shared" si="53"/>
        <v>704.9</v>
      </c>
      <c r="T331" s="19">
        <f t="shared" si="48"/>
        <v>0</v>
      </c>
      <c r="U331" s="207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2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49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4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0"/>
        <v>704.9</v>
      </c>
      <c r="AV331" s="37">
        <f t="shared" si="51"/>
        <v>704.9</v>
      </c>
      <c r="AW331" s="37"/>
    </row>
    <row r="332" spans="1:49" ht="15.75" hidden="1" customHeight="1" x14ac:dyDescent="0.25">
      <c r="A332" s="6" t="s">
        <v>3973</v>
      </c>
      <c r="B332" s="21" t="s">
        <v>3977</v>
      </c>
      <c r="C332" s="7">
        <v>8</v>
      </c>
      <c r="D332" s="39" t="s">
        <v>3978</v>
      </c>
      <c r="E332" s="7">
        <v>4217</v>
      </c>
      <c r="F332" s="7" t="s">
        <v>3976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2277</v>
      </c>
      <c r="K332" s="8" t="s">
        <v>328</v>
      </c>
      <c r="L332" s="9" t="s">
        <v>2070</v>
      </c>
      <c r="M332" s="10">
        <v>46142</v>
      </c>
      <c r="N332" s="8" t="s">
        <v>328</v>
      </c>
      <c r="O332" s="12"/>
      <c r="P332" s="13"/>
      <c r="Q332" s="14">
        <f>Tabela1[[#This Row],[QTDE/ Fabricação]]-Tabela1[[#This Row],[QTE]]</f>
        <v>-8</v>
      </c>
      <c r="R332" s="18">
        <f t="shared" si="47"/>
        <v>20.8</v>
      </c>
      <c r="S332" s="18">
        <f t="shared" si="53"/>
        <v>20.8</v>
      </c>
      <c r="T332" s="19">
        <f t="shared" si="48"/>
        <v>0</v>
      </c>
      <c r="U332" s="207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2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49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4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0"/>
        <v>20.8</v>
      </c>
      <c r="AV332" s="37">
        <f t="shared" si="51"/>
        <v>20.8</v>
      </c>
      <c r="AW332" s="37"/>
    </row>
    <row r="333" spans="1:49" ht="15.75" hidden="1" customHeight="1" x14ac:dyDescent="0.25">
      <c r="A333" s="6" t="s">
        <v>3973</v>
      </c>
      <c r="B333" s="21" t="s">
        <v>3979</v>
      </c>
      <c r="C333" s="7">
        <v>2</v>
      </c>
      <c r="D333" s="39" t="s">
        <v>3980</v>
      </c>
      <c r="E333" s="7">
        <v>4218</v>
      </c>
      <c r="F333" s="7" t="s">
        <v>3976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2277</v>
      </c>
      <c r="K333" s="8" t="s">
        <v>328</v>
      </c>
      <c r="L333" s="9" t="s">
        <v>2070</v>
      </c>
      <c r="M333" s="10">
        <v>46142</v>
      </c>
      <c r="N333" s="8" t="s">
        <v>328</v>
      </c>
      <c r="O333" s="12"/>
      <c r="P333" s="13"/>
      <c r="Q333" s="14">
        <f>Tabela1[[#This Row],[QTDE/ Fabricação]]-Tabela1[[#This Row],[QTE]]</f>
        <v>-2</v>
      </c>
      <c r="R333" s="18">
        <f t="shared" si="47"/>
        <v>74.400000000000006</v>
      </c>
      <c r="S333" s="18">
        <f t="shared" si="53"/>
        <v>74.400000000000006</v>
      </c>
      <c r="T333" s="19">
        <f t="shared" si="48"/>
        <v>0</v>
      </c>
      <c r="U333" s="207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2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49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4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0"/>
        <v>74.400000000000006</v>
      </c>
      <c r="AV333" s="37">
        <f t="shared" si="51"/>
        <v>74.400000000000006</v>
      </c>
      <c r="AW333" s="37"/>
    </row>
    <row r="334" spans="1:49" ht="15.75" hidden="1" customHeight="1" x14ac:dyDescent="0.25">
      <c r="A334" s="6" t="s">
        <v>3981</v>
      </c>
      <c r="B334" s="21" t="s">
        <v>3982</v>
      </c>
      <c r="C334" s="7">
        <v>1</v>
      </c>
      <c r="D334" s="39" t="s">
        <v>3983</v>
      </c>
      <c r="E334" s="7">
        <v>4219</v>
      </c>
      <c r="F334" s="7" t="s">
        <v>3976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2275</v>
      </c>
      <c r="K334" s="8" t="s">
        <v>328</v>
      </c>
      <c r="L334" s="9" t="s">
        <v>2070</v>
      </c>
      <c r="M334" s="10">
        <v>46142</v>
      </c>
      <c r="N334" s="8" t="s">
        <v>328</v>
      </c>
      <c r="O334" s="12"/>
      <c r="P334" s="13"/>
      <c r="Q334" s="14">
        <f>Tabela1[[#This Row],[QTDE/ Fabricação]]-Tabela1[[#This Row],[QTE]]</f>
        <v>-1</v>
      </c>
      <c r="R334" s="18">
        <f t="shared" si="47"/>
        <v>62.2</v>
      </c>
      <c r="S334" s="18">
        <f t="shared" si="53"/>
        <v>62.2</v>
      </c>
      <c r="T334" s="19">
        <f t="shared" si="48"/>
        <v>0</v>
      </c>
      <c r="U334" s="207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2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49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4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0"/>
        <v>62.2</v>
      </c>
      <c r="AV334" s="37">
        <f t="shared" si="51"/>
        <v>62.2</v>
      </c>
      <c r="AW334" s="37"/>
    </row>
    <row r="335" spans="1:49" ht="15.75" hidden="1" customHeight="1" x14ac:dyDescent="0.25">
      <c r="A335" s="6" t="s">
        <v>3981</v>
      </c>
      <c r="B335" s="21" t="s">
        <v>3982</v>
      </c>
      <c r="C335" s="7">
        <v>4</v>
      </c>
      <c r="D335" s="39" t="s">
        <v>3984</v>
      </c>
      <c r="E335" s="7">
        <v>4220</v>
      </c>
      <c r="F335" s="7" t="s">
        <v>3976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2275</v>
      </c>
      <c r="K335" s="8" t="s">
        <v>328</v>
      </c>
      <c r="L335" s="9" t="s">
        <v>2070</v>
      </c>
      <c r="M335" s="10">
        <v>46142</v>
      </c>
      <c r="N335" s="8" t="s">
        <v>328</v>
      </c>
      <c r="O335" s="12"/>
      <c r="P335" s="13"/>
      <c r="Q335" s="14">
        <f>Tabela1[[#This Row],[QTDE/ Fabricação]]-Tabela1[[#This Row],[QTE]]</f>
        <v>-4</v>
      </c>
      <c r="R335" s="18">
        <f t="shared" si="47"/>
        <v>10.4</v>
      </c>
      <c r="S335" s="18">
        <f t="shared" si="53"/>
        <v>10.4</v>
      </c>
      <c r="T335" s="19">
        <f t="shared" si="48"/>
        <v>0</v>
      </c>
      <c r="U335" s="207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2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49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4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0"/>
        <v>10.4</v>
      </c>
      <c r="AV335" s="37">
        <f t="shared" si="51"/>
        <v>10.4</v>
      </c>
      <c r="AW335" s="37"/>
    </row>
    <row r="336" spans="1:49" ht="15.75" hidden="1" customHeight="1" x14ac:dyDescent="0.25">
      <c r="A336" s="6" t="s">
        <v>3981</v>
      </c>
      <c r="B336" s="21" t="s">
        <v>3982</v>
      </c>
      <c r="C336" s="7">
        <v>1</v>
      </c>
      <c r="D336" s="39" t="s">
        <v>3983</v>
      </c>
      <c r="E336" s="7">
        <v>4221</v>
      </c>
      <c r="F336" s="7" t="s">
        <v>3976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2277</v>
      </c>
      <c r="K336" s="8" t="s">
        <v>328</v>
      </c>
      <c r="L336" s="9" t="s">
        <v>2070</v>
      </c>
      <c r="M336" s="10">
        <v>46142</v>
      </c>
      <c r="N336" s="8" t="s">
        <v>328</v>
      </c>
      <c r="O336" s="12"/>
      <c r="P336" s="13"/>
      <c r="Q336" s="14">
        <f>Tabela1[[#This Row],[QTDE/ Fabricação]]-Tabela1[[#This Row],[QTE]]</f>
        <v>-1</v>
      </c>
      <c r="R336" s="18">
        <f t="shared" si="47"/>
        <v>62.2</v>
      </c>
      <c r="S336" s="18">
        <f t="shared" si="53"/>
        <v>62.2</v>
      </c>
      <c r="T336" s="19">
        <f t="shared" si="48"/>
        <v>0</v>
      </c>
      <c r="U336" s="207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2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49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4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0"/>
        <v>62.2</v>
      </c>
      <c r="AV336" s="37">
        <f t="shared" si="51"/>
        <v>62.2</v>
      </c>
      <c r="AW336" s="37"/>
    </row>
    <row r="337" spans="1:49" ht="15.75" hidden="1" customHeight="1" x14ac:dyDescent="0.25">
      <c r="A337" s="6" t="s">
        <v>3981</v>
      </c>
      <c r="B337" s="21" t="s">
        <v>3982</v>
      </c>
      <c r="C337" s="7">
        <v>4</v>
      </c>
      <c r="D337" s="39" t="s">
        <v>3984</v>
      </c>
      <c r="E337" s="7">
        <v>4222</v>
      </c>
      <c r="F337" s="7" t="s">
        <v>3976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2277</v>
      </c>
      <c r="K337" s="8" t="s">
        <v>328</v>
      </c>
      <c r="L337" s="9" t="s">
        <v>2070</v>
      </c>
      <c r="M337" s="10">
        <v>46142</v>
      </c>
      <c r="N337" s="8" t="s">
        <v>328</v>
      </c>
      <c r="O337" s="12"/>
      <c r="P337" s="13"/>
      <c r="Q337" s="14">
        <f>Tabela1[[#This Row],[QTDE/ Fabricação]]-Tabela1[[#This Row],[QTE]]</f>
        <v>-4</v>
      </c>
      <c r="R337" s="18">
        <f t="shared" si="47"/>
        <v>10.4</v>
      </c>
      <c r="S337" s="18">
        <f t="shared" si="53"/>
        <v>10.4</v>
      </c>
      <c r="T337" s="19">
        <f t="shared" si="48"/>
        <v>0</v>
      </c>
      <c r="U337" s="207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2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49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4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0"/>
        <v>10.4</v>
      </c>
      <c r="AV337" s="37">
        <f t="shared" si="51"/>
        <v>10.4</v>
      </c>
      <c r="AW337" s="37"/>
    </row>
    <row r="338" spans="1:49" ht="15.75" hidden="1" customHeight="1" x14ac:dyDescent="0.25">
      <c r="A338" s="6" t="s">
        <v>3775</v>
      </c>
      <c r="B338" s="21" t="s">
        <v>3985</v>
      </c>
      <c r="C338" s="7">
        <v>2</v>
      </c>
      <c r="D338" s="39" t="s">
        <v>3986</v>
      </c>
      <c r="E338" s="7">
        <v>4223</v>
      </c>
      <c r="F338" s="7" t="s">
        <v>3777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2275</v>
      </c>
      <c r="K338" s="8" t="s">
        <v>328</v>
      </c>
      <c r="L338" s="9" t="s">
        <v>2070</v>
      </c>
      <c r="M338" s="10">
        <v>46149</v>
      </c>
      <c r="N338" s="8" t="s">
        <v>328</v>
      </c>
      <c r="O338" s="12"/>
      <c r="P338" s="13"/>
      <c r="Q338" s="14">
        <f>Tabela1[[#This Row],[QTDE/ Fabricação]]-Tabela1[[#This Row],[QTE]]</f>
        <v>-2</v>
      </c>
      <c r="R338" s="18">
        <f t="shared" si="47"/>
        <v>27.4</v>
      </c>
      <c r="S338" s="18">
        <f t="shared" si="53"/>
        <v>27.4</v>
      </c>
      <c r="T338" s="19">
        <f t="shared" si="48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2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49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4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0"/>
        <v>0</v>
      </c>
      <c r="AV338" s="37">
        <f t="shared" si="51"/>
        <v>27.4</v>
      </c>
      <c r="AW338" s="37"/>
    </row>
    <row r="339" spans="1:49" ht="15.75" hidden="1" customHeight="1" x14ac:dyDescent="0.25">
      <c r="A339" s="6" t="s">
        <v>3775</v>
      </c>
      <c r="B339" s="21" t="s">
        <v>3985</v>
      </c>
      <c r="C339" s="7">
        <v>2</v>
      </c>
      <c r="D339" s="39" t="s">
        <v>3986</v>
      </c>
      <c r="E339" s="7">
        <v>4224</v>
      </c>
      <c r="F339" s="7" t="s">
        <v>3777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2277</v>
      </c>
      <c r="K339" s="8" t="s">
        <v>328</v>
      </c>
      <c r="L339" s="9" t="s">
        <v>2070</v>
      </c>
      <c r="M339" s="10">
        <v>46149</v>
      </c>
      <c r="N339" s="8" t="s">
        <v>328</v>
      </c>
      <c r="O339" s="12"/>
      <c r="P339" s="13"/>
      <c r="Q339" s="14">
        <f>Tabela1[[#This Row],[QTDE/ Fabricação]]-Tabela1[[#This Row],[QTE]]</f>
        <v>-2</v>
      </c>
      <c r="R339" s="18">
        <f t="shared" si="47"/>
        <v>27.4</v>
      </c>
      <c r="S339" s="18">
        <f t="shared" si="53"/>
        <v>27.4</v>
      </c>
      <c r="T339" s="19">
        <f t="shared" si="48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2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49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4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0"/>
        <v>0</v>
      </c>
      <c r="AV339" s="37">
        <f t="shared" si="51"/>
        <v>27.4</v>
      </c>
      <c r="AW339" s="37"/>
    </row>
    <row r="340" spans="1:49" ht="15.75" hidden="1" customHeight="1" x14ac:dyDescent="0.25">
      <c r="A340" s="6" t="s">
        <v>3987</v>
      </c>
      <c r="B340" s="21" t="s">
        <v>3988</v>
      </c>
      <c r="C340" s="7">
        <v>1</v>
      </c>
      <c r="D340" s="39" t="s">
        <v>3989</v>
      </c>
      <c r="E340" s="7">
        <v>4225</v>
      </c>
      <c r="F340" s="7" t="s">
        <v>3990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2275</v>
      </c>
      <c r="K340" s="8" t="s">
        <v>328</v>
      </c>
      <c r="L340" s="9" t="s">
        <v>2070</v>
      </c>
      <c r="M340" s="10">
        <v>46161</v>
      </c>
      <c r="N340" s="8" t="s">
        <v>328</v>
      </c>
      <c r="O340" s="12"/>
      <c r="P340" s="13"/>
      <c r="Q340" s="14">
        <f>Tabela1[[#This Row],[QTDE/ Fabricação]]-Tabela1[[#This Row],[QTE]]</f>
        <v>-1</v>
      </c>
      <c r="R340" s="18">
        <f t="shared" si="47"/>
        <v>36.6</v>
      </c>
      <c r="S340" s="18">
        <f t="shared" si="53"/>
        <v>0</v>
      </c>
      <c r="T340" s="19">
        <f t="shared" si="48"/>
        <v>-36.6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2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0</v>
      </c>
      <c r="AH340" s="33"/>
      <c r="AI340" s="33" t="str">
        <f t="shared" si="49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4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36.6</v>
      </c>
      <c r="AT340" s="37">
        <f>IF(AG340="",0,IF(ISTEXT(AG340),H340*VALUE(SUBSTITUTE(AG340,"%",""))/100,H340*AG340))-Tabela1[[#This Row],[PESO EXPEDIDO2]]</f>
        <v>0</v>
      </c>
      <c r="AU340" s="37">
        <f t="shared" si="50"/>
        <v>0</v>
      </c>
      <c r="AV340" s="37">
        <f t="shared" si="51"/>
        <v>0</v>
      </c>
      <c r="AW340" s="37"/>
    </row>
    <row r="341" spans="1:49" ht="15.75" hidden="1" customHeight="1" x14ac:dyDescent="0.25">
      <c r="A341" s="6" t="s">
        <v>3987</v>
      </c>
      <c r="B341" s="21" t="s">
        <v>3988</v>
      </c>
      <c r="C341" s="7">
        <v>1</v>
      </c>
      <c r="D341" s="39" t="s">
        <v>3989</v>
      </c>
      <c r="E341" s="7">
        <v>4226</v>
      </c>
      <c r="F341" s="7" t="s">
        <v>3990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2277</v>
      </c>
      <c r="K341" s="8" t="s">
        <v>328</v>
      </c>
      <c r="L341" s="9" t="s">
        <v>2070</v>
      </c>
      <c r="M341" s="10">
        <v>46161</v>
      </c>
      <c r="N341" s="8" t="s">
        <v>328</v>
      </c>
      <c r="O341" s="12"/>
      <c r="P341" s="13"/>
      <c r="Q341" s="14">
        <f>Tabela1[[#This Row],[QTDE/ Fabricação]]-Tabela1[[#This Row],[QTE]]</f>
        <v>-1</v>
      </c>
      <c r="R341" s="18">
        <f t="shared" si="47"/>
        <v>36.6</v>
      </c>
      <c r="S341" s="18">
        <f t="shared" si="53"/>
        <v>0</v>
      </c>
      <c r="T341" s="19">
        <f t="shared" si="48"/>
        <v>-36.6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2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0</v>
      </c>
      <c r="AH341" s="33"/>
      <c r="AI341" s="33" t="str">
        <f t="shared" si="49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4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36.6</v>
      </c>
      <c r="AT341" s="37">
        <f>IF(AG341="",0,IF(ISTEXT(AG341),H341*VALUE(SUBSTITUTE(AG341,"%",""))/100,H341*AG341))-Tabela1[[#This Row],[PESO EXPEDIDO2]]</f>
        <v>0</v>
      </c>
      <c r="AU341" s="37">
        <f t="shared" si="50"/>
        <v>0</v>
      </c>
      <c r="AV341" s="37">
        <f t="shared" si="51"/>
        <v>0</v>
      </c>
      <c r="AW341" s="37"/>
    </row>
    <row r="342" spans="1:49" ht="15.75" hidden="1" customHeight="1" x14ac:dyDescent="0.25">
      <c r="A342" s="6" t="s">
        <v>3987</v>
      </c>
      <c r="B342" s="21" t="s">
        <v>3991</v>
      </c>
      <c r="C342" s="7">
        <v>2</v>
      </c>
      <c r="D342" s="39" t="s">
        <v>3992</v>
      </c>
      <c r="E342" s="7">
        <v>4227</v>
      </c>
      <c r="F342" s="7" t="s">
        <v>3990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2275</v>
      </c>
      <c r="K342" s="8" t="s">
        <v>328</v>
      </c>
      <c r="L342" s="9" t="s">
        <v>2070</v>
      </c>
      <c r="M342" s="10">
        <v>46161</v>
      </c>
      <c r="N342" s="8" t="s">
        <v>328</v>
      </c>
      <c r="O342" s="12"/>
      <c r="P342" s="13"/>
      <c r="Q342" s="14">
        <f>Tabela1[[#This Row],[QTDE/ Fabricação]]-Tabela1[[#This Row],[QTE]]</f>
        <v>-2</v>
      </c>
      <c r="R342" s="18">
        <f t="shared" si="47"/>
        <v>12.6</v>
      </c>
      <c r="S342" s="18">
        <f t="shared" si="53"/>
        <v>0</v>
      </c>
      <c r="T342" s="19">
        <f t="shared" si="48"/>
        <v>-12.6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2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0</v>
      </c>
      <c r="AH342" s="33"/>
      <c r="AI342" s="33" t="str">
        <f t="shared" si="49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4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12.6</v>
      </c>
      <c r="AT342" s="37">
        <f>IF(AG342="",0,IF(ISTEXT(AG342),H342*VALUE(SUBSTITUTE(AG342,"%",""))/100,H342*AG342))-Tabela1[[#This Row],[PESO EXPEDIDO2]]</f>
        <v>0</v>
      </c>
      <c r="AU342" s="37">
        <f t="shared" si="50"/>
        <v>0</v>
      </c>
      <c r="AV342" s="37">
        <f t="shared" si="51"/>
        <v>0</v>
      </c>
      <c r="AW342" s="37"/>
    </row>
    <row r="343" spans="1:49" ht="15.75" hidden="1" customHeight="1" x14ac:dyDescent="0.25">
      <c r="A343" s="6" t="s">
        <v>3987</v>
      </c>
      <c r="B343" s="21" t="s">
        <v>3991</v>
      </c>
      <c r="C343" s="7">
        <v>2</v>
      </c>
      <c r="D343" s="39" t="s">
        <v>3992</v>
      </c>
      <c r="E343" s="7">
        <v>4228</v>
      </c>
      <c r="F343" s="7" t="s">
        <v>3990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2277</v>
      </c>
      <c r="K343" s="8" t="s">
        <v>328</v>
      </c>
      <c r="L343" s="9" t="s">
        <v>2070</v>
      </c>
      <c r="M343" s="10">
        <v>46161</v>
      </c>
      <c r="N343" s="8" t="s">
        <v>328</v>
      </c>
      <c r="O343" s="12"/>
      <c r="P343" s="13"/>
      <c r="Q343" s="14">
        <f>Tabela1[[#This Row],[QTDE/ Fabricação]]-Tabela1[[#This Row],[QTE]]</f>
        <v>-2</v>
      </c>
      <c r="R343" s="18">
        <f t="shared" si="47"/>
        <v>12.6</v>
      </c>
      <c r="S343" s="18">
        <f t="shared" si="53"/>
        <v>0</v>
      </c>
      <c r="T343" s="19">
        <f t="shared" si="48"/>
        <v>-12.6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2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0</v>
      </c>
      <c r="AH343" s="33"/>
      <c r="AI343" s="33" t="str">
        <f t="shared" si="49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4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12.6</v>
      </c>
      <c r="AT343" s="37">
        <f>IF(AG343="",0,IF(ISTEXT(AG343),H343*VALUE(SUBSTITUTE(AG343,"%",""))/100,H343*AG343))-Tabela1[[#This Row],[PESO EXPEDIDO2]]</f>
        <v>0</v>
      </c>
      <c r="AU343" s="37">
        <f t="shared" si="50"/>
        <v>0</v>
      </c>
      <c r="AV343" s="37">
        <f t="shared" si="51"/>
        <v>0</v>
      </c>
      <c r="AW343" s="37"/>
    </row>
    <row r="344" spans="1:49" ht="15.75" hidden="1" customHeight="1" x14ac:dyDescent="0.25">
      <c r="A344" s="6" t="s">
        <v>3987</v>
      </c>
      <c r="B344" s="21" t="s">
        <v>3993</v>
      </c>
      <c r="C344" s="7">
        <v>2</v>
      </c>
      <c r="D344" s="39" t="s">
        <v>3994</v>
      </c>
      <c r="E344" s="7">
        <v>4229</v>
      </c>
      <c r="F344" s="7" t="s">
        <v>3990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2275</v>
      </c>
      <c r="K344" s="8" t="s">
        <v>328</v>
      </c>
      <c r="L344" s="9" t="s">
        <v>2070</v>
      </c>
      <c r="M344" s="10">
        <v>46161</v>
      </c>
      <c r="N344" s="8" t="s">
        <v>328</v>
      </c>
      <c r="O344" s="12"/>
      <c r="P344" s="13"/>
      <c r="Q344" s="14">
        <f>Tabela1[[#This Row],[QTDE/ Fabricação]]-Tabela1[[#This Row],[QTE]]</f>
        <v>-2</v>
      </c>
      <c r="R344" s="18">
        <f t="shared" si="47"/>
        <v>1.4</v>
      </c>
      <c r="S344" s="18">
        <f t="shared" si="53"/>
        <v>0</v>
      </c>
      <c r="T344" s="19">
        <f t="shared" si="48"/>
        <v>-1.4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2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0</v>
      </c>
      <c r="AH344" s="33"/>
      <c r="AI344" s="33" t="str">
        <f t="shared" si="49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4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1.4</v>
      </c>
      <c r="AT344" s="37">
        <f>IF(AG344="",0,IF(ISTEXT(AG344),H344*VALUE(SUBSTITUTE(AG344,"%",""))/100,H344*AG344))-Tabela1[[#This Row],[PESO EXPEDIDO2]]</f>
        <v>0</v>
      </c>
      <c r="AU344" s="37">
        <f t="shared" si="50"/>
        <v>0</v>
      </c>
      <c r="AV344" s="37">
        <f t="shared" si="51"/>
        <v>0</v>
      </c>
      <c r="AW344" s="37"/>
    </row>
    <row r="345" spans="1:49" ht="15.75" hidden="1" customHeight="1" x14ac:dyDescent="0.25">
      <c r="A345" s="6" t="s">
        <v>3987</v>
      </c>
      <c r="B345" s="21" t="s">
        <v>3993</v>
      </c>
      <c r="C345" s="7">
        <v>2</v>
      </c>
      <c r="D345" s="39" t="s">
        <v>3994</v>
      </c>
      <c r="E345" s="7">
        <v>4230</v>
      </c>
      <c r="F345" s="7" t="s">
        <v>3990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2277</v>
      </c>
      <c r="K345" s="8" t="s">
        <v>328</v>
      </c>
      <c r="L345" s="9" t="s">
        <v>2070</v>
      </c>
      <c r="M345" s="10">
        <v>46161</v>
      </c>
      <c r="N345" s="8" t="s">
        <v>328</v>
      </c>
      <c r="O345" s="12"/>
      <c r="P345" s="13"/>
      <c r="Q345" s="14">
        <f>Tabela1[[#This Row],[QTDE/ Fabricação]]-Tabela1[[#This Row],[QTE]]</f>
        <v>-2</v>
      </c>
      <c r="R345" s="18">
        <f t="shared" si="47"/>
        <v>1.4</v>
      </c>
      <c r="S345" s="18">
        <f t="shared" si="53"/>
        <v>0</v>
      </c>
      <c r="T345" s="19">
        <f t="shared" si="48"/>
        <v>-1.4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2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0</v>
      </c>
      <c r="AH345" s="33"/>
      <c r="AI345" s="33" t="str">
        <f t="shared" si="49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4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1.4</v>
      </c>
      <c r="AT345" s="37">
        <f>IF(AG345="",0,IF(ISTEXT(AG345),H345*VALUE(SUBSTITUTE(AG345,"%",""))/100,H345*AG345))-Tabela1[[#This Row],[PESO EXPEDIDO2]]</f>
        <v>0</v>
      </c>
      <c r="AU345" s="37">
        <f t="shared" si="50"/>
        <v>0</v>
      </c>
      <c r="AV345" s="37">
        <f t="shared" si="51"/>
        <v>0</v>
      </c>
      <c r="AW345" s="37"/>
    </row>
    <row r="346" spans="1:49" ht="15.75" hidden="1" customHeight="1" x14ac:dyDescent="0.25">
      <c r="A346" s="6" t="s">
        <v>3995</v>
      </c>
      <c r="B346" s="21" t="s">
        <v>3996</v>
      </c>
      <c r="C346" s="7">
        <v>1</v>
      </c>
      <c r="D346" s="39" t="s">
        <v>3997</v>
      </c>
      <c r="E346" s="7">
        <v>4231</v>
      </c>
      <c r="F346" s="7" t="s">
        <v>3998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2275</v>
      </c>
      <c r="K346" s="8" t="s">
        <v>328</v>
      </c>
      <c r="L346" s="9" t="s">
        <v>2070</v>
      </c>
      <c r="M346" s="10">
        <v>46156</v>
      </c>
      <c r="N346" s="8" t="s">
        <v>328</v>
      </c>
      <c r="O346" s="12"/>
      <c r="P346" s="13"/>
      <c r="Q346" s="14">
        <f>Tabela1[[#This Row],[QTDE/ Fabricação]]-Tabela1[[#This Row],[QTE]]</f>
        <v>-1</v>
      </c>
      <c r="R346" s="18">
        <f t="shared" ref="R346:R409" si="55">IFERROR(H346*((AA346*0.25)+(AC346*0.25)+(AD346*0.225)+(AE346*0.225)+(AF346*0.05)),"")</f>
        <v>10.734999999999999</v>
      </c>
      <c r="S346" s="18">
        <f t="shared" si="53"/>
        <v>0</v>
      </c>
      <c r="T346" s="19">
        <f t="shared" ref="T346:T355" si="56">IFERROR(S346-H346,"")</f>
        <v>-11.3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2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0</v>
      </c>
      <c r="AG346" s="33">
        <v>0</v>
      </c>
      <c r="AH346" s="33"/>
      <c r="AI346" s="33" t="str">
        <f t="shared" si="49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4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0"/>
        <v>0</v>
      </c>
      <c r="AV346" s="37">
        <f t="shared" si="51"/>
        <v>0</v>
      </c>
      <c r="AW346" s="37"/>
    </row>
    <row r="347" spans="1:49" ht="15.75" hidden="1" customHeight="1" x14ac:dyDescent="0.25">
      <c r="A347" s="6" t="s">
        <v>3995</v>
      </c>
      <c r="B347" s="21" t="s">
        <v>3996</v>
      </c>
      <c r="C347" s="7">
        <v>1</v>
      </c>
      <c r="D347" s="39" t="s">
        <v>3997</v>
      </c>
      <c r="E347" s="7">
        <v>4232</v>
      </c>
      <c r="F347" s="7" t="s">
        <v>3998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2277</v>
      </c>
      <c r="K347" s="8" t="s">
        <v>328</v>
      </c>
      <c r="L347" s="9" t="s">
        <v>2070</v>
      </c>
      <c r="M347" s="10">
        <v>46156</v>
      </c>
      <c r="N347" s="8" t="s">
        <v>328</v>
      </c>
      <c r="O347" s="12"/>
      <c r="P347" s="13"/>
      <c r="Q347" s="14">
        <f>Tabela1[[#This Row],[QTDE/ Fabricação]]-Tabela1[[#This Row],[QTE]]</f>
        <v>-1</v>
      </c>
      <c r="R347" s="18">
        <f t="shared" si="55"/>
        <v>10.734999999999999</v>
      </c>
      <c r="S347" s="18">
        <f t="shared" si="53"/>
        <v>0</v>
      </c>
      <c r="T347" s="19">
        <f t="shared" si="56"/>
        <v>-11.3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2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0</v>
      </c>
      <c r="AG347" s="33">
        <v>0</v>
      </c>
      <c r="AH347" s="33"/>
      <c r="AI347" s="33" t="str">
        <f t="shared" si="49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4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0"/>
        <v>0</v>
      </c>
      <c r="AV347" s="37">
        <f t="shared" si="51"/>
        <v>0</v>
      </c>
      <c r="AW347" s="37"/>
    </row>
    <row r="348" spans="1:49" ht="15.75" hidden="1" customHeight="1" x14ac:dyDescent="0.25">
      <c r="A348" s="6" t="s">
        <v>3995</v>
      </c>
      <c r="B348" s="21" t="s">
        <v>3999</v>
      </c>
      <c r="C348" s="7">
        <v>1</v>
      </c>
      <c r="D348" s="39" t="s">
        <v>3997</v>
      </c>
      <c r="E348" s="7">
        <v>4233</v>
      </c>
      <c r="F348" s="7" t="s">
        <v>3998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2275</v>
      </c>
      <c r="K348" s="8" t="s">
        <v>328</v>
      </c>
      <c r="L348" s="9" t="s">
        <v>2070</v>
      </c>
      <c r="M348" s="10">
        <v>46156</v>
      </c>
      <c r="N348" s="8" t="s">
        <v>328</v>
      </c>
      <c r="O348" s="12"/>
      <c r="P348" s="13"/>
      <c r="Q348" s="14">
        <f>Tabela1[[#This Row],[QTDE/ Fabricação]]-Tabela1[[#This Row],[QTE]]</f>
        <v>-1</v>
      </c>
      <c r="R348" s="18">
        <f t="shared" si="55"/>
        <v>10.734999999999999</v>
      </c>
      <c r="S348" s="18">
        <f t="shared" si="53"/>
        <v>0</v>
      </c>
      <c r="T348" s="19">
        <f t="shared" si="56"/>
        <v>-11.3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2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0</v>
      </c>
      <c r="AG348" s="33">
        <v>0</v>
      </c>
      <c r="AH348" s="33"/>
      <c r="AI348" s="33" t="str">
        <f t="shared" ref="AI348:AI411" si="57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4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0"/>
        <v>0</v>
      </c>
      <c r="AV348" s="37">
        <f t="shared" si="51"/>
        <v>0</v>
      </c>
      <c r="AW348" s="37"/>
    </row>
    <row r="349" spans="1:49" ht="15.75" hidden="1" customHeight="1" x14ac:dyDescent="0.25">
      <c r="A349" s="6" t="s">
        <v>3995</v>
      </c>
      <c r="B349" s="21" t="s">
        <v>3999</v>
      </c>
      <c r="C349" s="7">
        <v>1</v>
      </c>
      <c r="D349" s="39" t="s">
        <v>3997</v>
      </c>
      <c r="E349" s="7">
        <v>4234</v>
      </c>
      <c r="F349" s="7" t="s">
        <v>3998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2277</v>
      </c>
      <c r="K349" s="8" t="s">
        <v>328</v>
      </c>
      <c r="L349" s="9" t="s">
        <v>2070</v>
      </c>
      <c r="M349" s="10">
        <v>46156</v>
      </c>
      <c r="N349" s="8" t="s">
        <v>328</v>
      </c>
      <c r="O349" s="12"/>
      <c r="P349" s="13"/>
      <c r="Q349" s="14">
        <f>Tabela1[[#This Row],[QTDE/ Fabricação]]-Tabela1[[#This Row],[QTE]]</f>
        <v>-1</v>
      </c>
      <c r="R349" s="18">
        <f t="shared" si="55"/>
        <v>10.734999999999999</v>
      </c>
      <c r="S349" s="18">
        <f t="shared" si="53"/>
        <v>0</v>
      </c>
      <c r="T349" s="19">
        <f t="shared" si="56"/>
        <v>-11.3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2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0</v>
      </c>
      <c r="AG349" s="33">
        <v>0</v>
      </c>
      <c r="AH349" s="33"/>
      <c r="AI349" s="33" t="str">
        <f t="shared" si="57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4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0"/>
        <v>0</v>
      </c>
      <c r="AV349" s="37">
        <f t="shared" si="51"/>
        <v>0</v>
      </c>
      <c r="AW349" s="37"/>
    </row>
    <row r="350" spans="1:49" ht="15.75" hidden="1" customHeight="1" x14ac:dyDescent="0.25">
      <c r="A350" s="6" t="s">
        <v>3995</v>
      </c>
      <c r="B350" s="21" t="s">
        <v>4000</v>
      </c>
      <c r="C350" s="7">
        <v>1</v>
      </c>
      <c r="D350" s="39" t="s">
        <v>3997</v>
      </c>
      <c r="E350" s="7">
        <v>4235</v>
      </c>
      <c r="F350" s="7" t="s">
        <v>3998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2275</v>
      </c>
      <c r="K350" s="8" t="s">
        <v>328</v>
      </c>
      <c r="L350" s="9" t="s">
        <v>2070</v>
      </c>
      <c r="M350" s="10">
        <v>46156</v>
      </c>
      <c r="N350" s="8" t="s">
        <v>328</v>
      </c>
      <c r="O350" s="12"/>
      <c r="P350" s="13"/>
      <c r="Q350" s="14">
        <f>Tabela1[[#This Row],[QTDE/ Fabricação]]-Tabela1[[#This Row],[QTE]]</f>
        <v>-1</v>
      </c>
      <c r="R350" s="18">
        <f t="shared" si="55"/>
        <v>18.809999999999999</v>
      </c>
      <c r="S350" s="18">
        <f t="shared" si="53"/>
        <v>0</v>
      </c>
      <c r="T350" s="19">
        <f t="shared" si="56"/>
        <v>-19.8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2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0</v>
      </c>
      <c r="AG350" s="33">
        <v>0</v>
      </c>
      <c r="AH350" s="33"/>
      <c r="AI350" s="33" t="str">
        <f t="shared" si="57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4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0"/>
        <v>0</v>
      </c>
      <c r="AV350" s="37">
        <f t="shared" si="51"/>
        <v>0</v>
      </c>
      <c r="AW350" s="37"/>
    </row>
    <row r="351" spans="1:49" ht="15.75" hidden="1" customHeight="1" x14ac:dyDescent="0.25">
      <c r="A351" s="6" t="s">
        <v>3995</v>
      </c>
      <c r="B351" s="21" t="s">
        <v>4000</v>
      </c>
      <c r="C351" s="7">
        <v>1</v>
      </c>
      <c r="D351" s="39" t="s">
        <v>3997</v>
      </c>
      <c r="E351" s="7">
        <v>4236</v>
      </c>
      <c r="F351" s="7" t="s">
        <v>3998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2277</v>
      </c>
      <c r="K351" s="8" t="s">
        <v>328</v>
      </c>
      <c r="L351" s="9" t="s">
        <v>2070</v>
      </c>
      <c r="M351" s="10">
        <v>46156</v>
      </c>
      <c r="N351" s="8" t="s">
        <v>328</v>
      </c>
      <c r="O351" s="12"/>
      <c r="P351" s="13"/>
      <c r="Q351" s="14">
        <f>Tabela1[[#This Row],[QTDE/ Fabricação]]-Tabela1[[#This Row],[QTE]]</f>
        <v>-1</v>
      </c>
      <c r="R351" s="18">
        <f t="shared" si="55"/>
        <v>18.809999999999999</v>
      </c>
      <c r="S351" s="18">
        <f t="shared" si="53"/>
        <v>0</v>
      </c>
      <c r="T351" s="19">
        <f t="shared" si="56"/>
        <v>-19.8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2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0</v>
      </c>
      <c r="AG351" s="33">
        <v>0</v>
      </c>
      <c r="AH351" s="33"/>
      <c r="AI351" s="33" t="str">
        <f t="shared" si="57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4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0"/>
        <v>0</v>
      </c>
      <c r="AV351" s="37">
        <f t="shared" si="51"/>
        <v>0</v>
      </c>
      <c r="AW351" s="37"/>
    </row>
    <row r="352" spans="1:49" ht="15.75" hidden="1" customHeight="1" x14ac:dyDescent="0.25">
      <c r="A352" s="6" t="s">
        <v>3995</v>
      </c>
      <c r="B352" s="21" t="s">
        <v>4001</v>
      </c>
      <c r="C352" s="7">
        <v>1</v>
      </c>
      <c r="D352" s="39" t="s">
        <v>3997</v>
      </c>
      <c r="E352" s="7">
        <v>4237</v>
      </c>
      <c r="F352" s="7" t="s">
        <v>3998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2275</v>
      </c>
      <c r="K352" s="8" t="s">
        <v>328</v>
      </c>
      <c r="L352" s="9" t="s">
        <v>2070</v>
      </c>
      <c r="M352" s="10">
        <v>46156</v>
      </c>
      <c r="N352" s="8" t="s">
        <v>328</v>
      </c>
      <c r="O352" s="12"/>
      <c r="P352" s="13"/>
      <c r="Q352" s="14">
        <f>Tabela1[[#This Row],[QTDE/ Fabricação]]-Tabela1[[#This Row],[QTE]]</f>
        <v>-1</v>
      </c>
      <c r="R352" s="18">
        <f t="shared" si="55"/>
        <v>23.654999999999998</v>
      </c>
      <c r="S352" s="18">
        <f t="shared" si="53"/>
        <v>0</v>
      </c>
      <c r="T352" s="19">
        <f t="shared" si="56"/>
        <v>-24.9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2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0</v>
      </c>
      <c r="AG352" s="33">
        <v>0</v>
      </c>
      <c r="AH352" s="33"/>
      <c r="AI352" s="33" t="str">
        <f t="shared" si="57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4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0"/>
        <v>0</v>
      </c>
      <c r="AV352" s="37">
        <f t="shared" si="51"/>
        <v>0</v>
      </c>
      <c r="AW352" s="37"/>
    </row>
    <row r="353" spans="1:49" ht="15.75" hidden="1" customHeight="1" x14ac:dyDescent="0.25">
      <c r="A353" s="6" t="s">
        <v>3995</v>
      </c>
      <c r="B353" s="21" t="s">
        <v>4001</v>
      </c>
      <c r="C353" s="7">
        <v>1</v>
      </c>
      <c r="D353" s="39" t="s">
        <v>3997</v>
      </c>
      <c r="E353" s="7">
        <v>4238</v>
      </c>
      <c r="F353" s="7" t="s">
        <v>3998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2277</v>
      </c>
      <c r="K353" s="8" t="s">
        <v>328</v>
      </c>
      <c r="L353" s="9" t="s">
        <v>2070</v>
      </c>
      <c r="M353" s="10">
        <v>46156</v>
      </c>
      <c r="N353" s="8" t="s">
        <v>328</v>
      </c>
      <c r="O353" s="12"/>
      <c r="P353" s="13"/>
      <c r="Q353" s="14">
        <f>Tabela1[[#This Row],[QTDE/ Fabricação]]-Tabela1[[#This Row],[QTE]]</f>
        <v>-1</v>
      </c>
      <c r="R353" s="18">
        <f t="shared" si="55"/>
        <v>23.654999999999998</v>
      </c>
      <c r="S353" s="18">
        <f t="shared" si="53"/>
        <v>0</v>
      </c>
      <c r="T353" s="19">
        <f t="shared" si="56"/>
        <v>-24.9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2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0</v>
      </c>
      <c r="AG353" s="33">
        <v>0</v>
      </c>
      <c r="AH353" s="33"/>
      <c r="AI353" s="33" t="str">
        <f t="shared" si="57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4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0"/>
        <v>0</v>
      </c>
      <c r="AV353" s="37">
        <f t="shared" si="51"/>
        <v>0</v>
      </c>
      <c r="AW353" s="37"/>
    </row>
    <row r="354" spans="1:49" ht="15.75" hidden="1" customHeight="1" x14ac:dyDescent="0.25">
      <c r="A354" s="6" t="s">
        <v>3995</v>
      </c>
      <c r="B354" s="21" t="s">
        <v>4002</v>
      </c>
      <c r="C354" s="7">
        <v>2</v>
      </c>
      <c r="D354" s="39" t="s">
        <v>3997</v>
      </c>
      <c r="E354" s="7">
        <v>4239</v>
      </c>
      <c r="F354" s="7" t="s">
        <v>3998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2275</v>
      </c>
      <c r="K354" s="8" t="s">
        <v>328</v>
      </c>
      <c r="L354" s="9" t="s">
        <v>2070</v>
      </c>
      <c r="M354" s="10">
        <v>46156</v>
      </c>
      <c r="N354" s="8" t="s">
        <v>328</v>
      </c>
      <c r="O354" s="12"/>
      <c r="P354" s="13"/>
      <c r="Q354" s="14">
        <f>Tabela1[[#This Row],[QTDE/ Fabricação]]-Tabela1[[#This Row],[QTE]]</f>
        <v>-2</v>
      </c>
      <c r="R354" s="18">
        <f t="shared" si="55"/>
        <v>70.3</v>
      </c>
      <c r="S354" s="18">
        <f t="shared" si="53"/>
        <v>0</v>
      </c>
      <c r="T354" s="19">
        <f t="shared" si="56"/>
        <v>-74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2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0</v>
      </c>
      <c r="AG354" s="33">
        <v>0</v>
      </c>
      <c r="AH354" s="33"/>
      <c r="AI354" s="33" t="str">
        <f t="shared" si="57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4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0"/>
        <v>0</v>
      </c>
      <c r="AV354" s="37">
        <f t="shared" si="51"/>
        <v>0</v>
      </c>
      <c r="AW354" s="37"/>
    </row>
    <row r="355" spans="1:49" ht="15.75" hidden="1" customHeight="1" x14ac:dyDescent="0.25">
      <c r="A355" s="6" t="s">
        <v>3995</v>
      </c>
      <c r="B355" s="21" t="s">
        <v>4002</v>
      </c>
      <c r="C355" s="7">
        <v>2</v>
      </c>
      <c r="D355" s="39" t="s">
        <v>3997</v>
      </c>
      <c r="E355" s="7">
        <v>4240</v>
      </c>
      <c r="F355" s="7" t="s">
        <v>3998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2277</v>
      </c>
      <c r="K355" s="8" t="s">
        <v>328</v>
      </c>
      <c r="L355" s="9" t="s">
        <v>2070</v>
      </c>
      <c r="M355" s="10">
        <v>46156</v>
      </c>
      <c r="N355" s="8" t="s">
        <v>328</v>
      </c>
      <c r="O355" s="12"/>
      <c r="P355" s="13"/>
      <c r="Q355" s="14">
        <f>Tabela1[[#This Row],[QTDE/ Fabricação]]-Tabela1[[#This Row],[QTE]]</f>
        <v>-2</v>
      </c>
      <c r="R355" s="18">
        <f t="shared" si="55"/>
        <v>70.3</v>
      </c>
      <c r="S355" s="18">
        <f t="shared" si="53"/>
        <v>0</v>
      </c>
      <c r="T355" s="19">
        <f t="shared" si="56"/>
        <v>-74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2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0</v>
      </c>
      <c r="AG355" s="33">
        <v>0</v>
      </c>
      <c r="AH355" s="33"/>
      <c r="AI355" s="33" t="str">
        <f t="shared" si="57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4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0"/>
        <v>0</v>
      </c>
      <c r="AV355" s="37">
        <f t="shared" si="51"/>
        <v>0</v>
      </c>
      <c r="AW355" s="37"/>
    </row>
    <row r="356" spans="1:49" ht="15.75" hidden="1" customHeight="1" x14ac:dyDescent="0.25">
      <c r="A356" s="6" t="s">
        <v>3995</v>
      </c>
      <c r="B356" s="21" t="s">
        <v>4003</v>
      </c>
      <c r="C356" s="7">
        <v>2</v>
      </c>
      <c r="D356" s="39" t="s">
        <v>3997</v>
      </c>
      <c r="E356" s="7">
        <v>4241</v>
      </c>
      <c r="F356" s="7" t="s">
        <v>3998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2275</v>
      </c>
      <c r="K356" s="8" t="s">
        <v>328</v>
      </c>
      <c r="L356" s="9" t="s">
        <v>2070</v>
      </c>
      <c r="M356" s="10">
        <v>46156</v>
      </c>
      <c r="N356" s="8" t="s">
        <v>328</v>
      </c>
      <c r="O356" s="12"/>
      <c r="P356" s="13"/>
      <c r="Q356" s="14">
        <f>Tabela1[[#This Row],[QTDE/ Fabricação]]-Tabela1[[#This Row],[QTE]]</f>
        <v>-2</v>
      </c>
      <c r="R356" s="18">
        <f t="shared" si="55"/>
        <v>61.75</v>
      </c>
      <c r="S356" s="18">
        <f t="shared" si="53"/>
        <v>0</v>
      </c>
      <c r="T356" s="19">
        <f t="shared" ref="T356:T419" si="58">IFERROR(S356-H356,"")</f>
        <v>-65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59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0</v>
      </c>
      <c r="AG356" s="33">
        <v>0</v>
      </c>
      <c r="AH356" s="33"/>
      <c r="AI356" s="33" t="str">
        <f t="shared" si="57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4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50"/>
        <v>0</v>
      </c>
      <c r="AV356" s="37">
        <f t="shared" si="51"/>
        <v>0</v>
      </c>
      <c r="AW356" s="37"/>
    </row>
    <row r="357" spans="1:49" ht="15.75" hidden="1" customHeight="1" x14ac:dyDescent="0.25">
      <c r="A357" s="6" t="s">
        <v>3995</v>
      </c>
      <c r="B357" s="21" t="s">
        <v>4003</v>
      </c>
      <c r="C357" s="7">
        <v>2</v>
      </c>
      <c r="D357" s="39" t="s">
        <v>3997</v>
      </c>
      <c r="E357" s="7">
        <v>4242</v>
      </c>
      <c r="F357" s="7" t="s">
        <v>3998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2277</v>
      </c>
      <c r="K357" s="8" t="s">
        <v>328</v>
      </c>
      <c r="L357" s="9" t="s">
        <v>2070</v>
      </c>
      <c r="M357" s="10">
        <v>46156</v>
      </c>
      <c r="N357" s="8" t="s">
        <v>328</v>
      </c>
      <c r="O357" s="12"/>
      <c r="P357" s="13"/>
      <c r="Q357" s="14">
        <f>Tabela1[[#This Row],[QTDE/ Fabricação]]-Tabela1[[#This Row],[QTE]]</f>
        <v>-2</v>
      </c>
      <c r="R357" s="18">
        <f t="shared" si="55"/>
        <v>61.75</v>
      </c>
      <c r="S357" s="18">
        <f t="shared" si="53"/>
        <v>0</v>
      </c>
      <c r="T357" s="19">
        <f t="shared" si="58"/>
        <v>-65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59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0</v>
      </c>
      <c r="AG357" s="33">
        <v>0</v>
      </c>
      <c r="AH357" s="33"/>
      <c r="AI357" s="33" t="str">
        <f t="shared" si="57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4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60">IF(AH357="",0,IF(ISTEXT(AH357),H357*VALUE(SUBSTITUTE(AH357,"%",""))/100,H357*AH357))</f>
        <v>0</v>
      </c>
      <c r="AV357" s="37">
        <f t="shared" ref="AV357:AV420" si="61">IF(AG357="",0,IF(ISTEXT(AG357),H357*VALUE(SUBSTITUTE(AG357,"%",""))/100,H357*AG357))</f>
        <v>0</v>
      </c>
      <c r="AW357" s="37"/>
    </row>
    <row r="358" spans="1:49" ht="15.75" hidden="1" customHeight="1" x14ac:dyDescent="0.25">
      <c r="A358" s="6" t="s">
        <v>3775</v>
      </c>
      <c r="B358" s="21" t="s">
        <v>4004</v>
      </c>
      <c r="C358" s="7">
        <v>1</v>
      </c>
      <c r="D358" s="39" t="s">
        <v>4005</v>
      </c>
      <c r="E358" s="7">
        <v>4243</v>
      </c>
      <c r="F358" s="7" t="s">
        <v>3777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2275</v>
      </c>
      <c r="K358" s="8" t="s">
        <v>328</v>
      </c>
      <c r="L358" s="9" t="s">
        <v>2070</v>
      </c>
      <c r="M358" s="10">
        <v>46156</v>
      </c>
      <c r="N358" s="8" t="s">
        <v>328</v>
      </c>
      <c r="O358" s="12"/>
      <c r="P358" s="13"/>
      <c r="Q358" s="14">
        <f>Tabela1[[#This Row],[QTDE/ Fabricação]]-Tabela1[[#This Row],[QTE]]</f>
        <v>-1</v>
      </c>
      <c r="R358" s="18">
        <f t="shared" si="55"/>
        <v>151.80000000000001</v>
      </c>
      <c r="S358" s="18">
        <f t="shared" si="53"/>
        <v>151.80000000000001</v>
      </c>
      <c r="T358" s="19">
        <f t="shared" si="58"/>
        <v>0</v>
      </c>
      <c r="U358" s="207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59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57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4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0"/>
        <v>151.80000000000001</v>
      </c>
      <c r="AV358" s="37">
        <f t="shared" si="61"/>
        <v>151.80000000000001</v>
      </c>
      <c r="AW358" s="37"/>
    </row>
    <row r="359" spans="1:49" ht="15.75" hidden="1" customHeight="1" x14ac:dyDescent="0.25">
      <c r="A359" s="6" t="s">
        <v>3775</v>
      </c>
      <c r="B359" s="21" t="s">
        <v>4004</v>
      </c>
      <c r="C359" s="7">
        <v>1</v>
      </c>
      <c r="D359" s="39" t="s">
        <v>4005</v>
      </c>
      <c r="E359" s="7">
        <v>4244</v>
      </c>
      <c r="F359" s="7" t="s">
        <v>3777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2277</v>
      </c>
      <c r="K359" s="8" t="s">
        <v>328</v>
      </c>
      <c r="L359" s="9" t="s">
        <v>2070</v>
      </c>
      <c r="M359" s="10">
        <v>46156</v>
      </c>
      <c r="N359" s="8" t="s">
        <v>328</v>
      </c>
      <c r="O359" s="12"/>
      <c r="P359" s="13"/>
      <c r="Q359" s="14">
        <f>Tabela1[[#This Row],[QTDE/ Fabricação]]-Tabela1[[#This Row],[QTE]]</f>
        <v>-1</v>
      </c>
      <c r="R359" s="18">
        <f t="shared" si="55"/>
        <v>151.80000000000001</v>
      </c>
      <c r="S359" s="18">
        <f t="shared" si="53"/>
        <v>151.80000000000001</v>
      </c>
      <c r="T359" s="19">
        <f t="shared" si="58"/>
        <v>0</v>
      </c>
      <c r="U359" s="207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59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57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4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0"/>
        <v>151.80000000000001</v>
      </c>
      <c r="AV359" s="37">
        <f t="shared" si="61"/>
        <v>151.80000000000001</v>
      </c>
      <c r="AW359" s="37"/>
    </row>
    <row r="360" spans="1:49" ht="15.75" hidden="1" customHeight="1" x14ac:dyDescent="0.25">
      <c r="A360" s="6" t="s">
        <v>4006</v>
      </c>
      <c r="B360" s="21" t="s">
        <v>4007</v>
      </c>
      <c r="C360" s="7">
        <v>1</v>
      </c>
      <c r="D360" s="39" t="s">
        <v>4008</v>
      </c>
      <c r="E360" s="7">
        <v>4245</v>
      </c>
      <c r="F360" s="7" t="s">
        <v>4009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2275</v>
      </c>
      <c r="K360" s="8" t="s">
        <v>328</v>
      </c>
      <c r="L360" s="9" t="s">
        <v>2070</v>
      </c>
      <c r="M360" s="10">
        <v>46149</v>
      </c>
      <c r="N360" s="8" t="s">
        <v>328</v>
      </c>
      <c r="O360" s="12"/>
      <c r="P360" s="13"/>
      <c r="Q360" s="14">
        <f>Tabela1[[#This Row],[QTDE/ Fabricação]]-Tabela1[[#This Row],[QTE]]</f>
        <v>-1</v>
      </c>
      <c r="R360" s="18">
        <f t="shared" si="55"/>
        <v>17.899999999999999</v>
      </c>
      <c r="S360" s="18">
        <f t="shared" si="53"/>
        <v>0</v>
      </c>
      <c r="T360" s="19">
        <f t="shared" si="58"/>
        <v>-17.899999999999999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59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0</v>
      </c>
      <c r="AH360" s="33"/>
      <c r="AI360" s="33" t="str">
        <f t="shared" si="57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4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17.899999999999999</v>
      </c>
      <c r="AT360" s="37">
        <f>IF(AG360="",0,IF(ISTEXT(AG360),H360*VALUE(SUBSTITUTE(AG360,"%",""))/100,H360*AG360))-Tabela1[[#This Row],[PESO EXPEDIDO2]]</f>
        <v>0</v>
      </c>
      <c r="AU360" s="37">
        <f t="shared" si="60"/>
        <v>0</v>
      </c>
      <c r="AV360" s="37">
        <f t="shared" si="61"/>
        <v>0</v>
      </c>
      <c r="AW360" s="37"/>
    </row>
    <row r="361" spans="1:49" ht="15.75" hidden="1" customHeight="1" x14ac:dyDescent="0.25">
      <c r="A361" s="6" t="s">
        <v>4006</v>
      </c>
      <c r="B361" s="21" t="s">
        <v>4007</v>
      </c>
      <c r="C361" s="7">
        <v>1</v>
      </c>
      <c r="D361" s="39" t="s">
        <v>4008</v>
      </c>
      <c r="E361" s="7">
        <v>4246</v>
      </c>
      <c r="F361" s="7" t="s">
        <v>4009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2277</v>
      </c>
      <c r="K361" s="8" t="s">
        <v>328</v>
      </c>
      <c r="L361" s="9" t="s">
        <v>2070</v>
      </c>
      <c r="M361" s="10">
        <v>46149</v>
      </c>
      <c r="N361" s="8" t="s">
        <v>328</v>
      </c>
      <c r="O361" s="12"/>
      <c r="P361" s="13"/>
      <c r="Q361" s="14">
        <f>Tabela1[[#This Row],[QTDE/ Fabricação]]-Tabela1[[#This Row],[QTE]]</f>
        <v>-1</v>
      </c>
      <c r="R361" s="18">
        <f t="shared" si="55"/>
        <v>17.899999999999999</v>
      </c>
      <c r="S361" s="18">
        <f t="shared" si="53"/>
        <v>0</v>
      </c>
      <c r="T361" s="19">
        <f t="shared" si="58"/>
        <v>-17.899999999999999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59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0</v>
      </c>
      <c r="AH361" s="33"/>
      <c r="AI361" s="33" t="str">
        <f t="shared" si="57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4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17.899999999999999</v>
      </c>
      <c r="AT361" s="37">
        <f>IF(AG361="",0,IF(ISTEXT(AG361),H361*VALUE(SUBSTITUTE(AG361,"%",""))/100,H361*AG361))-Tabela1[[#This Row],[PESO EXPEDIDO2]]</f>
        <v>0</v>
      </c>
      <c r="AU361" s="37">
        <f t="shared" si="60"/>
        <v>0</v>
      </c>
      <c r="AV361" s="37">
        <f t="shared" si="61"/>
        <v>0</v>
      </c>
      <c r="AW361" s="37"/>
    </row>
    <row r="362" spans="1:49" ht="15.75" hidden="1" customHeight="1" x14ac:dyDescent="0.25">
      <c r="A362" s="6" t="s">
        <v>4006</v>
      </c>
      <c r="B362" s="21" t="s">
        <v>4010</v>
      </c>
      <c r="C362" s="7">
        <v>2</v>
      </c>
      <c r="D362" s="39" t="s">
        <v>4011</v>
      </c>
      <c r="E362" s="7">
        <v>4247</v>
      </c>
      <c r="F362" s="7" t="s">
        <v>4009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2275</v>
      </c>
      <c r="K362" s="8" t="s">
        <v>328</v>
      </c>
      <c r="L362" s="9" t="s">
        <v>2070</v>
      </c>
      <c r="M362" s="10">
        <v>46149</v>
      </c>
      <c r="N362" s="8" t="s">
        <v>328</v>
      </c>
      <c r="O362" s="12"/>
      <c r="P362" s="13"/>
      <c r="Q362" s="14">
        <f>Tabela1[[#This Row],[QTDE/ Fabricação]]-Tabela1[[#This Row],[QTE]]</f>
        <v>-2</v>
      </c>
      <c r="R362" s="18">
        <f t="shared" si="55"/>
        <v>7</v>
      </c>
      <c r="S362" s="18">
        <f t="shared" si="53"/>
        <v>0</v>
      </c>
      <c r="T362" s="19">
        <f t="shared" si="58"/>
        <v>-7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59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0</v>
      </c>
      <c r="AH362" s="33"/>
      <c r="AI362" s="33" t="str">
        <f t="shared" si="57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4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7</v>
      </c>
      <c r="AT362" s="37">
        <f>IF(AG362="",0,IF(ISTEXT(AG362),H362*VALUE(SUBSTITUTE(AG362,"%",""))/100,H362*AG362))-Tabela1[[#This Row],[PESO EXPEDIDO2]]</f>
        <v>0</v>
      </c>
      <c r="AU362" s="37">
        <f t="shared" si="60"/>
        <v>0</v>
      </c>
      <c r="AV362" s="37">
        <f t="shared" si="61"/>
        <v>0</v>
      </c>
      <c r="AW362" s="37"/>
    </row>
    <row r="363" spans="1:49" ht="15.75" hidden="1" customHeight="1" x14ac:dyDescent="0.25">
      <c r="A363" s="6" t="s">
        <v>4006</v>
      </c>
      <c r="B363" s="21" t="s">
        <v>4010</v>
      </c>
      <c r="C363" s="7">
        <v>2</v>
      </c>
      <c r="D363" s="39" t="s">
        <v>4011</v>
      </c>
      <c r="E363" s="7">
        <v>4248</v>
      </c>
      <c r="F363" s="7" t="s">
        <v>4009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2277</v>
      </c>
      <c r="K363" s="8" t="s">
        <v>328</v>
      </c>
      <c r="L363" s="9" t="s">
        <v>2070</v>
      </c>
      <c r="M363" s="10">
        <v>46149</v>
      </c>
      <c r="N363" s="8" t="s">
        <v>328</v>
      </c>
      <c r="O363" s="12"/>
      <c r="P363" s="13"/>
      <c r="Q363" s="14">
        <f>Tabela1[[#This Row],[QTDE/ Fabricação]]-Tabela1[[#This Row],[QTE]]</f>
        <v>-2</v>
      </c>
      <c r="R363" s="18">
        <f t="shared" si="55"/>
        <v>7</v>
      </c>
      <c r="S363" s="18">
        <f t="shared" si="53"/>
        <v>0</v>
      </c>
      <c r="T363" s="19">
        <f t="shared" si="58"/>
        <v>-7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59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0</v>
      </c>
      <c r="AH363" s="33"/>
      <c r="AI363" s="33" t="str">
        <f t="shared" si="57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4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7</v>
      </c>
      <c r="AT363" s="37">
        <f>IF(AG363="",0,IF(ISTEXT(AG363),H363*VALUE(SUBSTITUTE(AG363,"%",""))/100,H363*AG363))-Tabela1[[#This Row],[PESO EXPEDIDO2]]</f>
        <v>0</v>
      </c>
      <c r="AU363" s="37">
        <f t="shared" si="60"/>
        <v>0</v>
      </c>
      <c r="AV363" s="37">
        <f t="shared" si="61"/>
        <v>0</v>
      </c>
      <c r="AW363" s="37"/>
    </row>
    <row r="364" spans="1:49" ht="15.75" hidden="1" customHeight="1" x14ac:dyDescent="0.25">
      <c r="A364" s="6" t="s">
        <v>4006</v>
      </c>
      <c r="B364" s="21" t="s">
        <v>4012</v>
      </c>
      <c r="C364" s="7">
        <v>1</v>
      </c>
      <c r="D364" s="39" t="s">
        <v>2558</v>
      </c>
      <c r="E364" s="7">
        <v>4249</v>
      </c>
      <c r="F364" s="7" t="s">
        <v>4009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2275</v>
      </c>
      <c r="K364" s="8" t="s">
        <v>328</v>
      </c>
      <c r="L364" s="9" t="s">
        <v>2070</v>
      </c>
      <c r="M364" s="10">
        <v>46149</v>
      </c>
      <c r="N364" s="8" t="s">
        <v>328</v>
      </c>
      <c r="O364" s="12"/>
      <c r="P364" s="13"/>
      <c r="Q364" s="14">
        <f>Tabela1[[#This Row],[QTDE/ Fabricação]]-Tabela1[[#This Row],[QTE]]</f>
        <v>-1</v>
      </c>
      <c r="R364" s="18">
        <f t="shared" si="55"/>
        <v>8.4</v>
      </c>
      <c r="S364" s="18">
        <f t="shared" si="53"/>
        <v>0</v>
      </c>
      <c r="T364" s="19">
        <f t="shared" si="58"/>
        <v>-8.4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59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0</v>
      </c>
      <c r="AH364" s="33"/>
      <c r="AI364" s="33" t="str">
        <f t="shared" si="57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4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8.4</v>
      </c>
      <c r="AT364" s="37">
        <f>IF(AG364="",0,IF(ISTEXT(AG364),H364*VALUE(SUBSTITUTE(AG364,"%",""))/100,H364*AG364))-Tabela1[[#This Row],[PESO EXPEDIDO2]]</f>
        <v>0</v>
      </c>
      <c r="AU364" s="37">
        <f t="shared" si="60"/>
        <v>0</v>
      </c>
      <c r="AV364" s="37">
        <f t="shared" si="61"/>
        <v>0</v>
      </c>
      <c r="AW364" s="37"/>
    </row>
    <row r="365" spans="1:49" ht="15.75" hidden="1" customHeight="1" x14ac:dyDescent="0.25">
      <c r="A365" s="6" t="s">
        <v>4006</v>
      </c>
      <c r="B365" s="21" t="s">
        <v>4012</v>
      </c>
      <c r="C365" s="7">
        <v>1</v>
      </c>
      <c r="D365" s="39" t="s">
        <v>2558</v>
      </c>
      <c r="E365" s="7">
        <v>4250</v>
      </c>
      <c r="F365" s="7" t="s">
        <v>4009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2277</v>
      </c>
      <c r="K365" s="8" t="s">
        <v>328</v>
      </c>
      <c r="L365" s="9" t="s">
        <v>2070</v>
      </c>
      <c r="M365" s="10">
        <v>46149</v>
      </c>
      <c r="N365" s="8" t="s">
        <v>328</v>
      </c>
      <c r="O365" s="12"/>
      <c r="P365" s="13"/>
      <c r="Q365" s="14">
        <f>Tabela1[[#This Row],[QTDE/ Fabricação]]-Tabela1[[#This Row],[QTE]]</f>
        <v>-1</v>
      </c>
      <c r="R365" s="18">
        <f t="shared" si="55"/>
        <v>8.4</v>
      </c>
      <c r="S365" s="18">
        <f t="shared" si="53"/>
        <v>0</v>
      </c>
      <c r="T365" s="19">
        <f t="shared" si="58"/>
        <v>-8.4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59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0</v>
      </c>
      <c r="AH365" s="33"/>
      <c r="AI365" s="33" t="str">
        <f t="shared" si="57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4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8.4</v>
      </c>
      <c r="AT365" s="37">
        <f>IF(AG365="",0,IF(ISTEXT(AG365),H365*VALUE(SUBSTITUTE(AG365,"%",""))/100,H365*AG365))-Tabela1[[#This Row],[PESO EXPEDIDO2]]</f>
        <v>0</v>
      </c>
      <c r="AU365" s="37">
        <f t="shared" si="60"/>
        <v>0</v>
      </c>
      <c r="AV365" s="37">
        <f t="shared" si="61"/>
        <v>0</v>
      </c>
      <c r="AW365" s="37"/>
    </row>
    <row r="366" spans="1:49" ht="15.75" hidden="1" customHeight="1" x14ac:dyDescent="0.25">
      <c r="A366" s="6" t="s">
        <v>4006</v>
      </c>
      <c r="B366" s="21" t="s">
        <v>4013</v>
      </c>
      <c r="C366" s="7">
        <v>1</v>
      </c>
      <c r="D366" s="39" t="s">
        <v>4014</v>
      </c>
      <c r="E366" s="7">
        <v>4251</v>
      </c>
      <c r="F366" s="7" t="s">
        <v>4009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2275</v>
      </c>
      <c r="K366" s="8" t="s">
        <v>328</v>
      </c>
      <c r="L366" s="9" t="s">
        <v>2070</v>
      </c>
      <c r="M366" s="10">
        <v>46149</v>
      </c>
      <c r="N366" s="8" t="s">
        <v>328</v>
      </c>
      <c r="O366" s="12"/>
      <c r="P366" s="13"/>
      <c r="Q366" s="14">
        <f>Tabela1[[#This Row],[QTDE/ Fabricação]]-Tabela1[[#This Row],[QTE]]</f>
        <v>-1</v>
      </c>
      <c r="R366" s="18">
        <f t="shared" si="55"/>
        <v>0.5</v>
      </c>
      <c r="S366" s="18">
        <f t="shared" si="53"/>
        <v>0</v>
      </c>
      <c r="T366" s="19">
        <f t="shared" si="58"/>
        <v>-0.5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59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0</v>
      </c>
      <c r="AH366" s="33"/>
      <c r="AI366" s="33" t="str">
        <f t="shared" si="57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4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0.5</v>
      </c>
      <c r="AT366" s="37">
        <f>IF(AG366="",0,IF(ISTEXT(AG366),H366*VALUE(SUBSTITUTE(AG366,"%",""))/100,H366*AG366))-Tabela1[[#This Row],[PESO EXPEDIDO2]]</f>
        <v>0</v>
      </c>
      <c r="AU366" s="37">
        <f t="shared" si="60"/>
        <v>0</v>
      </c>
      <c r="AV366" s="37">
        <f t="shared" si="61"/>
        <v>0</v>
      </c>
      <c r="AW366" s="37"/>
    </row>
    <row r="367" spans="1:49" ht="15.75" hidden="1" customHeight="1" x14ac:dyDescent="0.25">
      <c r="A367" s="6" t="s">
        <v>4006</v>
      </c>
      <c r="B367" s="21" t="s">
        <v>4013</v>
      </c>
      <c r="C367" s="7">
        <v>1</v>
      </c>
      <c r="D367" s="39" t="s">
        <v>4014</v>
      </c>
      <c r="E367" s="7">
        <v>4252</v>
      </c>
      <c r="F367" s="7" t="s">
        <v>4009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2277</v>
      </c>
      <c r="K367" s="8" t="s">
        <v>328</v>
      </c>
      <c r="L367" s="9" t="s">
        <v>2070</v>
      </c>
      <c r="M367" s="10">
        <v>46149</v>
      </c>
      <c r="N367" s="8" t="s">
        <v>328</v>
      </c>
      <c r="O367" s="12"/>
      <c r="P367" s="13"/>
      <c r="Q367" s="14">
        <f>Tabela1[[#This Row],[QTDE/ Fabricação]]-Tabela1[[#This Row],[QTE]]</f>
        <v>-1</v>
      </c>
      <c r="R367" s="18">
        <f t="shared" si="55"/>
        <v>0.5</v>
      </c>
      <c r="S367" s="18">
        <f t="shared" si="53"/>
        <v>0</v>
      </c>
      <c r="T367" s="19">
        <f t="shared" si="58"/>
        <v>-0.5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59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0</v>
      </c>
      <c r="AH367" s="33"/>
      <c r="AI367" s="33" t="str">
        <f t="shared" si="57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4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0.5</v>
      </c>
      <c r="AT367" s="37">
        <f>IF(AG367="",0,IF(ISTEXT(AG367),H367*VALUE(SUBSTITUTE(AG367,"%",""))/100,H367*AG367))-Tabela1[[#This Row],[PESO EXPEDIDO2]]</f>
        <v>0</v>
      </c>
      <c r="AU367" s="37">
        <f t="shared" si="60"/>
        <v>0</v>
      </c>
      <c r="AV367" s="37">
        <f t="shared" si="61"/>
        <v>0</v>
      </c>
      <c r="AW367" s="37"/>
    </row>
    <row r="368" spans="1:49" ht="15.75" hidden="1" customHeight="1" x14ac:dyDescent="0.25">
      <c r="A368" s="6" t="s">
        <v>4006</v>
      </c>
      <c r="B368" s="21" t="s">
        <v>4015</v>
      </c>
      <c r="C368" s="7">
        <v>2</v>
      </c>
      <c r="D368" s="39" t="s">
        <v>4016</v>
      </c>
      <c r="E368" s="7">
        <v>4253</v>
      </c>
      <c r="F368" s="7" t="s">
        <v>4009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2275</v>
      </c>
      <c r="K368" s="8" t="s">
        <v>328</v>
      </c>
      <c r="L368" s="9" t="s">
        <v>2070</v>
      </c>
      <c r="M368" s="10">
        <v>46149</v>
      </c>
      <c r="N368" s="8" t="s">
        <v>328</v>
      </c>
      <c r="O368" s="12"/>
      <c r="P368" s="13"/>
      <c r="Q368" s="14">
        <f>Tabela1[[#This Row],[QTDE/ Fabricação]]-Tabela1[[#This Row],[QTE]]</f>
        <v>-2</v>
      </c>
      <c r="R368" s="18">
        <f t="shared" si="55"/>
        <v>6</v>
      </c>
      <c r="S368" s="18">
        <f t="shared" si="53"/>
        <v>0</v>
      </c>
      <c r="T368" s="19">
        <f t="shared" si="58"/>
        <v>-6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59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0</v>
      </c>
      <c r="AH368" s="33"/>
      <c r="AI368" s="33" t="str">
        <f t="shared" si="57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4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6</v>
      </c>
      <c r="AT368" s="37">
        <f>IF(AG368="",0,IF(ISTEXT(AG368),H368*VALUE(SUBSTITUTE(AG368,"%",""))/100,H368*AG368))-Tabela1[[#This Row],[PESO EXPEDIDO2]]</f>
        <v>0</v>
      </c>
      <c r="AU368" s="37">
        <f t="shared" si="60"/>
        <v>0</v>
      </c>
      <c r="AV368" s="37">
        <f t="shared" si="61"/>
        <v>0</v>
      </c>
      <c r="AW368" s="37"/>
    </row>
    <row r="369" spans="1:49" ht="15.75" hidden="1" customHeight="1" x14ac:dyDescent="0.25">
      <c r="A369" s="6" t="s">
        <v>4006</v>
      </c>
      <c r="B369" s="21" t="s">
        <v>4015</v>
      </c>
      <c r="C369" s="7">
        <v>2</v>
      </c>
      <c r="D369" s="39" t="s">
        <v>4016</v>
      </c>
      <c r="E369" s="7">
        <v>4254</v>
      </c>
      <c r="F369" s="7" t="s">
        <v>4009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2277</v>
      </c>
      <c r="K369" s="8" t="s">
        <v>328</v>
      </c>
      <c r="L369" s="9" t="s">
        <v>2070</v>
      </c>
      <c r="M369" s="10">
        <v>46149</v>
      </c>
      <c r="N369" s="8" t="s">
        <v>328</v>
      </c>
      <c r="O369" s="12"/>
      <c r="P369" s="13"/>
      <c r="Q369" s="14">
        <f>Tabela1[[#This Row],[QTDE/ Fabricação]]-Tabela1[[#This Row],[QTE]]</f>
        <v>-2</v>
      </c>
      <c r="R369" s="18">
        <f t="shared" si="55"/>
        <v>6</v>
      </c>
      <c r="S369" s="18">
        <f t="shared" si="53"/>
        <v>0</v>
      </c>
      <c r="T369" s="19">
        <f t="shared" si="58"/>
        <v>-6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59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0</v>
      </c>
      <c r="AH369" s="33"/>
      <c r="AI369" s="33" t="str">
        <f t="shared" si="57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4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6</v>
      </c>
      <c r="AT369" s="37">
        <f>IF(AG369="",0,IF(ISTEXT(AG369),H369*VALUE(SUBSTITUTE(AG369,"%",""))/100,H369*AG369))-Tabela1[[#This Row],[PESO EXPEDIDO2]]</f>
        <v>0</v>
      </c>
      <c r="AU369" s="37">
        <f t="shared" si="60"/>
        <v>0</v>
      </c>
      <c r="AV369" s="37">
        <f t="shared" si="61"/>
        <v>0</v>
      </c>
      <c r="AW369" s="37"/>
    </row>
    <row r="370" spans="1:49" ht="15.75" hidden="1" customHeight="1" x14ac:dyDescent="0.25">
      <c r="A370" s="6" t="s">
        <v>4017</v>
      </c>
      <c r="B370" s="21" t="s">
        <v>4018</v>
      </c>
      <c r="C370" s="7">
        <v>1</v>
      </c>
      <c r="D370" s="39" t="s">
        <v>4019</v>
      </c>
      <c r="E370" s="7">
        <v>4255</v>
      </c>
      <c r="F370" s="7" t="s">
        <v>4020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2275</v>
      </c>
      <c r="K370" s="8" t="s">
        <v>328</v>
      </c>
      <c r="L370" s="9" t="s">
        <v>2070</v>
      </c>
      <c r="M370" s="10">
        <v>46150</v>
      </c>
      <c r="N370" s="8" t="s">
        <v>328</v>
      </c>
      <c r="O370" s="12"/>
      <c r="P370" s="13"/>
      <c r="Q370" s="14">
        <f>Tabela1[[#This Row],[QTDE/ Fabricação]]-Tabela1[[#This Row],[QTE]]</f>
        <v>-1</v>
      </c>
      <c r="R370" s="18">
        <f t="shared" si="55"/>
        <v>0.4</v>
      </c>
      <c r="S370" s="18">
        <f t="shared" si="53"/>
        <v>0</v>
      </c>
      <c r="T370" s="19">
        <f t="shared" si="58"/>
        <v>-0.4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59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0</v>
      </c>
      <c r="AH370" s="33"/>
      <c r="AI370" s="33" t="str">
        <f t="shared" si="57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4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0.4</v>
      </c>
      <c r="AT370" s="37">
        <f>IF(AG370="",0,IF(ISTEXT(AG370),H370*VALUE(SUBSTITUTE(AG370,"%",""))/100,H370*AG370))-Tabela1[[#This Row],[PESO EXPEDIDO2]]</f>
        <v>0</v>
      </c>
      <c r="AU370" s="37">
        <f t="shared" si="60"/>
        <v>0</v>
      </c>
      <c r="AV370" s="37">
        <f t="shared" si="61"/>
        <v>0</v>
      </c>
      <c r="AW370" s="37"/>
    </row>
    <row r="371" spans="1:49" ht="15.75" hidden="1" customHeight="1" x14ac:dyDescent="0.25">
      <c r="A371" s="6" t="s">
        <v>4017</v>
      </c>
      <c r="B371" s="21" t="s">
        <v>4018</v>
      </c>
      <c r="C371" s="7">
        <v>1</v>
      </c>
      <c r="D371" s="39" t="s">
        <v>4019</v>
      </c>
      <c r="E371" s="7">
        <v>4256</v>
      </c>
      <c r="F371" s="7" t="s">
        <v>4020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2277</v>
      </c>
      <c r="K371" s="8" t="s">
        <v>328</v>
      </c>
      <c r="L371" s="9" t="s">
        <v>2070</v>
      </c>
      <c r="M371" s="10">
        <v>46150</v>
      </c>
      <c r="N371" s="8" t="s">
        <v>328</v>
      </c>
      <c r="O371" s="12"/>
      <c r="P371" s="13"/>
      <c r="Q371" s="14">
        <f>Tabela1[[#This Row],[QTDE/ Fabricação]]-Tabela1[[#This Row],[QTE]]</f>
        <v>-1</v>
      </c>
      <c r="R371" s="18">
        <f t="shared" si="55"/>
        <v>0.4</v>
      </c>
      <c r="S371" s="18">
        <f t="shared" si="53"/>
        <v>0</v>
      </c>
      <c r="T371" s="19">
        <f t="shared" si="58"/>
        <v>-0.4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59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0</v>
      </c>
      <c r="AH371" s="33"/>
      <c r="AI371" s="33" t="str">
        <f t="shared" si="57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4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0.4</v>
      </c>
      <c r="AT371" s="37">
        <f>IF(AG371="",0,IF(ISTEXT(AG371),H371*VALUE(SUBSTITUTE(AG371,"%",""))/100,H371*AG371))-Tabela1[[#This Row],[PESO EXPEDIDO2]]</f>
        <v>0</v>
      </c>
      <c r="AU371" s="37">
        <f t="shared" si="60"/>
        <v>0</v>
      </c>
      <c r="AV371" s="37">
        <f t="shared" si="61"/>
        <v>0</v>
      </c>
      <c r="AW371" s="37"/>
    </row>
    <row r="372" spans="1:49" ht="15.75" hidden="1" customHeight="1" x14ac:dyDescent="0.25">
      <c r="A372" s="6" t="s">
        <v>4017</v>
      </c>
      <c r="B372" s="21" t="s">
        <v>4021</v>
      </c>
      <c r="C372" s="7">
        <v>1</v>
      </c>
      <c r="D372" s="39" t="s">
        <v>4022</v>
      </c>
      <c r="E372" s="7">
        <v>4257</v>
      </c>
      <c r="F372" s="7" t="s">
        <v>4020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2275</v>
      </c>
      <c r="K372" s="8" t="s">
        <v>328</v>
      </c>
      <c r="L372" s="9" t="s">
        <v>2070</v>
      </c>
      <c r="M372" s="10">
        <v>46150</v>
      </c>
      <c r="N372" s="8" t="s">
        <v>328</v>
      </c>
      <c r="O372" s="12"/>
      <c r="P372" s="13"/>
      <c r="Q372" s="14">
        <f>Tabela1[[#This Row],[QTDE/ Fabricação]]-Tabela1[[#This Row],[QTE]]</f>
        <v>-1</v>
      </c>
      <c r="R372" s="18">
        <f t="shared" si="55"/>
        <v>0.4</v>
      </c>
      <c r="S372" s="18">
        <f t="shared" si="53"/>
        <v>0</v>
      </c>
      <c r="T372" s="19">
        <f t="shared" si="58"/>
        <v>-0.4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59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0</v>
      </c>
      <c r="AH372" s="33"/>
      <c r="AI372" s="33" t="str">
        <f t="shared" si="57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4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0.4</v>
      </c>
      <c r="AT372" s="37">
        <f>IF(AG372="",0,IF(ISTEXT(AG372),H372*VALUE(SUBSTITUTE(AG372,"%",""))/100,H372*AG372))-Tabela1[[#This Row],[PESO EXPEDIDO2]]</f>
        <v>0</v>
      </c>
      <c r="AU372" s="37">
        <f t="shared" si="60"/>
        <v>0</v>
      </c>
      <c r="AV372" s="37">
        <f t="shared" si="61"/>
        <v>0</v>
      </c>
      <c r="AW372" s="37"/>
    </row>
    <row r="373" spans="1:49" ht="15.75" hidden="1" customHeight="1" x14ac:dyDescent="0.25">
      <c r="A373" s="6" t="s">
        <v>4017</v>
      </c>
      <c r="B373" s="21" t="s">
        <v>4021</v>
      </c>
      <c r="C373" s="7">
        <v>1</v>
      </c>
      <c r="D373" s="39" t="s">
        <v>4022</v>
      </c>
      <c r="E373" s="7">
        <v>4258</v>
      </c>
      <c r="F373" s="7" t="s">
        <v>4020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2277</v>
      </c>
      <c r="K373" s="8" t="s">
        <v>328</v>
      </c>
      <c r="L373" s="9" t="s">
        <v>2070</v>
      </c>
      <c r="M373" s="10">
        <v>46150</v>
      </c>
      <c r="N373" s="8" t="s">
        <v>328</v>
      </c>
      <c r="O373" s="12"/>
      <c r="P373" s="13"/>
      <c r="Q373" s="14">
        <f>Tabela1[[#This Row],[QTDE/ Fabricação]]-Tabela1[[#This Row],[QTE]]</f>
        <v>-1</v>
      </c>
      <c r="R373" s="18">
        <f t="shared" si="55"/>
        <v>0.4</v>
      </c>
      <c r="S373" s="18">
        <f t="shared" si="53"/>
        <v>0</v>
      </c>
      <c r="T373" s="19">
        <f t="shared" si="58"/>
        <v>-0.4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59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0</v>
      </c>
      <c r="AH373" s="33"/>
      <c r="AI373" s="33" t="str">
        <f t="shared" si="57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4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0.4</v>
      </c>
      <c r="AT373" s="37">
        <f>IF(AG373="",0,IF(ISTEXT(AG373),H373*VALUE(SUBSTITUTE(AG373,"%",""))/100,H373*AG373))-Tabela1[[#This Row],[PESO EXPEDIDO2]]</f>
        <v>0</v>
      </c>
      <c r="AU373" s="37">
        <f t="shared" si="60"/>
        <v>0</v>
      </c>
      <c r="AV373" s="37">
        <f t="shared" si="61"/>
        <v>0</v>
      </c>
      <c r="AW373" s="37"/>
    </row>
    <row r="374" spans="1:49" ht="15.75" hidden="1" customHeight="1" x14ac:dyDescent="0.25">
      <c r="A374" s="6" t="s">
        <v>4017</v>
      </c>
      <c r="B374" s="21" t="s">
        <v>4023</v>
      </c>
      <c r="C374" s="7">
        <v>1</v>
      </c>
      <c r="D374" s="39" t="s">
        <v>4024</v>
      </c>
      <c r="E374" s="7">
        <v>4259</v>
      </c>
      <c r="F374" s="7" t="s">
        <v>4020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2275</v>
      </c>
      <c r="K374" s="8" t="s">
        <v>328</v>
      </c>
      <c r="L374" s="9" t="s">
        <v>2070</v>
      </c>
      <c r="M374" s="10">
        <v>46150</v>
      </c>
      <c r="N374" s="8" t="s">
        <v>328</v>
      </c>
      <c r="O374" s="12"/>
      <c r="P374" s="13"/>
      <c r="Q374" s="14">
        <f>Tabela1[[#This Row],[QTDE/ Fabricação]]-Tabela1[[#This Row],[QTE]]</f>
        <v>-1</v>
      </c>
      <c r="R374" s="18">
        <f t="shared" si="55"/>
        <v>0.2</v>
      </c>
      <c r="S374" s="18">
        <f t="shared" ref="S374:S437" si="62">IFERROR(H374*AG374,"")</f>
        <v>0</v>
      </c>
      <c r="T374" s="19">
        <f t="shared" si="58"/>
        <v>-0.2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59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0</v>
      </c>
      <c r="AH374" s="33"/>
      <c r="AI374" s="33" t="str">
        <f t="shared" si="57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4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0.2</v>
      </c>
      <c r="AT374" s="37">
        <f>IF(AG374="",0,IF(ISTEXT(AG374),H374*VALUE(SUBSTITUTE(AG374,"%",""))/100,H374*AG374))-Tabela1[[#This Row],[PESO EXPEDIDO2]]</f>
        <v>0</v>
      </c>
      <c r="AU374" s="37">
        <f t="shared" si="60"/>
        <v>0</v>
      </c>
      <c r="AV374" s="37">
        <f t="shared" si="61"/>
        <v>0</v>
      </c>
      <c r="AW374" s="37"/>
    </row>
    <row r="375" spans="1:49" ht="15.75" hidden="1" customHeight="1" x14ac:dyDescent="0.25">
      <c r="A375" s="6" t="s">
        <v>4017</v>
      </c>
      <c r="B375" s="21" t="s">
        <v>4023</v>
      </c>
      <c r="C375" s="7">
        <v>1</v>
      </c>
      <c r="D375" s="39" t="s">
        <v>4024</v>
      </c>
      <c r="E375" s="7">
        <v>4260</v>
      </c>
      <c r="F375" s="7" t="s">
        <v>4020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2277</v>
      </c>
      <c r="K375" s="8" t="s">
        <v>328</v>
      </c>
      <c r="L375" s="9" t="s">
        <v>2070</v>
      </c>
      <c r="M375" s="10">
        <v>46150</v>
      </c>
      <c r="N375" s="8" t="s">
        <v>328</v>
      </c>
      <c r="O375" s="12"/>
      <c r="P375" s="13"/>
      <c r="Q375" s="14">
        <f>Tabela1[[#This Row],[QTDE/ Fabricação]]-Tabela1[[#This Row],[QTE]]</f>
        <v>-1</v>
      </c>
      <c r="R375" s="18">
        <f t="shared" si="55"/>
        <v>0.2</v>
      </c>
      <c r="S375" s="18">
        <f t="shared" si="62"/>
        <v>0</v>
      </c>
      <c r="T375" s="19">
        <f t="shared" si="58"/>
        <v>-0.2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59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0</v>
      </c>
      <c r="AH375" s="33"/>
      <c r="AI375" s="33" t="str">
        <f t="shared" si="57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4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0.2</v>
      </c>
      <c r="AT375" s="37">
        <f>IF(AG375="",0,IF(ISTEXT(AG375),H375*VALUE(SUBSTITUTE(AG375,"%",""))/100,H375*AG375))-Tabela1[[#This Row],[PESO EXPEDIDO2]]</f>
        <v>0</v>
      </c>
      <c r="AU375" s="37">
        <f t="shared" si="60"/>
        <v>0</v>
      </c>
      <c r="AV375" s="37">
        <f t="shared" si="61"/>
        <v>0</v>
      </c>
      <c r="AW375" s="37"/>
    </row>
    <row r="376" spans="1:49" ht="15.75" hidden="1" customHeight="1" x14ac:dyDescent="0.25">
      <c r="A376" s="6" t="s">
        <v>4017</v>
      </c>
      <c r="B376" s="21" t="s">
        <v>4025</v>
      </c>
      <c r="C376" s="7">
        <v>2</v>
      </c>
      <c r="D376" s="39" t="s">
        <v>4026</v>
      </c>
      <c r="E376" s="7">
        <v>4261</v>
      </c>
      <c r="F376" s="7" t="s">
        <v>4020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2275</v>
      </c>
      <c r="K376" s="8" t="s">
        <v>328</v>
      </c>
      <c r="L376" s="9" t="s">
        <v>2070</v>
      </c>
      <c r="M376" s="10">
        <v>46150</v>
      </c>
      <c r="N376" s="8" t="s">
        <v>328</v>
      </c>
      <c r="O376" s="12"/>
      <c r="P376" s="13"/>
      <c r="Q376" s="14">
        <f>Tabela1[[#This Row],[QTDE/ Fabricação]]-Tabela1[[#This Row],[QTE]]</f>
        <v>-2</v>
      </c>
      <c r="R376" s="18">
        <f t="shared" si="55"/>
        <v>7.8</v>
      </c>
      <c r="S376" s="18">
        <f t="shared" si="62"/>
        <v>0</v>
      </c>
      <c r="T376" s="19">
        <f t="shared" si="58"/>
        <v>-7.8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59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0</v>
      </c>
      <c r="AH376" s="33"/>
      <c r="AI376" s="33" t="str">
        <f t="shared" si="57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4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7.8</v>
      </c>
      <c r="AT376" s="37">
        <f>IF(AG376="",0,IF(ISTEXT(AG376),H376*VALUE(SUBSTITUTE(AG376,"%",""))/100,H376*AG376))-Tabela1[[#This Row],[PESO EXPEDIDO2]]</f>
        <v>0</v>
      </c>
      <c r="AU376" s="37">
        <f t="shared" si="60"/>
        <v>0</v>
      </c>
      <c r="AV376" s="37">
        <f t="shared" si="61"/>
        <v>0</v>
      </c>
      <c r="AW376" s="37"/>
    </row>
    <row r="377" spans="1:49" ht="15.75" hidden="1" customHeight="1" x14ac:dyDescent="0.25">
      <c r="A377" s="6" t="s">
        <v>4017</v>
      </c>
      <c r="B377" s="21" t="s">
        <v>4025</v>
      </c>
      <c r="C377" s="7">
        <v>2</v>
      </c>
      <c r="D377" s="39" t="s">
        <v>4026</v>
      </c>
      <c r="E377" s="7">
        <v>4262</v>
      </c>
      <c r="F377" s="7" t="s">
        <v>4020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2277</v>
      </c>
      <c r="K377" s="8" t="s">
        <v>328</v>
      </c>
      <c r="L377" s="9" t="s">
        <v>2070</v>
      </c>
      <c r="M377" s="10">
        <v>46150</v>
      </c>
      <c r="N377" s="8" t="s">
        <v>328</v>
      </c>
      <c r="O377" s="12"/>
      <c r="P377" s="13"/>
      <c r="Q377" s="14">
        <f>Tabela1[[#This Row],[QTDE/ Fabricação]]-Tabela1[[#This Row],[QTE]]</f>
        <v>-2</v>
      </c>
      <c r="R377" s="18">
        <f t="shared" si="55"/>
        <v>7.8</v>
      </c>
      <c r="S377" s="18">
        <f t="shared" si="62"/>
        <v>0</v>
      </c>
      <c r="T377" s="19">
        <f t="shared" si="58"/>
        <v>-7.8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59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0</v>
      </c>
      <c r="AH377" s="33"/>
      <c r="AI377" s="33" t="str">
        <f t="shared" si="57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4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7.8</v>
      </c>
      <c r="AT377" s="37">
        <f>IF(AG377="",0,IF(ISTEXT(AG377),H377*VALUE(SUBSTITUTE(AG377,"%",""))/100,H377*AG377))-Tabela1[[#This Row],[PESO EXPEDIDO2]]</f>
        <v>0</v>
      </c>
      <c r="AU377" s="37">
        <f t="shared" si="60"/>
        <v>0</v>
      </c>
      <c r="AV377" s="37">
        <f t="shared" si="61"/>
        <v>0</v>
      </c>
      <c r="AW377" s="37"/>
    </row>
    <row r="378" spans="1:49" ht="15.75" hidden="1" customHeight="1" x14ac:dyDescent="0.25">
      <c r="A378" s="6" t="s">
        <v>4017</v>
      </c>
      <c r="B378" s="21" t="s">
        <v>4027</v>
      </c>
      <c r="C378" s="7">
        <v>4</v>
      </c>
      <c r="D378" s="39" t="s">
        <v>4028</v>
      </c>
      <c r="E378" s="7">
        <v>4263</v>
      </c>
      <c r="F378" s="7" t="s">
        <v>4020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2275</v>
      </c>
      <c r="K378" s="8" t="s">
        <v>328</v>
      </c>
      <c r="L378" s="9" t="s">
        <v>2070</v>
      </c>
      <c r="M378" s="10">
        <v>46150</v>
      </c>
      <c r="N378" s="8" t="s">
        <v>328</v>
      </c>
      <c r="O378" s="12"/>
      <c r="P378" s="13"/>
      <c r="Q378" s="14">
        <f>Tabela1[[#This Row],[QTDE/ Fabricação]]-Tabela1[[#This Row],[QTE]]</f>
        <v>-4</v>
      </c>
      <c r="R378" s="18">
        <f t="shared" si="55"/>
        <v>9.1999999999999993</v>
      </c>
      <c r="S378" s="18">
        <f t="shared" si="62"/>
        <v>0</v>
      </c>
      <c r="T378" s="19">
        <f t="shared" si="58"/>
        <v>-9.1999999999999993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59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0</v>
      </c>
      <c r="AH378" s="33"/>
      <c r="AI378" s="33" t="str">
        <f t="shared" si="57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4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9.1999999999999993</v>
      </c>
      <c r="AT378" s="37">
        <f>IF(AG378="",0,IF(ISTEXT(AG378),H378*VALUE(SUBSTITUTE(AG378,"%",""))/100,H378*AG378))-Tabela1[[#This Row],[PESO EXPEDIDO2]]</f>
        <v>0</v>
      </c>
      <c r="AU378" s="37">
        <f t="shared" si="60"/>
        <v>0</v>
      </c>
      <c r="AV378" s="37">
        <f t="shared" si="61"/>
        <v>0</v>
      </c>
      <c r="AW378" s="37"/>
    </row>
    <row r="379" spans="1:49" ht="15.75" hidden="1" customHeight="1" x14ac:dyDescent="0.25">
      <c r="A379" s="6" t="s">
        <v>4017</v>
      </c>
      <c r="B379" s="21" t="s">
        <v>4027</v>
      </c>
      <c r="C379" s="7">
        <v>4</v>
      </c>
      <c r="D379" s="39" t="s">
        <v>4028</v>
      </c>
      <c r="E379" s="7">
        <v>4264</v>
      </c>
      <c r="F379" s="7" t="s">
        <v>4020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2277</v>
      </c>
      <c r="K379" s="8" t="s">
        <v>328</v>
      </c>
      <c r="L379" s="9" t="s">
        <v>2070</v>
      </c>
      <c r="M379" s="10">
        <v>46150</v>
      </c>
      <c r="N379" s="8" t="s">
        <v>328</v>
      </c>
      <c r="O379" s="12"/>
      <c r="P379" s="13"/>
      <c r="Q379" s="14">
        <f>Tabela1[[#This Row],[QTDE/ Fabricação]]-Tabela1[[#This Row],[QTE]]</f>
        <v>-4</v>
      </c>
      <c r="R379" s="18">
        <f t="shared" si="55"/>
        <v>9.1999999999999993</v>
      </c>
      <c r="S379" s="18">
        <f t="shared" si="62"/>
        <v>0</v>
      </c>
      <c r="T379" s="19">
        <f t="shared" si="58"/>
        <v>-9.1999999999999993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59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0</v>
      </c>
      <c r="AH379" s="33"/>
      <c r="AI379" s="33" t="str">
        <f t="shared" si="57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4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9.1999999999999993</v>
      </c>
      <c r="AT379" s="37">
        <f>IF(AG379="",0,IF(ISTEXT(AG379),H379*VALUE(SUBSTITUTE(AG379,"%",""))/100,H379*AG379))-Tabela1[[#This Row],[PESO EXPEDIDO2]]</f>
        <v>0</v>
      </c>
      <c r="AU379" s="37">
        <f t="shared" si="60"/>
        <v>0</v>
      </c>
      <c r="AV379" s="37">
        <f t="shared" si="61"/>
        <v>0</v>
      </c>
      <c r="AW379" s="37"/>
    </row>
    <row r="380" spans="1:49" ht="15.75" hidden="1" customHeight="1" x14ac:dyDescent="0.25">
      <c r="A380" s="6" t="s">
        <v>4017</v>
      </c>
      <c r="B380" s="21" t="s">
        <v>4029</v>
      </c>
      <c r="C380" s="7">
        <v>1</v>
      </c>
      <c r="D380" s="39" t="s">
        <v>4030</v>
      </c>
      <c r="E380" s="7">
        <v>4265</v>
      </c>
      <c r="F380" s="7" t="s">
        <v>4020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2275</v>
      </c>
      <c r="K380" s="8" t="s">
        <v>328</v>
      </c>
      <c r="L380" s="9" t="s">
        <v>2070</v>
      </c>
      <c r="M380" s="10">
        <v>46150</v>
      </c>
      <c r="N380" s="8" t="s">
        <v>328</v>
      </c>
      <c r="O380" s="12"/>
      <c r="P380" s="13"/>
      <c r="Q380" s="14">
        <f>Tabela1[[#This Row],[QTDE/ Fabricação]]-Tabela1[[#This Row],[QTE]]</f>
        <v>-1</v>
      </c>
      <c r="R380" s="18">
        <f t="shared" si="55"/>
        <v>4.3</v>
      </c>
      <c r="S380" s="18">
        <f t="shared" si="62"/>
        <v>0</v>
      </c>
      <c r="T380" s="19">
        <f t="shared" si="58"/>
        <v>-4.3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59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0</v>
      </c>
      <c r="AH380" s="33"/>
      <c r="AI380" s="33" t="str">
        <f t="shared" si="57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4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4.3</v>
      </c>
      <c r="AT380" s="37">
        <f>IF(AG380="",0,IF(ISTEXT(AG380),H380*VALUE(SUBSTITUTE(AG380,"%",""))/100,H380*AG380))-Tabela1[[#This Row],[PESO EXPEDIDO2]]</f>
        <v>0</v>
      </c>
      <c r="AU380" s="37">
        <f t="shared" si="60"/>
        <v>0</v>
      </c>
      <c r="AV380" s="37">
        <f t="shared" si="61"/>
        <v>0</v>
      </c>
      <c r="AW380" s="37"/>
    </row>
    <row r="381" spans="1:49" ht="15.75" hidden="1" customHeight="1" x14ac:dyDescent="0.25">
      <c r="A381" s="6" t="s">
        <v>4017</v>
      </c>
      <c r="B381" s="21" t="s">
        <v>4029</v>
      </c>
      <c r="C381" s="7">
        <v>1</v>
      </c>
      <c r="D381" s="39" t="s">
        <v>4030</v>
      </c>
      <c r="E381" s="7">
        <v>4266</v>
      </c>
      <c r="F381" s="7" t="s">
        <v>4020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2277</v>
      </c>
      <c r="K381" s="8" t="s">
        <v>328</v>
      </c>
      <c r="L381" s="9" t="s">
        <v>2070</v>
      </c>
      <c r="M381" s="10">
        <v>46150</v>
      </c>
      <c r="N381" s="8" t="s">
        <v>328</v>
      </c>
      <c r="O381" s="12"/>
      <c r="P381" s="13"/>
      <c r="Q381" s="14">
        <f>Tabela1[[#This Row],[QTDE/ Fabricação]]-Tabela1[[#This Row],[QTE]]</f>
        <v>-1</v>
      </c>
      <c r="R381" s="18">
        <f t="shared" si="55"/>
        <v>4.3</v>
      </c>
      <c r="S381" s="18">
        <f t="shared" si="62"/>
        <v>0</v>
      </c>
      <c r="T381" s="19">
        <f t="shared" si="58"/>
        <v>-4.3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59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0</v>
      </c>
      <c r="AH381" s="33"/>
      <c r="AI381" s="33" t="str">
        <f t="shared" si="57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4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4.3</v>
      </c>
      <c r="AT381" s="37">
        <f>IF(AG381="",0,IF(ISTEXT(AG381),H381*VALUE(SUBSTITUTE(AG381,"%",""))/100,H381*AG381))-Tabela1[[#This Row],[PESO EXPEDIDO2]]</f>
        <v>0</v>
      </c>
      <c r="AU381" s="37">
        <f t="shared" si="60"/>
        <v>0</v>
      </c>
      <c r="AV381" s="37">
        <f t="shared" si="61"/>
        <v>0</v>
      </c>
      <c r="AW381" s="37"/>
    </row>
    <row r="382" spans="1:49" ht="15.75" hidden="1" customHeight="1" x14ac:dyDescent="0.25">
      <c r="A382" s="6" t="s">
        <v>4017</v>
      </c>
      <c r="B382" s="21" t="s">
        <v>4031</v>
      </c>
      <c r="C382" s="7">
        <v>1</v>
      </c>
      <c r="D382" s="39" t="s">
        <v>4030</v>
      </c>
      <c r="E382" s="7">
        <v>4267</v>
      </c>
      <c r="F382" s="7" t="s">
        <v>4020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2275</v>
      </c>
      <c r="K382" s="8" t="s">
        <v>328</v>
      </c>
      <c r="L382" s="9" t="s">
        <v>2070</v>
      </c>
      <c r="M382" s="10">
        <v>46150</v>
      </c>
      <c r="N382" s="8" t="s">
        <v>328</v>
      </c>
      <c r="O382" s="12"/>
      <c r="P382" s="13"/>
      <c r="Q382" s="14">
        <f>Tabela1[[#This Row],[QTDE/ Fabricação]]-Tabela1[[#This Row],[QTE]]</f>
        <v>-1</v>
      </c>
      <c r="R382" s="18">
        <f t="shared" si="55"/>
        <v>4</v>
      </c>
      <c r="S382" s="18">
        <f t="shared" si="62"/>
        <v>0</v>
      </c>
      <c r="T382" s="19">
        <f t="shared" si="58"/>
        <v>-4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59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0</v>
      </c>
      <c r="AH382" s="33"/>
      <c r="AI382" s="33" t="str">
        <f t="shared" si="57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4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4</v>
      </c>
      <c r="AT382" s="37">
        <f>IF(AG382="",0,IF(ISTEXT(AG382),H382*VALUE(SUBSTITUTE(AG382,"%",""))/100,H382*AG382))-Tabela1[[#This Row],[PESO EXPEDIDO2]]</f>
        <v>0</v>
      </c>
      <c r="AU382" s="37">
        <f t="shared" si="60"/>
        <v>0</v>
      </c>
      <c r="AV382" s="37">
        <f t="shared" si="61"/>
        <v>0</v>
      </c>
      <c r="AW382" s="37"/>
    </row>
    <row r="383" spans="1:49" ht="15.75" hidden="1" customHeight="1" x14ac:dyDescent="0.25">
      <c r="A383" s="6" t="s">
        <v>4017</v>
      </c>
      <c r="B383" s="21" t="s">
        <v>4031</v>
      </c>
      <c r="C383" s="7">
        <v>1</v>
      </c>
      <c r="D383" s="39" t="s">
        <v>4030</v>
      </c>
      <c r="E383" s="7">
        <v>4268</v>
      </c>
      <c r="F383" s="7" t="s">
        <v>4020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2277</v>
      </c>
      <c r="K383" s="8" t="s">
        <v>328</v>
      </c>
      <c r="L383" s="9" t="s">
        <v>2070</v>
      </c>
      <c r="M383" s="10">
        <v>46150</v>
      </c>
      <c r="N383" s="8" t="s">
        <v>328</v>
      </c>
      <c r="O383" s="12"/>
      <c r="P383" s="13"/>
      <c r="Q383" s="14">
        <f>Tabela1[[#This Row],[QTDE/ Fabricação]]-Tabela1[[#This Row],[QTE]]</f>
        <v>-1</v>
      </c>
      <c r="R383" s="18">
        <f t="shared" si="55"/>
        <v>4</v>
      </c>
      <c r="S383" s="18">
        <f t="shared" si="62"/>
        <v>0</v>
      </c>
      <c r="T383" s="19">
        <f t="shared" si="58"/>
        <v>-4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59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0</v>
      </c>
      <c r="AH383" s="33"/>
      <c r="AI383" s="33" t="str">
        <f t="shared" si="57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4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4</v>
      </c>
      <c r="AT383" s="37">
        <f>IF(AG383="",0,IF(ISTEXT(AG383),H383*VALUE(SUBSTITUTE(AG383,"%",""))/100,H383*AG383))-Tabela1[[#This Row],[PESO EXPEDIDO2]]</f>
        <v>0</v>
      </c>
      <c r="AU383" s="37">
        <f t="shared" si="60"/>
        <v>0</v>
      </c>
      <c r="AV383" s="37">
        <f t="shared" si="61"/>
        <v>0</v>
      </c>
      <c r="AW383" s="37"/>
    </row>
    <row r="384" spans="1:49" ht="15.75" hidden="1" customHeight="1" x14ac:dyDescent="0.25">
      <c r="A384" s="6" t="s">
        <v>4032</v>
      </c>
      <c r="B384" s="21" t="s">
        <v>4033</v>
      </c>
      <c r="C384" s="7">
        <v>1</v>
      </c>
      <c r="D384" s="39" t="s">
        <v>4034</v>
      </c>
      <c r="E384" s="7">
        <v>4269</v>
      </c>
      <c r="F384" s="7" t="s">
        <v>3998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2275</v>
      </c>
      <c r="K384" s="8" t="s">
        <v>328</v>
      </c>
      <c r="L384" s="9" t="s">
        <v>2070</v>
      </c>
      <c r="M384" s="10">
        <v>46149</v>
      </c>
      <c r="N384" s="8" t="s">
        <v>328</v>
      </c>
      <c r="O384" s="12"/>
      <c r="P384" s="13"/>
      <c r="Q384" s="14">
        <f>Tabela1[[#This Row],[QTDE/ Fabricação]]-Tabela1[[#This Row],[QTE]]</f>
        <v>-1</v>
      </c>
      <c r="R384" s="18">
        <f t="shared" si="55"/>
        <v>11.21</v>
      </c>
      <c r="S384" s="18">
        <f t="shared" si="62"/>
        <v>0</v>
      </c>
      <c r="T384" s="19">
        <f t="shared" si="58"/>
        <v>-11.8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59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0</v>
      </c>
      <c r="AG384" s="33">
        <v>0</v>
      </c>
      <c r="AH384" s="33"/>
      <c r="AI384" s="33" t="str">
        <f t="shared" si="57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4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0"/>
        <v>0</v>
      </c>
      <c r="AV384" s="37">
        <f t="shared" si="61"/>
        <v>0</v>
      </c>
      <c r="AW384" s="37"/>
    </row>
    <row r="385" spans="1:49" ht="15.75" hidden="1" customHeight="1" x14ac:dyDescent="0.25">
      <c r="A385" s="6" t="s">
        <v>4032</v>
      </c>
      <c r="B385" s="21" t="s">
        <v>4033</v>
      </c>
      <c r="C385" s="7">
        <v>1</v>
      </c>
      <c r="D385" s="39" t="s">
        <v>4034</v>
      </c>
      <c r="E385" s="7">
        <v>4270</v>
      </c>
      <c r="F385" s="7" t="s">
        <v>3998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2277</v>
      </c>
      <c r="K385" s="8" t="s">
        <v>328</v>
      </c>
      <c r="L385" s="9" t="s">
        <v>2070</v>
      </c>
      <c r="M385" s="10">
        <v>46149</v>
      </c>
      <c r="N385" s="8" t="s">
        <v>328</v>
      </c>
      <c r="O385" s="12"/>
      <c r="P385" s="13"/>
      <c r="Q385" s="14">
        <f>Tabela1[[#This Row],[QTDE/ Fabricação]]-Tabela1[[#This Row],[QTE]]</f>
        <v>-1</v>
      </c>
      <c r="R385" s="18">
        <f t="shared" si="55"/>
        <v>11.21</v>
      </c>
      <c r="S385" s="18">
        <f t="shared" si="62"/>
        <v>0</v>
      </c>
      <c r="T385" s="19">
        <f t="shared" si="58"/>
        <v>-11.8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59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0</v>
      </c>
      <c r="AG385" s="33">
        <v>0</v>
      </c>
      <c r="AH385" s="33"/>
      <c r="AI385" s="33" t="str">
        <f t="shared" si="57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4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0"/>
        <v>0</v>
      </c>
      <c r="AV385" s="37">
        <f t="shared" si="61"/>
        <v>0</v>
      </c>
      <c r="AW385" s="37"/>
    </row>
    <row r="386" spans="1:49" ht="15.75" hidden="1" customHeight="1" x14ac:dyDescent="0.25">
      <c r="A386" s="6" t="s">
        <v>4032</v>
      </c>
      <c r="B386" s="21" t="s">
        <v>4035</v>
      </c>
      <c r="C386" s="7">
        <v>1</v>
      </c>
      <c r="D386" s="39" t="s">
        <v>4034</v>
      </c>
      <c r="E386" s="7">
        <v>4271</v>
      </c>
      <c r="F386" s="7" t="s">
        <v>3998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2275</v>
      </c>
      <c r="K386" s="8" t="s">
        <v>328</v>
      </c>
      <c r="L386" s="9" t="s">
        <v>2070</v>
      </c>
      <c r="M386" s="10">
        <v>46149</v>
      </c>
      <c r="N386" s="8" t="s">
        <v>328</v>
      </c>
      <c r="O386" s="12"/>
      <c r="P386" s="13"/>
      <c r="Q386" s="14">
        <f>Tabela1[[#This Row],[QTDE/ Fabricação]]-Tabela1[[#This Row],[QTE]]</f>
        <v>-1</v>
      </c>
      <c r="R386" s="18">
        <f t="shared" si="55"/>
        <v>10.639999999999999</v>
      </c>
      <c r="S386" s="18">
        <f t="shared" si="62"/>
        <v>0</v>
      </c>
      <c r="T386" s="19">
        <f t="shared" si="58"/>
        <v>-11.2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59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0</v>
      </c>
      <c r="AG386" s="33">
        <v>0</v>
      </c>
      <c r="AH386" s="33"/>
      <c r="AI386" s="33" t="str">
        <f t="shared" si="57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4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0"/>
        <v>0</v>
      </c>
      <c r="AV386" s="37">
        <f t="shared" si="61"/>
        <v>0</v>
      </c>
      <c r="AW386" s="37"/>
    </row>
    <row r="387" spans="1:49" ht="15.75" hidden="1" customHeight="1" x14ac:dyDescent="0.25">
      <c r="A387" s="6" t="s">
        <v>4032</v>
      </c>
      <c r="B387" s="21" t="s">
        <v>4035</v>
      </c>
      <c r="C387" s="7">
        <v>1</v>
      </c>
      <c r="D387" s="39" t="s">
        <v>4034</v>
      </c>
      <c r="E387" s="7">
        <v>4272</v>
      </c>
      <c r="F387" s="7" t="s">
        <v>3998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2277</v>
      </c>
      <c r="K387" s="8" t="s">
        <v>328</v>
      </c>
      <c r="L387" s="9" t="s">
        <v>2070</v>
      </c>
      <c r="M387" s="10">
        <v>46149</v>
      </c>
      <c r="N387" s="8" t="s">
        <v>328</v>
      </c>
      <c r="O387" s="12"/>
      <c r="P387" s="13"/>
      <c r="Q387" s="14">
        <f>Tabela1[[#This Row],[QTDE/ Fabricação]]-Tabela1[[#This Row],[QTE]]</f>
        <v>-1</v>
      </c>
      <c r="R387" s="18">
        <f t="shared" si="55"/>
        <v>10.639999999999999</v>
      </c>
      <c r="S387" s="18">
        <f t="shared" si="62"/>
        <v>0</v>
      </c>
      <c r="T387" s="19">
        <f t="shared" si="58"/>
        <v>-11.2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59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0</v>
      </c>
      <c r="AG387" s="33">
        <v>0</v>
      </c>
      <c r="AH387" s="33"/>
      <c r="AI387" s="33" t="str">
        <f t="shared" si="57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4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0"/>
        <v>0</v>
      </c>
      <c r="AV387" s="37">
        <f t="shared" si="61"/>
        <v>0</v>
      </c>
      <c r="AW387" s="37"/>
    </row>
    <row r="388" spans="1:49" ht="15.75" hidden="1" customHeight="1" x14ac:dyDescent="0.25">
      <c r="A388" s="6" t="s">
        <v>4032</v>
      </c>
      <c r="B388" s="21" t="s">
        <v>4036</v>
      </c>
      <c r="C388" s="7">
        <v>2</v>
      </c>
      <c r="D388" s="39" t="s">
        <v>4034</v>
      </c>
      <c r="E388" s="7">
        <v>4273</v>
      </c>
      <c r="F388" s="7" t="s">
        <v>3998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2275</v>
      </c>
      <c r="K388" s="8" t="s">
        <v>328</v>
      </c>
      <c r="L388" s="9" t="s">
        <v>2070</v>
      </c>
      <c r="M388" s="10">
        <v>46149</v>
      </c>
      <c r="N388" s="8" t="s">
        <v>328</v>
      </c>
      <c r="O388" s="12"/>
      <c r="P388" s="13"/>
      <c r="Q388" s="14">
        <f>Tabela1[[#This Row],[QTDE/ Fabricação]]-Tabela1[[#This Row],[QTE]]</f>
        <v>-2</v>
      </c>
      <c r="R388" s="18">
        <f t="shared" si="55"/>
        <v>30.21</v>
      </c>
      <c r="S388" s="18">
        <f t="shared" si="62"/>
        <v>0</v>
      </c>
      <c r="T388" s="19">
        <f t="shared" si="58"/>
        <v>-31.8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59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0</v>
      </c>
      <c r="AG388" s="33">
        <v>0</v>
      </c>
      <c r="AH388" s="33"/>
      <c r="AI388" s="33" t="str">
        <f t="shared" si="57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4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0"/>
        <v>0</v>
      </c>
      <c r="AV388" s="37">
        <f t="shared" si="61"/>
        <v>0</v>
      </c>
      <c r="AW388" s="37"/>
    </row>
    <row r="389" spans="1:49" ht="15.75" hidden="1" customHeight="1" x14ac:dyDescent="0.25">
      <c r="A389" s="6" t="s">
        <v>4032</v>
      </c>
      <c r="B389" s="21" t="s">
        <v>4036</v>
      </c>
      <c r="C389" s="7">
        <v>2</v>
      </c>
      <c r="D389" s="39" t="s">
        <v>4034</v>
      </c>
      <c r="E389" s="7">
        <v>4274</v>
      </c>
      <c r="F389" s="7" t="s">
        <v>3998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2277</v>
      </c>
      <c r="K389" s="8" t="s">
        <v>328</v>
      </c>
      <c r="L389" s="9" t="s">
        <v>2070</v>
      </c>
      <c r="M389" s="10">
        <v>46149</v>
      </c>
      <c r="N389" s="8" t="s">
        <v>328</v>
      </c>
      <c r="O389" s="12"/>
      <c r="P389" s="13"/>
      <c r="Q389" s="14">
        <f>Tabela1[[#This Row],[QTDE/ Fabricação]]-Tabela1[[#This Row],[QTE]]</f>
        <v>-2</v>
      </c>
      <c r="R389" s="18">
        <f t="shared" si="55"/>
        <v>30.21</v>
      </c>
      <c r="S389" s="18">
        <f t="shared" si="62"/>
        <v>0</v>
      </c>
      <c r="T389" s="19">
        <f t="shared" si="58"/>
        <v>-31.8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59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0</v>
      </c>
      <c r="AG389" s="33">
        <v>0</v>
      </c>
      <c r="AH389" s="33"/>
      <c r="AI389" s="33" t="str">
        <f t="shared" si="57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3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0"/>
        <v>0</v>
      </c>
      <c r="AV389" s="37">
        <f t="shared" si="61"/>
        <v>0</v>
      </c>
      <c r="AW389" s="37"/>
    </row>
    <row r="390" spans="1:49" ht="15.75" hidden="1" customHeight="1" x14ac:dyDescent="0.25">
      <c r="A390" s="6" t="s">
        <v>4032</v>
      </c>
      <c r="B390" s="21" t="s">
        <v>4037</v>
      </c>
      <c r="C390" s="7">
        <v>3</v>
      </c>
      <c r="D390" s="39" t="s">
        <v>3783</v>
      </c>
      <c r="E390" s="7">
        <v>4275</v>
      </c>
      <c r="F390" s="7" t="s">
        <v>3998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2275</v>
      </c>
      <c r="K390" s="8" t="s">
        <v>328</v>
      </c>
      <c r="L390" s="9" t="s">
        <v>2070</v>
      </c>
      <c r="M390" s="10">
        <v>46149</v>
      </c>
      <c r="N390" s="8" t="s">
        <v>328</v>
      </c>
      <c r="O390" s="12"/>
      <c r="P390" s="13"/>
      <c r="Q390" s="14">
        <f>Tabela1[[#This Row],[QTDE/ Fabricação]]-Tabela1[[#This Row],[QTE]]</f>
        <v>-3</v>
      </c>
      <c r="R390" s="18">
        <f t="shared" si="55"/>
        <v>58.199999999999996</v>
      </c>
      <c r="S390" s="18">
        <f t="shared" si="62"/>
        <v>0</v>
      </c>
      <c r="T390" s="19">
        <f t="shared" si="58"/>
        <v>-58.199999999999996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59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0</v>
      </c>
      <c r="AH390" s="33"/>
      <c r="AI390" s="33" t="str">
        <f t="shared" si="57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3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58.199999999999996</v>
      </c>
      <c r="AT390" s="37">
        <f>IF(AG390="",0,IF(ISTEXT(AG390),H390*VALUE(SUBSTITUTE(AG390,"%",""))/100,H390*AG390))-Tabela1[[#This Row],[PESO EXPEDIDO2]]</f>
        <v>0</v>
      </c>
      <c r="AU390" s="37">
        <f t="shared" si="60"/>
        <v>0</v>
      </c>
      <c r="AV390" s="37">
        <f t="shared" si="61"/>
        <v>0</v>
      </c>
      <c r="AW390" s="37"/>
    </row>
    <row r="391" spans="1:49" ht="15.75" hidden="1" customHeight="1" x14ac:dyDescent="0.25">
      <c r="A391" s="6" t="s">
        <v>4032</v>
      </c>
      <c r="B391" s="21" t="s">
        <v>4037</v>
      </c>
      <c r="C391" s="7">
        <v>3</v>
      </c>
      <c r="D391" s="39" t="s">
        <v>3783</v>
      </c>
      <c r="E391" s="7">
        <v>4276</v>
      </c>
      <c r="F391" s="7" t="s">
        <v>3998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2277</v>
      </c>
      <c r="K391" s="8" t="s">
        <v>328</v>
      </c>
      <c r="L391" s="9" t="s">
        <v>2070</v>
      </c>
      <c r="M391" s="10">
        <v>46149</v>
      </c>
      <c r="N391" s="8" t="s">
        <v>328</v>
      </c>
      <c r="O391" s="12"/>
      <c r="P391" s="13"/>
      <c r="Q391" s="14">
        <f>Tabela1[[#This Row],[QTDE/ Fabricação]]-Tabela1[[#This Row],[QTE]]</f>
        <v>-3</v>
      </c>
      <c r="R391" s="18">
        <f t="shared" si="55"/>
        <v>58.199999999999996</v>
      </c>
      <c r="S391" s="18">
        <f t="shared" si="62"/>
        <v>0</v>
      </c>
      <c r="T391" s="19">
        <f t="shared" si="58"/>
        <v>-58.199999999999996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59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0</v>
      </c>
      <c r="AH391" s="33"/>
      <c r="AI391" s="33" t="str">
        <f t="shared" si="57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3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58.199999999999996</v>
      </c>
      <c r="AT391" s="37">
        <f>IF(AG391="",0,IF(ISTEXT(AG391),H391*VALUE(SUBSTITUTE(AG391,"%",""))/100,H391*AG391))-Tabela1[[#This Row],[PESO EXPEDIDO2]]</f>
        <v>0</v>
      </c>
      <c r="AU391" s="37">
        <f t="shared" si="60"/>
        <v>0</v>
      </c>
      <c r="AV391" s="37">
        <f t="shared" si="61"/>
        <v>0</v>
      </c>
      <c r="AW391" s="37"/>
    </row>
    <row r="392" spans="1:49" ht="15.75" hidden="1" customHeight="1" x14ac:dyDescent="0.25">
      <c r="A392" s="6" t="s">
        <v>4032</v>
      </c>
      <c r="B392" s="21" t="s">
        <v>4038</v>
      </c>
      <c r="C392" s="7">
        <v>1</v>
      </c>
      <c r="D392" s="39" t="s">
        <v>3783</v>
      </c>
      <c r="E392" s="7">
        <v>4277</v>
      </c>
      <c r="F392" s="7" t="s">
        <v>3998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2275</v>
      </c>
      <c r="K392" s="8" t="s">
        <v>328</v>
      </c>
      <c r="L392" s="9" t="s">
        <v>2070</v>
      </c>
      <c r="M392" s="10">
        <v>46149</v>
      </c>
      <c r="N392" s="8" t="s">
        <v>328</v>
      </c>
      <c r="O392" s="12"/>
      <c r="P392" s="13"/>
      <c r="Q392" s="14">
        <f>Tabela1[[#This Row],[QTDE/ Fabricação]]-Tabela1[[#This Row],[QTE]]</f>
        <v>-1</v>
      </c>
      <c r="R392" s="18">
        <f t="shared" si="55"/>
        <v>19.399999999999999</v>
      </c>
      <c r="S392" s="18">
        <f t="shared" si="62"/>
        <v>0</v>
      </c>
      <c r="T392" s="19">
        <f t="shared" si="58"/>
        <v>-19.399999999999999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59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0</v>
      </c>
      <c r="AH392" s="33"/>
      <c r="AI392" s="33" t="str">
        <f t="shared" si="57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3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19.399999999999999</v>
      </c>
      <c r="AT392" s="37">
        <f>IF(AG392="",0,IF(ISTEXT(AG392),H392*VALUE(SUBSTITUTE(AG392,"%",""))/100,H392*AG392))-Tabela1[[#This Row],[PESO EXPEDIDO2]]</f>
        <v>0</v>
      </c>
      <c r="AU392" s="37">
        <f t="shared" si="60"/>
        <v>0</v>
      </c>
      <c r="AV392" s="37">
        <f t="shared" si="61"/>
        <v>0</v>
      </c>
      <c r="AW392" s="37"/>
    </row>
    <row r="393" spans="1:49" ht="15.75" hidden="1" customHeight="1" x14ac:dyDescent="0.25">
      <c r="A393" s="6" t="s">
        <v>4032</v>
      </c>
      <c r="B393" s="21" t="s">
        <v>4038</v>
      </c>
      <c r="C393" s="7">
        <v>1</v>
      </c>
      <c r="D393" s="39" t="s">
        <v>3783</v>
      </c>
      <c r="E393" s="7">
        <v>4278</v>
      </c>
      <c r="F393" s="7" t="s">
        <v>3998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2277</v>
      </c>
      <c r="K393" s="8" t="s">
        <v>328</v>
      </c>
      <c r="L393" s="9" t="s">
        <v>2070</v>
      </c>
      <c r="M393" s="10">
        <v>46149</v>
      </c>
      <c r="N393" s="8" t="s">
        <v>328</v>
      </c>
      <c r="O393" s="12"/>
      <c r="P393" s="13"/>
      <c r="Q393" s="14">
        <f>Tabela1[[#This Row],[QTDE/ Fabricação]]-Tabela1[[#This Row],[QTE]]</f>
        <v>-1</v>
      </c>
      <c r="R393" s="18">
        <f t="shared" si="55"/>
        <v>19.399999999999999</v>
      </c>
      <c r="S393" s="18">
        <f t="shared" si="62"/>
        <v>0</v>
      </c>
      <c r="T393" s="19">
        <f t="shared" si="58"/>
        <v>-19.399999999999999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59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0</v>
      </c>
      <c r="AH393" s="33"/>
      <c r="AI393" s="33" t="str">
        <f t="shared" si="57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3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19.399999999999999</v>
      </c>
      <c r="AT393" s="37">
        <f>IF(AG393="",0,IF(ISTEXT(AG393),H393*VALUE(SUBSTITUTE(AG393,"%",""))/100,H393*AG393))-Tabela1[[#This Row],[PESO EXPEDIDO2]]</f>
        <v>0</v>
      </c>
      <c r="AU393" s="37">
        <f t="shared" si="60"/>
        <v>0</v>
      </c>
      <c r="AV393" s="37">
        <f t="shared" si="61"/>
        <v>0</v>
      </c>
      <c r="AW393" s="37"/>
    </row>
    <row r="394" spans="1:49" ht="15.75" hidden="1" customHeight="1" x14ac:dyDescent="0.25">
      <c r="A394" s="6" t="s">
        <v>4032</v>
      </c>
      <c r="B394" s="21" t="s">
        <v>4039</v>
      </c>
      <c r="C394" s="7">
        <v>18</v>
      </c>
      <c r="D394" s="39" t="s">
        <v>3417</v>
      </c>
      <c r="E394" s="7">
        <v>4279</v>
      </c>
      <c r="F394" s="7" t="s">
        <v>3998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2275</v>
      </c>
      <c r="K394" s="8" t="s">
        <v>328</v>
      </c>
      <c r="L394" s="9" t="s">
        <v>2070</v>
      </c>
      <c r="M394" s="10">
        <v>46149</v>
      </c>
      <c r="N394" s="8" t="s">
        <v>328</v>
      </c>
      <c r="O394" s="12"/>
      <c r="P394" s="13"/>
      <c r="Q394" s="14">
        <f>Tabela1[[#This Row],[QTDE/ Fabricação]]-Tabela1[[#This Row],[QTE]]</f>
        <v>-18</v>
      </c>
      <c r="R394" s="18">
        <f t="shared" si="55"/>
        <v>2.6999999999999997</v>
      </c>
      <c r="S394" s="18">
        <f t="shared" si="62"/>
        <v>0</v>
      </c>
      <c r="T394" s="19">
        <f t="shared" si="58"/>
        <v>-2.6999999999999997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59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0</v>
      </c>
      <c r="AH394" s="33"/>
      <c r="AI394" s="33" t="str">
        <f t="shared" si="57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3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2.6999999999999997</v>
      </c>
      <c r="AT394" s="37">
        <f>IF(AG394="",0,IF(ISTEXT(AG394),H394*VALUE(SUBSTITUTE(AG394,"%",""))/100,H394*AG394))-Tabela1[[#This Row],[PESO EXPEDIDO2]]</f>
        <v>0</v>
      </c>
      <c r="AU394" s="37">
        <f t="shared" si="60"/>
        <v>0</v>
      </c>
      <c r="AV394" s="37">
        <f t="shared" si="61"/>
        <v>0</v>
      </c>
      <c r="AW394" s="37"/>
    </row>
    <row r="395" spans="1:49" ht="15.75" hidden="1" customHeight="1" x14ac:dyDescent="0.25">
      <c r="A395" s="6" t="s">
        <v>4032</v>
      </c>
      <c r="B395" s="21" t="s">
        <v>4039</v>
      </c>
      <c r="C395" s="7">
        <v>18</v>
      </c>
      <c r="D395" s="39" t="s">
        <v>3417</v>
      </c>
      <c r="E395" s="7">
        <v>4280</v>
      </c>
      <c r="F395" s="7" t="s">
        <v>3998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2277</v>
      </c>
      <c r="K395" s="8" t="s">
        <v>328</v>
      </c>
      <c r="L395" s="9" t="s">
        <v>2070</v>
      </c>
      <c r="M395" s="10">
        <v>46149</v>
      </c>
      <c r="N395" s="8" t="s">
        <v>328</v>
      </c>
      <c r="O395" s="12"/>
      <c r="P395" s="13"/>
      <c r="Q395" s="14">
        <f>Tabela1[[#This Row],[QTDE/ Fabricação]]-Tabela1[[#This Row],[QTE]]</f>
        <v>-18</v>
      </c>
      <c r="R395" s="18">
        <f t="shared" si="55"/>
        <v>2.6999999999999997</v>
      </c>
      <c r="S395" s="18">
        <f t="shared" si="62"/>
        <v>0</v>
      </c>
      <c r="T395" s="19">
        <f t="shared" si="58"/>
        <v>-2.6999999999999997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59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0</v>
      </c>
      <c r="AH395" s="33"/>
      <c r="AI395" s="33" t="str">
        <f t="shared" si="57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3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2.6999999999999997</v>
      </c>
      <c r="AT395" s="37">
        <f>IF(AG395="",0,IF(ISTEXT(AG395),H395*VALUE(SUBSTITUTE(AG395,"%",""))/100,H395*AG395))-Tabela1[[#This Row],[PESO EXPEDIDO2]]</f>
        <v>0</v>
      </c>
      <c r="AU395" s="37">
        <f t="shared" si="60"/>
        <v>0</v>
      </c>
      <c r="AV395" s="37">
        <f t="shared" si="61"/>
        <v>0</v>
      </c>
      <c r="AW395" s="37"/>
    </row>
    <row r="396" spans="1:49" ht="15.75" hidden="1" customHeight="1" x14ac:dyDescent="0.25">
      <c r="A396" s="6" t="s">
        <v>4040</v>
      </c>
      <c r="B396" s="21" t="s">
        <v>4041</v>
      </c>
      <c r="C396" s="7">
        <v>1</v>
      </c>
      <c r="D396" s="39" t="s">
        <v>4042</v>
      </c>
      <c r="E396" s="7">
        <v>4281</v>
      </c>
      <c r="F396" s="7" t="s">
        <v>4009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2275</v>
      </c>
      <c r="K396" s="8" t="s">
        <v>328</v>
      </c>
      <c r="L396" s="9" t="s">
        <v>2070</v>
      </c>
      <c r="M396" s="10">
        <v>46156</v>
      </c>
      <c r="N396" s="8" t="s">
        <v>328</v>
      </c>
      <c r="O396" s="12"/>
      <c r="P396" s="13"/>
      <c r="Q396" s="14">
        <f>Tabela1[[#This Row],[QTDE/ Fabricação]]-Tabela1[[#This Row],[QTE]]</f>
        <v>-1</v>
      </c>
      <c r="R396" s="18">
        <f t="shared" si="55"/>
        <v>252.60499999999996</v>
      </c>
      <c r="S396" s="18">
        <f t="shared" si="62"/>
        <v>0</v>
      </c>
      <c r="T396" s="19">
        <f t="shared" si="58"/>
        <v>-265.89999999999998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59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0</v>
      </c>
      <c r="AG396" s="33">
        <v>0</v>
      </c>
      <c r="AH396" s="33"/>
      <c r="AI396" s="33" t="str">
        <f t="shared" si="57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3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0"/>
        <v>0</v>
      </c>
      <c r="AV396" s="37">
        <f t="shared" si="61"/>
        <v>0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4282</v>
      </c>
      <c r="F397" s="7" t="s">
        <v>4009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2277</v>
      </c>
      <c r="K397" s="8" t="s">
        <v>328</v>
      </c>
      <c r="L397" s="9" t="s">
        <v>2070</v>
      </c>
      <c r="M397" s="10">
        <v>46156</v>
      </c>
      <c r="N397" s="8" t="s">
        <v>328</v>
      </c>
      <c r="O397" s="12"/>
      <c r="P397" s="13"/>
      <c r="Q397" s="14">
        <f>Tabela1[[#This Row],[QTDE/ Fabricação]]-Tabela1[[#This Row],[QTE]]</f>
        <v>-1</v>
      </c>
      <c r="R397" s="18">
        <f t="shared" si="55"/>
        <v>252.60499999999996</v>
      </c>
      <c r="S397" s="18">
        <f t="shared" si="62"/>
        <v>0</v>
      </c>
      <c r="T397" s="19">
        <f t="shared" si="58"/>
        <v>-265.89999999999998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59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0</v>
      </c>
      <c r="AG397" s="33">
        <v>0</v>
      </c>
      <c r="AH397" s="33"/>
      <c r="AI397" s="33" t="str">
        <f t="shared" si="57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3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0"/>
        <v>0</v>
      </c>
      <c r="AV397" s="37">
        <f t="shared" si="61"/>
        <v>0</v>
      </c>
      <c r="AW397" s="37"/>
    </row>
    <row r="398" spans="1:49" ht="15.75" hidden="1" customHeight="1" x14ac:dyDescent="0.25">
      <c r="A398" s="6" t="s">
        <v>4043</v>
      </c>
      <c r="B398" s="21" t="s">
        <v>4044</v>
      </c>
      <c r="C398" s="7">
        <v>1</v>
      </c>
      <c r="D398" s="39" t="s">
        <v>4045</v>
      </c>
      <c r="E398" s="7">
        <v>4283</v>
      </c>
      <c r="F398" s="7" t="s">
        <v>4009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2275</v>
      </c>
      <c r="K398" s="8" t="s">
        <v>328</v>
      </c>
      <c r="L398" s="9" t="s">
        <v>2070</v>
      </c>
      <c r="M398" s="10">
        <v>46149</v>
      </c>
      <c r="N398" s="8" t="s">
        <v>328</v>
      </c>
      <c r="O398" s="12"/>
      <c r="P398" s="13"/>
      <c r="Q398" s="14">
        <f>Tabela1[[#This Row],[QTDE/ Fabricação]]-Tabela1[[#This Row],[QTE]]</f>
        <v>-1</v>
      </c>
      <c r="R398" s="18">
        <f t="shared" si="55"/>
        <v>15.8</v>
      </c>
      <c r="S398" s="18">
        <f t="shared" si="62"/>
        <v>0</v>
      </c>
      <c r="T398" s="19">
        <f t="shared" si="58"/>
        <v>-15.8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59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0</v>
      </c>
      <c r="AH398" s="33"/>
      <c r="AI398" s="33" t="str">
        <f t="shared" si="57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3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15.8</v>
      </c>
      <c r="AT398" s="37">
        <f>IF(AG398="",0,IF(ISTEXT(AG398),H398*VALUE(SUBSTITUTE(AG398,"%",""))/100,H398*AG398))-Tabela1[[#This Row],[PESO EXPEDIDO2]]</f>
        <v>0</v>
      </c>
      <c r="AU398" s="37">
        <f t="shared" si="60"/>
        <v>0</v>
      </c>
      <c r="AV398" s="37">
        <f t="shared" si="61"/>
        <v>0</v>
      </c>
      <c r="AW398" s="37"/>
    </row>
    <row r="399" spans="1:49" ht="15.75" hidden="1" customHeight="1" x14ac:dyDescent="0.25">
      <c r="A399" s="6" t="s">
        <v>4043</v>
      </c>
      <c r="B399" s="21" t="s">
        <v>4044</v>
      </c>
      <c r="C399" s="7">
        <v>1</v>
      </c>
      <c r="D399" s="39" t="s">
        <v>4045</v>
      </c>
      <c r="E399" s="7">
        <v>4284</v>
      </c>
      <c r="F399" s="7" t="s">
        <v>4009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2277</v>
      </c>
      <c r="K399" s="8" t="s">
        <v>328</v>
      </c>
      <c r="L399" s="9" t="s">
        <v>2070</v>
      </c>
      <c r="M399" s="10">
        <v>46149</v>
      </c>
      <c r="N399" s="8" t="s">
        <v>328</v>
      </c>
      <c r="O399" s="12"/>
      <c r="P399" s="13"/>
      <c r="Q399" s="14">
        <f>Tabela1[[#This Row],[QTDE/ Fabricação]]-Tabela1[[#This Row],[QTE]]</f>
        <v>-1</v>
      </c>
      <c r="R399" s="18">
        <f t="shared" si="55"/>
        <v>15.8</v>
      </c>
      <c r="S399" s="18">
        <f t="shared" si="62"/>
        <v>0</v>
      </c>
      <c r="T399" s="19">
        <f t="shared" si="58"/>
        <v>-15.8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59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0</v>
      </c>
      <c r="AH399" s="33"/>
      <c r="AI399" s="33" t="str">
        <f t="shared" si="57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3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15.8</v>
      </c>
      <c r="AT399" s="37">
        <f>IF(AG399="",0,IF(ISTEXT(AG399),H399*VALUE(SUBSTITUTE(AG399,"%",""))/100,H399*AG399))-Tabela1[[#This Row],[PESO EXPEDIDO2]]</f>
        <v>0</v>
      </c>
      <c r="AU399" s="37">
        <f t="shared" si="60"/>
        <v>0</v>
      </c>
      <c r="AV399" s="37">
        <f t="shared" si="61"/>
        <v>0</v>
      </c>
      <c r="AW399" s="37"/>
    </row>
    <row r="400" spans="1:49" ht="15.75" hidden="1" customHeight="1" x14ac:dyDescent="0.25">
      <c r="A400" s="6" t="s">
        <v>3775</v>
      </c>
      <c r="B400" s="21" t="s">
        <v>4004</v>
      </c>
      <c r="C400" s="7">
        <v>1</v>
      </c>
      <c r="D400" s="39" t="s">
        <v>4046</v>
      </c>
      <c r="E400" s="7">
        <v>4285</v>
      </c>
      <c r="F400" s="7" t="s">
        <v>3777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2275</v>
      </c>
      <c r="K400" s="8" t="s">
        <v>328</v>
      </c>
      <c r="L400" s="9" t="s">
        <v>2070</v>
      </c>
      <c r="M400" s="10">
        <v>46156</v>
      </c>
      <c r="N400" s="8" t="s">
        <v>328</v>
      </c>
      <c r="O400" s="12"/>
      <c r="P400" s="13"/>
      <c r="Q400" s="14">
        <f>Tabela1[[#This Row],[QTDE/ Fabricação]]-Tabela1[[#This Row],[QTE]]</f>
        <v>-1</v>
      </c>
      <c r="R400" s="18">
        <f t="shared" si="55"/>
        <v>49.5</v>
      </c>
      <c r="S400" s="18">
        <f t="shared" si="62"/>
        <v>49.5</v>
      </c>
      <c r="T400" s="19">
        <f t="shared" si="58"/>
        <v>0</v>
      </c>
      <c r="U400" s="207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59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57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3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0"/>
        <v>49.5</v>
      </c>
      <c r="AV400" s="37">
        <f t="shared" si="61"/>
        <v>49.5</v>
      </c>
      <c r="AW400" s="37"/>
    </row>
    <row r="401" spans="1:49" ht="15.75" hidden="1" customHeight="1" x14ac:dyDescent="0.25">
      <c r="A401" s="6" t="s">
        <v>3775</v>
      </c>
      <c r="B401" s="21" t="s">
        <v>4004</v>
      </c>
      <c r="C401" s="7">
        <v>1</v>
      </c>
      <c r="D401" s="39" t="s">
        <v>4046</v>
      </c>
      <c r="E401" s="7">
        <v>4286</v>
      </c>
      <c r="F401" s="7" t="s">
        <v>3777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2277</v>
      </c>
      <c r="K401" s="8" t="s">
        <v>328</v>
      </c>
      <c r="L401" s="9" t="s">
        <v>2070</v>
      </c>
      <c r="M401" s="10">
        <v>46156</v>
      </c>
      <c r="N401" s="8" t="s">
        <v>328</v>
      </c>
      <c r="O401" s="12"/>
      <c r="P401" s="13"/>
      <c r="Q401" s="14">
        <f>Tabela1[[#This Row],[QTDE/ Fabricação]]-Tabela1[[#This Row],[QTE]]</f>
        <v>-1</v>
      </c>
      <c r="R401" s="18">
        <f t="shared" si="55"/>
        <v>49.5</v>
      </c>
      <c r="S401" s="18">
        <f t="shared" si="62"/>
        <v>49.5</v>
      </c>
      <c r="T401" s="19">
        <f t="shared" si="58"/>
        <v>0</v>
      </c>
      <c r="U401" s="207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59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57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3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0"/>
        <v>49.5</v>
      </c>
      <c r="AV401" s="37">
        <f t="shared" si="61"/>
        <v>49.5</v>
      </c>
      <c r="AW401" s="37"/>
    </row>
    <row r="402" spans="1:49" ht="15.75" hidden="1" customHeight="1" x14ac:dyDescent="0.25">
      <c r="A402" s="6" t="s">
        <v>3906</v>
      </c>
      <c r="B402" s="21" t="s">
        <v>3907</v>
      </c>
      <c r="C402" s="7">
        <v>1</v>
      </c>
      <c r="D402" s="39" t="s">
        <v>3908</v>
      </c>
      <c r="E402" s="7">
        <v>4287</v>
      </c>
      <c r="F402" s="7" t="s">
        <v>3905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2275</v>
      </c>
      <c r="K402" s="8" t="s">
        <v>328</v>
      </c>
      <c r="L402" s="9" t="s">
        <v>2070</v>
      </c>
      <c r="M402" s="10">
        <v>46149</v>
      </c>
      <c r="N402" s="8" t="s">
        <v>328</v>
      </c>
      <c r="O402" s="12"/>
      <c r="P402" s="13"/>
      <c r="Q402" s="14">
        <f>Tabela1[[#This Row],[QTDE/ Fabricação]]-Tabela1[[#This Row],[QTE]]</f>
        <v>-1</v>
      </c>
      <c r="R402" s="18">
        <f t="shared" si="55"/>
        <v>282</v>
      </c>
      <c r="S402" s="18">
        <f t="shared" si="62"/>
        <v>282</v>
      </c>
      <c r="T402" s="19">
        <f t="shared" si="58"/>
        <v>0</v>
      </c>
      <c r="U402" s="207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59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57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3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0"/>
        <v>282</v>
      </c>
      <c r="AV402" s="37">
        <f t="shared" si="61"/>
        <v>282</v>
      </c>
      <c r="AW402" s="37"/>
    </row>
    <row r="403" spans="1:49" ht="15.75" hidden="1" customHeight="1" x14ac:dyDescent="0.25">
      <c r="A403" s="6" t="s">
        <v>3906</v>
      </c>
      <c r="B403" s="21" t="s">
        <v>3907</v>
      </c>
      <c r="C403" s="7">
        <v>1</v>
      </c>
      <c r="D403" s="39" t="s">
        <v>3908</v>
      </c>
      <c r="E403" s="7">
        <v>4288</v>
      </c>
      <c r="F403" s="7" t="s">
        <v>3905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2277</v>
      </c>
      <c r="K403" s="8" t="s">
        <v>328</v>
      </c>
      <c r="L403" s="9" t="s">
        <v>2070</v>
      </c>
      <c r="M403" s="10">
        <v>46149</v>
      </c>
      <c r="N403" s="8" t="s">
        <v>328</v>
      </c>
      <c r="O403" s="12"/>
      <c r="P403" s="13"/>
      <c r="Q403" s="14">
        <f>Tabela1[[#This Row],[QTDE/ Fabricação]]-Tabela1[[#This Row],[QTE]]</f>
        <v>-1</v>
      </c>
      <c r="R403" s="18">
        <f t="shared" si="55"/>
        <v>282</v>
      </c>
      <c r="S403" s="18">
        <f t="shared" si="62"/>
        <v>282</v>
      </c>
      <c r="T403" s="19">
        <f t="shared" si="58"/>
        <v>0</v>
      </c>
      <c r="U403" s="207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59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57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3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0"/>
        <v>282</v>
      </c>
      <c r="AV403" s="37">
        <f t="shared" si="61"/>
        <v>282</v>
      </c>
      <c r="AW403" s="37"/>
    </row>
    <row r="404" spans="1:49" ht="15.75" hidden="1" customHeight="1" x14ac:dyDescent="0.25">
      <c r="A404" s="6" t="s">
        <v>3814</v>
      </c>
      <c r="B404" s="21" t="s">
        <v>4047</v>
      </c>
      <c r="C404" s="7">
        <v>4</v>
      </c>
      <c r="D404" s="39" t="s">
        <v>4048</v>
      </c>
      <c r="E404" s="7">
        <v>4289</v>
      </c>
      <c r="F404" s="7" t="s">
        <v>3791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3792</v>
      </c>
      <c r="K404" s="8" t="s">
        <v>328</v>
      </c>
      <c r="L404" s="9" t="s">
        <v>2070</v>
      </c>
      <c r="M404" s="10">
        <v>46167</v>
      </c>
      <c r="N404" s="8" t="s">
        <v>328</v>
      </c>
      <c r="O404" s="12"/>
      <c r="P404" s="13"/>
      <c r="Q404" s="14">
        <f>Tabela1[[#This Row],[QTDE/ Fabricação]]-Tabela1[[#This Row],[QTE]]</f>
        <v>-4</v>
      </c>
      <c r="R404" s="18">
        <f t="shared" si="55"/>
        <v>140.13470000000001</v>
      </c>
      <c r="S404" s="18">
        <f t="shared" si="62"/>
        <v>0</v>
      </c>
      <c r="T404" s="19">
        <f t="shared" si="58"/>
        <v>-199.48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59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0.9</v>
      </c>
      <c r="AE404" s="33">
        <v>0</v>
      </c>
      <c r="AF404" s="33">
        <v>0</v>
      </c>
      <c r="AG404" s="33">
        <v>0</v>
      </c>
      <c r="AH404" s="33"/>
      <c r="AI404" s="33" t="str">
        <f t="shared" si="57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3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60"/>
        <v>0</v>
      </c>
      <c r="AV404" s="37">
        <f t="shared" si="61"/>
        <v>0</v>
      </c>
      <c r="AW404" s="37"/>
    </row>
    <row r="405" spans="1:49" ht="15.75" hidden="1" customHeight="1" x14ac:dyDescent="0.25">
      <c r="A405" s="6" t="s">
        <v>3830</v>
      </c>
      <c r="B405" s="21" t="s">
        <v>4049</v>
      </c>
      <c r="C405" s="7">
        <v>4</v>
      </c>
      <c r="D405" s="39" t="s">
        <v>4050</v>
      </c>
      <c r="E405" s="7">
        <v>4290</v>
      </c>
      <c r="F405" s="7" t="s">
        <v>3791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3792</v>
      </c>
      <c r="K405" s="8" t="s">
        <v>328</v>
      </c>
      <c r="L405" s="9" t="s">
        <v>2070</v>
      </c>
      <c r="M405" s="10">
        <v>46167</v>
      </c>
      <c r="N405" s="8" t="s">
        <v>328</v>
      </c>
      <c r="O405" s="12"/>
      <c r="P405" s="13"/>
      <c r="Q405" s="14">
        <f>Tabela1[[#This Row],[QTDE/ Fabricação]]-Tabela1[[#This Row],[QTE]]</f>
        <v>-4</v>
      </c>
      <c r="R405" s="18">
        <f t="shared" si="55"/>
        <v>140.5</v>
      </c>
      <c r="S405" s="18">
        <f t="shared" si="62"/>
        <v>0</v>
      </c>
      <c r="T405" s="19">
        <f t="shared" si="58"/>
        <v>-200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59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0.9</v>
      </c>
      <c r="AE405" s="33">
        <v>0</v>
      </c>
      <c r="AF405" s="33">
        <v>0</v>
      </c>
      <c r="AG405" s="33">
        <v>0</v>
      </c>
      <c r="AH405" s="33"/>
      <c r="AI405" s="33" t="str">
        <f t="shared" si="57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3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0"/>
        <v>0</v>
      </c>
      <c r="AV405" s="37">
        <f t="shared" si="61"/>
        <v>0</v>
      </c>
      <c r="AW405" s="37"/>
    </row>
    <row r="406" spans="1:49" ht="15.75" hidden="1" customHeight="1" x14ac:dyDescent="0.25">
      <c r="A406" s="6" t="s">
        <v>4051</v>
      </c>
      <c r="B406" s="21" t="s">
        <v>4052</v>
      </c>
      <c r="C406" s="7">
        <v>1</v>
      </c>
      <c r="D406" s="39" t="s">
        <v>4053</v>
      </c>
      <c r="E406" s="7">
        <v>4291</v>
      </c>
      <c r="F406" s="7" t="s">
        <v>4054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2275</v>
      </c>
      <c r="K406" s="8" t="s">
        <v>328</v>
      </c>
      <c r="L406" s="9" t="s">
        <v>2070</v>
      </c>
      <c r="M406" s="10">
        <v>46161</v>
      </c>
      <c r="N406" s="8" t="s">
        <v>328</v>
      </c>
      <c r="O406" s="12"/>
      <c r="P406" s="13"/>
      <c r="Q406" s="14">
        <f>Tabela1[[#This Row],[QTDE/ Fabricação]]-Tabela1[[#This Row],[QTE]]</f>
        <v>-1</v>
      </c>
      <c r="R406" s="18">
        <f t="shared" si="55"/>
        <v>57.6</v>
      </c>
      <c r="S406" s="18">
        <f t="shared" si="62"/>
        <v>0</v>
      </c>
      <c r="T406" s="19">
        <f t="shared" si="58"/>
        <v>-57.6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59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0</v>
      </c>
      <c r="AH406" s="33"/>
      <c r="AI406" s="33" t="str">
        <f t="shared" si="57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3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57.6</v>
      </c>
      <c r="AT406" s="37">
        <f>IF(AG406="",0,IF(ISTEXT(AG406),H406*VALUE(SUBSTITUTE(AG406,"%",""))/100,H406*AG406))-Tabela1[[#This Row],[PESO EXPEDIDO2]]</f>
        <v>0</v>
      </c>
      <c r="AU406" s="37">
        <f t="shared" si="60"/>
        <v>0</v>
      </c>
      <c r="AV406" s="37">
        <f t="shared" si="61"/>
        <v>0</v>
      </c>
      <c r="AW406" s="37"/>
    </row>
    <row r="407" spans="1:49" ht="15.75" hidden="1" customHeight="1" x14ac:dyDescent="0.25">
      <c r="A407" s="6" t="s">
        <v>4051</v>
      </c>
      <c r="B407" s="21" t="s">
        <v>4052</v>
      </c>
      <c r="C407" s="7">
        <v>1</v>
      </c>
      <c r="D407" s="39" t="s">
        <v>4053</v>
      </c>
      <c r="E407" s="7">
        <v>4292</v>
      </c>
      <c r="F407" s="7" t="s">
        <v>4054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2277</v>
      </c>
      <c r="K407" s="8" t="s">
        <v>328</v>
      </c>
      <c r="L407" s="9" t="s">
        <v>2070</v>
      </c>
      <c r="M407" s="10">
        <v>46161</v>
      </c>
      <c r="N407" s="8" t="s">
        <v>328</v>
      </c>
      <c r="O407" s="12"/>
      <c r="P407" s="13"/>
      <c r="Q407" s="14">
        <f>Tabela1[[#This Row],[QTDE/ Fabricação]]-Tabela1[[#This Row],[QTE]]</f>
        <v>-1</v>
      </c>
      <c r="R407" s="18">
        <f t="shared" si="55"/>
        <v>57.6</v>
      </c>
      <c r="S407" s="18">
        <f t="shared" si="62"/>
        <v>0</v>
      </c>
      <c r="T407" s="19">
        <f t="shared" si="58"/>
        <v>-57.6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59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0</v>
      </c>
      <c r="AH407" s="33"/>
      <c r="AI407" s="33" t="str">
        <f t="shared" si="57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3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57.6</v>
      </c>
      <c r="AT407" s="37">
        <f>IF(AG407="",0,IF(ISTEXT(AG407),H407*VALUE(SUBSTITUTE(AG407,"%",""))/100,H407*AG407))-Tabela1[[#This Row],[PESO EXPEDIDO2]]</f>
        <v>0</v>
      </c>
      <c r="AU407" s="37">
        <f t="shared" si="60"/>
        <v>0</v>
      </c>
      <c r="AV407" s="37">
        <f t="shared" si="61"/>
        <v>0</v>
      </c>
      <c r="AW407" s="37"/>
    </row>
    <row r="408" spans="1:49" ht="15.75" hidden="1" customHeight="1" x14ac:dyDescent="0.25">
      <c r="A408" s="6" t="s">
        <v>4051</v>
      </c>
      <c r="B408" s="21" t="s">
        <v>4055</v>
      </c>
      <c r="C408" s="7">
        <v>1</v>
      </c>
      <c r="D408" s="39" t="s">
        <v>4053</v>
      </c>
      <c r="E408" s="7">
        <v>4293</v>
      </c>
      <c r="F408" s="7" t="s">
        <v>4054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2275</v>
      </c>
      <c r="K408" s="8" t="s">
        <v>328</v>
      </c>
      <c r="L408" s="9" t="s">
        <v>2070</v>
      </c>
      <c r="M408" s="10">
        <v>46161</v>
      </c>
      <c r="N408" s="8" t="s">
        <v>328</v>
      </c>
      <c r="O408" s="12"/>
      <c r="P408" s="13"/>
      <c r="Q408" s="14">
        <f>Tabela1[[#This Row],[QTDE/ Fabricação]]-Tabela1[[#This Row],[QTE]]</f>
        <v>-1</v>
      </c>
      <c r="R408" s="18">
        <f t="shared" si="55"/>
        <v>44.8</v>
      </c>
      <c r="S408" s="18">
        <f t="shared" si="62"/>
        <v>0</v>
      </c>
      <c r="T408" s="19">
        <f t="shared" si="58"/>
        <v>-44.8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59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0</v>
      </c>
      <c r="AH408" s="33"/>
      <c r="AI408" s="33" t="str">
        <f t="shared" si="57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3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44.8</v>
      </c>
      <c r="AT408" s="37">
        <f>IF(AG408="",0,IF(ISTEXT(AG408),H408*VALUE(SUBSTITUTE(AG408,"%",""))/100,H408*AG408))-Tabela1[[#This Row],[PESO EXPEDIDO2]]</f>
        <v>0</v>
      </c>
      <c r="AU408" s="37">
        <f t="shared" si="60"/>
        <v>0</v>
      </c>
      <c r="AV408" s="37">
        <f t="shared" si="61"/>
        <v>0</v>
      </c>
      <c r="AW408" s="37"/>
    </row>
    <row r="409" spans="1:49" ht="15.75" hidden="1" customHeight="1" x14ac:dyDescent="0.25">
      <c r="A409" s="6" t="s">
        <v>4051</v>
      </c>
      <c r="B409" s="21" t="s">
        <v>4055</v>
      </c>
      <c r="C409" s="7">
        <v>1</v>
      </c>
      <c r="D409" s="39" t="s">
        <v>4053</v>
      </c>
      <c r="E409" s="7">
        <v>4294</v>
      </c>
      <c r="F409" s="7" t="s">
        <v>4054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2277</v>
      </c>
      <c r="K409" s="8" t="s">
        <v>328</v>
      </c>
      <c r="L409" s="9" t="s">
        <v>2070</v>
      </c>
      <c r="M409" s="10">
        <v>46161</v>
      </c>
      <c r="N409" s="8" t="s">
        <v>328</v>
      </c>
      <c r="O409" s="12"/>
      <c r="P409" s="13"/>
      <c r="Q409" s="14">
        <f>Tabela1[[#This Row],[QTDE/ Fabricação]]-Tabela1[[#This Row],[QTE]]</f>
        <v>-1</v>
      </c>
      <c r="R409" s="18">
        <f t="shared" si="55"/>
        <v>44.8</v>
      </c>
      <c r="S409" s="18">
        <f t="shared" si="62"/>
        <v>0</v>
      </c>
      <c r="T409" s="19">
        <f t="shared" si="58"/>
        <v>-44.8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59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0</v>
      </c>
      <c r="AH409" s="33"/>
      <c r="AI409" s="33" t="str">
        <f t="shared" si="57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3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44.8</v>
      </c>
      <c r="AT409" s="37">
        <f>IF(AG409="",0,IF(ISTEXT(AG409),H409*VALUE(SUBSTITUTE(AG409,"%",""))/100,H409*AG409))-Tabela1[[#This Row],[PESO EXPEDIDO2]]</f>
        <v>0</v>
      </c>
      <c r="AU409" s="37">
        <f t="shared" si="60"/>
        <v>0</v>
      </c>
      <c r="AV409" s="37">
        <f t="shared" si="61"/>
        <v>0</v>
      </c>
      <c r="AW409" s="37"/>
    </row>
    <row r="410" spans="1:49" ht="15.75" hidden="1" customHeight="1" x14ac:dyDescent="0.25">
      <c r="A410" s="6" t="s">
        <v>4051</v>
      </c>
      <c r="B410" s="21" t="s">
        <v>4056</v>
      </c>
      <c r="C410" s="7">
        <v>1</v>
      </c>
      <c r="D410" s="39" t="s">
        <v>4053</v>
      </c>
      <c r="E410" s="7">
        <v>4295</v>
      </c>
      <c r="F410" s="7" t="s">
        <v>4054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2275</v>
      </c>
      <c r="K410" s="8" t="s">
        <v>328</v>
      </c>
      <c r="L410" s="9" t="s">
        <v>2070</v>
      </c>
      <c r="M410" s="10">
        <v>46161</v>
      </c>
      <c r="N410" s="8" t="s">
        <v>328</v>
      </c>
      <c r="O410" s="12"/>
      <c r="P410" s="13"/>
      <c r="Q410" s="14">
        <f>Tabela1[[#This Row],[QTDE/ Fabricação]]-Tabela1[[#This Row],[QTE]]</f>
        <v>-1</v>
      </c>
      <c r="R410" s="18">
        <f t="shared" ref="R410:R439" si="64">IFERROR(H410*((AA410*0.25)+(AC410*0.25)+(AD410*0.225)+(AE410*0.225)+(AF410*0.05)),"")</f>
        <v>57.1</v>
      </c>
      <c r="S410" s="18">
        <f t="shared" si="62"/>
        <v>0</v>
      </c>
      <c r="T410" s="19">
        <f t="shared" si="58"/>
        <v>-57.1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59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0</v>
      </c>
      <c r="AH410" s="33"/>
      <c r="AI410" s="33" t="str">
        <f t="shared" si="57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3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57.1</v>
      </c>
      <c r="AT410" s="37">
        <f>IF(AG410="",0,IF(ISTEXT(AG410),H410*VALUE(SUBSTITUTE(AG410,"%",""))/100,H410*AG410))-Tabela1[[#This Row],[PESO EXPEDIDO2]]</f>
        <v>0</v>
      </c>
      <c r="AU410" s="37">
        <f t="shared" si="60"/>
        <v>0</v>
      </c>
      <c r="AV410" s="37">
        <f t="shared" si="61"/>
        <v>0</v>
      </c>
      <c r="AW410" s="37"/>
    </row>
    <row r="411" spans="1:49" ht="15.75" hidden="1" customHeight="1" x14ac:dyDescent="0.25">
      <c r="A411" s="6" t="s">
        <v>4051</v>
      </c>
      <c r="B411" s="21" t="s">
        <v>4056</v>
      </c>
      <c r="C411" s="7">
        <v>1</v>
      </c>
      <c r="D411" s="39" t="s">
        <v>4053</v>
      </c>
      <c r="E411" s="7">
        <v>4296</v>
      </c>
      <c r="F411" s="7" t="s">
        <v>4054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2277</v>
      </c>
      <c r="K411" s="8" t="s">
        <v>328</v>
      </c>
      <c r="L411" s="9" t="s">
        <v>2070</v>
      </c>
      <c r="M411" s="10">
        <v>46161</v>
      </c>
      <c r="N411" s="8" t="s">
        <v>328</v>
      </c>
      <c r="O411" s="12"/>
      <c r="P411" s="13"/>
      <c r="Q411" s="14">
        <f>Tabela1[[#This Row],[QTDE/ Fabricação]]-Tabela1[[#This Row],[QTE]]</f>
        <v>-1</v>
      </c>
      <c r="R411" s="18">
        <f t="shared" si="64"/>
        <v>57.1</v>
      </c>
      <c r="S411" s="18">
        <f t="shared" si="62"/>
        <v>0</v>
      </c>
      <c r="T411" s="19">
        <f t="shared" si="58"/>
        <v>-57.1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59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0</v>
      </c>
      <c r="AH411" s="33"/>
      <c r="AI411" s="33" t="str">
        <f t="shared" si="57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3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57.1</v>
      </c>
      <c r="AT411" s="37">
        <f>IF(AG411="",0,IF(ISTEXT(AG411),H411*VALUE(SUBSTITUTE(AG411,"%",""))/100,H411*AG411))-Tabela1[[#This Row],[PESO EXPEDIDO2]]</f>
        <v>0</v>
      </c>
      <c r="AU411" s="37">
        <f t="shared" si="60"/>
        <v>0</v>
      </c>
      <c r="AV411" s="37">
        <f t="shared" si="61"/>
        <v>0</v>
      </c>
      <c r="AW411" s="37"/>
    </row>
    <row r="412" spans="1:49" ht="15.75" hidden="1" customHeight="1" x14ac:dyDescent="0.25">
      <c r="A412" s="6" t="s">
        <v>4051</v>
      </c>
      <c r="B412" s="21" t="s">
        <v>4057</v>
      </c>
      <c r="C412" s="7">
        <v>1</v>
      </c>
      <c r="D412" s="39" t="s">
        <v>4053</v>
      </c>
      <c r="E412" s="7">
        <v>4297</v>
      </c>
      <c r="F412" s="7" t="s">
        <v>4054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2275</v>
      </c>
      <c r="K412" s="8" t="s">
        <v>328</v>
      </c>
      <c r="L412" s="9" t="s">
        <v>2070</v>
      </c>
      <c r="M412" s="10">
        <v>46161</v>
      </c>
      <c r="N412" s="8" t="s">
        <v>328</v>
      </c>
      <c r="O412" s="12"/>
      <c r="P412" s="13"/>
      <c r="Q412" s="14">
        <f>Tabela1[[#This Row],[QTDE/ Fabricação]]-Tabela1[[#This Row],[QTE]]</f>
        <v>-1</v>
      </c>
      <c r="R412" s="18">
        <f t="shared" si="64"/>
        <v>42.4</v>
      </c>
      <c r="S412" s="18">
        <f t="shared" si="62"/>
        <v>0</v>
      </c>
      <c r="T412" s="19">
        <f t="shared" si="58"/>
        <v>-42.4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59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0</v>
      </c>
      <c r="AH412" s="33"/>
      <c r="AI412" s="33" t="str">
        <f t="shared" ref="AI412:AI461" si="65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3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42.4</v>
      </c>
      <c r="AT412" s="37">
        <f>IF(AG412="",0,IF(ISTEXT(AG412),H412*VALUE(SUBSTITUTE(AG412,"%",""))/100,H412*AG412))-Tabela1[[#This Row],[PESO EXPEDIDO2]]</f>
        <v>0</v>
      </c>
      <c r="AU412" s="37">
        <f t="shared" si="60"/>
        <v>0</v>
      </c>
      <c r="AV412" s="37">
        <f t="shared" si="61"/>
        <v>0</v>
      </c>
      <c r="AW412" s="37"/>
    </row>
    <row r="413" spans="1:49" ht="15.75" hidden="1" customHeight="1" x14ac:dyDescent="0.25">
      <c r="A413" s="6" t="s">
        <v>4051</v>
      </c>
      <c r="B413" s="21" t="s">
        <v>4057</v>
      </c>
      <c r="C413" s="7">
        <v>1</v>
      </c>
      <c r="D413" s="39" t="s">
        <v>4053</v>
      </c>
      <c r="E413" s="7">
        <v>4298</v>
      </c>
      <c r="F413" s="7" t="s">
        <v>4054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2277</v>
      </c>
      <c r="K413" s="8" t="s">
        <v>328</v>
      </c>
      <c r="L413" s="9" t="s">
        <v>2070</v>
      </c>
      <c r="M413" s="10">
        <v>46161</v>
      </c>
      <c r="N413" s="8" t="s">
        <v>328</v>
      </c>
      <c r="O413" s="12"/>
      <c r="P413" s="13"/>
      <c r="Q413" s="14">
        <f>Tabela1[[#This Row],[QTDE/ Fabricação]]-Tabela1[[#This Row],[QTE]]</f>
        <v>-1</v>
      </c>
      <c r="R413" s="18">
        <f t="shared" si="64"/>
        <v>42.4</v>
      </c>
      <c r="S413" s="18">
        <f t="shared" si="62"/>
        <v>0</v>
      </c>
      <c r="T413" s="19">
        <f t="shared" si="58"/>
        <v>-42.4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59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0</v>
      </c>
      <c r="AH413" s="33"/>
      <c r="AI413" s="33" t="str">
        <f t="shared" si="65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3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42.4</v>
      </c>
      <c r="AT413" s="37">
        <f>IF(AG413="",0,IF(ISTEXT(AG413),H413*VALUE(SUBSTITUTE(AG413,"%",""))/100,H413*AG413))-Tabela1[[#This Row],[PESO EXPEDIDO2]]</f>
        <v>0</v>
      </c>
      <c r="AU413" s="37">
        <f t="shared" si="60"/>
        <v>0</v>
      </c>
      <c r="AV413" s="37">
        <f t="shared" si="61"/>
        <v>0</v>
      </c>
      <c r="AW413" s="37"/>
    </row>
    <row r="414" spans="1:49" ht="15.75" hidden="1" customHeight="1" x14ac:dyDescent="0.25">
      <c r="A414" s="6" t="s">
        <v>4051</v>
      </c>
      <c r="B414" s="21" t="s">
        <v>4058</v>
      </c>
      <c r="C414" s="7">
        <v>1</v>
      </c>
      <c r="D414" s="39" t="s">
        <v>4053</v>
      </c>
      <c r="E414" s="7">
        <v>4299</v>
      </c>
      <c r="F414" s="7" t="s">
        <v>4054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2275</v>
      </c>
      <c r="K414" s="8" t="s">
        <v>328</v>
      </c>
      <c r="L414" s="9" t="s">
        <v>2070</v>
      </c>
      <c r="M414" s="10">
        <v>46161</v>
      </c>
      <c r="N414" s="8" t="s">
        <v>328</v>
      </c>
      <c r="O414" s="12"/>
      <c r="P414" s="13"/>
      <c r="Q414" s="14">
        <f>Tabela1[[#This Row],[QTDE/ Fabricação]]-Tabela1[[#This Row],[QTE]]</f>
        <v>-1</v>
      </c>
      <c r="R414" s="18">
        <f t="shared" si="64"/>
        <v>40.700000000000003</v>
      </c>
      <c r="S414" s="18">
        <f t="shared" si="62"/>
        <v>0</v>
      </c>
      <c r="T414" s="19">
        <f t="shared" si="58"/>
        <v>-40.700000000000003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59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0</v>
      </c>
      <c r="AH414" s="33"/>
      <c r="AI414" s="33" t="str">
        <f t="shared" si="65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3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40.700000000000003</v>
      </c>
      <c r="AT414" s="37">
        <f>IF(AG414="",0,IF(ISTEXT(AG414),H414*VALUE(SUBSTITUTE(AG414,"%",""))/100,H414*AG414))-Tabela1[[#This Row],[PESO EXPEDIDO2]]</f>
        <v>0</v>
      </c>
      <c r="AU414" s="37">
        <f t="shared" si="60"/>
        <v>0</v>
      </c>
      <c r="AV414" s="37">
        <f t="shared" si="61"/>
        <v>0</v>
      </c>
      <c r="AW414" s="37"/>
    </row>
    <row r="415" spans="1:49" ht="15.75" hidden="1" customHeight="1" x14ac:dyDescent="0.25">
      <c r="A415" s="6" t="s">
        <v>4051</v>
      </c>
      <c r="B415" s="21" t="s">
        <v>4058</v>
      </c>
      <c r="C415" s="7">
        <v>1</v>
      </c>
      <c r="D415" s="39" t="s">
        <v>4053</v>
      </c>
      <c r="E415" s="7">
        <v>4300</v>
      </c>
      <c r="F415" s="7" t="s">
        <v>4054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2277</v>
      </c>
      <c r="K415" s="8" t="s">
        <v>328</v>
      </c>
      <c r="L415" s="9" t="s">
        <v>2070</v>
      </c>
      <c r="M415" s="10">
        <v>46161</v>
      </c>
      <c r="N415" s="8" t="s">
        <v>328</v>
      </c>
      <c r="O415" s="12"/>
      <c r="P415" s="13"/>
      <c r="Q415" s="14">
        <f>Tabela1[[#This Row],[QTDE/ Fabricação]]-Tabela1[[#This Row],[QTE]]</f>
        <v>-1</v>
      </c>
      <c r="R415" s="18">
        <f t="shared" si="64"/>
        <v>40.700000000000003</v>
      </c>
      <c r="S415" s="18">
        <f t="shared" si="62"/>
        <v>0</v>
      </c>
      <c r="T415" s="19">
        <f t="shared" si="58"/>
        <v>-40.700000000000003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59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0</v>
      </c>
      <c r="AH415" s="33"/>
      <c r="AI415" s="33" t="str">
        <f t="shared" si="65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3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40.700000000000003</v>
      </c>
      <c r="AT415" s="37">
        <f>IF(AG415="",0,IF(ISTEXT(AG415),H415*VALUE(SUBSTITUTE(AG415,"%",""))/100,H415*AG415))-Tabela1[[#This Row],[PESO EXPEDIDO2]]</f>
        <v>0</v>
      </c>
      <c r="AU415" s="37">
        <f t="shared" si="60"/>
        <v>0</v>
      </c>
      <c r="AV415" s="37">
        <f t="shared" si="61"/>
        <v>0</v>
      </c>
      <c r="AW415" s="37"/>
    </row>
    <row r="416" spans="1:49" ht="15.75" hidden="1" customHeight="1" x14ac:dyDescent="0.25">
      <c r="A416" s="6" t="s">
        <v>4059</v>
      </c>
      <c r="B416" s="21" t="s">
        <v>4060</v>
      </c>
      <c r="C416" s="7">
        <v>1</v>
      </c>
      <c r="D416" s="39" t="s">
        <v>4053</v>
      </c>
      <c r="E416" s="7">
        <v>4301</v>
      </c>
      <c r="F416" s="7" t="s">
        <v>4054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2275</v>
      </c>
      <c r="K416" s="8" t="s">
        <v>328</v>
      </c>
      <c r="L416" s="9" t="s">
        <v>2070</v>
      </c>
      <c r="M416" s="10">
        <v>46161</v>
      </c>
      <c r="N416" s="8" t="s">
        <v>328</v>
      </c>
      <c r="O416" s="12"/>
      <c r="P416" s="13"/>
      <c r="Q416" s="14">
        <f>Tabela1[[#This Row],[QTDE/ Fabricação]]-Tabela1[[#This Row],[QTE]]</f>
        <v>-1</v>
      </c>
      <c r="R416" s="18">
        <f t="shared" si="64"/>
        <v>57.7</v>
      </c>
      <c r="S416" s="18">
        <f t="shared" si="62"/>
        <v>0</v>
      </c>
      <c r="T416" s="19">
        <f t="shared" si="58"/>
        <v>-57.7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59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0</v>
      </c>
      <c r="AH416" s="33"/>
      <c r="AI416" s="33" t="str">
        <f t="shared" si="65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3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57.7</v>
      </c>
      <c r="AT416" s="37">
        <f>IF(AG416="",0,IF(ISTEXT(AG416),H416*VALUE(SUBSTITUTE(AG416,"%",""))/100,H416*AG416))-Tabela1[[#This Row],[PESO EXPEDIDO2]]</f>
        <v>0</v>
      </c>
      <c r="AU416" s="37">
        <f t="shared" si="60"/>
        <v>0</v>
      </c>
      <c r="AV416" s="37">
        <f t="shared" si="61"/>
        <v>0</v>
      </c>
      <c r="AW416" s="37"/>
    </row>
    <row r="417" spans="1:49" ht="15.75" hidden="1" customHeight="1" x14ac:dyDescent="0.25">
      <c r="A417" s="6" t="s">
        <v>4059</v>
      </c>
      <c r="B417" s="21" t="s">
        <v>4060</v>
      </c>
      <c r="C417" s="7">
        <v>1</v>
      </c>
      <c r="D417" s="39" t="s">
        <v>4053</v>
      </c>
      <c r="E417" s="7">
        <v>4302</v>
      </c>
      <c r="F417" s="7" t="s">
        <v>4054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2277</v>
      </c>
      <c r="K417" s="8" t="s">
        <v>328</v>
      </c>
      <c r="L417" s="9" t="s">
        <v>2070</v>
      </c>
      <c r="M417" s="10">
        <v>46161</v>
      </c>
      <c r="N417" s="8" t="s">
        <v>328</v>
      </c>
      <c r="O417" s="12"/>
      <c r="P417" s="13"/>
      <c r="Q417" s="14">
        <f>Tabela1[[#This Row],[QTDE/ Fabricação]]-Tabela1[[#This Row],[QTE]]</f>
        <v>-1</v>
      </c>
      <c r="R417" s="18">
        <f t="shared" si="64"/>
        <v>57.7</v>
      </c>
      <c r="S417" s="18">
        <f t="shared" si="62"/>
        <v>0</v>
      </c>
      <c r="T417" s="19">
        <f t="shared" si="58"/>
        <v>-57.7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59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0</v>
      </c>
      <c r="AH417" s="33"/>
      <c r="AI417" s="33" t="str">
        <f t="shared" si="65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3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57.7</v>
      </c>
      <c r="AT417" s="37">
        <f>IF(AG417="",0,IF(ISTEXT(AG417),H417*VALUE(SUBSTITUTE(AG417,"%",""))/100,H417*AG417))-Tabela1[[#This Row],[PESO EXPEDIDO2]]</f>
        <v>0</v>
      </c>
      <c r="AU417" s="37">
        <f t="shared" si="60"/>
        <v>0</v>
      </c>
      <c r="AV417" s="37">
        <f t="shared" si="61"/>
        <v>0</v>
      </c>
      <c r="AW417" s="37"/>
    </row>
    <row r="418" spans="1:49" ht="15.75" hidden="1" customHeight="1" x14ac:dyDescent="0.25">
      <c r="A418" s="6" t="s">
        <v>4059</v>
      </c>
      <c r="B418" s="21" t="s">
        <v>4061</v>
      </c>
      <c r="C418" s="7">
        <v>1</v>
      </c>
      <c r="D418" s="39" t="s">
        <v>4053</v>
      </c>
      <c r="E418" s="7">
        <v>4303</v>
      </c>
      <c r="F418" s="7" t="s">
        <v>4054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2275</v>
      </c>
      <c r="K418" s="8" t="s">
        <v>328</v>
      </c>
      <c r="L418" s="9" t="s">
        <v>2070</v>
      </c>
      <c r="M418" s="10">
        <v>46161</v>
      </c>
      <c r="N418" s="8" t="s">
        <v>328</v>
      </c>
      <c r="O418" s="12"/>
      <c r="P418" s="13"/>
      <c r="Q418" s="14">
        <f>Tabela1[[#This Row],[QTDE/ Fabricação]]-Tabela1[[#This Row],[QTE]]</f>
        <v>-1</v>
      </c>
      <c r="R418" s="18">
        <f t="shared" si="64"/>
        <v>47.2</v>
      </c>
      <c r="S418" s="18">
        <f t="shared" si="62"/>
        <v>0</v>
      </c>
      <c r="T418" s="19">
        <f t="shared" si="58"/>
        <v>-47.2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59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0</v>
      </c>
      <c r="AH418" s="33"/>
      <c r="AI418" s="33" t="str">
        <f t="shared" si="65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3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47.2</v>
      </c>
      <c r="AT418" s="37">
        <f>IF(AG418="",0,IF(ISTEXT(AG418),H418*VALUE(SUBSTITUTE(AG418,"%",""))/100,H418*AG418))-Tabela1[[#This Row],[PESO EXPEDIDO2]]</f>
        <v>0</v>
      </c>
      <c r="AU418" s="37">
        <f t="shared" si="60"/>
        <v>0</v>
      </c>
      <c r="AV418" s="37">
        <f t="shared" si="61"/>
        <v>0</v>
      </c>
      <c r="AW418" s="37"/>
    </row>
    <row r="419" spans="1:49" ht="15.75" hidden="1" customHeight="1" x14ac:dyDescent="0.25">
      <c r="A419" s="6" t="s">
        <v>4059</v>
      </c>
      <c r="B419" s="21" t="s">
        <v>4061</v>
      </c>
      <c r="C419" s="7">
        <v>1</v>
      </c>
      <c r="D419" s="39" t="s">
        <v>4053</v>
      </c>
      <c r="E419" s="7">
        <v>4304</v>
      </c>
      <c r="F419" s="7" t="s">
        <v>4054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2277</v>
      </c>
      <c r="K419" s="8" t="s">
        <v>328</v>
      </c>
      <c r="L419" s="9" t="s">
        <v>2070</v>
      </c>
      <c r="M419" s="10">
        <v>46161</v>
      </c>
      <c r="N419" s="8" t="s">
        <v>328</v>
      </c>
      <c r="O419" s="12"/>
      <c r="P419" s="13"/>
      <c r="Q419" s="14">
        <f>Tabela1[[#This Row],[QTDE/ Fabricação]]-Tabela1[[#This Row],[QTE]]</f>
        <v>-1</v>
      </c>
      <c r="R419" s="18">
        <f t="shared" si="64"/>
        <v>47.2</v>
      </c>
      <c r="S419" s="18">
        <f t="shared" si="62"/>
        <v>0</v>
      </c>
      <c r="T419" s="19">
        <f t="shared" si="58"/>
        <v>-47.2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59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0</v>
      </c>
      <c r="AH419" s="33"/>
      <c r="AI419" s="33" t="str">
        <f t="shared" si="65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3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47.2</v>
      </c>
      <c r="AT419" s="37">
        <f>IF(AG419="",0,IF(ISTEXT(AG419),H419*VALUE(SUBSTITUTE(AG419,"%",""))/100,H419*AG419))-Tabela1[[#This Row],[PESO EXPEDIDO2]]</f>
        <v>0</v>
      </c>
      <c r="AU419" s="37">
        <f t="shared" si="60"/>
        <v>0</v>
      </c>
      <c r="AV419" s="37">
        <f t="shared" si="61"/>
        <v>0</v>
      </c>
      <c r="AW419" s="37"/>
    </row>
    <row r="420" spans="1:49" ht="15.75" hidden="1" customHeight="1" x14ac:dyDescent="0.25">
      <c r="A420" s="6" t="s">
        <v>4059</v>
      </c>
      <c r="B420" s="21" t="s">
        <v>4062</v>
      </c>
      <c r="C420" s="7">
        <v>1</v>
      </c>
      <c r="D420" s="39" t="s">
        <v>4053</v>
      </c>
      <c r="E420" s="7">
        <v>4305</v>
      </c>
      <c r="F420" s="7" t="s">
        <v>4054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2275</v>
      </c>
      <c r="K420" s="8" t="s">
        <v>328</v>
      </c>
      <c r="L420" s="9" t="s">
        <v>2070</v>
      </c>
      <c r="M420" s="10">
        <v>46161</v>
      </c>
      <c r="N420" s="8" t="s">
        <v>328</v>
      </c>
      <c r="O420" s="12"/>
      <c r="P420" s="13"/>
      <c r="Q420" s="14">
        <f>Tabela1[[#This Row],[QTDE/ Fabricação]]-Tabela1[[#This Row],[QTE]]</f>
        <v>-1</v>
      </c>
      <c r="R420" s="18">
        <f t="shared" si="64"/>
        <v>38.4</v>
      </c>
      <c r="S420" s="18">
        <f t="shared" si="62"/>
        <v>0</v>
      </c>
      <c r="T420" s="19">
        <f t="shared" ref="T420:T439" si="66">IFERROR(S420-H420,"")</f>
        <v>-38.4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67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0</v>
      </c>
      <c r="AH420" s="33"/>
      <c r="AI420" s="33" t="str">
        <f t="shared" si="65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3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38.4</v>
      </c>
      <c r="AT420" s="37">
        <f>IF(AG420="",0,IF(ISTEXT(AG420),H420*VALUE(SUBSTITUTE(AG420,"%",""))/100,H420*AG420))-Tabela1[[#This Row],[PESO EXPEDIDO2]]</f>
        <v>0</v>
      </c>
      <c r="AU420" s="37">
        <f t="shared" si="60"/>
        <v>0</v>
      </c>
      <c r="AV420" s="37">
        <f t="shared" si="61"/>
        <v>0</v>
      </c>
      <c r="AW420" s="37"/>
    </row>
    <row r="421" spans="1:49" ht="15.75" hidden="1" customHeight="1" x14ac:dyDescent="0.25">
      <c r="A421" s="6" t="s">
        <v>4059</v>
      </c>
      <c r="B421" s="21" t="s">
        <v>4062</v>
      </c>
      <c r="C421" s="7">
        <v>1</v>
      </c>
      <c r="D421" s="39" t="s">
        <v>4053</v>
      </c>
      <c r="E421" s="7">
        <v>4306</v>
      </c>
      <c r="F421" s="7" t="s">
        <v>4054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2277</v>
      </c>
      <c r="K421" s="8" t="s">
        <v>328</v>
      </c>
      <c r="L421" s="9" t="s">
        <v>2070</v>
      </c>
      <c r="M421" s="10">
        <v>46161</v>
      </c>
      <c r="N421" s="8" t="s">
        <v>328</v>
      </c>
      <c r="O421" s="12"/>
      <c r="P421" s="13"/>
      <c r="Q421" s="14">
        <f>Tabela1[[#This Row],[QTDE/ Fabricação]]-Tabela1[[#This Row],[QTE]]</f>
        <v>-1</v>
      </c>
      <c r="R421" s="18">
        <f t="shared" si="64"/>
        <v>38.4</v>
      </c>
      <c r="S421" s="18">
        <f t="shared" si="62"/>
        <v>0</v>
      </c>
      <c r="T421" s="19">
        <f t="shared" si="66"/>
        <v>-38.4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67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0</v>
      </c>
      <c r="AH421" s="33"/>
      <c r="AI421" s="33" t="str">
        <f t="shared" si="65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3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38.4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68">IF(AH421="",0,IF(ISTEXT(AH421),H421*VALUE(SUBSTITUTE(AH421,"%",""))/100,H421*AH421))</f>
        <v>0</v>
      </c>
      <c r="AV421" s="37">
        <f t="shared" ref="AV421:AV439" si="69">IF(AG421="",0,IF(ISTEXT(AG421),H421*VALUE(SUBSTITUTE(AG421,"%",""))/100,H421*AG421))</f>
        <v>0</v>
      </c>
      <c r="AW421" s="37"/>
    </row>
    <row r="422" spans="1:49" ht="15.75" hidden="1" customHeight="1" x14ac:dyDescent="0.25">
      <c r="A422" s="6" t="s">
        <v>4059</v>
      </c>
      <c r="B422" s="21" t="s">
        <v>4063</v>
      </c>
      <c r="C422" s="7">
        <v>1</v>
      </c>
      <c r="D422" s="39" t="s">
        <v>4053</v>
      </c>
      <c r="E422" s="7">
        <v>4307</v>
      </c>
      <c r="F422" s="7" t="s">
        <v>4054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2275</v>
      </c>
      <c r="K422" s="8" t="s">
        <v>328</v>
      </c>
      <c r="L422" s="9" t="s">
        <v>2070</v>
      </c>
      <c r="M422" s="10">
        <v>46161</v>
      </c>
      <c r="N422" s="8" t="s">
        <v>328</v>
      </c>
      <c r="O422" s="12"/>
      <c r="P422" s="13"/>
      <c r="Q422" s="14">
        <f>Tabela1[[#This Row],[QTDE/ Fabricação]]-Tabela1[[#This Row],[QTE]]</f>
        <v>-1</v>
      </c>
      <c r="R422" s="18">
        <f t="shared" si="64"/>
        <v>42.7</v>
      </c>
      <c r="S422" s="18">
        <f t="shared" si="62"/>
        <v>0</v>
      </c>
      <c r="T422" s="19">
        <f t="shared" si="66"/>
        <v>-42.7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67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0</v>
      </c>
      <c r="AH422" s="33"/>
      <c r="AI422" s="33" t="str">
        <f t="shared" si="65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3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42.7</v>
      </c>
      <c r="AT422" s="37">
        <f>IF(AG422="",0,IF(ISTEXT(AG422),H422*VALUE(SUBSTITUTE(AG422,"%",""))/100,H422*AG422))-Tabela1[[#This Row],[PESO EXPEDIDO2]]</f>
        <v>0</v>
      </c>
      <c r="AU422" s="37">
        <f t="shared" si="68"/>
        <v>0</v>
      </c>
      <c r="AV422" s="37">
        <f t="shared" si="69"/>
        <v>0</v>
      </c>
      <c r="AW422" s="37"/>
    </row>
    <row r="423" spans="1:49" ht="15.75" hidden="1" customHeight="1" x14ac:dyDescent="0.25">
      <c r="A423" s="6" t="s">
        <v>4059</v>
      </c>
      <c r="B423" s="21" t="s">
        <v>4063</v>
      </c>
      <c r="C423" s="7">
        <v>1</v>
      </c>
      <c r="D423" s="39" t="s">
        <v>4053</v>
      </c>
      <c r="E423" s="7">
        <v>4308</v>
      </c>
      <c r="F423" s="7" t="s">
        <v>4054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2277</v>
      </c>
      <c r="K423" s="8" t="s">
        <v>328</v>
      </c>
      <c r="L423" s="9" t="s">
        <v>2070</v>
      </c>
      <c r="M423" s="10">
        <v>46161</v>
      </c>
      <c r="N423" s="8" t="s">
        <v>328</v>
      </c>
      <c r="O423" s="12"/>
      <c r="P423" s="13"/>
      <c r="Q423" s="14">
        <f>Tabela1[[#This Row],[QTDE/ Fabricação]]-Tabela1[[#This Row],[QTE]]</f>
        <v>-1</v>
      </c>
      <c r="R423" s="18">
        <f t="shared" si="64"/>
        <v>42.7</v>
      </c>
      <c r="S423" s="18">
        <f t="shared" si="62"/>
        <v>0</v>
      </c>
      <c r="T423" s="19">
        <f t="shared" si="66"/>
        <v>-42.7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67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0</v>
      </c>
      <c r="AH423" s="33"/>
      <c r="AI423" s="33" t="str">
        <f t="shared" si="65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3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42.7</v>
      </c>
      <c r="AT423" s="37">
        <f>IF(AG423="",0,IF(ISTEXT(AG423),H423*VALUE(SUBSTITUTE(AG423,"%",""))/100,H423*AG423))-Tabela1[[#This Row],[PESO EXPEDIDO2]]</f>
        <v>0</v>
      </c>
      <c r="AU423" s="37">
        <f t="shared" si="68"/>
        <v>0</v>
      </c>
      <c r="AV423" s="37">
        <f t="shared" si="69"/>
        <v>0</v>
      </c>
      <c r="AW423" s="37"/>
    </row>
    <row r="424" spans="1:49" ht="15.75" hidden="1" customHeight="1" x14ac:dyDescent="0.25">
      <c r="A424" s="6" t="s">
        <v>3766</v>
      </c>
      <c r="B424" s="21" t="s">
        <v>3773</v>
      </c>
      <c r="C424" s="7">
        <v>24</v>
      </c>
      <c r="D424" s="39" t="s">
        <v>3417</v>
      </c>
      <c r="E424" s="7">
        <v>4309</v>
      </c>
      <c r="F424" s="7" t="s">
        <v>3769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2275</v>
      </c>
      <c r="K424" s="8" t="s">
        <v>328</v>
      </c>
      <c r="L424" s="9" t="s">
        <v>2070</v>
      </c>
      <c r="M424" s="10">
        <v>46178</v>
      </c>
      <c r="N424" s="8" t="s">
        <v>328</v>
      </c>
      <c r="O424" s="12"/>
      <c r="P424" s="13"/>
      <c r="Q424" s="14">
        <f>Tabela1[[#This Row],[QTDE/ Fabricação]]-Tabela1[[#This Row],[QTE]]</f>
        <v>-24</v>
      </c>
      <c r="R424" s="18">
        <f t="shared" si="64"/>
        <v>72</v>
      </c>
      <c r="S424" s="18">
        <f t="shared" si="62"/>
        <v>0</v>
      </c>
      <c r="T424" s="19">
        <f t="shared" si="66"/>
        <v>-72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67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0</v>
      </c>
      <c r="AH424" s="33"/>
      <c r="AI424" s="33" t="str">
        <f t="shared" si="65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3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72</v>
      </c>
      <c r="AT424" s="37">
        <f>IF(AG424="",0,IF(ISTEXT(AG424),H424*VALUE(SUBSTITUTE(AG424,"%",""))/100,H424*AG424))-Tabela1[[#This Row],[PESO EXPEDIDO2]]</f>
        <v>0</v>
      </c>
      <c r="AU424" s="37">
        <f t="shared" si="68"/>
        <v>0</v>
      </c>
      <c r="AV424" s="37">
        <f t="shared" si="69"/>
        <v>0</v>
      </c>
      <c r="AW424" s="37"/>
    </row>
    <row r="425" spans="1:49" ht="15.75" hidden="1" customHeight="1" x14ac:dyDescent="0.25">
      <c r="A425" s="6" t="s">
        <v>3766</v>
      </c>
      <c r="B425" s="21" t="s">
        <v>3773</v>
      </c>
      <c r="C425" s="7">
        <v>24</v>
      </c>
      <c r="D425" s="39" t="s">
        <v>3417</v>
      </c>
      <c r="E425" s="7">
        <v>4310</v>
      </c>
      <c r="F425" s="7" t="s">
        <v>3769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2277</v>
      </c>
      <c r="K425" s="8" t="s">
        <v>328</v>
      </c>
      <c r="L425" s="9" t="s">
        <v>2070</v>
      </c>
      <c r="M425" s="10">
        <v>46178</v>
      </c>
      <c r="N425" s="8" t="s">
        <v>328</v>
      </c>
      <c r="O425" s="12"/>
      <c r="P425" s="13"/>
      <c r="Q425" s="14">
        <f>Tabela1[[#This Row],[QTDE/ Fabricação]]-Tabela1[[#This Row],[QTE]]</f>
        <v>-24</v>
      </c>
      <c r="R425" s="18">
        <f t="shared" si="64"/>
        <v>36</v>
      </c>
      <c r="S425" s="18">
        <f t="shared" si="62"/>
        <v>0</v>
      </c>
      <c r="T425" s="19">
        <f t="shared" si="66"/>
        <v>-36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67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0</v>
      </c>
      <c r="AH425" s="33"/>
      <c r="AI425" s="33" t="str">
        <f t="shared" si="65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3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36</v>
      </c>
      <c r="AT425" s="37">
        <f>IF(AG425="",0,IF(ISTEXT(AG425),H425*VALUE(SUBSTITUTE(AG425,"%",""))/100,H425*AG425))-Tabela1[[#This Row],[PESO EXPEDIDO2]]</f>
        <v>0</v>
      </c>
      <c r="AU425" s="37">
        <f t="shared" si="68"/>
        <v>0</v>
      </c>
      <c r="AV425" s="37">
        <f t="shared" si="69"/>
        <v>0</v>
      </c>
      <c r="AW425" s="37"/>
    </row>
    <row r="426" spans="1:49" ht="15.75" hidden="1" customHeight="1" x14ac:dyDescent="0.25">
      <c r="A426" s="6" t="s">
        <v>3851</v>
      </c>
      <c r="B426" s="21" t="s">
        <v>4064</v>
      </c>
      <c r="C426" s="7">
        <v>2</v>
      </c>
      <c r="D426" s="39" t="s">
        <v>3417</v>
      </c>
      <c r="E426" s="7">
        <v>4311</v>
      </c>
      <c r="F426" s="7" t="s">
        <v>3791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3792</v>
      </c>
      <c r="K426" s="8" t="s">
        <v>328</v>
      </c>
      <c r="L426" s="9" t="s">
        <v>2070</v>
      </c>
      <c r="M426" s="10">
        <v>46181</v>
      </c>
      <c r="N426" s="8" t="s">
        <v>328</v>
      </c>
      <c r="O426" s="12"/>
      <c r="P426" s="13"/>
      <c r="Q426" s="14">
        <f>Tabela1[[#This Row],[QTDE/ Fabricação]]-Tabela1[[#This Row],[QTE]]</f>
        <v>-2</v>
      </c>
      <c r="R426" s="18">
        <f t="shared" si="64"/>
        <v>27.26</v>
      </c>
      <c r="S426" s="18">
        <f t="shared" si="62"/>
        <v>0</v>
      </c>
      <c r="T426" s="19">
        <f t="shared" si="66"/>
        <v>-37.6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67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0</v>
      </c>
      <c r="AF426" s="33">
        <v>0</v>
      </c>
      <c r="AG426" s="33">
        <v>0</v>
      </c>
      <c r="AH426" s="33"/>
      <c r="AI426" s="33" t="str">
        <f t="shared" si="65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3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68"/>
        <v>0</v>
      </c>
      <c r="AV426" s="37">
        <f t="shared" si="69"/>
        <v>0</v>
      </c>
      <c r="AW426" s="37"/>
    </row>
    <row r="427" spans="1:49" ht="15.75" hidden="1" customHeight="1" x14ac:dyDescent="0.25">
      <c r="A427" s="6" t="s">
        <v>3851</v>
      </c>
      <c r="B427" s="21" t="s">
        <v>4065</v>
      </c>
      <c r="C427" s="7">
        <v>2</v>
      </c>
      <c r="D427" s="39" t="s">
        <v>3417</v>
      </c>
      <c r="E427" s="7">
        <v>4312</v>
      </c>
      <c r="F427" s="7" t="s">
        <v>3791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3792</v>
      </c>
      <c r="K427" s="8" t="s">
        <v>328</v>
      </c>
      <c r="L427" s="9" t="s">
        <v>2070</v>
      </c>
      <c r="M427" s="10">
        <v>46181</v>
      </c>
      <c r="N427" s="8" t="s">
        <v>328</v>
      </c>
      <c r="O427" s="12"/>
      <c r="P427" s="13"/>
      <c r="Q427" s="14">
        <f>Tabela1[[#This Row],[QTDE/ Fabricação]]-Tabela1[[#This Row],[QTE]]</f>
        <v>-2</v>
      </c>
      <c r="R427" s="18">
        <f t="shared" si="64"/>
        <v>41.034999999999997</v>
      </c>
      <c r="S427" s="18">
        <f t="shared" si="62"/>
        <v>0</v>
      </c>
      <c r="T427" s="19">
        <f t="shared" si="66"/>
        <v>-56.6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67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0</v>
      </c>
      <c r="AF427" s="33">
        <v>0</v>
      </c>
      <c r="AG427" s="33">
        <v>0</v>
      </c>
      <c r="AH427" s="33"/>
      <c r="AI427" s="33" t="str">
        <f t="shared" si="65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3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68"/>
        <v>0</v>
      </c>
      <c r="AV427" s="37">
        <f t="shared" si="69"/>
        <v>0</v>
      </c>
      <c r="AW427" s="37"/>
    </row>
    <row r="428" spans="1:49" ht="15.75" hidden="1" customHeight="1" x14ac:dyDescent="0.25">
      <c r="A428" s="6" t="s">
        <v>4066</v>
      </c>
      <c r="B428" s="21" t="s">
        <v>3776</v>
      </c>
      <c r="C428" s="7">
        <v>1</v>
      </c>
      <c r="D428" s="39" t="s">
        <v>3779</v>
      </c>
      <c r="E428" s="7">
        <v>4313</v>
      </c>
      <c r="F428" s="7" t="s">
        <v>4067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2275</v>
      </c>
      <c r="K428" s="8" t="s">
        <v>328</v>
      </c>
      <c r="L428" s="9" t="s">
        <v>2070</v>
      </c>
      <c r="M428" s="10">
        <v>46181</v>
      </c>
      <c r="N428" s="8" t="s">
        <v>328</v>
      </c>
      <c r="O428" s="12"/>
      <c r="P428" s="13"/>
      <c r="Q428" s="14">
        <f>Tabela1[[#This Row],[QTDE/ Fabricação]]-Tabela1[[#This Row],[QTE]]</f>
        <v>-1</v>
      </c>
      <c r="R428" s="18">
        <f t="shared" si="64"/>
        <v>20.804999999999996</v>
      </c>
      <c r="S428" s="18">
        <f t="shared" si="62"/>
        <v>0</v>
      </c>
      <c r="T428" s="19">
        <f t="shared" si="66"/>
        <v>-43.8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67"/>
        <v>-1</v>
      </c>
      <c r="Z428" s="20">
        <f>Tabela1[[#This Row],[PESO TOTAL]]-Tabela1[[#This Row],[Peso Expedido]]</f>
        <v>43.8</v>
      </c>
      <c r="AA428" s="17">
        <v>0</v>
      </c>
      <c r="AB428" s="33"/>
      <c r="AC428" s="33">
        <v>1</v>
      </c>
      <c r="AD428" s="33">
        <v>1</v>
      </c>
      <c r="AE428" s="33">
        <v>0</v>
      </c>
      <c r="AF428" s="33">
        <v>0</v>
      </c>
      <c r="AG428" s="33">
        <v>0</v>
      </c>
      <c r="AH428" s="33"/>
      <c r="AI428" s="33" t="str">
        <f t="shared" si="65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3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68"/>
        <v>0</v>
      </c>
      <c r="AV428" s="37">
        <f t="shared" si="69"/>
        <v>0</v>
      </c>
      <c r="AW428" s="37"/>
    </row>
    <row r="429" spans="1:49" ht="15.75" hidden="1" customHeight="1" x14ac:dyDescent="0.25">
      <c r="A429" s="6" t="s">
        <v>4066</v>
      </c>
      <c r="B429" s="21" t="s">
        <v>3778</v>
      </c>
      <c r="C429" s="7">
        <v>4</v>
      </c>
      <c r="D429" s="39" t="s">
        <v>4068</v>
      </c>
      <c r="E429" s="7">
        <v>4314</v>
      </c>
      <c r="F429" s="7" t="s">
        <v>4067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2275</v>
      </c>
      <c r="K429" s="8" t="s">
        <v>328</v>
      </c>
      <c r="L429" s="9" t="s">
        <v>2070</v>
      </c>
      <c r="M429" s="10">
        <v>46181</v>
      </c>
      <c r="N429" s="8" t="s">
        <v>328</v>
      </c>
      <c r="O429" s="12"/>
      <c r="P429" s="13"/>
      <c r="Q429" s="14">
        <f>Tabela1[[#This Row],[QTDE/ Fabricação]]-Tabela1[[#This Row],[QTE]]</f>
        <v>-4</v>
      </c>
      <c r="R429" s="18">
        <f t="shared" si="64"/>
        <v>1.2000000000000002</v>
      </c>
      <c r="S429" s="18">
        <f t="shared" si="62"/>
        <v>0</v>
      </c>
      <c r="T429" s="19">
        <f t="shared" si="66"/>
        <v>-1.6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67"/>
        <v>-4</v>
      </c>
      <c r="Z429" s="20">
        <f>Tabela1[[#This Row],[PESO TOTAL]]-Tabela1[[#This Row],[Peso Expedido]]</f>
        <v>1.6</v>
      </c>
      <c r="AA429" s="17">
        <v>0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0</v>
      </c>
      <c r="AH429" s="33"/>
      <c r="AI429" s="33" t="str">
        <f t="shared" si="65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3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1.6</v>
      </c>
      <c r="AT429" s="37">
        <f>IF(AG429="",0,IF(ISTEXT(AG429),H429*VALUE(SUBSTITUTE(AG429,"%",""))/100,H429*AG429))-Tabela1[[#This Row],[PESO EXPEDIDO2]]</f>
        <v>0</v>
      </c>
      <c r="AU429" s="37">
        <f t="shared" si="68"/>
        <v>0</v>
      </c>
      <c r="AV429" s="37">
        <f t="shared" si="69"/>
        <v>0</v>
      </c>
      <c r="AW429" s="37"/>
    </row>
    <row r="430" spans="1:49" ht="15.75" hidden="1" customHeight="1" x14ac:dyDescent="0.25">
      <c r="A430" s="6" t="s">
        <v>4066</v>
      </c>
      <c r="B430" s="21" t="s">
        <v>3780</v>
      </c>
      <c r="C430" s="7">
        <v>4</v>
      </c>
      <c r="D430" s="39" t="s">
        <v>4069</v>
      </c>
      <c r="E430" s="7">
        <v>4315</v>
      </c>
      <c r="F430" s="7" t="s">
        <v>4067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2275</v>
      </c>
      <c r="K430" s="8" t="s">
        <v>328</v>
      </c>
      <c r="L430" s="9" t="s">
        <v>2070</v>
      </c>
      <c r="M430" s="10">
        <v>46181</v>
      </c>
      <c r="N430" s="8" t="s">
        <v>328</v>
      </c>
      <c r="O430" s="12"/>
      <c r="P430" s="13"/>
      <c r="Q430" s="14">
        <f>Tabela1[[#This Row],[QTDE/ Fabricação]]-Tabela1[[#This Row],[QTE]]</f>
        <v>-4</v>
      </c>
      <c r="R430" s="18">
        <f t="shared" si="64"/>
        <v>2.7</v>
      </c>
      <c r="S430" s="18">
        <f t="shared" si="62"/>
        <v>0</v>
      </c>
      <c r="T430" s="19">
        <f t="shared" si="66"/>
        <v>-3.6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67"/>
        <v>-4</v>
      </c>
      <c r="Z430" s="20">
        <f>Tabela1[[#This Row],[PESO TOTAL]]-Tabela1[[#This Row],[Peso Expedido]]</f>
        <v>3.6</v>
      </c>
      <c r="AA430" s="17">
        <v>0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0</v>
      </c>
      <c r="AH430" s="33"/>
      <c r="AI430" s="33" t="str">
        <f t="shared" si="65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3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3.6</v>
      </c>
      <c r="AT430" s="37">
        <f>IF(AG430="",0,IF(ISTEXT(AG430),H430*VALUE(SUBSTITUTE(AG430,"%",""))/100,H430*AG430))-Tabela1[[#This Row],[PESO EXPEDIDO2]]</f>
        <v>0</v>
      </c>
      <c r="AU430" s="37">
        <f t="shared" si="68"/>
        <v>0</v>
      </c>
      <c r="AV430" s="37">
        <f t="shared" si="69"/>
        <v>0</v>
      </c>
      <c r="AW430" s="37"/>
    </row>
    <row r="431" spans="1:49" ht="15.75" hidden="1" customHeight="1" x14ac:dyDescent="0.25">
      <c r="A431" s="6" t="s">
        <v>4066</v>
      </c>
      <c r="B431" s="21" t="s">
        <v>3985</v>
      </c>
      <c r="C431" s="7">
        <v>1</v>
      </c>
      <c r="D431" s="39" t="s">
        <v>4070</v>
      </c>
      <c r="E431" s="7">
        <v>4316</v>
      </c>
      <c r="F431" s="7" t="s">
        <v>4067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2275</v>
      </c>
      <c r="K431" s="8" t="s">
        <v>328</v>
      </c>
      <c r="L431" s="9" t="s">
        <v>2070</v>
      </c>
      <c r="M431" s="10">
        <v>46181</v>
      </c>
      <c r="N431" s="8" t="s">
        <v>328</v>
      </c>
      <c r="O431" s="12"/>
      <c r="P431" s="13"/>
      <c r="Q431" s="14">
        <f>Tabela1[[#This Row],[QTDE/ Fabricação]]-Tabela1[[#This Row],[QTE]]</f>
        <v>-1</v>
      </c>
      <c r="R431" s="18">
        <f t="shared" si="64"/>
        <v>3.3000000000000003</v>
      </c>
      <c r="S431" s="18">
        <f t="shared" si="62"/>
        <v>0</v>
      </c>
      <c r="T431" s="19">
        <f t="shared" si="66"/>
        <v>-4.4000000000000004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67"/>
        <v>-1</v>
      </c>
      <c r="Z431" s="20">
        <f>Tabela1[[#This Row],[PESO TOTAL]]-Tabela1[[#This Row],[Peso Expedido]]</f>
        <v>4.4000000000000004</v>
      </c>
      <c r="AA431" s="17">
        <v>0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0</v>
      </c>
      <c r="AH431" s="33"/>
      <c r="AI431" s="33" t="str">
        <f t="shared" si="65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3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4.4000000000000004</v>
      </c>
      <c r="AT431" s="37">
        <f>IF(AG431="",0,IF(ISTEXT(AG431),H431*VALUE(SUBSTITUTE(AG431,"%",""))/100,H431*AG431))-Tabela1[[#This Row],[PESO EXPEDIDO2]]</f>
        <v>0</v>
      </c>
      <c r="AU431" s="37">
        <f t="shared" si="68"/>
        <v>0</v>
      </c>
      <c r="AV431" s="37">
        <f t="shared" si="69"/>
        <v>0</v>
      </c>
      <c r="AW431" s="37"/>
    </row>
    <row r="432" spans="1:49" ht="15.75" hidden="1" customHeight="1" x14ac:dyDescent="0.25">
      <c r="A432" s="6" t="s">
        <v>4066</v>
      </c>
      <c r="B432" s="21" t="s">
        <v>4004</v>
      </c>
      <c r="C432" s="7">
        <v>1</v>
      </c>
      <c r="D432" s="39" t="s">
        <v>4070</v>
      </c>
      <c r="E432" s="7">
        <v>4317</v>
      </c>
      <c r="F432" s="7" t="s">
        <v>4067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2275</v>
      </c>
      <c r="K432" s="8" t="s">
        <v>328</v>
      </c>
      <c r="L432" s="9" t="s">
        <v>2070</v>
      </c>
      <c r="M432" s="10">
        <v>46181</v>
      </c>
      <c r="N432" s="8" t="s">
        <v>328</v>
      </c>
      <c r="O432" s="12"/>
      <c r="P432" s="13"/>
      <c r="Q432" s="14">
        <f>Tabela1[[#This Row],[QTDE/ Fabricação]]-Tabela1[[#This Row],[QTE]]</f>
        <v>-1</v>
      </c>
      <c r="R432" s="18">
        <f t="shared" si="64"/>
        <v>2.9249999999999998</v>
      </c>
      <c r="S432" s="18">
        <f t="shared" si="62"/>
        <v>0</v>
      </c>
      <c r="T432" s="19">
        <f t="shared" si="66"/>
        <v>-3.9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67"/>
        <v>-1</v>
      </c>
      <c r="Z432" s="20">
        <f>Tabela1[[#This Row],[PESO TOTAL]]-Tabela1[[#This Row],[Peso Expedido]]</f>
        <v>3.9</v>
      </c>
      <c r="AA432" s="17">
        <v>0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0</v>
      </c>
      <c r="AH432" s="33"/>
      <c r="AI432" s="33" t="str">
        <f t="shared" si="65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3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3.9</v>
      </c>
      <c r="AT432" s="37">
        <f>IF(AG432="",0,IF(ISTEXT(AG432),H432*VALUE(SUBSTITUTE(AG432,"%",""))/100,H432*AG432))-Tabela1[[#This Row],[PESO EXPEDIDO2]]</f>
        <v>0</v>
      </c>
      <c r="AU432" s="37">
        <f t="shared" si="68"/>
        <v>0</v>
      </c>
      <c r="AV432" s="37">
        <f t="shared" si="69"/>
        <v>0</v>
      </c>
      <c r="AW432" s="37"/>
    </row>
    <row r="433" spans="1:49" ht="15.75" hidden="1" customHeight="1" x14ac:dyDescent="0.25">
      <c r="A433" s="6" t="s">
        <v>4066</v>
      </c>
      <c r="B433" s="21" t="s">
        <v>3776</v>
      </c>
      <c r="C433" s="7">
        <v>1</v>
      </c>
      <c r="D433" s="39" t="s">
        <v>3779</v>
      </c>
      <c r="E433" s="7">
        <v>4318</v>
      </c>
      <c r="F433" s="7" t="s">
        <v>4067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2277</v>
      </c>
      <c r="K433" s="8" t="s">
        <v>328</v>
      </c>
      <c r="L433" s="9" t="s">
        <v>2070</v>
      </c>
      <c r="M433" s="10">
        <v>46181</v>
      </c>
      <c r="N433" s="8" t="s">
        <v>328</v>
      </c>
      <c r="O433" s="12"/>
      <c r="P433" s="13"/>
      <c r="Q433" s="14">
        <f>Tabela1[[#This Row],[QTDE/ Fabricação]]-Tabela1[[#This Row],[QTE]]</f>
        <v>-1</v>
      </c>
      <c r="R433" s="18">
        <f t="shared" si="64"/>
        <v>20.804999999999996</v>
      </c>
      <c r="S433" s="18">
        <f t="shared" si="62"/>
        <v>0</v>
      </c>
      <c r="T433" s="19">
        <f t="shared" si="66"/>
        <v>-43.8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67"/>
        <v>-1</v>
      </c>
      <c r="Z433" s="20">
        <f>Tabela1[[#This Row],[PESO TOTAL]]-Tabela1[[#This Row],[Peso Expedido]]</f>
        <v>43.8</v>
      </c>
      <c r="AA433" s="17">
        <v>0</v>
      </c>
      <c r="AB433" s="33"/>
      <c r="AC433" s="33">
        <v>1</v>
      </c>
      <c r="AD433" s="33">
        <v>1</v>
      </c>
      <c r="AE433" s="33">
        <v>0</v>
      </c>
      <c r="AF433" s="33">
        <v>0</v>
      </c>
      <c r="AG433" s="33">
        <v>0</v>
      </c>
      <c r="AH433" s="33"/>
      <c r="AI433" s="33" t="str">
        <f t="shared" si="65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3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68"/>
        <v>0</v>
      </c>
      <c r="AV433" s="37">
        <f t="shared" si="69"/>
        <v>0</v>
      </c>
      <c r="AW433" s="37"/>
    </row>
    <row r="434" spans="1:49" ht="15.75" hidden="1" customHeight="1" x14ac:dyDescent="0.25">
      <c r="A434" s="6" t="s">
        <v>4066</v>
      </c>
      <c r="B434" s="21" t="s">
        <v>3778</v>
      </c>
      <c r="C434" s="7">
        <v>4</v>
      </c>
      <c r="D434" s="39" t="s">
        <v>4068</v>
      </c>
      <c r="E434" s="7">
        <v>4319</v>
      </c>
      <c r="F434" s="7" t="s">
        <v>4067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2277</v>
      </c>
      <c r="K434" s="8" t="s">
        <v>328</v>
      </c>
      <c r="L434" s="9" t="s">
        <v>2070</v>
      </c>
      <c r="M434" s="10">
        <v>46181</v>
      </c>
      <c r="N434" s="8" t="s">
        <v>328</v>
      </c>
      <c r="O434" s="12"/>
      <c r="P434" s="13"/>
      <c r="Q434" s="14">
        <f>Tabela1[[#This Row],[QTDE/ Fabricação]]-Tabela1[[#This Row],[QTE]]</f>
        <v>-4</v>
      </c>
      <c r="R434" s="18">
        <f t="shared" si="64"/>
        <v>1.6</v>
      </c>
      <c r="S434" s="18">
        <f t="shared" si="62"/>
        <v>0</v>
      </c>
      <c r="T434" s="19">
        <f t="shared" si="66"/>
        <v>-1.6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67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0</v>
      </c>
      <c r="AH434" s="33"/>
      <c r="AI434" s="33" t="str">
        <f t="shared" si="65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3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1.6</v>
      </c>
      <c r="AT434" s="37">
        <f>IF(AG434="",0,IF(ISTEXT(AG434),H434*VALUE(SUBSTITUTE(AG434,"%",""))/100,H434*AG434))-Tabela1[[#This Row],[PESO EXPEDIDO2]]</f>
        <v>0</v>
      </c>
      <c r="AU434" s="37">
        <f t="shared" si="68"/>
        <v>0</v>
      </c>
      <c r="AV434" s="37">
        <f t="shared" si="69"/>
        <v>0</v>
      </c>
      <c r="AW434" s="37"/>
    </row>
    <row r="435" spans="1:49" ht="15.75" hidden="1" customHeight="1" x14ac:dyDescent="0.25">
      <c r="A435" s="6" t="s">
        <v>4066</v>
      </c>
      <c r="B435" s="21" t="s">
        <v>3780</v>
      </c>
      <c r="C435" s="7">
        <v>4</v>
      </c>
      <c r="D435" s="39" t="s">
        <v>4069</v>
      </c>
      <c r="E435" s="7">
        <v>4320</v>
      </c>
      <c r="F435" s="7" t="s">
        <v>4067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2277</v>
      </c>
      <c r="K435" s="8" t="s">
        <v>328</v>
      </c>
      <c r="L435" s="9" t="s">
        <v>2070</v>
      </c>
      <c r="M435" s="10">
        <v>46181</v>
      </c>
      <c r="N435" s="8" t="s">
        <v>328</v>
      </c>
      <c r="O435" s="12"/>
      <c r="P435" s="13"/>
      <c r="Q435" s="14">
        <f>Tabela1[[#This Row],[QTDE/ Fabricação]]-Tabela1[[#This Row],[QTE]]</f>
        <v>-4</v>
      </c>
      <c r="R435" s="18">
        <f t="shared" si="64"/>
        <v>3.6</v>
      </c>
      <c r="S435" s="18">
        <f t="shared" si="62"/>
        <v>0</v>
      </c>
      <c r="T435" s="19">
        <f t="shared" si="66"/>
        <v>-3.6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67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0</v>
      </c>
      <c r="AH435" s="33"/>
      <c r="AI435" s="33" t="str">
        <f t="shared" si="65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3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3.6</v>
      </c>
      <c r="AT435" s="37">
        <f>IF(AG435="",0,IF(ISTEXT(AG435),H435*VALUE(SUBSTITUTE(AG435,"%",""))/100,H435*AG435))-Tabela1[[#This Row],[PESO EXPEDIDO2]]</f>
        <v>0</v>
      </c>
      <c r="AU435" s="37">
        <f t="shared" si="68"/>
        <v>0</v>
      </c>
      <c r="AV435" s="37">
        <f t="shared" si="69"/>
        <v>0</v>
      </c>
      <c r="AW435" s="37"/>
    </row>
    <row r="436" spans="1:49" ht="15.75" hidden="1" customHeight="1" x14ac:dyDescent="0.25">
      <c r="A436" s="6" t="s">
        <v>4066</v>
      </c>
      <c r="B436" s="21" t="s">
        <v>3985</v>
      </c>
      <c r="C436" s="7">
        <v>1</v>
      </c>
      <c r="D436" s="39" t="s">
        <v>4070</v>
      </c>
      <c r="E436" s="7">
        <v>4321</v>
      </c>
      <c r="F436" s="7" t="s">
        <v>4067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2277</v>
      </c>
      <c r="K436" s="8" t="s">
        <v>328</v>
      </c>
      <c r="L436" s="9" t="s">
        <v>2070</v>
      </c>
      <c r="M436" s="10">
        <v>46181</v>
      </c>
      <c r="N436" s="8" t="s">
        <v>328</v>
      </c>
      <c r="O436" s="12"/>
      <c r="P436" s="13"/>
      <c r="Q436" s="14">
        <f>Tabela1[[#This Row],[QTDE/ Fabricação]]-Tabela1[[#This Row],[QTE]]</f>
        <v>-1</v>
      </c>
      <c r="R436" s="18">
        <f t="shared" si="64"/>
        <v>3.3000000000000003</v>
      </c>
      <c r="S436" s="18">
        <f t="shared" si="62"/>
        <v>0</v>
      </c>
      <c r="T436" s="19">
        <f t="shared" si="66"/>
        <v>-4.4000000000000004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67"/>
        <v>-1</v>
      </c>
      <c r="Z436" s="20">
        <f>Tabela1[[#This Row],[PESO TOTAL]]-Tabela1[[#This Row],[Peso Expedido]]</f>
        <v>4.4000000000000004</v>
      </c>
      <c r="AA436" s="17">
        <v>0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0</v>
      </c>
      <c r="AH436" s="33"/>
      <c r="AI436" s="33" t="str">
        <f t="shared" si="65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3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4.4000000000000004</v>
      </c>
      <c r="AT436" s="37">
        <f>IF(AG436="",0,IF(ISTEXT(AG436),H436*VALUE(SUBSTITUTE(AG436,"%",""))/100,H436*AG436))-Tabela1[[#This Row],[PESO EXPEDIDO2]]</f>
        <v>0</v>
      </c>
      <c r="AU436" s="37">
        <f t="shared" si="68"/>
        <v>0</v>
      </c>
      <c r="AV436" s="37">
        <f t="shared" si="69"/>
        <v>0</v>
      </c>
      <c r="AW436" s="37"/>
    </row>
    <row r="437" spans="1:49" ht="15.75" hidden="1" customHeight="1" x14ac:dyDescent="0.25">
      <c r="A437" s="6" t="s">
        <v>4066</v>
      </c>
      <c r="B437" s="21" t="s">
        <v>4004</v>
      </c>
      <c r="C437" s="7">
        <v>1</v>
      </c>
      <c r="D437" s="39" t="s">
        <v>4070</v>
      </c>
      <c r="E437" s="7">
        <v>4322</v>
      </c>
      <c r="F437" s="7" t="s">
        <v>4067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2277</v>
      </c>
      <c r="K437" s="8" t="s">
        <v>328</v>
      </c>
      <c r="L437" s="9" t="s">
        <v>2070</v>
      </c>
      <c r="M437" s="10">
        <v>46181</v>
      </c>
      <c r="N437" s="8" t="s">
        <v>328</v>
      </c>
      <c r="O437" s="12"/>
      <c r="P437" s="13"/>
      <c r="Q437" s="14">
        <f>Tabela1[[#This Row],[QTDE/ Fabricação]]-Tabela1[[#This Row],[QTE]]</f>
        <v>-1</v>
      </c>
      <c r="R437" s="18">
        <f t="shared" si="64"/>
        <v>2.9249999999999998</v>
      </c>
      <c r="S437" s="18">
        <f t="shared" si="62"/>
        <v>0</v>
      </c>
      <c r="T437" s="19">
        <f t="shared" si="66"/>
        <v>-3.9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67"/>
        <v>-1</v>
      </c>
      <c r="Z437" s="20">
        <f>Tabela1[[#This Row],[PESO TOTAL]]-Tabela1[[#This Row],[Peso Expedido]]</f>
        <v>3.9</v>
      </c>
      <c r="AA437" s="17">
        <v>0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0</v>
      </c>
      <c r="AH437" s="33"/>
      <c r="AI437" s="33" t="str">
        <f t="shared" si="65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3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3.9</v>
      </c>
      <c r="AT437" s="37">
        <f>IF(AG437="",0,IF(ISTEXT(AG437),H437*VALUE(SUBSTITUTE(AG437,"%",""))/100,H437*AG437))-Tabela1[[#This Row],[PESO EXPEDIDO2]]</f>
        <v>0</v>
      </c>
      <c r="AU437" s="37">
        <f t="shared" si="68"/>
        <v>0</v>
      </c>
      <c r="AV437" s="37">
        <f t="shared" si="69"/>
        <v>0</v>
      </c>
      <c r="AW437" s="37"/>
    </row>
    <row r="438" spans="1:49" ht="15.75" hidden="1" customHeight="1" x14ac:dyDescent="0.25">
      <c r="A438" s="6" t="s">
        <v>3866</v>
      </c>
      <c r="B438" s="21" t="s">
        <v>4071</v>
      </c>
      <c r="C438" s="7">
        <v>2</v>
      </c>
      <c r="D438" s="39" t="s">
        <v>4072</v>
      </c>
      <c r="E438" s="7">
        <v>4323</v>
      </c>
      <c r="F438" s="7" t="s">
        <v>3791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3792</v>
      </c>
      <c r="K438" s="8" t="s">
        <v>328</v>
      </c>
      <c r="L438" s="9" t="s">
        <v>2070</v>
      </c>
      <c r="M438" s="10">
        <v>46192</v>
      </c>
      <c r="N438" s="8" t="s">
        <v>328</v>
      </c>
      <c r="O438" s="12"/>
      <c r="P438" s="13"/>
      <c r="Q438" s="14">
        <f>Tabela1[[#This Row],[QTDE/ Fabricação]]-Tabela1[[#This Row],[QTE]]</f>
        <v>-2</v>
      </c>
      <c r="R438" s="18">
        <f t="shared" si="64"/>
        <v>6.4960000000000004</v>
      </c>
      <c r="S438" s="18">
        <f t="shared" ref="S438:S509" si="70">IFERROR(H438*AG438,"")</f>
        <v>0</v>
      </c>
      <c r="T438" s="19">
        <f t="shared" si="66"/>
        <v>-8.9600000000000009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67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0</v>
      </c>
      <c r="AF438" s="33">
        <v>0</v>
      </c>
      <c r="AG438" s="33">
        <v>0</v>
      </c>
      <c r="AH438" s="33"/>
      <c r="AI438" s="33" t="str">
        <f t="shared" si="65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3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68"/>
        <v>0</v>
      </c>
      <c r="AV438" s="37">
        <f t="shared" si="69"/>
        <v>0</v>
      </c>
      <c r="AW438" s="37"/>
    </row>
    <row r="439" spans="1:49" ht="15.75" hidden="1" customHeight="1" x14ac:dyDescent="0.25">
      <c r="A439" s="6" t="s">
        <v>3866</v>
      </c>
      <c r="B439" s="21" t="s">
        <v>4073</v>
      </c>
      <c r="C439" s="7">
        <v>2</v>
      </c>
      <c r="D439" s="39" t="s">
        <v>4074</v>
      </c>
      <c r="E439" s="7">
        <v>4324</v>
      </c>
      <c r="F439" s="7" t="s">
        <v>3791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3792</v>
      </c>
      <c r="K439" s="8" t="s">
        <v>328</v>
      </c>
      <c r="L439" s="9" t="s">
        <v>2070</v>
      </c>
      <c r="M439" s="10">
        <v>46192</v>
      </c>
      <c r="N439" s="8" t="s">
        <v>328</v>
      </c>
      <c r="O439" s="12"/>
      <c r="P439" s="13"/>
      <c r="Q439" s="14">
        <f>Tabela1[[#This Row],[QTDE/ Fabricação]]-Tabela1[[#This Row],[QTE]]</f>
        <v>-2</v>
      </c>
      <c r="R439" s="18">
        <f t="shared" si="64"/>
        <v>85.106589999999997</v>
      </c>
      <c r="S439" s="18">
        <f t="shared" si="70"/>
        <v>0</v>
      </c>
      <c r="T439" s="19">
        <f t="shared" si="66"/>
        <v>-117.3884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67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0</v>
      </c>
      <c r="AF439" s="33">
        <v>0</v>
      </c>
      <c r="AG439" s="33">
        <v>0</v>
      </c>
      <c r="AH439" s="33"/>
      <c r="AI439" s="33" t="str">
        <f t="shared" si="65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3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68"/>
        <v>0</v>
      </c>
      <c r="AV439" s="37">
        <f t="shared" si="69"/>
        <v>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4301</v>
      </c>
      <c r="K440" s="8" t="s">
        <v>23</v>
      </c>
      <c r="L440" s="9" t="s">
        <v>4302</v>
      </c>
      <c r="M440" s="10">
        <v>46212</v>
      </c>
      <c r="N440" s="8" t="s">
        <v>39</v>
      </c>
      <c r="O440" s="12"/>
      <c r="P440" s="13"/>
      <c r="Q440" s="14">
        <f>Tabela1[[#This Row],[QTDE/ Fabricação]]-Tabela1[[#This Row],[QTE]]</f>
        <v>-6</v>
      </c>
      <c r="R440" s="18">
        <f t="shared" ref="R440" si="71">IFERROR(H440*((AA440*0.25)+(AC440*0.25)+(AD440*0.225)+(AE440*0.225)+(AF440*0.05)),"")</f>
        <v>43.5</v>
      </c>
      <c r="S440" s="18">
        <f t="shared" si="70"/>
        <v>0</v>
      </c>
      <c r="T440" s="19">
        <f t="shared" ref="T440" si="72">IFERROR(S440-H440,"")</f>
        <v>-60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3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/>
      <c r="AF440" s="33"/>
      <c r="AG440" s="33"/>
      <c r="AH440" s="33"/>
      <c r="AI440" s="33" t="str">
        <f t="shared" si="65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4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75">IF(AH440="",0,IF(ISTEXT(AH440),H440*VALUE(SUBSTITUTE(AH440,"%",""))/100,H440*AH440))</f>
        <v>0</v>
      </c>
      <c r="AV440" s="37">
        <f t="shared" ref="AV440" si="76">IF(AG440="",0,IF(ISTEXT(AG440),H440*VALUE(SUBSTITUTE(AG440,"%",""))/100,H440*AG440))</f>
        <v>0</v>
      </c>
      <c r="AW440" s="37"/>
    </row>
    <row r="441" spans="1:49" ht="15.75" hidden="1" customHeight="1" x14ac:dyDescent="0.25">
      <c r="A441" s="6" t="s">
        <v>81</v>
      </c>
      <c r="B441" s="21"/>
      <c r="C441" s="7">
        <v>6</v>
      </c>
      <c r="D441" s="39" t="s">
        <v>4303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4301</v>
      </c>
      <c r="K441" s="8" t="s">
        <v>23</v>
      </c>
      <c r="L441" s="9" t="s">
        <v>4302</v>
      </c>
      <c r="M441" s="10">
        <v>46212</v>
      </c>
      <c r="N441" s="8" t="s">
        <v>39</v>
      </c>
      <c r="O441" s="12"/>
      <c r="P441" s="13"/>
      <c r="Q441" s="14">
        <f>Tabela1[[#This Row],[QTDE/ Fabricação]]-Tabela1[[#This Row],[QTE]]</f>
        <v>-6</v>
      </c>
      <c r="R441" s="18">
        <f t="shared" ref="R441:R512" si="77">IFERROR(H441*((AA441*0.25)+(AC441*0.25)+(AD441*0.225)+(AE441*0.225)+(AF441*0.05)),"")</f>
        <v>54.375</v>
      </c>
      <c r="S441" s="18">
        <f t="shared" si="70"/>
        <v>0</v>
      </c>
      <c r="T441" s="19">
        <f t="shared" ref="T441:T512" si="78">IFERROR(S441-H441,"")</f>
        <v>-75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79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/>
      <c r="AF441" s="33"/>
      <c r="AG441" s="33"/>
      <c r="AH441" s="33"/>
      <c r="AI441" s="33" t="str">
        <f t="shared" si="65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0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2" si="81">IF(AH441="",0,IF(ISTEXT(AH441),H441*VALUE(SUBSTITUTE(AH441,"%",""))/100,H441*AH441))</f>
        <v>0</v>
      </c>
      <c r="AV441" s="37">
        <f t="shared" ref="AV441:AV512" si="82">IF(AG441="",0,IF(ISTEXT(AG441),H441*VALUE(SUBSTITUTE(AG441,"%",""))/100,H441*AG441))</f>
        <v>0</v>
      </c>
      <c r="AW441" s="37"/>
    </row>
    <row r="442" spans="1:49" ht="15.75" hidden="1" customHeight="1" x14ac:dyDescent="0.25">
      <c r="A442" s="6" t="s">
        <v>4305</v>
      </c>
      <c r="B442" s="21" t="s">
        <v>4306</v>
      </c>
      <c r="C442" s="7">
        <v>4</v>
      </c>
      <c r="D442" s="39" t="s">
        <v>4307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4308</v>
      </c>
      <c r="K442" s="8" t="s">
        <v>32</v>
      </c>
      <c r="L442" s="9" t="s">
        <v>4309</v>
      </c>
      <c r="M442" s="10">
        <v>46212</v>
      </c>
      <c r="N442" s="8" t="s">
        <v>39</v>
      </c>
      <c r="O442" s="12"/>
      <c r="P442" s="13"/>
      <c r="Q442" s="14">
        <f>Tabela1[[#This Row],[QTDE/ Fabricação]]-Tabela1[[#This Row],[QTE]]</f>
        <v>-4</v>
      </c>
      <c r="R442" s="18">
        <f t="shared" si="77"/>
        <v>0</v>
      </c>
      <c r="S442" s="18">
        <f t="shared" si="70"/>
        <v>0</v>
      </c>
      <c r="T442" s="19">
        <f t="shared" si="78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79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5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0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1"/>
        <v>0</v>
      </c>
      <c r="AV442" s="37">
        <f t="shared" si="82"/>
        <v>0</v>
      </c>
      <c r="AW442" s="37"/>
    </row>
    <row r="443" spans="1:49" ht="15.75" hidden="1" customHeight="1" x14ac:dyDescent="0.25">
      <c r="A443" s="6" t="s">
        <v>4313</v>
      </c>
      <c r="B443" s="21" t="s">
        <v>4314</v>
      </c>
      <c r="C443" s="7">
        <v>8</v>
      </c>
      <c r="D443" s="39" t="s">
        <v>4316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4304</v>
      </c>
      <c r="J443" s="8" t="s">
        <v>3046</v>
      </c>
      <c r="K443" s="8" t="s">
        <v>4325</v>
      </c>
      <c r="L443" s="9" t="s">
        <v>2985</v>
      </c>
      <c r="M443" s="10">
        <v>46211</v>
      </c>
      <c r="N443" s="8" t="s">
        <v>39</v>
      </c>
      <c r="O443" s="12"/>
      <c r="P443" s="13"/>
      <c r="Q443" s="14">
        <f>Tabela1[[#This Row],[QTDE/ Fabricação]]-Tabela1[[#This Row],[QTE]]</f>
        <v>-8</v>
      </c>
      <c r="R443" s="18">
        <f t="shared" si="77"/>
        <v>0</v>
      </c>
      <c r="S443" s="18">
        <f t="shared" si="70"/>
        <v>0</v>
      </c>
      <c r="T443" s="19">
        <f t="shared" si="78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79"/>
        <v>-8</v>
      </c>
      <c r="Z443" s="20">
        <f>Tabela1[[#This Row],[PESO TOTAL]]-Tabela1[[#This Row],[Peso Expedido]]</f>
        <v>9.6</v>
      </c>
      <c r="AA443" s="17"/>
      <c r="AB443" s="33"/>
      <c r="AC443" s="33"/>
      <c r="AD443" s="33"/>
      <c r="AE443" s="33"/>
      <c r="AF443" s="33"/>
      <c r="AG443" s="33"/>
      <c r="AH443" s="33"/>
      <c r="AI443" s="33" t="str">
        <f t="shared" si="65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0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1"/>
        <v>0</v>
      </c>
      <c r="AV443" s="37">
        <f t="shared" si="82"/>
        <v>0</v>
      </c>
      <c r="AW443" s="37"/>
    </row>
    <row r="444" spans="1:49" ht="15.75" hidden="1" customHeight="1" x14ac:dyDescent="0.25">
      <c r="A444" s="6" t="s">
        <v>4313</v>
      </c>
      <c r="B444" s="21" t="s">
        <v>4314</v>
      </c>
      <c r="C444" s="7">
        <v>8</v>
      </c>
      <c r="D444" s="39" t="s">
        <v>4315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4304</v>
      </c>
      <c r="J444" s="8" t="s">
        <v>3046</v>
      </c>
      <c r="K444" s="8" t="s">
        <v>4325</v>
      </c>
      <c r="L444" s="9" t="s">
        <v>2985</v>
      </c>
      <c r="M444" s="10">
        <v>46211</v>
      </c>
      <c r="N444" s="8" t="s">
        <v>39</v>
      </c>
      <c r="O444" s="12"/>
      <c r="P444" s="13"/>
      <c r="Q444" s="14">
        <f>Tabela1[[#This Row],[QTDE/ Fabricação]]-Tabela1[[#This Row],[QTE]]</f>
        <v>-8</v>
      </c>
      <c r="R444" s="18">
        <f t="shared" si="77"/>
        <v>0</v>
      </c>
      <c r="S444" s="18">
        <f t="shared" si="70"/>
        <v>0</v>
      </c>
      <c r="T444" s="19">
        <f t="shared" si="78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79"/>
        <v>-8</v>
      </c>
      <c r="Z444" s="20">
        <f>Tabela1[[#This Row],[PESO TOTAL]]-Tabela1[[#This Row],[Peso Expedido]]</f>
        <v>91.2</v>
      </c>
      <c r="AA444" s="17"/>
      <c r="AB444" s="33"/>
      <c r="AC444" s="33"/>
      <c r="AD444" s="33"/>
      <c r="AE444" s="33"/>
      <c r="AF444" s="33"/>
      <c r="AG444" s="33"/>
      <c r="AH444" s="33"/>
      <c r="AI444" s="33" t="str">
        <f t="shared" si="65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0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1"/>
        <v>0</v>
      </c>
      <c r="AV444" s="37">
        <f t="shared" si="82"/>
        <v>0</v>
      </c>
      <c r="AW444" s="37"/>
    </row>
    <row r="445" spans="1:49" ht="15.75" hidden="1" customHeight="1" x14ac:dyDescent="0.25">
      <c r="A445" s="6" t="s">
        <v>4313</v>
      </c>
      <c r="B445" s="21" t="s">
        <v>4314</v>
      </c>
      <c r="C445" s="7">
        <v>4</v>
      </c>
      <c r="D445" s="39" t="s">
        <v>4317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4304</v>
      </c>
      <c r="J445" s="8" t="s">
        <v>3046</v>
      </c>
      <c r="K445" s="8" t="s">
        <v>4325</v>
      </c>
      <c r="L445" s="9" t="s">
        <v>2985</v>
      </c>
      <c r="M445" s="10">
        <v>46211</v>
      </c>
      <c r="N445" s="8" t="s">
        <v>39</v>
      </c>
      <c r="O445" s="12"/>
      <c r="P445" s="13"/>
      <c r="Q445" s="14">
        <f>Tabela1[[#This Row],[QTDE/ Fabricação]]-Tabela1[[#This Row],[QTE]]</f>
        <v>-4</v>
      </c>
      <c r="R445" s="18">
        <f t="shared" si="77"/>
        <v>0</v>
      </c>
      <c r="S445" s="18">
        <f t="shared" si="70"/>
        <v>0</v>
      </c>
      <c r="T445" s="19">
        <f t="shared" si="78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79"/>
        <v>-4</v>
      </c>
      <c r="Z445" s="20">
        <f>Tabela1[[#This Row],[PESO TOTAL]]-Tabela1[[#This Row],[Peso Expedido]]</f>
        <v>205.2</v>
      </c>
      <c r="AA445" s="17"/>
      <c r="AB445" s="33"/>
      <c r="AC445" s="33"/>
      <c r="AD445" s="33"/>
      <c r="AE445" s="33"/>
      <c r="AF445" s="33"/>
      <c r="AG445" s="33"/>
      <c r="AH445" s="33"/>
      <c r="AI445" s="33" t="str">
        <f t="shared" si="65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0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1"/>
        <v>0</v>
      </c>
      <c r="AV445" s="37">
        <f t="shared" si="82"/>
        <v>0</v>
      </c>
      <c r="AW445" s="37"/>
    </row>
    <row r="446" spans="1:49" ht="15.75" hidden="1" customHeight="1" x14ac:dyDescent="0.25">
      <c r="A446" s="6" t="s">
        <v>4313</v>
      </c>
      <c r="B446" s="21" t="s">
        <v>4314</v>
      </c>
      <c r="C446" s="7">
        <v>8</v>
      </c>
      <c r="D446" s="39" t="s">
        <v>4318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4304</v>
      </c>
      <c r="J446" s="8" t="s">
        <v>3046</v>
      </c>
      <c r="K446" s="8" t="s">
        <v>4325</v>
      </c>
      <c r="L446" s="9" t="s">
        <v>2985</v>
      </c>
      <c r="M446" s="10">
        <v>46211</v>
      </c>
      <c r="N446" s="8" t="s">
        <v>39</v>
      </c>
      <c r="O446" s="12"/>
      <c r="P446" s="13"/>
      <c r="Q446" s="14">
        <f>Tabela1[[#This Row],[QTDE/ Fabricação]]-Tabela1[[#This Row],[QTE]]</f>
        <v>-8</v>
      </c>
      <c r="R446" s="18">
        <f t="shared" si="77"/>
        <v>0</v>
      </c>
      <c r="S446" s="18">
        <f t="shared" si="70"/>
        <v>0</v>
      </c>
      <c r="T446" s="19">
        <f t="shared" si="78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79"/>
        <v>-8</v>
      </c>
      <c r="Z446" s="20">
        <f>Tabela1[[#This Row],[PESO TOTAL]]-Tabela1[[#This Row],[Peso Expedido]]</f>
        <v>38.4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5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0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1"/>
        <v>0</v>
      </c>
      <c r="AV446" s="37">
        <f t="shared" si="82"/>
        <v>0</v>
      </c>
      <c r="AW446" s="37"/>
    </row>
    <row r="447" spans="1:49" ht="15.75" hidden="1" customHeight="1" x14ac:dyDescent="0.25">
      <c r="A447" s="6" t="s">
        <v>4313</v>
      </c>
      <c r="B447" s="21" t="s">
        <v>4314</v>
      </c>
      <c r="C447" s="7">
        <v>4</v>
      </c>
      <c r="D447" s="39" t="s">
        <v>4319</v>
      </c>
      <c r="E447" s="7">
        <v>4332</v>
      </c>
      <c r="F447" s="7">
        <v>32</v>
      </c>
      <c r="G447" s="23">
        <v>6.7</v>
      </c>
      <c r="H447" s="34">
        <f>Tabela1[[#This Row],[PESO UNI]]*Tabela1[[#This Row],[QTE]]</f>
        <v>26.8</v>
      </c>
      <c r="I447" s="7" t="s">
        <v>4304</v>
      </c>
      <c r="J447" s="8" t="s">
        <v>3046</v>
      </c>
      <c r="K447" s="8" t="s">
        <v>4325</v>
      </c>
      <c r="L447" s="9" t="s">
        <v>2985</v>
      </c>
      <c r="M447" s="10">
        <v>46211</v>
      </c>
      <c r="N447" s="8" t="s">
        <v>39</v>
      </c>
      <c r="O447" s="12"/>
      <c r="P447" s="13"/>
      <c r="Q447" s="14">
        <f>Tabela1[[#This Row],[QTDE/ Fabricação]]-Tabela1[[#This Row],[QTE]]</f>
        <v>-4</v>
      </c>
      <c r="R447" s="18">
        <f t="shared" si="77"/>
        <v>0</v>
      </c>
      <c r="S447" s="18">
        <f t="shared" si="70"/>
        <v>0</v>
      </c>
      <c r="T447" s="19">
        <f t="shared" si="78"/>
        <v>-26.8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79"/>
        <v>-4</v>
      </c>
      <c r="Z447" s="20">
        <f>Tabela1[[#This Row],[PESO TOTAL]]-Tabela1[[#This Row],[Peso Expedido]]</f>
        <v>26.8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5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0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1"/>
        <v>0</v>
      </c>
      <c r="AV447" s="37">
        <f t="shared" si="82"/>
        <v>0</v>
      </c>
      <c r="AW447" s="37"/>
    </row>
    <row r="448" spans="1:49" ht="15.75" hidden="1" customHeight="1" x14ac:dyDescent="0.25">
      <c r="A448" s="6" t="s">
        <v>4313</v>
      </c>
      <c r="B448" s="21" t="s">
        <v>4314</v>
      </c>
      <c r="C448" s="7">
        <v>24</v>
      </c>
      <c r="D448" s="39" t="s">
        <v>4320</v>
      </c>
      <c r="E448" s="7">
        <v>4333</v>
      </c>
      <c r="F448" s="7">
        <v>32</v>
      </c>
      <c r="G448" s="23">
        <v>0.8</v>
      </c>
      <c r="H448" s="34">
        <f>Tabela1[[#This Row],[PESO UNI]]*Tabela1[[#This Row],[QTE]]</f>
        <v>19.200000000000003</v>
      </c>
      <c r="I448" s="7" t="s">
        <v>4304</v>
      </c>
      <c r="J448" s="8" t="s">
        <v>3046</v>
      </c>
      <c r="K448" s="8" t="s">
        <v>4325</v>
      </c>
      <c r="L448" s="9" t="s">
        <v>2985</v>
      </c>
      <c r="M448" s="10">
        <v>46211</v>
      </c>
      <c r="N448" s="8" t="s">
        <v>39</v>
      </c>
      <c r="O448" s="12"/>
      <c r="P448" s="13"/>
      <c r="Q448" s="14">
        <f>Tabela1[[#This Row],[QTDE/ Fabricação]]-Tabela1[[#This Row],[QTE]]</f>
        <v>-24</v>
      </c>
      <c r="R448" s="18">
        <f t="shared" si="77"/>
        <v>0</v>
      </c>
      <c r="S448" s="18">
        <f t="shared" si="70"/>
        <v>0</v>
      </c>
      <c r="T448" s="19">
        <f t="shared" si="78"/>
        <v>-19.200000000000003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79"/>
        <v>-24</v>
      </c>
      <c r="Z448" s="20">
        <f>Tabela1[[#This Row],[PESO TOTAL]]-Tabela1[[#This Row],[Peso Expedido]]</f>
        <v>19.200000000000003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5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0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1"/>
        <v>0</v>
      </c>
      <c r="AV448" s="37">
        <f t="shared" si="82"/>
        <v>0</v>
      </c>
      <c r="AW448" s="37"/>
    </row>
    <row r="449" spans="1:49" ht="15.75" hidden="1" customHeight="1" x14ac:dyDescent="0.25">
      <c r="A449" s="6" t="s">
        <v>4313</v>
      </c>
      <c r="B449" s="21" t="s">
        <v>4314</v>
      </c>
      <c r="C449" s="7">
        <v>1</v>
      </c>
      <c r="D449" s="39" t="s">
        <v>4321</v>
      </c>
      <c r="E449" s="7">
        <v>4334</v>
      </c>
      <c r="F449" s="7">
        <v>32</v>
      </c>
      <c r="G449" s="23">
        <v>26.3</v>
      </c>
      <c r="H449" s="34">
        <f>Tabela1[[#This Row],[PESO UNI]]*Tabela1[[#This Row],[QTE]]</f>
        <v>26.3</v>
      </c>
      <c r="I449" s="7" t="s">
        <v>4304</v>
      </c>
      <c r="J449" s="8" t="s">
        <v>3046</v>
      </c>
      <c r="K449" s="8" t="s">
        <v>4325</v>
      </c>
      <c r="L449" s="9" t="s">
        <v>2985</v>
      </c>
      <c r="M449" s="10">
        <v>46211</v>
      </c>
      <c r="N449" s="8" t="s">
        <v>39</v>
      </c>
      <c r="O449" s="12"/>
      <c r="P449" s="13"/>
      <c r="Q449" s="14">
        <f>Tabela1[[#This Row],[QTDE/ Fabricação]]-Tabela1[[#This Row],[QTE]]</f>
        <v>-1</v>
      </c>
      <c r="R449" s="18">
        <f t="shared" si="77"/>
        <v>0</v>
      </c>
      <c r="S449" s="18">
        <f t="shared" si="70"/>
        <v>0</v>
      </c>
      <c r="T449" s="19">
        <f t="shared" si="78"/>
        <v>-26.3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79"/>
        <v>-1</v>
      </c>
      <c r="Z449" s="20">
        <f>Tabela1[[#This Row],[PESO TOTAL]]-Tabela1[[#This Row],[Peso Expedido]]</f>
        <v>26.3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5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0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1"/>
        <v>0</v>
      </c>
      <c r="AV449" s="37">
        <f t="shared" si="82"/>
        <v>0</v>
      </c>
      <c r="AW449" s="37"/>
    </row>
    <row r="450" spans="1:49" ht="15.75" hidden="1" customHeight="1" x14ac:dyDescent="0.25">
      <c r="A450" s="6" t="s">
        <v>4313</v>
      </c>
      <c r="B450" s="21" t="s">
        <v>4314</v>
      </c>
      <c r="C450" s="7">
        <v>1</v>
      </c>
      <c r="D450" s="39" t="s">
        <v>4322</v>
      </c>
      <c r="E450" s="7">
        <v>4335</v>
      </c>
      <c r="F450" s="7">
        <v>32</v>
      </c>
      <c r="G450" s="23">
        <v>2.6</v>
      </c>
      <c r="H450" s="34">
        <f>Tabela1[[#This Row],[PESO UNI]]*Tabela1[[#This Row],[QTE]]</f>
        <v>2.6</v>
      </c>
      <c r="I450" s="7" t="s">
        <v>4304</v>
      </c>
      <c r="J450" s="8" t="s">
        <v>3046</v>
      </c>
      <c r="K450" s="8" t="s">
        <v>4325</v>
      </c>
      <c r="L450" s="9" t="s">
        <v>2985</v>
      </c>
      <c r="M450" s="10">
        <v>46211</v>
      </c>
      <c r="N450" s="8" t="s">
        <v>39</v>
      </c>
      <c r="O450" s="12"/>
      <c r="P450" s="13"/>
      <c r="Q450" s="14">
        <f>Tabela1[[#This Row],[QTDE/ Fabricação]]-Tabela1[[#This Row],[QTE]]</f>
        <v>-1</v>
      </c>
      <c r="R450" s="18">
        <f t="shared" si="77"/>
        <v>0</v>
      </c>
      <c r="S450" s="18">
        <f t="shared" si="70"/>
        <v>0</v>
      </c>
      <c r="T450" s="19">
        <f t="shared" si="78"/>
        <v>-2.6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79"/>
        <v>-1</v>
      </c>
      <c r="Z450" s="20">
        <f>Tabela1[[#This Row],[PESO TOTAL]]-Tabela1[[#This Row],[Peso Expedido]]</f>
        <v>2.6</v>
      </c>
      <c r="AA450" s="17"/>
      <c r="AB450" s="33"/>
      <c r="AC450" s="33"/>
      <c r="AD450" s="33"/>
      <c r="AE450" s="33"/>
      <c r="AF450" s="33"/>
      <c r="AG450" s="33"/>
      <c r="AH450" s="33"/>
      <c r="AI450" s="33" t="str">
        <f t="shared" si="65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0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 t="shared" si="81"/>
        <v>0</v>
      </c>
      <c r="AV450" s="37">
        <f t="shared" si="82"/>
        <v>0</v>
      </c>
      <c r="AW450" s="37"/>
    </row>
    <row r="451" spans="1:49" ht="15.75" hidden="1" customHeight="1" x14ac:dyDescent="0.25">
      <c r="A451" s="6" t="s">
        <v>4313</v>
      </c>
      <c r="B451" s="21" t="s">
        <v>4314</v>
      </c>
      <c r="C451" s="7">
        <v>1</v>
      </c>
      <c r="D451" s="39" t="s">
        <v>4323</v>
      </c>
      <c r="E451" s="7">
        <v>4336</v>
      </c>
      <c r="F451" s="7">
        <v>32</v>
      </c>
      <c r="G451" s="23">
        <v>3.1</v>
      </c>
      <c r="H451" s="34">
        <f>Tabela1[[#This Row],[PESO UNI]]*Tabela1[[#This Row],[QTE]]</f>
        <v>3.1</v>
      </c>
      <c r="I451" s="7" t="s">
        <v>4304</v>
      </c>
      <c r="J451" s="8" t="s">
        <v>3046</v>
      </c>
      <c r="K451" s="8" t="s">
        <v>4325</v>
      </c>
      <c r="L451" s="9" t="s">
        <v>2985</v>
      </c>
      <c r="M451" s="10">
        <v>46211</v>
      </c>
      <c r="N451" s="8" t="s">
        <v>39</v>
      </c>
      <c r="O451" s="12"/>
      <c r="P451" s="13"/>
      <c r="Q451" s="14">
        <f>Tabela1[[#This Row],[QTDE/ Fabricação]]-Tabela1[[#This Row],[QTE]]</f>
        <v>-1</v>
      </c>
      <c r="R451" s="18">
        <f t="shared" si="77"/>
        <v>0</v>
      </c>
      <c r="S451" s="18">
        <f>IFERROR(H451*AG451,"")</f>
        <v>0</v>
      </c>
      <c r="T451" s="19">
        <f>IFERROR(S451-H451,"")</f>
        <v>-3.1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0">
        <f>Tabela1[[#This Row],[PESO TOTAL]]-Tabela1[[#This Row],[Peso Expedido]]</f>
        <v>3.1</v>
      </c>
      <c r="AA451" s="17"/>
      <c r="AB451" s="33"/>
      <c r="AC451" s="33"/>
      <c r="AD451" s="33"/>
      <c r="AE451" s="33"/>
      <c r="AF451" s="33"/>
      <c r="AG451" s="33"/>
      <c r="AH451" s="33"/>
      <c r="AI451" s="33" t="str">
        <f t="shared" si="65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2" t="str">
        <f>Tabela1[[#This Row],[PRODUTO]]&amp;Tabela1[[#This Row],[TAG]]</f>
        <v>ESTRUTURA 14-CV-0001</v>
      </c>
      <c r="AR451" s="24" t="str">
        <f>Tabela1[[#This Row],[PEDIDO]]&amp;Tabela1[[#This Row],[PRODUTO]]</f>
        <v xml:space="preserve">P-198ESTRUTURA </v>
      </c>
      <c r="AS451" s="37">
        <f>IF(AF451="",0,IF(ISTEXT(AF451),H451*VALUE(SUBSTITUTE(AF451,"%",""))/100,H451*AF451))-Tabela1[[#This Row],[PRONTO ACABADO2]]</f>
        <v>0</v>
      </c>
      <c r="AT451" s="37">
        <f>IF(AG451="",0,IF(ISTEXT(AG451),H451*VALUE(SUBSTITUTE(AG451,"%",""))/100,H451*AG451))-Tabela1[[#This Row],[PESO EXPEDIDO2]]</f>
        <v>0</v>
      </c>
      <c r="AU451" s="37">
        <f>IF(AH451="",0,IF(ISTEXT(AH451),H451*VALUE(SUBSTITUTE(AH451,"%",""))/100,H451*AH451))</f>
        <v>0</v>
      </c>
      <c r="AV451" s="37">
        <f>IF(AG451="",0,IF(ISTEXT(AG451),H451*VALUE(SUBSTITUTE(AG451,"%",""))/100,H451*AG451))</f>
        <v>0</v>
      </c>
      <c r="AW451" s="37"/>
    </row>
    <row r="452" spans="1:49" ht="15.75" hidden="1" customHeight="1" x14ac:dyDescent="0.25">
      <c r="A452" s="6" t="s">
        <v>4313</v>
      </c>
      <c r="B452" s="21" t="s">
        <v>4314</v>
      </c>
      <c r="C452" s="7">
        <v>2</v>
      </c>
      <c r="D452" s="39" t="s">
        <v>4324</v>
      </c>
      <c r="E452" s="7">
        <v>4337</v>
      </c>
      <c r="F452" s="7">
        <v>32</v>
      </c>
      <c r="G452" s="23">
        <v>1.7</v>
      </c>
      <c r="H452" s="34">
        <f>Tabela1[[#This Row],[PESO UNI]]*Tabela1[[#This Row],[QTE]]</f>
        <v>3.4</v>
      </c>
      <c r="I452" s="7" t="s">
        <v>4304</v>
      </c>
      <c r="J452" s="8" t="s">
        <v>3046</v>
      </c>
      <c r="K452" s="8" t="s">
        <v>4325</v>
      </c>
      <c r="L452" s="9" t="s">
        <v>2985</v>
      </c>
      <c r="M452" s="10">
        <v>46211</v>
      </c>
      <c r="N452" s="8" t="s">
        <v>39</v>
      </c>
      <c r="O452" s="12"/>
      <c r="P452" s="13"/>
      <c r="Q452" s="14">
        <f>Tabela1[[#This Row],[QTDE/ Fabricação]]-Tabela1[[#This Row],[QTE]]</f>
        <v>-2</v>
      </c>
      <c r="R452" s="18">
        <f t="shared" si="77"/>
        <v>0</v>
      </c>
      <c r="S452" s="18">
        <f>IFERROR(H452*AG452,"")</f>
        <v>0</v>
      </c>
      <c r="T452" s="19">
        <f>IFERROR(S452-H452,"")</f>
        <v>-3.4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0">
        <f>Tabela1[[#This Row],[PESO TOTAL]]-Tabela1[[#This Row],[Peso Expedido]]</f>
        <v>3.4</v>
      </c>
      <c r="AA452" s="17"/>
      <c r="AB452" s="33"/>
      <c r="AC452" s="33"/>
      <c r="AD452" s="33"/>
      <c r="AE452" s="33"/>
      <c r="AF452" s="33"/>
      <c r="AG452" s="33"/>
      <c r="AH452" s="33"/>
      <c r="AI452" s="33" t="str">
        <f t="shared" si="65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2" t="str">
        <f>Tabela1[[#This Row],[PRODUTO]]&amp;Tabela1[[#This Row],[TAG]]</f>
        <v>ESTRUTURA 14-CV-0001</v>
      </c>
      <c r="AR452" s="24" t="str">
        <f>Tabela1[[#This Row],[PEDIDO]]&amp;Tabela1[[#This Row],[PRODUTO]]</f>
        <v xml:space="preserve">P-198ESTRUTURA </v>
      </c>
      <c r="AS452" s="37">
        <f>IF(AF452="",0,IF(ISTEXT(AF452),H452*VALUE(SUBSTITUTE(AF452,"%",""))/100,H452*AF452))-Tabela1[[#This Row],[PRONTO ACABADO2]]</f>
        <v>0</v>
      </c>
      <c r="AT452" s="37">
        <f>IF(AG452="",0,IF(ISTEXT(AG452),H452*VALUE(SUBSTITUTE(AG452,"%",""))/100,H452*AG452))-Tabela1[[#This Row],[PESO EXPEDIDO2]]</f>
        <v>0</v>
      </c>
      <c r="AU452" s="37">
        <f>IF(AH452="",0,IF(ISTEXT(AH452),H452*VALUE(SUBSTITUTE(AH452,"%",""))/100,H452*AH452))</f>
        <v>0</v>
      </c>
      <c r="AV452" s="37">
        <f>IF(AG452="",0,IF(ISTEXT(AG452),H452*VALUE(SUBSTITUTE(AG452,"%",""))/100,H452*AG452))</f>
        <v>0</v>
      </c>
      <c r="AW452" s="37"/>
    </row>
    <row r="453" spans="1:49" ht="15.75" hidden="1" customHeight="1" x14ac:dyDescent="0.25">
      <c r="A453" s="6" t="s">
        <v>4422</v>
      </c>
      <c r="B453" s="21" t="s">
        <v>4423</v>
      </c>
      <c r="C453" s="7">
        <v>1</v>
      </c>
      <c r="D453" s="39" t="s">
        <v>4424</v>
      </c>
      <c r="E453" s="7">
        <v>4338</v>
      </c>
      <c r="F453" s="7">
        <v>35</v>
      </c>
      <c r="G453" s="23">
        <v>748.2</v>
      </c>
      <c r="H453" s="34">
        <f>Tabela1[[#This Row],[PESO UNI]]*Tabela1[[#This Row],[QTE]]</f>
        <v>748.2</v>
      </c>
      <c r="I453" s="7" t="s">
        <v>4515</v>
      </c>
      <c r="J453" s="8" t="s">
        <v>3046</v>
      </c>
      <c r="K453" s="8" t="s">
        <v>31</v>
      </c>
      <c r="L453" s="9" t="s">
        <v>2985</v>
      </c>
      <c r="M453" s="10">
        <v>46218</v>
      </c>
      <c r="N453" s="8" t="s">
        <v>39</v>
      </c>
      <c r="O453" s="14"/>
      <c r="P453" s="18"/>
      <c r="Q453" s="14">
        <f>Tabela1[[#This Row],[QTDE/ Fabricação]]-Tabela1[[#This Row],[QTE]]</f>
        <v>-1</v>
      </c>
      <c r="R453" s="18">
        <f t="shared" si="77"/>
        <v>0</v>
      </c>
      <c r="S453" s="18">
        <f t="shared" ref="S453:S461" si="83">IFERROR(H453*AG453,"")</f>
        <v>0</v>
      </c>
      <c r="T453" s="19">
        <f t="shared" ref="T453:T461" si="84">IFERROR(S453-H453,"")</f>
        <v>-748.2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ref="Y453:Y461" si="85">U453-C453</f>
        <v>-1</v>
      </c>
      <c r="Z453" s="20">
        <v>-748.2</v>
      </c>
      <c r="AA453" s="33"/>
      <c r="AB453" s="33"/>
      <c r="AC453" s="33"/>
      <c r="AD453" s="33"/>
      <c r="AE453" s="33"/>
      <c r="AF453" s="33"/>
      <c r="AG453" s="33"/>
      <c r="AH453" s="28"/>
      <c r="AI453" s="33" t="str">
        <f t="shared" si="65"/>
        <v>ok</v>
      </c>
    </row>
    <row r="454" spans="1:49" ht="15.75" hidden="1" customHeight="1" x14ac:dyDescent="0.25">
      <c r="A454" s="6" t="s">
        <v>4425</v>
      </c>
      <c r="B454" s="21" t="s">
        <v>4426</v>
      </c>
      <c r="C454" s="7">
        <v>5</v>
      </c>
      <c r="D454" s="39" t="s">
        <v>4427</v>
      </c>
      <c r="E454" s="7">
        <v>4339</v>
      </c>
      <c r="F454" s="7">
        <v>35</v>
      </c>
      <c r="G454" s="23">
        <v>730.2</v>
      </c>
      <c r="H454" s="34">
        <f>Tabela1[[#This Row],[PESO UNI]]*Tabela1[[#This Row],[QTE]]</f>
        <v>3651</v>
      </c>
      <c r="I454" s="7" t="s">
        <v>4446</v>
      </c>
      <c r="J454" s="8" t="s">
        <v>3046</v>
      </c>
      <c r="K454" s="8" t="s">
        <v>31</v>
      </c>
      <c r="L454" s="9" t="s">
        <v>2985</v>
      </c>
      <c r="M454" s="10">
        <v>46218</v>
      </c>
      <c r="N454" s="8" t="s">
        <v>39</v>
      </c>
      <c r="O454" s="14"/>
      <c r="P454" s="18"/>
      <c r="Q454" s="14">
        <f>Tabela1[[#This Row],[QTDE/ Fabricação]]-Tabela1[[#This Row],[QTE]]</f>
        <v>-5</v>
      </c>
      <c r="R454" s="18">
        <f t="shared" si="77"/>
        <v>0</v>
      </c>
      <c r="S454" s="18">
        <f t="shared" si="83"/>
        <v>0</v>
      </c>
      <c r="T454" s="19">
        <f t="shared" si="84"/>
        <v>-3651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5"/>
        <v>-5</v>
      </c>
      <c r="Z454" s="20">
        <v>-3651</v>
      </c>
      <c r="AA454" s="33"/>
      <c r="AB454" s="33"/>
      <c r="AC454" s="33"/>
      <c r="AD454" s="33"/>
      <c r="AE454" s="33"/>
      <c r="AF454" s="33"/>
      <c r="AG454" s="33"/>
      <c r="AH454" s="28"/>
      <c r="AI454" s="33" t="str">
        <f t="shared" si="65"/>
        <v>ok</v>
      </c>
    </row>
    <row r="455" spans="1:49" ht="15.75" customHeight="1" x14ac:dyDescent="0.25">
      <c r="A455" s="6" t="s">
        <v>102</v>
      </c>
      <c r="B455" s="21"/>
      <c r="C455" s="7">
        <v>18</v>
      </c>
      <c r="D455" s="39" t="s">
        <v>147</v>
      </c>
      <c r="E455" s="7">
        <v>4340</v>
      </c>
      <c r="F455" s="7">
        <v>1</v>
      </c>
      <c r="G455" s="23">
        <v>1</v>
      </c>
      <c r="H455" s="34">
        <f>Tabela1[[#This Row],[PESO UNI]]*Tabela1[[#This Row],[QTE]]</f>
        <v>18</v>
      </c>
      <c r="I455" s="7" t="s">
        <v>2</v>
      </c>
      <c r="J455" s="8" t="s">
        <v>4428</v>
      </c>
      <c r="K455" s="8" t="s">
        <v>23</v>
      </c>
      <c r="L455" s="9" t="s">
        <v>4429</v>
      </c>
      <c r="M455" s="10">
        <v>46218</v>
      </c>
      <c r="N455" s="8" t="s">
        <v>39</v>
      </c>
      <c r="O455" s="14"/>
      <c r="P455" s="18"/>
      <c r="Q455" s="14">
        <f>Tabela1[[#This Row],[QTDE/ Fabricação]]-Tabela1[[#This Row],[QTE]]</f>
        <v>-18</v>
      </c>
      <c r="R455" s="18">
        <f t="shared" si="77"/>
        <v>2.25</v>
      </c>
      <c r="S455" s="18">
        <f t="shared" si="83"/>
        <v>0</v>
      </c>
      <c r="T455" s="19">
        <f t="shared" si="84"/>
        <v>-18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5"/>
        <v>-18</v>
      </c>
      <c r="Z455" s="20">
        <f>Tabela1[[#This Row],[PESO TOTAL]]-Tabela1[[#This Row],[Peso Expedido]]</f>
        <v>18</v>
      </c>
      <c r="AA455" s="33">
        <v>0.5</v>
      </c>
      <c r="AB455" s="33"/>
      <c r="AC455" s="33"/>
      <c r="AD455" s="33"/>
      <c r="AE455" s="33"/>
      <c r="AF455" s="33"/>
      <c r="AG455" s="33"/>
      <c r="AH455" s="28"/>
      <c r="AI455" s="33" t="str">
        <f t="shared" si="65"/>
        <v/>
      </c>
    </row>
    <row r="456" spans="1:49" ht="15.75" customHeight="1" x14ac:dyDescent="0.25">
      <c r="A456" s="6" t="s">
        <v>815</v>
      </c>
      <c r="B456" s="21"/>
      <c r="C456" s="7">
        <v>53</v>
      </c>
      <c r="D456" s="39" t="s">
        <v>4430</v>
      </c>
      <c r="E456" s="7">
        <v>4341</v>
      </c>
      <c r="F456" s="7">
        <v>1</v>
      </c>
      <c r="G456" s="23">
        <v>5.2</v>
      </c>
      <c r="H456" s="34">
        <f>Tabela1[[#This Row],[PESO UNI]]*Tabela1[[#This Row],[QTE]]</f>
        <v>275.60000000000002</v>
      </c>
      <c r="I456" s="7" t="s">
        <v>2</v>
      </c>
      <c r="J456" s="8" t="s">
        <v>4428</v>
      </c>
      <c r="K456" s="8" t="s">
        <v>23</v>
      </c>
      <c r="L456" s="9" t="s">
        <v>4429</v>
      </c>
      <c r="M456" s="10">
        <v>46218</v>
      </c>
      <c r="N456" s="8" t="s">
        <v>39</v>
      </c>
      <c r="O456" s="14"/>
      <c r="P456" s="18"/>
      <c r="Q456" s="14">
        <f>Tabela1[[#This Row],[QTDE/ Fabricação]]-Tabela1[[#This Row],[QTE]]</f>
        <v>-53</v>
      </c>
      <c r="R456" s="18">
        <f t="shared" si="77"/>
        <v>34.450000000000003</v>
      </c>
      <c r="S456" s="18">
        <f t="shared" si="83"/>
        <v>0</v>
      </c>
      <c r="T456" s="19">
        <f t="shared" si="84"/>
        <v>-275.60000000000002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5"/>
        <v>-53</v>
      </c>
      <c r="Z456" s="20">
        <f>Tabela1[[#This Row],[PESO TOTAL]]-Tabela1[[#This Row],[Peso Expedido]]</f>
        <v>275.60000000000002</v>
      </c>
      <c r="AA456" s="33">
        <v>0.5</v>
      </c>
      <c r="AB456" s="33"/>
      <c r="AC456" s="33"/>
      <c r="AD456" s="33"/>
      <c r="AE456" s="33"/>
      <c r="AF456" s="33"/>
      <c r="AG456" s="33"/>
      <c r="AH456" s="28"/>
      <c r="AI456" s="33" t="str">
        <f t="shared" si="65"/>
        <v/>
      </c>
    </row>
    <row r="457" spans="1:49" ht="15.75" customHeight="1" x14ac:dyDescent="0.25">
      <c r="A457" s="6" t="s">
        <v>4431</v>
      </c>
      <c r="B457" s="21" t="s">
        <v>4432</v>
      </c>
      <c r="C457" s="7">
        <v>7</v>
      </c>
      <c r="D457" s="39" t="s">
        <v>4433</v>
      </c>
      <c r="E457" s="7">
        <v>4342</v>
      </c>
      <c r="F457" s="7">
        <v>1</v>
      </c>
      <c r="G457" s="23">
        <v>19.100000000000001</v>
      </c>
      <c r="H457" s="34">
        <f>Tabela1[[#This Row],[PESO UNI]]*Tabela1[[#This Row],[QTE]]</f>
        <v>133.70000000000002</v>
      </c>
      <c r="I457" s="7" t="s">
        <v>747</v>
      </c>
      <c r="J457" s="8" t="s">
        <v>4428</v>
      </c>
      <c r="K457" s="8" t="s">
        <v>33</v>
      </c>
      <c r="L457" s="9" t="s">
        <v>4429</v>
      </c>
      <c r="M457" s="10">
        <v>46218</v>
      </c>
      <c r="N457" s="8" t="s">
        <v>39</v>
      </c>
      <c r="O457" s="14"/>
      <c r="P457" s="18"/>
      <c r="Q457" s="14">
        <f>Tabela1[[#This Row],[QTDE/ Fabricação]]-Tabela1[[#This Row],[QTE]]</f>
        <v>-7</v>
      </c>
      <c r="R457" s="18">
        <f t="shared" si="77"/>
        <v>16.712500000000002</v>
      </c>
      <c r="S457" s="18">
        <f t="shared" si="83"/>
        <v>0</v>
      </c>
      <c r="T457" s="19">
        <f t="shared" si="84"/>
        <v>-133.70000000000002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5"/>
        <v>-7</v>
      </c>
      <c r="Z457" s="20">
        <f>Tabela1[[#This Row],[PESO TOTAL]]-Tabela1[[#This Row],[Peso Expedido]]</f>
        <v>133.70000000000002</v>
      </c>
      <c r="AA457" s="33">
        <v>0.5</v>
      </c>
      <c r="AB457" s="33"/>
      <c r="AC457" s="33"/>
      <c r="AD457" s="33"/>
      <c r="AE457" s="33"/>
      <c r="AF457" s="33"/>
      <c r="AG457" s="33"/>
      <c r="AH457" s="28"/>
      <c r="AI457" s="33" t="str">
        <f t="shared" si="65"/>
        <v/>
      </c>
    </row>
    <row r="458" spans="1:49" ht="15.75" customHeight="1" x14ac:dyDescent="0.25">
      <c r="A458" s="6" t="s">
        <v>4434</v>
      </c>
      <c r="B458" s="21" t="s">
        <v>4435</v>
      </c>
      <c r="C458" s="7">
        <v>6</v>
      </c>
      <c r="D458" s="39" t="s">
        <v>4436</v>
      </c>
      <c r="E458" s="7">
        <v>4343</v>
      </c>
      <c r="F458" s="7">
        <v>1</v>
      </c>
      <c r="G458" s="23">
        <v>18.2</v>
      </c>
      <c r="H458" s="34">
        <f>Tabela1[[#This Row],[PESO UNI]]*Tabela1[[#This Row],[QTE]]</f>
        <v>109.19999999999999</v>
      </c>
      <c r="I458" s="7" t="s">
        <v>747</v>
      </c>
      <c r="J458" s="8" t="s">
        <v>4428</v>
      </c>
      <c r="K458" s="8" t="s">
        <v>33</v>
      </c>
      <c r="L458" s="9" t="s">
        <v>4429</v>
      </c>
      <c r="M458" s="10">
        <v>46218</v>
      </c>
      <c r="N458" s="8" t="s">
        <v>39</v>
      </c>
      <c r="O458" s="14"/>
      <c r="P458" s="18"/>
      <c r="Q458" s="14">
        <f>Tabela1[[#This Row],[QTDE/ Fabricação]]-Tabela1[[#This Row],[QTE]]</f>
        <v>-6</v>
      </c>
      <c r="R458" s="18">
        <f t="shared" si="77"/>
        <v>13.649999999999999</v>
      </c>
      <c r="S458" s="18">
        <f t="shared" si="83"/>
        <v>0</v>
      </c>
      <c r="T458" s="19">
        <f t="shared" si="84"/>
        <v>-109.19999999999999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5"/>
        <v>-6</v>
      </c>
      <c r="Z458" s="20">
        <f>Tabela1[[#This Row],[PESO TOTAL]]-Tabela1[[#This Row],[Peso Expedido]]</f>
        <v>109.19999999999999</v>
      </c>
      <c r="AA458" s="33">
        <v>0.5</v>
      </c>
      <c r="AB458" s="33"/>
      <c r="AC458" s="33"/>
      <c r="AD458" s="33"/>
      <c r="AE458" s="33"/>
      <c r="AF458" s="33"/>
      <c r="AG458" s="33"/>
      <c r="AH458" s="28"/>
      <c r="AI458" s="33" t="str">
        <f t="shared" si="65"/>
        <v/>
      </c>
    </row>
    <row r="459" spans="1:49" ht="15.75" customHeight="1" x14ac:dyDescent="0.25">
      <c r="A459" s="6" t="s">
        <v>4437</v>
      </c>
      <c r="B459" s="21" t="s">
        <v>4438</v>
      </c>
      <c r="C459" s="7">
        <v>8</v>
      </c>
      <c r="D459" s="39" t="s">
        <v>4442</v>
      </c>
      <c r="E459" s="7">
        <v>4344</v>
      </c>
      <c r="F459" s="7">
        <v>1</v>
      </c>
      <c r="G459" s="23">
        <v>6</v>
      </c>
      <c r="H459" s="34">
        <f>Tabela1[[#This Row],[PESO UNI]]*Tabela1[[#This Row],[QTE]]</f>
        <v>48</v>
      </c>
      <c r="I459" s="7" t="s">
        <v>747</v>
      </c>
      <c r="J459" s="8" t="s">
        <v>4428</v>
      </c>
      <c r="K459" s="8" t="s">
        <v>33</v>
      </c>
      <c r="L459" s="9" t="s">
        <v>4429</v>
      </c>
      <c r="M459" s="10">
        <v>46218</v>
      </c>
      <c r="N459" s="8" t="s">
        <v>39</v>
      </c>
      <c r="O459" s="14"/>
      <c r="P459" s="18"/>
      <c r="Q459" s="14">
        <f>Tabela1[[#This Row],[QTDE/ Fabricação]]-Tabela1[[#This Row],[QTE]]</f>
        <v>-8</v>
      </c>
      <c r="R459" s="18">
        <f t="shared" si="77"/>
        <v>6</v>
      </c>
      <c r="S459" s="18">
        <f t="shared" si="83"/>
        <v>0</v>
      </c>
      <c r="T459" s="19">
        <f t="shared" si="84"/>
        <v>-48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5"/>
        <v>-8</v>
      </c>
      <c r="Z459" s="20">
        <f>Tabela1[[#This Row],[PESO TOTAL]]-Tabela1[[#This Row],[Peso Expedido]]</f>
        <v>48</v>
      </c>
      <c r="AA459" s="33">
        <v>0.5</v>
      </c>
      <c r="AB459" s="33"/>
      <c r="AC459" s="33"/>
      <c r="AD459" s="33"/>
      <c r="AE459" s="33"/>
      <c r="AF459" s="33"/>
      <c r="AG459" s="33"/>
      <c r="AH459" s="28"/>
      <c r="AI459" s="33" t="str">
        <f t="shared" si="65"/>
        <v/>
      </c>
    </row>
    <row r="460" spans="1:49" ht="15.75" customHeight="1" x14ac:dyDescent="0.25">
      <c r="A460" s="6" t="s">
        <v>4439</v>
      </c>
      <c r="B460" s="21" t="s">
        <v>4440</v>
      </c>
      <c r="C460" s="7">
        <v>14</v>
      </c>
      <c r="D460" s="39" t="s">
        <v>4441</v>
      </c>
      <c r="E460" s="7">
        <v>4345</v>
      </c>
      <c r="F460" s="7">
        <v>1</v>
      </c>
      <c r="G460" s="23">
        <v>5</v>
      </c>
      <c r="H460" s="34">
        <f>Tabela1[[#This Row],[PESO UNI]]*Tabela1[[#This Row],[QTE]]</f>
        <v>70</v>
      </c>
      <c r="I460" s="7" t="s">
        <v>747</v>
      </c>
      <c r="J460" s="8" t="s">
        <v>4428</v>
      </c>
      <c r="K460" s="8" t="s">
        <v>33</v>
      </c>
      <c r="L460" s="9" t="s">
        <v>4429</v>
      </c>
      <c r="M460" s="10">
        <v>46218</v>
      </c>
      <c r="N460" s="8" t="s">
        <v>39</v>
      </c>
      <c r="O460" s="14"/>
      <c r="P460" s="18"/>
      <c r="Q460" s="16">
        <f>Tabela1[[#This Row],[QTDE/ Fabricação]]-Tabela1[[#This Row],[QTE]]</f>
        <v>-14</v>
      </c>
      <c r="R460" s="18">
        <f t="shared" si="77"/>
        <v>8.75</v>
      </c>
      <c r="S460" s="18">
        <f t="shared" si="83"/>
        <v>0</v>
      </c>
      <c r="T460" s="19">
        <f t="shared" si="84"/>
        <v>-70</v>
      </c>
      <c r="U460" s="16">
        <f>IFERROR(SUMIF('LISTA DE EMBARQUE'!B:B,MICRO!E:E,'LISTA DE EMBARQUE'!G:G),"")</f>
        <v>0</v>
      </c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5"/>
        <v>-14</v>
      </c>
      <c r="Z460" s="20">
        <f>Tabela1[[#This Row],[PESO TOTAL]]-Tabela1[[#This Row],[Peso Expedido]]</f>
        <v>70</v>
      </c>
      <c r="AA460" s="33">
        <v>0.5</v>
      </c>
      <c r="AB460" s="33"/>
      <c r="AC460" s="33"/>
      <c r="AD460" s="33"/>
      <c r="AE460" s="33"/>
      <c r="AF460" s="28"/>
      <c r="AG460" s="28"/>
      <c r="AH460" s="28"/>
      <c r="AI460" s="33" t="str">
        <f t="shared" si="65"/>
        <v/>
      </c>
    </row>
    <row r="461" spans="1:49" ht="15.75" customHeight="1" x14ac:dyDescent="0.25">
      <c r="A461" s="6" t="s">
        <v>4443</v>
      </c>
      <c r="B461" s="21" t="s">
        <v>4444</v>
      </c>
      <c r="C461" s="7">
        <v>23</v>
      </c>
      <c r="D461" s="39" t="s">
        <v>4445</v>
      </c>
      <c r="E461" s="7">
        <v>4346</v>
      </c>
      <c r="F461" s="7">
        <v>1</v>
      </c>
      <c r="G461" s="23">
        <v>6</v>
      </c>
      <c r="H461" s="34">
        <f>Tabela1[[#This Row],[PESO UNI]]*Tabela1[[#This Row],[QTE]]</f>
        <v>138</v>
      </c>
      <c r="I461" s="7" t="s">
        <v>747</v>
      </c>
      <c r="J461" s="8" t="s">
        <v>4428</v>
      </c>
      <c r="K461" s="8" t="s">
        <v>33</v>
      </c>
      <c r="L461" s="9" t="s">
        <v>4429</v>
      </c>
      <c r="M461" s="10">
        <v>46218</v>
      </c>
      <c r="N461" s="8" t="s">
        <v>39</v>
      </c>
      <c r="O461" s="14"/>
      <c r="P461" s="18"/>
      <c r="Q461" s="16">
        <f>Tabela1[[#This Row],[QTDE/ Fabricação]]-Tabela1[[#This Row],[QTE]]</f>
        <v>-23</v>
      </c>
      <c r="R461" s="18">
        <f t="shared" si="77"/>
        <v>17.25</v>
      </c>
      <c r="S461" s="18">
        <f t="shared" si="83"/>
        <v>0</v>
      </c>
      <c r="T461" s="19">
        <f t="shared" si="84"/>
        <v>-138</v>
      </c>
      <c r="U461" s="16">
        <f>IFERROR(SUMIF('LISTA DE EMBARQUE'!B:B,MICRO!E:E,'LISTA DE EMBARQUE'!G:G),"")</f>
        <v>0</v>
      </c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5"/>
        <v>-23</v>
      </c>
      <c r="Z461" s="20">
        <f>Tabela1[[#This Row],[PESO TOTAL]]-Tabela1[[#This Row],[Peso Expedido]]</f>
        <v>138</v>
      </c>
      <c r="AA461" s="33">
        <v>0.5</v>
      </c>
      <c r="AB461" s="33"/>
      <c r="AC461" s="33"/>
      <c r="AD461" s="33"/>
      <c r="AE461" s="33"/>
      <c r="AF461" s="28"/>
      <c r="AG461" s="28"/>
      <c r="AH461" s="28"/>
      <c r="AI461" s="33" t="str">
        <f t="shared" si="65"/>
        <v/>
      </c>
    </row>
    <row r="462" spans="1:49" ht="15.75" hidden="1" customHeight="1" x14ac:dyDescent="0.25">
      <c r="A462" s="6" t="s">
        <v>2547</v>
      </c>
      <c r="B462" s="21"/>
      <c r="C462" s="7">
        <v>1</v>
      </c>
      <c r="D462" s="39" t="s">
        <v>2548</v>
      </c>
      <c r="E462" s="7">
        <v>3419</v>
      </c>
      <c r="F462" s="7">
        <v>27</v>
      </c>
      <c r="G462" s="23">
        <v>13.1</v>
      </c>
      <c r="H462" s="34">
        <f>Tabela1[[#This Row],[PESO UNI]]*Tabela1[[#This Row],[QTE]]</f>
        <v>13.1</v>
      </c>
      <c r="I462" s="7">
        <v>0</v>
      </c>
      <c r="J462" s="8" t="s">
        <v>2551</v>
      </c>
      <c r="K462" s="8" t="s">
        <v>47</v>
      </c>
      <c r="L462" s="9" t="s">
        <v>2552</v>
      </c>
      <c r="M462" s="10">
        <v>46125</v>
      </c>
      <c r="N462" s="11" t="s">
        <v>39</v>
      </c>
      <c r="O462" s="12"/>
      <c r="P462" s="13"/>
      <c r="Q462" s="14">
        <f>Tabela1[[#This Row],[QTDE/ Fabricação]]-Tabela1[[#This Row],[QTE]]</f>
        <v>-1</v>
      </c>
      <c r="R462" s="18">
        <f t="shared" si="77"/>
        <v>13.1</v>
      </c>
      <c r="S462" s="18">
        <f t="shared" si="70"/>
        <v>13.1</v>
      </c>
      <c r="T462" s="19">
        <f t="shared" si="78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13.1</v>
      </c>
      <c r="Y462" s="14">
        <f t="shared" si="79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4514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0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1"/>
        <v>13.1</v>
      </c>
      <c r="AV462" s="37">
        <f t="shared" si="82"/>
        <v>13.1</v>
      </c>
      <c r="AW462" s="37"/>
    </row>
    <row r="463" spans="1:49" ht="15.75" hidden="1" customHeight="1" x14ac:dyDescent="0.25">
      <c r="A463" s="6" t="s">
        <v>2547</v>
      </c>
      <c r="B463" s="21"/>
      <c r="C463" s="7">
        <v>1</v>
      </c>
      <c r="D463" s="39" t="s">
        <v>2549</v>
      </c>
      <c r="E463" s="7">
        <v>3420</v>
      </c>
      <c r="F463" s="7">
        <v>27</v>
      </c>
      <c r="G463" s="23">
        <v>13.1</v>
      </c>
      <c r="H463" s="34">
        <f>Tabela1[[#This Row],[PESO UNI]]*Tabela1[[#This Row],[QTE]]</f>
        <v>13.1</v>
      </c>
      <c r="I463" s="7">
        <v>0</v>
      </c>
      <c r="J463" s="8" t="s">
        <v>2551</v>
      </c>
      <c r="K463" s="8" t="s">
        <v>47</v>
      </c>
      <c r="L463" s="9" t="s">
        <v>2552</v>
      </c>
      <c r="M463" s="10">
        <v>46125</v>
      </c>
      <c r="N463" s="11" t="s">
        <v>39</v>
      </c>
      <c r="O463" s="12"/>
      <c r="P463" s="13"/>
      <c r="Q463" s="14">
        <f>Tabela1[[#This Row],[QTDE/ Fabricação]]-Tabela1[[#This Row],[QTE]]</f>
        <v>-1</v>
      </c>
      <c r="R463" s="18">
        <f t="shared" si="77"/>
        <v>13.1</v>
      </c>
      <c r="S463" s="18">
        <f t="shared" si="70"/>
        <v>13.1</v>
      </c>
      <c r="T463" s="19">
        <f t="shared" si="78"/>
        <v>0</v>
      </c>
      <c r="U463" s="16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79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4514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0"/>
        <v>P-073081-1/P190</v>
      </c>
      <c r="AP463" t="str">
        <f>Tabela1[[#This Row],[TAG]]&amp;Tabela1[[#This Row],[PEDIDO]]&amp;Tabela1[[#This Row],[PRODUTO]]</f>
        <v>P190P-190TECMETAL</v>
      </c>
      <c r="AQ463" s="22" t="str">
        <f>Tabela1[[#This Row],[PRODUTO]]&amp;Tabela1[[#This Row],[TAG]]</f>
        <v>TECMETALP190</v>
      </c>
      <c r="AR463" s="24" t="str">
        <f>Tabela1[[#This Row],[PEDIDO]]&amp;Tabela1[[#This Row],[PRODUTO]]</f>
        <v>P-190TECMETAL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1"/>
        <v>13.1</v>
      </c>
      <c r="AV463" s="37">
        <f t="shared" si="82"/>
        <v>13.1</v>
      </c>
      <c r="AW463" s="37"/>
    </row>
    <row r="464" spans="1:49" ht="15.75" hidden="1" customHeight="1" x14ac:dyDescent="0.25">
      <c r="A464" s="6" t="s">
        <v>2547</v>
      </c>
      <c r="B464" s="21"/>
      <c r="C464" s="7">
        <v>1</v>
      </c>
      <c r="D464" s="39" t="s">
        <v>2550</v>
      </c>
      <c r="E464" s="7">
        <v>3421</v>
      </c>
      <c r="F464" s="7">
        <v>27</v>
      </c>
      <c r="G464" s="23">
        <v>6.2</v>
      </c>
      <c r="H464" s="34">
        <f>Tabela1[[#This Row],[PESO UNI]]*Tabela1[[#This Row],[QTE]]</f>
        <v>6.2</v>
      </c>
      <c r="I464" s="7">
        <v>0</v>
      </c>
      <c r="J464" s="8" t="s">
        <v>2551</v>
      </c>
      <c r="K464" s="8" t="s">
        <v>47</v>
      </c>
      <c r="L464" s="9" t="s">
        <v>2552</v>
      </c>
      <c r="M464" s="10">
        <v>46125</v>
      </c>
      <c r="N464" s="11" t="s">
        <v>39</v>
      </c>
      <c r="O464" s="12"/>
      <c r="P464" s="13"/>
      <c r="Q464" s="14">
        <f>Tabela1[[#This Row],[QTDE/ Fabricação]]-Tabela1[[#This Row],[QTE]]</f>
        <v>-1</v>
      </c>
      <c r="R464" s="18">
        <f t="shared" si="77"/>
        <v>6.2</v>
      </c>
      <c r="S464" s="18">
        <f t="shared" si="70"/>
        <v>6.2</v>
      </c>
      <c r="T464" s="19">
        <f t="shared" si="78"/>
        <v>0</v>
      </c>
      <c r="U464" s="16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79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4514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0"/>
        <v>P-073081-1/P190</v>
      </c>
      <c r="AP464" t="str">
        <f>Tabela1[[#This Row],[TAG]]&amp;Tabela1[[#This Row],[PEDIDO]]&amp;Tabela1[[#This Row],[PRODUTO]]</f>
        <v>P190P-190TECMETAL</v>
      </c>
      <c r="AQ464" s="22" t="str">
        <f>Tabela1[[#This Row],[PRODUTO]]&amp;Tabela1[[#This Row],[TAG]]</f>
        <v>TECMETALP190</v>
      </c>
      <c r="AR464" s="24" t="str">
        <f>Tabela1[[#This Row],[PEDIDO]]&amp;Tabela1[[#This Row],[PRODUTO]]</f>
        <v>P-190TECMETAL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1"/>
        <v>6.2</v>
      </c>
      <c r="AV464" s="37">
        <f t="shared" si="82"/>
        <v>6.2</v>
      </c>
      <c r="AW464" s="37"/>
    </row>
    <row r="465" spans="1:49" ht="15.75" hidden="1" customHeight="1" x14ac:dyDescent="0.25">
      <c r="A465" s="6" t="s">
        <v>4332</v>
      </c>
      <c r="B465" s="21"/>
      <c r="C465" s="7">
        <v>1</v>
      </c>
      <c r="D465" s="39" t="s">
        <v>4333</v>
      </c>
      <c r="E465" s="7">
        <v>3422</v>
      </c>
      <c r="F465" s="7">
        <v>26</v>
      </c>
      <c r="G465" s="23">
        <v>17.5</v>
      </c>
      <c r="H465" s="34">
        <f>Tabela1[[#This Row],[PESO UNI]]*Tabela1[[#This Row],[QTE]]</f>
        <v>17.5</v>
      </c>
      <c r="I465" s="7">
        <v>0</v>
      </c>
      <c r="J465" s="8" t="s">
        <v>2551</v>
      </c>
      <c r="K465" s="8" t="s">
        <v>31</v>
      </c>
      <c r="L465" s="9" t="s">
        <v>2552</v>
      </c>
      <c r="M465" s="10">
        <v>46125</v>
      </c>
      <c r="N465" s="11" t="s">
        <v>39</v>
      </c>
      <c r="O465" s="12"/>
      <c r="P465" s="13"/>
      <c r="Q465" s="14">
        <f>Tabela1[[#This Row],[QTDE/ Fabricação]]-Tabela1[[#This Row],[QTE]]</f>
        <v>-1</v>
      </c>
      <c r="R465" s="18">
        <f t="shared" si="77"/>
        <v>17.5</v>
      </c>
      <c r="S465" s="18">
        <f t="shared" si="70"/>
        <v>17.5</v>
      </c>
      <c r="T465" s="19">
        <f t="shared" si="78"/>
        <v>0</v>
      </c>
      <c r="U465" s="16"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17.5</v>
      </c>
      <c r="Y465" s="14">
        <f t="shared" si="79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4514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0"/>
        <v>P-073080-1/P190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1"/>
        <v>17.5</v>
      </c>
      <c r="AV465" s="37">
        <f t="shared" si="82"/>
        <v>17.5</v>
      </c>
      <c r="AW465" s="37"/>
    </row>
    <row r="466" spans="1:49" ht="15.75" hidden="1" customHeight="1" x14ac:dyDescent="0.25">
      <c r="A466" s="6" t="s">
        <v>2553</v>
      </c>
      <c r="B466" s="21"/>
      <c r="C466" s="7">
        <v>4</v>
      </c>
      <c r="D466" s="39" t="s">
        <v>4334</v>
      </c>
      <c r="E466" s="7">
        <v>3424</v>
      </c>
      <c r="F466" s="7">
        <v>23</v>
      </c>
      <c r="G466" s="23">
        <v>86.1</v>
      </c>
      <c r="H466" s="34">
        <f>Tabela1[[#This Row],[PESO UNI]]*Tabela1[[#This Row],[QTE]]</f>
        <v>344.4</v>
      </c>
      <c r="I466" s="7" t="s">
        <v>2</v>
      </c>
      <c r="J466" s="8" t="s">
        <v>2551</v>
      </c>
      <c r="K466" s="8" t="s">
        <v>31</v>
      </c>
      <c r="L466" s="9" t="s">
        <v>2552</v>
      </c>
      <c r="M466" s="10">
        <v>46120</v>
      </c>
      <c r="N466" s="11" t="s">
        <v>39</v>
      </c>
      <c r="O466" s="12"/>
      <c r="P466" s="13"/>
      <c r="Q466" s="14">
        <f>Tabela1[[#This Row],[QTDE/ Fabricação]]-Tabela1[[#This Row],[QTE]]</f>
        <v>-4</v>
      </c>
      <c r="R466" s="18">
        <f t="shared" si="77"/>
        <v>344.4</v>
      </c>
      <c r="S466" s="18">
        <f t="shared" si="70"/>
        <v>344.4</v>
      </c>
      <c r="T466" s="19">
        <f t="shared" si="78"/>
        <v>0</v>
      </c>
      <c r="U466" s="16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79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4514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0"/>
        <v>P-073061-1/P190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1"/>
        <v>344.4</v>
      </c>
      <c r="AV466" s="37">
        <f t="shared" si="82"/>
        <v>344.4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4335</v>
      </c>
      <c r="E467" s="7">
        <v>3425</v>
      </c>
      <c r="F467" s="7">
        <v>23</v>
      </c>
      <c r="G467" s="23">
        <v>1.4</v>
      </c>
      <c r="H467" s="34">
        <f>Tabela1[[#This Row],[PESO UNI]]*Tabela1[[#This Row],[QTE]]</f>
        <v>1.4</v>
      </c>
      <c r="I467" s="7" t="s">
        <v>2</v>
      </c>
      <c r="J467" s="8" t="s">
        <v>2551</v>
      </c>
      <c r="K467" s="8" t="s">
        <v>31</v>
      </c>
      <c r="L467" s="9" t="s">
        <v>2552</v>
      </c>
      <c r="M467" s="10">
        <v>46120</v>
      </c>
      <c r="N467" s="11" t="s">
        <v>39</v>
      </c>
      <c r="O467" s="12"/>
      <c r="P467" s="13"/>
      <c r="Q467" s="14">
        <f>Tabela1[[#This Row],[QTDE/ Fabricação]]-Tabela1[[#This Row],[QTE]]</f>
        <v>-1</v>
      </c>
      <c r="R467" s="18">
        <f t="shared" si="77"/>
        <v>1.4</v>
      </c>
      <c r="S467" s="18">
        <f t="shared" si="70"/>
        <v>1.4</v>
      </c>
      <c r="T467" s="19">
        <f t="shared" si="78"/>
        <v>0</v>
      </c>
      <c r="U467" s="16">
        <v>1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1.4</v>
      </c>
      <c r="Y467" s="14">
        <f t="shared" si="79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4514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0"/>
        <v>P-073061-1/P190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1"/>
        <v>1.4</v>
      </c>
      <c r="AV467" s="37">
        <f t="shared" si="82"/>
        <v>1.4</v>
      </c>
      <c r="AW467" s="37"/>
    </row>
    <row r="468" spans="1:49" ht="15.75" hidden="1" customHeight="1" x14ac:dyDescent="0.25">
      <c r="A468" s="6" t="s">
        <v>2554</v>
      </c>
      <c r="B468" s="21"/>
      <c r="C468" s="7">
        <v>1</v>
      </c>
      <c r="D468" s="39" t="s">
        <v>4336</v>
      </c>
      <c r="E468" s="7">
        <v>3426</v>
      </c>
      <c r="F468" s="7">
        <v>22</v>
      </c>
      <c r="G468" s="23">
        <v>4.5999999999999996</v>
      </c>
      <c r="H468" s="34">
        <f>Tabela1[[#This Row],[PESO UNI]]*Tabela1[[#This Row],[QTE]]</f>
        <v>4.5999999999999996</v>
      </c>
      <c r="I468" s="7">
        <v>0</v>
      </c>
      <c r="J468" s="8" t="s">
        <v>2551</v>
      </c>
      <c r="K468" s="8" t="s">
        <v>31</v>
      </c>
      <c r="L468" s="9" t="s">
        <v>2552</v>
      </c>
      <c r="M468" s="10">
        <v>46120</v>
      </c>
      <c r="N468" s="11" t="s">
        <v>39</v>
      </c>
      <c r="O468" s="12"/>
      <c r="P468" s="13"/>
      <c r="Q468" s="14">
        <f>Tabela1[[#This Row],[QTDE/ Fabricação]]-Tabela1[[#This Row],[QTE]]</f>
        <v>-1</v>
      </c>
      <c r="R468" s="18">
        <f t="shared" si="77"/>
        <v>4.5999999999999996</v>
      </c>
      <c r="S468" s="18">
        <f t="shared" si="70"/>
        <v>4.5999999999999996</v>
      </c>
      <c r="T468" s="19">
        <f t="shared" si="78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79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4514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0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1"/>
        <v>4.5999999999999996</v>
      </c>
      <c r="AV468" s="37">
        <f t="shared" si="82"/>
        <v>4.5999999999999996</v>
      </c>
      <c r="AW468" s="37"/>
    </row>
    <row r="469" spans="1:49" ht="15.75" hidden="1" customHeight="1" x14ac:dyDescent="0.25">
      <c r="A469" s="6" t="s">
        <v>2554</v>
      </c>
      <c r="B469" s="21"/>
      <c r="C469" s="7">
        <v>1</v>
      </c>
      <c r="D469" s="39" t="s">
        <v>4337</v>
      </c>
      <c r="E469" s="7">
        <v>3427</v>
      </c>
      <c r="F469" s="7">
        <v>22</v>
      </c>
      <c r="G469" s="23">
        <v>50.8</v>
      </c>
      <c r="H469" s="34">
        <f>Tabela1[[#This Row],[PESO UNI]]*Tabela1[[#This Row],[QTE]]</f>
        <v>50.8</v>
      </c>
      <c r="I469" s="7">
        <v>0</v>
      </c>
      <c r="J469" s="8" t="s">
        <v>2551</v>
      </c>
      <c r="K469" s="8" t="s">
        <v>31</v>
      </c>
      <c r="L469" s="9" t="s">
        <v>2552</v>
      </c>
      <c r="M469" s="10">
        <v>46120</v>
      </c>
      <c r="N469" s="11" t="s">
        <v>39</v>
      </c>
      <c r="O469" s="12"/>
      <c r="P469" s="13"/>
      <c r="Q469" s="14">
        <f>Tabela1[[#This Row],[QTDE/ Fabricação]]-Tabela1[[#This Row],[QTE]]</f>
        <v>-1</v>
      </c>
      <c r="R469" s="18">
        <f t="shared" si="77"/>
        <v>50.8</v>
      </c>
      <c r="S469" s="18">
        <f t="shared" si="70"/>
        <v>50.8</v>
      </c>
      <c r="T469" s="19">
        <f t="shared" si="78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79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4514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0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1"/>
        <v>50.8</v>
      </c>
      <c r="AV469" s="37">
        <f t="shared" si="82"/>
        <v>50.8</v>
      </c>
      <c r="AW469" s="37"/>
    </row>
    <row r="470" spans="1:49" ht="15.75" hidden="1" customHeight="1" x14ac:dyDescent="0.25">
      <c r="A470" s="6" t="s">
        <v>2554</v>
      </c>
      <c r="B470" s="21"/>
      <c r="C470" s="7">
        <v>1</v>
      </c>
      <c r="D470" s="39" t="s">
        <v>4338</v>
      </c>
      <c r="E470" s="7">
        <v>3428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2551</v>
      </c>
      <c r="K470" s="8" t="s">
        <v>31</v>
      </c>
      <c r="L470" s="9" t="s">
        <v>2552</v>
      </c>
      <c r="M470" s="10">
        <v>46120</v>
      </c>
      <c r="N470" s="11" t="s">
        <v>39</v>
      </c>
      <c r="O470" s="12"/>
      <c r="P470" s="13"/>
      <c r="Q470" s="14">
        <f>Tabela1[[#This Row],[QTDE/ Fabricação]]-Tabela1[[#This Row],[QTE]]</f>
        <v>-1</v>
      </c>
      <c r="R470" s="18">
        <f t="shared" si="77"/>
        <v>1.1000000000000001</v>
      </c>
      <c r="S470" s="18">
        <f t="shared" si="70"/>
        <v>1.1000000000000001</v>
      </c>
      <c r="T470" s="19">
        <f t="shared" si="78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79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4514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0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1"/>
        <v>1.1000000000000001</v>
      </c>
      <c r="AV470" s="37">
        <f t="shared" si="82"/>
        <v>1.1000000000000001</v>
      </c>
      <c r="AW470" s="37"/>
    </row>
    <row r="471" spans="1:49" ht="15.75" hidden="1" customHeight="1" x14ac:dyDescent="0.25">
      <c r="A471" s="6" t="s">
        <v>2554</v>
      </c>
      <c r="B471" s="21"/>
      <c r="C471" s="7">
        <v>1</v>
      </c>
      <c r="D471" s="39" t="s">
        <v>4339</v>
      </c>
      <c r="E471" s="7">
        <v>3429</v>
      </c>
      <c r="F471" s="7">
        <v>22</v>
      </c>
      <c r="G471" s="23">
        <v>23.6</v>
      </c>
      <c r="H471" s="34">
        <f>Tabela1[[#This Row],[PESO UNI]]*Tabela1[[#This Row],[QTE]]</f>
        <v>23.6</v>
      </c>
      <c r="I471" s="7">
        <v>0</v>
      </c>
      <c r="J471" s="8" t="s">
        <v>2551</v>
      </c>
      <c r="K471" s="8" t="s">
        <v>31</v>
      </c>
      <c r="L471" s="9" t="s">
        <v>2552</v>
      </c>
      <c r="M471" s="10">
        <v>46120</v>
      </c>
      <c r="N471" s="11" t="s">
        <v>39</v>
      </c>
      <c r="O471" s="12"/>
      <c r="P471" s="13"/>
      <c r="Q471" s="14">
        <f>Tabela1[[#This Row],[QTDE/ Fabricação]]-Tabela1[[#This Row],[QTE]]</f>
        <v>-1</v>
      </c>
      <c r="R471" s="18">
        <f t="shared" si="77"/>
        <v>23.6</v>
      </c>
      <c r="S471" s="18">
        <f t="shared" si="70"/>
        <v>23.6</v>
      </c>
      <c r="T471" s="19">
        <f t="shared" si="78"/>
        <v>0</v>
      </c>
      <c r="U471" s="16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79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4514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0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1"/>
        <v>23.6</v>
      </c>
      <c r="AV471" s="37">
        <f t="shared" si="82"/>
        <v>23.6</v>
      </c>
      <c r="AW471" s="37"/>
    </row>
    <row r="472" spans="1:49" ht="15.75" hidden="1" customHeight="1" x14ac:dyDescent="0.25">
      <c r="A472" s="6" t="s">
        <v>2554</v>
      </c>
      <c r="B472" s="21"/>
      <c r="C472" s="7">
        <v>1</v>
      </c>
      <c r="D472" s="39" t="s">
        <v>4340</v>
      </c>
      <c r="E472" s="7">
        <v>3430</v>
      </c>
      <c r="F472" s="7">
        <v>22</v>
      </c>
      <c r="G472" s="23">
        <v>1.1000000000000001</v>
      </c>
      <c r="H472" s="34">
        <f>Tabela1[[#This Row],[PESO UNI]]*Tabela1[[#This Row],[QTE]]</f>
        <v>1.1000000000000001</v>
      </c>
      <c r="I472" s="7">
        <v>0</v>
      </c>
      <c r="J472" s="8" t="s">
        <v>2551</v>
      </c>
      <c r="K472" s="8" t="s">
        <v>31</v>
      </c>
      <c r="L472" s="9" t="s">
        <v>2552</v>
      </c>
      <c r="M472" s="10">
        <v>46120</v>
      </c>
      <c r="N472" s="11" t="s">
        <v>39</v>
      </c>
      <c r="O472" s="12"/>
      <c r="P472" s="13"/>
      <c r="Q472" s="14">
        <f>Tabela1[[#This Row],[QTDE/ Fabricação]]-Tabela1[[#This Row],[QTE]]</f>
        <v>-1</v>
      </c>
      <c r="R472" s="18">
        <f t="shared" si="77"/>
        <v>1.1000000000000001</v>
      </c>
      <c r="S472" s="18">
        <f t="shared" si="70"/>
        <v>1.1000000000000001</v>
      </c>
      <c r="T472" s="19">
        <f t="shared" si="78"/>
        <v>0</v>
      </c>
      <c r="U472" s="16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79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4514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0"/>
        <v>P-073076-1/P190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1"/>
        <v>1.1000000000000001</v>
      </c>
      <c r="AV472" s="37">
        <f t="shared" si="82"/>
        <v>1.1000000000000001</v>
      </c>
      <c r="AW472" s="37"/>
    </row>
    <row r="473" spans="1:49" ht="15.75" hidden="1" customHeight="1" x14ac:dyDescent="0.25">
      <c r="A473" s="6" t="s">
        <v>2554</v>
      </c>
      <c r="B473" s="21"/>
      <c r="C473" s="7">
        <v>19</v>
      </c>
      <c r="D473" s="39" t="s">
        <v>2555</v>
      </c>
      <c r="E473" s="7">
        <v>3431</v>
      </c>
      <c r="F473" s="7">
        <v>22</v>
      </c>
      <c r="G473" s="23">
        <v>7</v>
      </c>
      <c r="H473" s="34">
        <f>Tabela1[[#This Row],[PESO UNI]]*Tabela1[[#This Row],[QTE]]</f>
        <v>133</v>
      </c>
      <c r="I473" s="7">
        <v>0</v>
      </c>
      <c r="J473" s="8" t="s">
        <v>2551</v>
      </c>
      <c r="K473" s="8" t="s">
        <v>31</v>
      </c>
      <c r="L473" s="9" t="s">
        <v>2552</v>
      </c>
      <c r="M473" s="10">
        <v>46120</v>
      </c>
      <c r="N473" s="11" t="s">
        <v>39</v>
      </c>
      <c r="O473" s="12"/>
      <c r="P473" s="13"/>
      <c r="Q473" s="14">
        <f>Tabela1[[#This Row],[QTDE/ Fabricação]]-Tabela1[[#This Row],[QTE]]</f>
        <v>-19</v>
      </c>
      <c r="R473" s="18">
        <f t="shared" si="77"/>
        <v>133</v>
      </c>
      <c r="S473" s="18">
        <f t="shared" si="70"/>
        <v>133</v>
      </c>
      <c r="T473" s="19">
        <f t="shared" si="78"/>
        <v>0</v>
      </c>
      <c r="U473" s="16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79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4514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0"/>
        <v>P-073076-1/P190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1"/>
        <v>133</v>
      </c>
      <c r="AV473" s="37">
        <f t="shared" si="82"/>
        <v>133</v>
      </c>
      <c r="AW473" s="37"/>
    </row>
    <row r="474" spans="1:49" ht="15.75" hidden="1" customHeight="1" x14ac:dyDescent="0.25">
      <c r="A474" s="6" t="s">
        <v>2556</v>
      </c>
      <c r="B474" s="21"/>
      <c r="C474" s="7">
        <v>2</v>
      </c>
      <c r="D474" s="39" t="s">
        <v>2549</v>
      </c>
      <c r="E474" s="7">
        <v>3433</v>
      </c>
      <c r="F474" s="7">
        <v>21</v>
      </c>
      <c r="G474" s="23">
        <v>4</v>
      </c>
      <c r="H474" s="34">
        <f>Tabela1[[#This Row],[PESO UNI]]*Tabela1[[#This Row],[QTE]]</f>
        <v>8</v>
      </c>
      <c r="I474" s="7">
        <v>1</v>
      </c>
      <c r="J474" s="8" t="s">
        <v>2551</v>
      </c>
      <c r="K474" s="8" t="s">
        <v>31</v>
      </c>
      <c r="L474" s="9" t="s">
        <v>2552</v>
      </c>
      <c r="M474" s="10">
        <v>46120</v>
      </c>
      <c r="N474" s="11" t="s">
        <v>39</v>
      </c>
      <c r="O474" s="12"/>
      <c r="P474" s="13"/>
      <c r="Q474" s="14">
        <f>Tabela1[[#This Row],[QTDE/ Fabricação]]-Tabela1[[#This Row],[QTE]]</f>
        <v>-2</v>
      </c>
      <c r="R474" s="18">
        <f t="shared" si="77"/>
        <v>8</v>
      </c>
      <c r="S474" s="18">
        <f t="shared" si="70"/>
        <v>8</v>
      </c>
      <c r="T474" s="19">
        <f t="shared" si="78"/>
        <v>0</v>
      </c>
      <c r="U474" s="16">
        <v>2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8</v>
      </c>
      <c r="Y474" s="14">
        <f t="shared" si="79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4514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0"/>
        <v>P-024507-1/P190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1"/>
        <v>8</v>
      </c>
      <c r="AV474" s="37">
        <f t="shared" si="82"/>
        <v>8</v>
      </c>
      <c r="AW474" s="37"/>
    </row>
    <row r="475" spans="1:49" ht="15.75" hidden="1" customHeight="1" x14ac:dyDescent="0.25">
      <c r="A475" s="6" t="s">
        <v>2556</v>
      </c>
      <c r="B475" s="21"/>
      <c r="C475" s="7">
        <v>4</v>
      </c>
      <c r="D475" s="39" t="s">
        <v>2550</v>
      </c>
      <c r="E475" s="7">
        <v>3434</v>
      </c>
      <c r="F475" s="7">
        <v>21</v>
      </c>
      <c r="G475" s="23">
        <v>4</v>
      </c>
      <c r="H475" s="34">
        <f>Tabela1[[#This Row],[PESO UNI]]*Tabela1[[#This Row],[QTE]]</f>
        <v>16</v>
      </c>
      <c r="I475" s="7">
        <v>1</v>
      </c>
      <c r="J475" s="8" t="s">
        <v>2551</v>
      </c>
      <c r="K475" s="8" t="s">
        <v>31</v>
      </c>
      <c r="L475" s="9" t="s">
        <v>2552</v>
      </c>
      <c r="M475" s="10">
        <v>46120</v>
      </c>
      <c r="N475" s="11" t="s">
        <v>39</v>
      </c>
      <c r="O475" s="12"/>
      <c r="P475" s="13"/>
      <c r="Q475" s="14">
        <f>Tabela1[[#This Row],[QTDE/ Fabricação]]-Tabela1[[#This Row],[QTE]]</f>
        <v>-4</v>
      </c>
      <c r="R475" s="18">
        <f t="shared" si="77"/>
        <v>16</v>
      </c>
      <c r="S475" s="18">
        <f t="shared" si="70"/>
        <v>16</v>
      </c>
      <c r="T475" s="19">
        <f t="shared" si="78"/>
        <v>0</v>
      </c>
      <c r="U475" s="16">
        <v>4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16</v>
      </c>
      <c r="Y475" s="14">
        <f t="shared" si="79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4514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0"/>
        <v>P-024507-1/P190</v>
      </c>
      <c r="AP475" t="str">
        <f>Tabela1[[#This Row],[TAG]]&amp;Tabela1[[#This Row],[PEDIDO]]&amp;Tabela1[[#This Row],[PRODUTO]]</f>
        <v>P190P-190ESTRUTURA</v>
      </c>
      <c r="AQ475" s="22" t="str">
        <f>Tabela1[[#This Row],[PRODUTO]]&amp;Tabela1[[#This Row],[TAG]]</f>
        <v>ESTRUTURAP190</v>
      </c>
      <c r="AR475" s="24" t="str">
        <f>Tabela1[[#This Row],[PEDIDO]]&amp;Tabela1[[#This Row],[PRODUTO]]</f>
        <v>P-190ESTRUTURA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1"/>
        <v>16</v>
      </c>
      <c r="AV475" s="37">
        <f t="shared" si="82"/>
        <v>16</v>
      </c>
      <c r="AW475" s="37"/>
    </row>
    <row r="476" spans="1:49" ht="15.75" hidden="1" customHeight="1" x14ac:dyDescent="0.25">
      <c r="A476" s="6" t="s">
        <v>4341</v>
      </c>
      <c r="B476" s="21"/>
      <c r="C476" s="7">
        <v>4</v>
      </c>
      <c r="D476" s="39" t="s">
        <v>4342</v>
      </c>
      <c r="E476" s="7">
        <v>3436</v>
      </c>
      <c r="F476" s="7">
        <v>20</v>
      </c>
      <c r="G476" s="23">
        <v>23.8</v>
      </c>
      <c r="H476" s="34">
        <f>Tabela1[[#This Row],[PESO UNI]]*Tabela1[[#This Row],[QTE]]</f>
        <v>95.2</v>
      </c>
      <c r="I476" s="7">
        <v>0</v>
      </c>
      <c r="J476" s="8" t="s">
        <v>2551</v>
      </c>
      <c r="K476" s="8" t="s">
        <v>31</v>
      </c>
      <c r="L476" s="9" t="s">
        <v>2552</v>
      </c>
      <c r="M476" s="10">
        <v>46112</v>
      </c>
      <c r="N476" s="11" t="s">
        <v>39</v>
      </c>
      <c r="O476" s="12"/>
      <c r="P476" s="13"/>
      <c r="Q476" s="14">
        <f>Tabela1[[#This Row],[QTDE/ Fabricação]]-Tabela1[[#This Row],[QTE]]</f>
        <v>-4</v>
      </c>
      <c r="R476" s="18">
        <f t="shared" si="77"/>
        <v>95.2</v>
      </c>
      <c r="S476" s="18">
        <f t="shared" si="70"/>
        <v>95.2</v>
      </c>
      <c r="T476" s="19">
        <f t="shared" si="78"/>
        <v>0</v>
      </c>
      <c r="U476" s="16">
        <v>4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95.2</v>
      </c>
      <c r="Y476" s="14">
        <f t="shared" si="79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4514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0"/>
        <v>P-073074-1/P190</v>
      </c>
      <c r="AP476" t="str">
        <f>Tabela1[[#This Row],[TAG]]&amp;Tabela1[[#This Row],[PEDIDO]]&amp;Tabela1[[#This Row],[PRODUTO]]</f>
        <v>P190P-190ESTRUTURA</v>
      </c>
      <c r="AQ476" s="22" t="str">
        <f>Tabela1[[#This Row],[PRODUTO]]&amp;Tabela1[[#This Row],[TAG]]</f>
        <v>ESTRUTURAP190</v>
      </c>
      <c r="AR476" s="24" t="str">
        <f>Tabela1[[#This Row],[PEDIDO]]&amp;Tabela1[[#This Row],[PRODUTO]]</f>
        <v>P-190ESTRUTURA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1"/>
        <v>95.2</v>
      </c>
      <c r="AV476" s="37">
        <f t="shared" si="82"/>
        <v>95.2</v>
      </c>
      <c r="AW476" s="37"/>
    </row>
    <row r="477" spans="1:49" ht="15.75" hidden="1" customHeight="1" x14ac:dyDescent="0.25">
      <c r="A477" s="6" t="s">
        <v>4343</v>
      </c>
      <c r="B477" s="21"/>
      <c r="C477" s="7">
        <v>2</v>
      </c>
      <c r="D477" s="39" t="s">
        <v>4344</v>
      </c>
      <c r="E477" s="7">
        <v>3437</v>
      </c>
      <c r="F477" s="7">
        <v>19</v>
      </c>
      <c r="G477" s="23">
        <v>57</v>
      </c>
      <c r="H477" s="34">
        <f>Tabela1[[#This Row],[PESO UNI]]*Tabela1[[#This Row],[QTE]]</f>
        <v>114</v>
      </c>
      <c r="I477" s="7">
        <v>0</v>
      </c>
      <c r="J477" s="8" t="s">
        <v>2551</v>
      </c>
      <c r="K477" s="8" t="s">
        <v>32</v>
      </c>
      <c r="L477" s="9" t="s">
        <v>2552</v>
      </c>
      <c r="M477" s="10">
        <v>46134</v>
      </c>
      <c r="N477" s="11" t="s">
        <v>39</v>
      </c>
      <c r="O477" s="12"/>
      <c r="P477" s="13"/>
      <c r="Q477" s="14">
        <f>Tabela1[[#This Row],[QTDE/ Fabricação]]-Tabela1[[#This Row],[QTE]]</f>
        <v>-2</v>
      </c>
      <c r="R477" s="18">
        <f t="shared" si="77"/>
        <v>114</v>
      </c>
      <c r="S477" s="18">
        <f t="shared" si="70"/>
        <v>114</v>
      </c>
      <c r="T477" s="19">
        <f t="shared" si="78"/>
        <v>0</v>
      </c>
      <c r="U477" s="16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79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4514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0"/>
        <v>P-024502-1/P190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1"/>
        <v>114</v>
      </c>
      <c r="AV477" s="37">
        <f t="shared" si="82"/>
        <v>114</v>
      </c>
      <c r="AW477" s="37"/>
    </row>
    <row r="478" spans="1:49" ht="15.75" hidden="1" customHeight="1" x14ac:dyDescent="0.25">
      <c r="A478" s="6" t="s">
        <v>4345</v>
      </c>
      <c r="B478" s="21"/>
      <c r="C478" s="7">
        <v>1</v>
      </c>
      <c r="D478" s="39" t="s">
        <v>4346</v>
      </c>
      <c r="E478" s="7">
        <v>3438</v>
      </c>
      <c r="F478" s="7">
        <v>17</v>
      </c>
      <c r="G478" s="23">
        <v>29.1</v>
      </c>
      <c r="H478" s="34">
        <f>Tabela1[[#This Row],[PESO UNI]]*Tabela1[[#This Row],[QTE]]</f>
        <v>29.1</v>
      </c>
      <c r="I478" s="7">
        <v>1</v>
      </c>
      <c r="J478" s="8" t="s">
        <v>2551</v>
      </c>
      <c r="K478" s="8" t="s">
        <v>32</v>
      </c>
      <c r="L478" s="9" t="s">
        <v>2552</v>
      </c>
      <c r="M478" s="10">
        <v>46134</v>
      </c>
      <c r="N478" s="11" t="s">
        <v>39</v>
      </c>
      <c r="O478" s="12"/>
      <c r="P478" s="13"/>
      <c r="Q478" s="14">
        <f>Tabela1[[#This Row],[QTDE/ Fabricação]]-Tabela1[[#This Row],[QTE]]</f>
        <v>-1</v>
      </c>
      <c r="R478" s="18">
        <f t="shared" si="77"/>
        <v>29.1</v>
      </c>
      <c r="S478" s="18">
        <f t="shared" si="70"/>
        <v>29.1</v>
      </c>
      <c r="T478" s="19">
        <f t="shared" si="78"/>
        <v>0</v>
      </c>
      <c r="U478" s="16"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29.1</v>
      </c>
      <c r="Y478" s="14">
        <f t="shared" si="79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4514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0"/>
        <v>P-024504-1/P190</v>
      </c>
      <c r="AP478" t="str">
        <f>Tabela1[[#This Row],[TAG]]&amp;Tabela1[[#This Row],[PEDIDO]]&amp;Tabela1[[#This Row],[PRODUTO]]</f>
        <v>P190P-190USINAGEM</v>
      </c>
      <c r="AQ478" s="22" t="str">
        <f>Tabela1[[#This Row],[PRODUTO]]&amp;Tabela1[[#This Row],[TAG]]</f>
        <v>USINAGEMP190</v>
      </c>
      <c r="AR478" s="24" t="str">
        <f>Tabela1[[#This Row],[PEDIDO]]&amp;Tabela1[[#This Row],[PRODUTO]]</f>
        <v>P-190USINAGEM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1"/>
        <v>29.1</v>
      </c>
      <c r="AV478" s="37">
        <f t="shared" si="82"/>
        <v>29.1</v>
      </c>
      <c r="AW478" s="37"/>
    </row>
    <row r="479" spans="1:49" ht="15.75" hidden="1" customHeight="1" x14ac:dyDescent="0.25">
      <c r="A479" s="6" t="s">
        <v>4347</v>
      </c>
      <c r="B479" s="21"/>
      <c r="C479" s="7">
        <v>1</v>
      </c>
      <c r="D479" s="39" t="s">
        <v>4348</v>
      </c>
      <c r="E479" s="7">
        <v>3439</v>
      </c>
      <c r="F479" s="7">
        <v>16</v>
      </c>
      <c r="G479" s="23">
        <v>0.5</v>
      </c>
      <c r="H479" s="34">
        <f>Tabela1[[#This Row],[PESO UNI]]*Tabela1[[#This Row],[QTE]]</f>
        <v>0.5</v>
      </c>
      <c r="I479" s="7">
        <v>0</v>
      </c>
      <c r="J479" s="8" t="s">
        <v>2551</v>
      </c>
      <c r="K479" s="8" t="s">
        <v>32</v>
      </c>
      <c r="L479" s="9" t="s">
        <v>2552</v>
      </c>
      <c r="M479" s="10">
        <v>46134</v>
      </c>
      <c r="N479" s="11" t="s">
        <v>39</v>
      </c>
      <c r="O479" s="12"/>
      <c r="P479" s="13"/>
      <c r="Q479" s="14">
        <f>Tabela1[[#This Row],[QTDE/ Fabricação]]-Tabela1[[#This Row],[QTE]]</f>
        <v>-1</v>
      </c>
      <c r="R479" s="18">
        <f t="shared" si="77"/>
        <v>0.5</v>
      </c>
      <c r="S479" s="18">
        <f t="shared" si="70"/>
        <v>0.5</v>
      </c>
      <c r="T479" s="19">
        <f t="shared" si="78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79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4514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0"/>
        <v>P-024937-1/P190</v>
      </c>
      <c r="AP479" t="str">
        <f>Tabela1[[#This Row],[TAG]]&amp;Tabela1[[#This Row],[PEDIDO]]&amp;Tabela1[[#This Row],[PRODUTO]]</f>
        <v>P190P-190USINAGEM</v>
      </c>
      <c r="AQ479" s="22" t="str">
        <f>Tabela1[[#This Row],[PRODUTO]]&amp;Tabela1[[#This Row],[TAG]]</f>
        <v>USINAGEMP190</v>
      </c>
      <c r="AR479" s="24" t="str">
        <f>Tabela1[[#This Row],[PEDIDO]]&amp;Tabela1[[#This Row],[PRODUTO]]</f>
        <v>P-190USINAGEM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1"/>
        <v>0.5</v>
      </c>
      <c r="AV479" s="37">
        <f t="shared" si="82"/>
        <v>0.5</v>
      </c>
      <c r="AW479" s="37"/>
    </row>
    <row r="480" spans="1:49" ht="15.75" hidden="1" customHeight="1" x14ac:dyDescent="0.25">
      <c r="A480" s="6" t="s">
        <v>4349</v>
      </c>
      <c r="B480" s="21"/>
      <c r="C480" s="7">
        <v>1</v>
      </c>
      <c r="D480" s="39" t="s">
        <v>4350</v>
      </c>
      <c r="E480" s="7">
        <v>3440</v>
      </c>
      <c r="F480" s="7">
        <v>16</v>
      </c>
      <c r="G480" s="23">
        <v>5</v>
      </c>
      <c r="H480" s="34">
        <f>Tabela1[[#This Row],[PESO UNI]]*Tabela1[[#This Row],[QTE]]</f>
        <v>5</v>
      </c>
      <c r="I480" s="7">
        <v>1</v>
      </c>
      <c r="J480" s="8" t="s">
        <v>2551</v>
      </c>
      <c r="K480" s="8" t="s">
        <v>31</v>
      </c>
      <c r="L480" s="9" t="s">
        <v>2552</v>
      </c>
      <c r="M480" s="10">
        <v>46112</v>
      </c>
      <c r="N480" s="11" t="s">
        <v>39</v>
      </c>
      <c r="O480" s="12"/>
      <c r="P480" s="13"/>
      <c r="Q480" s="14">
        <f>Tabela1[[#This Row],[QTDE/ Fabricação]]-Tabela1[[#This Row],[QTE]]</f>
        <v>-1</v>
      </c>
      <c r="R480" s="18">
        <f t="shared" si="77"/>
        <v>5</v>
      </c>
      <c r="S480" s="18">
        <f t="shared" si="70"/>
        <v>5</v>
      </c>
      <c r="T480" s="19">
        <f t="shared" si="78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79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4514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0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1"/>
        <v>5</v>
      </c>
      <c r="AV480" s="37">
        <f t="shared" si="82"/>
        <v>5</v>
      </c>
      <c r="AW480" s="37"/>
    </row>
    <row r="481" spans="1:49" ht="15.75" hidden="1" customHeight="1" x14ac:dyDescent="0.25">
      <c r="A481" s="6" t="s">
        <v>4349</v>
      </c>
      <c r="B481" s="21"/>
      <c r="C481" s="7">
        <v>1</v>
      </c>
      <c r="D481" s="39" t="s">
        <v>4351</v>
      </c>
      <c r="E481" s="7">
        <v>3441</v>
      </c>
      <c r="F481" s="7">
        <v>16</v>
      </c>
      <c r="G481" s="23">
        <v>2</v>
      </c>
      <c r="H481" s="34">
        <f>Tabela1[[#This Row],[PESO UNI]]*Tabela1[[#This Row],[QTE]]</f>
        <v>2</v>
      </c>
      <c r="I481" s="7">
        <v>1</v>
      </c>
      <c r="J481" s="8" t="s">
        <v>2551</v>
      </c>
      <c r="K481" s="8" t="s">
        <v>31</v>
      </c>
      <c r="L481" s="9" t="s">
        <v>2552</v>
      </c>
      <c r="M481" s="10">
        <v>46112</v>
      </c>
      <c r="N481" s="11" t="s">
        <v>39</v>
      </c>
      <c r="O481" s="12"/>
      <c r="P481" s="13"/>
      <c r="Q481" s="14">
        <f>Tabela1[[#This Row],[QTDE/ Fabricação]]-Tabela1[[#This Row],[QTE]]</f>
        <v>-1</v>
      </c>
      <c r="R481" s="18">
        <f t="shared" si="77"/>
        <v>2</v>
      </c>
      <c r="S481" s="18">
        <f t="shared" si="70"/>
        <v>2</v>
      </c>
      <c r="T481" s="19">
        <f t="shared" si="78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79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4514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0"/>
        <v>P-024936-1/P190</v>
      </c>
      <c r="AP481" t="str">
        <f>Tabela1[[#This Row],[TAG]]&amp;Tabela1[[#This Row],[PEDIDO]]&amp;Tabela1[[#This Row],[PRODUTO]]</f>
        <v>P190P-190ESTRUTURA</v>
      </c>
      <c r="AQ481" s="22" t="str">
        <f>Tabela1[[#This Row],[PRODUTO]]&amp;Tabela1[[#This Row],[TAG]]</f>
        <v>ESTRUTURAP190</v>
      </c>
      <c r="AR481" s="24" t="str">
        <f>Tabela1[[#This Row],[PEDIDO]]&amp;Tabela1[[#This Row],[PRODUTO]]</f>
        <v>P-190ESTRUTURA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1"/>
        <v>2</v>
      </c>
      <c r="AV481" s="37">
        <f t="shared" si="82"/>
        <v>2</v>
      </c>
      <c r="AW481" s="37"/>
    </row>
    <row r="482" spans="1:49" ht="15.75" hidden="1" customHeight="1" x14ac:dyDescent="0.25">
      <c r="A482" s="6" t="s">
        <v>4349</v>
      </c>
      <c r="B482" s="21"/>
      <c r="C482" s="7">
        <v>1</v>
      </c>
      <c r="D482" s="39" t="s">
        <v>4352</v>
      </c>
      <c r="E482" s="7">
        <v>3442</v>
      </c>
      <c r="F482" s="7">
        <v>16</v>
      </c>
      <c r="G482" s="23">
        <v>5.0999999999999996</v>
      </c>
      <c r="H482" s="34">
        <f>Tabela1[[#This Row],[PESO UNI]]*Tabela1[[#This Row],[QTE]]</f>
        <v>5.0999999999999996</v>
      </c>
      <c r="I482" s="7">
        <v>1</v>
      </c>
      <c r="J482" s="8" t="s">
        <v>2551</v>
      </c>
      <c r="K482" s="8" t="s">
        <v>31</v>
      </c>
      <c r="L482" s="9" t="s">
        <v>2552</v>
      </c>
      <c r="M482" s="10">
        <v>46112</v>
      </c>
      <c r="N482" s="11" t="s">
        <v>39</v>
      </c>
      <c r="O482" s="12"/>
      <c r="P482" s="13"/>
      <c r="Q482" s="14">
        <f>Tabela1[[#This Row],[QTDE/ Fabricação]]-Tabela1[[#This Row],[QTE]]</f>
        <v>-1</v>
      </c>
      <c r="R482" s="18">
        <f t="shared" si="77"/>
        <v>5.0999999999999996</v>
      </c>
      <c r="S482" s="18">
        <f t="shared" si="70"/>
        <v>5.0999999999999996</v>
      </c>
      <c r="T482" s="19">
        <f t="shared" si="78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79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4514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0"/>
        <v>P-024936-1/P190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1"/>
        <v>5.0999999999999996</v>
      </c>
      <c r="AV482" s="37">
        <f t="shared" si="82"/>
        <v>5.0999999999999996</v>
      </c>
      <c r="AW482" s="37"/>
    </row>
    <row r="483" spans="1:49" ht="15.75" hidden="1" customHeight="1" x14ac:dyDescent="0.25">
      <c r="A483" s="6" t="s">
        <v>4353</v>
      </c>
      <c r="B483" s="21"/>
      <c r="C483" s="7">
        <v>1</v>
      </c>
      <c r="D483" s="39" t="s">
        <v>4354</v>
      </c>
      <c r="E483" s="7">
        <v>3443</v>
      </c>
      <c r="F483" s="7">
        <v>15</v>
      </c>
      <c r="G483" s="23">
        <v>628.70000000000005</v>
      </c>
      <c r="H483" s="34">
        <f>Tabela1[[#This Row],[PESO UNI]]*Tabela1[[#This Row],[QTE]]</f>
        <v>628.70000000000005</v>
      </c>
      <c r="I483" s="7">
        <v>1</v>
      </c>
      <c r="J483" s="8" t="s">
        <v>2551</v>
      </c>
      <c r="K483" s="8" t="s">
        <v>22</v>
      </c>
      <c r="L483" s="9" t="s">
        <v>2552</v>
      </c>
      <c r="M483" s="10">
        <v>46119</v>
      </c>
      <c r="N483" s="11" t="s">
        <v>39</v>
      </c>
      <c r="O483" s="12"/>
      <c r="P483" s="13"/>
      <c r="Q483" s="14">
        <f>Tabela1[[#This Row],[QTDE/ Fabricação]]-Tabela1[[#This Row],[QTE]]</f>
        <v>-1</v>
      </c>
      <c r="R483" s="18">
        <f t="shared" si="77"/>
        <v>628.70000000000005</v>
      </c>
      <c r="S483" s="18">
        <f t="shared" si="70"/>
        <v>628.70000000000005</v>
      </c>
      <c r="T483" s="19">
        <f t="shared" si="78"/>
        <v>0</v>
      </c>
      <c r="U483" s="16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79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4514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0"/>
        <v>P-073062-1/P190</v>
      </c>
      <c r="AP483" t="str">
        <f>Tabela1[[#This Row],[TAG]]&amp;Tabela1[[#This Row],[PEDIDO]]&amp;Tabela1[[#This Row],[PRODUTO]]</f>
        <v>P190P-190TAMBOR</v>
      </c>
      <c r="AQ483" s="22" t="str">
        <f>Tabela1[[#This Row],[PRODUTO]]&amp;Tabela1[[#This Row],[TAG]]</f>
        <v>TAMBORP190</v>
      </c>
      <c r="AR483" s="24" t="str">
        <f>Tabela1[[#This Row],[PEDIDO]]&amp;Tabela1[[#This Row],[PRODUTO]]</f>
        <v>P-190TAMBOR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1"/>
        <v>628.70000000000005</v>
      </c>
      <c r="AV483" s="37">
        <f t="shared" si="82"/>
        <v>628.70000000000005</v>
      </c>
      <c r="AW483" s="37"/>
    </row>
    <row r="484" spans="1:49" ht="15.75" hidden="1" customHeight="1" x14ac:dyDescent="0.25">
      <c r="A484" s="6" t="s">
        <v>4353</v>
      </c>
      <c r="B484" s="21"/>
      <c r="C484" s="7">
        <v>1</v>
      </c>
      <c r="D484" s="39" t="s">
        <v>4355</v>
      </c>
      <c r="E484" s="7">
        <v>3444</v>
      </c>
      <c r="F484" s="7">
        <v>15</v>
      </c>
      <c r="G484" s="23">
        <v>11.1</v>
      </c>
      <c r="H484" s="34">
        <f>Tabela1[[#This Row],[PESO UNI]]*Tabela1[[#This Row],[QTE]]</f>
        <v>11.1</v>
      </c>
      <c r="I484" s="7">
        <v>1</v>
      </c>
      <c r="J484" s="8" t="s">
        <v>2551</v>
      </c>
      <c r="K484" s="8" t="s">
        <v>22</v>
      </c>
      <c r="L484" s="9" t="s">
        <v>2552</v>
      </c>
      <c r="M484" s="10">
        <v>46119</v>
      </c>
      <c r="N484" s="11" t="s">
        <v>39</v>
      </c>
      <c r="O484" s="12"/>
      <c r="P484" s="13"/>
      <c r="Q484" s="14">
        <f>Tabela1[[#This Row],[QTDE/ Fabricação]]-Tabela1[[#This Row],[QTE]]</f>
        <v>-1</v>
      </c>
      <c r="R484" s="18">
        <f t="shared" si="77"/>
        <v>11.1</v>
      </c>
      <c r="S484" s="18">
        <f t="shared" si="70"/>
        <v>11.1</v>
      </c>
      <c r="T484" s="19">
        <f t="shared" si="78"/>
        <v>0</v>
      </c>
      <c r="U484" s="16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79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4514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0"/>
        <v>P-073062-1/P190</v>
      </c>
      <c r="AP484" t="str">
        <f>Tabela1[[#This Row],[TAG]]&amp;Tabela1[[#This Row],[PEDIDO]]&amp;Tabela1[[#This Row],[PRODUTO]]</f>
        <v>P190P-190TAMBOR</v>
      </c>
      <c r="AQ484" s="22" t="str">
        <f>Tabela1[[#This Row],[PRODUTO]]&amp;Tabela1[[#This Row],[TAG]]</f>
        <v>TAMBORP190</v>
      </c>
      <c r="AR484" s="24" t="str">
        <f>Tabela1[[#This Row],[PEDIDO]]&amp;Tabela1[[#This Row],[PRODUTO]]</f>
        <v>P-190TAMBOR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1"/>
        <v>11.1</v>
      </c>
      <c r="AV484" s="37">
        <f t="shared" si="82"/>
        <v>11.1</v>
      </c>
      <c r="AW484" s="37"/>
    </row>
    <row r="485" spans="1:49" ht="15.75" hidden="1" customHeight="1" x14ac:dyDescent="0.25">
      <c r="A485" s="6" t="s">
        <v>4356</v>
      </c>
      <c r="B485" s="21"/>
      <c r="C485" s="7">
        <v>1</v>
      </c>
      <c r="D485" s="39" t="s">
        <v>4357</v>
      </c>
      <c r="E485" s="7">
        <v>3445</v>
      </c>
      <c r="F485" s="7">
        <v>13</v>
      </c>
      <c r="G485" s="23">
        <v>25.3</v>
      </c>
      <c r="H485" s="34">
        <f>Tabela1[[#This Row],[PESO UNI]]*Tabela1[[#This Row],[QTE]]</f>
        <v>25.3</v>
      </c>
      <c r="I485" s="7">
        <v>1</v>
      </c>
      <c r="J485" s="8" t="s">
        <v>2551</v>
      </c>
      <c r="K485" s="8" t="s">
        <v>31</v>
      </c>
      <c r="L485" s="9" t="s">
        <v>2552</v>
      </c>
      <c r="M485" s="10">
        <v>46123</v>
      </c>
      <c r="N485" s="11" t="s">
        <v>39</v>
      </c>
      <c r="O485" s="12"/>
      <c r="P485" s="13"/>
      <c r="Q485" s="14">
        <f>Tabela1[[#This Row],[QTDE/ Fabricação]]-Tabela1[[#This Row],[QTE]]</f>
        <v>-1</v>
      </c>
      <c r="R485" s="18">
        <f t="shared" si="77"/>
        <v>25.3</v>
      </c>
      <c r="S485" s="18">
        <f t="shared" si="70"/>
        <v>25.3</v>
      </c>
      <c r="T485" s="19">
        <f t="shared" si="78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25.3</v>
      </c>
      <c r="Y485" s="14">
        <f t="shared" si="79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4514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0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1"/>
        <v>25.3</v>
      </c>
      <c r="AV485" s="37">
        <f t="shared" si="82"/>
        <v>25.3</v>
      </c>
      <c r="AW485" s="37"/>
    </row>
    <row r="486" spans="1:49" ht="15.75" hidden="1" customHeight="1" x14ac:dyDescent="0.25">
      <c r="A486" s="6" t="s">
        <v>4356</v>
      </c>
      <c r="B486" s="21"/>
      <c r="C486" s="7">
        <v>1</v>
      </c>
      <c r="D486" s="39" t="s">
        <v>4358</v>
      </c>
      <c r="E486" s="7">
        <v>3446</v>
      </c>
      <c r="F486" s="7">
        <v>13</v>
      </c>
      <c r="G486" s="23">
        <v>12.3</v>
      </c>
      <c r="H486" s="34">
        <f>Tabela1[[#This Row],[PESO UNI]]*Tabela1[[#This Row],[QTE]]</f>
        <v>12.3</v>
      </c>
      <c r="I486" s="7">
        <v>1</v>
      </c>
      <c r="J486" s="8" t="s">
        <v>2551</v>
      </c>
      <c r="K486" s="8" t="s">
        <v>31</v>
      </c>
      <c r="L486" s="9" t="s">
        <v>2552</v>
      </c>
      <c r="M486" s="10">
        <v>46123</v>
      </c>
      <c r="N486" s="11" t="s">
        <v>39</v>
      </c>
      <c r="O486" s="12"/>
      <c r="P486" s="13"/>
      <c r="Q486" s="14">
        <f>Tabela1[[#This Row],[QTDE/ Fabricação]]-Tabela1[[#This Row],[QTE]]</f>
        <v>-1</v>
      </c>
      <c r="R486" s="18">
        <f t="shared" si="77"/>
        <v>12.3</v>
      </c>
      <c r="S486" s="18">
        <f t="shared" si="70"/>
        <v>12.3</v>
      </c>
      <c r="T486" s="19">
        <f t="shared" si="78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12.3</v>
      </c>
      <c r="Y486" s="14">
        <f t="shared" si="79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4514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0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1"/>
        <v>12.3</v>
      </c>
      <c r="AV486" s="37">
        <f t="shared" si="82"/>
        <v>12.3</v>
      </c>
      <c r="AW486" s="37"/>
    </row>
    <row r="487" spans="1:49" ht="15.75" hidden="1" customHeight="1" x14ac:dyDescent="0.25">
      <c r="A487" s="6" t="s">
        <v>4356</v>
      </c>
      <c r="B487" s="21"/>
      <c r="C487" s="7">
        <v>1</v>
      </c>
      <c r="D487" s="39" t="s">
        <v>4359</v>
      </c>
      <c r="E487" s="7">
        <v>3447</v>
      </c>
      <c r="F487" s="7">
        <v>13</v>
      </c>
      <c r="G487" s="23">
        <v>4.2</v>
      </c>
      <c r="H487" s="34">
        <f>Tabela1[[#This Row],[PESO UNI]]*Tabela1[[#This Row],[QTE]]</f>
        <v>4.2</v>
      </c>
      <c r="I487" s="7">
        <v>1</v>
      </c>
      <c r="J487" s="8" t="s">
        <v>2551</v>
      </c>
      <c r="K487" s="8" t="s">
        <v>31</v>
      </c>
      <c r="L487" s="9" t="s">
        <v>2552</v>
      </c>
      <c r="M487" s="10">
        <v>46123</v>
      </c>
      <c r="N487" s="11" t="s">
        <v>39</v>
      </c>
      <c r="O487" s="12"/>
      <c r="P487" s="13"/>
      <c r="Q487" s="14">
        <f>Tabela1[[#This Row],[QTDE/ Fabricação]]-Tabela1[[#This Row],[QTE]]</f>
        <v>-1</v>
      </c>
      <c r="R487" s="18">
        <f t="shared" si="77"/>
        <v>4.2</v>
      </c>
      <c r="S487" s="18">
        <f t="shared" si="70"/>
        <v>4.2</v>
      </c>
      <c r="T487" s="19">
        <f t="shared" si="78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4.2</v>
      </c>
      <c r="Y487" s="14">
        <f t="shared" si="79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4514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0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1"/>
        <v>4.2</v>
      </c>
      <c r="AV487" s="37">
        <f t="shared" si="82"/>
        <v>4.2</v>
      </c>
      <c r="AW487" s="37"/>
    </row>
    <row r="488" spans="1:49" ht="15.75" hidden="1" customHeight="1" x14ac:dyDescent="0.25">
      <c r="A488" s="6" t="s">
        <v>4356</v>
      </c>
      <c r="B488" s="21"/>
      <c r="C488" s="7">
        <v>1</v>
      </c>
      <c r="D488" s="39" t="s">
        <v>4360</v>
      </c>
      <c r="E488" s="7">
        <v>3448</v>
      </c>
      <c r="F488" s="7">
        <v>13</v>
      </c>
      <c r="G488" s="23">
        <v>0.5</v>
      </c>
      <c r="H488" s="34">
        <f>Tabela1[[#This Row],[PESO UNI]]*Tabela1[[#This Row],[QTE]]</f>
        <v>0.5</v>
      </c>
      <c r="I488" s="7">
        <v>1</v>
      </c>
      <c r="J488" s="8" t="s">
        <v>2551</v>
      </c>
      <c r="K488" s="8" t="s">
        <v>31</v>
      </c>
      <c r="L488" s="9" t="s">
        <v>2552</v>
      </c>
      <c r="M488" s="10">
        <v>46123</v>
      </c>
      <c r="N488" s="11" t="s">
        <v>39</v>
      </c>
      <c r="O488" s="12"/>
      <c r="P488" s="13"/>
      <c r="Q488" s="14">
        <f>Tabela1[[#This Row],[QTDE/ Fabricação]]-Tabela1[[#This Row],[QTE]]</f>
        <v>-1</v>
      </c>
      <c r="R488" s="18">
        <f t="shared" si="77"/>
        <v>0.5</v>
      </c>
      <c r="S488" s="18">
        <f t="shared" si="70"/>
        <v>0.5</v>
      </c>
      <c r="T488" s="19">
        <f t="shared" si="78"/>
        <v>0</v>
      </c>
      <c r="U488" s="16">
        <v>1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0.5</v>
      </c>
      <c r="Y488" s="14">
        <f t="shared" si="79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4514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0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1"/>
        <v>0.5</v>
      </c>
      <c r="AV488" s="37">
        <f t="shared" si="82"/>
        <v>0.5</v>
      </c>
      <c r="AW488" s="37"/>
    </row>
    <row r="489" spans="1:49" ht="15.75" hidden="1" customHeight="1" x14ac:dyDescent="0.25">
      <c r="A489" s="6" t="s">
        <v>4356</v>
      </c>
      <c r="B489" s="21"/>
      <c r="C489" s="7">
        <v>1</v>
      </c>
      <c r="D489" s="39" t="s">
        <v>4361</v>
      </c>
      <c r="E489" s="7">
        <v>3449</v>
      </c>
      <c r="F489" s="7">
        <v>13</v>
      </c>
      <c r="G489" s="23">
        <v>0.2</v>
      </c>
      <c r="H489" s="34">
        <f>Tabela1[[#This Row],[PESO UNI]]*Tabela1[[#This Row],[QTE]]</f>
        <v>0.2</v>
      </c>
      <c r="I489" s="7">
        <v>1</v>
      </c>
      <c r="J489" s="8" t="s">
        <v>2551</v>
      </c>
      <c r="K489" s="8" t="s">
        <v>31</v>
      </c>
      <c r="L489" s="9" t="s">
        <v>2552</v>
      </c>
      <c r="M489" s="10">
        <v>46123</v>
      </c>
      <c r="N489" s="11" t="s">
        <v>39</v>
      </c>
      <c r="O489" s="12"/>
      <c r="P489" s="13"/>
      <c r="Q489" s="14">
        <f>Tabela1[[#This Row],[QTDE/ Fabricação]]-Tabela1[[#This Row],[QTE]]</f>
        <v>-1</v>
      </c>
      <c r="R489" s="18">
        <f t="shared" si="77"/>
        <v>0.2</v>
      </c>
      <c r="S489" s="18">
        <f t="shared" si="70"/>
        <v>0.2</v>
      </c>
      <c r="T489" s="19">
        <f t="shared" si="78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0.2</v>
      </c>
      <c r="Y489" s="14">
        <f t="shared" si="79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4514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0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1"/>
        <v>0.2</v>
      </c>
      <c r="AV489" s="37">
        <f t="shared" si="82"/>
        <v>0.2</v>
      </c>
      <c r="AW489" s="37"/>
    </row>
    <row r="490" spans="1:49" ht="15.75" hidden="1" customHeight="1" x14ac:dyDescent="0.25">
      <c r="A490" s="6" t="s">
        <v>4356</v>
      </c>
      <c r="B490" s="21"/>
      <c r="C490" s="7">
        <v>2</v>
      </c>
      <c r="D490" s="39" t="s">
        <v>4362</v>
      </c>
      <c r="E490" s="7">
        <v>3450</v>
      </c>
      <c r="F490" s="7">
        <v>13</v>
      </c>
      <c r="G490" s="23">
        <v>7</v>
      </c>
      <c r="H490" s="34">
        <f>Tabela1[[#This Row],[PESO UNI]]*Tabela1[[#This Row],[QTE]]</f>
        <v>14</v>
      </c>
      <c r="I490" s="7">
        <v>1</v>
      </c>
      <c r="J490" s="8" t="s">
        <v>2551</v>
      </c>
      <c r="K490" s="8" t="s">
        <v>31</v>
      </c>
      <c r="L490" s="9" t="s">
        <v>2552</v>
      </c>
      <c r="M490" s="10">
        <v>46123</v>
      </c>
      <c r="N490" s="11" t="s">
        <v>39</v>
      </c>
      <c r="O490" s="12"/>
      <c r="P490" s="13"/>
      <c r="Q490" s="14">
        <f>Tabela1[[#This Row],[QTDE/ Fabricação]]-Tabela1[[#This Row],[QTE]]</f>
        <v>-2</v>
      </c>
      <c r="R490" s="18">
        <f t="shared" si="77"/>
        <v>14</v>
      </c>
      <c r="S490" s="18">
        <f t="shared" si="70"/>
        <v>14</v>
      </c>
      <c r="T490" s="19">
        <f t="shared" si="78"/>
        <v>0</v>
      </c>
      <c r="U490" s="16">
        <v>2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14</v>
      </c>
      <c r="Y490" s="14">
        <f t="shared" si="79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4514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0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1"/>
        <v>14</v>
      </c>
      <c r="AV490" s="37">
        <f t="shared" si="82"/>
        <v>14</v>
      </c>
      <c r="AW490" s="37"/>
    </row>
    <row r="491" spans="1:49" ht="15.75" hidden="1" customHeight="1" x14ac:dyDescent="0.25">
      <c r="A491" s="6" t="s">
        <v>4356</v>
      </c>
      <c r="B491" s="21"/>
      <c r="C491" s="7">
        <v>2</v>
      </c>
      <c r="D491" s="39" t="s">
        <v>4363</v>
      </c>
      <c r="E491" s="7">
        <v>3451</v>
      </c>
      <c r="F491" s="7">
        <v>13</v>
      </c>
      <c r="G491" s="23">
        <v>0.8</v>
      </c>
      <c r="H491" s="34">
        <f>Tabela1[[#This Row],[PESO UNI]]*Tabela1[[#This Row],[QTE]]</f>
        <v>1.6</v>
      </c>
      <c r="I491" s="7">
        <v>1</v>
      </c>
      <c r="J491" s="8" t="s">
        <v>2551</v>
      </c>
      <c r="K491" s="8" t="s">
        <v>31</v>
      </c>
      <c r="L491" s="9" t="s">
        <v>2552</v>
      </c>
      <c r="M491" s="10">
        <v>46123</v>
      </c>
      <c r="N491" s="11" t="s">
        <v>39</v>
      </c>
      <c r="O491" s="12"/>
      <c r="P491" s="13"/>
      <c r="Q491" s="14">
        <f>Tabela1[[#This Row],[QTDE/ Fabricação]]-Tabela1[[#This Row],[QTE]]</f>
        <v>-2</v>
      </c>
      <c r="R491" s="18">
        <f t="shared" si="77"/>
        <v>1.6</v>
      </c>
      <c r="S491" s="18">
        <f t="shared" si="70"/>
        <v>1.6</v>
      </c>
      <c r="T491" s="19">
        <f t="shared" si="78"/>
        <v>0</v>
      </c>
      <c r="U491" s="16">
        <v>2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1.6</v>
      </c>
      <c r="Y491" s="14">
        <f t="shared" si="79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4514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0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1"/>
        <v>1.6</v>
      </c>
      <c r="AV491" s="37">
        <f t="shared" si="82"/>
        <v>1.6</v>
      </c>
      <c r="AW491" s="37"/>
    </row>
    <row r="492" spans="1:49" ht="15.75" hidden="1" customHeight="1" x14ac:dyDescent="0.25">
      <c r="A492" s="6" t="s">
        <v>4356</v>
      </c>
      <c r="B492" s="21"/>
      <c r="C492" s="7">
        <v>1</v>
      </c>
      <c r="D492" s="39" t="s">
        <v>4364</v>
      </c>
      <c r="E492" s="7">
        <v>3452</v>
      </c>
      <c r="F492" s="7">
        <v>13</v>
      </c>
      <c r="G492" s="23">
        <v>0.6</v>
      </c>
      <c r="H492" s="34">
        <f>Tabela1[[#This Row],[PESO UNI]]*Tabela1[[#This Row],[QTE]]</f>
        <v>0.6</v>
      </c>
      <c r="I492" s="7">
        <v>1</v>
      </c>
      <c r="J492" s="8" t="s">
        <v>2551</v>
      </c>
      <c r="K492" s="8" t="s">
        <v>31</v>
      </c>
      <c r="L492" s="9" t="s">
        <v>2552</v>
      </c>
      <c r="M492" s="10">
        <v>46123</v>
      </c>
      <c r="N492" s="11" t="s">
        <v>39</v>
      </c>
      <c r="O492" s="12"/>
      <c r="P492" s="13"/>
      <c r="Q492" s="14">
        <f>Tabela1[[#This Row],[QTDE/ Fabricação]]-Tabela1[[#This Row],[QTE]]</f>
        <v>-1</v>
      </c>
      <c r="R492" s="18">
        <f t="shared" si="77"/>
        <v>0.6</v>
      </c>
      <c r="S492" s="18">
        <f t="shared" si="70"/>
        <v>0.6</v>
      </c>
      <c r="T492" s="19">
        <f t="shared" si="78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0.6</v>
      </c>
      <c r="Y492" s="14">
        <f t="shared" si="79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4514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0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1"/>
        <v>0.6</v>
      </c>
      <c r="AV492" s="37">
        <f t="shared" si="82"/>
        <v>0.6</v>
      </c>
      <c r="AW492" s="37"/>
    </row>
    <row r="493" spans="1:49" ht="15.75" hidden="1" customHeight="1" x14ac:dyDescent="0.25">
      <c r="A493" s="6" t="s">
        <v>4356</v>
      </c>
      <c r="B493" s="21"/>
      <c r="C493" s="7">
        <v>1</v>
      </c>
      <c r="D493" s="39" t="s">
        <v>4365</v>
      </c>
      <c r="E493" s="7">
        <v>3453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2551</v>
      </c>
      <c r="K493" s="8" t="s">
        <v>31</v>
      </c>
      <c r="L493" s="9" t="s">
        <v>2552</v>
      </c>
      <c r="M493" s="10">
        <v>46123</v>
      </c>
      <c r="N493" s="11" t="s">
        <v>39</v>
      </c>
      <c r="O493" s="12"/>
      <c r="P493" s="13"/>
      <c r="Q493" s="14">
        <f>Tabela1[[#This Row],[QTDE/ Fabricação]]-Tabela1[[#This Row],[QTE]]</f>
        <v>-1</v>
      </c>
      <c r="R493" s="18">
        <f t="shared" si="77"/>
        <v>0.1</v>
      </c>
      <c r="S493" s="18">
        <f t="shared" si="70"/>
        <v>0.1</v>
      </c>
      <c r="T493" s="19">
        <f t="shared" si="78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79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4514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0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1"/>
        <v>0.1</v>
      </c>
      <c r="AV493" s="37">
        <f t="shared" si="82"/>
        <v>0.1</v>
      </c>
      <c r="AW493" s="37"/>
    </row>
    <row r="494" spans="1:49" ht="15.75" hidden="1" customHeight="1" x14ac:dyDescent="0.25">
      <c r="A494" s="6" t="s">
        <v>4356</v>
      </c>
      <c r="B494" s="21"/>
      <c r="C494" s="7">
        <v>1</v>
      </c>
      <c r="D494" s="39" t="s">
        <v>4366</v>
      </c>
      <c r="E494" s="7">
        <v>3454</v>
      </c>
      <c r="F494" s="7">
        <v>13</v>
      </c>
      <c r="G494" s="23">
        <v>0.1</v>
      </c>
      <c r="H494" s="34">
        <f>Tabela1[[#This Row],[PESO UNI]]*Tabela1[[#This Row],[QTE]]</f>
        <v>0.1</v>
      </c>
      <c r="I494" s="7">
        <v>1</v>
      </c>
      <c r="J494" s="8" t="s">
        <v>2551</v>
      </c>
      <c r="K494" s="8" t="s">
        <v>31</v>
      </c>
      <c r="L494" s="9" t="s">
        <v>2552</v>
      </c>
      <c r="M494" s="10">
        <v>46123</v>
      </c>
      <c r="N494" s="11" t="s">
        <v>39</v>
      </c>
      <c r="O494" s="12"/>
      <c r="P494" s="13"/>
      <c r="Q494" s="14">
        <f>Tabela1[[#This Row],[QTDE/ Fabricação]]-Tabela1[[#This Row],[QTE]]</f>
        <v>-1</v>
      </c>
      <c r="R494" s="18">
        <f t="shared" si="77"/>
        <v>0.1</v>
      </c>
      <c r="S494" s="18">
        <f t="shared" si="70"/>
        <v>0.1</v>
      </c>
      <c r="T494" s="19">
        <f t="shared" si="78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0.1</v>
      </c>
      <c r="Y494" s="14">
        <f t="shared" si="79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4514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0"/>
        <v>P-024506-1/P190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1"/>
        <v>0.1</v>
      </c>
      <c r="AV494" s="37">
        <f t="shared" si="82"/>
        <v>0.1</v>
      </c>
      <c r="AW494" s="37"/>
    </row>
    <row r="495" spans="1:49" ht="15.75" hidden="1" customHeight="1" x14ac:dyDescent="0.25">
      <c r="A495" s="6" t="s">
        <v>4356</v>
      </c>
      <c r="B495" s="21"/>
      <c r="C495" s="7">
        <v>1</v>
      </c>
      <c r="D495" s="39" t="s">
        <v>4367</v>
      </c>
      <c r="E495" s="7">
        <v>3455</v>
      </c>
      <c r="F495" s="7">
        <v>13</v>
      </c>
      <c r="G495" s="23">
        <v>0.1</v>
      </c>
      <c r="H495" s="34">
        <f>Tabela1[[#This Row],[PESO UNI]]*Tabela1[[#This Row],[QTE]]</f>
        <v>0.1</v>
      </c>
      <c r="I495" s="7">
        <v>1</v>
      </c>
      <c r="J495" s="8" t="s">
        <v>2551</v>
      </c>
      <c r="K495" s="8" t="s">
        <v>31</v>
      </c>
      <c r="L495" s="9" t="s">
        <v>2552</v>
      </c>
      <c r="M495" s="10">
        <v>46123</v>
      </c>
      <c r="N495" s="11" t="s">
        <v>39</v>
      </c>
      <c r="O495" s="12"/>
      <c r="P495" s="13"/>
      <c r="Q495" s="14">
        <f>Tabela1[[#This Row],[QTDE/ Fabricação]]-Tabela1[[#This Row],[QTE]]</f>
        <v>-1</v>
      </c>
      <c r="R495" s="18">
        <f t="shared" si="77"/>
        <v>0.1</v>
      </c>
      <c r="S495" s="18">
        <f t="shared" si="70"/>
        <v>0.1</v>
      </c>
      <c r="T495" s="19">
        <f t="shared" si="78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0.1</v>
      </c>
      <c r="Y495" s="14">
        <f t="shared" si="79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4514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0"/>
        <v>P-024506-1/P190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1"/>
        <v>0.1</v>
      </c>
      <c r="AV495" s="37">
        <f t="shared" si="82"/>
        <v>0.1</v>
      </c>
      <c r="AW495" s="37"/>
    </row>
    <row r="496" spans="1:49" ht="15.75" hidden="1" customHeight="1" x14ac:dyDescent="0.25">
      <c r="A496" s="6" t="s">
        <v>4368</v>
      </c>
      <c r="B496" s="21"/>
      <c r="C496" s="7">
        <v>1</v>
      </c>
      <c r="D496" s="39" t="s">
        <v>4369</v>
      </c>
      <c r="E496" s="7">
        <v>3456</v>
      </c>
      <c r="F496" s="7">
        <v>12</v>
      </c>
      <c r="G496" s="23">
        <v>0.2</v>
      </c>
      <c r="H496" s="34">
        <f>Tabela1[[#This Row],[PESO UNI]]*Tabela1[[#This Row],[QTE]]</f>
        <v>0.2</v>
      </c>
      <c r="I496" s="7">
        <v>12</v>
      </c>
      <c r="J496" s="8" t="s">
        <v>2551</v>
      </c>
      <c r="K496" s="8" t="s">
        <v>46</v>
      </c>
      <c r="L496" s="9" t="s">
        <v>2552</v>
      </c>
      <c r="M496" s="10">
        <v>46123</v>
      </c>
      <c r="N496" s="11" t="s">
        <v>39</v>
      </c>
      <c r="O496" s="12"/>
      <c r="P496" s="13"/>
      <c r="Q496" s="14">
        <f>Tabela1[[#This Row],[QTDE/ Fabricação]]-Tabela1[[#This Row],[QTE]]</f>
        <v>-1</v>
      </c>
      <c r="R496" s="18">
        <f t="shared" si="77"/>
        <v>0.2</v>
      </c>
      <c r="S496" s="18">
        <f t="shared" si="70"/>
        <v>0.2</v>
      </c>
      <c r="T496" s="19">
        <f t="shared" si="78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0.2</v>
      </c>
      <c r="Y496" s="14">
        <f t="shared" si="79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4514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0"/>
        <v>P-024527-1/P190</v>
      </c>
      <c r="AP496" t="str">
        <f>Tabela1[[#This Row],[TAG]]&amp;Tabela1[[#This Row],[PEDIDO]]&amp;Tabela1[[#This Row],[PRODUTO]]</f>
        <v>P190P-190COMERCIAL</v>
      </c>
      <c r="AQ496" s="22" t="str">
        <f>Tabela1[[#This Row],[PRODUTO]]&amp;Tabela1[[#This Row],[TAG]]</f>
        <v>COMERCIALP190</v>
      </c>
      <c r="AR496" s="24" t="str">
        <f>Tabela1[[#This Row],[PEDIDO]]&amp;Tabela1[[#This Row],[PRODUTO]]</f>
        <v>P-190COMERCIAL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1"/>
        <v>0.2</v>
      </c>
      <c r="AV496" s="37">
        <f t="shared" si="82"/>
        <v>0.2</v>
      </c>
      <c r="AW496" s="37"/>
    </row>
    <row r="497" spans="1:49" ht="15.75" hidden="1" customHeight="1" x14ac:dyDescent="0.25">
      <c r="A497" s="6" t="s">
        <v>4368</v>
      </c>
      <c r="B497" s="21"/>
      <c r="C497" s="7">
        <v>1</v>
      </c>
      <c r="D497" s="39" t="s">
        <v>4370</v>
      </c>
      <c r="E497" s="7">
        <v>3457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2551</v>
      </c>
      <c r="K497" s="8" t="s">
        <v>31</v>
      </c>
      <c r="L497" s="9" t="s">
        <v>2552</v>
      </c>
      <c r="M497" s="10">
        <v>46123</v>
      </c>
      <c r="N497" s="11" t="s">
        <v>39</v>
      </c>
      <c r="O497" s="12"/>
      <c r="P497" s="13"/>
      <c r="Q497" s="14">
        <f>Tabela1[[#This Row],[QTDE/ Fabricação]]-Tabela1[[#This Row],[QTE]]</f>
        <v>-1</v>
      </c>
      <c r="R497" s="18">
        <f t="shared" si="77"/>
        <v>0.4</v>
      </c>
      <c r="S497" s="18">
        <f t="shared" si="70"/>
        <v>0.4</v>
      </c>
      <c r="T497" s="19">
        <f t="shared" si="78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79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4514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0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1"/>
        <v>0.4</v>
      </c>
      <c r="AV497" s="37">
        <f t="shared" si="82"/>
        <v>0.4</v>
      </c>
      <c r="AW497" s="37"/>
    </row>
    <row r="498" spans="1:49" ht="15.75" hidden="1" customHeight="1" x14ac:dyDescent="0.25">
      <c r="A498" s="6" t="s">
        <v>4368</v>
      </c>
      <c r="B498" s="21"/>
      <c r="C498" s="7">
        <v>1</v>
      </c>
      <c r="D498" s="39" t="s">
        <v>2558</v>
      </c>
      <c r="E498" s="7">
        <v>3458</v>
      </c>
      <c r="F498" s="7">
        <v>12</v>
      </c>
      <c r="G498" s="23">
        <v>0.6</v>
      </c>
      <c r="H498" s="34">
        <f>Tabela1[[#This Row],[PESO UNI]]*Tabela1[[#This Row],[QTE]]</f>
        <v>0.6</v>
      </c>
      <c r="I498" s="7">
        <v>12</v>
      </c>
      <c r="J498" s="8" t="s">
        <v>2551</v>
      </c>
      <c r="K498" s="8" t="s">
        <v>31</v>
      </c>
      <c r="L498" s="9" t="s">
        <v>2552</v>
      </c>
      <c r="M498" s="10">
        <v>46123</v>
      </c>
      <c r="N498" s="11" t="s">
        <v>39</v>
      </c>
      <c r="O498" s="12"/>
      <c r="P498" s="13"/>
      <c r="Q498" s="14">
        <f>Tabela1[[#This Row],[QTDE/ Fabricação]]-Tabela1[[#This Row],[QTE]]</f>
        <v>-1</v>
      </c>
      <c r="R498" s="18">
        <f t="shared" si="77"/>
        <v>0.6</v>
      </c>
      <c r="S498" s="18">
        <f t="shared" si="70"/>
        <v>0.6</v>
      </c>
      <c r="T498" s="19">
        <f t="shared" si="78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0.6</v>
      </c>
      <c r="Y498" s="14">
        <f t="shared" si="79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4514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0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1"/>
        <v>0.6</v>
      </c>
      <c r="AV498" s="37">
        <f t="shared" si="82"/>
        <v>0.6</v>
      </c>
      <c r="AW498" s="37"/>
    </row>
    <row r="499" spans="1:49" ht="15.75" hidden="1" customHeight="1" x14ac:dyDescent="0.25">
      <c r="A499" s="6" t="s">
        <v>4368</v>
      </c>
      <c r="B499" s="21"/>
      <c r="C499" s="7">
        <v>1</v>
      </c>
      <c r="D499" s="39" t="s">
        <v>4371</v>
      </c>
      <c r="E499" s="7">
        <v>3459</v>
      </c>
      <c r="F499" s="7">
        <v>12</v>
      </c>
      <c r="G499" s="23">
        <v>0.4</v>
      </c>
      <c r="H499" s="34">
        <f>Tabela1[[#This Row],[PESO UNI]]*Tabela1[[#This Row],[QTE]]</f>
        <v>0.4</v>
      </c>
      <c r="I499" s="7">
        <v>12</v>
      </c>
      <c r="J499" s="8" t="s">
        <v>2551</v>
      </c>
      <c r="K499" s="8" t="s">
        <v>31</v>
      </c>
      <c r="L499" s="9" t="s">
        <v>2552</v>
      </c>
      <c r="M499" s="10">
        <v>46123</v>
      </c>
      <c r="N499" s="11" t="s">
        <v>39</v>
      </c>
      <c r="O499" s="12"/>
      <c r="P499" s="13"/>
      <c r="Q499" s="14">
        <f>Tabela1[[#This Row],[QTDE/ Fabricação]]-Tabela1[[#This Row],[QTE]]</f>
        <v>-1</v>
      </c>
      <c r="R499" s="18">
        <f t="shared" si="77"/>
        <v>0.4</v>
      </c>
      <c r="S499" s="18">
        <f t="shared" si="70"/>
        <v>0.4</v>
      </c>
      <c r="T499" s="19">
        <f t="shared" si="78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0.4</v>
      </c>
      <c r="Y499" s="14">
        <f t="shared" si="79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4514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0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1"/>
        <v>0.4</v>
      </c>
      <c r="AV499" s="37">
        <f t="shared" si="82"/>
        <v>0.4</v>
      </c>
      <c r="AW499" s="37"/>
    </row>
    <row r="500" spans="1:49" ht="15.75" hidden="1" customHeight="1" x14ac:dyDescent="0.25">
      <c r="A500" s="6" t="s">
        <v>4368</v>
      </c>
      <c r="B500" s="21"/>
      <c r="C500" s="7">
        <v>1</v>
      </c>
      <c r="D500" s="39" t="s">
        <v>4372</v>
      </c>
      <c r="E500" s="7">
        <v>3460</v>
      </c>
      <c r="F500" s="7">
        <v>12</v>
      </c>
      <c r="G500" s="23">
        <v>9</v>
      </c>
      <c r="H500" s="34">
        <f>Tabela1[[#This Row],[PESO UNI]]*Tabela1[[#This Row],[QTE]]</f>
        <v>9</v>
      </c>
      <c r="I500" s="7">
        <v>12</v>
      </c>
      <c r="J500" s="8" t="s">
        <v>2551</v>
      </c>
      <c r="K500" s="8" t="s">
        <v>31</v>
      </c>
      <c r="L500" s="9" t="s">
        <v>2552</v>
      </c>
      <c r="M500" s="10">
        <v>46123</v>
      </c>
      <c r="N500" s="11" t="s">
        <v>39</v>
      </c>
      <c r="O500" s="12"/>
      <c r="P500" s="13"/>
      <c r="Q500" s="14">
        <f>Tabela1[[#This Row],[QTDE/ Fabricação]]-Tabela1[[#This Row],[QTE]]</f>
        <v>-1</v>
      </c>
      <c r="R500" s="18">
        <f t="shared" si="77"/>
        <v>9</v>
      </c>
      <c r="S500" s="18">
        <f t="shared" si="70"/>
        <v>9</v>
      </c>
      <c r="T500" s="19">
        <f t="shared" si="78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9</v>
      </c>
      <c r="Y500" s="14">
        <f t="shared" si="79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4514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0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1"/>
        <v>9</v>
      </c>
      <c r="AV500" s="37">
        <f t="shared" si="82"/>
        <v>9</v>
      </c>
      <c r="AW500" s="37"/>
    </row>
    <row r="501" spans="1:49" ht="15.75" hidden="1" customHeight="1" x14ac:dyDescent="0.25">
      <c r="A501" s="6" t="s">
        <v>4368</v>
      </c>
      <c r="B501" s="21"/>
      <c r="C501" s="7">
        <v>2</v>
      </c>
      <c r="D501" s="39" t="s">
        <v>4373</v>
      </c>
      <c r="E501" s="7">
        <v>3461</v>
      </c>
      <c r="F501" s="7">
        <v>12</v>
      </c>
      <c r="G501" s="23">
        <v>5</v>
      </c>
      <c r="H501" s="34">
        <f>Tabela1[[#This Row],[PESO UNI]]*Tabela1[[#This Row],[QTE]]</f>
        <v>10</v>
      </c>
      <c r="I501" s="7">
        <v>12</v>
      </c>
      <c r="J501" s="8" t="s">
        <v>2551</v>
      </c>
      <c r="K501" s="8" t="s">
        <v>31</v>
      </c>
      <c r="L501" s="9" t="s">
        <v>2552</v>
      </c>
      <c r="M501" s="10">
        <v>46123</v>
      </c>
      <c r="N501" s="11" t="s">
        <v>39</v>
      </c>
      <c r="O501" s="12"/>
      <c r="P501" s="13"/>
      <c r="Q501" s="14">
        <f>Tabela1[[#This Row],[QTDE/ Fabricação]]-Tabela1[[#This Row],[QTE]]</f>
        <v>-2</v>
      </c>
      <c r="R501" s="18">
        <f t="shared" si="77"/>
        <v>10</v>
      </c>
      <c r="S501" s="18">
        <f t="shared" si="70"/>
        <v>10</v>
      </c>
      <c r="T501" s="19">
        <f t="shared" si="78"/>
        <v>0</v>
      </c>
      <c r="U501" s="16">
        <v>2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10</v>
      </c>
      <c r="Y501" s="14">
        <f t="shared" si="79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4514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0"/>
        <v>P-024527-1/P190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1"/>
        <v>10</v>
      </c>
      <c r="AV501" s="37">
        <f t="shared" si="82"/>
        <v>10</v>
      </c>
      <c r="AW501" s="37"/>
    </row>
    <row r="502" spans="1:49" ht="15.75" hidden="1" customHeight="1" x14ac:dyDescent="0.25">
      <c r="A502" s="6" t="s">
        <v>4368</v>
      </c>
      <c r="B502" s="21"/>
      <c r="C502" s="7">
        <v>1</v>
      </c>
      <c r="D502" s="39" t="s">
        <v>4374</v>
      </c>
      <c r="E502" s="7">
        <v>3462</v>
      </c>
      <c r="F502" s="7">
        <v>12</v>
      </c>
      <c r="G502" s="23">
        <v>23.4</v>
      </c>
      <c r="H502" s="34">
        <f>Tabela1[[#This Row],[PESO UNI]]*Tabela1[[#This Row],[QTE]]</f>
        <v>23.4</v>
      </c>
      <c r="I502" s="7">
        <v>12</v>
      </c>
      <c r="J502" s="8" t="s">
        <v>2551</v>
      </c>
      <c r="K502" s="8" t="s">
        <v>31</v>
      </c>
      <c r="L502" s="9" t="s">
        <v>2552</v>
      </c>
      <c r="M502" s="10">
        <v>46123</v>
      </c>
      <c r="N502" s="11" t="s">
        <v>39</v>
      </c>
      <c r="O502" s="12"/>
      <c r="P502" s="13"/>
      <c r="Q502" s="14">
        <f>Tabela1[[#This Row],[QTDE/ Fabricação]]-Tabela1[[#This Row],[QTE]]</f>
        <v>-1</v>
      </c>
      <c r="R502" s="18">
        <f t="shared" si="77"/>
        <v>23.4</v>
      </c>
      <c r="S502" s="18">
        <f t="shared" si="70"/>
        <v>23.4</v>
      </c>
      <c r="T502" s="19">
        <f t="shared" si="78"/>
        <v>0</v>
      </c>
      <c r="U502" s="16">
        <v>1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23.4</v>
      </c>
      <c r="Y502" s="14">
        <f t="shared" si="79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4514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0"/>
        <v>P-024527-1/P190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1"/>
        <v>23.4</v>
      </c>
      <c r="AV502" s="37">
        <f t="shared" si="82"/>
        <v>23.4</v>
      </c>
      <c r="AW502" s="37"/>
    </row>
    <row r="503" spans="1:49" ht="15.75" hidden="1" customHeight="1" x14ac:dyDescent="0.25">
      <c r="A503" s="6" t="s">
        <v>4375</v>
      </c>
      <c r="B503" s="21"/>
      <c r="C503" s="7">
        <v>1</v>
      </c>
      <c r="D503" s="39" t="s">
        <v>4376</v>
      </c>
      <c r="E503" s="7">
        <v>3464</v>
      </c>
      <c r="F503" s="7">
        <v>13</v>
      </c>
      <c r="G503" s="23">
        <v>51.7</v>
      </c>
      <c r="H503" s="34">
        <f>Tabela1[[#This Row],[PESO UNI]]*Tabela1[[#This Row],[QTE]]</f>
        <v>51.7</v>
      </c>
      <c r="I503" s="7">
        <v>0</v>
      </c>
      <c r="J503" s="8" t="s">
        <v>2551</v>
      </c>
      <c r="K503" s="8" t="s">
        <v>31</v>
      </c>
      <c r="L503" s="9" t="s">
        <v>2552</v>
      </c>
      <c r="M503" s="10"/>
      <c r="N503" s="11" t="s">
        <v>39</v>
      </c>
      <c r="O503" s="12"/>
      <c r="P503" s="13"/>
      <c r="Q503" s="14">
        <f>Tabela1[[#This Row],[QTDE/ Fabricação]]-Tabela1[[#This Row],[QTE]]</f>
        <v>-1</v>
      </c>
      <c r="R503" s="18">
        <f t="shared" si="77"/>
        <v>51.7</v>
      </c>
      <c r="S503" s="18">
        <f t="shared" si="70"/>
        <v>51.7</v>
      </c>
      <c r="T503" s="19">
        <f t="shared" si="78"/>
        <v>0</v>
      </c>
      <c r="U503" s="16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79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4514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0"/>
        <v>P-073059-1/P190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1"/>
        <v>51.7</v>
      </c>
      <c r="AV503" s="37">
        <f t="shared" si="82"/>
        <v>51.7</v>
      </c>
      <c r="AW503" s="37"/>
    </row>
    <row r="504" spans="1:49" ht="15.75" hidden="1" customHeight="1" x14ac:dyDescent="0.25">
      <c r="A504" s="6" t="s">
        <v>4377</v>
      </c>
      <c r="B504" s="21"/>
      <c r="C504" s="7">
        <v>1</v>
      </c>
      <c r="D504" s="39" t="s">
        <v>4378</v>
      </c>
      <c r="E504" s="7">
        <v>3465</v>
      </c>
      <c r="F504" s="7">
        <v>12</v>
      </c>
      <c r="G504" s="23">
        <v>232.8</v>
      </c>
      <c r="H504" s="34">
        <f>Tabela1[[#This Row],[PESO UNI]]*Tabela1[[#This Row],[QTE]]</f>
        <v>232.8</v>
      </c>
      <c r="I504" s="7">
        <v>0</v>
      </c>
      <c r="J504" s="8" t="s">
        <v>2551</v>
      </c>
      <c r="K504" s="8" t="s">
        <v>31</v>
      </c>
      <c r="L504" s="9" t="s">
        <v>2552</v>
      </c>
      <c r="M504" s="10"/>
      <c r="N504" s="11" t="s">
        <v>39</v>
      </c>
      <c r="O504" s="12"/>
      <c r="P504" s="13"/>
      <c r="Q504" s="14">
        <f>Tabela1[[#This Row],[QTDE/ Fabricação]]-Tabela1[[#This Row],[QTE]]</f>
        <v>-1</v>
      </c>
      <c r="R504" s="18">
        <f t="shared" si="77"/>
        <v>232.8</v>
      </c>
      <c r="S504" s="18">
        <f t="shared" si="70"/>
        <v>232.8</v>
      </c>
      <c r="T504" s="19">
        <f t="shared" si="78"/>
        <v>0</v>
      </c>
      <c r="U504" s="16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79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4514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0"/>
        <v>P-073058-1/P190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1"/>
        <v>232.8</v>
      </c>
      <c r="AV504" s="37">
        <f t="shared" si="82"/>
        <v>232.8</v>
      </c>
      <c r="AW504" s="37"/>
    </row>
    <row r="505" spans="1:49" ht="15.75" hidden="1" customHeight="1" x14ac:dyDescent="0.25">
      <c r="A505" s="6" t="s">
        <v>4379</v>
      </c>
      <c r="B505" s="21"/>
      <c r="C505" s="7">
        <v>2</v>
      </c>
      <c r="D505" s="39" t="s">
        <v>4380</v>
      </c>
      <c r="E505" s="7">
        <v>3466</v>
      </c>
      <c r="F505" s="7">
        <v>12</v>
      </c>
      <c r="G505" s="23">
        <v>31</v>
      </c>
      <c r="H505" s="34">
        <f>Tabela1[[#This Row],[PESO UNI]]*Tabela1[[#This Row],[QTE]]</f>
        <v>62</v>
      </c>
      <c r="I505" s="7">
        <v>1</v>
      </c>
      <c r="J505" s="8" t="s">
        <v>2551</v>
      </c>
      <c r="K505" s="8" t="s">
        <v>31</v>
      </c>
      <c r="L505" s="9" t="s">
        <v>2552</v>
      </c>
      <c r="M505" s="10"/>
      <c r="N505" s="11" t="s">
        <v>39</v>
      </c>
      <c r="O505" s="12"/>
      <c r="P505" s="13"/>
      <c r="Q505" s="14">
        <f>Tabela1[[#This Row],[QTDE/ Fabricação]]-Tabela1[[#This Row],[QTE]]</f>
        <v>-2</v>
      </c>
      <c r="R505" s="18">
        <f t="shared" si="77"/>
        <v>62</v>
      </c>
      <c r="S505" s="18">
        <f t="shared" si="70"/>
        <v>62</v>
      </c>
      <c r="T505" s="19">
        <f t="shared" si="78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62</v>
      </c>
      <c r="Y505" s="14">
        <f t="shared" si="79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4514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0"/>
        <v>P-024529-1/P190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1"/>
        <v>62</v>
      </c>
      <c r="AV505" s="37">
        <f t="shared" si="82"/>
        <v>62</v>
      </c>
      <c r="AW505" s="37"/>
    </row>
    <row r="506" spans="1:49" ht="15.75" hidden="1" customHeight="1" x14ac:dyDescent="0.25">
      <c r="A506" s="6" t="s">
        <v>4381</v>
      </c>
      <c r="B506" s="21"/>
      <c r="C506" s="7">
        <v>1</v>
      </c>
      <c r="D506" s="39" t="s">
        <v>4382</v>
      </c>
      <c r="E506" s="7">
        <v>3467</v>
      </c>
      <c r="F506" s="7">
        <v>12</v>
      </c>
      <c r="G506" s="23">
        <v>45.4</v>
      </c>
      <c r="H506" s="34">
        <f>Tabela1[[#This Row],[PESO UNI]]*Tabela1[[#This Row],[QTE]]</f>
        <v>45.4</v>
      </c>
      <c r="I506" s="7">
        <v>1</v>
      </c>
      <c r="J506" s="8" t="s">
        <v>2551</v>
      </c>
      <c r="K506" s="8" t="s">
        <v>31</v>
      </c>
      <c r="L506" s="9" t="s">
        <v>2552</v>
      </c>
      <c r="M506" s="10"/>
      <c r="N506" s="11" t="s">
        <v>39</v>
      </c>
      <c r="O506" s="12"/>
      <c r="P506" s="13"/>
      <c r="Q506" s="14">
        <f>Tabela1[[#This Row],[QTDE/ Fabricação]]-Tabela1[[#This Row],[QTE]]</f>
        <v>-1</v>
      </c>
      <c r="R506" s="18">
        <f t="shared" si="77"/>
        <v>45.4</v>
      </c>
      <c r="S506" s="18">
        <f t="shared" si="70"/>
        <v>45.4</v>
      </c>
      <c r="T506" s="19">
        <f t="shared" si="78"/>
        <v>0</v>
      </c>
      <c r="U506" s="16">
        <v>1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45.4</v>
      </c>
      <c r="Y506" s="14">
        <f t="shared" si="79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4514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0"/>
        <v>P-024526-1/P190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1"/>
        <v>45.4</v>
      </c>
      <c r="AV506" s="37">
        <f t="shared" si="82"/>
        <v>45.4</v>
      </c>
      <c r="AW506" s="37"/>
    </row>
    <row r="507" spans="1:49" ht="15.75" hidden="1" customHeight="1" x14ac:dyDescent="0.25">
      <c r="A507" s="6" t="s">
        <v>4383</v>
      </c>
      <c r="B507" s="21"/>
      <c r="C507" s="7">
        <v>2</v>
      </c>
      <c r="D507" s="39" t="s">
        <v>4384</v>
      </c>
      <c r="E507" s="7">
        <v>3468</v>
      </c>
      <c r="F507" s="7"/>
      <c r="G507" s="23">
        <v>24</v>
      </c>
      <c r="H507" s="34">
        <f>Tabela1[[#This Row],[PESO UNI]]*Tabela1[[#This Row],[QTE]]</f>
        <v>48</v>
      </c>
      <c r="I507" s="7">
        <v>1</v>
      </c>
      <c r="J507" s="8" t="s">
        <v>2551</v>
      </c>
      <c r="K507" s="8" t="s">
        <v>31</v>
      </c>
      <c r="L507" s="9" t="s">
        <v>2552</v>
      </c>
      <c r="M507" s="10"/>
      <c r="N507" s="11" t="s">
        <v>39</v>
      </c>
      <c r="O507" s="12"/>
      <c r="P507" s="13"/>
      <c r="Q507" s="14">
        <f>Tabela1[[#This Row],[QTDE/ Fabricação]]-Tabela1[[#This Row],[QTE]]</f>
        <v>-2</v>
      </c>
      <c r="R507" s="18">
        <f t="shared" si="77"/>
        <v>48</v>
      </c>
      <c r="S507" s="18">
        <f t="shared" si="70"/>
        <v>48</v>
      </c>
      <c r="T507" s="19">
        <f t="shared" si="78"/>
        <v>0</v>
      </c>
      <c r="U507" s="16">
        <v>2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48</v>
      </c>
      <c r="Y507" s="14">
        <f t="shared" si="79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4514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0"/>
        <v>P-024528-1/P190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1"/>
        <v>48</v>
      </c>
      <c r="AV507" s="37">
        <f t="shared" si="82"/>
        <v>48</v>
      </c>
      <c r="AW507" s="37"/>
    </row>
    <row r="508" spans="1:49" ht="15.75" hidden="1" customHeight="1" x14ac:dyDescent="0.25">
      <c r="A508" s="6" t="s">
        <v>4385</v>
      </c>
      <c r="B508" s="21"/>
      <c r="C508" s="7">
        <v>1</v>
      </c>
      <c r="D508" s="39" t="s">
        <v>4386</v>
      </c>
      <c r="E508" s="7">
        <v>3469</v>
      </c>
      <c r="F508" s="7">
        <v>10</v>
      </c>
      <c r="G508" s="23">
        <v>28.1</v>
      </c>
      <c r="H508" s="34">
        <f>Tabela1[[#This Row],[PESO UNI]]*Tabela1[[#This Row],[QTE]]</f>
        <v>28.1</v>
      </c>
      <c r="I508" s="7">
        <v>0</v>
      </c>
      <c r="J508" s="8" t="s">
        <v>2551</v>
      </c>
      <c r="K508" s="8" t="s">
        <v>31</v>
      </c>
      <c r="L508" s="9" t="s">
        <v>2552</v>
      </c>
      <c r="M508" s="10"/>
      <c r="N508" s="11" t="s">
        <v>39</v>
      </c>
      <c r="O508" s="12"/>
      <c r="P508" s="13"/>
      <c r="Q508" s="14">
        <f>Tabela1[[#This Row],[QTDE/ Fabricação]]-Tabela1[[#This Row],[QTE]]</f>
        <v>-1</v>
      </c>
      <c r="R508" s="18">
        <f t="shared" si="77"/>
        <v>28.1</v>
      </c>
      <c r="S508" s="18">
        <f t="shared" si="70"/>
        <v>28.1</v>
      </c>
      <c r="T508" s="19">
        <f t="shared" si="78"/>
        <v>0</v>
      </c>
      <c r="U508" s="16"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28.1</v>
      </c>
      <c r="Y508" s="14">
        <f t="shared" si="79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4514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0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1"/>
        <v>28.1</v>
      </c>
      <c r="AV508" s="37">
        <f t="shared" si="82"/>
        <v>28.1</v>
      </c>
      <c r="AW508" s="37"/>
    </row>
    <row r="509" spans="1:49" ht="15.75" hidden="1" customHeight="1" x14ac:dyDescent="0.25">
      <c r="A509" s="6" t="s">
        <v>4385</v>
      </c>
      <c r="B509" s="21"/>
      <c r="C509" s="7">
        <v>1</v>
      </c>
      <c r="D509" s="39" t="s">
        <v>4387</v>
      </c>
      <c r="E509" s="7">
        <v>3470</v>
      </c>
      <c r="F509" s="7">
        <v>10</v>
      </c>
      <c r="G509" s="23">
        <v>2.9</v>
      </c>
      <c r="H509" s="34">
        <f>Tabela1[[#This Row],[PESO UNI]]*Tabela1[[#This Row],[QTE]]</f>
        <v>2.9</v>
      </c>
      <c r="I509" s="7">
        <v>0</v>
      </c>
      <c r="J509" s="8" t="s">
        <v>2551</v>
      </c>
      <c r="K509" s="8" t="s">
        <v>31</v>
      </c>
      <c r="L509" s="9" t="s">
        <v>2552</v>
      </c>
      <c r="M509" s="10"/>
      <c r="N509" s="11" t="s">
        <v>39</v>
      </c>
      <c r="O509" s="12"/>
      <c r="P509" s="13"/>
      <c r="Q509" s="14">
        <f>Tabela1[[#This Row],[QTDE/ Fabricação]]-Tabela1[[#This Row],[QTE]]</f>
        <v>-1</v>
      </c>
      <c r="R509" s="18">
        <f t="shared" si="77"/>
        <v>2.9</v>
      </c>
      <c r="S509" s="18">
        <f t="shared" si="70"/>
        <v>2.9</v>
      </c>
      <c r="T509" s="19">
        <f t="shared" si="78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79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4514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0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1"/>
        <v>2.9</v>
      </c>
      <c r="AV509" s="37">
        <f t="shared" si="82"/>
        <v>2.9</v>
      </c>
      <c r="AW509" s="37"/>
    </row>
    <row r="510" spans="1:49" ht="15.75" hidden="1" customHeight="1" x14ac:dyDescent="0.25">
      <c r="A510" s="6" t="s">
        <v>4385</v>
      </c>
      <c r="B510" s="21"/>
      <c r="C510" s="7">
        <v>1</v>
      </c>
      <c r="D510" s="39" t="s">
        <v>4388</v>
      </c>
      <c r="E510" s="7">
        <v>3471</v>
      </c>
      <c r="F510" s="7">
        <v>10</v>
      </c>
      <c r="G510" s="23">
        <v>3.3</v>
      </c>
      <c r="H510" s="34">
        <f>Tabela1[[#This Row],[PESO UNI]]*Tabela1[[#This Row],[QTE]]</f>
        <v>3.3</v>
      </c>
      <c r="I510" s="7">
        <v>0</v>
      </c>
      <c r="J510" s="8" t="s">
        <v>2551</v>
      </c>
      <c r="K510" s="8" t="s">
        <v>31</v>
      </c>
      <c r="L510" s="9" t="s">
        <v>2552</v>
      </c>
      <c r="M510" s="10"/>
      <c r="N510" s="11" t="s">
        <v>39</v>
      </c>
      <c r="O510" s="12"/>
      <c r="P510" s="13"/>
      <c r="Q510" s="14">
        <f>Tabela1[[#This Row],[QTDE/ Fabricação]]-Tabela1[[#This Row],[QTE]]</f>
        <v>-1</v>
      </c>
      <c r="R510" s="18">
        <f t="shared" si="77"/>
        <v>3.3</v>
      </c>
      <c r="S510" s="18">
        <f t="shared" ref="S510:S573" si="86">IFERROR(H510*AG510,"")</f>
        <v>3.3</v>
      </c>
      <c r="T510" s="19">
        <f t="shared" si="78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79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4514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0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1"/>
        <v>3.3</v>
      </c>
      <c r="AV510" s="37">
        <f t="shared" si="82"/>
        <v>3.3</v>
      </c>
      <c r="AW510" s="37"/>
    </row>
    <row r="511" spans="1:49" ht="15.75" hidden="1" customHeight="1" x14ac:dyDescent="0.25">
      <c r="A511" s="6" t="s">
        <v>4385</v>
      </c>
      <c r="B511" s="21"/>
      <c r="C511" s="7">
        <v>1</v>
      </c>
      <c r="D511" s="39" t="s">
        <v>4389</v>
      </c>
      <c r="E511" s="7">
        <v>3472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2551</v>
      </c>
      <c r="K511" s="8" t="s">
        <v>31</v>
      </c>
      <c r="L511" s="9" t="s">
        <v>2552</v>
      </c>
      <c r="M511" s="10"/>
      <c r="N511" s="11" t="s">
        <v>39</v>
      </c>
      <c r="O511" s="12"/>
      <c r="P511" s="13"/>
      <c r="Q511" s="14">
        <f>Tabela1[[#This Row],[QTDE/ Fabricação]]-Tabela1[[#This Row],[QTE]]</f>
        <v>-1</v>
      </c>
      <c r="R511" s="18">
        <f t="shared" si="77"/>
        <v>0.1</v>
      </c>
      <c r="S511" s="18">
        <f t="shared" si="86"/>
        <v>0.1</v>
      </c>
      <c r="T511" s="19">
        <f t="shared" si="78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79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4514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0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1"/>
        <v>0.1</v>
      </c>
      <c r="AV511" s="37">
        <f t="shared" si="82"/>
        <v>0.1</v>
      </c>
      <c r="AW511" s="37"/>
    </row>
    <row r="512" spans="1:49" ht="15.75" hidden="1" customHeight="1" x14ac:dyDescent="0.25">
      <c r="A512" s="6" t="s">
        <v>4385</v>
      </c>
      <c r="B512" s="21"/>
      <c r="C512" s="7">
        <v>1</v>
      </c>
      <c r="D512" s="39" t="s">
        <v>4390</v>
      </c>
      <c r="E512" s="7">
        <v>3473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2551</v>
      </c>
      <c r="K512" s="8" t="s">
        <v>31</v>
      </c>
      <c r="L512" s="9" t="s">
        <v>2552</v>
      </c>
      <c r="M512" s="10"/>
      <c r="N512" s="11" t="s">
        <v>39</v>
      </c>
      <c r="O512" s="12"/>
      <c r="P512" s="13"/>
      <c r="Q512" s="14">
        <f>Tabela1[[#This Row],[QTDE/ Fabricação]]-Tabela1[[#This Row],[QTE]]</f>
        <v>-1</v>
      </c>
      <c r="R512" s="18">
        <f t="shared" si="77"/>
        <v>0.1</v>
      </c>
      <c r="S512" s="18">
        <f t="shared" si="86"/>
        <v>0.1</v>
      </c>
      <c r="T512" s="19">
        <f t="shared" si="78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79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4514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0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1"/>
        <v>0.1</v>
      </c>
      <c r="AV512" s="37">
        <f t="shared" si="82"/>
        <v>0.1</v>
      </c>
      <c r="AW512" s="37"/>
    </row>
    <row r="513" spans="1:49" ht="15.75" hidden="1" customHeight="1" x14ac:dyDescent="0.25">
      <c r="A513" s="6" t="s">
        <v>4385</v>
      </c>
      <c r="B513" s="21"/>
      <c r="C513" s="7">
        <v>1</v>
      </c>
      <c r="D513" s="39" t="s">
        <v>4391</v>
      </c>
      <c r="E513" s="7">
        <v>3474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2551</v>
      </c>
      <c r="K513" s="8" t="s">
        <v>31</v>
      </c>
      <c r="L513" s="9" t="s">
        <v>2552</v>
      </c>
      <c r="M513" s="10"/>
      <c r="N513" s="11" t="s">
        <v>39</v>
      </c>
      <c r="O513" s="12"/>
      <c r="P513" s="13"/>
      <c r="Q513" s="14">
        <f>Tabela1[[#This Row],[QTDE/ Fabricação]]-Tabela1[[#This Row],[QTE]]</f>
        <v>-1</v>
      </c>
      <c r="R513" s="18">
        <f t="shared" ref="R513:R576" si="87">IFERROR(H513*((AA513*0.25)+(AC513*0.25)+(AD513*0.225)+(AE513*0.225)+(AF513*0.05)),"")</f>
        <v>0.1</v>
      </c>
      <c r="S513" s="18">
        <f t="shared" si="86"/>
        <v>0.1</v>
      </c>
      <c r="T513" s="19">
        <f t="shared" ref="T513:T576" si="88">IFERROR(S513-H513,"")</f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89">U513-C513</f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4514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0">A513&amp;"/"&amp;J513</f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ref="AU513:AU576" si="91">IF(AH513="",0,IF(ISTEXT(AH513),H513*VALUE(SUBSTITUTE(AH513,"%",""))/100,H513*AH513))</f>
        <v>0.1</v>
      </c>
      <c r="AV513" s="37">
        <f t="shared" ref="AV513:AV576" si="92">IF(AG513="",0,IF(ISTEXT(AG513),H513*VALUE(SUBSTITUTE(AG513,"%",""))/100,H513*AG513))</f>
        <v>0.1</v>
      </c>
      <c r="AW513" s="37"/>
    </row>
    <row r="514" spans="1:49" ht="15.75" hidden="1" customHeight="1" x14ac:dyDescent="0.25">
      <c r="A514" s="6" t="s">
        <v>4385</v>
      </c>
      <c r="B514" s="21"/>
      <c r="C514" s="7">
        <v>1</v>
      </c>
      <c r="D514" s="39" t="s">
        <v>4392</v>
      </c>
      <c r="E514" s="7">
        <v>3475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2551</v>
      </c>
      <c r="K514" s="8" t="s">
        <v>31</v>
      </c>
      <c r="L514" s="9" t="s">
        <v>2552</v>
      </c>
      <c r="M514" s="10"/>
      <c r="N514" s="11" t="s">
        <v>39</v>
      </c>
      <c r="O514" s="12"/>
      <c r="P514" s="13"/>
      <c r="Q514" s="14">
        <f>Tabela1[[#This Row],[QTDE/ Fabricação]]-Tabela1[[#This Row],[QTE]]</f>
        <v>-1</v>
      </c>
      <c r="R514" s="18">
        <f t="shared" si="87"/>
        <v>0.1</v>
      </c>
      <c r="S514" s="18">
        <f t="shared" si="86"/>
        <v>0.1</v>
      </c>
      <c r="T514" s="19">
        <f t="shared" si="88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89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4514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0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1"/>
        <v>0.1</v>
      </c>
      <c r="AV514" s="37">
        <f t="shared" si="92"/>
        <v>0.1</v>
      </c>
      <c r="AW514" s="37"/>
    </row>
    <row r="515" spans="1:49" ht="15.75" hidden="1" customHeight="1" x14ac:dyDescent="0.25">
      <c r="A515" s="6" t="s">
        <v>4385</v>
      </c>
      <c r="B515" s="21"/>
      <c r="C515" s="7">
        <v>1</v>
      </c>
      <c r="D515" s="39" t="s">
        <v>4393</v>
      </c>
      <c r="E515" s="7">
        <v>3476</v>
      </c>
      <c r="F515" s="7">
        <v>10</v>
      </c>
      <c r="G515" s="23">
        <v>0.1</v>
      </c>
      <c r="H515" s="34">
        <f>Tabela1[[#This Row],[PESO UNI]]*Tabela1[[#This Row],[QTE]]</f>
        <v>0.1</v>
      </c>
      <c r="I515" s="7">
        <v>0</v>
      </c>
      <c r="J515" s="8" t="s">
        <v>2551</v>
      </c>
      <c r="K515" s="8" t="s">
        <v>31</v>
      </c>
      <c r="L515" s="9" t="s">
        <v>2552</v>
      </c>
      <c r="M515" s="10"/>
      <c r="N515" s="11" t="s">
        <v>39</v>
      </c>
      <c r="O515" s="12"/>
      <c r="P515" s="13"/>
      <c r="Q515" s="14">
        <f>Tabela1[[#This Row],[QTDE/ Fabricação]]-Tabela1[[#This Row],[QTE]]</f>
        <v>-1</v>
      </c>
      <c r="R515" s="18">
        <f t="shared" si="87"/>
        <v>0.1</v>
      </c>
      <c r="S515" s="18">
        <f t="shared" si="86"/>
        <v>0.1</v>
      </c>
      <c r="T515" s="19">
        <f t="shared" si="88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89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4514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0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1"/>
        <v>0.1</v>
      </c>
      <c r="AV515" s="37">
        <f t="shared" si="92"/>
        <v>0.1</v>
      </c>
      <c r="AW515" s="37"/>
    </row>
    <row r="516" spans="1:49" ht="15.75" hidden="1" customHeight="1" x14ac:dyDescent="0.25">
      <c r="A516" s="6" t="s">
        <v>4385</v>
      </c>
      <c r="B516" s="21"/>
      <c r="C516" s="7">
        <v>1</v>
      </c>
      <c r="D516" s="39" t="s">
        <v>4394</v>
      </c>
      <c r="E516" s="7">
        <v>3477</v>
      </c>
      <c r="F516" s="7">
        <v>10</v>
      </c>
      <c r="G516" s="23">
        <v>0.1</v>
      </c>
      <c r="H516" s="34">
        <f>Tabela1[[#This Row],[PESO UNI]]*Tabela1[[#This Row],[QTE]]</f>
        <v>0.1</v>
      </c>
      <c r="I516" s="7">
        <v>0</v>
      </c>
      <c r="J516" s="8" t="s">
        <v>2551</v>
      </c>
      <c r="K516" s="8" t="s">
        <v>31</v>
      </c>
      <c r="L516" s="9" t="s">
        <v>2552</v>
      </c>
      <c r="M516" s="10"/>
      <c r="N516" s="11" t="s">
        <v>39</v>
      </c>
      <c r="O516" s="12"/>
      <c r="P516" s="13"/>
      <c r="Q516" s="14">
        <f>Tabela1[[#This Row],[QTDE/ Fabricação]]-Tabela1[[#This Row],[QTE]]</f>
        <v>-1</v>
      </c>
      <c r="R516" s="18">
        <f t="shared" si="87"/>
        <v>0.1</v>
      </c>
      <c r="S516" s="18">
        <f t="shared" si="86"/>
        <v>0.1</v>
      </c>
      <c r="T516" s="19">
        <f t="shared" si="88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89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4514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0"/>
        <v>P-024518-1/P190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1"/>
        <v>0.1</v>
      </c>
      <c r="AV516" s="37">
        <f t="shared" si="92"/>
        <v>0.1</v>
      </c>
      <c r="AW516" s="37"/>
    </row>
    <row r="517" spans="1:49" ht="15.75" hidden="1" customHeight="1" x14ac:dyDescent="0.25">
      <c r="A517" s="6" t="s">
        <v>4385</v>
      </c>
      <c r="B517" s="21"/>
      <c r="C517" s="7">
        <v>2</v>
      </c>
      <c r="D517" s="39" t="s">
        <v>4395</v>
      </c>
      <c r="E517" s="7">
        <v>3478</v>
      </c>
      <c r="F517" s="7">
        <v>10</v>
      </c>
      <c r="G517" s="23">
        <v>0.1</v>
      </c>
      <c r="H517" s="34">
        <f>Tabela1[[#This Row],[PESO UNI]]*Tabela1[[#This Row],[QTE]]</f>
        <v>0.2</v>
      </c>
      <c r="I517" s="7">
        <v>0</v>
      </c>
      <c r="J517" s="8" t="s">
        <v>2551</v>
      </c>
      <c r="K517" s="8" t="s">
        <v>31</v>
      </c>
      <c r="L517" s="9" t="s">
        <v>2552</v>
      </c>
      <c r="M517" s="10"/>
      <c r="N517" s="11" t="s">
        <v>39</v>
      </c>
      <c r="O517" s="12"/>
      <c r="P517" s="13"/>
      <c r="Q517" s="14">
        <f>Tabela1[[#This Row],[QTDE/ Fabricação]]-Tabela1[[#This Row],[QTE]]</f>
        <v>-2</v>
      </c>
      <c r="R517" s="18">
        <f t="shared" si="87"/>
        <v>0.2</v>
      </c>
      <c r="S517" s="18">
        <f t="shared" si="86"/>
        <v>0.2</v>
      </c>
      <c r="T517" s="19">
        <f t="shared" si="88"/>
        <v>0</v>
      </c>
      <c r="U517" s="16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89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4514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0"/>
        <v>P-024518-1/P190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1"/>
        <v>0.2</v>
      </c>
      <c r="AV517" s="37">
        <f t="shared" si="92"/>
        <v>0.2</v>
      </c>
      <c r="AW517" s="37"/>
    </row>
    <row r="518" spans="1:49" ht="15.75" hidden="1" customHeight="1" x14ac:dyDescent="0.25">
      <c r="A518" s="6" t="s">
        <v>4396</v>
      </c>
      <c r="B518" s="21"/>
      <c r="C518" s="7">
        <v>1</v>
      </c>
      <c r="D518" s="39" t="s">
        <v>4397</v>
      </c>
      <c r="E518" s="7">
        <v>3479</v>
      </c>
      <c r="F518" s="7">
        <v>9</v>
      </c>
      <c r="G518" s="23">
        <v>2.4</v>
      </c>
      <c r="H518" s="34">
        <f>Tabela1[[#This Row],[PESO UNI]]*Tabela1[[#This Row],[QTE]]</f>
        <v>2.4</v>
      </c>
      <c r="I518" s="7">
        <v>1</v>
      </c>
      <c r="J518" s="8" t="s">
        <v>2551</v>
      </c>
      <c r="K518" s="8" t="s">
        <v>31</v>
      </c>
      <c r="L518" s="9" t="s">
        <v>2552</v>
      </c>
      <c r="M518" s="10"/>
      <c r="N518" s="11" t="s">
        <v>39</v>
      </c>
      <c r="O518" s="12"/>
      <c r="P518" s="13"/>
      <c r="Q518" s="14">
        <f>Tabela1[[#This Row],[QTDE/ Fabricação]]-Tabela1[[#This Row],[QTE]]</f>
        <v>-1</v>
      </c>
      <c r="R518" s="18">
        <f t="shared" si="87"/>
        <v>2.4</v>
      </c>
      <c r="S518" s="18">
        <f t="shared" si="86"/>
        <v>2.4</v>
      </c>
      <c r="T518" s="19">
        <f t="shared" si="88"/>
        <v>0</v>
      </c>
      <c r="U518" s="16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89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4514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0"/>
        <v>P-024533-1/P190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1"/>
        <v>2.4</v>
      </c>
      <c r="AV518" s="37">
        <f t="shared" si="92"/>
        <v>2.4</v>
      </c>
      <c r="AW518" s="37"/>
    </row>
    <row r="519" spans="1:49" ht="15.75" hidden="1" customHeight="1" x14ac:dyDescent="0.25">
      <c r="A519" s="6" t="s">
        <v>4398</v>
      </c>
      <c r="B519" s="21"/>
      <c r="C519" s="7">
        <v>4</v>
      </c>
      <c r="D519" s="39" t="s">
        <v>4399</v>
      </c>
      <c r="E519" s="7">
        <v>3480</v>
      </c>
      <c r="F519" s="7">
        <v>8</v>
      </c>
      <c r="G519" s="23">
        <v>6</v>
      </c>
      <c r="H519" s="34">
        <f>Tabela1[[#This Row],[PESO UNI]]*Tabela1[[#This Row],[QTE]]</f>
        <v>24</v>
      </c>
      <c r="I519" s="7">
        <v>1</v>
      </c>
      <c r="J519" s="8" t="s">
        <v>2551</v>
      </c>
      <c r="K519" s="8" t="s">
        <v>31</v>
      </c>
      <c r="L519" s="9" t="s">
        <v>2552</v>
      </c>
      <c r="M519" s="10"/>
      <c r="N519" s="11" t="s">
        <v>39</v>
      </c>
      <c r="O519" s="12"/>
      <c r="P519" s="13"/>
      <c r="Q519" s="14">
        <f>Tabela1[[#This Row],[QTDE/ Fabricação]]-Tabela1[[#This Row],[QTE]]</f>
        <v>-4</v>
      </c>
      <c r="R519" s="18">
        <f t="shared" si="87"/>
        <v>24</v>
      </c>
      <c r="S519" s="18">
        <f t="shared" si="86"/>
        <v>24</v>
      </c>
      <c r="T519" s="19">
        <f t="shared" si="88"/>
        <v>0</v>
      </c>
      <c r="U519" s="16">
        <v>4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89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4514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0"/>
        <v>P-024530-1/P190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1"/>
        <v>24</v>
      </c>
      <c r="AV519" s="37">
        <f t="shared" si="92"/>
        <v>24</v>
      </c>
      <c r="AW519" s="37"/>
    </row>
    <row r="520" spans="1:49" ht="15.75" hidden="1" customHeight="1" x14ac:dyDescent="0.25">
      <c r="A520" s="6" t="s">
        <v>4400</v>
      </c>
      <c r="B520" s="21"/>
      <c r="C520" s="7">
        <v>4</v>
      </c>
      <c r="D520" s="39" t="s">
        <v>4401</v>
      </c>
      <c r="E520" s="7">
        <v>3481</v>
      </c>
      <c r="F520" s="7">
        <v>7</v>
      </c>
      <c r="G520" s="23">
        <v>4.0999999999999996</v>
      </c>
      <c r="H520" s="34">
        <f>Tabela1[[#This Row],[PESO UNI]]*Tabela1[[#This Row],[QTE]]</f>
        <v>16.399999999999999</v>
      </c>
      <c r="I520" s="7">
        <v>1</v>
      </c>
      <c r="J520" s="8" t="s">
        <v>2551</v>
      </c>
      <c r="K520" s="8" t="s">
        <v>31</v>
      </c>
      <c r="L520" s="9" t="s">
        <v>2552</v>
      </c>
      <c r="M520" s="10"/>
      <c r="N520" s="11" t="s">
        <v>39</v>
      </c>
      <c r="O520" s="12"/>
      <c r="P520" s="13"/>
      <c r="Q520" s="14">
        <f>Tabela1[[#This Row],[QTDE/ Fabricação]]-Tabela1[[#This Row],[QTE]]</f>
        <v>-4</v>
      </c>
      <c r="R520" s="18">
        <f t="shared" si="87"/>
        <v>16.399999999999999</v>
      </c>
      <c r="S520" s="18">
        <f t="shared" si="86"/>
        <v>16.399999999999999</v>
      </c>
      <c r="T520" s="19">
        <f t="shared" si="88"/>
        <v>0</v>
      </c>
      <c r="U520" s="16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89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4514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0"/>
        <v>P-024531-1/P190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1"/>
        <v>16.399999999999999</v>
      </c>
      <c r="AV520" s="37">
        <f t="shared" si="92"/>
        <v>16.399999999999999</v>
      </c>
      <c r="AW520" s="37"/>
    </row>
    <row r="521" spans="1:49" ht="15.75" hidden="1" customHeight="1" x14ac:dyDescent="0.25">
      <c r="A521" s="6" t="s">
        <v>2559</v>
      </c>
      <c r="B521" s="21"/>
      <c r="C521" s="7">
        <v>2</v>
      </c>
      <c r="D521" s="39" t="s">
        <v>2560</v>
      </c>
      <c r="E521" s="7">
        <v>3482</v>
      </c>
      <c r="F521" s="7">
        <v>6</v>
      </c>
      <c r="G521" s="23">
        <v>426</v>
      </c>
      <c r="H521" s="34">
        <f>Tabela1[[#This Row],[PESO UNI]]*Tabela1[[#This Row],[QTE]]</f>
        <v>852</v>
      </c>
      <c r="I521" s="7">
        <v>2</v>
      </c>
      <c r="J521" s="8" t="s">
        <v>2551</v>
      </c>
      <c r="K521" s="8" t="s">
        <v>31</v>
      </c>
      <c r="L521" s="9" t="s">
        <v>2552</v>
      </c>
      <c r="M521" s="10"/>
      <c r="N521" s="11" t="s">
        <v>39</v>
      </c>
      <c r="O521" s="12"/>
      <c r="P521" s="13"/>
      <c r="Q521" s="14">
        <f>Tabela1[[#This Row],[QTDE/ Fabricação]]-Tabela1[[#This Row],[QTE]]</f>
        <v>-2</v>
      </c>
      <c r="R521" s="18">
        <f t="shared" si="87"/>
        <v>852</v>
      </c>
      <c r="S521" s="18">
        <f t="shared" si="86"/>
        <v>852</v>
      </c>
      <c r="T521" s="19">
        <f t="shared" si="88"/>
        <v>0</v>
      </c>
      <c r="U521" s="16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89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4514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0"/>
        <v>P-024514-1/P190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1"/>
        <v>852</v>
      </c>
      <c r="AV521" s="37">
        <f t="shared" si="92"/>
        <v>852</v>
      </c>
      <c r="AW521" s="37"/>
    </row>
    <row r="522" spans="1:49" ht="15.75" hidden="1" customHeight="1" x14ac:dyDescent="0.25">
      <c r="A522" s="6" t="s">
        <v>4402</v>
      </c>
      <c r="B522" s="21"/>
      <c r="C522" s="7">
        <v>1</v>
      </c>
      <c r="D522" s="39" t="s">
        <v>4403</v>
      </c>
      <c r="E522" s="7">
        <v>3483</v>
      </c>
      <c r="F522" s="7">
        <v>3</v>
      </c>
      <c r="G522" s="23">
        <v>24</v>
      </c>
      <c r="H522" s="34">
        <f>Tabela1[[#This Row],[PESO UNI]]*Tabela1[[#This Row],[QTE]]</f>
        <v>24</v>
      </c>
      <c r="I522" s="7">
        <v>0</v>
      </c>
      <c r="J522" s="8" t="s">
        <v>2551</v>
      </c>
      <c r="K522" s="8" t="s">
        <v>31</v>
      </c>
      <c r="L522" s="9" t="s">
        <v>2552</v>
      </c>
      <c r="M522" s="10"/>
      <c r="N522" s="11" t="s">
        <v>39</v>
      </c>
      <c r="O522" s="12"/>
      <c r="P522" s="13"/>
      <c r="Q522" s="14">
        <f>Tabela1[[#This Row],[QTDE/ Fabricação]]-Tabela1[[#This Row],[QTE]]</f>
        <v>-1</v>
      </c>
      <c r="R522" s="18">
        <f t="shared" si="87"/>
        <v>24</v>
      </c>
      <c r="S522" s="18">
        <f t="shared" si="86"/>
        <v>24</v>
      </c>
      <c r="T522" s="19">
        <f t="shared" si="88"/>
        <v>0</v>
      </c>
      <c r="U522" s="16">
        <v>1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24</v>
      </c>
      <c r="Y522" s="14">
        <f t="shared" si="89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4514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0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1"/>
        <v>24</v>
      </c>
      <c r="AV522" s="37">
        <f t="shared" si="92"/>
        <v>24</v>
      </c>
      <c r="AW522" s="37"/>
    </row>
    <row r="523" spans="1:49" ht="15.75" hidden="1" customHeight="1" x14ac:dyDescent="0.25">
      <c r="A523" s="6" t="s">
        <v>4402</v>
      </c>
      <c r="B523" s="21"/>
      <c r="C523" s="7">
        <v>1</v>
      </c>
      <c r="D523" s="39" t="s">
        <v>4404</v>
      </c>
      <c r="E523" s="7">
        <v>3484</v>
      </c>
      <c r="F523" s="7">
        <v>3</v>
      </c>
      <c r="G523" s="23">
        <v>20</v>
      </c>
      <c r="H523" s="34">
        <f>Tabela1[[#This Row],[PESO UNI]]*Tabela1[[#This Row],[QTE]]</f>
        <v>20</v>
      </c>
      <c r="I523" s="7">
        <v>0</v>
      </c>
      <c r="J523" s="8" t="s">
        <v>2551</v>
      </c>
      <c r="K523" s="8" t="s">
        <v>31</v>
      </c>
      <c r="L523" s="9" t="s">
        <v>2552</v>
      </c>
      <c r="M523" s="10"/>
      <c r="N523" s="11" t="s">
        <v>39</v>
      </c>
      <c r="O523" s="12"/>
      <c r="P523" s="13"/>
      <c r="Q523" s="14">
        <f>Tabela1[[#This Row],[QTDE/ Fabricação]]-Tabela1[[#This Row],[QTE]]</f>
        <v>-1</v>
      </c>
      <c r="R523" s="18">
        <f t="shared" si="87"/>
        <v>20</v>
      </c>
      <c r="S523" s="18">
        <f t="shared" si="86"/>
        <v>20</v>
      </c>
      <c r="T523" s="19">
        <f t="shared" si="88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20</v>
      </c>
      <c r="Y523" s="14">
        <f t="shared" si="89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4514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0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1"/>
        <v>20</v>
      </c>
      <c r="AV523" s="37">
        <f t="shared" si="92"/>
        <v>20</v>
      </c>
      <c r="AW523" s="37"/>
    </row>
    <row r="524" spans="1:49" ht="15.75" hidden="1" customHeight="1" x14ac:dyDescent="0.25">
      <c r="A524" s="6" t="s">
        <v>4402</v>
      </c>
      <c r="B524" s="21"/>
      <c r="C524" s="7">
        <v>2</v>
      </c>
      <c r="D524" s="39" t="s">
        <v>4405</v>
      </c>
      <c r="E524" s="7">
        <v>3485</v>
      </c>
      <c r="F524" s="7">
        <v>3</v>
      </c>
      <c r="G524" s="23">
        <v>3</v>
      </c>
      <c r="H524" s="34">
        <f>Tabela1[[#This Row],[PESO UNI]]*Tabela1[[#This Row],[QTE]]</f>
        <v>6</v>
      </c>
      <c r="I524" s="7">
        <v>0</v>
      </c>
      <c r="J524" s="8" t="s">
        <v>2551</v>
      </c>
      <c r="K524" s="8" t="s">
        <v>31</v>
      </c>
      <c r="L524" s="9" t="s">
        <v>2552</v>
      </c>
      <c r="M524" s="10"/>
      <c r="N524" s="11" t="s">
        <v>39</v>
      </c>
      <c r="O524" s="12"/>
      <c r="P524" s="13"/>
      <c r="Q524" s="14">
        <f>Tabela1[[#This Row],[QTDE/ Fabricação]]-Tabela1[[#This Row],[QTE]]</f>
        <v>-2</v>
      </c>
      <c r="R524" s="18">
        <f t="shared" si="87"/>
        <v>6</v>
      </c>
      <c r="S524" s="18">
        <f t="shared" si="86"/>
        <v>6</v>
      </c>
      <c r="T524" s="19">
        <f t="shared" si="88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6</v>
      </c>
      <c r="Y524" s="14">
        <f t="shared" si="89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4514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0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1"/>
        <v>6</v>
      </c>
      <c r="AV524" s="37">
        <f t="shared" si="92"/>
        <v>6</v>
      </c>
      <c r="AW524" s="37"/>
    </row>
    <row r="525" spans="1:49" ht="15.75" hidden="1" customHeight="1" x14ac:dyDescent="0.25">
      <c r="A525" s="6" t="s">
        <v>4402</v>
      </c>
      <c r="B525" s="21"/>
      <c r="C525" s="7">
        <v>2</v>
      </c>
      <c r="D525" s="39" t="s">
        <v>4406</v>
      </c>
      <c r="E525" s="7">
        <v>3486</v>
      </c>
      <c r="F525" s="7">
        <v>3</v>
      </c>
      <c r="G525" s="23">
        <v>3</v>
      </c>
      <c r="H525" s="34">
        <f>Tabela1[[#This Row],[PESO UNI]]*Tabela1[[#This Row],[QTE]]</f>
        <v>6</v>
      </c>
      <c r="I525" s="7">
        <v>0</v>
      </c>
      <c r="J525" s="8" t="s">
        <v>2551</v>
      </c>
      <c r="K525" s="8" t="s">
        <v>31</v>
      </c>
      <c r="L525" s="9" t="s">
        <v>2552</v>
      </c>
      <c r="M525" s="10"/>
      <c r="N525" s="11" t="s">
        <v>39</v>
      </c>
      <c r="O525" s="12"/>
      <c r="P525" s="13"/>
      <c r="Q525" s="14">
        <f>Tabela1[[#This Row],[QTDE/ Fabricação]]-Tabela1[[#This Row],[QTE]]</f>
        <v>-2</v>
      </c>
      <c r="R525" s="18">
        <f t="shared" si="87"/>
        <v>6</v>
      </c>
      <c r="S525" s="18">
        <f t="shared" si="86"/>
        <v>6</v>
      </c>
      <c r="T525" s="19">
        <f t="shared" si="88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6</v>
      </c>
      <c r="Y525" s="14">
        <f t="shared" si="89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4514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0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1"/>
        <v>6</v>
      </c>
      <c r="AV525" s="37">
        <f t="shared" si="92"/>
        <v>6</v>
      </c>
      <c r="AW525" s="37"/>
    </row>
    <row r="526" spans="1:49" ht="15.75" hidden="1" customHeight="1" x14ac:dyDescent="0.25">
      <c r="A526" s="6" t="s">
        <v>4402</v>
      </c>
      <c r="B526" s="21"/>
      <c r="C526" s="7">
        <v>1</v>
      </c>
      <c r="D526" s="39" t="s">
        <v>4407</v>
      </c>
      <c r="E526" s="7">
        <v>3487</v>
      </c>
      <c r="F526" s="7">
        <v>3</v>
      </c>
      <c r="G526" s="23">
        <v>0.2</v>
      </c>
      <c r="H526" s="34">
        <f>Tabela1[[#This Row],[PESO UNI]]*Tabela1[[#This Row],[QTE]]</f>
        <v>0.2</v>
      </c>
      <c r="I526" s="7">
        <v>0</v>
      </c>
      <c r="J526" s="8" t="s">
        <v>2551</v>
      </c>
      <c r="K526" s="8" t="s">
        <v>31</v>
      </c>
      <c r="L526" s="9" t="s">
        <v>2552</v>
      </c>
      <c r="M526" s="10"/>
      <c r="N526" s="11" t="s">
        <v>39</v>
      </c>
      <c r="O526" s="12"/>
      <c r="P526" s="13"/>
      <c r="Q526" s="14">
        <f>Tabela1[[#This Row],[QTDE/ Fabricação]]-Tabela1[[#This Row],[QTE]]</f>
        <v>-1</v>
      </c>
      <c r="R526" s="18">
        <f t="shared" si="87"/>
        <v>0.2</v>
      </c>
      <c r="S526" s="18">
        <f t="shared" si="86"/>
        <v>0.2</v>
      </c>
      <c r="T526" s="19">
        <f t="shared" si="88"/>
        <v>0</v>
      </c>
      <c r="U526" s="16">
        <v>1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0.2</v>
      </c>
      <c r="Y526" s="14">
        <f t="shared" si="89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4514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0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1"/>
        <v>0.2</v>
      </c>
      <c r="AV526" s="37">
        <f t="shared" si="92"/>
        <v>0.2</v>
      </c>
      <c r="AW526" s="37"/>
    </row>
    <row r="527" spans="1:49" ht="15.75" hidden="1" customHeight="1" x14ac:dyDescent="0.25">
      <c r="A527" s="6" t="s">
        <v>4402</v>
      </c>
      <c r="B527" s="21"/>
      <c r="C527" s="7">
        <v>2</v>
      </c>
      <c r="D527" s="39" t="s">
        <v>4408</v>
      </c>
      <c r="E527" s="7">
        <v>3488</v>
      </c>
      <c r="F527" s="7">
        <v>3</v>
      </c>
      <c r="G527" s="23">
        <v>0.2</v>
      </c>
      <c r="H527" s="34">
        <f>Tabela1[[#This Row],[PESO UNI]]*Tabela1[[#This Row],[QTE]]</f>
        <v>0.4</v>
      </c>
      <c r="I527" s="7">
        <v>0</v>
      </c>
      <c r="J527" s="8" t="s">
        <v>2551</v>
      </c>
      <c r="K527" s="8" t="s">
        <v>31</v>
      </c>
      <c r="L527" s="9" t="s">
        <v>2552</v>
      </c>
      <c r="M527" s="10"/>
      <c r="N527" s="11" t="s">
        <v>39</v>
      </c>
      <c r="O527" s="12"/>
      <c r="P527" s="13"/>
      <c r="Q527" s="14">
        <f>Tabela1[[#This Row],[QTDE/ Fabricação]]-Tabela1[[#This Row],[QTE]]</f>
        <v>-2</v>
      </c>
      <c r="R527" s="18">
        <f t="shared" si="87"/>
        <v>0.4</v>
      </c>
      <c r="S527" s="18">
        <f t="shared" si="86"/>
        <v>0.4</v>
      </c>
      <c r="T527" s="19">
        <f t="shared" si="88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0.4</v>
      </c>
      <c r="Y527" s="14">
        <f t="shared" si="89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4514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0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1"/>
        <v>0.4</v>
      </c>
      <c r="AV527" s="37">
        <f t="shared" si="92"/>
        <v>0.4</v>
      </c>
      <c r="AW527" s="37"/>
    </row>
    <row r="528" spans="1:49" ht="15.75" hidden="1" customHeight="1" x14ac:dyDescent="0.25">
      <c r="A528" s="6" t="s">
        <v>4402</v>
      </c>
      <c r="B528" s="21"/>
      <c r="C528" s="7">
        <v>2</v>
      </c>
      <c r="D528" s="39" t="s">
        <v>4409</v>
      </c>
      <c r="E528" s="7">
        <v>3489</v>
      </c>
      <c r="F528" s="7">
        <v>3</v>
      </c>
      <c r="G528" s="23">
        <v>0.2</v>
      </c>
      <c r="H528" s="34">
        <f>Tabela1[[#This Row],[PESO UNI]]*Tabela1[[#This Row],[QTE]]</f>
        <v>0.4</v>
      </c>
      <c r="I528" s="7">
        <v>0</v>
      </c>
      <c r="J528" s="8" t="s">
        <v>2551</v>
      </c>
      <c r="K528" s="8" t="s">
        <v>31</v>
      </c>
      <c r="L528" s="9" t="s">
        <v>2552</v>
      </c>
      <c r="M528" s="10"/>
      <c r="N528" s="11" t="s">
        <v>39</v>
      </c>
      <c r="O528" s="12"/>
      <c r="P528" s="13"/>
      <c r="Q528" s="14">
        <f>Tabela1[[#This Row],[QTDE/ Fabricação]]-Tabela1[[#This Row],[QTE]]</f>
        <v>-2</v>
      </c>
      <c r="R528" s="18">
        <f t="shared" si="87"/>
        <v>0.4</v>
      </c>
      <c r="S528" s="18">
        <f t="shared" si="86"/>
        <v>0.4</v>
      </c>
      <c r="T528" s="19">
        <f t="shared" si="88"/>
        <v>0</v>
      </c>
      <c r="U528" s="16">
        <v>2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0.4</v>
      </c>
      <c r="Y528" s="14">
        <f t="shared" si="89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4514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0"/>
        <v>P-024500-1/P190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1"/>
        <v>0.4</v>
      </c>
      <c r="AV528" s="37">
        <f t="shared" si="92"/>
        <v>0.4</v>
      </c>
      <c r="AW528" s="37"/>
    </row>
    <row r="529" spans="1:49" ht="15.75" hidden="1" customHeight="1" x14ac:dyDescent="0.25">
      <c r="A529" s="6" t="s">
        <v>4402</v>
      </c>
      <c r="B529" s="21"/>
      <c r="C529" s="7">
        <v>2</v>
      </c>
      <c r="D529" s="39" t="s">
        <v>4410</v>
      </c>
      <c r="E529" s="7">
        <v>3490</v>
      </c>
      <c r="F529" s="7">
        <v>3</v>
      </c>
      <c r="G529" s="23">
        <v>14.2</v>
      </c>
      <c r="H529" s="34">
        <f>Tabela1[[#This Row],[PESO UNI]]*Tabela1[[#This Row],[QTE]]</f>
        <v>28.4</v>
      </c>
      <c r="I529" s="7">
        <v>0</v>
      </c>
      <c r="J529" s="8" t="s">
        <v>2551</v>
      </c>
      <c r="K529" s="8" t="s">
        <v>31</v>
      </c>
      <c r="L529" s="9" t="s">
        <v>2552</v>
      </c>
      <c r="M529" s="10"/>
      <c r="N529" s="11" t="s">
        <v>39</v>
      </c>
      <c r="O529" s="12"/>
      <c r="P529" s="13"/>
      <c r="Q529" s="14">
        <f>Tabela1[[#This Row],[QTDE/ Fabricação]]-Tabela1[[#This Row],[QTE]]</f>
        <v>-2</v>
      </c>
      <c r="R529" s="18">
        <f t="shared" si="87"/>
        <v>28.4</v>
      </c>
      <c r="S529" s="18">
        <f t="shared" si="86"/>
        <v>28.4</v>
      </c>
      <c r="T529" s="19">
        <f t="shared" si="88"/>
        <v>0</v>
      </c>
      <c r="U529" s="16">
        <v>2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28.4</v>
      </c>
      <c r="Y529" s="14">
        <f t="shared" si="89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4514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0"/>
        <v>P-024500-1/P190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1"/>
        <v>28.4</v>
      </c>
      <c r="AV529" s="37">
        <f t="shared" si="92"/>
        <v>28.4</v>
      </c>
      <c r="AW529" s="37"/>
    </row>
    <row r="530" spans="1:49" ht="15.75" hidden="1" customHeight="1" x14ac:dyDescent="0.25">
      <c r="A530" s="6" t="s">
        <v>2561</v>
      </c>
      <c r="B530" s="21"/>
      <c r="C530" s="7">
        <v>2</v>
      </c>
      <c r="D530" s="39" t="s">
        <v>2562</v>
      </c>
      <c r="E530" s="7">
        <v>3491</v>
      </c>
      <c r="F530" s="7">
        <v>3</v>
      </c>
      <c r="G530" s="23">
        <v>71.599999999999994</v>
      </c>
      <c r="H530" s="34">
        <f>Tabela1[[#This Row],[PESO UNI]]*Tabela1[[#This Row],[QTE]]</f>
        <v>143.19999999999999</v>
      </c>
      <c r="I530" s="7">
        <v>1</v>
      </c>
      <c r="J530" s="8" t="s">
        <v>2551</v>
      </c>
      <c r="K530" s="8" t="s">
        <v>31</v>
      </c>
      <c r="L530" s="9" t="s">
        <v>2552</v>
      </c>
      <c r="M530" s="10"/>
      <c r="N530" s="11" t="s">
        <v>39</v>
      </c>
      <c r="O530" s="12"/>
      <c r="P530" s="13"/>
      <c r="Q530" s="14">
        <f>Tabela1[[#This Row],[QTDE/ Fabricação]]-Tabela1[[#This Row],[QTE]]</f>
        <v>-2</v>
      </c>
      <c r="R530" s="18">
        <f t="shared" si="87"/>
        <v>143.19999999999999</v>
      </c>
      <c r="S530" s="18">
        <f t="shared" si="86"/>
        <v>143.19999999999999</v>
      </c>
      <c r="T530" s="19">
        <f t="shared" si="88"/>
        <v>0</v>
      </c>
      <c r="U530" s="16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89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4514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0"/>
        <v>P-024499-1/P190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1"/>
        <v>143.19999999999999</v>
      </c>
      <c r="AV530" s="37">
        <f t="shared" si="92"/>
        <v>143.19999999999999</v>
      </c>
      <c r="AW530" s="37"/>
    </row>
    <row r="531" spans="1:49" ht="15.75" hidden="1" customHeight="1" x14ac:dyDescent="0.25">
      <c r="A531" s="6" t="s">
        <v>4411</v>
      </c>
      <c r="B531" s="21"/>
      <c r="C531" s="7">
        <v>1</v>
      </c>
      <c r="D531" s="39" t="s">
        <v>4412</v>
      </c>
      <c r="E531" s="7">
        <v>3492</v>
      </c>
      <c r="F531" s="7">
        <v>3</v>
      </c>
      <c r="G531" s="23">
        <v>24</v>
      </c>
      <c r="H531" s="34">
        <f>Tabela1[[#This Row],[PESO UNI]]*Tabela1[[#This Row],[QTE]]</f>
        <v>24</v>
      </c>
      <c r="I531" s="7">
        <v>1</v>
      </c>
      <c r="J531" s="8" t="s">
        <v>2551</v>
      </c>
      <c r="K531" s="8" t="s">
        <v>31</v>
      </c>
      <c r="L531" s="9" t="s">
        <v>2552</v>
      </c>
      <c r="M531" s="10"/>
      <c r="N531" s="11" t="s">
        <v>39</v>
      </c>
      <c r="O531" s="12"/>
      <c r="P531" s="13"/>
      <c r="Q531" s="14">
        <f>Tabela1[[#This Row],[QTDE/ Fabricação]]-Tabela1[[#This Row],[QTE]]</f>
        <v>-1</v>
      </c>
      <c r="R531" s="18">
        <f t="shared" si="87"/>
        <v>24</v>
      </c>
      <c r="S531" s="18">
        <f t="shared" si="86"/>
        <v>24</v>
      </c>
      <c r="T531" s="19">
        <f t="shared" si="88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24</v>
      </c>
      <c r="Y531" s="14">
        <f t="shared" si="89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4514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0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1"/>
        <v>24</v>
      </c>
      <c r="AV531" s="37">
        <f t="shared" si="92"/>
        <v>24</v>
      </c>
      <c r="AW531" s="37"/>
    </row>
    <row r="532" spans="1:49" ht="15.75" hidden="1" customHeight="1" x14ac:dyDescent="0.25">
      <c r="A532" s="6" t="s">
        <v>4411</v>
      </c>
      <c r="B532" s="21"/>
      <c r="C532" s="7">
        <v>1</v>
      </c>
      <c r="D532" s="39" t="s">
        <v>4404</v>
      </c>
      <c r="E532" s="7">
        <v>3493</v>
      </c>
      <c r="F532" s="7">
        <v>3</v>
      </c>
      <c r="G532" s="23">
        <v>27</v>
      </c>
      <c r="H532" s="34">
        <f>Tabela1[[#This Row],[PESO UNI]]*Tabela1[[#This Row],[QTE]]</f>
        <v>27</v>
      </c>
      <c r="I532" s="7">
        <v>1</v>
      </c>
      <c r="J532" s="8" t="s">
        <v>2551</v>
      </c>
      <c r="K532" s="8" t="s">
        <v>31</v>
      </c>
      <c r="L532" s="9" t="s">
        <v>2552</v>
      </c>
      <c r="M532" s="10"/>
      <c r="N532" s="11" t="s">
        <v>39</v>
      </c>
      <c r="O532" s="12"/>
      <c r="P532" s="13"/>
      <c r="Q532" s="14">
        <f>Tabela1[[#This Row],[QTDE/ Fabricação]]-Tabela1[[#This Row],[QTE]]</f>
        <v>-1</v>
      </c>
      <c r="R532" s="18">
        <f t="shared" si="87"/>
        <v>27</v>
      </c>
      <c r="S532" s="18">
        <f t="shared" si="86"/>
        <v>27</v>
      </c>
      <c r="T532" s="19">
        <f t="shared" si="88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27</v>
      </c>
      <c r="Y532" s="14">
        <f t="shared" si="89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4514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0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1"/>
        <v>27</v>
      </c>
      <c r="AV532" s="37">
        <f t="shared" si="92"/>
        <v>27</v>
      </c>
      <c r="AW532" s="37"/>
    </row>
    <row r="533" spans="1:49" ht="15.75" hidden="1" customHeight="1" x14ac:dyDescent="0.25">
      <c r="A533" s="6" t="s">
        <v>4411</v>
      </c>
      <c r="B533" s="21"/>
      <c r="C533" s="7">
        <v>1</v>
      </c>
      <c r="D533" s="39" t="s">
        <v>4413</v>
      </c>
      <c r="E533" s="7">
        <v>3494</v>
      </c>
      <c r="F533" s="7">
        <v>3</v>
      </c>
      <c r="G533" s="23">
        <v>1.5</v>
      </c>
      <c r="H533" s="34">
        <f>Tabela1[[#This Row],[PESO UNI]]*Tabela1[[#This Row],[QTE]]</f>
        <v>1.5</v>
      </c>
      <c r="I533" s="7">
        <v>1</v>
      </c>
      <c r="J533" s="8" t="s">
        <v>2551</v>
      </c>
      <c r="K533" s="8" t="s">
        <v>31</v>
      </c>
      <c r="L533" s="9" t="s">
        <v>2552</v>
      </c>
      <c r="M533" s="10"/>
      <c r="N533" s="11" t="s">
        <v>39</v>
      </c>
      <c r="O533" s="12"/>
      <c r="P533" s="13"/>
      <c r="Q533" s="14">
        <f>Tabela1[[#This Row],[QTDE/ Fabricação]]-Tabela1[[#This Row],[QTE]]</f>
        <v>-1</v>
      </c>
      <c r="R533" s="18">
        <f t="shared" si="87"/>
        <v>1.5</v>
      </c>
      <c r="S533" s="18">
        <f t="shared" si="86"/>
        <v>1.5</v>
      </c>
      <c r="T533" s="19">
        <f t="shared" si="88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1.5</v>
      </c>
      <c r="Y533" s="14">
        <f t="shared" si="89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4514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0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1"/>
        <v>1.5</v>
      </c>
      <c r="AV533" s="37">
        <f t="shared" si="92"/>
        <v>1.5</v>
      </c>
      <c r="AW533" s="37"/>
    </row>
    <row r="534" spans="1:49" ht="15.75" hidden="1" customHeight="1" x14ac:dyDescent="0.25">
      <c r="A534" s="6" t="s">
        <v>4411</v>
      </c>
      <c r="B534" s="21"/>
      <c r="C534" s="7">
        <v>1</v>
      </c>
      <c r="D534" s="39" t="s">
        <v>4405</v>
      </c>
      <c r="E534" s="7">
        <v>3495</v>
      </c>
      <c r="F534" s="7">
        <v>3</v>
      </c>
      <c r="G534" s="23">
        <v>1.5</v>
      </c>
      <c r="H534" s="34">
        <f>Tabela1[[#This Row],[PESO UNI]]*Tabela1[[#This Row],[QTE]]</f>
        <v>1.5</v>
      </c>
      <c r="I534" s="7">
        <v>1</v>
      </c>
      <c r="J534" s="8" t="s">
        <v>2551</v>
      </c>
      <c r="K534" s="8" t="s">
        <v>31</v>
      </c>
      <c r="L534" s="9" t="s">
        <v>2552</v>
      </c>
      <c r="M534" s="10"/>
      <c r="N534" s="11" t="s">
        <v>39</v>
      </c>
      <c r="O534" s="12"/>
      <c r="P534" s="13"/>
      <c r="Q534" s="14">
        <f>Tabela1[[#This Row],[QTDE/ Fabricação]]-Tabela1[[#This Row],[QTE]]</f>
        <v>-1</v>
      </c>
      <c r="R534" s="18">
        <f t="shared" si="87"/>
        <v>1.5</v>
      </c>
      <c r="S534" s="18">
        <f t="shared" si="86"/>
        <v>1.5</v>
      </c>
      <c r="T534" s="19">
        <f t="shared" si="88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1.5</v>
      </c>
      <c r="Y534" s="14">
        <f t="shared" si="89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4514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0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1"/>
        <v>1.5</v>
      </c>
      <c r="AV534" s="37">
        <f t="shared" si="92"/>
        <v>1.5</v>
      </c>
      <c r="AW534" s="37"/>
    </row>
    <row r="535" spans="1:49" ht="15.75" hidden="1" customHeight="1" x14ac:dyDescent="0.25">
      <c r="A535" s="6" t="s">
        <v>4411</v>
      </c>
      <c r="B535" s="21"/>
      <c r="C535" s="7">
        <v>2</v>
      </c>
      <c r="D535" s="39" t="s">
        <v>4406</v>
      </c>
      <c r="E535" s="7">
        <v>3496</v>
      </c>
      <c r="F535" s="7">
        <v>3</v>
      </c>
      <c r="G535" s="23">
        <v>3</v>
      </c>
      <c r="H535" s="34">
        <f>Tabela1[[#This Row],[PESO UNI]]*Tabela1[[#This Row],[QTE]]</f>
        <v>6</v>
      </c>
      <c r="I535" s="7">
        <v>1</v>
      </c>
      <c r="J535" s="8" t="s">
        <v>2551</v>
      </c>
      <c r="K535" s="8" t="s">
        <v>31</v>
      </c>
      <c r="L535" s="9" t="s">
        <v>2552</v>
      </c>
      <c r="M535" s="10"/>
      <c r="N535" s="11" t="s">
        <v>39</v>
      </c>
      <c r="O535" s="12"/>
      <c r="P535" s="13"/>
      <c r="Q535" s="14">
        <f>Tabela1[[#This Row],[QTDE/ Fabricação]]-Tabela1[[#This Row],[QTE]]</f>
        <v>-2</v>
      </c>
      <c r="R535" s="18">
        <f t="shared" si="87"/>
        <v>6</v>
      </c>
      <c r="S535" s="18">
        <f t="shared" si="86"/>
        <v>6</v>
      </c>
      <c r="T535" s="19">
        <f t="shared" si="88"/>
        <v>0</v>
      </c>
      <c r="U535" s="16">
        <v>2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6</v>
      </c>
      <c r="Y535" s="14">
        <f t="shared" si="89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4514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0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1"/>
        <v>6</v>
      </c>
      <c r="AV535" s="37">
        <f t="shared" si="92"/>
        <v>6</v>
      </c>
      <c r="AW535" s="37"/>
    </row>
    <row r="536" spans="1:49" ht="15.75" hidden="1" customHeight="1" x14ac:dyDescent="0.25">
      <c r="A536" s="6" t="s">
        <v>4411</v>
      </c>
      <c r="B536" s="21"/>
      <c r="C536" s="7">
        <v>1</v>
      </c>
      <c r="D536" s="39" t="s">
        <v>4414</v>
      </c>
      <c r="E536" s="7">
        <v>3497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2551</v>
      </c>
      <c r="K536" s="8" t="s">
        <v>31</v>
      </c>
      <c r="L536" s="9" t="s">
        <v>2552</v>
      </c>
      <c r="M536" s="10"/>
      <c r="N536" s="11" t="s">
        <v>39</v>
      </c>
      <c r="O536" s="12"/>
      <c r="P536" s="13"/>
      <c r="Q536" s="14">
        <f>Tabela1[[#This Row],[QTDE/ Fabricação]]-Tabela1[[#This Row],[QTE]]</f>
        <v>-1</v>
      </c>
      <c r="R536" s="18">
        <f t="shared" si="87"/>
        <v>0.1</v>
      </c>
      <c r="S536" s="18">
        <f t="shared" si="86"/>
        <v>0.1</v>
      </c>
      <c r="T536" s="19">
        <f t="shared" si="88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89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4514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0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1"/>
        <v>0.1</v>
      </c>
      <c r="AV536" s="37">
        <f t="shared" si="92"/>
        <v>0.1</v>
      </c>
      <c r="AW536" s="37"/>
    </row>
    <row r="537" spans="1:49" ht="15.75" hidden="1" customHeight="1" x14ac:dyDescent="0.25">
      <c r="A537" s="6" t="s">
        <v>4411</v>
      </c>
      <c r="B537" s="21"/>
      <c r="C537" s="7">
        <v>1</v>
      </c>
      <c r="D537" s="39" t="s">
        <v>4407</v>
      </c>
      <c r="E537" s="7">
        <v>3498</v>
      </c>
      <c r="F537" s="7">
        <v>3</v>
      </c>
      <c r="G537" s="23">
        <v>0.2</v>
      </c>
      <c r="H537" s="34">
        <f>Tabela1[[#This Row],[PESO UNI]]*Tabela1[[#This Row],[QTE]]</f>
        <v>0.2</v>
      </c>
      <c r="I537" s="7">
        <v>1</v>
      </c>
      <c r="J537" s="8" t="s">
        <v>2551</v>
      </c>
      <c r="K537" s="8" t="s">
        <v>31</v>
      </c>
      <c r="L537" s="9" t="s">
        <v>2552</v>
      </c>
      <c r="M537" s="10"/>
      <c r="N537" s="11" t="s">
        <v>39</v>
      </c>
      <c r="O537" s="12"/>
      <c r="P537" s="13"/>
      <c r="Q537" s="14">
        <f>Tabela1[[#This Row],[QTDE/ Fabricação]]-Tabela1[[#This Row],[QTE]]</f>
        <v>-1</v>
      </c>
      <c r="R537" s="18">
        <f t="shared" si="87"/>
        <v>0.2</v>
      </c>
      <c r="S537" s="18">
        <f t="shared" si="86"/>
        <v>0.2</v>
      </c>
      <c r="T537" s="19">
        <f t="shared" si="88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0.2</v>
      </c>
      <c r="Y537" s="14">
        <f t="shared" si="89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4514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0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1"/>
        <v>0.2</v>
      </c>
      <c r="AV537" s="37">
        <f t="shared" si="92"/>
        <v>0.2</v>
      </c>
      <c r="AW537" s="37"/>
    </row>
    <row r="538" spans="1:49" ht="15.75" hidden="1" customHeight="1" x14ac:dyDescent="0.25">
      <c r="A538" s="6" t="s">
        <v>4411</v>
      </c>
      <c r="B538" s="21"/>
      <c r="C538" s="7">
        <v>1</v>
      </c>
      <c r="D538" s="39" t="s">
        <v>4408</v>
      </c>
      <c r="E538" s="7">
        <v>3499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2551</v>
      </c>
      <c r="K538" s="8" t="s">
        <v>31</v>
      </c>
      <c r="L538" s="9" t="s">
        <v>2552</v>
      </c>
      <c r="M538" s="10"/>
      <c r="N538" s="11" t="s">
        <v>39</v>
      </c>
      <c r="O538" s="12"/>
      <c r="P538" s="13"/>
      <c r="Q538" s="14">
        <f>Tabela1[[#This Row],[QTDE/ Fabricação]]-Tabela1[[#This Row],[QTE]]</f>
        <v>-1</v>
      </c>
      <c r="R538" s="18">
        <f t="shared" si="87"/>
        <v>0.1</v>
      </c>
      <c r="S538" s="18">
        <f t="shared" si="86"/>
        <v>0.1</v>
      </c>
      <c r="T538" s="19">
        <f t="shared" si="88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89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4514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0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1"/>
        <v>0.1</v>
      </c>
      <c r="AV538" s="37">
        <f t="shared" si="92"/>
        <v>0.1</v>
      </c>
      <c r="AW538" s="37"/>
    </row>
    <row r="539" spans="1:49" ht="15.75" hidden="1" customHeight="1" x14ac:dyDescent="0.25">
      <c r="A539" s="6" t="s">
        <v>4411</v>
      </c>
      <c r="B539" s="21"/>
      <c r="C539" s="7">
        <v>1</v>
      </c>
      <c r="D539" s="39" t="s">
        <v>4409</v>
      </c>
      <c r="E539" s="7">
        <v>3500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2551</v>
      </c>
      <c r="K539" s="8" t="s">
        <v>31</v>
      </c>
      <c r="L539" s="9" t="s">
        <v>2552</v>
      </c>
      <c r="M539" s="10"/>
      <c r="N539" s="11" t="s">
        <v>39</v>
      </c>
      <c r="O539" s="12"/>
      <c r="P539" s="13"/>
      <c r="Q539" s="14">
        <f>Tabela1[[#This Row],[QTDE/ Fabricação]]-Tabela1[[#This Row],[QTE]]</f>
        <v>-1</v>
      </c>
      <c r="R539" s="18">
        <f t="shared" si="87"/>
        <v>0.1</v>
      </c>
      <c r="S539" s="18">
        <f t="shared" si="86"/>
        <v>0.1</v>
      </c>
      <c r="T539" s="19">
        <f t="shared" si="88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89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4514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0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1"/>
        <v>0.1</v>
      </c>
      <c r="AV539" s="37">
        <f t="shared" si="92"/>
        <v>0.1</v>
      </c>
      <c r="AW539" s="37"/>
    </row>
    <row r="540" spans="1:49" ht="15.75" hidden="1" customHeight="1" x14ac:dyDescent="0.25">
      <c r="A540" s="6" t="s">
        <v>4411</v>
      </c>
      <c r="B540" s="21"/>
      <c r="C540" s="7">
        <v>2</v>
      </c>
      <c r="D540" s="39" t="s">
        <v>4410</v>
      </c>
      <c r="E540" s="7">
        <v>3501</v>
      </c>
      <c r="F540" s="7">
        <v>3</v>
      </c>
      <c r="G540" s="23">
        <v>7.1</v>
      </c>
      <c r="H540" s="34">
        <f>Tabela1[[#This Row],[PESO UNI]]*Tabela1[[#This Row],[QTE]]</f>
        <v>14.2</v>
      </c>
      <c r="I540" s="7">
        <v>1</v>
      </c>
      <c r="J540" s="8" t="s">
        <v>2551</v>
      </c>
      <c r="K540" s="8" t="s">
        <v>31</v>
      </c>
      <c r="L540" s="9" t="s">
        <v>2552</v>
      </c>
      <c r="M540" s="10"/>
      <c r="N540" s="11" t="s">
        <v>39</v>
      </c>
      <c r="O540" s="12"/>
      <c r="P540" s="13"/>
      <c r="Q540" s="14">
        <f>Tabela1[[#This Row],[QTDE/ Fabricação]]-Tabela1[[#This Row],[QTE]]</f>
        <v>-2</v>
      </c>
      <c r="R540" s="18">
        <f t="shared" si="87"/>
        <v>14.2</v>
      </c>
      <c r="S540" s="18">
        <f t="shared" si="86"/>
        <v>14.2</v>
      </c>
      <c r="T540" s="19">
        <f t="shared" si="88"/>
        <v>0</v>
      </c>
      <c r="U540" s="16">
        <v>2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14.2</v>
      </c>
      <c r="Y540" s="14">
        <f t="shared" si="89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4514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0"/>
        <v>P-024498-1/P190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1"/>
        <v>14.2</v>
      </c>
      <c r="AV540" s="37">
        <f t="shared" si="92"/>
        <v>14.2</v>
      </c>
      <c r="AW540" s="37"/>
    </row>
    <row r="541" spans="1:49" ht="15.75" hidden="1" customHeight="1" x14ac:dyDescent="0.25">
      <c r="A541" s="6" t="s">
        <v>4411</v>
      </c>
      <c r="B541" s="21"/>
      <c r="C541" s="7">
        <v>1</v>
      </c>
      <c r="D541" s="39" t="s">
        <v>4415</v>
      </c>
      <c r="E541" s="7">
        <v>3502</v>
      </c>
      <c r="F541" s="7">
        <v>3</v>
      </c>
      <c r="G541" s="23">
        <v>0.1</v>
      </c>
      <c r="H541" s="34">
        <f>Tabela1[[#This Row],[PESO UNI]]*Tabela1[[#This Row],[QTE]]</f>
        <v>0.1</v>
      </c>
      <c r="I541" s="7">
        <v>1</v>
      </c>
      <c r="J541" s="8" t="s">
        <v>2551</v>
      </c>
      <c r="K541" s="8" t="s">
        <v>31</v>
      </c>
      <c r="L541" s="9" t="s">
        <v>2552</v>
      </c>
      <c r="M541" s="10"/>
      <c r="N541" s="11" t="s">
        <v>39</v>
      </c>
      <c r="O541" s="12"/>
      <c r="P541" s="13"/>
      <c r="Q541" s="14">
        <f>Tabela1[[#This Row],[QTDE/ Fabricação]]-Tabela1[[#This Row],[QTE]]</f>
        <v>-1</v>
      </c>
      <c r="R541" s="18">
        <f t="shared" si="87"/>
        <v>0.1</v>
      </c>
      <c r="S541" s="18">
        <f t="shared" si="86"/>
        <v>0.1</v>
      </c>
      <c r="T541" s="19">
        <f t="shared" si="88"/>
        <v>0</v>
      </c>
      <c r="U541" s="16">
        <v>1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0.1</v>
      </c>
      <c r="Y541" s="14">
        <f t="shared" si="89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4514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0"/>
        <v>P-024498-1/P190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1"/>
        <v>0.1</v>
      </c>
      <c r="AV541" s="37">
        <f t="shared" si="92"/>
        <v>0.1</v>
      </c>
      <c r="AW541" s="37"/>
    </row>
    <row r="542" spans="1:49" ht="15.75" hidden="1" customHeight="1" x14ac:dyDescent="0.25">
      <c r="A542" s="6" t="s">
        <v>2563</v>
      </c>
      <c r="B542" s="21"/>
      <c r="C542" s="7">
        <v>2</v>
      </c>
      <c r="D542" s="39" t="s">
        <v>2564</v>
      </c>
      <c r="E542" s="7">
        <v>3503</v>
      </c>
      <c r="F542" s="7">
        <v>3</v>
      </c>
      <c r="G542" s="23">
        <v>24</v>
      </c>
      <c r="H542" s="34">
        <f>Tabela1[[#This Row],[PESO UNI]]*Tabela1[[#This Row],[QTE]]</f>
        <v>48</v>
      </c>
      <c r="I542" s="7">
        <v>1</v>
      </c>
      <c r="J542" s="8" t="s">
        <v>2551</v>
      </c>
      <c r="K542" s="8" t="s">
        <v>31</v>
      </c>
      <c r="L542" s="9" t="s">
        <v>2552</v>
      </c>
      <c r="M542" s="10"/>
      <c r="N542" s="11" t="s">
        <v>39</v>
      </c>
      <c r="O542" s="12"/>
      <c r="P542" s="13"/>
      <c r="Q542" s="14">
        <f>Tabela1[[#This Row],[QTDE/ Fabricação]]-Tabela1[[#This Row],[QTE]]</f>
        <v>-2</v>
      </c>
      <c r="R542" s="18">
        <f t="shared" si="87"/>
        <v>48</v>
      </c>
      <c r="S542" s="18">
        <f t="shared" si="86"/>
        <v>48</v>
      </c>
      <c r="T542" s="19">
        <f t="shared" si="88"/>
        <v>0</v>
      </c>
      <c r="U542" s="16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89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4514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0"/>
        <v>P-024497-1/P190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1"/>
        <v>48</v>
      </c>
      <c r="AV542" s="37">
        <f t="shared" si="92"/>
        <v>48</v>
      </c>
      <c r="AW542" s="37"/>
    </row>
    <row r="543" spans="1:49" ht="15.75" hidden="1" customHeight="1" x14ac:dyDescent="0.25">
      <c r="A543" s="6" t="s">
        <v>2565</v>
      </c>
      <c r="B543" s="21"/>
      <c r="C543" s="7">
        <v>1</v>
      </c>
      <c r="D543" s="39" t="s">
        <v>2566</v>
      </c>
      <c r="E543" s="7">
        <v>3504</v>
      </c>
      <c r="F543" s="7">
        <v>2</v>
      </c>
      <c r="G543" s="23">
        <v>951.2</v>
      </c>
      <c r="H543" s="34">
        <f>Tabela1[[#This Row],[PESO UNI]]*Tabela1[[#This Row],[QTE]]</f>
        <v>951.2</v>
      </c>
      <c r="I543" s="7">
        <v>1</v>
      </c>
      <c r="J543" s="8" t="s">
        <v>2551</v>
      </c>
      <c r="K543" s="8" t="s">
        <v>31</v>
      </c>
      <c r="L543" s="9" t="s">
        <v>2552</v>
      </c>
      <c r="M543" s="10"/>
      <c r="N543" s="11" t="s">
        <v>39</v>
      </c>
      <c r="O543" s="12"/>
      <c r="P543" s="13"/>
      <c r="Q543" s="14">
        <f>Tabela1[[#This Row],[QTDE/ Fabricação]]-Tabela1[[#This Row],[QTE]]</f>
        <v>-1</v>
      </c>
      <c r="R543" s="18">
        <f t="shared" si="87"/>
        <v>951.2</v>
      </c>
      <c r="S543" s="18">
        <f t="shared" si="86"/>
        <v>951.2</v>
      </c>
      <c r="T543" s="19">
        <f t="shared" si="88"/>
        <v>0</v>
      </c>
      <c r="U543" s="16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89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4514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0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1"/>
        <v>951.2</v>
      </c>
      <c r="AV543" s="37">
        <f t="shared" si="92"/>
        <v>951.2</v>
      </c>
      <c r="AW543" s="37"/>
    </row>
    <row r="544" spans="1:49" ht="15.75" hidden="1" customHeight="1" x14ac:dyDescent="0.25">
      <c r="A544" s="6" t="s">
        <v>2565</v>
      </c>
      <c r="B544" s="21"/>
      <c r="C544" s="7">
        <v>2</v>
      </c>
      <c r="D544" s="39" t="s">
        <v>2567</v>
      </c>
      <c r="E544" s="7">
        <v>3505</v>
      </c>
      <c r="F544" s="7">
        <v>2</v>
      </c>
      <c r="G544" s="23">
        <v>3.4</v>
      </c>
      <c r="H544" s="34">
        <f>Tabela1[[#This Row],[PESO UNI]]*Tabela1[[#This Row],[QTE]]</f>
        <v>6.8</v>
      </c>
      <c r="I544" s="7">
        <v>1</v>
      </c>
      <c r="J544" s="8" t="s">
        <v>2551</v>
      </c>
      <c r="K544" s="8" t="s">
        <v>31</v>
      </c>
      <c r="L544" s="9" t="s">
        <v>2552</v>
      </c>
      <c r="M544" s="10"/>
      <c r="N544" s="11" t="s">
        <v>39</v>
      </c>
      <c r="O544" s="12"/>
      <c r="P544" s="13"/>
      <c r="Q544" s="14">
        <f>Tabela1[[#This Row],[QTDE/ Fabricação]]-Tabela1[[#This Row],[QTE]]</f>
        <v>-2</v>
      </c>
      <c r="R544" s="18">
        <f t="shared" si="87"/>
        <v>6.8</v>
      </c>
      <c r="S544" s="18">
        <f t="shared" si="86"/>
        <v>6.8</v>
      </c>
      <c r="T544" s="19">
        <f t="shared" si="88"/>
        <v>0</v>
      </c>
      <c r="U544" s="16">
        <v>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6.8</v>
      </c>
      <c r="Y544" s="14">
        <f t="shared" si="89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4514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0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1"/>
        <v>6.8</v>
      </c>
      <c r="AV544" s="37">
        <f t="shared" si="92"/>
        <v>6.8</v>
      </c>
      <c r="AW544" s="37"/>
    </row>
    <row r="545" spans="1:49" ht="15.75" hidden="1" customHeight="1" x14ac:dyDescent="0.25">
      <c r="A545" s="6" t="s">
        <v>2565</v>
      </c>
      <c r="B545" s="21"/>
      <c r="C545" s="7">
        <v>2</v>
      </c>
      <c r="D545" s="39" t="s">
        <v>2568</v>
      </c>
      <c r="E545" s="7">
        <v>3506</v>
      </c>
      <c r="F545" s="7">
        <v>2</v>
      </c>
      <c r="G545" s="23">
        <v>3</v>
      </c>
      <c r="H545" s="34">
        <f>Tabela1[[#This Row],[PESO UNI]]*Tabela1[[#This Row],[QTE]]</f>
        <v>6</v>
      </c>
      <c r="I545" s="7">
        <v>1</v>
      </c>
      <c r="J545" s="8" t="s">
        <v>2551</v>
      </c>
      <c r="K545" s="8" t="s">
        <v>31</v>
      </c>
      <c r="L545" s="9" t="s">
        <v>2552</v>
      </c>
      <c r="M545" s="10"/>
      <c r="N545" s="11" t="s">
        <v>39</v>
      </c>
      <c r="O545" s="12"/>
      <c r="P545" s="13"/>
      <c r="Q545" s="14">
        <f>Tabela1[[#This Row],[QTDE/ Fabricação]]-Tabela1[[#This Row],[QTE]]</f>
        <v>-2</v>
      </c>
      <c r="R545" s="18">
        <f t="shared" si="87"/>
        <v>6</v>
      </c>
      <c r="S545" s="18">
        <f t="shared" si="86"/>
        <v>6</v>
      </c>
      <c r="T545" s="19">
        <f t="shared" si="88"/>
        <v>0</v>
      </c>
      <c r="U545" s="16">
        <v>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6</v>
      </c>
      <c r="Y545" s="14">
        <f t="shared" si="89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4514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0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1"/>
        <v>6</v>
      </c>
      <c r="AV545" s="37">
        <f t="shared" si="92"/>
        <v>6</v>
      </c>
      <c r="AW545" s="37"/>
    </row>
    <row r="546" spans="1:49" ht="15.75" hidden="1" customHeight="1" x14ac:dyDescent="0.25">
      <c r="A546" s="6" t="s">
        <v>2565</v>
      </c>
      <c r="B546" s="21"/>
      <c r="C546" s="7">
        <v>12</v>
      </c>
      <c r="D546" s="39" t="s">
        <v>2569</v>
      </c>
      <c r="E546" s="7">
        <v>3507</v>
      </c>
      <c r="F546" s="7">
        <v>2</v>
      </c>
      <c r="G546" s="23">
        <v>22.8</v>
      </c>
      <c r="H546" s="34">
        <f>Tabela1[[#This Row],[PESO UNI]]*Tabela1[[#This Row],[QTE]]</f>
        <v>273.60000000000002</v>
      </c>
      <c r="I546" s="7">
        <v>1</v>
      </c>
      <c r="J546" s="8" t="s">
        <v>2551</v>
      </c>
      <c r="K546" s="8" t="s">
        <v>31</v>
      </c>
      <c r="L546" s="9" t="s">
        <v>2552</v>
      </c>
      <c r="M546" s="10"/>
      <c r="N546" s="11" t="s">
        <v>39</v>
      </c>
      <c r="O546" s="12"/>
      <c r="P546" s="13"/>
      <c r="Q546" s="14">
        <f>Tabela1[[#This Row],[QTDE/ Fabricação]]-Tabela1[[#This Row],[QTE]]</f>
        <v>-12</v>
      </c>
      <c r="R546" s="18">
        <f t="shared" si="87"/>
        <v>273.60000000000002</v>
      </c>
      <c r="S546" s="18">
        <f t="shared" si="86"/>
        <v>273.60000000000002</v>
      </c>
      <c r="T546" s="19">
        <f t="shared" si="88"/>
        <v>0</v>
      </c>
      <c r="U546" s="16">
        <v>12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273.60000000000002</v>
      </c>
      <c r="Y546" s="14">
        <f t="shared" si="89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4514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0"/>
        <v>P-024513-1/P190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1"/>
        <v>273.60000000000002</v>
      </c>
      <c r="AV546" s="37">
        <f t="shared" si="92"/>
        <v>273.60000000000002</v>
      </c>
      <c r="AW546" s="37"/>
    </row>
    <row r="547" spans="1:49" ht="15.75" hidden="1" customHeight="1" x14ac:dyDescent="0.25">
      <c r="A547" s="6" t="s">
        <v>2565</v>
      </c>
      <c r="B547" s="21"/>
      <c r="C547" s="7">
        <v>12</v>
      </c>
      <c r="D547" s="39" t="s">
        <v>2570</v>
      </c>
      <c r="E547" s="7">
        <v>3508</v>
      </c>
      <c r="F547" s="7">
        <v>2</v>
      </c>
      <c r="G547" s="23">
        <v>20.399999999999999</v>
      </c>
      <c r="H547" s="34">
        <f>Tabela1[[#This Row],[PESO UNI]]*Tabela1[[#This Row],[QTE]]</f>
        <v>244.79999999999998</v>
      </c>
      <c r="I547" s="7">
        <v>1</v>
      </c>
      <c r="J547" s="8" t="s">
        <v>2551</v>
      </c>
      <c r="K547" s="8" t="s">
        <v>31</v>
      </c>
      <c r="L547" s="9" t="s">
        <v>2552</v>
      </c>
      <c r="M547" s="10"/>
      <c r="N547" s="11" t="s">
        <v>39</v>
      </c>
      <c r="O547" s="12"/>
      <c r="P547" s="13"/>
      <c r="Q547" s="14">
        <f>Tabela1[[#This Row],[QTDE/ Fabricação]]-Tabela1[[#This Row],[QTE]]</f>
        <v>-12</v>
      </c>
      <c r="R547" s="18">
        <f t="shared" si="87"/>
        <v>244.79999999999998</v>
      </c>
      <c r="S547" s="18">
        <f t="shared" si="86"/>
        <v>244.79999999999998</v>
      </c>
      <c r="T547" s="19">
        <f t="shared" si="88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244.79999999999998</v>
      </c>
      <c r="Y547" s="14">
        <f t="shared" si="89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4514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0"/>
        <v>P-024513-1/P190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1"/>
        <v>244.79999999999998</v>
      </c>
      <c r="AV547" s="37">
        <f t="shared" si="92"/>
        <v>244.79999999999998</v>
      </c>
      <c r="AW547" s="37"/>
    </row>
    <row r="548" spans="1:49" ht="15.75" hidden="1" customHeight="1" x14ac:dyDescent="0.25">
      <c r="A548" s="6" t="s">
        <v>2571</v>
      </c>
      <c r="B548" s="21"/>
      <c r="C548" s="7">
        <v>1</v>
      </c>
      <c r="D548" s="39" t="s">
        <v>2572</v>
      </c>
      <c r="E548" s="7">
        <v>3509</v>
      </c>
      <c r="F548" s="7">
        <v>2</v>
      </c>
      <c r="G548" s="23">
        <v>961</v>
      </c>
      <c r="H548" s="34">
        <f>Tabela1[[#This Row],[PESO UNI]]*Tabela1[[#This Row],[QTE]]</f>
        <v>961</v>
      </c>
      <c r="I548" s="7">
        <v>1</v>
      </c>
      <c r="J548" s="8" t="s">
        <v>2551</v>
      </c>
      <c r="K548" s="8" t="s">
        <v>31</v>
      </c>
      <c r="L548" s="9" t="s">
        <v>2552</v>
      </c>
      <c r="M548" s="10"/>
      <c r="N548" s="11" t="s">
        <v>39</v>
      </c>
      <c r="O548" s="12"/>
      <c r="P548" s="13"/>
      <c r="Q548" s="14">
        <f>Tabela1[[#This Row],[QTDE/ Fabricação]]-Tabela1[[#This Row],[QTE]]</f>
        <v>-1</v>
      </c>
      <c r="R548" s="18">
        <f t="shared" si="87"/>
        <v>961</v>
      </c>
      <c r="S548" s="18">
        <f t="shared" si="86"/>
        <v>961</v>
      </c>
      <c r="T548" s="19">
        <f t="shared" si="88"/>
        <v>0</v>
      </c>
      <c r="U548" s="16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89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4514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0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1"/>
        <v>961</v>
      </c>
      <c r="AV548" s="37">
        <f t="shared" si="92"/>
        <v>961</v>
      </c>
      <c r="AW548" s="37"/>
    </row>
    <row r="549" spans="1:49" ht="15.75" hidden="1" customHeight="1" x14ac:dyDescent="0.25">
      <c r="A549" s="6" t="s">
        <v>2571</v>
      </c>
      <c r="B549" s="21"/>
      <c r="C549" s="7">
        <v>4</v>
      </c>
      <c r="D549" s="39" t="s">
        <v>2567</v>
      </c>
      <c r="E549" s="7">
        <v>3510</v>
      </c>
      <c r="F549" s="7">
        <v>2</v>
      </c>
      <c r="G549" s="23">
        <v>6.8</v>
      </c>
      <c r="H549" s="34">
        <f>Tabela1[[#This Row],[PESO UNI]]*Tabela1[[#This Row],[QTE]]</f>
        <v>27.2</v>
      </c>
      <c r="I549" s="7">
        <v>1</v>
      </c>
      <c r="J549" s="8" t="s">
        <v>2551</v>
      </c>
      <c r="K549" s="8" t="s">
        <v>31</v>
      </c>
      <c r="L549" s="9" t="s">
        <v>2552</v>
      </c>
      <c r="M549" s="10"/>
      <c r="N549" s="11" t="s">
        <v>39</v>
      </c>
      <c r="O549" s="12"/>
      <c r="P549" s="13"/>
      <c r="Q549" s="14">
        <f>Tabela1[[#This Row],[QTDE/ Fabricação]]-Tabela1[[#This Row],[QTE]]</f>
        <v>-4</v>
      </c>
      <c r="R549" s="18">
        <f t="shared" si="87"/>
        <v>27.2</v>
      </c>
      <c r="S549" s="18">
        <f t="shared" si="86"/>
        <v>27.2</v>
      </c>
      <c r="T549" s="19">
        <f t="shared" si="88"/>
        <v>0</v>
      </c>
      <c r="U549" s="16">
        <v>4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27.2</v>
      </c>
      <c r="Y549" s="14">
        <f t="shared" si="89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4514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0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1"/>
        <v>27.2</v>
      </c>
      <c r="AV549" s="37">
        <f t="shared" si="92"/>
        <v>27.2</v>
      </c>
      <c r="AW549" s="37"/>
    </row>
    <row r="550" spans="1:49" ht="15.75" hidden="1" customHeight="1" x14ac:dyDescent="0.25">
      <c r="A550" s="6" t="s">
        <v>2571</v>
      </c>
      <c r="B550" s="21"/>
      <c r="C550" s="7">
        <v>12</v>
      </c>
      <c r="D550" s="39" t="s">
        <v>2568</v>
      </c>
      <c r="E550" s="7">
        <v>3511</v>
      </c>
      <c r="F550" s="7">
        <v>2</v>
      </c>
      <c r="G550" s="23">
        <v>22.8</v>
      </c>
      <c r="H550" s="34">
        <f>Tabela1[[#This Row],[PESO UNI]]*Tabela1[[#This Row],[QTE]]</f>
        <v>273.60000000000002</v>
      </c>
      <c r="I550" s="7">
        <v>1</v>
      </c>
      <c r="J550" s="8" t="s">
        <v>2551</v>
      </c>
      <c r="K550" s="8" t="s">
        <v>31</v>
      </c>
      <c r="L550" s="9" t="s">
        <v>2552</v>
      </c>
      <c r="M550" s="10"/>
      <c r="N550" s="11" t="s">
        <v>39</v>
      </c>
      <c r="O550" s="12"/>
      <c r="P550" s="13"/>
      <c r="Q550" s="14">
        <f>Tabela1[[#This Row],[QTDE/ Fabricação]]-Tabela1[[#This Row],[QTE]]</f>
        <v>-12</v>
      </c>
      <c r="R550" s="18">
        <f t="shared" si="87"/>
        <v>273.60000000000002</v>
      </c>
      <c r="S550" s="18">
        <f t="shared" si="86"/>
        <v>273.60000000000002</v>
      </c>
      <c r="T550" s="19">
        <f t="shared" si="88"/>
        <v>0</v>
      </c>
      <c r="U550" s="16">
        <v>12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273.60000000000002</v>
      </c>
      <c r="Y550" s="14">
        <f t="shared" si="89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4514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0"/>
        <v>P-024512-1/P190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1"/>
        <v>273.60000000000002</v>
      </c>
      <c r="AV550" s="37">
        <f t="shared" si="92"/>
        <v>273.60000000000002</v>
      </c>
      <c r="AW550" s="37"/>
    </row>
    <row r="551" spans="1:49" ht="15.75" hidden="1" customHeight="1" x14ac:dyDescent="0.25">
      <c r="A551" s="6" t="s">
        <v>2571</v>
      </c>
      <c r="B551" s="21"/>
      <c r="C551" s="7">
        <v>12</v>
      </c>
      <c r="D551" s="39" t="s">
        <v>2569</v>
      </c>
      <c r="E551" s="7">
        <v>3512</v>
      </c>
      <c r="F551" s="7">
        <v>2</v>
      </c>
      <c r="G551" s="23">
        <v>24</v>
      </c>
      <c r="H551" s="34">
        <f>Tabela1[[#This Row],[PESO UNI]]*Tabela1[[#This Row],[QTE]]</f>
        <v>288</v>
      </c>
      <c r="I551" s="7">
        <v>1</v>
      </c>
      <c r="J551" s="8" t="s">
        <v>2551</v>
      </c>
      <c r="K551" s="8" t="s">
        <v>31</v>
      </c>
      <c r="L551" s="9" t="s">
        <v>2552</v>
      </c>
      <c r="M551" s="10"/>
      <c r="N551" s="11" t="s">
        <v>39</v>
      </c>
      <c r="O551" s="12"/>
      <c r="P551" s="13"/>
      <c r="Q551" s="14">
        <f>Tabela1[[#This Row],[QTDE/ Fabricação]]-Tabela1[[#This Row],[QTE]]</f>
        <v>-12</v>
      </c>
      <c r="R551" s="18">
        <f t="shared" si="87"/>
        <v>288</v>
      </c>
      <c r="S551" s="18">
        <f t="shared" si="86"/>
        <v>288</v>
      </c>
      <c r="T551" s="19">
        <f t="shared" si="88"/>
        <v>0</v>
      </c>
      <c r="U551" s="16">
        <v>12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288</v>
      </c>
      <c r="Y551" s="14">
        <f t="shared" si="89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4514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0"/>
        <v>P-024512-1/P190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1"/>
        <v>288</v>
      </c>
      <c r="AV551" s="37">
        <f t="shared" si="92"/>
        <v>288</v>
      </c>
      <c r="AW551" s="37"/>
    </row>
    <row r="552" spans="1:49" ht="15.75" hidden="1" customHeight="1" x14ac:dyDescent="0.25">
      <c r="A552" s="6" t="s">
        <v>2573</v>
      </c>
      <c r="B552" s="21"/>
      <c r="C552" s="7">
        <v>2</v>
      </c>
      <c r="D552" s="39" t="s">
        <v>2574</v>
      </c>
      <c r="E552" s="7">
        <v>3513</v>
      </c>
      <c r="F552" s="7">
        <v>1</v>
      </c>
      <c r="G552" s="23">
        <v>1898.7</v>
      </c>
      <c r="H552" s="34">
        <f>Tabela1[[#This Row],[PESO UNI]]*Tabela1[[#This Row],[QTE]]</f>
        <v>3797.4</v>
      </c>
      <c r="I552" s="7">
        <v>1</v>
      </c>
      <c r="J552" s="8" t="s">
        <v>2551</v>
      </c>
      <c r="K552" s="8" t="s">
        <v>31</v>
      </c>
      <c r="L552" s="9" t="s">
        <v>2552</v>
      </c>
      <c r="M552" s="10"/>
      <c r="N552" s="11" t="s">
        <v>39</v>
      </c>
      <c r="O552" s="12"/>
      <c r="P552" s="13"/>
      <c r="Q552" s="14">
        <f>Tabela1[[#This Row],[QTDE/ Fabricação]]-Tabela1[[#This Row],[QTE]]</f>
        <v>-2</v>
      </c>
      <c r="R552" s="18">
        <f t="shared" si="87"/>
        <v>3797.4</v>
      </c>
      <c r="S552" s="18">
        <f t="shared" si="86"/>
        <v>3797.4</v>
      </c>
      <c r="T552" s="19">
        <f t="shared" si="88"/>
        <v>0</v>
      </c>
      <c r="U552" s="16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89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4514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0"/>
        <v>P-024511-1/P190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1"/>
        <v>3797.4</v>
      </c>
      <c r="AV552" s="37">
        <f t="shared" si="92"/>
        <v>3797.4</v>
      </c>
      <c r="AW552" s="37"/>
    </row>
    <row r="553" spans="1:49" ht="15.75" hidden="1" customHeight="1" x14ac:dyDescent="0.25">
      <c r="A553" s="6" t="s">
        <v>2547</v>
      </c>
      <c r="B553" s="21"/>
      <c r="C553" s="7">
        <v>1</v>
      </c>
      <c r="D553" s="39" t="s">
        <v>2548</v>
      </c>
      <c r="E553" s="7">
        <v>3514</v>
      </c>
      <c r="F553" s="7">
        <v>27</v>
      </c>
      <c r="G553" s="23">
        <v>13</v>
      </c>
      <c r="H553" s="34">
        <f>Tabela1[[#This Row],[PESO UNI]]*Tabela1[[#This Row],[QTE]]</f>
        <v>13</v>
      </c>
      <c r="I553" s="7">
        <v>0</v>
      </c>
      <c r="J553" s="8" t="s">
        <v>2551</v>
      </c>
      <c r="K553" s="8" t="s">
        <v>31</v>
      </c>
      <c r="L553" s="9" t="s">
        <v>2552</v>
      </c>
      <c r="M553" s="10">
        <v>46119</v>
      </c>
      <c r="N553" s="11" t="s">
        <v>39</v>
      </c>
      <c r="O553" s="12"/>
      <c r="P553" s="13"/>
      <c r="Q553" s="14">
        <f>Tabela1[[#This Row],[QTDE/ Fabricação]]-Tabela1[[#This Row],[QTE]]</f>
        <v>-1</v>
      </c>
      <c r="R553" s="18">
        <f t="shared" si="87"/>
        <v>13</v>
      </c>
      <c r="S553" s="18">
        <f t="shared" si="86"/>
        <v>13</v>
      </c>
      <c r="T553" s="19">
        <f t="shared" si="88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13</v>
      </c>
      <c r="Y553" s="14">
        <f t="shared" si="89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4514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0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1"/>
        <v>13</v>
      </c>
      <c r="AV553" s="37">
        <f t="shared" si="92"/>
        <v>13</v>
      </c>
      <c r="AW553" s="37"/>
    </row>
    <row r="554" spans="1:49" ht="15.75" hidden="1" customHeight="1" x14ac:dyDescent="0.25">
      <c r="A554" s="6" t="s">
        <v>2547</v>
      </c>
      <c r="B554" s="21"/>
      <c r="C554" s="7">
        <v>1</v>
      </c>
      <c r="D554" s="39" t="s">
        <v>2549</v>
      </c>
      <c r="E554" s="7">
        <v>3515</v>
      </c>
      <c r="F554" s="7">
        <v>27</v>
      </c>
      <c r="G554" s="23">
        <v>13</v>
      </c>
      <c r="H554" s="34">
        <f>Tabela1[[#This Row],[PESO UNI]]*Tabela1[[#This Row],[QTE]]</f>
        <v>13</v>
      </c>
      <c r="I554" s="7">
        <v>0</v>
      </c>
      <c r="J554" s="8" t="s">
        <v>2551</v>
      </c>
      <c r="K554" s="8" t="s">
        <v>31</v>
      </c>
      <c r="L554" s="9" t="s">
        <v>2552</v>
      </c>
      <c r="M554" s="10"/>
      <c r="N554" s="11" t="s">
        <v>39</v>
      </c>
      <c r="O554" s="12"/>
      <c r="P554" s="13"/>
      <c r="Q554" s="14">
        <f>Tabela1[[#This Row],[QTDE/ Fabricação]]-Tabela1[[#This Row],[QTE]]</f>
        <v>-1</v>
      </c>
      <c r="R554" s="18">
        <f t="shared" si="87"/>
        <v>13</v>
      </c>
      <c r="S554" s="18">
        <f t="shared" si="86"/>
        <v>13</v>
      </c>
      <c r="T554" s="19">
        <f t="shared" si="88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13</v>
      </c>
      <c r="Y554" s="14">
        <f t="shared" si="89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4514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0"/>
        <v>P-073081-1/P190</v>
      </c>
      <c r="AP554" t="str">
        <f>Tabela1[[#This Row],[TAG]]&amp;Tabela1[[#This Row],[PEDIDO]]&amp;Tabela1[[#This Row],[PRODUTO]]</f>
        <v>P190P-190ESTRUTURA</v>
      </c>
      <c r="AQ554" s="22" t="str">
        <f>Tabela1[[#This Row],[PRODUTO]]&amp;Tabela1[[#This Row],[TAG]]</f>
        <v>ESTRUTURAP190</v>
      </c>
      <c r="AR554" s="24" t="str">
        <f>Tabela1[[#This Row],[PEDIDO]]&amp;Tabela1[[#This Row],[PRODUTO]]</f>
        <v>P-190ESTRUTURA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1"/>
        <v>13</v>
      </c>
      <c r="AV554" s="37">
        <f t="shared" si="92"/>
        <v>13</v>
      </c>
      <c r="AW554" s="37"/>
    </row>
    <row r="555" spans="1:49" ht="15.75" hidden="1" customHeight="1" x14ac:dyDescent="0.25">
      <c r="A555" s="6" t="s">
        <v>2547</v>
      </c>
      <c r="B555" s="21"/>
      <c r="C555" s="7">
        <v>1</v>
      </c>
      <c r="D555" s="39" t="s">
        <v>2550</v>
      </c>
      <c r="E555" s="7">
        <v>3515</v>
      </c>
      <c r="F555" s="7">
        <v>27</v>
      </c>
      <c r="G555" s="23">
        <v>6</v>
      </c>
      <c r="H555" s="34">
        <f>Tabela1[[#This Row],[PESO UNI]]*Tabela1[[#This Row],[QTE]]</f>
        <v>6</v>
      </c>
      <c r="I555" s="7">
        <v>0</v>
      </c>
      <c r="J555" s="8" t="s">
        <v>2551</v>
      </c>
      <c r="K555" s="8" t="s">
        <v>31</v>
      </c>
      <c r="L555" s="9" t="s">
        <v>2552</v>
      </c>
      <c r="M555" s="10"/>
      <c r="N555" s="11" t="s">
        <v>39</v>
      </c>
      <c r="O555" s="12"/>
      <c r="P555" s="13"/>
      <c r="Q555" s="14">
        <f>Tabela1[[#This Row],[QTDE/ Fabricação]]-Tabela1[[#This Row],[QTE]]</f>
        <v>-1</v>
      </c>
      <c r="R555" s="18">
        <f t="shared" si="87"/>
        <v>6</v>
      </c>
      <c r="S555" s="18">
        <f t="shared" si="86"/>
        <v>6</v>
      </c>
      <c r="T555" s="19">
        <f t="shared" si="88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6</v>
      </c>
      <c r="Y555" s="14">
        <f t="shared" si="89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4514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0"/>
        <v>P-073081-1/P190</v>
      </c>
      <c r="AP555" t="str">
        <f>Tabela1[[#This Row],[TAG]]&amp;Tabela1[[#This Row],[PEDIDO]]&amp;Tabela1[[#This Row],[PRODUTO]]</f>
        <v>P190P-190ESTRUTURA</v>
      </c>
      <c r="AQ555" s="22" t="str">
        <f>Tabela1[[#This Row],[PRODUTO]]&amp;Tabela1[[#This Row],[TAG]]</f>
        <v>ESTRUTURAP190</v>
      </c>
      <c r="AR555" s="24" t="str">
        <f>Tabela1[[#This Row],[PEDIDO]]&amp;Tabela1[[#This Row],[PRODUTO]]</f>
        <v>P-190ESTRUTURA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1"/>
        <v>6</v>
      </c>
      <c r="AV555" s="37">
        <f t="shared" si="92"/>
        <v>6</v>
      </c>
      <c r="AW555" s="37"/>
    </row>
    <row r="556" spans="1:49" ht="15.75" hidden="1" customHeight="1" x14ac:dyDescent="0.25">
      <c r="A556" s="6" t="s">
        <v>2556</v>
      </c>
      <c r="B556" s="21" t="s">
        <v>3171</v>
      </c>
      <c r="C556" s="7">
        <v>1</v>
      </c>
      <c r="D556" s="39" t="s">
        <v>2557</v>
      </c>
      <c r="E556" s="7">
        <v>3517</v>
      </c>
      <c r="F556" s="7">
        <v>21</v>
      </c>
      <c r="G556" s="23">
        <v>192.3</v>
      </c>
      <c r="H556" s="34">
        <f>Tabela1[[#This Row],[PESO UNI]]*Tabela1[[#This Row],[QTE]]</f>
        <v>192.3</v>
      </c>
      <c r="I556" s="7">
        <v>1</v>
      </c>
      <c r="J556" s="8" t="s">
        <v>2551</v>
      </c>
      <c r="K556" s="8" t="s">
        <v>47</v>
      </c>
      <c r="L556" s="9" t="s">
        <v>2552</v>
      </c>
      <c r="M556" s="10"/>
      <c r="N556" s="11" t="s">
        <v>39</v>
      </c>
      <c r="O556" s="12"/>
      <c r="P556" s="13"/>
      <c r="Q556" s="14">
        <f>Tabela1[[#This Row],[QTDE/ Fabricação]]-Tabela1[[#This Row],[QTE]]</f>
        <v>-1</v>
      </c>
      <c r="R556" s="18">
        <f t="shared" si="87"/>
        <v>192.3</v>
      </c>
      <c r="S556" s="18">
        <f t="shared" si="86"/>
        <v>192.3</v>
      </c>
      <c r="T556" s="19">
        <f t="shared" si="88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192.3</v>
      </c>
      <c r="Y556" s="14">
        <f t="shared" si="89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4514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0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1"/>
        <v>192.3</v>
      </c>
      <c r="AV556" s="37">
        <f t="shared" si="92"/>
        <v>192.3</v>
      </c>
      <c r="AW556" s="37"/>
    </row>
    <row r="557" spans="1:49" ht="15.75" hidden="1" customHeight="1" x14ac:dyDescent="0.25">
      <c r="A557" s="6" t="s">
        <v>2556</v>
      </c>
      <c r="B557" s="21"/>
      <c r="C557" s="7">
        <v>1</v>
      </c>
      <c r="D557" s="39" t="s">
        <v>2982</v>
      </c>
      <c r="E557" s="7">
        <v>3517</v>
      </c>
      <c r="F557" s="7">
        <v>21</v>
      </c>
      <c r="G557" s="23">
        <v>4</v>
      </c>
      <c r="H557" s="34">
        <f>Tabela1[[#This Row],[PESO UNI]]*Tabela1[[#This Row],[QTE]]</f>
        <v>4</v>
      </c>
      <c r="I557" s="7">
        <v>1</v>
      </c>
      <c r="J557" s="8" t="s">
        <v>2551</v>
      </c>
      <c r="K557" s="8" t="s">
        <v>47</v>
      </c>
      <c r="L557" s="9" t="s">
        <v>2552</v>
      </c>
      <c r="M557" s="10"/>
      <c r="N557" s="11" t="s">
        <v>39</v>
      </c>
      <c r="O557" s="12"/>
      <c r="P557" s="13"/>
      <c r="Q557" s="14">
        <f>Tabela1[[#This Row],[QTDE/ Fabricação]]-Tabela1[[#This Row],[QTE]]</f>
        <v>-1</v>
      </c>
      <c r="R557" s="18">
        <f t="shared" si="87"/>
        <v>4</v>
      </c>
      <c r="S557" s="18">
        <f t="shared" si="86"/>
        <v>4</v>
      </c>
      <c r="T557" s="19">
        <f t="shared" si="88"/>
        <v>0</v>
      </c>
      <c r="U557" s="16">
        <v>1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4</v>
      </c>
      <c r="Y557" s="14">
        <f t="shared" si="89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4514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0"/>
        <v>P-024507-1/P190</v>
      </c>
      <c r="AP557" t="str">
        <f>Tabela1[[#This Row],[TAG]]&amp;Tabela1[[#This Row],[PEDIDO]]&amp;Tabela1[[#This Row],[PRODUTO]]</f>
        <v>P190P-190TECMETAL</v>
      </c>
      <c r="AQ557" s="22" t="str">
        <f>Tabela1[[#This Row],[PRODUTO]]&amp;Tabela1[[#This Row],[TAG]]</f>
        <v>TECMETALP190</v>
      </c>
      <c r="AR557" s="24" t="str">
        <f>Tabela1[[#This Row],[PEDIDO]]&amp;Tabela1[[#This Row],[PRODUTO]]</f>
        <v>P-190TECMETAL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1"/>
        <v>4</v>
      </c>
      <c r="AV557" s="37">
        <f t="shared" si="92"/>
        <v>4</v>
      </c>
      <c r="AW557" s="37"/>
    </row>
    <row r="558" spans="1:49" ht="15.75" hidden="1" customHeight="1" x14ac:dyDescent="0.25">
      <c r="A558" s="6" t="s">
        <v>2556</v>
      </c>
      <c r="B558" s="21"/>
      <c r="C558" s="7">
        <v>1</v>
      </c>
      <c r="D558" s="39" t="s">
        <v>2983</v>
      </c>
      <c r="E558" s="7">
        <v>3517</v>
      </c>
      <c r="F558" s="7">
        <v>21</v>
      </c>
      <c r="G558" s="23">
        <v>4</v>
      </c>
      <c r="H558" s="34">
        <f>Tabela1[[#This Row],[PESO UNI]]*Tabela1[[#This Row],[QTE]]</f>
        <v>4</v>
      </c>
      <c r="I558" s="7">
        <v>1</v>
      </c>
      <c r="J558" s="8" t="s">
        <v>2551</v>
      </c>
      <c r="K558" s="8" t="s">
        <v>47</v>
      </c>
      <c r="L558" s="9" t="s">
        <v>2552</v>
      </c>
      <c r="M558" s="10"/>
      <c r="N558" s="11" t="s">
        <v>39</v>
      </c>
      <c r="O558" s="12"/>
      <c r="P558" s="13"/>
      <c r="Q558" s="14">
        <f>Tabela1[[#This Row],[QTDE/ Fabricação]]-Tabela1[[#This Row],[QTE]]</f>
        <v>-1</v>
      </c>
      <c r="R558" s="18">
        <f t="shared" si="87"/>
        <v>4</v>
      </c>
      <c r="S558" s="18">
        <f t="shared" si="86"/>
        <v>4</v>
      </c>
      <c r="T558" s="19">
        <f t="shared" si="88"/>
        <v>0</v>
      </c>
      <c r="U558" s="16">
        <v>1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4</v>
      </c>
      <c r="Y558" s="14">
        <f t="shared" si="89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4514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0"/>
        <v>P-024507-1/P190</v>
      </c>
      <c r="AP558" t="str">
        <f>Tabela1[[#This Row],[TAG]]&amp;Tabela1[[#This Row],[PEDIDO]]&amp;Tabela1[[#This Row],[PRODUTO]]</f>
        <v>P190P-190TECMETAL</v>
      </c>
      <c r="AQ558" s="22" t="str">
        <f>Tabela1[[#This Row],[PRODUTO]]&amp;Tabela1[[#This Row],[TAG]]</f>
        <v>TECMETALP190</v>
      </c>
      <c r="AR558" s="24" t="str">
        <f>Tabela1[[#This Row],[PEDIDO]]&amp;Tabela1[[#This Row],[PRODUTO]]</f>
        <v>P-190TECMETAL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1"/>
        <v>4</v>
      </c>
      <c r="AV558" s="37">
        <f t="shared" si="92"/>
        <v>4</v>
      </c>
      <c r="AW558" s="37"/>
    </row>
    <row r="559" spans="1:49" ht="15.75" hidden="1" customHeight="1" x14ac:dyDescent="0.25">
      <c r="A559" s="1" t="s">
        <v>4460</v>
      </c>
      <c r="B559" s="21"/>
      <c r="C559" s="1">
        <v>2</v>
      </c>
      <c r="D559" s="1" t="s">
        <v>4461</v>
      </c>
      <c r="E559" s="7">
        <v>4347</v>
      </c>
      <c r="F559" s="7" t="s">
        <v>4416</v>
      </c>
      <c r="G559" s="1">
        <v>45</v>
      </c>
      <c r="H559" s="34">
        <f>Tabela1[[#This Row],[PESO UNI]]*Tabela1[[#This Row],[QTE]]</f>
        <v>90</v>
      </c>
      <c r="I559" s="7"/>
      <c r="J559" s="8" t="s">
        <v>2551</v>
      </c>
      <c r="K559" s="8" t="s">
        <v>46</v>
      </c>
      <c r="L559" s="9" t="s">
        <v>2552</v>
      </c>
      <c r="M559" s="10"/>
      <c r="N559" s="11" t="s">
        <v>39</v>
      </c>
      <c r="O559" s="12"/>
      <c r="P559" s="13"/>
      <c r="Q559" s="14">
        <f>Tabela1[[#This Row],[QTDE/ Fabricação]]-Tabela1[[#This Row],[QTE]]</f>
        <v>-2</v>
      </c>
      <c r="R559" s="18">
        <f t="shared" si="87"/>
        <v>90</v>
      </c>
      <c r="S559" s="18">
        <f t="shared" si="86"/>
        <v>90</v>
      </c>
      <c r="T559" s="19">
        <f t="shared" si="88"/>
        <v>0</v>
      </c>
      <c r="U559" s="16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89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4514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0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1"/>
        <v>90</v>
      </c>
      <c r="AV559" s="37">
        <f t="shared" si="92"/>
        <v>90</v>
      </c>
      <c r="AW559" s="37"/>
    </row>
    <row r="560" spans="1:49" ht="15.75" hidden="1" customHeight="1" x14ac:dyDescent="0.25">
      <c r="A560" s="1" t="s">
        <v>4460</v>
      </c>
      <c r="B560" s="21"/>
      <c r="C560" s="1">
        <v>1</v>
      </c>
      <c r="D560" s="1" t="s">
        <v>4462</v>
      </c>
      <c r="E560" s="7">
        <v>4348</v>
      </c>
      <c r="F560" s="7" t="s">
        <v>4416</v>
      </c>
      <c r="G560" s="1">
        <v>85</v>
      </c>
      <c r="H560" s="34">
        <f>Tabela1[[#This Row],[PESO UNI]]*Tabela1[[#This Row],[QTE]]</f>
        <v>85</v>
      </c>
      <c r="I560" s="7"/>
      <c r="J560" s="8" t="s">
        <v>2551</v>
      </c>
      <c r="K560" s="8" t="s">
        <v>46</v>
      </c>
      <c r="L560" s="9" t="s">
        <v>2552</v>
      </c>
      <c r="M560" s="10"/>
      <c r="N560" s="11" t="s">
        <v>39</v>
      </c>
      <c r="O560" s="12"/>
      <c r="P560" s="13"/>
      <c r="Q560" s="14">
        <f>Tabela1[[#This Row],[QTDE/ Fabricação]]-Tabela1[[#This Row],[QTE]]</f>
        <v>-1</v>
      </c>
      <c r="R560" s="18">
        <f t="shared" si="87"/>
        <v>85</v>
      </c>
      <c r="S560" s="18">
        <f t="shared" si="86"/>
        <v>85</v>
      </c>
      <c r="T560" s="19">
        <f t="shared" si="88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89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4514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0"/>
        <v>P-073057/P190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1"/>
        <v>85</v>
      </c>
      <c r="AV560" s="37">
        <f t="shared" si="92"/>
        <v>85</v>
      </c>
      <c r="AW560" s="37"/>
    </row>
    <row r="561" spans="1:49" ht="15.75" hidden="1" customHeight="1" x14ac:dyDescent="0.25">
      <c r="A561" s="1" t="s">
        <v>4460</v>
      </c>
      <c r="B561" s="21"/>
      <c r="C561" s="1">
        <v>1</v>
      </c>
      <c r="D561" s="1" t="s">
        <v>4463</v>
      </c>
      <c r="E561" s="7">
        <v>4349</v>
      </c>
      <c r="F561" s="7" t="s">
        <v>4416</v>
      </c>
      <c r="G561" s="1">
        <v>65</v>
      </c>
      <c r="H561" s="34">
        <f>Tabela1[[#This Row],[PESO UNI]]*Tabela1[[#This Row],[QTE]]</f>
        <v>65</v>
      </c>
      <c r="I561" s="7"/>
      <c r="J561" s="8" t="s">
        <v>2551</v>
      </c>
      <c r="K561" s="8" t="s">
        <v>46</v>
      </c>
      <c r="L561" s="9" t="s">
        <v>2552</v>
      </c>
      <c r="M561" s="10"/>
      <c r="N561" s="11" t="s">
        <v>39</v>
      </c>
      <c r="O561" s="12"/>
      <c r="P561" s="13"/>
      <c r="Q561" s="14">
        <f>Tabela1[[#This Row],[QTDE/ Fabricação]]-Tabela1[[#This Row],[QTE]]</f>
        <v>-1</v>
      </c>
      <c r="R561" s="18">
        <f t="shared" si="87"/>
        <v>65</v>
      </c>
      <c r="S561" s="18">
        <f t="shared" si="86"/>
        <v>65</v>
      </c>
      <c r="T561" s="19">
        <f t="shared" si="88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89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4514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0"/>
        <v>P-073057/P190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1"/>
        <v>65</v>
      </c>
      <c r="AV561" s="37">
        <f t="shared" si="92"/>
        <v>65</v>
      </c>
      <c r="AW561" s="37"/>
    </row>
    <row r="562" spans="1:49" ht="15.75" hidden="1" customHeight="1" x14ac:dyDescent="0.25">
      <c r="A562" s="1" t="s">
        <v>4464</v>
      </c>
      <c r="B562" s="21"/>
      <c r="C562" s="1">
        <v>1</v>
      </c>
      <c r="D562" s="1" t="s">
        <v>4465</v>
      </c>
      <c r="E562" s="7">
        <v>4350</v>
      </c>
      <c r="F562" s="7" t="s">
        <v>4416</v>
      </c>
      <c r="G562" s="1">
        <v>7.2</v>
      </c>
      <c r="H562" s="34">
        <f>Tabela1[[#This Row],[PESO UNI]]*Tabela1[[#This Row],[QTE]]</f>
        <v>7.2</v>
      </c>
      <c r="I562" s="7"/>
      <c r="J562" s="8" t="s">
        <v>2551</v>
      </c>
      <c r="K562" s="8" t="s">
        <v>46</v>
      </c>
      <c r="L562" s="9" t="s">
        <v>2552</v>
      </c>
      <c r="M562" s="10"/>
      <c r="N562" s="11" t="s">
        <v>39</v>
      </c>
      <c r="O562" s="12"/>
      <c r="P562" s="13"/>
      <c r="Q562" s="14">
        <f>Tabela1[[#This Row],[QTDE/ Fabricação]]-Tabela1[[#This Row],[QTE]]</f>
        <v>-1</v>
      </c>
      <c r="R562" s="18">
        <f t="shared" si="87"/>
        <v>7.2</v>
      </c>
      <c r="S562" s="18">
        <f t="shared" si="86"/>
        <v>7.2</v>
      </c>
      <c r="T562" s="19">
        <f t="shared" si="88"/>
        <v>0</v>
      </c>
      <c r="U562" s="16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89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4514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0"/>
        <v>P-073057-1/P190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1"/>
        <v>7.2</v>
      </c>
      <c r="AV562" s="37">
        <f t="shared" si="92"/>
        <v>7.2</v>
      </c>
      <c r="AW562" s="37"/>
    </row>
    <row r="563" spans="1:49" ht="15.75" hidden="1" customHeight="1" x14ac:dyDescent="0.25">
      <c r="A563" s="1" t="s">
        <v>4396</v>
      </c>
      <c r="B563" s="21"/>
      <c r="C563" s="1">
        <v>1</v>
      </c>
      <c r="D563" s="1" t="s">
        <v>4466</v>
      </c>
      <c r="E563" s="7">
        <v>4351</v>
      </c>
      <c r="F563" s="7" t="s">
        <v>4416</v>
      </c>
      <c r="G563" s="1">
        <v>0.03</v>
      </c>
      <c r="H563" s="34">
        <f>Tabela1[[#This Row],[PESO UNI]]*Tabela1[[#This Row],[QTE]]</f>
        <v>0.03</v>
      </c>
      <c r="I563" s="7"/>
      <c r="J563" s="8" t="s">
        <v>2551</v>
      </c>
      <c r="K563" s="8" t="s">
        <v>46</v>
      </c>
      <c r="L563" s="9" t="s">
        <v>2552</v>
      </c>
      <c r="M563" s="10"/>
      <c r="N563" s="11" t="s">
        <v>39</v>
      </c>
      <c r="O563" s="12"/>
      <c r="P563" s="13"/>
      <c r="Q563" s="14">
        <f>Tabela1[[#This Row],[QTDE/ Fabricação]]-Tabela1[[#This Row],[QTE]]</f>
        <v>-1</v>
      </c>
      <c r="R563" s="18">
        <f t="shared" si="87"/>
        <v>0.03</v>
      </c>
      <c r="S563" s="18">
        <f t="shared" si="86"/>
        <v>0.03</v>
      </c>
      <c r="T563" s="19">
        <f t="shared" si="88"/>
        <v>0</v>
      </c>
      <c r="U563" s="16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89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4514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0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1"/>
        <v>0.03</v>
      </c>
      <c r="AV563" s="37">
        <f t="shared" si="92"/>
        <v>0.03</v>
      </c>
      <c r="AW563" s="37"/>
    </row>
    <row r="564" spans="1:49" ht="15.75" hidden="1" customHeight="1" x14ac:dyDescent="0.25">
      <c r="A564" s="1" t="s">
        <v>4396</v>
      </c>
      <c r="B564" s="21"/>
      <c r="C564" s="1">
        <v>4</v>
      </c>
      <c r="D564" s="1" t="s">
        <v>4467</v>
      </c>
      <c r="E564" s="7">
        <v>4352</v>
      </c>
      <c r="F564" s="7" t="s">
        <v>4416</v>
      </c>
      <c r="G564" s="1">
        <v>0.02</v>
      </c>
      <c r="H564" s="34">
        <f>Tabela1[[#This Row],[PESO UNI]]*Tabela1[[#This Row],[QTE]]</f>
        <v>0.08</v>
      </c>
      <c r="I564" s="7"/>
      <c r="J564" s="8" t="s">
        <v>2551</v>
      </c>
      <c r="K564" s="8" t="s">
        <v>46</v>
      </c>
      <c r="L564" s="9" t="s">
        <v>2552</v>
      </c>
      <c r="M564" s="10"/>
      <c r="N564" s="11" t="s">
        <v>39</v>
      </c>
      <c r="O564" s="12"/>
      <c r="P564" s="13"/>
      <c r="Q564" s="14">
        <f>Tabela1[[#This Row],[QTDE/ Fabricação]]-Tabela1[[#This Row],[QTE]]</f>
        <v>-4</v>
      </c>
      <c r="R564" s="18">
        <f t="shared" si="87"/>
        <v>0.08</v>
      </c>
      <c r="S564" s="18">
        <f t="shared" si="86"/>
        <v>0.08</v>
      </c>
      <c r="T564" s="19">
        <f t="shared" si="88"/>
        <v>0</v>
      </c>
      <c r="U564" s="16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89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4514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0"/>
        <v>P-024533-1/P190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1"/>
        <v>0.08</v>
      </c>
      <c r="AV564" s="37">
        <f t="shared" si="92"/>
        <v>0.08</v>
      </c>
      <c r="AW564" s="37"/>
    </row>
    <row r="565" spans="1:49" ht="15.75" hidden="1" customHeight="1" x14ac:dyDescent="0.25">
      <c r="A565" s="1" t="s">
        <v>4396</v>
      </c>
      <c r="B565" s="21"/>
      <c r="C565" s="1">
        <v>2</v>
      </c>
      <c r="D565" s="1" t="s">
        <v>4468</v>
      </c>
      <c r="E565" s="7">
        <v>4353</v>
      </c>
      <c r="F565" s="7" t="s">
        <v>4416</v>
      </c>
      <c r="G565" s="1">
        <v>0.02</v>
      </c>
      <c r="H565" s="34">
        <f>Tabela1[[#This Row],[PESO UNI]]*Tabela1[[#This Row],[QTE]]</f>
        <v>0.04</v>
      </c>
      <c r="I565" s="7"/>
      <c r="J565" s="8" t="s">
        <v>2551</v>
      </c>
      <c r="K565" s="8" t="s">
        <v>46</v>
      </c>
      <c r="L565" s="9" t="s">
        <v>2552</v>
      </c>
      <c r="M565" s="10"/>
      <c r="N565" s="11" t="s">
        <v>39</v>
      </c>
      <c r="O565" s="12"/>
      <c r="P565" s="13"/>
      <c r="Q565" s="14">
        <f>Tabela1[[#This Row],[QTDE/ Fabricação]]-Tabela1[[#This Row],[QTE]]</f>
        <v>-2</v>
      </c>
      <c r="R565" s="18">
        <f t="shared" si="87"/>
        <v>0.04</v>
      </c>
      <c r="S565" s="18">
        <f t="shared" si="86"/>
        <v>0.04</v>
      </c>
      <c r="T565" s="19">
        <f t="shared" si="88"/>
        <v>0</v>
      </c>
      <c r="U565" s="16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89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4514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0"/>
        <v>P-024533-1/P190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1"/>
        <v>0.04</v>
      </c>
      <c r="AV565" s="37">
        <f t="shared" si="92"/>
        <v>0.04</v>
      </c>
      <c r="AW565" s="37"/>
    </row>
    <row r="566" spans="1:49" ht="15.75" hidden="1" customHeight="1" x14ac:dyDescent="0.25">
      <c r="A566" s="1" t="s">
        <v>4464</v>
      </c>
      <c r="B566" s="21"/>
      <c r="C566" s="1">
        <v>110</v>
      </c>
      <c r="D566" s="1" t="s">
        <v>4469</v>
      </c>
      <c r="E566" s="7">
        <v>4354</v>
      </c>
      <c r="F566" s="7" t="s">
        <v>4416</v>
      </c>
      <c r="G566" s="1">
        <v>1.55</v>
      </c>
      <c r="H566" s="34">
        <f>Tabela1[[#This Row],[PESO UNI]]*Tabela1[[#This Row],[QTE]]</f>
        <v>170.5</v>
      </c>
      <c r="I566" s="7"/>
      <c r="J566" s="8" t="s">
        <v>2551</v>
      </c>
      <c r="K566" s="8" t="s">
        <v>46</v>
      </c>
      <c r="L566" s="9" t="s">
        <v>2552</v>
      </c>
      <c r="M566" s="10"/>
      <c r="N566" s="11" t="s">
        <v>39</v>
      </c>
      <c r="O566" s="12"/>
      <c r="P566" s="13"/>
      <c r="Q566" s="14">
        <f>Tabela1[[#This Row],[QTDE/ Fabricação]]-Tabela1[[#This Row],[QTE]]</f>
        <v>-110</v>
      </c>
      <c r="R566" s="18">
        <f t="shared" si="87"/>
        <v>170.5</v>
      </c>
      <c r="S566" s="18">
        <f t="shared" si="86"/>
        <v>170.5</v>
      </c>
      <c r="T566" s="19">
        <f t="shared" si="88"/>
        <v>0</v>
      </c>
      <c r="U566" s="16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89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4514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0"/>
        <v>P-073057-1/P190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1"/>
        <v>170.5</v>
      </c>
      <c r="AV566" s="37">
        <f t="shared" si="92"/>
        <v>170.5</v>
      </c>
      <c r="AW566" s="37"/>
    </row>
    <row r="567" spans="1:49" ht="15.75" hidden="1" customHeight="1" x14ac:dyDescent="0.25">
      <c r="A567" s="1" t="s">
        <v>4470</v>
      </c>
      <c r="B567" s="21"/>
      <c r="C567" s="1">
        <v>40</v>
      </c>
      <c r="D567" s="1" t="s">
        <v>4471</v>
      </c>
      <c r="E567" s="7">
        <v>4355</v>
      </c>
      <c r="F567" s="7" t="s">
        <v>4416</v>
      </c>
      <c r="G567" s="1">
        <v>0.28999999999999998</v>
      </c>
      <c r="H567" s="34">
        <f>Tabela1[[#This Row],[PESO UNI]]*Tabela1[[#This Row],[QTE]]</f>
        <v>11.6</v>
      </c>
      <c r="I567" s="7"/>
      <c r="J567" s="8" t="s">
        <v>2551</v>
      </c>
      <c r="K567" s="8" t="s">
        <v>46</v>
      </c>
      <c r="L567" s="9" t="s">
        <v>2552</v>
      </c>
      <c r="M567" s="10"/>
      <c r="N567" s="11" t="s">
        <v>39</v>
      </c>
      <c r="O567" s="12"/>
      <c r="P567" s="13"/>
      <c r="Q567" s="14">
        <f>Tabela1[[#This Row],[QTDE/ Fabricação]]-Tabela1[[#This Row],[QTE]]</f>
        <v>-40</v>
      </c>
      <c r="R567" s="18">
        <f t="shared" si="87"/>
        <v>11.6</v>
      </c>
      <c r="S567" s="18">
        <f t="shared" si="86"/>
        <v>11.6</v>
      </c>
      <c r="T567" s="19">
        <f t="shared" si="88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89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4514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0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1"/>
        <v>11.6</v>
      </c>
      <c r="AV567" s="37">
        <f t="shared" si="92"/>
        <v>11.6</v>
      </c>
      <c r="AW567" s="37"/>
    </row>
    <row r="568" spans="1:49" ht="15.75" hidden="1" customHeight="1" x14ac:dyDescent="0.25">
      <c r="A568" s="1" t="s">
        <v>4470</v>
      </c>
      <c r="B568" s="21"/>
      <c r="C568" s="1">
        <v>40</v>
      </c>
      <c r="D568" s="1" t="s">
        <v>4472</v>
      </c>
      <c r="E568" s="7">
        <v>4356</v>
      </c>
      <c r="F568" s="7" t="s">
        <v>4416</v>
      </c>
      <c r="G568" s="1">
        <v>0.02</v>
      </c>
      <c r="H568" s="34">
        <f>Tabela1[[#This Row],[PESO UNI]]*Tabela1[[#This Row],[QTE]]</f>
        <v>0.8</v>
      </c>
      <c r="I568" s="7"/>
      <c r="J568" s="8" t="s">
        <v>2551</v>
      </c>
      <c r="K568" s="8" t="s">
        <v>46</v>
      </c>
      <c r="L568" s="9" t="s">
        <v>2552</v>
      </c>
      <c r="M568" s="10"/>
      <c r="N568" s="11" t="s">
        <v>39</v>
      </c>
      <c r="O568" s="12"/>
      <c r="P568" s="13"/>
      <c r="Q568" s="14">
        <f>Tabela1[[#This Row],[QTDE/ Fabricação]]-Tabela1[[#This Row],[QTE]]</f>
        <v>-40</v>
      </c>
      <c r="R568" s="18">
        <f t="shared" si="87"/>
        <v>0.8</v>
      </c>
      <c r="S568" s="18">
        <f t="shared" si="86"/>
        <v>0.8</v>
      </c>
      <c r="T568" s="19">
        <f t="shared" si="88"/>
        <v>0</v>
      </c>
      <c r="U568" s="16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89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4514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0"/>
        <v>P-073056-1/P190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1"/>
        <v>0.8</v>
      </c>
      <c r="AV568" s="37">
        <f t="shared" si="92"/>
        <v>0.8</v>
      </c>
      <c r="AW568" s="37"/>
    </row>
    <row r="569" spans="1:49" ht="15.75" hidden="1" customHeight="1" x14ac:dyDescent="0.25">
      <c r="A569" s="1" t="s">
        <v>4470</v>
      </c>
      <c r="B569" s="21"/>
      <c r="C569" s="1">
        <v>40</v>
      </c>
      <c r="D569" s="1" t="s">
        <v>4473</v>
      </c>
      <c r="E569" s="7">
        <v>4357</v>
      </c>
      <c r="F569" s="7" t="s">
        <v>4416</v>
      </c>
      <c r="G569" s="1">
        <v>5.5E-2</v>
      </c>
      <c r="H569" s="34">
        <f>Tabela1[[#This Row],[PESO UNI]]*Tabela1[[#This Row],[QTE]]</f>
        <v>2.2000000000000002</v>
      </c>
      <c r="I569" s="7"/>
      <c r="J569" s="8" t="s">
        <v>2551</v>
      </c>
      <c r="K569" s="8" t="s">
        <v>46</v>
      </c>
      <c r="L569" s="9" t="s">
        <v>2552</v>
      </c>
      <c r="M569" s="10"/>
      <c r="N569" s="11" t="s">
        <v>39</v>
      </c>
      <c r="O569" s="12"/>
      <c r="P569" s="13"/>
      <c r="Q569" s="14">
        <f>Tabela1[[#This Row],[QTDE/ Fabricação]]-Tabela1[[#This Row],[QTE]]</f>
        <v>-40</v>
      </c>
      <c r="R569" s="18">
        <f t="shared" si="87"/>
        <v>2.2000000000000002</v>
      </c>
      <c r="S569" s="18">
        <f t="shared" si="86"/>
        <v>2.2000000000000002</v>
      </c>
      <c r="T569" s="19">
        <f t="shared" si="88"/>
        <v>0</v>
      </c>
      <c r="U569" s="16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89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4514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0"/>
        <v>P-073056-1/P190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1"/>
        <v>2.2000000000000002</v>
      </c>
      <c r="AV569" s="37">
        <f t="shared" si="92"/>
        <v>2.2000000000000002</v>
      </c>
      <c r="AW569" s="37"/>
    </row>
    <row r="570" spans="1:49" ht="15.75" hidden="1" customHeight="1" x14ac:dyDescent="0.25">
      <c r="A570" s="1" t="s">
        <v>4474</v>
      </c>
      <c r="B570" s="21"/>
      <c r="C570" s="1">
        <v>1</v>
      </c>
      <c r="D570" s="1" t="s">
        <v>4475</v>
      </c>
      <c r="E570" s="7">
        <v>4358</v>
      </c>
      <c r="F570" s="7" t="s">
        <v>4416</v>
      </c>
      <c r="G570" s="1">
        <v>6.5</v>
      </c>
      <c r="H570" s="34">
        <f>Tabela1[[#This Row],[PESO UNI]]*Tabela1[[#This Row],[QTE]]</f>
        <v>6.5</v>
      </c>
      <c r="I570" s="7"/>
      <c r="J570" s="8" t="s">
        <v>2551</v>
      </c>
      <c r="K570" s="8" t="s">
        <v>46</v>
      </c>
      <c r="L570" s="9" t="s">
        <v>2552</v>
      </c>
      <c r="M570" s="10"/>
      <c r="N570" s="11" t="s">
        <v>39</v>
      </c>
      <c r="O570" s="12"/>
      <c r="P570" s="13"/>
      <c r="Q570" s="14">
        <f>Tabela1[[#This Row],[QTDE/ Fabricação]]-Tabela1[[#This Row],[QTE]]</f>
        <v>-1</v>
      </c>
      <c r="R570" s="18">
        <f t="shared" si="87"/>
        <v>6.5</v>
      </c>
      <c r="S570" s="18">
        <f t="shared" si="86"/>
        <v>6.5</v>
      </c>
      <c r="T570" s="19">
        <f t="shared" si="88"/>
        <v>0</v>
      </c>
      <c r="U570" s="16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89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4514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0"/>
        <v xml:space="preserve"> P-073060-1/P190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1"/>
        <v>6.5</v>
      </c>
      <c r="AV570" s="37">
        <f t="shared" si="92"/>
        <v>6.5</v>
      </c>
      <c r="AW570" s="37"/>
    </row>
    <row r="571" spans="1:49" ht="15.75" hidden="1" customHeight="1" x14ac:dyDescent="0.25">
      <c r="A571" s="1" t="s">
        <v>4476</v>
      </c>
      <c r="B571" s="21"/>
      <c r="C571" s="1">
        <v>18</v>
      </c>
      <c r="D571" s="1" t="s">
        <v>4477</v>
      </c>
      <c r="E571" s="7">
        <v>4359</v>
      </c>
      <c r="F571" s="7" t="s">
        <v>4416</v>
      </c>
      <c r="G571" s="1">
        <v>0.02</v>
      </c>
      <c r="H571" s="34">
        <f>Tabela1[[#This Row],[PESO UNI]]*Tabela1[[#This Row],[QTE]]</f>
        <v>0.36</v>
      </c>
      <c r="I571" s="7"/>
      <c r="J571" s="8" t="s">
        <v>2551</v>
      </c>
      <c r="K571" s="8" t="s">
        <v>46</v>
      </c>
      <c r="L571" s="9" t="s">
        <v>2552</v>
      </c>
      <c r="M571" s="10"/>
      <c r="N571" s="11" t="s">
        <v>39</v>
      </c>
      <c r="O571" s="12"/>
      <c r="P571" s="13"/>
      <c r="Q571" s="14">
        <f>Tabela1[[#This Row],[QTDE/ Fabricação]]-Tabela1[[#This Row],[QTE]]</f>
        <v>-18</v>
      </c>
      <c r="R571" s="18">
        <f t="shared" si="87"/>
        <v>0.36</v>
      </c>
      <c r="S571" s="18">
        <f t="shared" si="86"/>
        <v>0.36</v>
      </c>
      <c r="T571" s="19">
        <f t="shared" si="88"/>
        <v>0</v>
      </c>
      <c r="U571" s="16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89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4514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0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1"/>
        <v>0.36</v>
      </c>
      <c r="AV571" s="37">
        <f t="shared" si="92"/>
        <v>0.36</v>
      </c>
      <c r="AW571" s="37"/>
    </row>
    <row r="572" spans="1:49" ht="15.75" hidden="1" customHeight="1" x14ac:dyDescent="0.25">
      <c r="A572" s="1" t="s">
        <v>4476</v>
      </c>
      <c r="B572" s="21"/>
      <c r="C572" s="1">
        <v>18</v>
      </c>
      <c r="D572" s="1" t="s">
        <v>4478</v>
      </c>
      <c r="E572" s="7">
        <v>4360</v>
      </c>
      <c r="F572" s="7" t="s">
        <v>4416</v>
      </c>
      <c r="G572" s="1">
        <v>0.03</v>
      </c>
      <c r="H572" s="34">
        <f>Tabela1[[#This Row],[PESO UNI]]*Tabela1[[#This Row],[QTE]]</f>
        <v>0.54</v>
      </c>
      <c r="I572" s="7"/>
      <c r="J572" s="8" t="s">
        <v>2551</v>
      </c>
      <c r="K572" s="8" t="s">
        <v>46</v>
      </c>
      <c r="L572" s="9" t="s">
        <v>2552</v>
      </c>
      <c r="M572" s="10"/>
      <c r="N572" s="11" t="s">
        <v>39</v>
      </c>
      <c r="O572" s="12"/>
      <c r="P572" s="13"/>
      <c r="Q572" s="14">
        <f>Tabela1[[#This Row],[QTDE/ Fabricação]]-Tabela1[[#This Row],[QTE]]</f>
        <v>-18</v>
      </c>
      <c r="R572" s="18">
        <f t="shared" si="87"/>
        <v>0.54</v>
      </c>
      <c r="S572" s="18">
        <f t="shared" si="86"/>
        <v>0.54</v>
      </c>
      <c r="T572" s="19">
        <f t="shared" si="88"/>
        <v>0</v>
      </c>
      <c r="U572" s="16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89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4514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0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1"/>
        <v>0.54</v>
      </c>
      <c r="AV572" s="37">
        <f t="shared" si="92"/>
        <v>0.54</v>
      </c>
      <c r="AW572" s="37"/>
    </row>
    <row r="573" spans="1:49" ht="15.75" hidden="1" customHeight="1" x14ac:dyDescent="0.25">
      <c r="A573" s="1" t="s">
        <v>4476</v>
      </c>
      <c r="B573" s="21"/>
      <c r="C573" s="1">
        <v>5</v>
      </c>
      <c r="D573" s="1" t="s">
        <v>4479</v>
      </c>
      <c r="E573" s="7">
        <v>4361</v>
      </c>
      <c r="F573" s="7" t="s">
        <v>4416</v>
      </c>
      <c r="G573" s="1">
        <v>0.02</v>
      </c>
      <c r="H573" s="34">
        <f>Tabela1[[#This Row],[PESO UNI]]*Tabela1[[#This Row],[QTE]]</f>
        <v>0.1</v>
      </c>
      <c r="I573" s="7"/>
      <c r="J573" s="8" t="s">
        <v>2551</v>
      </c>
      <c r="K573" s="8" t="s">
        <v>46</v>
      </c>
      <c r="L573" s="9" t="s">
        <v>2552</v>
      </c>
      <c r="M573" s="10"/>
      <c r="N573" s="11" t="s">
        <v>39</v>
      </c>
      <c r="O573" s="12"/>
      <c r="P573" s="13"/>
      <c r="Q573" s="14">
        <f>Tabela1[[#This Row],[QTDE/ Fabricação]]-Tabela1[[#This Row],[QTE]]</f>
        <v>-5</v>
      </c>
      <c r="R573" s="18">
        <f t="shared" si="87"/>
        <v>0.1</v>
      </c>
      <c r="S573" s="18">
        <f t="shared" si="86"/>
        <v>0.1</v>
      </c>
      <c r="T573" s="19">
        <f t="shared" si="88"/>
        <v>0</v>
      </c>
      <c r="U573" s="16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89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4514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0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1"/>
        <v>0.1</v>
      </c>
      <c r="AV573" s="37">
        <f t="shared" si="92"/>
        <v>0.1</v>
      </c>
      <c r="AW573" s="37"/>
    </row>
    <row r="574" spans="1:49" ht="15.75" hidden="1" customHeight="1" x14ac:dyDescent="0.25">
      <c r="A574" s="1" t="s">
        <v>4476</v>
      </c>
      <c r="B574" s="21"/>
      <c r="C574" s="1">
        <v>3</v>
      </c>
      <c r="D574" s="1" t="s">
        <v>4480</v>
      </c>
      <c r="E574" s="7">
        <v>4362</v>
      </c>
      <c r="F574" s="7" t="s">
        <v>4416</v>
      </c>
      <c r="G574" s="1">
        <v>0.04</v>
      </c>
      <c r="H574" s="34">
        <f>Tabela1[[#This Row],[PESO UNI]]*Tabela1[[#This Row],[QTE]]</f>
        <v>0.12</v>
      </c>
      <c r="I574" s="7"/>
      <c r="J574" s="8" t="s">
        <v>2551</v>
      </c>
      <c r="K574" s="8" t="s">
        <v>46</v>
      </c>
      <c r="L574" s="9" t="s">
        <v>2552</v>
      </c>
      <c r="M574" s="10"/>
      <c r="N574" s="11" t="s">
        <v>39</v>
      </c>
      <c r="O574" s="12"/>
      <c r="P574" s="13"/>
      <c r="Q574" s="14">
        <f>Tabela1[[#This Row],[QTDE/ Fabricação]]-Tabela1[[#This Row],[QTE]]</f>
        <v>-3</v>
      </c>
      <c r="R574" s="18">
        <f t="shared" si="87"/>
        <v>0.12</v>
      </c>
      <c r="S574" s="18">
        <f t="shared" ref="S574:S607" si="93">IFERROR(H574*AG574,"")</f>
        <v>0.12</v>
      </c>
      <c r="T574" s="19">
        <f t="shared" si="88"/>
        <v>0</v>
      </c>
      <c r="U574" s="16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89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4514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0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1"/>
        <v>0.12</v>
      </c>
      <c r="AV574" s="37">
        <f t="shared" si="92"/>
        <v>0.12</v>
      </c>
      <c r="AW574" s="37"/>
    </row>
    <row r="575" spans="1:49" ht="15.75" hidden="1" customHeight="1" x14ac:dyDescent="0.25">
      <c r="A575" s="1" t="s">
        <v>4476</v>
      </c>
      <c r="B575" s="21"/>
      <c r="C575" s="1">
        <v>3</v>
      </c>
      <c r="D575" s="1" t="s">
        <v>4481</v>
      </c>
      <c r="E575" s="7">
        <v>4363</v>
      </c>
      <c r="F575" s="7" t="s">
        <v>4416</v>
      </c>
      <c r="G575" s="1">
        <v>0.05</v>
      </c>
      <c r="H575" s="34">
        <f>Tabela1[[#This Row],[PESO UNI]]*Tabela1[[#This Row],[QTE]]</f>
        <v>0.15000000000000002</v>
      </c>
      <c r="I575" s="7"/>
      <c r="J575" s="8" t="s">
        <v>2551</v>
      </c>
      <c r="K575" s="8" t="s">
        <v>46</v>
      </c>
      <c r="L575" s="9" t="s">
        <v>2552</v>
      </c>
      <c r="M575" s="10"/>
      <c r="N575" s="11" t="s">
        <v>39</v>
      </c>
      <c r="O575" s="12"/>
      <c r="P575" s="13"/>
      <c r="Q575" s="14">
        <f>Tabela1[[#This Row],[QTDE/ Fabricação]]-Tabela1[[#This Row],[QTE]]</f>
        <v>-3</v>
      </c>
      <c r="R575" s="18">
        <f t="shared" si="87"/>
        <v>0.15000000000000002</v>
      </c>
      <c r="S575" s="18">
        <f t="shared" si="93"/>
        <v>0.15000000000000002</v>
      </c>
      <c r="T575" s="19">
        <f t="shared" si="88"/>
        <v>0</v>
      </c>
      <c r="U575" s="16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89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4514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0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1"/>
        <v>0.15000000000000002</v>
      </c>
      <c r="AV575" s="37">
        <f t="shared" si="92"/>
        <v>0.15000000000000002</v>
      </c>
      <c r="AW575" s="37"/>
    </row>
    <row r="576" spans="1:49" ht="15.75" hidden="1" customHeight="1" x14ac:dyDescent="0.25">
      <c r="A576" s="1" t="s">
        <v>4476</v>
      </c>
      <c r="B576" s="21"/>
      <c r="C576" s="1">
        <v>10</v>
      </c>
      <c r="D576" s="1" t="s">
        <v>4482</v>
      </c>
      <c r="E576" s="7">
        <v>4364</v>
      </c>
      <c r="F576" s="7" t="s">
        <v>4416</v>
      </c>
      <c r="G576" s="1">
        <v>0.05</v>
      </c>
      <c r="H576" s="34">
        <f>Tabela1[[#This Row],[PESO UNI]]*Tabela1[[#This Row],[QTE]]</f>
        <v>0.5</v>
      </c>
      <c r="I576" s="7"/>
      <c r="J576" s="8" t="s">
        <v>2551</v>
      </c>
      <c r="K576" s="8" t="s">
        <v>46</v>
      </c>
      <c r="L576" s="9" t="s">
        <v>2552</v>
      </c>
      <c r="M576" s="10"/>
      <c r="N576" s="11" t="s">
        <v>39</v>
      </c>
      <c r="O576" s="12"/>
      <c r="P576" s="13"/>
      <c r="Q576" s="14">
        <f>Tabela1[[#This Row],[QTDE/ Fabricação]]-Tabela1[[#This Row],[QTE]]</f>
        <v>-10</v>
      </c>
      <c r="R576" s="18">
        <f t="shared" si="87"/>
        <v>0.5</v>
      </c>
      <c r="S576" s="18">
        <f t="shared" si="93"/>
        <v>0.5</v>
      </c>
      <c r="T576" s="19">
        <f t="shared" si="88"/>
        <v>0</v>
      </c>
      <c r="U576" s="16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89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4514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0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1"/>
        <v>0.5</v>
      </c>
      <c r="AV576" s="37">
        <f t="shared" si="92"/>
        <v>0.5</v>
      </c>
      <c r="AW576" s="37"/>
    </row>
    <row r="577" spans="1:49" ht="15.75" hidden="1" customHeight="1" x14ac:dyDescent="0.25">
      <c r="A577" s="1" t="s">
        <v>4476</v>
      </c>
      <c r="B577" s="21"/>
      <c r="C577" s="1">
        <v>10</v>
      </c>
      <c r="D577" s="1" t="s">
        <v>4483</v>
      </c>
      <c r="E577" s="7">
        <v>4365</v>
      </c>
      <c r="F577" s="7" t="s">
        <v>4416</v>
      </c>
      <c r="G577" s="1">
        <v>0.06</v>
      </c>
      <c r="H577" s="34">
        <f>Tabela1[[#This Row],[PESO UNI]]*Tabela1[[#This Row],[QTE]]</f>
        <v>0.6</v>
      </c>
      <c r="I577" s="7"/>
      <c r="J577" s="8" t="s">
        <v>2551</v>
      </c>
      <c r="K577" s="8" t="s">
        <v>46</v>
      </c>
      <c r="L577" s="9" t="s">
        <v>2552</v>
      </c>
      <c r="M577" s="10"/>
      <c r="N577" s="11" t="s">
        <v>39</v>
      </c>
      <c r="O577" s="12"/>
      <c r="P577" s="13"/>
      <c r="Q577" s="14">
        <f>Tabela1[[#This Row],[QTDE/ Fabricação]]-Tabela1[[#This Row],[QTE]]</f>
        <v>-10</v>
      </c>
      <c r="R577" s="18">
        <f t="shared" ref="R577:R607" si="94">IFERROR(H577*((AA577*0.25)+(AC577*0.25)+(AD577*0.225)+(AE577*0.225)+(AF577*0.05)),"")</f>
        <v>0.6</v>
      </c>
      <c r="S577" s="18">
        <f t="shared" si="93"/>
        <v>0.6</v>
      </c>
      <c r="T577" s="19">
        <f t="shared" ref="T577:T607" si="95">IFERROR(S577-H577,"")</f>
        <v>0</v>
      </c>
      <c r="U577" s="16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07" si="96">U577-C577</f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4514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07" si="97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ref="AU577:AU607" si="98">IF(AH577="",0,IF(ISTEXT(AH577),H577*VALUE(SUBSTITUTE(AH577,"%",""))/100,H577*AH577))</f>
        <v>0.6</v>
      </c>
      <c r="AV577" s="37">
        <f t="shared" ref="AV577:AV607" si="99">IF(AG577="",0,IF(ISTEXT(AG577),H577*VALUE(SUBSTITUTE(AG577,"%",""))/100,H577*AG577))</f>
        <v>0.6</v>
      </c>
      <c r="AW577" s="37"/>
    </row>
    <row r="578" spans="1:49" ht="15.75" hidden="1" customHeight="1" x14ac:dyDescent="0.25">
      <c r="A578" s="1" t="s">
        <v>4476</v>
      </c>
      <c r="B578" s="21"/>
      <c r="C578" s="1">
        <v>2</v>
      </c>
      <c r="D578" s="1" t="s">
        <v>4484</v>
      </c>
      <c r="E578" s="7">
        <v>4366</v>
      </c>
      <c r="F578" s="7" t="s">
        <v>4416</v>
      </c>
      <c r="G578" s="1">
        <v>0.03</v>
      </c>
      <c r="H578" s="34">
        <f>Tabela1[[#This Row],[PESO UNI]]*Tabela1[[#This Row],[QTE]]</f>
        <v>0.06</v>
      </c>
      <c r="I578" s="7"/>
      <c r="J578" s="8" t="s">
        <v>2551</v>
      </c>
      <c r="K578" s="8" t="s">
        <v>46</v>
      </c>
      <c r="L578" s="9" t="s">
        <v>2552</v>
      </c>
      <c r="M578" s="10"/>
      <c r="N578" s="11" t="s">
        <v>39</v>
      </c>
      <c r="O578" s="12"/>
      <c r="P578" s="13"/>
      <c r="Q578" s="14">
        <f>Tabela1[[#This Row],[QTDE/ Fabricação]]-Tabela1[[#This Row],[QTE]]</f>
        <v>-2</v>
      </c>
      <c r="R578" s="18">
        <f t="shared" si="94"/>
        <v>0.06</v>
      </c>
      <c r="S578" s="18">
        <f t="shared" si="93"/>
        <v>0.06</v>
      </c>
      <c r="T578" s="19">
        <f t="shared" si="95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96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4514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97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98"/>
        <v>0.06</v>
      </c>
      <c r="AV578" s="37">
        <f t="shared" si="99"/>
        <v>0.06</v>
      </c>
      <c r="AW578" s="37"/>
    </row>
    <row r="579" spans="1:49" ht="15.75" hidden="1" customHeight="1" x14ac:dyDescent="0.25">
      <c r="A579" s="1" t="s">
        <v>4476</v>
      </c>
      <c r="B579" s="21"/>
      <c r="C579" s="1">
        <v>4</v>
      </c>
      <c r="D579" s="1" t="s">
        <v>4485</v>
      </c>
      <c r="E579" s="7">
        <v>4367</v>
      </c>
      <c r="F579" s="7" t="s">
        <v>4416</v>
      </c>
      <c r="G579" s="1">
        <v>0.04</v>
      </c>
      <c r="H579" s="34">
        <f>Tabela1[[#This Row],[PESO UNI]]*Tabela1[[#This Row],[QTE]]</f>
        <v>0.16</v>
      </c>
      <c r="I579" s="7"/>
      <c r="J579" s="8" t="s">
        <v>2551</v>
      </c>
      <c r="K579" s="8" t="s">
        <v>46</v>
      </c>
      <c r="L579" s="9" t="s">
        <v>2552</v>
      </c>
      <c r="M579" s="10"/>
      <c r="N579" s="11" t="s">
        <v>39</v>
      </c>
      <c r="O579" s="12"/>
      <c r="P579" s="13"/>
      <c r="Q579" s="14">
        <f>Tabela1[[#This Row],[QTDE/ Fabricação]]-Tabela1[[#This Row],[QTE]]</f>
        <v>-4</v>
      </c>
      <c r="R579" s="18">
        <f t="shared" si="94"/>
        <v>0.16</v>
      </c>
      <c r="S579" s="18">
        <f t="shared" si="93"/>
        <v>0.16</v>
      </c>
      <c r="T579" s="19">
        <f t="shared" si="95"/>
        <v>0</v>
      </c>
      <c r="U579" s="16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96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4514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97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98"/>
        <v>0.16</v>
      </c>
      <c r="AV579" s="37">
        <f t="shared" si="99"/>
        <v>0.16</v>
      </c>
      <c r="AW579" s="37"/>
    </row>
    <row r="580" spans="1:49" ht="15.75" hidden="1" customHeight="1" x14ac:dyDescent="0.25">
      <c r="A580" s="1" t="s">
        <v>4476</v>
      </c>
      <c r="B580" s="21"/>
      <c r="C580" s="1">
        <v>2</v>
      </c>
      <c r="D580" s="1" t="s">
        <v>4486</v>
      </c>
      <c r="E580" s="7">
        <v>4368</v>
      </c>
      <c r="F580" s="7" t="s">
        <v>4416</v>
      </c>
      <c r="G580" s="1">
        <v>0.02</v>
      </c>
      <c r="H580" s="34">
        <f>Tabela1[[#This Row],[PESO UNI]]*Tabela1[[#This Row],[QTE]]</f>
        <v>0.04</v>
      </c>
      <c r="I580" s="7"/>
      <c r="J580" s="8" t="s">
        <v>2551</v>
      </c>
      <c r="K580" s="8" t="s">
        <v>46</v>
      </c>
      <c r="L580" s="9" t="s">
        <v>2552</v>
      </c>
      <c r="M580" s="10"/>
      <c r="N580" s="11" t="s">
        <v>39</v>
      </c>
      <c r="O580" s="12"/>
      <c r="P580" s="13"/>
      <c r="Q580" s="14">
        <f>Tabela1[[#This Row],[QTDE/ Fabricação]]-Tabela1[[#This Row],[QTE]]</f>
        <v>-2</v>
      </c>
      <c r="R580" s="18">
        <f t="shared" si="94"/>
        <v>0.04</v>
      </c>
      <c r="S580" s="18">
        <f t="shared" si="93"/>
        <v>0.04</v>
      </c>
      <c r="T580" s="19">
        <f t="shared" si="95"/>
        <v>0</v>
      </c>
      <c r="U580" s="16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96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4514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97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98"/>
        <v>0.04</v>
      </c>
      <c r="AV580" s="37">
        <f t="shared" si="99"/>
        <v>0.04</v>
      </c>
      <c r="AW580" s="37"/>
    </row>
    <row r="581" spans="1:49" ht="15.75" hidden="1" customHeight="1" x14ac:dyDescent="0.25">
      <c r="A581" s="1" t="s">
        <v>4476</v>
      </c>
      <c r="B581" s="21"/>
      <c r="C581" s="1">
        <v>8</v>
      </c>
      <c r="D581" s="1" t="s">
        <v>4487</v>
      </c>
      <c r="E581" s="7">
        <v>4369</v>
      </c>
      <c r="F581" s="7" t="s">
        <v>4416</v>
      </c>
      <c r="G581" s="1">
        <v>0.04</v>
      </c>
      <c r="H581" s="34">
        <f>Tabela1[[#This Row],[PESO UNI]]*Tabela1[[#This Row],[QTE]]</f>
        <v>0.32</v>
      </c>
      <c r="I581" s="7"/>
      <c r="J581" s="8" t="s">
        <v>2551</v>
      </c>
      <c r="K581" s="8" t="s">
        <v>46</v>
      </c>
      <c r="L581" s="9" t="s">
        <v>2552</v>
      </c>
      <c r="M581" s="10"/>
      <c r="N581" s="11" t="s">
        <v>39</v>
      </c>
      <c r="O581" s="12"/>
      <c r="P581" s="13"/>
      <c r="Q581" s="14">
        <f>Tabela1[[#This Row],[QTDE/ Fabricação]]-Tabela1[[#This Row],[QTE]]</f>
        <v>-8</v>
      </c>
      <c r="R581" s="18">
        <f t="shared" si="94"/>
        <v>0.32</v>
      </c>
      <c r="S581" s="18">
        <f t="shared" si="93"/>
        <v>0.32</v>
      </c>
      <c r="T581" s="19">
        <f t="shared" si="95"/>
        <v>0</v>
      </c>
      <c r="U581" s="16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96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4514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97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98"/>
        <v>0.32</v>
      </c>
      <c r="AV581" s="37">
        <f t="shared" si="99"/>
        <v>0.32</v>
      </c>
      <c r="AW581" s="37"/>
    </row>
    <row r="582" spans="1:49" ht="15.75" hidden="1" customHeight="1" x14ac:dyDescent="0.25">
      <c r="A582" s="1" t="s">
        <v>4476</v>
      </c>
      <c r="B582" s="21"/>
      <c r="C582" s="1">
        <v>1</v>
      </c>
      <c r="D582" s="1" t="s">
        <v>4488</v>
      </c>
      <c r="E582" s="7">
        <v>4370</v>
      </c>
      <c r="F582" s="7" t="s">
        <v>4416</v>
      </c>
      <c r="G582" s="1">
        <v>2.2000000000000002</v>
      </c>
      <c r="H582" s="34">
        <f>Tabela1[[#This Row],[PESO UNI]]*Tabela1[[#This Row],[QTE]]</f>
        <v>2.2000000000000002</v>
      </c>
      <c r="I582" s="7"/>
      <c r="J582" s="8" t="s">
        <v>2551</v>
      </c>
      <c r="K582" s="8" t="s">
        <v>46</v>
      </c>
      <c r="L582" s="9" t="s">
        <v>2552</v>
      </c>
      <c r="M582" s="10"/>
      <c r="N582" s="11" t="s">
        <v>39</v>
      </c>
      <c r="O582" s="12"/>
      <c r="P582" s="13"/>
      <c r="Q582" s="14">
        <f>Tabela1[[#This Row],[QTDE/ Fabricação]]-Tabela1[[#This Row],[QTE]]</f>
        <v>-1</v>
      </c>
      <c r="R582" s="18">
        <f t="shared" si="94"/>
        <v>2.2000000000000002</v>
      </c>
      <c r="S582" s="18">
        <f t="shared" si="93"/>
        <v>2.2000000000000002</v>
      </c>
      <c r="T582" s="19">
        <f t="shared" si="95"/>
        <v>0</v>
      </c>
      <c r="U582" s="16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96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4514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97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98"/>
        <v>2.2000000000000002</v>
      </c>
      <c r="AV582" s="37">
        <f t="shared" si="99"/>
        <v>2.2000000000000002</v>
      </c>
      <c r="AW582" s="37"/>
    </row>
    <row r="583" spans="1:49" ht="15.75" hidden="1" customHeight="1" x14ac:dyDescent="0.25">
      <c r="A583" s="1" t="s">
        <v>4476</v>
      </c>
      <c r="B583" s="21"/>
      <c r="C583" s="1">
        <v>71</v>
      </c>
      <c r="D583" s="1" t="s">
        <v>4489</v>
      </c>
      <c r="E583" s="7">
        <v>4371</v>
      </c>
      <c r="F583" s="7" t="s">
        <v>4416</v>
      </c>
      <c r="G583" s="1">
        <v>0.127</v>
      </c>
      <c r="H583" s="34">
        <f>Tabela1[[#This Row],[PESO UNI]]*Tabela1[[#This Row],[QTE]]</f>
        <v>9.0169999999999995</v>
      </c>
      <c r="I583" s="7"/>
      <c r="J583" s="8" t="s">
        <v>2551</v>
      </c>
      <c r="K583" s="8" t="s">
        <v>46</v>
      </c>
      <c r="L583" s="9" t="s">
        <v>2552</v>
      </c>
      <c r="M583" s="10"/>
      <c r="N583" s="11" t="s">
        <v>39</v>
      </c>
      <c r="O583" s="12"/>
      <c r="P583" s="13"/>
      <c r="Q583" s="14">
        <f>Tabela1[[#This Row],[QTDE/ Fabricação]]-Tabela1[[#This Row],[QTE]]</f>
        <v>-71</v>
      </c>
      <c r="R583" s="18">
        <f t="shared" si="94"/>
        <v>9.0169999999999995</v>
      </c>
      <c r="S583" s="18">
        <f t="shared" si="93"/>
        <v>9.0169999999999995</v>
      </c>
      <c r="T583" s="19">
        <f t="shared" si="95"/>
        <v>0</v>
      </c>
      <c r="U583" s="16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96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4514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97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98"/>
        <v>9.0169999999999995</v>
      </c>
      <c r="AV583" s="37">
        <f t="shared" si="99"/>
        <v>9.0169999999999995</v>
      </c>
      <c r="AW583" s="37"/>
    </row>
    <row r="584" spans="1:49" ht="15.75" hidden="1" customHeight="1" x14ac:dyDescent="0.25">
      <c r="A584" s="1" t="s">
        <v>4476</v>
      </c>
      <c r="B584" s="21"/>
      <c r="C584" s="1">
        <v>10</v>
      </c>
      <c r="D584" s="1" t="s">
        <v>4491</v>
      </c>
      <c r="E584" s="7">
        <v>4372</v>
      </c>
      <c r="F584" s="7" t="s">
        <v>4416</v>
      </c>
      <c r="G584" s="1">
        <v>0.14000000000000001</v>
      </c>
      <c r="H584" s="34">
        <f>Tabela1[[#This Row],[PESO UNI]]*Tabela1[[#This Row],[QTE]]</f>
        <v>1.4000000000000001</v>
      </c>
      <c r="I584" s="7"/>
      <c r="J584" s="8" t="s">
        <v>2551</v>
      </c>
      <c r="K584" s="8" t="s">
        <v>46</v>
      </c>
      <c r="L584" s="9" t="s">
        <v>2552</v>
      </c>
      <c r="M584" s="10"/>
      <c r="N584" s="11" t="s">
        <v>39</v>
      </c>
      <c r="O584" s="12"/>
      <c r="P584" s="13"/>
      <c r="Q584" s="14">
        <f>Tabela1[[#This Row],[QTDE/ Fabricação]]-Tabela1[[#This Row],[QTE]]</f>
        <v>-10</v>
      </c>
      <c r="R584" s="18">
        <f t="shared" si="94"/>
        <v>1.4000000000000001</v>
      </c>
      <c r="S584" s="18">
        <f t="shared" si="93"/>
        <v>1.4000000000000001</v>
      </c>
      <c r="T584" s="19">
        <f t="shared" si="95"/>
        <v>0</v>
      </c>
      <c r="U584" s="16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96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4514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97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98"/>
        <v>1.4000000000000001</v>
      </c>
      <c r="AV584" s="37">
        <f t="shared" si="99"/>
        <v>1.4000000000000001</v>
      </c>
      <c r="AW584" s="37"/>
    </row>
    <row r="585" spans="1:49" ht="15.75" hidden="1" customHeight="1" x14ac:dyDescent="0.25">
      <c r="A585" s="1" t="s">
        <v>4476</v>
      </c>
      <c r="B585" s="21"/>
      <c r="C585" s="1">
        <v>18</v>
      </c>
      <c r="D585" s="1" t="s">
        <v>4492</v>
      </c>
      <c r="E585" s="7">
        <v>4373</v>
      </c>
      <c r="F585" s="7" t="s">
        <v>4416</v>
      </c>
      <c r="G585" s="1">
        <v>0.36699999999999999</v>
      </c>
      <c r="H585" s="34">
        <f>Tabela1[[#This Row],[PESO UNI]]*Tabela1[[#This Row],[QTE]]</f>
        <v>6.6059999999999999</v>
      </c>
      <c r="I585" s="7"/>
      <c r="J585" s="8" t="s">
        <v>2551</v>
      </c>
      <c r="K585" s="8" t="s">
        <v>46</v>
      </c>
      <c r="L585" s="9" t="s">
        <v>2552</v>
      </c>
      <c r="M585" s="10"/>
      <c r="N585" s="11" t="s">
        <v>39</v>
      </c>
      <c r="O585" s="12"/>
      <c r="P585" s="13"/>
      <c r="Q585" s="14">
        <f>Tabela1[[#This Row],[QTDE/ Fabricação]]-Tabela1[[#This Row],[QTE]]</f>
        <v>-18</v>
      </c>
      <c r="R585" s="18">
        <f t="shared" si="94"/>
        <v>6.6059999999999999</v>
      </c>
      <c r="S585" s="18">
        <f t="shared" si="93"/>
        <v>6.6059999999999999</v>
      </c>
      <c r="T585" s="19">
        <f t="shared" si="95"/>
        <v>0</v>
      </c>
      <c r="U585" s="16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96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4514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97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98"/>
        <v>6.6059999999999999</v>
      </c>
      <c r="AV585" s="37">
        <f t="shared" si="99"/>
        <v>6.6059999999999999</v>
      </c>
      <c r="AW585" s="37"/>
    </row>
    <row r="586" spans="1:49" ht="15.75" hidden="1" customHeight="1" x14ac:dyDescent="0.25">
      <c r="A586" s="1" t="s">
        <v>4476</v>
      </c>
      <c r="B586" s="21"/>
      <c r="C586" s="1">
        <v>50</v>
      </c>
      <c r="D586" s="1" t="s">
        <v>4493</v>
      </c>
      <c r="E586" s="7">
        <v>4374</v>
      </c>
      <c r="F586" s="7" t="s">
        <v>4416</v>
      </c>
      <c r="G586" s="1">
        <v>0.56999999999999995</v>
      </c>
      <c r="H586" s="34">
        <f>Tabela1[[#This Row],[PESO UNI]]*Tabela1[[#This Row],[QTE]]</f>
        <v>28.499999999999996</v>
      </c>
      <c r="I586" s="7"/>
      <c r="J586" s="8" t="s">
        <v>2551</v>
      </c>
      <c r="K586" s="8" t="s">
        <v>46</v>
      </c>
      <c r="L586" s="9" t="s">
        <v>2552</v>
      </c>
      <c r="M586" s="10"/>
      <c r="N586" s="11" t="s">
        <v>39</v>
      </c>
      <c r="O586" s="12"/>
      <c r="P586" s="13"/>
      <c r="Q586" s="14">
        <f>Tabela1[[#This Row],[QTDE/ Fabricação]]-Tabela1[[#This Row],[QTE]]</f>
        <v>-50</v>
      </c>
      <c r="R586" s="18">
        <f t="shared" si="94"/>
        <v>28.499999999999996</v>
      </c>
      <c r="S586" s="18">
        <f t="shared" si="93"/>
        <v>28.499999999999996</v>
      </c>
      <c r="T586" s="19">
        <f t="shared" si="95"/>
        <v>0</v>
      </c>
      <c r="U586" s="16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96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4514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97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98"/>
        <v>28.499999999999996</v>
      </c>
      <c r="AV586" s="37">
        <f t="shared" si="99"/>
        <v>28.499999999999996</v>
      </c>
      <c r="AW586" s="37"/>
    </row>
    <row r="587" spans="1:49" ht="15.75" hidden="1" customHeight="1" x14ac:dyDescent="0.25">
      <c r="A587" s="1" t="s">
        <v>4476</v>
      </c>
      <c r="B587" s="21"/>
      <c r="C587" s="1">
        <v>60</v>
      </c>
      <c r="D587" s="1" t="s">
        <v>4494</v>
      </c>
      <c r="E587" s="7">
        <v>4375</v>
      </c>
      <c r="F587" s="7" t="s">
        <v>4416</v>
      </c>
      <c r="G587" s="1">
        <v>0.1666</v>
      </c>
      <c r="H587" s="34">
        <f>Tabela1[[#This Row],[PESO UNI]]*Tabela1[[#This Row],[QTE]]</f>
        <v>9.9960000000000004</v>
      </c>
      <c r="I587" s="7"/>
      <c r="J587" s="8" t="s">
        <v>2551</v>
      </c>
      <c r="K587" s="8" t="s">
        <v>46</v>
      </c>
      <c r="L587" s="9" t="s">
        <v>2552</v>
      </c>
      <c r="M587" s="10"/>
      <c r="N587" s="11" t="s">
        <v>39</v>
      </c>
      <c r="O587" s="12"/>
      <c r="P587" s="13"/>
      <c r="Q587" s="14">
        <f>Tabela1[[#This Row],[QTDE/ Fabricação]]-Tabela1[[#This Row],[QTE]]</f>
        <v>-60</v>
      </c>
      <c r="R587" s="18">
        <f t="shared" si="94"/>
        <v>9.9960000000000004</v>
      </c>
      <c r="S587" s="18">
        <f t="shared" si="93"/>
        <v>9.9960000000000004</v>
      </c>
      <c r="T587" s="19">
        <f t="shared" si="95"/>
        <v>0</v>
      </c>
      <c r="U587" s="16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96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4514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97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98"/>
        <v>9.9960000000000004</v>
      </c>
      <c r="AV587" s="37">
        <f t="shared" si="99"/>
        <v>9.9960000000000004</v>
      </c>
      <c r="AW587" s="37"/>
    </row>
    <row r="588" spans="1:49" ht="15.75" hidden="1" customHeight="1" x14ac:dyDescent="0.25">
      <c r="A588" s="1" t="s">
        <v>4476</v>
      </c>
      <c r="B588" s="21"/>
      <c r="C588" s="1">
        <v>15</v>
      </c>
      <c r="D588" s="1" t="s">
        <v>4495</v>
      </c>
      <c r="E588" s="7">
        <v>4376</v>
      </c>
      <c r="F588" s="7" t="s">
        <v>4416</v>
      </c>
      <c r="G588" s="1">
        <v>0.16</v>
      </c>
      <c r="H588" s="34">
        <f>Tabela1[[#This Row],[PESO UNI]]*Tabela1[[#This Row],[QTE]]</f>
        <v>2.4</v>
      </c>
      <c r="I588" s="7"/>
      <c r="J588" s="8" t="s">
        <v>2551</v>
      </c>
      <c r="K588" s="8" t="s">
        <v>46</v>
      </c>
      <c r="L588" s="9" t="s">
        <v>2552</v>
      </c>
      <c r="M588" s="10"/>
      <c r="N588" s="11" t="s">
        <v>39</v>
      </c>
      <c r="O588" s="12"/>
      <c r="P588" s="13"/>
      <c r="Q588" s="14">
        <f>Tabela1[[#This Row],[QTDE/ Fabricação]]-Tabela1[[#This Row],[QTE]]</f>
        <v>-15</v>
      </c>
      <c r="R588" s="18">
        <f t="shared" si="94"/>
        <v>2.4</v>
      </c>
      <c r="S588" s="18">
        <f t="shared" si="93"/>
        <v>2.4</v>
      </c>
      <c r="T588" s="19">
        <f t="shared" si="95"/>
        <v>0</v>
      </c>
      <c r="U588" s="16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96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4514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97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98"/>
        <v>2.4</v>
      </c>
      <c r="AV588" s="37">
        <f t="shared" si="99"/>
        <v>2.4</v>
      </c>
      <c r="AW588" s="37"/>
    </row>
    <row r="589" spans="1:49" ht="15.75" hidden="1" customHeight="1" x14ac:dyDescent="0.25">
      <c r="A589" s="1" t="s">
        <v>4476</v>
      </c>
      <c r="B589" s="21"/>
      <c r="C589" s="1">
        <v>52</v>
      </c>
      <c r="D589" s="1" t="s">
        <v>4496</v>
      </c>
      <c r="E589" s="7">
        <v>4377</v>
      </c>
      <c r="F589" s="7" t="s">
        <v>4416</v>
      </c>
      <c r="G589" s="1">
        <v>0.44600000000000001</v>
      </c>
      <c r="H589" s="34">
        <f>Tabela1[[#This Row],[PESO UNI]]*Tabela1[[#This Row],[QTE]]</f>
        <v>23.192</v>
      </c>
      <c r="I589" s="7"/>
      <c r="J589" s="8" t="s">
        <v>2551</v>
      </c>
      <c r="K589" s="8" t="s">
        <v>46</v>
      </c>
      <c r="L589" s="9" t="s">
        <v>2552</v>
      </c>
      <c r="M589" s="10"/>
      <c r="N589" s="11" t="s">
        <v>39</v>
      </c>
      <c r="O589" s="12"/>
      <c r="P589" s="13"/>
      <c r="Q589" s="14">
        <f>Tabela1[[#This Row],[QTDE/ Fabricação]]-Tabela1[[#This Row],[QTE]]</f>
        <v>-52</v>
      </c>
      <c r="R589" s="18">
        <f t="shared" si="94"/>
        <v>23.192</v>
      </c>
      <c r="S589" s="18">
        <f t="shared" si="93"/>
        <v>23.192</v>
      </c>
      <c r="T589" s="19">
        <f t="shared" si="95"/>
        <v>0</v>
      </c>
      <c r="U589" s="16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96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4514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97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98"/>
        <v>23.192</v>
      </c>
      <c r="AV589" s="37">
        <f t="shared" si="99"/>
        <v>23.192</v>
      </c>
      <c r="AW589" s="37"/>
    </row>
    <row r="590" spans="1:49" ht="15.75" hidden="1" customHeight="1" x14ac:dyDescent="0.25">
      <c r="A590" s="1" t="s">
        <v>4476</v>
      </c>
      <c r="B590" s="21"/>
      <c r="C590" s="1">
        <v>78</v>
      </c>
      <c r="D590" s="1" t="s">
        <v>4497</v>
      </c>
      <c r="E590" s="7">
        <v>4378</v>
      </c>
      <c r="F590" s="7" t="s">
        <v>4416</v>
      </c>
      <c r="G590" s="1">
        <v>0.14799999999999999</v>
      </c>
      <c r="H590" s="34">
        <f>Tabela1[[#This Row],[PESO UNI]]*Tabela1[[#This Row],[QTE]]</f>
        <v>11.543999999999999</v>
      </c>
      <c r="I590" s="7"/>
      <c r="J590" s="8" t="s">
        <v>2551</v>
      </c>
      <c r="K590" s="8" t="s">
        <v>46</v>
      </c>
      <c r="L590" s="9" t="s">
        <v>2552</v>
      </c>
      <c r="M590" s="10"/>
      <c r="N590" s="11" t="s">
        <v>39</v>
      </c>
      <c r="O590" s="12"/>
      <c r="P590" s="13"/>
      <c r="Q590" s="14">
        <f>Tabela1[[#This Row],[QTDE/ Fabricação]]-Tabela1[[#This Row],[QTE]]</f>
        <v>-78</v>
      </c>
      <c r="R590" s="18">
        <f t="shared" si="94"/>
        <v>11.543999999999999</v>
      </c>
      <c r="S590" s="18">
        <f t="shared" si="93"/>
        <v>11.543999999999999</v>
      </c>
      <c r="T590" s="19">
        <f t="shared" si="95"/>
        <v>0</v>
      </c>
      <c r="U590" s="16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96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4514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97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98"/>
        <v>11.543999999999999</v>
      </c>
      <c r="AV590" s="37">
        <f t="shared" si="99"/>
        <v>11.543999999999999</v>
      </c>
      <c r="AW590" s="37"/>
    </row>
    <row r="591" spans="1:49" ht="15.75" hidden="1" customHeight="1" x14ac:dyDescent="0.25">
      <c r="A591" s="1" t="s">
        <v>4476</v>
      </c>
      <c r="B591" s="21"/>
      <c r="C591" s="1">
        <v>26</v>
      </c>
      <c r="D591" s="1" t="s">
        <v>4498</v>
      </c>
      <c r="E591" s="7">
        <v>4379</v>
      </c>
      <c r="F591" s="7" t="s">
        <v>4416</v>
      </c>
      <c r="G591" s="1">
        <v>0.16900000000000001</v>
      </c>
      <c r="H591" s="34">
        <f>Tabela1[[#This Row],[PESO UNI]]*Tabela1[[#This Row],[QTE]]</f>
        <v>4.3940000000000001</v>
      </c>
      <c r="I591" s="7"/>
      <c r="J591" s="8" t="s">
        <v>2551</v>
      </c>
      <c r="K591" s="8" t="s">
        <v>46</v>
      </c>
      <c r="L591" s="9" t="s">
        <v>2552</v>
      </c>
      <c r="M591" s="10"/>
      <c r="N591" s="11" t="s">
        <v>39</v>
      </c>
      <c r="O591" s="12"/>
      <c r="P591" s="13"/>
      <c r="Q591" s="14">
        <f>Tabela1[[#This Row],[QTDE/ Fabricação]]-Tabela1[[#This Row],[QTE]]</f>
        <v>-26</v>
      </c>
      <c r="R591" s="18">
        <f t="shared" si="94"/>
        <v>4.3940000000000001</v>
      </c>
      <c r="S591" s="18">
        <f t="shared" si="93"/>
        <v>4.3940000000000001</v>
      </c>
      <c r="T591" s="19">
        <f t="shared" si="95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96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4514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97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98"/>
        <v>4.3940000000000001</v>
      </c>
      <c r="AV591" s="37">
        <f t="shared" si="99"/>
        <v>4.3940000000000001</v>
      </c>
      <c r="AW591" s="37"/>
    </row>
    <row r="592" spans="1:49" ht="15.75" hidden="1" customHeight="1" x14ac:dyDescent="0.25">
      <c r="A592" s="1" t="s">
        <v>4476</v>
      </c>
      <c r="B592" s="21"/>
      <c r="C592" s="1">
        <v>60</v>
      </c>
      <c r="D592" s="1" t="s">
        <v>4499</v>
      </c>
      <c r="E592" s="7">
        <v>4380</v>
      </c>
      <c r="F592" s="7" t="s">
        <v>4416</v>
      </c>
      <c r="G592" s="1">
        <v>0.66600000000000004</v>
      </c>
      <c r="H592" s="34">
        <f>Tabela1[[#This Row],[PESO UNI]]*Tabela1[[#This Row],[QTE]]</f>
        <v>39.96</v>
      </c>
      <c r="I592" s="7"/>
      <c r="J592" s="8" t="s">
        <v>2551</v>
      </c>
      <c r="K592" s="8" t="s">
        <v>46</v>
      </c>
      <c r="L592" s="9" t="s">
        <v>2552</v>
      </c>
      <c r="M592" s="10"/>
      <c r="N592" s="11" t="s">
        <v>39</v>
      </c>
      <c r="O592" s="12"/>
      <c r="P592" s="13"/>
      <c r="Q592" s="14">
        <f>Tabela1[[#This Row],[QTDE/ Fabricação]]-Tabela1[[#This Row],[QTE]]</f>
        <v>-60</v>
      </c>
      <c r="R592" s="18">
        <f t="shared" si="94"/>
        <v>39.96</v>
      </c>
      <c r="S592" s="18">
        <f t="shared" si="93"/>
        <v>39.96</v>
      </c>
      <c r="T592" s="19">
        <f t="shared" si="95"/>
        <v>0</v>
      </c>
      <c r="U592" s="16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96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4514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97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98"/>
        <v>39.96</v>
      </c>
      <c r="AV592" s="37">
        <f t="shared" si="99"/>
        <v>39.96</v>
      </c>
      <c r="AW592" s="37"/>
    </row>
    <row r="593" spans="1:49" ht="15.75" hidden="1" customHeight="1" x14ac:dyDescent="0.25">
      <c r="A593" s="1" t="s">
        <v>4476</v>
      </c>
      <c r="B593" s="21"/>
      <c r="C593" s="1">
        <v>52</v>
      </c>
      <c r="D593" s="1" t="s">
        <v>4500</v>
      </c>
      <c r="E593" s="7">
        <v>4381</v>
      </c>
      <c r="F593" s="7" t="s">
        <v>4416</v>
      </c>
      <c r="G593" s="1">
        <v>0.21099999999999999</v>
      </c>
      <c r="H593" s="34">
        <f>Tabela1[[#This Row],[PESO UNI]]*Tabela1[[#This Row],[QTE]]</f>
        <v>10.972</v>
      </c>
      <c r="I593" s="7"/>
      <c r="J593" s="8" t="s">
        <v>2551</v>
      </c>
      <c r="K593" s="8" t="s">
        <v>46</v>
      </c>
      <c r="L593" s="9" t="s">
        <v>2552</v>
      </c>
      <c r="M593" s="10"/>
      <c r="N593" s="11" t="s">
        <v>39</v>
      </c>
      <c r="O593" s="12"/>
      <c r="P593" s="13"/>
      <c r="Q593" s="14">
        <f>Tabela1[[#This Row],[QTDE/ Fabricação]]-Tabela1[[#This Row],[QTE]]</f>
        <v>-52</v>
      </c>
      <c r="R593" s="18">
        <f t="shared" si="94"/>
        <v>10.972</v>
      </c>
      <c r="S593" s="18">
        <f t="shared" si="93"/>
        <v>10.972</v>
      </c>
      <c r="T593" s="19">
        <f t="shared" si="95"/>
        <v>0</v>
      </c>
      <c r="U593" s="16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96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4514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97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98"/>
        <v>10.972</v>
      </c>
      <c r="AV593" s="37">
        <f t="shared" si="99"/>
        <v>10.972</v>
      </c>
      <c r="AW593" s="37"/>
    </row>
    <row r="594" spans="1:49" ht="15.75" hidden="1" customHeight="1" x14ac:dyDescent="0.25">
      <c r="A594" s="1" t="s">
        <v>4476</v>
      </c>
      <c r="B594" s="21"/>
      <c r="C594" s="1">
        <v>26</v>
      </c>
      <c r="D594" s="1" t="s">
        <v>4501</v>
      </c>
      <c r="E594" s="7">
        <v>4382</v>
      </c>
      <c r="F594" s="7" t="s">
        <v>4416</v>
      </c>
      <c r="G594" s="1">
        <v>0.42299999999999999</v>
      </c>
      <c r="H594" s="34">
        <f>Tabela1[[#This Row],[PESO UNI]]*Tabela1[[#This Row],[QTE]]</f>
        <v>10.997999999999999</v>
      </c>
      <c r="I594" s="7"/>
      <c r="J594" s="8" t="s">
        <v>2551</v>
      </c>
      <c r="K594" s="8" t="s">
        <v>46</v>
      </c>
      <c r="L594" s="9" t="s">
        <v>2552</v>
      </c>
      <c r="M594" s="10"/>
      <c r="N594" s="11" t="s">
        <v>39</v>
      </c>
      <c r="O594" s="12"/>
      <c r="P594" s="13"/>
      <c r="Q594" s="14">
        <f>Tabela1[[#This Row],[QTDE/ Fabricação]]-Tabela1[[#This Row],[QTE]]</f>
        <v>-26</v>
      </c>
      <c r="R594" s="18">
        <f t="shared" si="94"/>
        <v>10.997999999999999</v>
      </c>
      <c r="S594" s="18">
        <f t="shared" si="93"/>
        <v>10.997999999999999</v>
      </c>
      <c r="T594" s="19">
        <f t="shared" si="95"/>
        <v>0</v>
      </c>
      <c r="U594" s="16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96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4514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97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98"/>
        <v>10.997999999999999</v>
      </c>
      <c r="AV594" s="37">
        <f t="shared" si="99"/>
        <v>10.997999999999999</v>
      </c>
      <c r="AW594" s="37"/>
    </row>
    <row r="595" spans="1:49" ht="15.75" hidden="1" customHeight="1" x14ac:dyDescent="0.25">
      <c r="A595" s="1" t="s">
        <v>4476</v>
      </c>
      <c r="B595" s="21"/>
      <c r="C595" s="1">
        <v>3</v>
      </c>
      <c r="D595" s="1" t="s">
        <v>4502</v>
      </c>
      <c r="E595" s="7">
        <v>4383</v>
      </c>
      <c r="F595" s="7" t="s">
        <v>4416</v>
      </c>
      <c r="G595" s="1">
        <v>3.5</v>
      </c>
      <c r="H595" s="34">
        <f>Tabela1[[#This Row],[PESO UNI]]*Tabela1[[#This Row],[QTE]]</f>
        <v>10.5</v>
      </c>
      <c r="I595" s="7"/>
      <c r="J595" s="8" t="s">
        <v>2551</v>
      </c>
      <c r="K595" s="8" t="s">
        <v>46</v>
      </c>
      <c r="L595" s="9" t="s">
        <v>2552</v>
      </c>
      <c r="M595" s="10"/>
      <c r="N595" s="11" t="s">
        <v>39</v>
      </c>
      <c r="O595" s="12"/>
      <c r="P595" s="13"/>
      <c r="Q595" s="14">
        <f>Tabela1[[#This Row],[QTDE/ Fabricação]]-Tabela1[[#This Row],[QTE]]</f>
        <v>-3</v>
      </c>
      <c r="R595" s="18">
        <f t="shared" si="94"/>
        <v>10.5</v>
      </c>
      <c r="S595" s="18">
        <f t="shared" si="93"/>
        <v>10.5</v>
      </c>
      <c r="T595" s="19">
        <f t="shared" si="95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96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4514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97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98"/>
        <v>10.5</v>
      </c>
      <c r="AV595" s="37">
        <f t="shared" si="99"/>
        <v>10.5</v>
      </c>
      <c r="AW595" s="37"/>
    </row>
    <row r="596" spans="1:49" ht="15.75" hidden="1" customHeight="1" x14ac:dyDescent="0.25">
      <c r="A596" s="1" t="s">
        <v>4476</v>
      </c>
      <c r="B596" s="21"/>
      <c r="C596" s="1">
        <v>20</v>
      </c>
      <c r="D596" s="1" t="s">
        <v>4503</v>
      </c>
      <c r="E596" s="7">
        <v>4384</v>
      </c>
      <c r="F596" s="7" t="s">
        <v>4416</v>
      </c>
      <c r="G596" s="1">
        <v>0.3</v>
      </c>
      <c r="H596" s="34">
        <f>Tabela1[[#This Row],[PESO UNI]]*Tabela1[[#This Row],[QTE]]</f>
        <v>6</v>
      </c>
      <c r="I596" s="7"/>
      <c r="J596" s="8" t="s">
        <v>2551</v>
      </c>
      <c r="K596" s="8" t="s">
        <v>46</v>
      </c>
      <c r="L596" s="9" t="s">
        <v>2552</v>
      </c>
      <c r="M596" s="10"/>
      <c r="N596" s="11" t="s">
        <v>39</v>
      </c>
      <c r="O596" s="12"/>
      <c r="P596" s="13"/>
      <c r="Q596" s="14">
        <f>Tabela1[[#This Row],[QTDE/ Fabricação]]-Tabela1[[#This Row],[QTE]]</f>
        <v>-20</v>
      </c>
      <c r="R596" s="18">
        <f t="shared" si="94"/>
        <v>6</v>
      </c>
      <c r="S596" s="18">
        <f t="shared" si="93"/>
        <v>6</v>
      </c>
      <c r="T596" s="19">
        <f t="shared" si="95"/>
        <v>0</v>
      </c>
      <c r="U596" s="16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96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4514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97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98"/>
        <v>6</v>
      </c>
      <c r="AV596" s="37">
        <f t="shared" si="99"/>
        <v>6</v>
      </c>
      <c r="AW596" s="37"/>
    </row>
    <row r="597" spans="1:49" ht="15.75" hidden="1" customHeight="1" x14ac:dyDescent="0.25">
      <c r="A597" s="1" t="s">
        <v>4476</v>
      </c>
      <c r="B597" s="21"/>
      <c r="C597" s="1">
        <v>6</v>
      </c>
      <c r="D597" s="1" t="s">
        <v>4504</v>
      </c>
      <c r="E597" s="7">
        <v>4385</v>
      </c>
      <c r="F597" s="7" t="s">
        <v>4416</v>
      </c>
      <c r="G597" s="1">
        <v>0.01</v>
      </c>
      <c r="H597" s="34">
        <f>Tabela1[[#This Row],[PESO UNI]]*Tabela1[[#This Row],[QTE]]</f>
        <v>0.06</v>
      </c>
      <c r="I597" s="7"/>
      <c r="J597" s="8" t="s">
        <v>2551</v>
      </c>
      <c r="K597" s="8" t="s">
        <v>46</v>
      </c>
      <c r="L597" s="9" t="s">
        <v>2552</v>
      </c>
      <c r="M597" s="10"/>
      <c r="N597" s="11" t="s">
        <v>39</v>
      </c>
      <c r="O597" s="12"/>
      <c r="P597" s="13"/>
      <c r="Q597" s="14">
        <f>Tabela1[[#This Row],[QTDE/ Fabricação]]-Tabela1[[#This Row],[QTE]]</f>
        <v>-6</v>
      </c>
      <c r="R597" s="18">
        <f t="shared" si="94"/>
        <v>0.06</v>
      </c>
      <c r="S597" s="18">
        <f t="shared" si="93"/>
        <v>0.06</v>
      </c>
      <c r="T597" s="19">
        <f t="shared" si="95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96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4514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97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98"/>
        <v>0.06</v>
      </c>
      <c r="AV597" s="37">
        <f t="shared" si="99"/>
        <v>0.06</v>
      </c>
      <c r="AW597" s="37"/>
    </row>
    <row r="598" spans="1:49" ht="15.75" hidden="1" customHeight="1" x14ac:dyDescent="0.25">
      <c r="A598" s="1" t="s">
        <v>4476</v>
      </c>
      <c r="B598" s="21"/>
      <c r="C598" s="1">
        <v>3</v>
      </c>
      <c r="D598" s="1" t="s">
        <v>4505</v>
      </c>
      <c r="E598" s="7">
        <v>4386</v>
      </c>
      <c r="F598" s="7" t="s">
        <v>4416</v>
      </c>
      <c r="G598" s="1">
        <v>0.02</v>
      </c>
      <c r="H598" s="34">
        <f>Tabela1[[#This Row],[PESO UNI]]*Tabela1[[#This Row],[QTE]]</f>
        <v>0.06</v>
      </c>
      <c r="I598" s="7"/>
      <c r="J598" s="8" t="s">
        <v>2551</v>
      </c>
      <c r="K598" s="8" t="s">
        <v>46</v>
      </c>
      <c r="L598" s="9" t="s">
        <v>2552</v>
      </c>
      <c r="M598" s="10"/>
      <c r="N598" s="11" t="s">
        <v>39</v>
      </c>
      <c r="O598" s="12"/>
      <c r="P598" s="13"/>
      <c r="Q598" s="14">
        <f>Tabela1[[#This Row],[QTDE/ Fabricação]]-Tabela1[[#This Row],[QTE]]</f>
        <v>-3</v>
      </c>
      <c r="R598" s="18">
        <f t="shared" si="94"/>
        <v>0.06</v>
      </c>
      <c r="S598" s="18">
        <f t="shared" si="93"/>
        <v>0.06</v>
      </c>
      <c r="T598" s="19">
        <f t="shared" si="95"/>
        <v>0</v>
      </c>
      <c r="U598" s="16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96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4514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97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98"/>
        <v>0.06</v>
      </c>
      <c r="AV598" s="37">
        <f t="shared" si="99"/>
        <v>0.06</v>
      </c>
      <c r="AW598" s="37"/>
    </row>
    <row r="599" spans="1:49" ht="15.75" hidden="1" customHeight="1" x14ac:dyDescent="0.25">
      <c r="A599" s="1" t="s">
        <v>4476</v>
      </c>
      <c r="B599" s="21"/>
      <c r="C599" s="1">
        <v>6</v>
      </c>
      <c r="D599" s="1" t="s">
        <v>4506</v>
      </c>
      <c r="E599" s="7">
        <v>4387</v>
      </c>
      <c r="F599" s="7" t="s">
        <v>4416</v>
      </c>
      <c r="G599" s="1">
        <v>0.01</v>
      </c>
      <c r="H599" s="34">
        <f>Tabela1[[#This Row],[PESO UNI]]*Tabela1[[#This Row],[QTE]]</f>
        <v>0.06</v>
      </c>
      <c r="I599" s="7"/>
      <c r="J599" s="8" t="s">
        <v>2551</v>
      </c>
      <c r="K599" s="8" t="s">
        <v>46</v>
      </c>
      <c r="L599" s="9" t="s">
        <v>2552</v>
      </c>
      <c r="M599" s="10"/>
      <c r="N599" s="11" t="s">
        <v>39</v>
      </c>
      <c r="O599" s="12"/>
      <c r="P599" s="13"/>
      <c r="Q599" s="14">
        <f>Tabela1[[#This Row],[QTDE/ Fabricação]]-Tabela1[[#This Row],[QTE]]</f>
        <v>-6</v>
      </c>
      <c r="R599" s="18">
        <f t="shared" si="94"/>
        <v>0.06</v>
      </c>
      <c r="S599" s="18">
        <f t="shared" si="93"/>
        <v>0.06</v>
      </c>
      <c r="T599" s="19">
        <f t="shared" si="95"/>
        <v>0</v>
      </c>
      <c r="U599" s="16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96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4514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97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98"/>
        <v>0.06</v>
      </c>
      <c r="AV599" s="37">
        <f t="shared" si="99"/>
        <v>0.06</v>
      </c>
      <c r="AW599" s="37"/>
    </row>
    <row r="600" spans="1:49" ht="15.75" hidden="1" customHeight="1" x14ac:dyDescent="0.25">
      <c r="A600" s="1" t="s">
        <v>4476</v>
      </c>
      <c r="B600" s="21"/>
      <c r="C600" s="1">
        <v>15</v>
      </c>
      <c r="D600" s="1" t="s">
        <v>4507</v>
      </c>
      <c r="E600" s="7">
        <v>4388</v>
      </c>
      <c r="F600" s="7" t="s">
        <v>4416</v>
      </c>
      <c r="G600" s="1">
        <v>0.34599999999999997</v>
      </c>
      <c r="H600" s="34">
        <f>Tabela1[[#This Row],[PESO UNI]]*Tabela1[[#This Row],[QTE]]</f>
        <v>5.1899999999999995</v>
      </c>
      <c r="I600" s="7"/>
      <c r="J600" s="8" t="s">
        <v>2551</v>
      </c>
      <c r="K600" s="8" t="s">
        <v>46</v>
      </c>
      <c r="L600" s="9" t="s">
        <v>2552</v>
      </c>
      <c r="M600" s="10"/>
      <c r="N600" s="11" t="s">
        <v>39</v>
      </c>
      <c r="O600" s="12"/>
      <c r="P600" s="13"/>
      <c r="Q600" s="14">
        <f>Tabela1[[#This Row],[QTDE/ Fabricação]]-Tabela1[[#This Row],[QTE]]</f>
        <v>-15</v>
      </c>
      <c r="R600" s="18">
        <f t="shared" si="94"/>
        <v>5.1899999999999995</v>
      </c>
      <c r="S600" s="18">
        <f t="shared" si="93"/>
        <v>5.1899999999999995</v>
      </c>
      <c r="T600" s="19">
        <f t="shared" si="95"/>
        <v>0</v>
      </c>
      <c r="U600" s="16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96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4514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97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98"/>
        <v>5.1899999999999995</v>
      </c>
      <c r="AV600" s="37">
        <f t="shared" si="99"/>
        <v>5.1899999999999995</v>
      </c>
      <c r="AW600" s="37"/>
    </row>
    <row r="601" spans="1:49" ht="15.75" hidden="1" customHeight="1" x14ac:dyDescent="0.25">
      <c r="A601" s="1" t="s">
        <v>4476</v>
      </c>
      <c r="B601" s="21"/>
      <c r="C601" s="1">
        <v>12</v>
      </c>
      <c r="D601" s="1" t="s">
        <v>4508</v>
      </c>
      <c r="E601" s="7">
        <v>4389</v>
      </c>
      <c r="F601" s="7" t="s">
        <v>4416</v>
      </c>
      <c r="G601" s="1">
        <v>0.11700000000000001</v>
      </c>
      <c r="H601" s="34">
        <f>Tabela1[[#This Row],[PESO UNI]]*Tabela1[[#This Row],[QTE]]</f>
        <v>1.4040000000000001</v>
      </c>
      <c r="I601" s="7"/>
      <c r="J601" s="8" t="s">
        <v>2551</v>
      </c>
      <c r="K601" s="8" t="s">
        <v>46</v>
      </c>
      <c r="L601" s="9" t="s">
        <v>2552</v>
      </c>
      <c r="M601" s="10"/>
      <c r="N601" s="11" t="s">
        <v>39</v>
      </c>
      <c r="O601" s="12"/>
      <c r="P601" s="13"/>
      <c r="Q601" s="14">
        <f>Tabela1[[#This Row],[QTDE/ Fabricação]]-Tabela1[[#This Row],[QTE]]</f>
        <v>-12</v>
      </c>
      <c r="R601" s="18">
        <f t="shared" si="94"/>
        <v>1.4040000000000001</v>
      </c>
      <c r="S601" s="18">
        <f t="shared" si="93"/>
        <v>1.4040000000000001</v>
      </c>
      <c r="T601" s="19">
        <f t="shared" si="95"/>
        <v>0</v>
      </c>
      <c r="U601" s="16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96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4514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97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98"/>
        <v>1.4040000000000001</v>
      </c>
      <c r="AV601" s="37">
        <f t="shared" si="99"/>
        <v>1.4040000000000001</v>
      </c>
      <c r="AW601" s="37"/>
    </row>
    <row r="602" spans="1:49" ht="15.75" hidden="1" customHeight="1" x14ac:dyDescent="0.25">
      <c r="A602" s="1" t="s">
        <v>4464</v>
      </c>
      <c r="B602" s="21"/>
      <c r="C602" s="1">
        <v>4</v>
      </c>
      <c r="D602" s="1" t="s">
        <v>4509</v>
      </c>
      <c r="E602" s="7">
        <v>4390</v>
      </c>
      <c r="F602" s="7" t="s">
        <v>4416</v>
      </c>
      <c r="G602" s="1">
        <v>1</v>
      </c>
      <c r="H602" s="34">
        <f>Tabela1[[#This Row],[PESO UNI]]*Tabela1[[#This Row],[QTE]]</f>
        <v>4</v>
      </c>
      <c r="I602" s="7"/>
      <c r="J602" s="8" t="s">
        <v>2551</v>
      </c>
      <c r="K602" s="8" t="s">
        <v>46</v>
      </c>
      <c r="L602" s="9" t="s">
        <v>2552</v>
      </c>
      <c r="M602" s="10"/>
      <c r="N602" s="11" t="s">
        <v>39</v>
      </c>
      <c r="O602" s="12"/>
      <c r="P602" s="13"/>
      <c r="Q602" s="14">
        <f>Tabela1[[#This Row],[QTDE/ Fabricação]]-Tabela1[[#This Row],[QTE]]</f>
        <v>-4</v>
      </c>
      <c r="R602" s="18">
        <f t="shared" si="94"/>
        <v>4</v>
      </c>
      <c r="S602" s="18">
        <f t="shared" si="93"/>
        <v>4</v>
      </c>
      <c r="T602" s="19">
        <f t="shared" si="95"/>
        <v>0</v>
      </c>
      <c r="U602" s="16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96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4514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97"/>
        <v>P-073057-1/P190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98"/>
        <v>4</v>
      </c>
      <c r="AV602" s="37">
        <f t="shared" si="99"/>
        <v>4</v>
      </c>
      <c r="AW602" s="37"/>
    </row>
    <row r="603" spans="1:49" ht="15.75" hidden="1" customHeight="1" x14ac:dyDescent="0.25">
      <c r="A603" s="1" t="s">
        <v>4476</v>
      </c>
      <c r="B603" s="21"/>
      <c r="C603" s="1">
        <v>1</v>
      </c>
      <c r="D603" s="1" t="s">
        <v>4510</v>
      </c>
      <c r="E603" s="7">
        <v>4391</v>
      </c>
      <c r="F603" s="7" t="s">
        <v>4416</v>
      </c>
      <c r="G603" s="1">
        <v>1.2</v>
      </c>
      <c r="H603" s="34">
        <f>Tabela1[[#This Row],[PESO UNI]]*Tabela1[[#This Row],[QTE]]</f>
        <v>1.2</v>
      </c>
      <c r="I603" s="7"/>
      <c r="J603" s="8" t="s">
        <v>2551</v>
      </c>
      <c r="K603" s="8" t="s">
        <v>46</v>
      </c>
      <c r="L603" s="9" t="s">
        <v>2552</v>
      </c>
      <c r="M603" s="10"/>
      <c r="N603" s="11" t="s">
        <v>39</v>
      </c>
      <c r="O603" s="12"/>
      <c r="P603" s="13"/>
      <c r="Q603" s="14">
        <f>Tabela1[[#This Row],[QTDE/ Fabricação]]-Tabela1[[#This Row],[QTE]]</f>
        <v>-1</v>
      </c>
      <c r="R603" s="18">
        <f t="shared" si="94"/>
        <v>1.2</v>
      </c>
      <c r="S603" s="18">
        <f t="shared" si="93"/>
        <v>1.2</v>
      </c>
      <c r="T603" s="19">
        <f t="shared" si="95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96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4514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97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98"/>
        <v>1.2</v>
      </c>
      <c r="AV603" s="37">
        <f t="shared" si="99"/>
        <v>1.2</v>
      </c>
      <c r="AW603" s="37"/>
    </row>
    <row r="604" spans="1:49" ht="15.75" hidden="1" customHeight="1" x14ac:dyDescent="0.25">
      <c r="A604" s="1" t="s">
        <v>4476</v>
      </c>
      <c r="B604" s="21"/>
      <c r="C604" s="1">
        <v>1</v>
      </c>
      <c r="D604" s="1" t="s">
        <v>4452</v>
      </c>
      <c r="E604" s="7">
        <v>4392</v>
      </c>
      <c r="F604" s="7" t="s">
        <v>4416</v>
      </c>
      <c r="G604" s="1">
        <v>2.5</v>
      </c>
      <c r="H604" s="34">
        <f>Tabela1[[#This Row],[PESO UNI]]*Tabela1[[#This Row],[QTE]]</f>
        <v>2.5</v>
      </c>
      <c r="I604" s="7"/>
      <c r="J604" s="8" t="s">
        <v>2551</v>
      </c>
      <c r="K604" s="8" t="s">
        <v>46</v>
      </c>
      <c r="L604" s="9" t="s">
        <v>2552</v>
      </c>
      <c r="M604" s="10"/>
      <c r="N604" s="11" t="s">
        <v>39</v>
      </c>
      <c r="O604" s="12"/>
      <c r="P604" s="13"/>
      <c r="Q604" s="14">
        <f>Tabela1[[#This Row],[QTDE/ Fabricação]]-Tabela1[[#This Row],[QTE]]</f>
        <v>-1</v>
      </c>
      <c r="R604" s="18">
        <f t="shared" si="94"/>
        <v>2.5</v>
      </c>
      <c r="S604" s="18">
        <f t="shared" si="93"/>
        <v>2.5</v>
      </c>
      <c r="T604" s="19">
        <f t="shared" si="95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96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4514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97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98"/>
        <v>2.5</v>
      </c>
      <c r="AV604" s="37">
        <f t="shared" si="99"/>
        <v>2.5</v>
      </c>
      <c r="AW604" s="37"/>
    </row>
    <row r="605" spans="1:49" ht="15.75" hidden="1" customHeight="1" x14ac:dyDescent="0.25">
      <c r="A605" s="1" t="s">
        <v>4511</v>
      </c>
      <c r="B605" s="21"/>
      <c r="C605" s="1">
        <v>1</v>
      </c>
      <c r="D605" s="1" t="s">
        <v>4512</v>
      </c>
      <c r="E605" s="7">
        <v>4393</v>
      </c>
      <c r="F605" s="7" t="s">
        <v>4416</v>
      </c>
      <c r="G605" s="1">
        <v>120</v>
      </c>
      <c r="H605" s="34">
        <f>Tabela1[[#This Row],[PESO UNI]]*Tabela1[[#This Row],[QTE]]</f>
        <v>120</v>
      </c>
      <c r="I605" s="7"/>
      <c r="J605" s="8" t="s">
        <v>2551</v>
      </c>
      <c r="K605" s="8" t="s">
        <v>46</v>
      </c>
      <c r="L605" s="9" t="s">
        <v>2552</v>
      </c>
      <c r="M605" s="10"/>
      <c r="N605" s="11" t="s">
        <v>39</v>
      </c>
      <c r="O605" s="12"/>
      <c r="P605" s="13"/>
      <c r="Q605" s="14">
        <f>Tabela1[[#This Row],[QTDE/ Fabricação]]-Tabela1[[#This Row],[QTE]]</f>
        <v>-1</v>
      </c>
      <c r="R605" s="18">
        <f t="shared" si="94"/>
        <v>120</v>
      </c>
      <c r="S605" s="18">
        <f t="shared" si="93"/>
        <v>120</v>
      </c>
      <c r="T605" s="19">
        <f t="shared" si="95"/>
        <v>0</v>
      </c>
      <c r="U605" s="16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96"/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4514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97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2" t="str">
        <f>Tabela1[[#This Row],[PRODUTO]]&amp;Tabela1[[#This Row],[TAG]]</f>
        <v>COMERCIALP190</v>
      </c>
      <c r="AR605" s="24" t="str">
        <f>Tabela1[[#This Row],[PEDIDO]]&amp;Tabela1[[#This Row],[PRODUTO]]</f>
        <v>P-190COMERCIAL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98"/>
        <v>120</v>
      </c>
      <c r="AV605" s="37">
        <f t="shared" si="99"/>
        <v>120</v>
      </c>
      <c r="AW605" s="37"/>
    </row>
    <row r="606" spans="1:49" ht="15.75" hidden="1" customHeight="1" x14ac:dyDescent="0.25">
      <c r="A606" s="1" t="s">
        <v>4511</v>
      </c>
      <c r="B606" s="21"/>
      <c r="C606" s="1">
        <v>1</v>
      </c>
      <c r="D606" s="1" t="s">
        <v>4513</v>
      </c>
      <c r="E606" s="7">
        <v>4394</v>
      </c>
      <c r="F606" s="7" t="s">
        <v>4416</v>
      </c>
      <c r="G606" s="1">
        <v>0.5</v>
      </c>
      <c r="H606" s="34">
        <f>Tabela1[[#This Row],[PESO UNI]]*Tabela1[[#This Row],[QTE]]</f>
        <v>0.5</v>
      </c>
      <c r="I606" s="7"/>
      <c r="J606" s="8" t="s">
        <v>2551</v>
      </c>
      <c r="K606" s="8" t="s">
        <v>46</v>
      </c>
      <c r="L606" s="9" t="s">
        <v>2552</v>
      </c>
      <c r="M606" s="10"/>
      <c r="N606" s="11" t="s">
        <v>39</v>
      </c>
      <c r="O606" s="12"/>
      <c r="P606" s="13"/>
      <c r="Q606" s="14">
        <f>Tabela1[[#This Row],[QTDE/ Fabricação]]-Tabela1[[#This Row],[QTE]]</f>
        <v>-1</v>
      </c>
      <c r="R606" s="18">
        <f t="shared" si="94"/>
        <v>0.5</v>
      </c>
      <c r="S606" s="18">
        <f t="shared" si="93"/>
        <v>0.5</v>
      </c>
      <c r="T606" s="19">
        <f t="shared" si="95"/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96"/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4514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97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2" t="str">
        <f>Tabela1[[#This Row],[PRODUTO]]&amp;Tabela1[[#This Row],[TAG]]</f>
        <v>COMERCIALP190</v>
      </c>
      <c r="AR606" s="24" t="str">
        <f>Tabela1[[#This Row],[PEDIDO]]&amp;Tabela1[[#This Row],[PRODUTO]]</f>
        <v>P-190COMERCIAL</v>
      </c>
      <c r="AS606" s="37">
        <f>IF(AF606="",0,IF(ISTEXT(AF606),H606*VALUE(SUBSTITUTE(AF606,"%",""))/100,H606*AF606))-Tabela1[[#This Row],[PRONTO ACABADO2]]</f>
        <v>0</v>
      </c>
      <c r="AT606" s="37">
        <f>IF(AG606="",0,IF(ISTEXT(AG606),H606*VALUE(SUBSTITUTE(AG606,"%",""))/100,H606*AG606))-Tabela1[[#This Row],[PESO EXPEDIDO2]]</f>
        <v>0</v>
      </c>
      <c r="AU606" s="37">
        <f t="shared" si="98"/>
        <v>0.5</v>
      </c>
      <c r="AV606" s="37">
        <f t="shared" si="99"/>
        <v>0.5</v>
      </c>
      <c r="AW606" s="37"/>
    </row>
    <row r="607" spans="1:49" ht="15.75" hidden="1" customHeight="1" x14ac:dyDescent="0.25">
      <c r="A607" s="6" t="s">
        <v>4516</v>
      </c>
      <c r="B607" s="21" t="s">
        <v>4517</v>
      </c>
      <c r="C607" s="7">
        <v>1</v>
      </c>
      <c r="D607" s="39" t="s">
        <v>4518</v>
      </c>
      <c r="E607" s="7">
        <v>4395</v>
      </c>
      <c r="F607" s="7">
        <v>36</v>
      </c>
      <c r="G607" s="37">
        <v>748.2</v>
      </c>
      <c r="H607" s="34">
        <f>Tabela1[[#This Row],[PESO UNI]]*Tabela1[[#This Row],[QTE]]</f>
        <v>748.2</v>
      </c>
      <c r="I607" s="7">
        <v>0</v>
      </c>
      <c r="J607" s="8" t="s">
        <v>3046</v>
      </c>
      <c r="K607" s="8" t="s">
        <v>31</v>
      </c>
      <c r="L607" s="9" t="s">
        <v>2985</v>
      </c>
      <c r="M607" s="10">
        <v>46220</v>
      </c>
      <c r="N607" s="8" t="s">
        <v>39</v>
      </c>
      <c r="O607" s="12"/>
      <c r="P607" s="13"/>
      <c r="Q607" s="14">
        <f>Tabela1[[#This Row],[QTDE/ Fabricação]]-Tabela1[[#This Row],[QTE]]</f>
        <v>-1</v>
      </c>
      <c r="R607" s="18">
        <f t="shared" si="94"/>
        <v>0</v>
      </c>
      <c r="S607" s="18">
        <f t="shared" si="93"/>
        <v>0</v>
      </c>
      <c r="T607" s="19">
        <f t="shared" si="95"/>
        <v>-748.2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96"/>
        <v>-1</v>
      </c>
      <c r="Z607" s="20">
        <f>Tabela1[[#This Row],[PESO TOTAL]]-Tabela1[[#This Row],[Peso Expedido]]</f>
        <v>748.2</v>
      </c>
      <c r="AA607" s="17"/>
      <c r="AB607" s="33"/>
      <c r="AC607" s="33"/>
      <c r="AD607" s="33"/>
      <c r="AE607" s="33"/>
      <c r="AF607" s="33"/>
      <c r="AG607" s="33"/>
      <c r="AH607" s="33"/>
      <c r="AI607" s="33" t="str">
        <f t="shared" ref="AI607" si="100">IF(Z607&lt;=0,"ok","")</f>
        <v/>
      </c>
      <c r="AJ607"/>
      <c r="AK607" t="str">
        <f>Tabela1[[#This Row],[Coluna1]]&amp;Tabela1[[#This Row],[PEDIDO]]</f>
        <v>P-198</v>
      </c>
      <c r="AL607"/>
      <c r="AM607"/>
      <c r="AN607"/>
      <c r="AO607" t="str">
        <f t="shared" si="97"/>
        <v>T-073245-1/14-CV-0001</v>
      </c>
      <c r="AP607" t="str">
        <f>Tabela1[[#This Row],[TAG]]&amp;Tabela1[[#This Row],[PEDIDO]]&amp;Tabela1[[#This Row],[PRODUTO]]</f>
        <v>14-CV-0001P-198ESTRUTURA</v>
      </c>
      <c r="AQ607" s="22" t="str">
        <f>Tabela1[[#This Row],[PRODUTO]]&amp;Tabela1[[#This Row],[TAG]]</f>
        <v>ESTRUTURA14-CV-0001</v>
      </c>
      <c r="AR607" s="24" t="str">
        <f>Tabela1[[#This Row],[PEDIDO]]&amp;Tabela1[[#This Row],[PRODUTO]]</f>
        <v>P-198ESTRUTURA</v>
      </c>
      <c r="AS607" s="37">
        <f>IF(AF607="",0,IF(ISTEXT(AF607),H607*VALUE(SUBSTITUTE(AF607,"%",""))/100,H607*AF607))-Tabela1[[#This Row],[PRONTO ACABADO2]]</f>
        <v>0</v>
      </c>
      <c r="AT607" s="37">
        <f>IF(AG607="",0,IF(ISTEXT(AG607),H607*VALUE(SUBSTITUTE(AG607,"%",""))/100,H607*AG607))-Tabela1[[#This Row],[PESO EXPEDIDO2]]</f>
        <v>0</v>
      </c>
      <c r="AU607" s="37">
        <f t="shared" si="98"/>
        <v>0</v>
      </c>
      <c r="AV607" s="37">
        <f t="shared" si="99"/>
        <v>0</v>
      </c>
      <c r="AW607" s="37"/>
    </row>
    <row r="608" spans="1:49" ht="15.75" hidden="1" customHeight="1" x14ac:dyDescent="0.25">
      <c r="A608" s="1" t="s">
        <v>2553</v>
      </c>
      <c r="B608" s="196"/>
      <c r="C608" s="198">
        <v>47</v>
      </c>
      <c r="D608" s="209" t="s">
        <v>3738</v>
      </c>
      <c r="E608" s="195" t="s">
        <v>4451</v>
      </c>
      <c r="F608" s="198" t="s">
        <v>4416</v>
      </c>
      <c r="G608" s="199">
        <v>121.38</v>
      </c>
      <c r="H608" s="34">
        <f>Tabela1[[#This Row],[PESO UNI]]*Tabela1[[#This Row],[QTE]]</f>
        <v>5704.86</v>
      </c>
      <c r="I608" s="199">
        <v>0</v>
      </c>
      <c r="J608" s="8" t="s">
        <v>2551</v>
      </c>
      <c r="K608" s="8" t="s">
        <v>4325</v>
      </c>
      <c r="L608" s="9" t="s">
        <v>2552</v>
      </c>
      <c r="M608" s="200"/>
      <c r="N608" s="206"/>
      <c r="O608" s="201"/>
      <c r="P608" s="202"/>
      <c r="Q608" s="14">
        <f>Tabela1[[#This Row],[QTDE/ Fabricação]]-Tabela1[[#This Row],[QTE]]</f>
        <v>-47</v>
      </c>
      <c r="R608" s="18">
        <f t="shared" ref="R608" si="101">IFERROR(H608*((AA608*0.25)+(AC608*0.25)+(AD608*0.225)+(AE608*0.225)+(AF608*0.05)),"")</f>
        <v>5704.86</v>
      </c>
      <c r="S608" s="158">
        <f>IFERROR(H608*AG608,"")</f>
        <v>5704.86</v>
      </c>
      <c r="T608" s="19">
        <f t="shared" ref="T608" si="102">IFERROR(S608-H608,"")</f>
        <v>0</v>
      </c>
      <c r="U608" s="16">
        <f>IFERROR(SUMIF('LISTA DE EMBARQUE'!B:B,MICRO!E:E,'LISTA DE EMBARQUE'!G:G),"")</f>
        <v>47</v>
      </c>
      <c r="V608" s="12">
        <f>IFERROR(VLOOKUP(Tabela1[[#This Row],[COD.MDE]],'LISTA DE EMBARQUE'!B:L,11,0),"")</f>
        <v>1</v>
      </c>
      <c r="W608" s="13" t="str">
        <f>IFERROR(COUNTIF(#REF!,Tabela1[[#This Row],[Colunas5]]),"")</f>
        <v/>
      </c>
      <c r="X608" s="14">
        <f>Tabela1[[#This Row],[QIANTIDADE EXPEDIDA]]*Tabela1[[#This Row],[PESO UNI]]</f>
        <v>5704.86</v>
      </c>
      <c r="Y608" s="14">
        <f t="shared" ref="Y608" si="103">U608-C608</f>
        <v>0</v>
      </c>
      <c r="Z608" s="20">
        <f>Tabela1[[#This Row],[PESO TOTAL]]-Tabela1[[#This Row],[Peso Expedido]]</f>
        <v>0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>
        <v>1</v>
      </c>
      <c r="AI608" s="33" t="s">
        <v>4514</v>
      </c>
      <c r="AQ608" s="203"/>
      <c r="AR608" s="158"/>
      <c r="AS608" s="158"/>
      <c r="AT608" s="158"/>
      <c r="AU608" s="158"/>
      <c r="AV608" s="158"/>
      <c r="AW608" s="158"/>
    </row>
  </sheetData>
  <phoneticPr fontId="6" type="noConversion"/>
  <conditionalFormatting sqref="H579">
    <cfRule type="expression" dxfId="43" priority="26822">
      <formula>$AI607="OK"</formula>
    </cfRule>
  </conditionalFormatting>
  <conditionalFormatting sqref="J608">
    <cfRule type="expression" dxfId="42" priority="62">
      <formula>$AI608="OK"</formula>
    </cfRule>
  </conditionalFormatting>
  <conditionalFormatting sqref="K154:K439">
    <cfRule type="expression" dxfId="41" priority="71">
      <formula>#REF!="OK"</formula>
    </cfRule>
  </conditionalFormatting>
  <conditionalFormatting sqref="K559:K608">
    <cfRule type="expression" dxfId="40" priority="66">
      <formula>#REF!="OK"</formula>
    </cfRule>
  </conditionalFormatting>
  <conditionalFormatting sqref="L2:L27">
    <cfRule type="expression" dxfId="39" priority="26598">
      <formula>$AI33="OK"</formula>
    </cfRule>
  </conditionalFormatting>
  <conditionalFormatting sqref="L215:L257 L397:L409">
    <cfRule type="expression" dxfId="38" priority="26535">
      <formula>$AI258="OK"</formula>
    </cfRule>
  </conditionalFormatting>
  <conditionalFormatting sqref="L410:L439 L451:L452">
    <cfRule type="expression" dxfId="37" priority="26700">
      <formula>$AI462="OK"</formula>
    </cfRule>
  </conditionalFormatting>
  <conditionalFormatting sqref="L608">
    <cfRule type="expression" dxfId="36" priority="65">
      <formula>$AI608="OK"</formula>
    </cfRule>
  </conditionalFormatting>
  <conditionalFormatting sqref="N2:N461 K446:K461 N607">
    <cfRule type="expression" dxfId="35" priority="26388">
      <formula>#REF!="OK"</formula>
    </cfRule>
  </conditionalFormatting>
  <conditionalFormatting sqref="N559:N606">
    <cfRule type="expression" dxfId="34" priority="2">
      <formula>$AI559="OK"</formula>
    </cfRule>
  </conditionalFormatting>
  <conditionalFormatting sqref="O453:O461">
    <cfRule type="cellIs" dxfId="33" priority="17" operator="lessThan">
      <formula>0</formula>
    </cfRule>
    <cfRule type="cellIs" dxfId="32" priority="18" operator="greaterThanOrEqual">
      <formula>0</formula>
    </cfRule>
  </conditionalFormatting>
  <conditionalFormatting sqref="O456:P456">
    <cfRule type="expression" dxfId="31" priority="28">
      <formula>#REF!="OK"</formula>
    </cfRule>
  </conditionalFormatting>
  <conditionalFormatting sqref="O2:Z27 A2:D27 F2:F27 H2:K27 M2:M27 H154:H420 H462:H574">
    <cfRule type="expression" dxfId="30" priority="26631">
      <formula>$AI34="OK"</formula>
    </cfRule>
  </conditionalFormatting>
  <conditionalFormatting sqref="O562:Z565 Z563:Z566 B562:B565 F562:F565 I562:I565 M562:M565 H575:H578">
    <cfRule type="expression" dxfId="29" priority="26785">
      <formula>#REF!="OK"</formula>
    </cfRule>
  </conditionalFormatting>
  <conditionalFormatting sqref="O566:Z566 H421:H439 B566 F566 I566 M566">
    <cfRule type="expression" dxfId="28" priority="26699">
      <formula>$AI462="OK"</formula>
    </cfRule>
  </conditionalFormatting>
  <conditionalFormatting sqref="O567:Z607 B567:B606 I567:I606 M567:M606 F567:F607 H580:H606 A607:D607 H607:J607 L607:M607">
    <cfRule type="expression" dxfId="27" priority="26824">
      <formula>#REF!="OK"</formula>
    </cfRule>
  </conditionalFormatting>
  <conditionalFormatting sqref="Q2:Q459 Q462:Q608">
    <cfRule type="cellIs" dxfId="26" priority="26297" operator="lessThan">
      <formula>0</formula>
    </cfRule>
    <cfRule type="cellIs" dxfId="25" priority="26298" operator="greaterThanOrEqual">
      <formula>0</formula>
    </cfRule>
  </conditionalFormatting>
  <conditionalFormatting sqref="S212">
    <cfRule type="expression" dxfId="24" priority="69">
      <formula>#REF!="OK"</formula>
    </cfRule>
  </conditionalFormatting>
  <conditionalFormatting sqref="S213:S256">
    <cfRule type="expression" dxfId="23" priority="68">
      <formula>$AI257="OK"</formula>
    </cfRule>
  </conditionalFormatting>
  <conditionalFormatting sqref="S394">
    <cfRule type="expression" dxfId="22" priority="70">
      <formula>#REF!="OK"</formula>
    </cfRule>
  </conditionalFormatting>
  <conditionalFormatting sqref="S449:Z449 O449:Q449 A449:D449 F449 J449 M449 L450:L452 A456:D456 F456 M456 L457:L461">
    <cfRule type="expression" dxfId="21" priority="26655">
      <formula>#REF!="OK"</formula>
    </cfRule>
  </conditionalFormatting>
  <conditionalFormatting sqref="T2:T608 Y2:Z608">
    <cfRule type="cellIs" dxfId="20" priority="26300" operator="greaterThanOrEqual">
      <formula>0</formula>
    </cfRule>
  </conditionalFormatting>
  <conditionalFormatting sqref="T28:Z212 T258:Z394 O503:Z561 T608:Z608 O28:R212 O258:R394 Q608:R608 H28:K153 S28:S211 A28:D212 F28:F212 M28:M212 I154:J212 S257:S393 A258:D394 F258:F394 I258:J394 M258:M394 B559:B561 F559:F561 I559:I561 M559:M561 H608">
    <cfRule type="expression" dxfId="19" priority="26329">
      <formula>$AI73="OK"</formula>
    </cfRule>
  </conditionalFormatting>
  <conditionalFormatting sqref="T213:Z213 O213:R213 A213:D213 F213 I213:J213 M213">
    <cfRule type="expression" dxfId="18" priority="26509">
      <formula>#REF!="OK"</formula>
    </cfRule>
  </conditionalFormatting>
  <conditionalFormatting sqref="T214:Z257 T396:Z406 O407:Z408 O462:Z502 Z503:Z504 Z508:Z518 Z520:Z521 Z530 Z542:Z543 Z548 Z552 Z559:Z562 Z608 O214:R257 O396:R406 L28:L214 A214:D257 F214:F257 I214:J257 M214:M257 L258:L395 S395:S406 A396:D408 F396:F408 I396:J408 M396:M408">
    <cfRule type="expression" dxfId="17" priority="26397">
      <formula>$AI72="OK"</formula>
    </cfRule>
  </conditionalFormatting>
  <conditionalFormatting sqref="T395:Z395 O395:R395 A395:D395 F395 I395:J395 M395 L396">
    <cfRule type="expression" dxfId="16" priority="26560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U453:U461 A457:D461 F457:F461 M457:M461">
    <cfRule type="expression" dxfId="15" priority="26670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J453:J459 H460:J461 P460:P461">
    <cfRule type="expression" dxfId="14" priority="26656">
      <formula>$AI493="OK"</formula>
    </cfRule>
  </conditionalFormatting>
  <conditionalFormatting sqref="V453:Y454 R453:T461 V455:Z461">
    <cfRule type="expression" dxfId="13" priority="26755">
      <formula>$AI490="OK"</formula>
    </cfRule>
  </conditionalFormatting>
  <conditionalFormatting sqref="Y2:Z608 T2:T608">
    <cfRule type="cellIs" dxfId="12" priority="26299" operator="lessThan">
      <formula>0</formula>
    </cfRule>
  </conditionalFormatting>
  <conditionalFormatting sqref="Z453:Z454">
    <cfRule type="expression" dxfId="11" priority="1">
      <formula>$AI497="OK"</formula>
    </cfRule>
  </conditionalFormatting>
  <conditionalFormatting sqref="Z567">
    <cfRule type="expression" dxfId="10" priority="26815">
      <formula>$AI607="OK"</formula>
    </cfRule>
  </conditionalFormatting>
  <conditionalFormatting sqref="AA608:AG608">
    <cfRule type="expression" dxfId="9" priority="63">
      <formula>$AI608="OK"</formula>
    </cfRule>
  </conditionalFormatting>
  <conditionalFormatting sqref="AA2:AI28 E2:E461 AA29:AH452 AI29:AI462 AA453:AG459 AA460:AE461 AA462:AH462 A462:G558 I462:N558 AA463:AI606 J559:J606 L559:L606 AA608:AI608">
    <cfRule type="expression" dxfId="8" priority="26295">
      <formula>$AI2="OK"</formula>
    </cfRule>
  </conditionalFormatting>
  <conditionalFormatting sqref="AA2:AI28 AA29:AH452 AI29:AI462 AJ154:AW154 AA453:AG459 AA460:AE461 AA462:AH462 AA463:AI608">
    <cfRule type="cellIs" dxfId="7" priority="26296" operator="greaterThanOrEqual">
      <formula>1</formula>
    </cfRule>
  </conditionalFormatting>
  <conditionalFormatting sqref="AJ154:AW154 AA489:AH607 AI489:AI608 E559:E607">
    <cfRule type="expression" dxfId="6" priority="73">
      <formula>$AI154="OK"</formula>
    </cfRule>
  </conditionalFormatting>
  <pageMargins left="0" right="0" top="0" bottom="0" header="0" footer="0"/>
  <pageSetup paperSize="8" scale="4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4"/>
  <sheetViews>
    <sheetView tabSelected="1" workbookViewId="0">
      <selection activeCell="D14" sqref="D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43</v>
      </c>
      <c r="B1" s="108" t="s">
        <v>3193</v>
      </c>
      <c r="C1" s="108" t="s">
        <v>3194</v>
      </c>
      <c r="D1" s="108" t="s">
        <v>3195</v>
      </c>
      <c r="E1" s="179" t="s">
        <v>388</v>
      </c>
      <c r="F1" s="108" t="s">
        <v>322</v>
      </c>
    </row>
    <row r="2" spans="1:6" ht="45" x14ac:dyDescent="0.25">
      <c r="A2" s="184">
        <v>188</v>
      </c>
      <c r="B2" s="107" t="s">
        <v>2072</v>
      </c>
      <c r="C2" s="185">
        <v>46188</v>
      </c>
      <c r="D2" s="185">
        <v>46230</v>
      </c>
      <c r="E2" s="192" t="s">
        <v>4519</v>
      </c>
      <c r="F2" s="107" t="s">
        <v>2071</v>
      </c>
    </row>
    <row r="3" spans="1:6" x14ac:dyDescent="0.25">
      <c r="A3" s="184">
        <v>190</v>
      </c>
      <c r="B3" s="107" t="s">
        <v>2987</v>
      </c>
      <c r="C3" s="185">
        <v>46205</v>
      </c>
      <c r="D3" s="185"/>
      <c r="E3" s="186" t="s">
        <v>3170</v>
      </c>
      <c r="F3" s="107" t="s">
        <v>2988</v>
      </c>
    </row>
    <row r="4" spans="1:6" x14ac:dyDescent="0.25">
      <c r="A4" s="184">
        <v>198</v>
      </c>
      <c r="B4" s="107" t="s">
        <v>2986</v>
      </c>
      <c r="C4" s="185">
        <v>46289</v>
      </c>
      <c r="D4" s="185"/>
      <c r="E4" s="186" t="s">
        <v>1876</v>
      </c>
      <c r="F4" s="107" t="s">
        <v>2984</v>
      </c>
    </row>
    <row r="5" spans="1:6" ht="30" x14ac:dyDescent="0.25">
      <c r="A5" s="187">
        <v>200</v>
      </c>
      <c r="B5" s="191" t="s">
        <v>2995</v>
      </c>
      <c r="C5" s="189">
        <v>46219</v>
      </c>
      <c r="D5" s="189"/>
      <c r="E5" s="193" t="s">
        <v>497</v>
      </c>
      <c r="F5" s="107" t="s">
        <v>2994</v>
      </c>
    </row>
    <row r="6" spans="1:6" ht="30" x14ac:dyDescent="0.25">
      <c r="A6" s="187">
        <v>201</v>
      </c>
      <c r="B6" s="191" t="s">
        <v>2993</v>
      </c>
      <c r="C6" s="189">
        <v>46198</v>
      </c>
      <c r="D6" s="189"/>
      <c r="E6" s="193" t="s">
        <v>3168</v>
      </c>
      <c r="F6" s="107" t="s">
        <v>2992</v>
      </c>
    </row>
    <row r="7" spans="1:6" ht="75" x14ac:dyDescent="0.25">
      <c r="A7" s="187">
        <v>202</v>
      </c>
      <c r="B7" s="191" t="s">
        <v>3008</v>
      </c>
      <c r="C7" s="194">
        <v>46198</v>
      </c>
      <c r="D7" s="189"/>
      <c r="E7" s="193" t="s">
        <v>4520</v>
      </c>
      <c r="F7" s="107" t="s">
        <v>3007</v>
      </c>
    </row>
    <row r="8" spans="1:6" ht="45" x14ac:dyDescent="0.25">
      <c r="A8" s="187">
        <v>203</v>
      </c>
      <c r="B8" s="188" t="s">
        <v>3165</v>
      </c>
      <c r="C8" s="189">
        <v>46202</v>
      </c>
      <c r="D8" s="189">
        <v>46230</v>
      </c>
      <c r="E8" s="193" t="s">
        <v>4331</v>
      </c>
      <c r="F8" s="107" t="s">
        <v>3010</v>
      </c>
    </row>
    <row r="9" spans="1:6" ht="45" x14ac:dyDescent="0.25">
      <c r="A9" s="187">
        <v>204</v>
      </c>
      <c r="B9" s="188" t="s">
        <v>3165</v>
      </c>
      <c r="C9" s="189">
        <v>46226</v>
      </c>
      <c r="D9" s="189"/>
      <c r="E9" s="193" t="s">
        <v>3316</v>
      </c>
      <c r="F9" s="107" t="s">
        <v>3010</v>
      </c>
    </row>
    <row r="10" spans="1:6" x14ac:dyDescent="0.25">
      <c r="A10" s="187">
        <v>205</v>
      </c>
      <c r="B10" s="188" t="s">
        <v>3167</v>
      </c>
      <c r="C10" s="189">
        <v>46235</v>
      </c>
      <c r="D10" s="189"/>
      <c r="E10" s="190" t="s">
        <v>1876</v>
      </c>
      <c r="F10" s="107" t="s">
        <v>3166</v>
      </c>
    </row>
    <row r="11" spans="1:6" ht="30" x14ac:dyDescent="0.25">
      <c r="A11" s="184">
        <v>207</v>
      </c>
      <c r="B11" s="208" t="s">
        <v>3294</v>
      </c>
      <c r="C11" s="185">
        <v>46336</v>
      </c>
      <c r="D11" s="185"/>
      <c r="E11" s="186" t="s">
        <v>3295</v>
      </c>
      <c r="F11" s="107" t="s">
        <v>3293</v>
      </c>
    </row>
    <row r="12" spans="1:6" ht="33" customHeight="1" x14ac:dyDescent="0.25">
      <c r="A12" s="187">
        <v>208</v>
      </c>
      <c r="B12" s="191" t="s">
        <v>4311</v>
      </c>
      <c r="C12" s="189">
        <v>46233</v>
      </c>
      <c r="D12" s="189"/>
      <c r="E12" s="193" t="s">
        <v>1876</v>
      </c>
      <c r="F12" s="188" t="s">
        <v>4310</v>
      </c>
    </row>
    <row r="13" spans="1:6" ht="21" customHeight="1" x14ac:dyDescent="0.25">
      <c r="A13" s="187">
        <v>209</v>
      </c>
      <c r="B13" s="188" t="s">
        <v>4312</v>
      </c>
      <c r="C13" s="189">
        <v>46280</v>
      </c>
      <c r="D13" s="189"/>
      <c r="E13" s="190" t="s">
        <v>1876</v>
      </c>
      <c r="F13" s="188" t="s">
        <v>4328</v>
      </c>
    </row>
    <row r="14" spans="1:6" ht="121.15" customHeight="1" x14ac:dyDescent="0.25">
      <c r="A14" s="187">
        <v>898</v>
      </c>
      <c r="B14" s="191" t="s">
        <v>4448</v>
      </c>
      <c r="C14" s="189">
        <v>46270</v>
      </c>
      <c r="D14" s="189"/>
      <c r="E14" s="190" t="s">
        <v>1876</v>
      </c>
      <c r="F14" s="188" t="s">
        <v>4447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C25" activePane="bottomRight" state="frozen"/>
      <selection pane="topRight" activeCell="D1" sqref="D1"/>
      <selection pane="bottomLeft" activeCell="A6" sqref="A6"/>
      <selection pane="bottomRight" activeCell="I21" sqref="I21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64" t="e" vm="1">
        <v>#VALUE!</v>
      </c>
      <c r="D2" s="265"/>
      <c r="E2" s="268" t="s">
        <v>321</v>
      </c>
      <c r="F2" s="268"/>
      <c r="G2" s="268"/>
      <c r="H2" s="268"/>
      <c r="I2" s="268"/>
      <c r="J2" s="268"/>
      <c r="K2" s="268"/>
      <c r="L2" s="268"/>
      <c r="M2" s="268"/>
      <c r="N2" s="268"/>
      <c r="O2" s="268"/>
      <c r="P2" s="268"/>
      <c r="Q2" s="268"/>
      <c r="R2" s="268"/>
      <c r="S2" s="268"/>
      <c r="T2" s="269"/>
      <c r="U2" s="272" t="s">
        <v>247</v>
      </c>
      <c r="V2" s="262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66"/>
      <c r="D3" s="267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  <c r="T3" s="271"/>
      <c r="U3" s="273"/>
      <c r="V3" s="263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322</v>
      </c>
      <c r="D4" s="71" t="s">
        <v>43</v>
      </c>
      <c r="E4" s="71" t="s">
        <v>323</v>
      </c>
      <c r="F4" s="72" t="s">
        <v>324</v>
      </c>
      <c r="G4" s="73" t="s">
        <v>325</v>
      </c>
      <c r="H4" s="74" t="s">
        <v>326</v>
      </c>
      <c r="I4" s="75" t="s">
        <v>327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45</v>
      </c>
      <c r="P4" s="77" t="s">
        <v>328</v>
      </c>
      <c r="Q4" s="77" t="s">
        <v>329</v>
      </c>
      <c r="R4" s="76" t="s">
        <v>47</v>
      </c>
      <c r="S4" s="78" t="s">
        <v>73</v>
      </c>
      <c r="T4" s="75" t="s">
        <v>4</v>
      </c>
      <c r="U4" s="79" t="s">
        <v>950</v>
      </c>
      <c r="V4" s="80" t="s">
        <v>330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27" t="s">
        <v>2071</v>
      </c>
      <c r="D6" s="230" t="s">
        <v>2070</v>
      </c>
      <c r="E6" s="233" t="s">
        <v>2072</v>
      </c>
      <c r="F6" s="236">
        <v>46183</v>
      </c>
      <c r="G6" s="274">
        <v>46220</v>
      </c>
      <c r="H6" s="253" t="s">
        <v>3296</v>
      </c>
      <c r="I6" s="127" t="s">
        <v>3032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2.0095999999999998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44.7746</v>
      </c>
      <c r="U6" s="221">
        <f>T9/T6</f>
        <v>0.89224694357961887</v>
      </c>
      <c r="V6" s="224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28"/>
      <c r="D7" s="231"/>
      <c r="E7" s="234"/>
      <c r="F7" s="237"/>
      <c r="G7" s="275"/>
      <c r="H7" s="254"/>
      <c r="I7" s="129" t="s">
        <v>3029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-3.9999999999995595E-4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4.5999999999963848E-3</v>
      </c>
      <c r="U7" s="222"/>
      <c r="V7" s="225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28"/>
      <c r="D8" s="231"/>
      <c r="E8" s="234"/>
      <c r="F8" s="237"/>
      <c r="G8" s="275"/>
      <c r="H8" s="254"/>
      <c r="I8" s="129" t="s">
        <v>3031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22"/>
      <c r="V8" s="225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28"/>
      <c r="D9" s="231"/>
      <c r="E9" s="234"/>
      <c r="F9" s="237"/>
      <c r="G9" s="275"/>
      <c r="H9" s="254"/>
      <c r="I9" s="132" t="s">
        <v>316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22"/>
      <c r="V9" s="225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29"/>
      <c r="D10" s="232"/>
      <c r="E10" s="235"/>
      <c r="F10" s="238"/>
      <c r="G10" s="276"/>
      <c r="H10" s="255"/>
      <c r="I10" s="133" t="s">
        <v>3030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4.8245999999999967</v>
      </c>
      <c r="U10" s="223"/>
      <c r="V10" s="226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27" t="s">
        <v>2988</v>
      </c>
      <c r="D12" s="230" t="s">
        <v>2552</v>
      </c>
      <c r="E12" s="233" t="s">
        <v>2987</v>
      </c>
      <c r="F12" s="236">
        <v>46205</v>
      </c>
      <c r="G12" s="274"/>
      <c r="H12" s="259" t="s">
        <v>3170</v>
      </c>
      <c r="I12" s="127" t="s">
        <v>3032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21">
        <f>T15/T12</f>
        <v>0.76586952907929418</v>
      </c>
      <c r="V12" s="224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28"/>
      <c r="D13" s="231"/>
      <c r="E13" s="234"/>
      <c r="F13" s="237"/>
      <c r="G13" s="275"/>
      <c r="H13" s="260"/>
      <c r="I13" s="129" t="s">
        <v>3029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22"/>
      <c r="V13" s="225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28"/>
      <c r="D14" s="231"/>
      <c r="E14" s="234"/>
      <c r="F14" s="237"/>
      <c r="G14" s="275"/>
      <c r="H14" s="260"/>
      <c r="I14" s="129" t="s">
        <v>3031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22"/>
      <c r="V14" s="225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28"/>
      <c r="D15" s="231"/>
      <c r="E15" s="234"/>
      <c r="F15" s="237"/>
      <c r="G15" s="275"/>
      <c r="H15" s="260"/>
      <c r="I15" s="132" t="s">
        <v>316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22"/>
      <c r="V15" s="225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29"/>
      <c r="D16" s="232"/>
      <c r="E16" s="235"/>
      <c r="F16" s="238"/>
      <c r="G16" s="276"/>
      <c r="H16" s="261"/>
      <c r="I16" s="133" t="s">
        <v>3030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23"/>
      <c r="V16" s="226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27" t="s">
        <v>2984</v>
      </c>
      <c r="D18" s="230" t="s">
        <v>2985</v>
      </c>
      <c r="E18" s="233" t="s">
        <v>2986</v>
      </c>
      <c r="F18" s="236">
        <v>46289</v>
      </c>
      <c r="G18" s="274"/>
      <c r="H18" s="242" t="s">
        <v>4329</v>
      </c>
      <c r="I18" s="127" t="s">
        <v>3032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21">
        <f>T21/T18</f>
        <v>0.32605272021629422</v>
      </c>
      <c r="V18" s="224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28"/>
      <c r="D19" s="231"/>
      <c r="E19" s="234"/>
      <c r="F19" s="237"/>
      <c r="G19" s="275"/>
      <c r="H19" s="243"/>
      <c r="I19" s="129" t="s">
        <v>3029</v>
      </c>
      <c r="J19" s="130">
        <f t="shared" ref="J19" si="17">J18-J20</f>
        <v>5.6496000000000004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9.1053999999999995</v>
      </c>
      <c r="N19" s="130">
        <f>N18-N20</f>
        <v>7.5901000000000014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27.855200000000004</v>
      </c>
      <c r="U19" s="222"/>
      <c r="V19" s="225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28"/>
      <c r="D20" s="231"/>
      <c r="E20" s="234"/>
      <c r="F20" s="237"/>
      <c r="G20" s="275"/>
      <c r="H20" s="243"/>
      <c r="I20" s="129" t="s">
        <v>3031</v>
      </c>
      <c r="J20" s="131">
        <f>SUMIF(PERFORMANCE!$N:$N,W18,PERFORMANCE!$Q:$Q)/1000</f>
        <v>1.9764000000000002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0.17599999999999999</v>
      </c>
      <c r="N20" s="131">
        <f>SUMIF(PERFORMANCE!$N:$N,AA18,PERFORMANCE!$Q:$Q)/1000</f>
        <v>2.9474999999999998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5.0998999999999999</v>
      </c>
      <c r="U20" s="222"/>
      <c r="V20" s="225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28"/>
      <c r="D21" s="231"/>
      <c r="E21" s="234"/>
      <c r="F21" s="237"/>
      <c r="G21" s="275"/>
      <c r="H21" s="243"/>
      <c r="I21" s="132" t="s">
        <v>316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3.1549999999999998</v>
      </c>
      <c r="N21" s="131">
        <f>SUMIF(PERFORMANCE!$N:$N,MACRO!AA18,PERFORMANCE!$R:$R)/1000</f>
        <v>7.5900999999999996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10.745099999999999</v>
      </c>
      <c r="U21" s="222"/>
      <c r="V21" s="225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29"/>
      <c r="D22" s="232"/>
      <c r="E22" s="235"/>
      <c r="F22" s="238"/>
      <c r="G22" s="276"/>
      <c r="H22" s="244"/>
      <c r="I22" s="133" t="s">
        <v>3030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6.1264000000000003</v>
      </c>
      <c r="N22" s="134">
        <f t="shared" si="28"/>
        <v>2.9475000000000016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22.21</v>
      </c>
      <c r="U22" s="223"/>
      <c r="V22" s="226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27" t="s">
        <v>3293</v>
      </c>
      <c r="D24" s="230" t="s">
        <v>3292</v>
      </c>
      <c r="E24" s="233" t="s">
        <v>3294</v>
      </c>
      <c r="F24" s="236">
        <v>46336</v>
      </c>
      <c r="G24" s="239"/>
      <c r="H24" s="242" t="s">
        <v>3295</v>
      </c>
      <c r="I24" s="127" t="s">
        <v>3032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21">
        <v>0</v>
      </c>
      <c r="V24" s="224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28"/>
      <c r="D25" s="231"/>
      <c r="E25" s="234"/>
      <c r="F25" s="237"/>
      <c r="G25" s="240"/>
      <c r="H25" s="243"/>
      <c r="I25" s="129" t="s">
        <v>3029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22"/>
      <c r="V25" s="225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28"/>
      <c r="D26" s="231"/>
      <c r="E26" s="234"/>
      <c r="F26" s="237"/>
      <c r="G26" s="240"/>
      <c r="H26" s="243"/>
      <c r="I26" s="129" t="s">
        <v>3031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22"/>
      <c r="V26" s="225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28"/>
      <c r="D27" s="231"/>
      <c r="E27" s="234"/>
      <c r="F27" s="237"/>
      <c r="G27" s="240"/>
      <c r="H27" s="243"/>
      <c r="I27" s="132" t="s">
        <v>316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22"/>
      <c r="V27" s="225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29"/>
      <c r="D28" s="232"/>
      <c r="E28" s="235"/>
      <c r="F28" s="238"/>
      <c r="G28" s="241"/>
      <c r="H28" s="244"/>
      <c r="I28" s="133" t="s">
        <v>3030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23"/>
      <c r="V28" s="226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27" t="s">
        <v>2994</v>
      </c>
      <c r="D30" s="230" t="s">
        <v>2990</v>
      </c>
      <c r="E30" s="233" t="s">
        <v>2995</v>
      </c>
      <c r="F30" s="236">
        <v>46219</v>
      </c>
      <c r="G30" s="239"/>
      <c r="H30" s="253" t="s">
        <v>3315</v>
      </c>
      <c r="I30" s="127" t="s">
        <v>3032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21">
        <v>0</v>
      </c>
      <c r="V30" s="224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28"/>
      <c r="D31" s="231"/>
      <c r="E31" s="234"/>
      <c r="F31" s="237"/>
      <c r="G31" s="240"/>
      <c r="H31" s="254"/>
      <c r="I31" s="129" t="s">
        <v>3029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22"/>
      <c r="V31" s="225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28"/>
      <c r="D32" s="231"/>
      <c r="E32" s="234"/>
      <c r="F32" s="237"/>
      <c r="G32" s="240"/>
      <c r="H32" s="254"/>
      <c r="I32" s="129" t="s">
        <v>3031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22"/>
      <c r="V32" s="225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28"/>
      <c r="D33" s="231"/>
      <c r="E33" s="234"/>
      <c r="F33" s="237"/>
      <c r="G33" s="240"/>
      <c r="H33" s="254"/>
      <c r="I33" s="132" t="s">
        <v>316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22"/>
      <c r="V33" s="225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29"/>
      <c r="D34" s="232"/>
      <c r="E34" s="235"/>
      <c r="F34" s="238"/>
      <c r="G34" s="241"/>
      <c r="H34" s="255"/>
      <c r="I34" s="133" t="s">
        <v>3030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23"/>
      <c r="V34" s="226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27" t="s">
        <v>2996</v>
      </c>
      <c r="D36" s="230" t="s">
        <v>2991</v>
      </c>
      <c r="E36" s="233" t="s">
        <v>2993</v>
      </c>
      <c r="F36" s="236">
        <v>46198</v>
      </c>
      <c r="G36" s="256"/>
      <c r="H36" s="259" t="s">
        <v>3168</v>
      </c>
      <c r="I36" s="127" t="s">
        <v>3032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21">
        <v>0</v>
      </c>
      <c r="V36" s="224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28"/>
      <c r="D37" s="231"/>
      <c r="E37" s="234"/>
      <c r="F37" s="237"/>
      <c r="G37" s="257"/>
      <c r="H37" s="260"/>
      <c r="I37" s="129" t="s">
        <v>3029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</v>
      </c>
      <c r="U37" s="222"/>
      <c r="V37" s="225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28"/>
      <c r="D38" s="231"/>
      <c r="E38" s="234"/>
      <c r="F38" s="237"/>
      <c r="G38" s="257"/>
      <c r="H38" s="260"/>
      <c r="I38" s="129" t="s">
        <v>3031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0.2137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0.2137</v>
      </c>
      <c r="U38" s="222"/>
      <c r="V38" s="225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28"/>
      <c r="D39" s="231"/>
      <c r="E39" s="234"/>
      <c r="F39" s="237"/>
      <c r="G39" s="257"/>
      <c r="H39" s="260"/>
      <c r="I39" s="132" t="s">
        <v>316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</v>
      </c>
      <c r="U39" s="222"/>
      <c r="V39" s="225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29"/>
      <c r="D40" s="232"/>
      <c r="E40" s="235"/>
      <c r="F40" s="238"/>
      <c r="G40" s="258"/>
      <c r="H40" s="261"/>
      <c r="I40" s="133" t="s">
        <v>3030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0.2137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0.2137</v>
      </c>
      <c r="U40" s="223"/>
      <c r="V40" s="226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27" t="s">
        <v>3007</v>
      </c>
      <c r="D42" s="230" t="s">
        <v>3005</v>
      </c>
      <c r="E42" s="233" t="s">
        <v>3008</v>
      </c>
      <c r="F42" s="236">
        <v>46188</v>
      </c>
      <c r="G42" s="256">
        <v>46220</v>
      </c>
      <c r="H42" s="253" t="s">
        <v>4330</v>
      </c>
      <c r="I42" s="127" t="s">
        <v>3032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21">
        <v>0</v>
      </c>
      <c r="V42" s="224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28"/>
      <c r="D43" s="231"/>
      <c r="E43" s="234"/>
      <c r="F43" s="237"/>
      <c r="G43" s="257"/>
      <c r="H43" s="254"/>
      <c r="I43" s="129" t="s">
        <v>3029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</v>
      </c>
      <c r="U43" s="222"/>
      <c r="V43" s="225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28"/>
      <c r="D44" s="231"/>
      <c r="E44" s="234"/>
      <c r="F44" s="237"/>
      <c r="G44" s="257"/>
      <c r="H44" s="254"/>
      <c r="I44" s="129" t="s">
        <v>3031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0.85320000000000007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0.85320000000000007</v>
      </c>
      <c r="U44" s="222"/>
      <c r="V44" s="225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28"/>
      <c r="D45" s="231"/>
      <c r="E45" s="234"/>
      <c r="F45" s="237"/>
      <c r="G45" s="257"/>
      <c r="H45" s="254"/>
      <c r="I45" s="132" t="s">
        <v>316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</v>
      </c>
      <c r="U45" s="222"/>
      <c r="V45" s="225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29"/>
      <c r="D46" s="232"/>
      <c r="E46" s="235"/>
      <c r="F46" s="238"/>
      <c r="G46" s="258"/>
      <c r="H46" s="255"/>
      <c r="I46" s="133" t="s">
        <v>3030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0.85320000000000007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0.85320000000000007</v>
      </c>
      <c r="U46" s="223"/>
      <c r="V46" s="226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27" t="s">
        <v>3010</v>
      </c>
      <c r="D48" s="230" t="s">
        <v>3006</v>
      </c>
      <c r="E48" s="233" t="s">
        <v>3009</v>
      </c>
      <c r="F48" s="236">
        <v>46202</v>
      </c>
      <c r="G48" s="256">
        <v>46233</v>
      </c>
      <c r="H48" s="253" t="s">
        <v>4331</v>
      </c>
      <c r="I48" s="127" t="s">
        <v>3032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21">
        <v>0</v>
      </c>
      <c r="V48" s="224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28"/>
      <c r="D49" s="231"/>
      <c r="E49" s="234"/>
      <c r="F49" s="237"/>
      <c r="G49" s="257"/>
      <c r="H49" s="254"/>
      <c r="I49" s="129" t="s">
        <v>3029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22"/>
      <c r="V49" s="225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28"/>
      <c r="D50" s="231"/>
      <c r="E50" s="234"/>
      <c r="F50" s="237"/>
      <c r="G50" s="257"/>
      <c r="H50" s="254"/>
      <c r="I50" s="129" t="s">
        <v>3031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22"/>
      <c r="V50" s="225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28"/>
      <c r="D51" s="231"/>
      <c r="E51" s="234"/>
      <c r="F51" s="237"/>
      <c r="G51" s="257"/>
      <c r="H51" s="254"/>
      <c r="I51" s="132" t="s">
        <v>316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22"/>
      <c r="V51" s="225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29"/>
      <c r="D52" s="232"/>
      <c r="E52" s="235"/>
      <c r="F52" s="238"/>
      <c r="G52" s="258"/>
      <c r="H52" s="255"/>
      <c r="I52" s="133" t="s">
        <v>3030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23"/>
      <c r="V52" s="226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27" t="s">
        <v>3010</v>
      </c>
      <c r="D54" s="230" t="s">
        <v>3112</v>
      </c>
      <c r="E54" s="233" t="s">
        <v>3165</v>
      </c>
      <c r="F54" s="236">
        <v>46226</v>
      </c>
      <c r="G54" s="239"/>
      <c r="H54" s="253" t="s">
        <v>3316</v>
      </c>
      <c r="I54" s="127" t="s">
        <v>3032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21">
        <v>0</v>
      </c>
      <c r="V54" s="224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28"/>
      <c r="D55" s="231"/>
      <c r="E55" s="234"/>
      <c r="F55" s="237"/>
      <c r="G55" s="240"/>
      <c r="H55" s="254"/>
      <c r="I55" s="129" t="s">
        <v>3029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22"/>
      <c r="V55" s="225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28"/>
      <c r="D56" s="231"/>
      <c r="E56" s="234"/>
      <c r="F56" s="237"/>
      <c r="G56" s="240"/>
      <c r="H56" s="254"/>
      <c r="I56" s="129" t="s">
        <v>3031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22"/>
      <c r="V56" s="225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28"/>
      <c r="D57" s="231"/>
      <c r="E57" s="234"/>
      <c r="F57" s="237"/>
      <c r="G57" s="240"/>
      <c r="H57" s="254"/>
      <c r="I57" s="132" t="s">
        <v>316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22"/>
      <c r="V57" s="225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29"/>
      <c r="D58" s="232"/>
      <c r="E58" s="235"/>
      <c r="F58" s="238"/>
      <c r="G58" s="241"/>
      <c r="H58" s="255"/>
      <c r="I58" s="133" t="s">
        <v>3030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23"/>
      <c r="V58" s="226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27" t="s">
        <v>3166</v>
      </c>
      <c r="D60" s="230" t="s">
        <v>3164</v>
      </c>
      <c r="E60" s="233" t="s">
        <v>3167</v>
      </c>
      <c r="F60" s="236">
        <v>46235</v>
      </c>
      <c r="G60" s="239"/>
      <c r="H60" s="242" t="s">
        <v>1876</v>
      </c>
      <c r="I60" s="127" t="s">
        <v>3032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21">
        <v>0</v>
      </c>
      <c r="V60" s="224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28"/>
      <c r="D61" s="231"/>
      <c r="E61" s="234"/>
      <c r="F61" s="237"/>
      <c r="G61" s="240"/>
      <c r="H61" s="243"/>
      <c r="I61" s="129" t="s">
        <v>3029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22"/>
      <c r="V61" s="225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28"/>
      <c r="D62" s="231"/>
      <c r="E62" s="234"/>
      <c r="F62" s="237"/>
      <c r="G62" s="240"/>
      <c r="H62" s="243"/>
      <c r="I62" s="129" t="s">
        <v>3031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22"/>
      <c r="V62" s="225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28"/>
      <c r="D63" s="231"/>
      <c r="E63" s="234"/>
      <c r="F63" s="237"/>
      <c r="G63" s="240"/>
      <c r="H63" s="243"/>
      <c r="I63" s="132" t="s">
        <v>316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22"/>
      <c r="V63" s="225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29"/>
      <c r="D64" s="232"/>
      <c r="E64" s="235"/>
      <c r="F64" s="238"/>
      <c r="G64" s="241"/>
      <c r="H64" s="244"/>
      <c r="I64" s="133" t="s">
        <v>3030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23"/>
      <c r="V64" s="226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27" t="s">
        <v>4310</v>
      </c>
      <c r="D66" s="230" t="s">
        <v>4302</v>
      </c>
      <c r="E66" s="233" t="s">
        <v>4311</v>
      </c>
      <c r="F66" s="236">
        <v>46233</v>
      </c>
      <c r="G66" s="239"/>
      <c r="H66" s="242" t="s">
        <v>1876</v>
      </c>
      <c r="I66" s="127" t="s">
        <v>3032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21">
        <v>0</v>
      </c>
      <c r="V66" s="224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28"/>
      <c r="D67" s="231"/>
      <c r="E67" s="234"/>
      <c r="F67" s="237"/>
      <c r="G67" s="240"/>
      <c r="H67" s="243"/>
      <c r="I67" s="129" t="s">
        <v>3029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22"/>
      <c r="V67" s="225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28"/>
      <c r="D68" s="231"/>
      <c r="E68" s="234"/>
      <c r="F68" s="237"/>
      <c r="G68" s="240"/>
      <c r="H68" s="243"/>
      <c r="I68" s="129" t="s">
        <v>3031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22"/>
      <c r="V68" s="225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28"/>
      <c r="D69" s="231"/>
      <c r="E69" s="234"/>
      <c r="F69" s="237"/>
      <c r="G69" s="240"/>
      <c r="H69" s="243"/>
      <c r="I69" s="132" t="s">
        <v>316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22"/>
      <c r="V69" s="225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29"/>
      <c r="D70" s="232"/>
      <c r="E70" s="235"/>
      <c r="F70" s="238"/>
      <c r="G70" s="241"/>
      <c r="H70" s="244"/>
      <c r="I70" s="133" t="s">
        <v>3030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23"/>
      <c r="V70" s="226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27" t="s">
        <v>3166</v>
      </c>
      <c r="D72" s="230" t="s">
        <v>4309</v>
      </c>
      <c r="E72" s="233" t="s">
        <v>4312</v>
      </c>
      <c r="F72" s="236">
        <v>46280</v>
      </c>
      <c r="G72" s="239"/>
      <c r="H72" s="242" t="s">
        <v>1876</v>
      </c>
      <c r="I72" s="127" t="s">
        <v>3032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21">
        <v>0</v>
      </c>
      <c r="V72" s="224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28"/>
      <c r="D73" s="231"/>
      <c r="E73" s="234"/>
      <c r="F73" s="237"/>
      <c r="G73" s="240"/>
      <c r="H73" s="243"/>
      <c r="I73" s="129" t="s">
        <v>3029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22"/>
      <c r="V73" s="225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28"/>
      <c r="D74" s="231"/>
      <c r="E74" s="234"/>
      <c r="F74" s="237"/>
      <c r="G74" s="240"/>
      <c r="H74" s="243"/>
      <c r="I74" s="129" t="s">
        <v>3031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22"/>
      <c r="V74" s="225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28"/>
      <c r="D75" s="231"/>
      <c r="E75" s="234"/>
      <c r="F75" s="237"/>
      <c r="G75" s="240"/>
      <c r="H75" s="243"/>
      <c r="I75" s="132" t="s">
        <v>316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22"/>
      <c r="V75" s="225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29"/>
      <c r="D76" s="232"/>
      <c r="E76" s="235"/>
      <c r="F76" s="238"/>
      <c r="G76" s="241"/>
      <c r="H76" s="244"/>
      <c r="I76" s="133" t="s">
        <v>3030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23"/>
      <c r="V76" s="226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45" t="s">
        <v>327</v>
      </c>
      <c r="E79" s="247" t="s">
        <v>892</v>
      </c>
      <c r="F79" s="248"/>
      <c r="G79" s="248"/>
      <c r="H79" s="248"/>
      <c r="I79" s="248"/>
      <c r="J79" s="249"/>
      <c r="K79" s="250" t="s">
        <v>332</v>
      </c>
      <c r="L79" s="251"/>
      <c r="M79" s="251"/>
      <c r="N79" s="25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4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45</v>
      </c>
      <c r="K80" s="95" t="s">
        <v>328</v>
      </c>
      <c r="L80" s="95" t="s">
        <v>47</v>
      </c>
      <c r="M80" s="95" t="s">
        <v>1024</v>
      </c>
      <c r="N80" s="96" t="s">
        <v>333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3032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12.644400000000001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96.935400000000001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331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3029</v>
      </c>
      <c r="E83" s="141">
        <f t="shared" ref="E83:F83" si="232">E81-E85</f>
        <v>6.6255999999999986</v>
      </c>
      <c r="F83" s="141">
        <f t="shared" si="232"/>
        <v>3.5999999999999921E-3</v>
      </c>
      <c r="G83" s="141">
        <f>G81-G85</f>
        <v>5.5100999999999996</v>
      </c>
      <c r="H83" s="141">
        <f>H81-H85</f>
        <v>9.3223999999999982</v>
      </c>
      <c r="I83" s="141">
        <f t="shared" ref="I83:M83" si="233">I81-I85</f>
        <v>7.6869000000000014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29.148599999999998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3031</v>
      </c>
      <c r="E85" s="144">
        <f t="shared" ref="E85:M85" si="234">SUMIF($I$5:$I$64,$D$85,J5:J64)</f>
        <v>18.076400000000003</v>
      </c>
      <c r="F85" s="144">
        <f t="shared" si="234"/>
        <v>0.14000000000000001</v>
      </c>
      <c r="G85" s="144">
        <f t="shared" si="234"/>
        <v>3.9137000000000004</v>
      </c>
      <c r="H85" s="144">
        <f t="shared" si="234"/>
        <v>3.6992000000000003</v>
      </c>
      <c r="I85" s="144">
        <f t="shared" si="234"/>
        <v>4.9574999999999996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67.786799999999999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316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3.1</v>
      </c>
      <c r="H86" s="98">
        <f t="shared" si="235"/>
        <v>5.8249999999999993</v>
      </c>
      <c r="I86" s="98">
        <f t="shared" si="235"/>
        <v>9.6000999999999994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64.571100000000001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3030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6.3538000000000006</v>
      </c>
      <c r="H87" s="146">
        <f t="shared" si="236"/>
        <v>7.2016000000000009</v>
      </c>
      <c r="I87" s="146">
        <f t="shared" si="236"/>
        <v>3.0447000000000015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31.996100000000002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334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335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796"/>
  <sheetViews>
    <sheetView zoomScaleNormal="100" workbookViewId="0">
      <pane ySplit="1" topLeftCell="A4537" activePane="bottomLeft" state="frozen"/>
      <selection pane="bottomLeft" activeCell="B1" sqref="B1"/>
    </sheetView>
  </sheetViews>
  <sheetFormatPr defaultRowHeight="15" x14ac:dyDescent="0.25"/>
  <cols>
    <col min="2" max="2" width="9.42578125" customWidth="1"/>
    <col min="3" max="3" width="46.85546875" bestFit="1" customWidth="1"/>
    <col min="4" max="4" width="37.7109375" customWidth="1"/>
    <col min="5" max="5" width="9.85546875" bestFit="1" customWidth="1"/>
    <col min="6" max="6" width="36.14062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231</v>
      </c>
      <c r="C1" s="41" t="s">
        <v>243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247</v>
      </c>
      <c r="N1" s="1" t="s">
        <v>43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244</v>
      </c>
      <c r="G2" s="1">
        <v>2</v>
      </c>
      <c r="H2" s="1" t="s">
        <v>19</v>
      </c>
      <c r="I2" s="1" t="s">
        <v>245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246</v>
      </c>
      <c r="G3" s="1">
        <v>2</v>
      </c>
      <c r="H3" s="1" t="s">
        <v>19</v>
      </c>
      <c r="I3" s="1" t="s">
        <v>245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203</v>
      </c>
      <c r="D4" s="1"/>
      <c r="E4" s="1" t="s">
        <v>6</v>
      </c>
      <c r="F4" s="1" t="s">
        <v>248</v>
      </c>
      <c r="G4" s="1">
        <v>2</v>
      </c>
      <c r="H4" s="1" t="s">
        <v>19</v>
      </c>
      <c r="I4" s="1" t="s">
        <v>249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121</v>
      </c>
      <c r="D5" s="1">
        <v>266403</v>
      </c>
      <c r="E5" s="1"/>
      <c r="F5" s="1" t="s">
        <v>250</v>
      </c>
      <c r="G5" s="1">
        <v>30</v>
      </c>
      <c r="H5" s="1" t="s">
        <v>19</v>
      </c>
      <c r="I5" s="1" t="s">
        <v>251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104</v>
      </c>
      <c r="D6" s="1">
        <v>271276</v>
      </c>
      <c r="E6" s="1"/>
      <c r="F6" s="1" t="s">
        <v>252</v>
      </c>
      <c r="G6" s="1">
        <v>20</v>
      </c>
      <c r="H6" s="1" t="s">
        <v>19</v>
      </c>
      <c r="I6" s="1" t="s">
        <v>251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120</v>
      </c>
      <c r="D7" s="1">
        <v>266021</v>
      </c>
      <c r="E7" s="1"/>
      <c r="F7" s="1" t="s">
        <v>253</v>
      </c>
      <c r="G7" s="1">
        <v>40</v>
      </c>
      <c r="H7" s="1" t="s">
        <v>19</v>
      </c>
      <c r="I7" s="1" t="s">
        <v>254</v>
      </c>
      <c r="J7" s="1">
        <v>8</v>
      </c>
      <c r="K7" s="1">
        <v>320</v>
      </c>
      <c r="L7" s="42">
        <v>1</v>
      </c>
      <c r="M7" s="43" t="s">
        <v>257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120</v>
      </c>
      <c r="D8" s="1">
        <v>266023</v>
      </c>
      <c r="E8" s="1"/>
      <c r="F8" s="1" t="s">
        <v>255</v>
      </c>
      <c r="G8" s="1">
        <v>350</v>
      </c>
      <c r="H8" s="1" t="s">
        <v>19</v>
      </c>
      <c r="I8" s="1" t="s">
        <v>254</v>
      </c>
      <c r="J8" s="1">
        <v>8</v>
      </c>
      <c r="K8" s="1">
        <v>2800</v>
      </c>
      <c r="L8" s="42">
        <v>1</v>
      </c>
      <c r="M8" s="43" t="s">
        <v>257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121</v>
      </c>
      <c r="D9" s="1">
        <v>266403</v>
      </c>
      <c r="E9" s="1"/>
      <c r="F9" s="1" t="s">
        <v>256</v>
      </c>
      <c r="G9" s="1">
        <v>170</v>
      </c>
      <c r="H9" s="1" t="s">
        <v>19</v>
      </c>
      <c r="I9" s="1" t="s">
        <v>254</v>
      </c>
      <c r="J9" s="1">
        <v>7.5</v>
      </c>
      <c r="K9" s="1">
        <v>1275</v>
      </c>
      <c r="L9" s="42">
        <v>1</v>
      </c>
      <c r="M9" s="43" t="s">
        <v>257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113</v>
      </c>
      <c r="D10" s="1"/>
      <c r="E10" s="1"/>
      <c r="F10" s="1" t="s">
        <v>163</v>
      </c>
      <c r="G10" s="1">
        <v>66</v>
      </c>
      <c r="H10" s="1" t="s">
        <v>19</v>
      </c>
      <c r="I10" s="1" t="s">
        <v>218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121</v>
      </c>
      <c r="D11" s="1">
        <v>266401</v>
      </c>
      <c r="E11" s="1"/>
      <c r="F11" s="1" t="s">
        <v>258</v>
      </c>
      <c r="G11" s="1">
        <v>150</v>
      </c>
      <c r="H11" s="1" t="s">
        <v>19</v>
      </c>
      <c r="I11" s="1" t="s">
        <v>254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259</v>
      </c>
      <c r="D12" s="1">
        <v>266027</v>
      </c>
      <c r="E12" s="1"/>
      <c r="F12" s="1" t="s">
        <v>260</v>
      </c>
      <c r="G12" s="1">
        <v>190</v>
      </c>
      <c r="H12" s="1" t="s">
        <v>19</v>
      </c>
      <c r="I12" s="1" t="s">
        <v>254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122</v>
      </c>
      <c r="D13" s="1">
        <v>266029</v>
      </c>
      <c r="E13" s="1"/>
      <c r="F13" s="1" t="s">
        <v>261</v>
      </c>
      <c r="G13" s="1">
        <v>100</v>
      </c>
      <c r="H13" s="1" t="s">
        <v>19</v>
      </c>
      <c r="I13" s="1" t="s">
        <v>254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259</v>
      </c>
      <c r="D14" s="1">
        <v>266027</v>
      </c>
      <c r="E14" s="1"/>
      <c r="F14" s="1" t="s">
        <v>262</v>
      </c>
      <c r="G14" s="1">
        <v>76</v>
      </c>
      <c r="H14" s="1" t="s">
        <v>19</v>
      </c>
      <c r="I14" s="1" t="s">
        <v>254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259</v>
      </c>
      <c r="D15" s="1">
        <v>266030</v>
      </c>
      <c r="E15" s="1"/>
      <c r="F15" s="1" t="s">
        <v>262</v>
      </c>
      <c r="G15" s="1">
        <v>160</v>
      </c>
      <c r="H15" s="1" t="s">
        <v>19</v>
      </c>
      <c r="I15" s="1" t="s">
        <v>254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259</v>
      </c>
      <c r="D16" s="1" t="s">
        <v>263</v>
      </c>
      <c r="E16" s="1"/>
      <c r="F16" s="1" t="s">
        <v>262</v>
      </c>
      <c r="G16" s="1">
        <v>84</v>
      </c>
      <c r="H16" s="1" t="s">
        <v>19</v>
      </c>
      <c r="I16" s="1" t="s">
        <v>254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259</v>
      </c>
      <c r="D17" s="1">
        <v>266411</v>
      </c>
      <c r="E17" s="1"/>
      <c r="F17" s="1" t="s">
        <v>262</v>
      </c>
      <c r="G17" s="1">
        <v>180</v>
      </c>
      <c r="H17" s="1" t="s">
        <v>19</v>
      </c>
      <c r="I17" s="1" t="s">
        <v>254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122</v>
      </c>
      <c r="D18" s="1">
        <v>266029</v>
      </c>
      <c r="E18" s="1"/>
      <c r="F18" s="1" t="s">
        <v>261</v>
      </c>
      <c r="G18" s="1">
        <v>243</v>
      </c>
      <c r="H18" s="1" t="s">
        <v>19</v>
      </c>
      <c r="I18" s="1" t="s">
        <v>254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127</v>
      </c>
      <c r="D19" s="1">
        <v>271276</v>
      </c>
      <c r="E19" s="1"/>
      <c r="F19" s="1" t="s">
        <v>264</v>
      </c>
      <c r="G19" s="1">
        <v>120</v>
      </c>
      <c r="H19" s="1" t="s">
        <v>19</v>
      </c>
      <c r="I19" s="1" t="s">
        <v>254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120</v>
      </c>
      <c r="D20" s="1">
        <v>266023</v>
      </c>
      <c r="E20" s="1"/>
      <c r="F20" s="1" t="s">
        <v>265</v>
      </c>
      <c r="G20" s="1">
        <v>37</v>
      </c>
      <c r="H20" s="1" t="s">
        <v>19</v>
      </c>
      <c r="I20" s="1" t="s">
        <v>245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114</v>
      </c>
      <c r="D21" s="1">
        <v>266026</v>
      </c>
      <c r="E21" s="1"/>
      <c r="F21" s="1" t="s">
        <v>266</v>
      </c>
      <c r="G21" s="1">
        <v>116</v>
      </c>
      <c r="H21" s="1" t="s">
        <v>19</v>
      </c>
      <c r="I21" s="1" t="s">
        <v>254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122</v>
      </c>
      <c r="D22" s="1">
        <v>266029</v>
      </c>
      <c r="E22" s="1"/>
      <c r="F22" s="1" t="s">
        <v>261</v>
      </c>
      <c r="G22" s="1">
        <v>47</v>
      </c>
      <c r="H22" s="1" t="s">
        <v>19</v>
      </c>
      <c r="I22" s="1" t="s">
        <v>254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116</v>
      </c>
      <c r="D23" s="1">
        <v>266396</v>
      </c>
      <c r="E23" s="1"/>
      <c r="F23" s="1" t="s">
        <v>267</v>
      </c>
      <c r="G23" s="1">
        <v>151</v>
      </c>
      <c r="H23" s="1" t="s">
        <v>19</v>
      </c>
      <c r="I23" s="1" t="s">
        <v>254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126</v>
      </c>
      <c r="D24" s="1">
        <v>271275</v>
      </c>
      <c r="E24" s="1"/>
      <c r="F24" s="1" t="s">
        <v>273</v>
      </c>
      <c r="G24" s="1">
        <v>110</v>
      </c>
      <c r="H24" s="1" t="s">
        <v>19</v>
      </c>
      <c r="I24" s="1" t="s">
        <v>254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120</v>
      </c>
      <c r="D25" s="1">
        <v>266023</v>
      </c>
      <c r="E25" s="1"/>
      <c r="F25" s="1" t="s">
        <v>208</v>
      </c>
      <c r="G25" s="1">
        <v>113</v>
      </c>
      <c r="H25" s="1" t="s">
        <v>19</v>
      </c>
      <c r="I25" s="1" t="s">
        <v>245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114</v>
      </c>
      <c r="D26" s="1">
        <v>266026</v>
      </c>
      <c r="E26" s="1"/>
      <c r="F26" s="1" t="s">
        <v>211</v>
      </c>
      <c r="G26" s="1">
        <v>30</v>
      </c>
      <c r="H26" s="1" t="s">
        <v>19</v>
      </c>
      <c r="I26" s="1" t="s">
        <v>245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268</v>
      </c>
      <c r="G27" s="1">
        <v>4</v>
      </c>
      <c r="H27" s="1" t="s">
        <v>19</v>
      </c>
      <c r="I27" s="1" t="s">
        <v>245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269</v>
      </c>
      <c r="B28" s="1">
        <v>1639</v>
      </c>
      <c r="C28" s="1"/>
      <c r="D28" s="1">
        <v>279895</v>
      </c>
      <c r="E28" s="1"/>
      <c r="F28" s="1" t="s">
        <v>210</v>
      </c>
      <c r="G28" s="1">
        <v>2</v>
      </c>
      <c r="H28" s="1" t="s">
        <v>19</v>
      </c>
      <c r="I28" s="1" t="s">
        <v>245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270</v>
      </c>
      <c r="B29" s="1">
        <v>1640</v>
      </c>
      <c r="C29" s="1"/>
      <c r="D29" s="1">
        <v>279895</v>
      </c>
      <c r="E29" s="1"/>
      <c r="F29" s="1" t="s">
        <v>212</v>
      </c>
      <c r="G29" s="1">
        <v>2</v>
      </c>
      <c r="H29" s="1" t="s">
        <v>19</v>
      </c>
      <c r="I29" s="1" t="s">
        <v>245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271</v>
      </c>
      <c r="G30" s="1">
        <v>2</v>
      </c>
      <c r="H30" s="1" t="s">
        <v>19</v>
      </c>
      <c r="I30" s="1" t="s">
        <v>245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272</v>
      </c>
      <c r="G31" s="1">
        <v>4</v>
      </c>
      <c r="H31" s="1" t="s">
        <v>19</v>
      </c>
      <c r="I31" s="1" t="s">
        <v>245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198</v>
      </c>
      <c r="D32" s="1"/>
      <c r="E32" s="1" t="s">
        <v>2</v>
      </c>
      <c r="F32" s="1" t="s">
        <v>274</v>
      </c>
      <c r="G32" s="1">
        <v>1</v>
      </c>
      <c r="H32" s="1" t="s">
        <v>19</v>
      </c>
      <c r="I32" s="1" t="s">
        <v>275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199</v>
      </c>
      <c r="D33" s="1"/>
      <c r="E33" s="1" t="s">
        <v>2</v>
      </c>
      <c r="F33" s="1" t="s">
        <v>274</v>
      </c>
      <c r="G33" s="1">
        <v>1</v>
      </c>
      <c r="H33" s="1" t="s">
        <v>19</v>
      </c>
      <c r="I33" s="1" t="s">
        <v>275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200</v>
      </c>
      <c r="D34" s="1"/>
      <c r="E34" s="1" t="s">
        <v>2</v>
      </c>
      <c r="F34" s="1" t="s">
        <v>274</v>
      </c>
      <c r="G34" s="1">
        <v>1</v>
      </c>
      <c r="H34" s="1" t="s">
        <v>19</v>
      </c>
      <c r="I34" s="1" t="s">
        <v>275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197</v>
      </c>
      <c r="D35" s="1"/>
      <c r="E35" s="1" t="s">
        <v>2</v>
      </c>
      <c r="F35" s="1" t="s">
        <v>276</v>
      </c>
      <c r="G35" s="1">
        <v>1</v>
      </c>
      <c r="H35" s="1" t="s">
        <v>19</v>
      </c>
      <c r="I35" s="1" t="s">
        <v>275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194</v>
      </c>
      <c r="D36" s="1"/>
      <c r="E36" s="1" t="s">
        <v>2</v>
      </c>
      <c r="F36" s="1" t="s">
        <v>277</v>
      </c>
      <c r="G36" s="1">
        <v>1</v>
      </c>
      <c r="H36" s="1" t="s">
        <v>19</v>
      </c>
      <c r="I36" s="1" t="s">
        <v>275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196</v>
      </c>
      <c r="D37" s="1"/>
      <c r="E37" s="1" t="s">
        <v>2</v>
      </c>
      <c r="F37" s="1" t="s">
        <v>278</v>
      </c>
      <c r="G37" s="1">
        <v>1</v>
      </c>
      <c r="H37" s="1" t="s">
        <v>19</v>
      </c>
      <c r="I37" s="1" t="s">
        <v>275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201</v>
      </c>
      <c r="D38" s="1" t="s">
        <v>279</v>
      </c>
      <c r="E38" s="1"/>
      <c r="F38" s="1" t="s">
        <v>280</v>
      </c>
      <c r="G38" s="1">
        <v>40</v>
      </c>
      <c r="H38" s="1" t="s">
        <v>19</v>
      </c>
      <c r="I38" s="1" t="s">
        <v>281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219</v>
      </c>
      <c r="D39" s="1">
        <v>266923</v>
      </c>
      <c r="E39" s="1"/>
      <c r="F39" s="1" t="s">
        <v>220</v>
      </c>
      <c r="G39" s="1">
        <v>2</v>
      </c>
      <c r="H39" s="1" t="s">
        <v>19</v>
      </c>
      <c r="I39" s="1" t="s">
        <v>295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225</v>
      </c>
      <c r="D40" s="1">
        <v>266939</v>
      </c>
      <c r="E40" s="1"/>
      <c r="F40" s="1" t="s">
        <v>226</v>
      </c>
      <c r="G40" s="1">
        <v>5</v>
      </c>
      <c r="H40" s="1" t="s">
        <v>19</v>
      </c>
      <c r="I40" s="1" t="s">
        <v>295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222</v>
      </c>
      <c r="D41" s="1">
        <v>266945</v>
      </c>
      <c r="E41" s="1"/>
      <c r="F41" s="1" t="s">
        <v>223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81</v>
      </c>
      <c r="D42" s="1"/>
      <c r="E42" s="1"/>
      <c r="F42" s="1" t="s">
        <v>296</v>
      </c>
      <c r="G42" s="1">
        <v>4</v>
      </c>
      <c r="H42" s="1" t="s">
        <v>19</v>
      </c>
      <c r="I42" s="1" t="s">
        <v>297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80</v>
      </c>
      <c r="D43" s="1"/>
      <c r="E43" s="1"/>
      <c r="F43" s="1" t="s">
        <v>298</v>
      </c>
      <c r="G43" s="1">
        <v>4</v>
      </c>
      <c r="H43" s="1" t="s">
        <v>19</v>
      </c>
      <c r="I43" s="1" t="s">
        <v>297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138</v>
      </c>
      <c r="D44" s="1"/>
      <c r="E44" s="1"/>
      <c r="F44" s="1" t="s">
        <v>216</v>
      </c>
      <c r="G44" s="1">
        <v>5</v>
      </c>
      <c r="H44" s="1" t="s">
        <v>19</v>
      </c>
      <c r="I44" s="1" t="s">
        <v>297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119</v>
      </c>
      <c r="D45" s="1">
        <v>266019</v>
      </c>
      <c r="E45" s="1"/>
      <c r="F45" s="1" t="s">
        <v>299</v>
      </c>
      <c r="G45" s="1">
        <v>124</v>
      </c>
      <c r="H45" s="1" t="s">
        <v>19</v>
      </c>
      <c r="I45" s="1" t="s">
        <v>254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117</v>
      </c>
      <c r="D46" s="1">
        <v>266024</v>
      </c>
      <c r="E46" s="1"/>
      <c r="F46" s="1" t="s">
        <v>300</v>
      </c>
      <c r="G46" s="1">
        <v>120</v>
      </c>
      <c r="H46" s="1" t="s">
        <v>19</v>
      </c>
      <c r="I46" s="1" t="s">
        <v>254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114</v>
      </c>
      <c r="D47" s="1">
        <v>266026</v>
      </c>
      <c r="E47" s="1"/>
      <c r="F47" s="1" t="s">
        <v>266</v>
      </c>
      <c r="G47" s="1">
        <v>4</v>
      </c>
      <c r="H47" s="1" t="s">
        <v>19</v>
      </c>
      <c r="I47" s="1" t="s">
        <v>254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114</v>
      </c>
      <c r="D48" s="1">
        <v>266028</v>
      </c>
      <c r="E48" s="1"/>
      <c r="F48" s="1" t="s">
        <v>301</v>
      </c>
      <c r="G48" s="1">
        <v>39</v>
      </c>
      <c r="H48" s="1" t="s">
        <v>19</v>
      </c>
      <c r="I48" s="1" t="s">
        <v>254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116</v>
      </c>
      <c r="D49" s="1">
        <v>266396</v>
      </c>
      <c r="E49" s="1"/>
      <c r="F49" s="1" t="s">
        <v>267</v>
      </c>
      <c r="G49" s="1">
        <v>38</v>
      </c>
      <c r="H49" s="1" t="s">
        <v>19</v>
      </c>
      <c r="I49" s="1" t="s">
        <v>254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104</v>
      </c>
      <c r="D50" s="1">
        <v>271277</v>
      </c>
      <c r="E50" s="1"/>
      <c r="F50" s="1" t="s">
        <v>302</v>
      </c>
      <c r="G50" s="1">
        <v>150</v>
      </c>
      <c r="H50" s="1" t="s">
        <v>19</v>
      </c>
      <c r="I50" s="1" t="s">
        <v>254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239</v>
      </c>
      <c r="D51" s="1"/>
      <c r="E51" s="1" t="s">
        <v>2</v>
      </c>
      <c r="F51" s="1" t="s">
        <v>240</v>
      </c>
      <c r="G51" s="1">
        <v>18</v>
      </c>
      <c r="H51" s="1" t="s">
        <v>19</v>
      </c>
      <c r="I51" s="1" t="s">
        <v>303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150</v>
      </c>
      <c r="D52" s="1"/>
      <c r="E52" s="1"/>
      <c r="F52" s="1" t="s">
        <v>151</v>
      </c>
      <c r="G52" s="1">
        <v>3</v>
      </c>
      <c r="H52" s="1" t="s">
        <v>19</v>
      </c>
      <c r="I52" s="1" t="s">
        <v>304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117</v>
      </c>
      <c r="D53" s="1">
        <v>266024</v>
      </c>
      <c r="E53" s="1"/>
      <c r="F53" s="1" t="s">
        <v>300</v>
      </c>
      <c r="G53" s="1">
        <v>32</v>
      </c>
      <c r="H53" s="1" t="s">
        <v>19</v>
      </c>
      <c r="I53" s="1" t="s">
        <v>254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114</v>
      </c>
      <c r="D54" s="1">
        <v>266028</v>
      </c>
      <c r="E54" s="1"/>
      <c r="F54" s="1" t="s">
        <v>301</v>
      </c>
      <c r="G54" s="1">
        <v>62</v>
      </c>
      <c r="H54" s="1" t="s">
        <v>19</v>
      </c>
      <c r="I54" s="1" t="s">
        <v>254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116</v>
      </c>
      <c r="D55" s="1">
        <v>266396</v>
      </c>
      <c r="E55" s="1"/>
      <c r="F55" s="1" t="s">
        <v>267</v>
      </c>
      <c r="G55" s="1">
        <v>1</v>
      </c>
      <c r="H55" s="1" t="s">
        <v>19</v>
      </c>
      <c r="I55" s="1" t="s">
        <v>254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116</v>
      </c>
      <c r="D56" s="1">
        <v>266399</v>
      </c>
      <c r="E56" s="1"/>
      <c r="F56" s="1" t="s">
        <v>336</v>
      </c>
      <c r="G56" s="1">
        <v>72</v>
      </c>
      <c r="H56" s="1" t="s">
        <v>19</v>
      </c>
      <c r="I56" s="1" t="s">
        <v>254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227</v>
      </c>
      <c r="D57" s="1" t="s">
        <v>227</v>
      </c>
      <c r="E57" s="1" t="s">
        <v>2</v>
      </c>
      <c r="F57" s="1" t="s">
        <v>228</v>
      </c>
      <c r="G57" s="1">
        <v>56</v>
      </c>
      <c r="H57" s="1" t="s">
        <v>19</v>
      </c>
      <c r="I57" s="1" t="s">
        <v>346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285</v>
      </c>
      <c r="D58" s="1" t="s">
        <v>347</v>
      </c>
      <c r="E58" s="1"/>
      <c r="F58" s="1" t="s">
        <v>348</v>
      </c>
      <c r="G58" s="1">
        <v>2</v>
      </c>
      <c r="H58" s="1" t="s">
        <v>19</v>
      </c>
      <c r="I58" s="1" t="s">
        <v>349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350</v>
      </c>
      <c r="D59" s="1" t="s">
        <v>351</v>
      </c>
      <c r="E59" s="1" t="s">
        <v>44</v>
      </c>
      <c r="F59" s="1" t="s">
        <v>352</v>
      </c>
      <c r="G59" s="1">
        <v>25</v>
      </c>
      <c r="H59" s="1" t="s">
        <v>19</v>
      </c>
      <c r="I59" s="1" t="s">
        <v>353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350</v>
      </c>
      <c r="D60" s="1" t="s">
        <v>354</v>
      </c>
      <c r="E60" s="1" t="s">
        <v>44</v>
      </c>
      <c r="F60" s="1" t="s">
        <v>352</v>
      </c>
      <c r="G60" s="1">
        <v>25</v>
      </c>
      <c r="H60" s="1" t="s">
        <v>19</v>
      </c>
      <c r="I60" s="1" t="s">
        <v>353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232</v>
      </c>
      <c r="D61" s="1" t="s">
        <v>232</v>
      </c>
      <c r="E61" s="1"/>
      <c r="F61" s="1" t="s">
        <v>233</v>
      </c>
      <c r="G61" s="1">
        <v>200</v>
      </c>
      <c r="H61" s="1" t="s">
        <v>19</v>
      </c>
      <c r="I61" s="1" t="s">
        <v>355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283</v>
      </c>
      <c r="D62" s="1"/>
      <c r="E62" s="1"/>
      <c r="F62" s="1" t="s">
        <v>284</v>
      </c>
      <c r="G62" s="1">
        <v>10</v>
      </c>
      <c r="H62" s="1" t="s">
        <v>19</v>
      </c>
      <c r="I62" s="1" t="s">
        <v>356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179</v>
      </c>
      <c r="D63" s="1" t="s">
        <v>179</v>
      </c>
      <c r="E63" s="1"/>
      <c r="F63" s="1" t="s">
        <v>180</v>
      </c>
      <c r="G63" s="1">
        <v>4</v>
      </c>
      <c r="H63" s="1" t="s">
        <v>19</v>
      </c>
      <c r="I63" s="1" t="s">
        <v>357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140</v>
      </c>
      <c r="D64" s="1"/>
      <c r="E64" s="1"/>
      <c r="F64" s="1" t="s">
        <v>189</v>
      </c>
      <c r="G64" s="1">
        <v>5</v>
      </c>
      <c r="H64" s="1" t="s">
        <v>19</v>
      </c>
      <c r="I64" s="1" t="s">
        <v>358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137</v>
      </c>
      <c r="D65" s="1"/>
      <c r="E65" s="1"/>
      <c r="F65" s="1" t="s">
        <v>191</v>
      </c>
      <c r="G65" s="1">
        <v>5</v>
      </c>
      <c r="H65" s="1" t="s">
        <v>19</v>
      </c>
      <c r="I65" s="1" t="s">
        <v>358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104</v>
      </c>
      <c r="D66" s="1"/>
      <c r="E66" s="1"/>
      <c r="F66" s="1" t="s">
        <v>125</v>
      </c>
      <c r="G66" s="1">
        <v>10</v>
      </c>
      <c r="H66" s="1" t="s">
        <v>19</v>
      </c>
      <c r="I66" s="1" t="s">
        <v>358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145</v>
      </c>
      <c r="D67" s="1" t="s">
        <v>145</v>
      </c>
      <c r="E67" s="1"/>
      <c r="F67" s="1" t="s">
        <v>359</v>
      </c>
      <c r="G67" s="1">
        <v>10</v>
      </c>
      <c r="H67" s="1" t="s">
        <v>19</v>
      </c>
      <c r="I67" s="1" t="s">
        <v>360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287</v>
      </c>
      <c r="D68" s="1" t="s">
        <v>389</v>
      </c>
      <c r="E68" s="1"/>
      <c r="F68" s="1" t="s">
        <v>390</v>
      </c>
      <c r="G68" s="1">
        <v>1</v>
      </c>
      <c r="H68" s="1" t="s">
        <v>19</v>
      </c>
      <c r="I68" s="1" t="s">
        <v>349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119</v>
      </c>
      <c r="D69" s="1">
        <v>266019</v>
      </c>
      <c r="E69" s="1"/>
      <c r="F69" s="1" t="s">
        <v>299</v>
      </c>
      <c r="G69" s="1">
        <v>44</v>
      </c>
      <c r="H69" s="1" t="s">
        <v>19</v>
      </c>
      <c r="I69" s="1" t="s">
        <v>254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117</v>
      </c>
      <c r="D70" s="1">
        <v>266024</v>
      </c>
      <c r="E70" s="1"/>
      <c r="F70" s="1" t="s">
        <v>300</v>
      </c>
      <c r="G70" s="1">
        <v>29</v>
      </c>
      <c r="H70" s="1" t="s">
        <v>19</v>
      </c>
      <c r="I70" s="1" t="s">
        <v>254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123</v>
      </c>
      <c r="D71" s="1">
        <v>266025</v>
      </c>
      <c r="E71" s="1"/>
      <c r="F71" s="1" t="s">
        <v>391</v>
      </c>
      <c r="G71" s="1">
        <v>260</v>
      </c>
      <c r="H71" s="1" t="s">
        <v>19</v>
      </c>
      <c r="I71" s="1" t="s">
        <v>254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114</v>
      </c>
      <c r="D72" s="1">
        <v>266028</v>
      </c>
      <c r="E72" s="1"/>
      <c r="F72" s="1" t="s">
        <v>301</v>
      </c>
      <c r="G72" s="1">
        <v>47</v>
      </c>
      <c r="H72" s="1" t="s">
        <v>19</v>
      </c>
      <c r="I72" s="1" t="s">
        <v>254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116</v>
      </c>
      <c r="D73" s="1">
        <v>266399</v>
      </c>
      <c r="E73" s="1"/>
      <c r="F73" s="1" t="s">
        <v>336</v>
      </c>
      <c r="G73" s="1">
        <v>157</v>
      </c>
      <c r="H73" s="1" t="s">
        <v>19</v>
      </c>
      <c r="I73" s="1" t="s">
        <v>254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82</v>
      </c>
      <c r="D74" s="1" t="s">
        <v>82</v>
      </c>
      <c r="E74" s="1"/>
      <c r="F74" s="1" t="s">
        <v>235</v>
      </c>
      <c r="G74" s="1">
        <v>10</v>
      </c>
      <c r="H74" s="1" t="s">
        <v>19</v>
      </c>
      <c r="I74" s="1" t="s">
        <v>401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84</v>
      </c>
      <c r="D75" s="1" t="s">
        <v>84</v>
      </c>
      <c r="E75" s="1"/>
      <c r="F75" s="1" t="s">
        <v>237</v>
      </c>
      <c r="G75" s="1">
        <v>2</v>
      </c>
      <c r="H75" s="1" t="s">
        <v>19</v>
      </c>
      <c r="I75" s="1" t="s">
        <v>401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402</v>
      </c>
      <c r="G76" s="1">
        <v>2</v>
      </c>
      <c r="H76" s="1" t="s">
        <v>19</v>
      </c>
      <c r="I76" s="1" t="s">
        <v>245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289</v>
      </c>
      <c r="D77" s="1" t="s">
        <v>403</v>
      </c>
      <c r="E77" s="1"/>
      <c r="F77" s="1" t="s">
        <v>404</v>
      </c>
      <c r="G77" s="1">
        <v>2</v>
      </c>
      <c r="H77" s="1" t="s">
        <v>19</v>
      </c>
      <c r="I77" s="1" t="s">
        <v>349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287</v>
      </c>
      <c r="D78" s="1">
        <v>266947</v>
      </c>
      <c r="E78" s="1"/>
      <c r="F78" s="1" t="s">
        <v>405</v>
      </c>
      <c r="G78" s="1">
        <v>1</v>
      </c>
      <c r="H78" s="1" t="s">
        <v>19</v>
      </c>
      <c r="I78" s="1" t="s">
        <v>349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290</v>
      </c>
      <c r="D79" s="1" t="s">
        <v>406</v>
      </c>
      <c r="E79" s="1"/>
      <c r="F79" s="1" t="s">
        <v>292</v>
      </c>
      <c r="G79" s="1">
        <v>2</v>
      </c>
      <c r="H79" s="1" t="s">
        <v>19</v>
      </c>
      <c r="I79" s="1" t="s">
        <v>349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153</v>
      </c>
      <c r="D80" s="1">
        <v>266938</v>
      </c>
      <c r="E80" s="1" t="s">
        <v>2</v>
      </c>
      <c r="F80" s="1" t="s">
        <v>407</v>
      </c>
      <c r="G80" s="1">
        <v>2</v>
      </c>
      <c r="H80" s="1" t="s">
        <v>19</v>
      </c>
      <c r="I80" s="1" t="s">
        <v>408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153</v>
      </c>
      <c r="D81" s="1">
        <v>266941</v>
      </c>
      <c r="E81" s="1" t="s">
        <v>44</v>
      </c>
      <c r="F81" s="1" t="s">
        <v>407</v>
      </c>
      <c r="G81" s="1">
        <v>2</v>
      </c>
      <c r="H81" s="1" t="s">
        <v>19</v>
      </c>
      <c r="I81" s="1" t="s">
        <v>408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127</v>
      </c>
      <c r="D82" s="1">
        <v>271276</v>
      </c>
      <c r="E82" s="1"/>
      <c r="F82" s="1" t="s">
        <v>409</v>
      </c>
      <c r="G82" s="1">
        <v>20</v>
      </c>
      <c r="H82" s="1" t="s">
        <v>19</v>
      </c>
      <c r="I82" s="1" t="s">
        <v>408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112</v>
      </c>
      <c r="D83" s="1">
        <v>266017</v>
      </c>
      <c r="E83" s="1"/>
      <c r="F83" s="1" t="s">
        <v>410</v>
      </c>
      <c r="G83" s="1">
        <v>2</v>
      </c>
      <c r="H83" s="1" t="s">
        <v>19</v>
      </c>
      <c r="I83" s="1" t="s">
        <v>411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116</v>
      </c>
      <c r="D84" s="1">
        <v>266399</v>
      </c>
      <c r="F84" s="1" t="s">
        <v>336</v>
      </c>
      <c r="G84" s="1">
        <v>31</v>
      </c>
      <c r="H84" s="1" t="s">
        <v>19</v>
      </c>
      <c r="I84" s="1" t="s">
        <v>254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341</v>
      </c>
      <c r="D85" s="1"/>
      <c r="E85" s="1"/>
      <c r="F85" s="1" t="s">
        <v>342</v>
      </c>
      <c r="G85" s="1">
        <v>90</v>
      </c>
      <c r="H85" s="1" t="s">
        <v>19</v>
      </c>
      <c r="I85" s="1" t="s">
        <v>412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114</v>
      </c>
      <c r="D86" s="1">
        <v>266028</v>
      </c>
      <c r="E86" s="1"/>
      <c r="F86" s="1" t="s">
        <v>301</v>
      </c>
      <c r="G86" s="1">
        <v>96</v>
      </c>
      <c r="H86" s="1" t="s">
        <v>19</v>
      </c>
      <c r="I86" s="1" t="s">
        <v>254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286</v>
      </c>
      <c r="D87" s="1">
        <v>266951</v>
      </c>
      <c r="E87" s="1"/>
      <c r="F87" s="1" t="s">
        <v>417</v>
      </c>
      <c r="G87" s="1">
        <v>2</v>
      </c>
      <c r="H87" s="1" t="s">
        <v>19</v>
      </c>
      <c r="I87" s="1" t="s">
        <v>349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288</v>
      </c>
      <c r="D88" s="1">
        <v>266937</v>
      </c>
      <c r="E88" s="1"/>
      <c r="F88" s="1" t="s">
        <v>418</v>
      </c>
      <c r="G88" s="1">
        <v>2</v>
      </c>
      <c r="H88" s="1" t="s">
        <v>19</v>
      </c>
      <c r="I88" s="1" t="s">
        <v>349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122</v>
      </c>
      <c r="D89" s="1"/>
      <c r="E89" s="1"/>
      <c r="F89" s="1" t="s">
        <v>419</v>
      </c>
      <c r="G89" s="1">
        <v>20</v>
      </c>
      <c r="H89" s="1" t="s">
        <v>19</v>
      </c>
      <c r="I89" s="1" t="s">
        <v>408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116</v>
      </c>
      <c r="D90" s="1"/>
      <c r="E90" s="1"/>
      <c r="F90" s="1" t="s">
        <v>420</v>
      </c>
      <c r="G90" s="1">
        <v>20</v>
      </c>
      <c r="H90" s="1" t="s">
        <v>19</v>
      </c>
      <c r="I90" s="1" t="s">
        <v>408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109</v>
      </c>
      <c r="D91" s="1"/>
      <c r="E91" s="1"/>
      <c r="F91" s="1" t="s">
        <v>344</v>
      </c>
      <c r="G91" s="1">
        <v>9</v>
      </c>
      <c r="H91" s="1" t="s">
        <v>19</v>
      </c>
      <c r="I91" s="1" t="s">
        <v>412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337</v>
      </c>
      <c r="E92" s="1"/>
      <c r="F92" s="1" t="s">
        <v>338</v>
      </c>
      <c r="G92" s="1">
        <v>3</v>
      </c>
      <c r="H92" s="1" t="s">
        <v>19</v>
      </c>
      <c r="I92" s="1" t="s">
        <v>442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337</v>
      </c>
      <c r="E93" s="1"/>
      <c r="F93" s="1" t="s">
        <v>339</v>
      </c>
      <c r="G93" s="1">
        <v>3</v>
      </c>
      <c r="H93" s="1" t="s">
        <v>19</v>
      </c>
      <c r="I93" s="1" t="s">
        <v>442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435</v>
      </c>
      <c r="E94" s="1" t="s">
        <v>439</v>
      </c>
      <c r="F94" s="1" t="s">
        <v>385</v>
      </c>
      <c r="G94" s="1">
        <v>15</v>
      </c>
      <c r="H94" s="1" t="s">
        <v>19</v>
      </c>
      <c r="I94" s="1" t="s">
        <v>442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435</v>
      </c>
      <c r="E95" s="1" t="s">
        <v>440</v>
      </c>
      <c r="F95" s="1" t="s">
        <v>386</v>
      </c>
      <c r="G95" s="1">
        <v>42</v>
      </c>
      <c r="H95" s="1" t="s">
        <v>19</v>
      </c>
      <c r="I95" s="1" t="s">
        <v>442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435</v>
      </c>
      <c r="E96" s="1" t="s">
        <v>441</v>
      </c>
      <c r="F96" s="1" t="s">
        <v>387</v>
      </c>
      <c r="G96" s="1">
        <v>207</v>
      </c>
      <c r="H96" s="1" t="s">
        <v>19</v>
      </c>
      <c r="I96" s="1" t="s">
        <v>442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436</v>
      </c>
      <c r="E97" s="1"/>
      <c r="F97" s="1" t="s">
        <v>361</v>
      </c>
      <c r="G97" s="1">
        <v>1</v>
      </c>
      <c r="H97" s="1" t="s">
        <v>19</v>
      </c>
      <c r="I97" s="1" t="s">
        <v>443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437</v>
      </c>
      <c r="E98" s="1"/>
      <c r="F98" s="1" t="s">
        <v>362</v>
      </c>
      <c r="G98" s="1">
        <v>1</v>
      </c>
      <c r="H98" s="1" t="s">
        <v>19</v>
      </c>
      <c r="I98" s="1" t="s">
        <v>444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438</v>
      </c>
      <c r="E99" s="1"/>
      <c r="F99" s="1" t="s">
        <v>363</v>
      </c>
      <c r="G99" s="1">
        <v>1</v>
      </c>
      <c r="H99" s="1" t="s">
        <v>19</v>
      </c>
      <c r="I99" s="1" t="s">
        <v>445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436</v>
      </c>
      <c r="E100" s="1"/>
      <c r="F100" s="1" t="s">
        <v>364</v>
      </c>
      <c r="G100" s="1">
        <v>1</v>
      </c>
      <c r="H100" s="1" t="s">
        <v>19</v>
      </c>
      <c r="I100" s="1" t="s">
        <v>443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437</v>
      </c>
      <c r="E101" s="1"/>
      <c r="F101" s="1" t="s">
        <v>365</v>
      </c>
      <c r="G101" s="1">
        <v>1</v>
      </c>
      <c r="H101" s="1" t="s">
        <v>19</v>
      </c>
      <c r="I101" s="1" t="s">
        <v>444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438</v>
      </c>
      <c r="E102" s="1"/>
      <c r="F102" s="1" t="s">
        <v>366</v>
      </c>
      <c r="G102" s="1">
        <v>1</v>
      </c>
      <c r="H102" s="1" t="s">
        <v>19</v>
      </c>
      <c r="I102" s="1" t="s">
        <v>445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436</v>
      </c>
      <c r="E103" s="1"/>
      <c r="F103" s="1" t="s">
        <v>367</v>
      </c>
      <c r="G103" s="1">
        <v>2</v>
      </c>
      <c r="H103" s="1" t="s">
        <v>19</v>
      </c>
      <c r="I103" s="1" t="s">
        <v>443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437</v>
      </c>
      <c r="E104" s="1"/>
      <c r="F104" s="1" t="s">
        <v>368</v>
      </c>
      <c r="G104" s="1">
        <v>2</v>
      </c>
      <c r="H104" s="1" t="s">
        <v>19</v>
      </c>
      <c r="I104" s="1" t="s">
        <v>444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438</v>
      </c>
      <c r="E105" s="1"/>
      <c r="F105" s="1" t="s">
        <v>369</v>
      </c>
      <c r="G105" s="1">
        <v>2</v>
      </c>
      <c r="H105" s="1" t="s">
        <v>19</v>
      </c>
      <c r="I105" s="1" t="s">
        <v>445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436</v>
      </c>
      <c r="E106" s="1"/>
      <c r="F106" s="1" t="s">
        <v>370</v>
      </c>
      <c r="G106" s="1">
        <v>2</v>
      </c>
      <c r="H106" s="1" t="s">
        <v>19</v>
      </c>
      <c r="I106" s="1" t="s">
        <v>443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437</v>
      </c>
      <c r="E107" s="1"/>
      <c r="F107" s="1" t="s">
        <v>371</v>
      </c>
      <c r="G107" s="1">
        <v>2</v>
      </c>
      <c r="H107" s="1" t="s">
        <v>19</v>
      </c>
      <c r="I107" s="1" t="s">
        <v>444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438</v>
      </c>
      <c r="E108" s="1"/>
      <c r="F108" s="1" t="s">
        <v>372</v>
      </c>
      <c r="G108" s="1">
        <v>2</v>
      </c>
      <c r="H108" s="1" t="s">
        <v>19</v>
      </c>
      <c r="I108" s="1" t="s">
        <v>446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373</v>
      </c>
      <c r="G109" s="1">
        <v>3</v>
      </c>
      <c r="H109" s="1" t="s">
        <v>19</v>
      </c>
      <c r="I109" s="1" t="s">
        <v>442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374</v>
      </c>
      <c r="G110" s="1">
        <v>3</v>
      </c>
      <c r="H110" s="1" t="s">
        <v>19</v>
      </c>
      <c r="I110" s="1" t="s">
        <v>442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375</v>
      </c>
      <c r="G111" s="1">
        <v>3</v>
      </c>
      <c r="H111" s="1" t="s">
        <v>19</v>
      </c>
      <c r="I111" s="1" t="s">
        <v>442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376</v>
      </c>
      <c r="G112" s="1">
        <v>3</v>
      </c>
      <c r="H112" s="1" t="s">
        <v>19</v>
      </c>
      <c r="I112" s="1" t="s">
        <v>442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377</v>
      </c>
      <c r="G113" s="1">
        <v>3</v>
      </c>
      <c r="H113" s="1" t="s">
        <v>19</v>
      </c>
      <c r="I113" s="1" t="s">
        <v>442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378</v>
      </c>
      <c r="G114" s="1">
        <v>96</v>
      </c>
      <c r="H114" s="1" t="s">
        <v>19</v>
      </c>
      <c r="I114" s="1" t="s">
        <v>442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379</v>
      </c>
      <c r="G115" s="1">
        <v>72</v>
      </c>
      <c r="H115" s="1" t="s">
        <v>19</v>
      </c>
      <c r="I115" s="1" t="s">
        <v>442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380</v>
      </c>
      <c r="G116" s="1">
        <v>96</v>
      </c>
      <c r="H116" s="1" t="s">
        <v>19</v>
      </c>
      <c r="I116" s="1" t="s">
        <v>442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381</v>
      </c>
      <c r="G117" s="1">
        <v>72</v>
      </c>
      <c r="H117" s="1" t="s">
        <v>19</v>
      </c>
      <c r="I117" s="1" t="s">
        <v>442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382</v>
      </c>
      <c r="G118" s="1">
        <v>942</v>
      </c>
      <c r="H118" s="1" t="s">
        <v>19</v>
      </c>
      <c r="I118" s="1" t="s">
        <v>442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383</v>
      </c>
      <c r="G119" s="1">
        <v>942</v>
      </c>
      <c r="H119" s="1" t="s">
        <v>19</v>
      </c>
      <c r="I119" s="1" t="s">
        <v>442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384</v>
      </c>
      <c r="G120" s="1">
        <v>942</v>
      </c>
      <c r="H120" s="1" t="s">
        <v>19</v>
      </c>
      <c r="I120" s="1" t="s">
        <v>442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222</v>
      </c>
      <c r="D121" s="1">
        <v>266945</v>
      </c>
      <c r="E121" s="1"/>
      <c r="F121" s="1" t="s">
        <v>223</v>
      </c>
      <c r="G121" s="1">
        <v>1</v>
      </c>
      <c r="H121" s="1" t="s">
        <v>19</v>
      </c>
      <c r="I121" s="1" t="s">
        <v>295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114</v>
      </c>
      <c r="D122" s="1">
        <v>266028</v>
      </c>
      <c r="E122" s="1"/>
      <c r="F122" s="1" t="s">
        <v>115</v>
      </c>
      <c r="G122" s="1">
        <v>36</v>
      </c>
      <c r="H122" s="1" t="s">
        <v>19</v>
      </c>
      <c r="I122" s="1" t="s">
        <v>254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447</v>
      </c>
      <c r="D123" s="1">
        <v>266023</v>
      </c>
      <c r="E123" s="1"/>
      <c r="F123" s="1" t="s">
        <v>448</v>
      </c>
      <c r="G123" s="1">
        <v>350</v>
      </c>
      <c r="H123" s="1" t="s">
        <v>19</v>
      </c>
      <c r="I123" s="1" t="s">
        <v>408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447</v>
      </c>
      <c r="D124" s="1">
        <v>266021</v>
      </c>
      <c r="E124" s="1"/>
      <c r="F124" s="1" t="s">
        <v>449</v>
      </c>
      <c r="G124" s="1">
        <v>100</v>
      </c>
      <c r="H124" s="1" t="s">
        <v>19</v>
      </c>
      <c r="I124" s="1" t="s">
        <v>408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447</v>
      </c>
      <c r="D125" s="1">
        <v>266021</v>
      </c>
      <c r="E125" s="1"/>
      <c r="F125" s="1" t="s">
        <v>449</v>
      </c>
      <c r="G125" s="1">
        <v>40</v>
      </c>
      <c r="H125" s="1" t="s">
        <v>19</v>
      </c>
      <c r="I125" s="1" t="s">
        <v>408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447</v>
      </c>
      <c r="D126" s="1">
        <v>266023</v>
      </c>
      <c r="E126" s="1"/>
      <c r="F126" s="1" t="s">
        <v>449</v>
      </c>
      <c r="G126" s="1">
        <v>37</v>
      </c>
      <c r="H126" s="1" t="s">
        <v>19</v>
      </c>
      <c r="I126" s="1" t="s">
        <v>408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122</v>
      </c>
      <c r="D127" s="1">
        <v>266029</v>
      </c>
      <c r="E127" s="1"/>
      <c r="F127" s="1" t="s">
        <v>419</v>
      </c>
      <c r="G127" s="1">
        <v>50</v>
      </c>
      <c r="H127" s="1" t="s">
        <v>19</v>
      </c>
      <c r="I127" s="1" t="s">
        <v>408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113</v>
      </c>
      <c r="D128" s="1">
        <v>266030</v>
      </c>
      <c r="E128" s="1"/>
      <c r="F128" s="1" t="s">
        <v>450</v>
      </c>
      <c r="G128" s="1">
        <v>23</v>
      </c>
      <c r="H128" s="1" t="s">
        <v>19</v>
      </c>
      <c r="I128" s="1" t="s">
        <v>408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121</v>
      </c>
      <c r="D129" s="1">
        <v>266401</v>
      </c>
      <c r="E129" s="1"/>
      <c r="F129" s="1" t="s">
        <v>451</v>
      </c>
      <c r="G129" s="1">
        <v>100</v>
      </c>
      <c r="H129" s="1" t="s">
        <v>19</v>
      </c>
      <c r="I129" s="1" t="s">
        <v>408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121</v>
      </c>
      <c r="D130" s="1">
        <v>266403</v>
      </c>
      <c r="E130" s="1"/>
      <c r="F130" s="1" t="s">
        <v>451</v>
      </c>
      <c r="G130" s="1">
        <v>50</v>
      </c>
      <c r="H130" s="1" t="s">
        <v>19</v>
      </c>
      <c r="I130" s="1" t="s">
        <v>408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77</v>
      </c>
      <c r="D131" s="1">
        <v>275119</v>
      </c>
      <c r="E131" s="1"/>
      <c r="F131" s="1" t="s">
        <v>452</v>
      </c>
      <c r="G131" s="1">
        <v>10</v>
      </c>
      <c r="H131" s="1" t="s">
        <v>19</v>
      </c>
      <c r="I131" s="1" t="s">
        <v>453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454</v>
      </c>
      <c r="D132" s="1"/>
      <c r="E132" s="1"/>
      <c r="F132" s="1" t="s">
        <v>455</v>
      </c>
      <c r="G132" s="1">
        <v>3</v>
      </c>
      <c r="H132" s="1" t="s">
        <v>456</v>
      </c>
      <c r="I132" s="1" t="s">
        <v>457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458</v>
      </c>
      <c r="D133" s="1"/>
      <c r="E133" s="1" t="s">
        <v>174</v>
      </c>
      <c r="F133" s="1" t="s">
        <v>459</v>
      </c>
      <c r="G133" s="1">
        <v>6</v>
      </c>
      <c r="H133" s="1" t="s">
        <v>456</v>
      </c>
      <c r="I133" s="1" t="s">
        <v>460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461</v>
      </c>
      <c r="D134" s="1"/>
      <c r="E134" s="1" t="s">
        <v>462</v>
      </c>
      <c r="F134" s="1" t="s">
        <v>463</v>
      </c>
      <c r="G134" s="1">
        <v>2</v>
      </c>
      <c r="H134" s="1" t="s">
        <v>456</v>
      </c>
      <c r="I134" s="1" t="s">
        <v>460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464</v>
      </c>
      <c r="D135" s="1"/>
      <c r="E135" s="1" t="s">
        <v>465</v>
      </c>
      <c r="F135" s="1" t="s">
        <v>466</v>
      </c>
      <c r="G135" s="1">
        <v>1</v>
      </c>
      <c r="H135" s="1" t="s">
        <v>456</v>
      </c>
      <c r="I135" s="1" t="s">
        <v>467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468</v>
      </c>
      <c r="D136" s="1"/>
      <c r="E136" s="1"/>
      <c r="F136" s="1" t="s">
        <v>469</v>
      </c>
      <c r="G136" s="1">
        <v>2</v>
      </c>
      <c r="H136" s="1" t="s">
        <v>456</v>
      </c>
      <c r="I136" s="1" t="s">
        <v>460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470</v>
      </c>
      <c r="D137" s="1"/>
      <c r="E137" s="1"/>
      <c r="F137" s="1" t="s">
        <v>471</v>
      </c>
      <c r="G137" s="1">
        <v>1</v>
      </c>
      <c r="H137" s="1" t="s">
        <v>472</v>
      </c>
      <c r="I137" s="1" t="s">
        <v>460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473</v>
      </c>
      <c r="D138" s="1"/>
      <c r="E138" s="1"/>
      <c r="F138" s="1" t="s">
        <v>474</v>
      </c>
      <c r="G138" s="1">
        <v>40</v>
      </c>
      <c r="H138" s="1" t="s">
        <v>475</v>
      </c>
      <c r="I138" s="1" t="s">
        <v>476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477</v>
      </c>
      <c r="D139" s="1"/>
      <c r="E139" s="1"/>
      <c r="F139" s="1" t="s">
        <v>478</v>
      </c>
      <c r="G139" s="1">
        <v>20</v>
      </c>
      <c r="H139" s="1" t="s">
        <v>475</v>
      </c>
      <c r="I139" s="1" t="s">
        <v>476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146</v>
      </c>
      <c r="D140" s="1"/>
      <c r="E140" s="1"/>
      <c r="F140" s="1" t="s">
        <v>479</v>
      </c>
      <c r="G140" s="1">
        <v>12</v>
      </c>
      <c r="H140" s="1" t="s">
        <v>475</v>
      </c>
      <c r="I140" s="1" t="s">
        <v>476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480</v>
      </c>
      <c r="D141" s="1"/>
      <c r="E141" s="1"/>
      <c r="F141" s="1" t="s">
        <v>481</v>
      </c>
      <c r="G141" s="1">
        <v>2</v>
      </c>
      <c r="H141" s="1" t="s">
        <v>475</v>
      </c>
      <c r="I141" s="1" t="s">
        <v>460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482</v>
      </c>
      <c r="D142" s="1"/>
      <c r="E142" s="1"/>
      <c r="F142" s="1" t="s">
        <v>483</v>
      </c>
      <c r="G142" s="1">
        <v>4</v>
      </c>
      <c r="H142" s="1" t="s">
        <v>475</v>
      </c>
      <c r="I142" s="1" t="s">
        <v>460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484</v>
      </c>
      <c r="D143" s="1"/>
      <c r="E143" s="1"/>
      <c r="F143" s="1" t="s">
        <v>485</v>
      </c>
      <c r="G143" s="1">
        <v>4</v>
      </c>
      <c r="H143" s="1" t="s">
        <v>475</v>
      </c>
      <c r="I143" s="1" t="s">
        <v>460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102</v>
      </c>
      <c r="D144" s="1"/>
      <c r="E144" s="1"/>
      <c r="F144" s="1" t="s">
        <v>486</v>
      </c>
      <c r="G144" s="1">
        <v>2</v>
      </c>
      <c r="H144" s="1" t="s">
        <v>475</v>
      </c>
      <c r="I144" s="1" t="s">
        <v>460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102</v>
      </c>
      <c r="D145" s="1"/>
      <c r="E145" s="1"/>
      <c r="F145" s="1" t="s">
        <v>487</v>
      </c>
      <c r="G145" s="1">
        <v>4</v>
      </c>
      <c r="H145" s="1" t="s">
        <v>475</v>
      </c>
      <c r="I145" s="1" t="s">
        <v>476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488</v>
      </c>
      <c r="D146" s="1"/>
      <c r="E146" s="1"/>
      <c r="F146" s="1" t="s">
        <v>489</v>
      </c>
      <c r="G146" s="1">
        <v>2</v>
      </c>
      <c r="H146" s="1" t="s">
        <v>475</v>
      </c>
      <c r="I146" s="1" t="s">
        <v>476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488</v>
      </c>
      <c r="D147" s="1"/>
      <c r="E147" s="1"/>
      <c r="F147" s="1" t="s">
        <v>490</v>
      </c>
      <c r="G147" s="1">
        <v>2</v>
      </c>
      <c r="H147" s="1" t="s">
        <v>475</v>
      </c>
      <c r="I147" s="1" t="s">
        <v>476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491</v>
      </c>
      <c r="D148" s="1"/>
      <c r="E148" s="1"/>
      <c r="F148" s="1" t="s">
        <v>492</v>
      </c>
      <c r="G148" s="1">
        <v>2</v>
      </c>
      <c r="H148" s="1" t="s">
        <v>475</v>
      </c>
      <c r="I148" s="1" t="s">
        <v>460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119</v>
      </c>
      <c r="D149" s="1">
        <v>266019</v>
      </c>
      <c r="E149" s="1"/>
      <c r="F149" s="1" t="s">
        <v>299</v>
      </c>
      <c r="G149" s="1">
        <v>32</v>
      </c>
      <c r="H149" s="1" t="s">
        <v>19</v>
      </c>
      <c r="I149" s="1" t="s">
        <v>254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117</v>
      </c>
      <c r="D150" s="1">
        <v>266024</v>
      </c>
      <c r="E150" s="1"/>
      <c r="F150" s="1" t="s">
        <v>300</v>
      </c>
      <c r="G150" s="1">
        <v>186</v>
      </c>
      <c r="H150" s="1" t="s">
        <v>19</v>
      </c>
      <c r="I150" s="1" t="s">
        <v>254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119</v>
      </c>
      <c r="D151" s="115"/>
      <c r="E151" s="115"/>
      <c r="F151" s="115" t="s">
        <v>432</v>
      </c>
      <c r="G151" s="115">
        <v>76</v>
      </c>
      <c r="H151" s="115" t="s">
        <v>19</v>
      </c>
      <c r="I151" s="115" t="s">
        <v>498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166</v>
      </c>
      <c r="D152" s="115"/>
      <c r="E152" s="115" t="s">
        <v>2</v>
      </c>
      <c r="F152" s="115" t="s">
        <v>167</v>
      </c>
      <c r="G152" s="115">
        <v>2</v>
      </c>
      <c r="H152" s="115" t="s">
        <v>19</v>
      </c>
      <c r="I152" s="115" t="s">
        <v>498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113</v>
      </c>
      <c r="D153" s="1"/>
      <c r="E153" s="1"/>
      <c r="F153" s="1" t="s">
        <v>433</v>
      </c>
      <c r="G153" s="1">
        <v>118</v>
      </c>
      <c r="H153" s="1" t="s">
        <v>19</v>
      </c>
      <c r="I153" s="1" t="s">
        <v>499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119</v>
      </c>
      <c r="D154" s="1">
        <v>266019</v>
      </c>
      <c r="E154" s="1"/>
      <c r="F154" s="1" t="s">
        <v>500</v>
      </c>
      <c r="G154" s="1">
        <v>50</v>
      </c>
      <c r="H154" s="1" t="s">
        <v>19</v>
      </c>
      <c r="I154" s="1" t="s">
        <v>408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113</v>
      </c>
      <c r="D155" s="1">
        <v>266030</v>
      </c>
      <c r="E155" s="1"/>
      <c r="F155" s="1" t="s">
        <v>450</v>
      </c>
      <c r="G155" s="1">
        <v>17</v>
      </c>
      <c r="H155" s="1" t="s">
        <v>19</v>
      </c>
      <c r="I155" s="1" t="s">
        <v>408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113</v>
      </c>
      <c r="D156" s="1">
        <v>266411</v>
      </c>
      <c r="E156" s="1"/>
      <c r="F156" s="1" t="s">
        <v>450</v>
      </c>
      <c r="G156" s="1">
        <v>60</v>
      </c>
      <c r="H156" s="1" t="s">
        <v>19</v>
      </c>
      <c r="I156" s="1" t="s">
        <v>408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113</v>
      </c>
      <c r="D157" s="1">
        <v>266027</v>
      </c>
      <c r="E157" s="1"/>
      <c r="F157" s="1" t="s">
        <v>450</v>
      </c>
      <c r="G157" s="1">
        <v>164</v>
      </c>
      <c r="H157" s="1" t="s">
        <v>19</v>
      </c>
      <c r="I157" s="1" t="s">
        <v>408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392</v>
      </c>
      <c r="D158" s="1" t="s">
        <v>392</v>
      </c>
      <c r="E158" s="1"/>
      <c r="F158" s="1" t="s">
        <v>393</v>
      </c>
      <c r="G158" s="1">
        <v>1</v>
      </c>
      <c r="H158" s="1" t="s">
        <v>19</v>
      </c>
      <c r="I158" s="1" t="s">
        <v>394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392</v>
      </c>
      <c r="D159" s="1" t="s">
        <v>392</v>
      </c>
      <c r="E159" s="1"/>
      <c r="F159" s="1" t="s">
        <v>393</v>
      </c>
      <c r="G159" s="1">
        <v>1</v>
      </c>
      <c r="H159" s="1" t="s">
        <v>19</v>
      </c>
      <c r="I159" s="1" t="s">
        <v>395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392</v>
      </c>
      <c r="D160" s="1" t="s">
        <v>392</v>
      </c>
      <c r="E160" s="1"/>
      <c r="F160" s="1" t="s">
        <v>393</v>
      </c>
      <c r="G160" s="1">
        <v>1</v>
      </c>
      <c r="H160" s="1" t="s">
        <v>19</v>
      </c>
      <c r="I160" s="1" t="s">
        <v>397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392</v>
      </c>
      <c r="D161" s="1" t="s">
        <v>392</v>
      </c>
      <c r="E161" s="1"/>
      <c r="F161" s="1" t="s">
        <v>393</v>
      </c>
      <c r="G161" s="1">
        <v>1</v>
      </c>
      <c r="H161" s="1" t="s">
        <v>19</v>
      </c>
      <c r="I161" s="1" t="s">
        <v>396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496</v>
      </c>
      <c r="D162" s="1" t="s">
        <v>496</v>
      </c>
      <c r="E162" s="1"/>
      <c r="F162" s="1" t="s">
        <v>173</v>
      </c>
      <c r="G162" s="1">
        <v>1</v>
      </c>
      <c r="H162" s="1" t="s">
        <v>19</v>
      </c>
      <c r="I162" s="1" t="s">
        <v>394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496</v>
      </c>
      <c r="D163" s="1" t="s">
        <v>496</v>
      </c>
      <c r="E163" s="1"/>
      <c r="F163" s="1" t="s">
        <v>173</v>
      </c>
      <c r="G163" s="1">
        <v>1</v>
      </c>
      <c r="H163" s="1" t="s">
        <v>19</v>
      </c>
      <c r="I163" s="1" t="s">
        <v>395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496</v>
      </c>
      <c r="D164" s="1" t="s">
        <v>496</v>
      </c>
      <c r="E164" s="1"/>
      <c r="F164" s="1" t="s">
        <v>173</v>
      </c>
      <c r="G164" s="1">
        <v>1</v>
      </c>
      <c r="H164" s="1" t="s">
        <v>19</v>
      </c>
      <c r="I164" s="1" t="s">
        <v>397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496</v>
      </c>
      <c r="D165" s="1" t="s">
        <v>496</v>
      </c>
      <c r="E165" s="1"/>
      <c r="F165" s="1" t="s">
        <v>173</v>
      </c>
      <c r="G165" s="1">
        <v>1</v>
      </c>
      <c r="H165" s="1" t="s">
        <v>19</v>
      </c>
      <c r="I165" s="1" t="s">
        <v>396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508</v>
      </c>
      <c r="D166" s="1"/>
      <c r="E166" s="1"/>
      <c r="F166" s="1" t="s">
        <v>509</v>
      </c>
      <c r="G166" s="1">
        <v>4</v>
      </c>
      <c r="H166" s="1" t="s">
        <v>19</v>
      </c>
      <c r="I166" s="1" t="s">
        <v>510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128</v>
      </c>
      <c r="D167" s="1"/>
      <c r="E167" s="1"/>
      <c r="F167" s="1" t="s">
        <v>129</v>
      </c>
      <c r="G167" s="1">
        <v>3</v>
      </c>
      <c r="H167" s="1" t="s">
        <v>19</v>
      </c>
      <c r="I167" s="1" t="s">
        <v>555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521</v>
      </c>
      <c r="D168" s="1" t="s">
        <v>521</v>
      </c>
      <c r="E168" s="1"/>
      <c r="F168" s="1" t="s">
        <v>522</v>
      </c>
      <c r="G168" s="1">
        <v>10</v>
      </c>
      <c r="H168" s="1" t="s">
        <v>19</v>
      </c>
      <c r="I168" s="1" t="s">
        <v>562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511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113</v>
      </c>
      <c r="D170" s="1" t="s">
        <v>563</v>
      </c>
      <c r="E170" s="1"/>
      <c r="F170" s="1" t="s">
        <v>433</v>
      </c>
      <c r="G170" s="1">
        <v>182</v>
      </c>
      <c r="H170" s="1" t="s">
        <v>19</v>
      </c>
      <c r="I170" s="1" t="s">
        <v>499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512</v>
      </c>
      <c r="D171" s="1"/>
      <c r="E171" s="1"/>
      <c r="F171" s="1" t="s">
        <v>513</v>
      </c>
      <c r="G171" s="1">
        <v>2</v>
      </c>
      <c r="H171" s="1" t="s">
        <v>19</v>
      </c>
      <c r="I171" s="1" t="s">
        <v>564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514</v>
      </c>
      <c r="D172" s="1"/>
      <c r="E172" s="1"/>
      <c r="F172" s="1" t="s">
        <v>515</v>
      </c>
      <c r="G172" s="1">
        <v>40</v>
      </c>
      <c r="H172" s="1" t="s">
        <v>19</v>
      </c>
      <c r="I172" s="1" t="s">
        <v>564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514</v>
      </c>
      <c r="D173" s="1"/>
      <c r="E173" s="1"/>
      <c r="F173" s="1" t="s">
        <v>516</v>
      </c>
      <c r="G173" s="1">
        <v>40</v>
      </c>
      <c r="H173" s="1" t="s">
        <v>19</v>
      </c>
      <c r="I173" s="1" t="s">
        <v>564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514</v>
      </c>
      <c r="D174" s="1"/>
      <c r="E174" s="1"/>
      <c r="F174" s="1" t="s">
        <v>517</v>
      </c>
      <c r="G174" s="1">
        <v>40</v>
      </c>
      <c r="H174" s="1" t="s">
        <v>19</v>
      </c>
      <c r="I174" s="1" t="s">
        <v>564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84</v>
      </c>
      <c r="D175" s="1"/>
      <c r="E175" s="1"/>
      <c r="F175" s="1" t="s">
        <v>416</v>
      </c>
      <c r="G175" s="1">
        <v>5</v>
      </c>
      <c r="H175" s="1" t="s">
        <v>19</v>
      </c>
      <c r="I175" s="1" t="s">
        <v>565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175</v>
      </c>
      <c r="D176" s="1" t="s">
        <v>175</v>
      </c>
      <c r="E176" s="1"/>
      <c r="F176" s="1" t="s">
        <v>554</v>
      </c>
      <c r="G176" s="1">
        <v>10</v>
      </c>
      <c r="H176" s="1" t="s">
        <v>19</v>
      </c>
      <c r="I176" s="1" t="s">
        <v>566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77</v>
      </c>
      <c r="D177" s="1" t="s">
        <v>77</v>
      </c>
      <c r="E177" s="1"/>
      <c r="F177" s="1" t="s">
        <v>399</v>
      </c>
      <c r="G177" s="1">
        <v>25</v>
      </c>
      <c r="H177" s="1" t="s">
        <v>19</v>
      </c>
      <c r="I177" s="1" t="s">
        <v>567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119</v>
      </c>
      <c r="D178" s="1" t="s">
        <v>119</v>
      </c>
      <c r="E178" s="1"/>
      <c r="F178" s="1" t="s">
        <v>432</v>
      </c>
      <c r="G178" s="1">
        <v>94</v>
      </c>
      <c r="H178" s="1" t="s">
        <v>19</v>
      </c>
      <c r="I178" s="1" t="s">
        <v>498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117</v>
      </c>
      <c r="D179" s="1">
        <v>266024</v>
      </c>
      <c r="E179" s="1"/>
      <c r="F179" s="1" t="s">
        <v>300</v>
      </c>
      <c r="G179" s="1">
        <v>33</v>
      </c>
      <c r="H179" s="1" t="s">
        <v>19</v>
      </c>
      <c r="I179" s="1" t="s">
        <v>254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514</v>
      </c>
      <c r="D180" s="1"/>
      <c r="E180" s="1"/>
      <c r="F180" s="1" t="s">
        <v>524</v>
      </c>
      <c r="G180" s="1">
        <v>1</v>
      </c>
      <c r="H180" s="1" t="s">
        <v>19</v>
      </c>
      <c r="I180" s="1" t="s">
        <v>684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514</v>
      </c>
      <c r="D181" s="1"/>
      <c r="E181" s="1"/>
      <c r="F181" s="1" t="s">
        <v>525</v>
      </c>
      <c r="G181" s="1">
        <v>1</v>
      </c>
      <c r="H181" s="1" t="s">
        <v>19</v>
      </c>
      <c r="I181" s="1" t="s">
        <v>684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527</v>
      </c>
      <c r="D182" s="1"/>
      <c r="E182" s="1"/>
      <c r="F182" s="1" t="s">
        <v>528</v>
      </c>
      <c r="G182" s="1">
        <v>2</v>
      </c>
      <c r="H182" s="1" t="s">
        <v>19</v>
      </c>
      <c r="I182" s="1" t="s">
        <v>684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512</v>
      </c>
      <c r="D183" s="1"/>
      <c r="E183" s="1"/>
      <c r="F183" s="1" t="s">
        <v>513</v>
      </c>
      <c r="G183" s="1">
        <v>2</v>
      </c>
      <c r="H183" s="1" t="s">
        <v>19</v>
      </c>
      <c r="I183" s="1" t="s">
        <v>684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529</v>
      </c>
      <c r="D184" s="1"/>
      <c r="E184" s="1"/>
      <c r="F184" s="1" t="s">
        <v>530</v>
      </c>
      <c r="G184" s="1">
        <v>4</v>
      </c>
      <c r="H184" s="1" t="s">
        <v>19</v>
      </c>
      <c r="I184" s="1" t="s">
        <v>684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531</v>
      </c>
      <c r="D185" s="1"/>
      <c r="E185" s="1"/>
      <c r="F185" s="1" t="s">
        <v>532</v>
      </c>
      <c r="G185" s="1">
        <v>4</v>
      </c>
      <c r="H185" s="1" t="s">
        <v>19</v>
      </c>
      <c r="I185" s="1" t="s">
        <v>684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533</v>
      </c>
      <c r="D186" s="1"/>
      <c r="E186" s="1"/>
      <c r="F186" s="1" t="s">
        <v>556</v>
      </c>
      <c r="G186" s="1">
        <v>1</v>
      </c>
      <c r="H186" s="1" t="s">
        <v>19</v>
      </c>
      <c r="I186" s="1" t="s">
        <v>684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534</v>
      </c>
      <c r="D187" s="1"/>
      <c r="E187" s="1"/>
      <c r="F187" s="1" t="s">
        <v>557</v>
      </c>
      <c r="G187" s="1">
        <v>1</v>
      </c>
      <c r="H187" s="1" t="s">
        <v>19</v>
      </c>
      <c r="I187" s="1" t="s">
        <v>684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535</v>
      </c>
      <c r="D188" s="1"/>
      <c r="E188" s="1"/>
      <c r="F188" s="1" t="s">
        <v>536</v>
      </c>
      <c r="G188" s="1">
        <v>2</v>
      </c>
      <c r="H188" s="1" t="s">
        <v>19</v>
      </c>
      <c r="I188" s="1" t="s">
        <v>684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535</v>
      </c>
      <c r="D189" s="1"/>
      <c r="E189" s="1"/>
      <c r="F189" s="1" t="s">
        <v>537</v>
      </c>
      <c r="G189" s="1">
        <v>2</v>
      </c>
      <c r="H189" s="1" t="s">
        <v>19</v>
      </c>
      <c r="I189" s="1" t="s">
        <v>684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535</v>
      </c>
      <c r="D190" s="1"/>
      <c r="E190" s="1"/>
      <c r="F190" s="1" t="s">
        <v>538</v>
      </c>
      <c r="G190" s="1">
        <v>2</v>
      </c>
      <c r="H190" s="1" t="s">
        <v>19</v>
      </c>
      <c r="I190" s="1" t="s">
        <v>684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535</v>
      </c>
      <c r="D191" s="1"/>
      <c r="E191" s="1"/>
      <c r="F191" s="1" t="s">
        <v>539</v>
      </c>
      <c r="G191" s="1">
        <v>40</v>
      </c>
      <c r="H191" s="1" t="s">
        <v>19</v>
      </c>
      <c r="I191" s="1" t="s">
        <v>684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531</v>
      </c>
      <c r="D192" s="1"/>
      <c r="E192" s="1"/>
      <c r="F192" s="1" t="s">
        <v>532</v>
      </c>
      <c r="G192" s="1">
        <v>2</v>
      </c>
      <c r="H192" s="1" t="s">
        <v>19</v>
      </c>
      <c r="I192" s="1" t="s">
        <v>684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540</v>
      </c>
      <c r="D193" s="1"/>
      <c r="E193" s="1"/>
      <c r="F193" s="1" t="s">
        <v>528</v>
      </c>
      <c r="G193" s="1">
        <v>2</v>
      </c>
      <c r="H193" s="1" t="s">
        <v>19</v>
      </c>
      <c r="I193" s="1" t="s">
        <v>684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541</v>
      </c>
      <c r="D194" s="1"/>
      <c r="E194" s="1"/>
      <c r="F194" s="1" t="s">
        <v>291</v>
      </c>
      <c r="G194" s="1">
        <v>2</v>
      </c>
      <c r="H194" s="1" t="s">
        <v>19</v>
      </c>
      <c r="I194" s="1" t="s">
        <v>684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542</v>
      </c>
      <c r="D195" s="1"/>
      <c r="E195" s="1"/>
      <c r="F195" s="1" t="s">
        <v>543</v>
      </c>
      <c r="G195" s="1">
        <v>2</v>
      </c>
      <c r="H195" s="1" t="s">
        <v>19</v>
      </c>
      <c r="I195" s="1" t="s">
        <v>684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544</v>
      </c>
      <c r="D196" s="1"/>
      <c r="E196" s="1"/>
      <c r="F196" s="1" t="s">
        <v>545</v>
      </c>
      <c r="G196" s="1">
        <v>2</v>
      </c>
      <c r="H196" s="1" t="s">
        <v>19</v>
      </c>
      <c r="I196" s="1" t="s">
        <v>684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546</v>
      </c>
      <c r="D197" s="1"/>
      <c r="E197" s="1"/>
      <c r="F197" s="1" t="s">
        <v>547</v>
      </c>
      <c r="G197" s="1">
        <v>2</v>
      </c>
      <c r="H197" s="1" t="s">
        <v>19</v>
      </c>
      <c r="I197" s="1" t="s">
        <v>684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518</v>
      </c>
      <c r="D198" s="1" t="s">
        <v>518</v>
      </c>
      <c r="E198" s="1"/>
      <c r="F198" s="1" t="s">
        <v>519</v>
      </c>
      <c r="G198" s="1">
        <v>3</v>
      </c>
      <c r="H198" s="1" t="s">
        <v>19</v>
      </c>
      <c r="I198" s="1" t="s">
        <v>685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83</v>
      </c>
      <c r="D199" s="1" t="s">
        <v>83</v>
      </c>
      <c r="E199" s="1"/>
      <c r="F199" s="1" t="s">
        <v>118</v>
      </c>
      <c r="G199" s="1">
        <v>5</v>
      </c>
      <c r="H199" s="1" t="s">
        <v>19</v>
      </c>
      <c r="I199" s="1" t="s">
        <v>686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78</v>
      </c>
      <c r="D200" s="1" t="s">
        <v>78</v>
      </c>
      <c r="E200" s="1"/>
      <c r="F200" s="1" t="s">
        <v>678</v>
      </c>
      <c r="G200" s="1">
        <v>12</v>
      </c>
      <c r="H200" s="1" t="s">
        <v>19</v>
      </c>
      <c r="I200" s="1" t="s">
        <v>744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508</v>
      </c>
      <c r="D201" s="1"/>
      <c r="E201" s="1"/>
      <c r="F201" s="1" t="s">
        <v>745</v>
      </c>
      <c r="G201" s="1">
        <v>4</v>
      </c>
      <c r="H201" s="1" t="s">
        <v>19</v>
      </c>
      <c r="I201" s="1" t="s">
        <v>510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493</v>
      </c>
      <c r="D202" s="1" t="s">
        <v>494</v>
      </c>
      <c r="E202" s="1" t="s">
        <v>2</v>
      </c>
      <c r="F202" s="1" t="s">
        <v>495</v>
      </c>
      <c r="G202" s="1">
        <v>1</v>
      </c>
      <c r="H202" s="1" t="s">
        <v>19</v>
      </c>
      <c r="I202" s="1" t="s">
        <v>394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493</v>
      </c>
      <c r="D203" s="1" t="s">
        <v>494</v>
      </c>
      <c r="E203" s="1" t="s">
        <v>2</v>
      </c>
      <c r="F203" s="1" t="s">
        <v>495</v>
      </c>
      <c r="G203" s="1">
        <v>1</v>
      </c>
      <c r="H203" s="1" t="s">
        <v>19</v>
      </c>
      <c r="I203" s="1" t="s">
        <v>395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493</v>
      </c>
      <c r="D204" s="1" t="s">
        <v>494</v>
      </c>
      <c r="E204" s="1" t="s">
        <v>2</v>
      </c>
      <c r="F204" s="1" t="s">
        <v>495</v>
      </c>
      <c r="G204" s="1">
        <v>1</v>
      </c>
      <c r="H204" s="1" t="s">
        <v>19</v>
      </c>
      <c r="I204" s="1" t="s">
        <v>397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493</v>
      </c>
      <c r="D205" s="1" t="s">
        <v>494</v>
      </c>
      <c r="E205" s="1" t="s">
        <v>2</v>
      </c>
      <c r="F205" s="1" t="s">
        <v>495</v>
      </c>
      <c r="G205" s="1">
        <v>1</v>
      </c>
      <c r="H205" s="1" t="s">
        <v>19</v>
      </c>
      <c r="I205" s="1" t="s">
        <v>396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670</v>
      </c>
      <c r="D206" s="1" t="s">
        <v>746</v>
      </c>
      <c r="E206" s="1" t="s">
        <v>2</v>
      </c>
      <c r="F206" s="1" t="s">
        <v>671</v>
      </c>
      <c r="G206" s="1">
        <v>2</v>
      </c>
      <c r="H206" s="1" t="s">
        <v>19</v>
      </c>
      <c r="I206" s="1" t="s">
        <v>394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670</v>
      </c>
      <c r="D207" s="1" t="s">
        <v>746</v>
      </c>
      <c r="E207" s="1" t="s">
        <v>2</v>
      </c>
      <c r="F207" s="1" t="s">
        <v>671</v>
      </c>
      <c r="G207" s="1">
        <v>2</v>
      </c>
      <c r="H207" s="1" t="s">
        <v>19</v>
      </c>
      <c r="I207" s="1" t="s">
        <v>395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670</v>
      </c>
      <c r="D208" s="1" t="s">
        <v>746</v>
      </c>
      <c r="E208" s="1" t="s">
        <v>2</v>
      </c>
      <c r="F208" s="1" t="s">
        <v>671</v>
      </c>
      <c r="G208" s="1">
        <v>2</v>
      </c>
      <c r="H208" s="1" t="s">
        <v>19</v>
      </c>
      <c r="I208" s="1" t="s">
        <v>397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670</v>
      </c>
      <c r="D209" s="1" t="s">
        <v>746</v>
      </c>
      <c r="E209" s="1" t="s">
        <v>2</v>
      </c>
      <c r="F209" s="1" t="s">
        <v>671</v>
      </c>
      <c r="G209" s="1">
        <v>2</v>
      </c>
      <c r="H209" s="1" t="s">
        <v>19</v>
      </c>
      <c r="I209" s="1" t="s">
        <v>396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670</v>
      </c>
      <c r="D210" s="1" t="s">
        <v>746</v>
      </c>
      <c r="E210" s="1" t="s">
        <v>44</v>
      </c>
      <c r="F210" s="1" t="s">
        <v>672</v>
      </c>
      <c r="G210" s="1">
        <v>2</v>
      </c>
      <c r="H210" s="1" t="s">
        <v>19</v>
      </c>
      <c r="I210" s="1" t="s">
        <v>394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670</v>
      </c>
      <c r="D211" s="1" t="s">
        <v>746</v>
      </c>
      <c r="E211" s="1" t="s">
        <v>44</v>
      </c>
      <c r="F211" s="1" t="s">
        <v>672</v>
      </c>
      <c r="G211" s="1">
        <v>2</v>
      </c>
      <c r="H211" s="1" t="s">
        <v>19</v>
      </c>
      <c r="I211" s="1" t="s">
        <v>395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670</v>
      </c>
      <c r="D212" s="1" t="s">
        <v>746</v>
      </c>
      <c r="E212" s="1" t="s">
        <v>44</v>
      </c>
      <c r="F212" s="1" t="s">
        <v>672</v>
      </c>
      <c r="G212" s="1">
        <v>2</v>
      </c>
      <c r="H212" s="1" t="s">
        <v>19</v>
      </c>
      <c r="I212" s="1" t="s">
        <v>397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670</v>
      </c>
      <c r="D213" s="1" t="s">
        <v>746</v>
      </c>
      <c r="E213" s="1" t="s">
        <v>44</v>
      </c>
      <c r="F213" s="1" t="s">
        <v>672</v>
      </c>
      <c r="G213" s="1">
        <v>2</v>
      </c>
      <c r="H213" s="1" t="s">
        <v>19</v>
      </c>
      <c r="I213" s="1" t="s">
        <v>396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670</v>
      </c>
      <c r="D214" s="1" t="s">
        <v>746</v>
      </c>
      <c r="E214" s="1" t="s">
        <v>747</v>
      </c>
      <c r="F214" s="1" t="s">
        <v>673</v>
      </c>
      <c r="G214" s="1">
        <v>2</v>
      </c>
      <c r="H214" s="1" t="s">
        <v>19</v>
      </c>
      <c r="I214" s="1" t="s">
        <v>394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670</v>
      </c>
      <c r="D215" s="1" t="s">
        <v>746</v>
      </c>
      <c r="E215" s="1" t="s">
        <v>747</v>
      </c>
      <c r="F215" s="1" t="s">
        <v>673</v>
      </c>
      <c r="G215" s="1">
        <v>2</v>
      </c>
      <c r="H215" s="1" t="s">
        <v>19</v>
      </c>
      <c r="I215" s="1" t="s">
        <v>395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670</v>
      </c>
      <c r="D216" s="1" t="s">
        <v>746</v>
      </c>
      <c r="E216" s="1" t="s">
        <v>747</v>
      </c>
      <c r="F216" s="1" t="s">
        <v>673</v>
      </c>
      <c r="G216" s="1">
        <v>2</v>
      </c>
      <c r="H216" s="1" t="s">
        <v>19</v>
      </c>
      <c r="I216" s="1" t="s">
        <v>397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670</v>
      </c>
      <c r="D217" s="1" t="s">
        <v>746</v>
      </c>
      <c r="E217" s="1" t="s">
        <v>747</v>
      </c>
      <c r="F217" s="1" t="s">
        <v>673</v>
      </c>
      <c r="G217" s="1">
        <v>2</v>
      </c>
      <c r="H217" s="1" t="s">
        <v>19</v>
      </c>
      <c r="I217" s="1" t="s">
        <v>396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748</v>
      </c>
      <c r="D218" s="1"/>
      <c r="E218" s="1"/>
      <c r="F218" s="1" t="s">
        <v>749</v>
      </c>
      <c r="G218" s="1">
        <v>1</v>
      </c>
      <c r="H218" s="1" t="s">
        <v>19</v>
      </c>
      <c r="I218" s="1" t="s">
        <v>394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748</v>
      </c>
      <c r="D219" s="1"/>
      <c r="E219" s="1"/>
      <c r="F219" s="1" t="s">
        <v>750</v>
      </c>
      <c r="G219" s="1">
        <v>1</v>
      </c>
      <c r="H219" s="1" t="s">
        <v>19</v>
      </c>
      <c r="I219" s="1" t="s">
        <v>394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748</v>
      </c>
      <c r="D220" s="1"/>
      <c r="E220" s="1"/>
      <c r="F220" s="1" t="s">
        <v>751</v>
      </c>
      <c r="G220" s="1">
        <v>1</v>
      </c>
      <c r="H220" s="1" t="s">
        <v>19</v>
      </c>
      <c r="I220" s="1" t="s">
        <v>394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752</v>
      </c>
      <c r="D221" s="1"/>
      <c r="E221" s="1"/>
      <c r="F221" s="1" t="s">
        <v>753</v>
      </c>
      <c r="G221" s="1">
        <v>1</v>
      </c>
      <c r="H221" s="1" t="s">
        <v>19</v>
      </c>
      <c r="I221" s="1" t="s">
        <v>395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752</v>
      </c>
      <c r="D222" s="1"/>
      <c r="E222" s="1"/>
      <c r="F222" s="1" t="s">
        <v>754</v>
      </c>
      <c r="G222" s="1">
        <v>1</v>
      </c>
      <c r="H222" s="1" t="s">
        <v>19</v>
      </c>
      <c r="I222" s="1" t="s">
        <v>395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752</v>
      </c>
      <c r="D223" s="1"/>
      <c r="E223" s="1"/>
      <c r="F223" s="1" t="s">
        <v>755</v>
      </c>
      <c r="G223" s="1">
        <v>1</v>
      </c>
      <c r="H223" s="1" t="s">
        <v>19</v>
      </c>
      <c r="I223" s="1" t="s">
        <v>395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756</v>
      </c>
      <c r="D224" s="1"/>
      <c r="E224" s="1"/>
      <c r="F224" s="1" t="s">
        <v>749</v>
      </c>
      <c r="G224" s="1">
        <v>1</v>
      </c>
      <c r="H224" s="1" t="s">
        <v>19</v>
      </c>
      <c r="I224" s="1" t="s">
        <v>397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756</v>
      </c>
      <c r="D225" s="1"/>
      <c r="E225" s="1"/>
      <c r="F225" s="1" t="s">
        <v>757</v>
      </c>
      <c r="G225" s="1">
        <v>1</v>
      </c>
      <c r="H225" s="1" t="s">
        <v>19</v>
      </c>
      <c r="I225" s="1" t="s">
        <v>397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756</v>
      </c>
      <c r="D226" s="1"/>
      <c r="E226" s="1"/>
      <c r="F226" s="1" t="s">
        <v>758</v>
      </c>
      <c r="G226" s="1">
        <v>1</v>
      </c>
      <c r="H226" s="1" t="s">
        <v>19</v>
      </c>
      <c r="I226" s="1" t="s">
        <v>397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759</v>
      </c>
      <c r="D227" s="1"/>
      <c r="E227" s="1"/>
      <c r="F227" s="1" t="s">
        <v>760</v>
      </c>
      <c r="G227" s="1">
        <v>1</v>
      </c>
      <c r="H227" s="1" t="s">
        <v>19</v>
      </c>
      <c r="I227" s="1" t="s">
        <v>761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759</v>
      </c>
      <c r="D228" s="1"/>
      <c r="E228" s="1"/>
      <c r="F228" s="1" t="s">
        <v>757</v>
      </c>
      <c r="G228" s="1">
        <v>1</v>
      </c>
      <c r="H228" s="1" t="s">
        <v>19</v>
      </c>
      <c r="I228" s="1" t="s">
        <v>396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759</v>
      </c>
      <c r="D229" s="1"/>
      <c r="E229" s="1"/>
      <c r="F229" s="1" t="s">
        <v>762</v>
      </c>
      <c r="G229" s="1">
        <v>1</v>
      </c>
      <c r="H229" s="1" t="s">
        <v>19</v>
      </c>
      <c r="I229" s="1" t="s">
        <v>396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415</v>
      </c>
      <c r="D230" s="1" t="s">
        <v>415</v>
      </c>
      <c r="E230" s="1"/>
      <c r="F230" s="1" t="s">
        <v>662</v>
      </c>
      <c r="G230" s="1">
        <v>9</v>
      </c>
      <c r="H230" s="1" t="s">
        <v>19</v>
      </c>
      <c r="I230" s="1" t="s">
        <v>816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815</v>
      </c>
      <c r="D231" s="1" t="s">
        <v>815</v>
      </c>
      <c r="E231" s="1"/>
      <c r="F231" s="1" t="s">
        <v>817</v>
      </c>
      <c r="G231" s="1">
        <v>23</v>
      </c>
      <c r="H231" s="1" t="s">
        <v>19</v>
      </c>
      <c r="I231" s="1" t="s">
        <v>816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83</v>
      </c>
      <c r="D232" s="1" t="s">
        <v>83</v>
      </c>
      <c r="E232" s="1"/>
      <c r="F232" s="1" t="s">
        <v>118</v>
      </c>
      <c r="G232" s="1">
        <v>5</v>
      </c>
      <c r="H232" s="1" t="s">
        <v>19</v>
      </c>
      <c r="I232" s="1" t="s">
        <v>686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127</v>
      </c>
      <c r="D233" s="1" t="s">
        <v>127</v>
      </c>
      <c r="E233" s="1"/>
      <c r="F233" s="1" t="s">
        <v>548</v>
      </c>
      <c r="G233" s="1">
        <v>160</v>
      </c>
      <c r="H233" s="1" t="s">
        <v>19</v>
      </c>
      <c r="I233" s="1" t="s">
        <v>824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681</v>
      </c>
      <c r="D234" s="1"/>
      <c r="E234" s="1"/>
      <c r="F234" s="1" t="s">
        <v>682</v>
      </c>
      <c r="G234" s="1">
        <v>10</v>
      </c>
      <c r="H234" s="1" t="s">
        <v>19</v>
      </c>
      <c r="I234" s="1" t="s">
        <v>825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558</v>
      </c>
      <c r="D235" s="1" t="s">
        <v>558</v>
      </c>
      <c r="E235" s="1"/>
      <c r="F235" s="1" t="s">
        <v>559</v>
      </c>
      <c r="G235" s="1">
        <v>4</v>
      </c>
      <c r="H235" s="1" t="s">
        <v>19</v>
      </c>
      <c r="I235" s="1" t="s">
        <v>1022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133</v>
      </c>
      <c r="D236" s="1"/>
      <c r="E236" s="1" t="s">
        <v>1115</v>
      </c>
      <c r="F236" s="1" t="s">
        <v>1122</v>
      </c>
      <c r="G236" s="1">
        <v>1</v>
      </c>
      <c r="H236" s="1" t="s">
        <v>19</v>
      </c>
      <c r="I236" s="1" t="s">
        <v>586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133</v>
      </c>
      <c r="D237" s="1"/>
      <c r="E237" s="1" t="s">
        <v>44</v>
      </c>
      <c r="F237" s="1" t="s">
        <v>1123</v>
      </c>
      <c r="G237" s="1">
        <v>5</v>
      </c>
      <c r="H237" s="1" t="s">
        <v>19</v>
      </c>
      <c r="I237" s="1" t="s">
        <v>630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133</v>
      </c>
      <c r="D238" s="1"/>
      <c r="E238" s="1" t="s">
        <v>1116</v>
      </c>
      <c r="F238" s="1" t="s">
        <v>1124</v>
      </c>
      <c r="G238" s="1">
        <v>1</v>
      </c>
      <c r="H238" s="1" t="s">
        <v>19</v>
      </c>
      <c r="I238" s="1" t="s">
        <v>630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133</v>
      </c>
      <c r="D239" s="1"/>
      <c r="E239" s="1" t="s">
        <v>1102</v>
      </c>
      <c r="F239" s="1" t="s">
        <v>637</v>
      </c>
      <c r="G239" s="1">
        <v>1</v>
      </c>
      <c r="H239" s="1" t="s">
        <v>19</v>
      </c>
      <c r="I239" s="1" t="s">
        <v>635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645</v>
      </c>
      <c r="D240" s="1"/>
      <c r="E240" s="1"/>
      <c r="F240" s="1" t="s">
        <v>646</v>
      </c>
      <c r="G240" s="1">
        <v>18</v>
      </c>
      <c r="H240" s="1" t="s">
        <v>19</v>
      </c>
      <c r="I240" s="1" t="s">
        <v>635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647</v>
      </c>
      <c r="D241" s="1"/>
      <c r="E241" s="1"/>
      <c r="F241" s="1" t="s">
        <v>648</v>
      </c>
      <c r="G241" s="1">
        <v>30</v>
      </c>
      <c r="H241" s="1" t="s">
        <v>19</v>
      </c>
      <c r="I241" s="1" t="s">
        <v>635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649</v>
      </c>
      <c r="D242" s="1"/>
      <c r="E242" s="1"/>
      <c r="F242" s="1" t="s">
        <v>650</v>
      </c>
      <c r="G242" s="1">
        <v>2</v>
      </c>
      <c r="H242" s="1" t="s">
        <v>19</v>
      </c>
      <c r="I242" s="1" t="s">
        <v>635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649</v>
      </c>
      <c r="D243" s="1"/>
      <c r="E243" s="1"/>
      <c r="F243" s="1" t="s">
        <v>650</v>
      </c>
      <c r="G243" s="1">
        <v>1</v>
      </c>
      <c r="H243" s="1" t="s">
        <v>19</v>
      </c>
      <c r="I243" s="1" t="s">
        <v>586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649</v>
      </c>
      <c r="D244" s="1"/>
      <c r="E244" s="1"/>
      <c r="F244" s="1" t="s">
        <v>650</v>
      </c>
      <c r="G244" s="1">
        <v>1</v>
      </c>
      <c r="H244" s="1" t="s">
        <v>19</v>
      </c>
      <c r="I244" s="1" t="s">
        <v>590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145</v>
      </c>
      <c r="D245" s="1"/>
      <c r="E245" s="1"/>
      <c r="F245" s="1" t="s">
        <v>206</v>
      </c>
      <c r="G245" s="1">
        <v>78</v>
      </c>
      <c r="H245" s="1" t="s">
        <v>19</v>
      </c>
      <c r="I245" s="1" t="s">
        <v>630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660</v>
      </c>
      <c r="D246" s="1"/>
      <c r="E246" s="1"/>
      <c r="F246" s="1" t="s">
        <v>661</v>
      </c>
      <c r="G246" s="1">
        <v>14</v>
      </c>
      <c r="H246" s="1" t="s">
        <v>19</v>
      </c>
      <c r="I246" s="1" t="s">
        <v>630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415</v>
      </c>
      <c r="D247" s="1"/>
      <c r="E247" s="1"/>
      <c r="F247" s="1" t="s">
        <v>662</v>
      </c>
      <c r="G247" s="1">
        <v>12</v>
      </c>
      <c r="H247" s="1" t="s">
        <v>19</v>
      </c>
      <c r="I247" s="1" t="s">
        <v>630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663</v>
      </c>
      <c r="D248" s="1"/>
      <c r="E248" s="1"/>
      <c r="F248" s="1" t="s">
        <v>664</v>
      </c>
      <c r="G248" s="1">
        <v>11</v>
      </c>
      <c r="H248" s="1" t="s">
        <v>19</v>
      </c>
      <c r="I248" s="1" t="s">
        <v>630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102</v>
      </c>
      <c r="D249" s="1"/>
      <c r="E249" s="1"/>
      <c r="F249" s="1" t="s">
        <v>147</v>
      </c>
      <c r="G249" s="1">
        <v>4</v>
      </c>
      <c r="H249" s="1" t="s">
        <v>19</v>
      </c>
      <c r="I249" s="1" t="s">
        <v>630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734</v>
      </c>
      <c r="D250" s="1"/>
      <c r="E250" s="1"/>
      <c r="F250" s="1" t="s">
        <v>735</v>
      </c>
      <c r="G250" s="1">
        <v>1</v>
      </c>
      <c r="H250" s="1" t="s">
        <v>19</v>
      </c>
      <c r="I250" s="1" t="s">
        <v>736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649</v>
      </c>
      <c r="D251" s="1"/>
      <c r="E251" s="1"/>
      <c r="F251" s="1" t="s">
        <v>737</v>
      </c>
      <c r="G251" s="1">
        <v>7</v>
      </c>
      <c r="H251" s="1" t="s">
        <v>19</v>
      </c>
      <c r="I251" s="1" t="s">
        <v>736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734</v>
      </c>
      <c r="D252" s="1"/>
      <c r="E252" s="1"/>
      <c r="F252" s="1" t="s">
        <v>735</v>
      </c>
      <c r="G252" s="1">
        <v>1</v>
      </c>
      <c r="H252" s="1" t="s">
        <v>19</v>
      </c>
      <c r="I252" s="1" t="s">
        <v>590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649</v>
      </c>
      <c r="D253" s="1"/>
      <c r="E253" s="1"/>
      <c r="F253" s="1" t="s">
        <v>737</v>
      </c>
      <c r="G253" s="1">
        <v>7</v>
      </c>
      <c r="H253" s="1" t="s">
        <v>19</v>
      </c>
      <c r="I253" s="1" t="s">
        <v>590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1016</v>
      </c>
      <c r="D254" s="1" t="s">
        <v>1016</v>
      </c>
      <c r="E254" s="1"/>
      <c r="F254" s="1" t="s">
        <v>1125</v>
      </c>
      <c r="G254" s="1">
        <v>1</v>
      </c>
      <c r="H254" s="1" t="s">
        <v>19</v>
      </c>
      <c r="I254" s="1" t="s">
        <v>1126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1244</v>
      </c>
      <c r="D255" s="1"/>
      <c r="E255" s="1"/>
      <c r="F255" s="1" t="s">
        <v>1245</v>
      </c>
      <c r="G255" s="1">
        <v>1</v>
      </c>
      <c r="H255" s="1" t="s">
        <v>19</v>
      </c>
      <c r="I255" s="1" t="s">
        <v>424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1244</v>
      </c>
      <c r="D256" s="1"/>
      <c r="E256" s="1"/>
      <c r="F256" s="1" t="s">
        <v>1245</v>
      </c>
      <c r="G256" s="1">
        <v>1</v>
      </c>
      <c r="H256" s="1" t="s">
        <v>19</v>
      </c>
      <c r="I256" s="1" t="s">
        <v>425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1244</v>
      </c>
      <c r="D257" s="1"/>
      <c r="E257" s="1"/>
      <c r="F257" s="1" t="s">
        <v>1245</v>
      </c>
      <c r="G257" s="1">
        <v>1</v>
      </c>
      <c r="H257" s="1" t="s">
        <v>19</v>
      </c>
      <c r="I257" s="1" t="s">
        <v>426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1244</v>
      </c>
      <c r="D258" s="1"/>
      <c r="E258" s="1"/>
      <c r="F258" s="1" t="s">
        <v>1245</v>
      </c>
      <c r="G258" s="1">
        <v>1</v>
      </c>
      <c r="H258" s="1" t="s">
        <v>19</v>
      </c>
      <c r="I258" s="1" t="s">
        <v>427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1244</v>
      </c>
      <c r="D259" s="1"/>
      <c r="E259" s="1"/>
      <c r="F259" s="1" t="s">
        <v>1245</v>
      </c>
      <c r="G259" s="1">
        <v>1</v>
      </c>
      <c r="H259" s="1" t="s">
        <v>19</v>
      </c>
      <c r="I259" s="1" t="s">
        <v>428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1246</v>
      </c>
      <c r="D260" s="1"/>
      <c r="E260" s="1"/>
      <c r="F260" s="1" t="s">
        <v>1247</v>
      </c>
      <c r="G260" s="1">
        <v>1</v>
      </c>
      <c r="H260" s="1" t="s">
        <v>19</v>
      </c>
      <c r="I260" s="1" t="s">
        <v>424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1246</v>
      </c>
      <c r="D261" s="1"/>
      <c r="E261" s="1"/>
      <c r="F261" s="1" t="s">
        <v>1247</v>
      </c>
      <c r="G261" s="1">
        <v>1</v>
      </c>
      <c r="H261" s="1" t="s">
        <v>19</v>
      </c>
      <c r="I261" s="1" t="s">
        <v>425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1246</v>
      </c>
      <c r="D262" s="1"/>
      <c r="E262" s="1"/>
      <c r="F262" s="1" t="s">
        <v>1247</v>
      </c>
      <c r="G262" s="1">
        <v>1</v>
      </c>
      <c r="H262" s="1" t="s">
        <v>19</v>
      </c>
      <c r="I262" s="1" t="s">
        <v>426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1246</v>
      </c>
      <c r="D263" s="1"/>
      <c r="E263" s="1"/>
      <c r="F263" s="1" t="s">
        <v>1247</v>
      </c>
      <c r="G263" s="1">
        <v>1</v>
      </c>
      <c r="H263" s="1" t="s">
        <v>19</v>
      </c>
      <c r="I263" s="1" t="s">
        <v>427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1246</v>
      </c>
      <c r="D264" s="1"/>
      <c r="E264" s="1"/>
      <c r="F264" s="1" t="s">
        <v>1247</v>
      </c>
      <c r="G264" s="1">
        <v>1</v>
      </c>
      <c r="H264" s="1" t="s">
        <v>19</v>
      </c>
      <c r="I264" s="1" t="s">
        <v>428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1151</v>
      </c>
      <c r="D265" s="1"/>
      <c r="E265" s="1" t="s">
        <v>2</v>
      </c>
      <c r="F265" s="1" t="s">
        <v>1152</v>
      </c>
      <c r="G265" s="1">
        <v>2</v>
      </c>
      <c r="H265" s="1" t="s">
        <v>19</v>
      </c>
      <c r="I265" s="1" t="s">
        <v>424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1151</v>
      </c>
      <c r="D266" s="1"/>
      <c r="E266" s="1" t="s">
        <v>44</v>
      </c>
      <c r="F266" s="1" t="s">
        <v>1153</v>
      </c>
      <c r="G266" s="1">
        <v>4</v>
      </c>
      <c r="H266" s="1" t="s">
        <v>19</v>
      </c>
      <c r="I266" s="1" t="s">
        <v>424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1151</v>
      </c>
      <c r="D267" s="1"/>
      <c r="E267" s="1" t="s">
        <v>747</v>
      </c>
      <c r="F267" s="1" t="s">
        <v>1154</v>
      </c>
      <c r="G267" s="1">
        <v>2</v>
      </c>
      <c r="H267" s="1" t="s">
        <v>19</v>
      </c>
      <c r="I267" s="1" t="s">
        <v>424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1151</v>
      </c>
      <c r="D268" s="1"/>
      <c r="E268" s="1" t="s">
        <v>1102</v>
      </c>
      <c r="F268" s="1" t="s">
        <v>1155</v>
      </c>
      <c r="G268" s="1">
        <v>2</v>
      </c>
      <c r="H268" s="1" t="s">
        <v>19</v>
      </c>
      <c r="I268" s="1" t="s">
        <v>424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1151</v>
      </c>
      <c r="D269" s="1"/>
      <c r="E269" s="1" t="s">
        <v>101</v>
      </c>
      <c r="F269" s="1" t="s">
        <v>1156</v>
      </c>
      <c r="G269" s="1">
        <v>4</v>
      </c>
      <c r="H269" s="1" t="s">
        <v>19</v>
      </c>
      <c r="I269" s="1" t="s">
        <v>424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1151</v>
      </c>
      <c r="D270" s="1"/>
      <c r="E270" s="1" t="s">
        <v>174</v>
      </c>
      <c r="F270" s="1" t="s">
        <v>1157</v>
      </c>
      <c r="G270" s="1">
        <v>8</v>
      </c>
      <c r="H270" s="1" t="s">
        <v>19</v>
      </c>
      <c r="I270" s="1" t="s">
        <v>424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1151</v>
      </c>
      <c r="D271" s="1"/>
      <c r="E271" s="1" t="s">
        <v>462</v>
      </c>
      <c r="F271" s="1" t="s">
        <v>1158</v>
      </c>
      <c r="G271" s="1">
        <v>2</v>
      </c>
      <c r="H271" s="1" t="s">
        <v>19</v>
      </c>
      <c r="I271" s="1" t="s">
        <v>424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1151</v>
      </c>
      <c r="D272" s="1"/>
      <c r="E272" s="1" t="s">
        <v>2</v>
      </c>
      <c r="F272" s="1" t="s">
        <v>1152</v>
      </c>
      <c r="G272" s="1">
        <v>2</v>
      </c>
      <c r="H272" s="1" t="s">
        <v>19</v>
      </c>
      <c r="I272" s="1" t="s">
        <v>425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1151</v>
      </c>
      <c r="D273" s="1"/>
      <c r="E273" s="1" t="s">
        <v>44</v>
      </c>
      <c r="F273" s="1" t="s">
        <v>1153</v>
      </c>
      <c r="G273" s="1">
        <v>4</v>
      </c>
      <c r="H273" s="1" t="s">
        <v>19</v>
      </c>
      <c r="I273" s="1" t="s">
        <v>425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1151</v>
      </c>
      <c r="D274" s="1"/>
      <c r="E274" s="1" t="s">
        <v>747</v>
      </c>
      <c r="F274" s="1" t="s">
        <v>1154</v>
      </c>
      <c r="G274" s="1">
        <v>2</v>
      </c>
      <c r="H274" s="1" t="s">
        <v>19</v>
      </c>
      <c r="I274" s="1" t="s">
        <v>425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1151</v>
      </c>
      <c r="D275" s="1"/>
      <c r="E275" s="1" t="s">
        <v>1102</v>
      </c>
      <c r="F275" s="1" t="s">
        <v>1155</v>
      </c>
      <c r="G275" s="1">
        <v>2</v>
      </c>
      <c r="H275" s="1" t="s">
        <v>19</v>
      </c>
      <c r="I275" s="1" t="s">
        <v>425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1151</v>
      </c>
      <c r="D276" s="1"/>
      <c r="E276" s="1" t="s">
        <v>101</v>
      </c>
      <c r="F276" s="1" t="s">
        <v>1156</v>
      </c>
      <c r="G276" s="1">
        <v>4</v>
      </c>
      <c r="H276" s="1" t="s">
        <v>19</v>
      </c>
      <c r="I276" s="1" t="s">
        <v>425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1151</v>
      </c>
      <c r="D277" s="1"/>
      <c r="E277" s="1" t="s">
        <v>174</v>
      </c>
      <c r="F277" s="1" t="s">
        <v>1157</v>
      </c>
      <c r="G277" s="1">
        <v>8</v>
      </c>
      <c r="H277" s="1" t="s">
        <v>19</v>
      </c>
      <c r="I277" s="1" t="s">
        <v>425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1151</v>
      </c>
      <c r="D278" s="1"/>
      <c r="E278" s="1" t="s">
        <v>462</v>
      </c>
      <c r="F278" s="1" t="s">
        <v>1158</v>
      </c>
      <c r="G278" s="1">
        <v>2</v>
      </c>
      <c r="H278" s="1" t="s">
        <v>19</v>
      </c>
      <c r="I278" s="1" t="s">
        <v>425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1151</v>
      </c>
      <c r="D279" s="1"/>
      <c r="E279" s="1" t="s">
        <v>2</v>
      </c>
      <c r="F279" s="1" t="s">
        <v>1152</v>
      </c>
      <c r="G279" s="1">
        <v>2</v>
      </c>
      <c r="H279" s="1" t="s">
        <v>19</v>
      </c>
      <c r="I279" s="1" t="s">
        <v>426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1151</v>
      </c>
      <c r="D280" s="1"/>
      <c r="E280" s="1" t="s">
        <v>44</v>
      </c>
      <c r="F280" s="1" t="s">
        <v>1153</v>
      </c>
      <c r="G280" s="1">
        <v>4</v>
      </c>
      <c r="H280" s="1" t="s">
        <v>19</v>
      </c>
      <c r="I280" s="1" t="s">
        <v>426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1151</v>
      </c>
      <c r="D281" s="1"/>
      <c r="E281" s="1" t="s">
        <v>747</v>
      </c>
      <c r="F281" s="1" t="s">
        <v>1154</v>
      </c>
      <c r="G281" s="1">
        <v>2</v>
      </c>
      <c r="H281" s="1" t="s">
        <v>19</v>
      </c>
      <c r="I281" s="1" t="s">
        <v>426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1151</v>
      </c>
      <c r="D282" s="1"/>
      <c r="E282" s="1" t="s">
        <v>1102</v>
      </c>
      <c r="F282" s="1" t="s">
        <v>1155</v>
      </c>
      <c r="G282" s="1">
        <v>2</v>
      </c>
      <c r="H282" s="1" t="s">
        <v>19</v>
      </c>
      <c r="I282" s="1" t="s">
        <v>426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1151</v>
      </c>
      <c r="D283" s="1"/>
      <c r="E283" s="1" t="s">
        <v>101</v>
      </c>
      <c r="F283" s="1" t="s">
        <v>1156</v>
      </c>
      <c r="G283" s="1">
        <v>4</v>
      </c>
      <c r="H283" s="1" t="s">
        <v>19</v>
      </c>
      <c r="I283" s="1" t="s">
        <v>426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1151</v>
      </c>
      <c r="D284" s="1"/>
      <c r="E284" s="1" t="s">
        <v>174</v>
      </c>
      <c r="F284" s="1" t="s">
        <v>1157</v>
      </c>
      <c r="G284" s="1">
        <v>8</v>
      </c>
      <c r="H284" s="1" t="s">
        <v>19</v>
      </c>
      <c r="I284" s="1" t="s">
        <v>426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1151</v>
      </c>
      <c r="D285" s="1"/>
      <c r="E285" s="1" t="s">
        <v>462</v>
      </c>
      <c r="F285" s="1" t="s">
        <v>1158</v>
      </c>
      <c r="G285" s="1">
        <v>2</v>
      </c>
      <c r="H285" s="1" t="s">
        <v>19</v>
      </c>
      <c r="I285" s="1" t="s">
        <v>426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1151</v>
      </c>
      <c r="D286" s="1"/>
      <c r="E286" s="1" t="s">
        <v>2</v>
      </c>
      <c r="F286" s="1" t="s">
        <v>1152</v>
      </c>
      <c r="G286" s="1">
        <v>2</v>
      </c>
      <c r="H286" s="1" t="s">
        <v>19</v>
      </c>
      <c r="I286" s="1" t="s">
        <v>427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1151</v>
      </c>
      <c r="D287" s="1"/>
      <c r="E287" s="1" t="s">
        <v>44</v>
      </c>
      <c r="F287" s="1" t="s">
        <v>1153</v>
      </c>
      <c r="G287" s="1">
        <v>4</v>
      </c>
      <c r="H287" s="1" t="s">
        <v>19</v>
      </c>
      <c r="I287" s="1" t="s">
        <v>427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1151</v>
      </c>
      <c r="D288" s="1"/>
      <c r="E288" s="1" t="s">
        <v>747</v>
      </c>
      <c r="F288" s="1" t="s">
        <v>1154</v>
      </c>
      <c r="G288" s="1">
        <v>2</v>
      </c>
      <c r="H288" s="1" t="s">
        <v>19</v>
      </c>
      <c r="I288" s="1" t="s">
        <v>427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1151</v>
      </c>
      <c r="D289" s="1"/>
      <c r="E289" s="1" t="s">
        <v>1102</v>
      </c>
      <c r="F289" s="1" t="s">
        <v>1155</v>
      </c>
      <c r="G289" s="1">
        <v>2</v>
      </c>
      <c r="H289" s="1" t="s">
        <v>19</v>
      </c>
      <c r="I289" s="1" t="s">
        <v>427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1151</v>
      </c>
      <c r="D290" s="1"/>
      <c r="E290" s="1" t="s">
        <v>101</v>
      </c>
      <c r="F290" s="1" t="s">
        <v>1156</v>
      </c>
      <c r="G290" s="1">
        <v>4</v>
      </c>
      <c r="H290" s="1" t="s">
        <v>19</v>
      </c>
      <c r="I290" s="1" t="s">
        <v>427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1151</v>
      </c>
      <c r="D291" s="1"/>
      <c r="E291" s="1" t="s">
        <v>174</v>
      </c>
      <c r="F291" s="1" t="s">
        <v>1157</v>
      </c>
      <c r="G291" s="1">
        <v>8</v>
      </c>
      <c r="H291" s="1" t="s">
        <v>19</v>
      </c>
      <c r="I291" s="1" t="s">
        <v>427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1151</v>
      </c>
      <c r="D292" s="1"/>
      <c r="E292" s="1" t="s">
        <v>462</v>
      </c>
      <c r="F292" s="1" t="s">
        <v>1158</v>
      </c>
      <c r="G292" s="1">
        <v>2</v>
      </c>
      <c r="H292" s="1" t="s">
        <v>19</v>
      </c>
      <c r="I292" s="1" t="s">
        <v>427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1151</v>
      </c>
      <c r="D293" s="1"/>
      <c r="E293" s="1" t="s">
        <v>2</v>
      </c>
      <c r="F293" s="1" t="s">
        <v>1152</v>
      </c>
      <c r="G293" s="1">
        <v>2</v>
      </c>
      <c r="H293" s="1" t="s">
        <v>19</v>
      </c>
      <c r="I293" s="1" t="s">
        <v>428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1151</v>
      </c>
      <c r="D294" s="1"/>
      <c r="E294" s="1" t="s">
        <v>44</v>
      </c>
      <c r="F294" s="1" t="s">
        <v>1153</v>
      </c>
      <c r="G294" s="1">
        <v>4</v>
      </c>
      <c r="H294" s="1" t="s">
        <v>19</v>
      </c>
      <c r="I294" s="1" t="s">
        <v>428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1151</v>
      </c>
      <c r="D295" s="1"/>
      <c r="E295" s="1" t="s">
        <v>747</v>
      </c>
      <c r="F295" s="1" t="s">
        <v>1154</v>
      </c>
      <c r="G295" s="1">
        <v>2</v>
      </c>
      <c r="H295" s="1" t="s">
        <v>19</v>
      </c>
      <c r="I295" s="1" t="s">
        <v>428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1151</v>
      </c>
      <c r="D296" s="1"/>
      <c r="E296" s="1" t="s">
        <v>1102</v>
      </c>
      <c r="F296" s="1" t="s">
        <v>1155</v>
      </c>
      <c r="G296" s="1">
        <v>2</v>
      </c>
      <c r="H296" s="1" t="s">
        <v>19</v>
      </c>
      <c r="I296" s="1" t="s">
        <v>428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1151</v>
      </c>
      <c r="D297" s="1"/>
      <c r="E297" s="1" t="s">
        <v>101</v>
      </c>
      <c r="F297" s="1" t="s">
        <v>1156</v>
      </c>
      <c r="G297" s="1">
        <v>4</v>
      </c>
      <c r="H297" s="1" t="s">
        <v>19</v>
      </c>
      <c r="I297" s="1" t="s">
        <v>428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1151</v>
      </c>
      <c r="D298" s="1"/>
      <c r="E298" s="1" t="s">
        <v>174</v>
      </c>
      <c r="F298" s="1" t="s">
        <v>1157</v>
      </c>
      <c r="G298" s="1">
        <v>8</v>
      </c>
      <c r="H298" s="1" t="s">
        <v>19</v>
      </c>
      <c r="I298" s="1" t="s">
        <v>428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1151</v>
      </c>
      <c r="D299" s="1"/>
      <c r="E299" s="1" t="s">
        <v>462</v>
      </c>
      <c r="F299" s="1" t="s">
        <v>1158</v>
      </c>
      <c r="G299" s="1">
        <v>2</v>
      </c>
      <c r="H299" s="1" t="s">
        <v>19</v>
      </c>
      <c r="I299" s="1" t="s">
        <v>428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1248</v>
      </c>
      <c r="D300" s="1"/>
      <c r="E300" s="1"/>
      <c r="F300" s="1" t="s">
        <v>1249</v>
      </c>
      <c r="G300" s="1">
        <v>1</v>
      </c>
      <c r="H300" s="1" t="s">
        <v>19</v>
      </c>
      <c r="I300" s="1" t="s">
        <v>424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1248</v>
      </c>
      <c r="D301" s="1"/>
      <c r="E301" s="1"/>
      <c r="F301" s="1" t="s">
        <v>1250</v>
      </c>
      <c r="G301" s="1">
        <v>1</v>
      </c>
      <c r="H301" s="1" t="s">
        <v>19</v>
      </c>
      <c r="I301" s="1" t="s">
        <v>425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1248</v>
      </c>
      <c r="D302" s="1"/>
      <c r="E302" s="1"/>
      <c r="F302" s="1" t="s">
        <v>1250</v>
      </c>
      <c r="G302" s="1">
        <v>1</v>
      </c>
      <c r="H302" s="1" t="s">
        <v>19</v>
      </c>
      <c r="I302" s="1" t="s">
        <v>426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1248</v>
      </c>
      <c r="D303" s="1"/>
      <c r="E303" s="1"/>
      <c r="F303" s="1" t="s">
        <v>1250</v>
      </c>
      <c r="G303" s="1">
        <v>1</v>
      </c>
      <c r="H303" s="1" t="s">
        <v>19</v>
      </c>
      <c r="I303" s="1" t="s">
        <v>427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1248</v>
      </c>
      <c r="D304" s="1"/>
      <c r="E304" s="1"/>
      <c r="F304" s="1" t="s">
        <v>1249</v>
      </c>
      <c r="G304" s="1">
        <v>1</v>
      </c>
      <c r="H304" s="1" t="s">
        <v>19</v>
      </c>
      <c r="I304" s="1" t="s">
        <v>428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1278</v>
      </c>
      <c r="D305" s="1"/>
      <c r="E305" s="1"/>
      <c r="F305" s="1" t="s">
        <v>578</v>
      </c>
      <c r="G305" s="1">
        <v>1</v>
      </c>
      <c r="H305" s="1" t="s">
        <v>19</v>
      </c>
      <c r="I305" s="1" t="s">
        <v>635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1279</v>
      </c>
      <c r="D306" s="1"/>
      <c r="E306" s="1"/>
      <c r="F306" s="1" t="s">
        <v>579</v>
      </c>
      <c r="G306" s="1">
        <v>1</v>
      </c>
      <c r="H306" s="1" t="s">
        <v>19</v>
      </c>
      <c r="I306" s="1" t="s">
        <v>586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1280</v>
      </c>
      <c r="D307" s="1"/>
      <c r="E307" s="1"/>
      <c r="F307" s="1" t="s">
        <v>580</v>
      </c>
      <c r="G307" s="1">
        <v>1</v>
      </c>
      <c r="H307" s="1" t="s">
        <v>19</v>
      </c>
      <c r="I307" s="1" t="s">
        <v>630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1281</v>
      </c>
      <c r="D308" s="1"/>
      <c r="E308" s="1"/>
      <c r="F308" s="1" t="s">
        <v>581</v>
      </c>
      <c r="G308" s="1">
        <v>1</v>
      </c>
      <c r="H308" s="1" t="s">
        <v>19</v>
      </c>
      <c r="I308" s="1" t="s">
        <v>590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1278</v>
      </c>
      <c r="D309" s="1"/>
      <c r="E309" s="1"/>
      <c r="F309" s="1" t="s">
        <v>582</v>
      </c>
      <c r="G309" s="1">
        <v>21</v>
      </c>
      <c r="H309" s="1" t="s">
        <v>1254</v>
      </c>
      <c r="I309" s="1" t="s">
        <v>635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1279</v>
      </c>
      <c r="D310" s="1"/>
      <c r="E310" s="1"/>
      <c r="F310" s="1" t="s">
        <v>583</v>
      </c>
      <c r="G310" s="1">
        <v>13</v>
      </c>
      <c r="H310" s="1" t="s">
        <v>1254</v>
      </c>
      <c r="I310" s="1" t="s">
        <v>586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1280</v>
      </c>
      <c r="D311" s="1"/>
      <c r="E311" s="1"/>
      <c r="F311" s="1" t="s">
        <v>584</v>
      </c>
      <c r="G311" s="1">
        <v>72</v>
      </c>
      <c r="H311" s="1" t="s">
        <v>1254</v>
      </c>
      <c r="I311" s="1" t="s">
        <v>630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1281</v>
      </c>
      <c r="D312" s="1"/>
      <c r="E312" s="1"/>
      <c r="F312" s="1" t="s">
        <v>585</v>
      </c>
      <c r="G312" s="1">
        <v>10</v>
      </c>
      <c r="H312" s="1" t="s">
        <v>1254</v>
      </c>
      <c r="I312" s="1" t="s">
        <v>590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921</v>
      </c>
      <c r="D313" s="1"/>
      <c r="E313" s="1" t="s">
        <v>2</v>
      </c>
      <c r="F313" s="1" t="s">
        <v>922</v>
      </c>
      <c r="G313" s="1">
        <v>1</v>
      </c>
      <c r="H313" s="1" t="s">
        <v>19</v>
      </c>
      <c r="I313" s="1" t="s">
        <v>630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925</v>
      </c>
      <c r="D314" s="1"/>
      <c r="E314" s="1" t="s">
        <v>2</v>
      </c>
      <c r="F314" s="1" t="s">
        <v>926</v>
      </c>
      <c r="G314" s="1">
        <v>1</v>
      </c>
      <c r="H314" s="1"/>
      <c r="I314" s="1" t="s">
        <v>630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925</v>
      </c>
      <c r="D315" s="1"/>
      <c r="E315" s="1" t="s">
        <v>44</v>
      </c>
      <c r="F315" s="1" t="s">
        <v>927</v>
      </c>
      <c r="G315" s="1">
        <v>1</v>
      </c>
      <c r="H315" s="1"/>
      <c r="I315" s="1" t="s">
        <v>630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928</v>
      </c>
      <c r="D316" s="1"/>
      <c r="E316" s="1" t="s">
        <v>2</v>
      </c>
      <c r="F316" s="1" t="s">
        <v>929</v>
      </c>
      <c r="G316" s="1">
        <v>1</v>
      </c>
      <c r="H316" s="1"/>
      <c r="I316" s="1" t="s">
        <v>630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955</v>
      </c>
      <c r="D317" s="1"/>
      <c r="E317" s="1" t="s">
        <v>2</v>
      </c>
      <c r="F317" s="1" t="s">
        <v>956</v>
      </c>
      <c r="G317" s="1">
        <v>1</v>
      </c>
      <c r="H317" s="1"/>
      <c r="I317" s="1" t="s">
        <v>635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955</v>
      </c>
      <c r="D318" s="1"/>
      <c r="E318" s="1" t="s">
        <v>44</v>
      </c>
      <c r="F318" s="1" t="s">
        <v>957</v>
      </c>
      <c r="G318" s="1">
        <v>1</v>
      </c>
      <c r="H318" s="1"/>
      <c r="I318" s="1" t="s">
        <v>635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955</v>
      </c>
      <c r="D319" s="1"/>
      <c r="E319" s="1"/>
      <c r="F319" s="1" t="s">
        <v>959</v>
      </c>
      <c r="G319" s="1">
        <v>2</v>
      </c>
      <c r="H319" s="1"/>
      <c r="I319" s="1" t="s">
        <v>635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978</v>
      </c>
      <c r="D320" s="1"/>
      <c r="E320" s="1" t="s">
        <v>2</v>
      </c>
      <c r="F320" s="1" t="s">
        <v>979</v>
      </c>
      <c r="G320" s="1">
        <v>1</v>
      </c>
      <c r="H320" s="1"/>
      <c r="I320" s="1" t="s">
        <v>590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1282</v>
      </c>
      <c r="D321" s="1"/>
      <c r="E321" s="1"/>
      <c r="F321" s="1" t="s">
        <v>1283</v>
      </c>
      <c r="G321" s="1">
        <v>48</v>
      </c>
      <c r="H321" s="1" t="s">
        <v>19</v>
      </c>
      <c r="I321" s="1" t="s">
        <v>1284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1282</v>
      </c>
      <c r="D322" s="1"/>
      <c r="E322" s="1"/>
      <c r="F322" s="1" t="s">
        <v>1285</v>
      </c>
      <c r="G322" s="1">
        <v>144</v>
      </c>
      <c r="H322" s="1" t="s">
        <v>19</v>
      </c>
      <c r="I322" s="1" t="s">
        <v>1284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1282</v>
      </c>
      <c r="D323" s="1"/>
      <c r="E323" s="1"/>
      <c r="F323" s="1" t="s">
        <v>1286</v>
      </c>
      <c r="G323" s="1">
        <v>300</v>
      </c>
      <c r="H323" s="1" t="s">
        <v>19</v>
      </c>
      <c r="I323" s="1" t="s">
        <v>1284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1287</v>
      </c>
      <c r="D324" s="1"/>
      <c r="E324" s="1"/>
      <c r="F324" s="1" t="s">
        <v>1288</v>
      </c>
      <c r="G324" s="1">
        <v>12</v>
      </c>
      <c r="H324" s="1" t="s">
        <v>19</v>
      </c>
      <c r="I324" s="1" t="s">
        <v>630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1269</v>
      </c>
      <c r="D325" s="1"/>
      <c r="E325" s="1"/>
      <c r="F325" s="1" t="s">
        <v>1270</v>
      </c>
      <c r="G325" s="1">
        <v>1</v>
      </c>
      <c r="H325" s="1" t="s">
        <v>19</v>
      </c>
      <c r="I325" s="1" t="s">
        <v>635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1269</v>
      </c>
      <c r="D326" s="1"/>
      <c r="E326" s="1"/>
      <c r="F326" s="1" t="s">
        <v>1271</v>
      </c>
      <c r="G326" s="1">
        <v>1</v>
      </c>
      <c r="H326" s="1" t="s">
        <v>19</v>
      </c>
      <c r="I326" s="1" t="s">
        <v>586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1269</v>
      </c>
      <c r="D327" s="1"/>
      <c r="E327" s="1"/>
      <c r="F327" s="1" t="s">
        <v>1272</v>
      </c>
      <c r="G327" s="1">
        <v>1</v>
      </c>
      <c r="H327" s="1" t="s">
        <v>19</v>
      </c>
      <c r="I327" s="1" t="s">
        <v>630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1269</v>
      </c>
      <c r="D328" s="1"/>
      <c r="E328" s="1"/>
      <c r="F328" s="1" t="s">
        <v>1273</v>
      </c>
      <c r="G328" s="1">
        <v>1</v>
      </c>
      <c r="H328" s="1" t="s">
        <v>19</v>
      </c>
      <c r="I328" s="1" t="s">
        <v>590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696</v>
      </c>
      <c r="D329" s="1"/>
      <c r="E329" s="1"/>
      <c r="F329" s="1" t="s">
        <v>1274</v>
      </c>
      <c r="G329" s="1">
        <v>1</v>
      </c>
      <c r="H329" s="1" t="s">
        <v>19</v>
      </c>
      <c r="I329" s="1" t="s">
        <v>635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696</v>
      </c>
      <c r="D330" s="1"/>
      <c r="E330" s="1"/>
      <c r="F330" s="1" t="s">
        <v>1274</v>
      </c>
      <c r="G330" s="1">
        <v>1</v>
      </c>
      <c r="H330" s="1" t="s">
        <v>19</v>
      </c>
      <c r="I330" s="1" t="s">
        <v>586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697</v>
      </c>
      <c r="D331" s="1"/>
      <c r="E331" s="1"/>
      <c r="F331" s="1" t="s">
        <v>1275</v>
      </c>
      <c r="G331" s="1">
        <v>1</v>
      </c>
      <c r="H331" s="1" t="s">
        <v>19</v>
      </c>
      <c r="I331" s="1" t="s">
        <v>630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698</v>
      </c>
      <c r="D332" s="1"/>
      <c r="E332" s="1"/>
      <c r="F332" s="1" t="s">
        <v>1275</v>
      </c>
      <c r="G332" s="1">
        <v>1</v>
      </c>
      <c r="H332" s="1" t="s">
        <v>19</v>
      </c>
      <c r="I332" s="1" t="s">
        <v>635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698</v>
      </c>
      <c r="D333" s="1"/>
      <c r="E333" s="1"/>
      <c r="F333" s="1" t="s">
        <v>1275</v>
      </c>
      <c r="G333" s="1">
        <v>1</v>
      </c>
      <c r="H333" s="1" t="s">
        <v>19</v>
      </c>
      <c r="I333" s="1" t="s">
        <v>586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698</v>
      </c>
      <c r="D334" s="1"/>
      <c r="E334" s="1"/>
      <c r="F334" s="1" t="s">
        <v>1275</v>
      </c>
      <c r="G334" s="1">
        <v>1</v>
      </c>
      <c r="H334" s="1" t="s">
        <v>19</v>
      </c>
      <c r="I334" s="1" t="s">
        <v>590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763</v>
      </c>
      <c r="D335" s="1"/>
      <c r="E335" s="1"/>
      <c r="F335" s="1" t="s">
        <v>1274</v>
      </c>
      <c r="G335" s="1">
        <v>1</v>
      </c>
      <c r="H335" s="1" t="s">
        <v>19</v>
      </c>
      <c r="I335" s="1" t="s">
        <v>590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893</v>
      </c>
      <c r="D336" s="1"/>
      <c r="E336" s="1"/>
      <c r="F336" s="1" t="s">
        <v>1276</v>
      </c>
      <c r="G336" s="1">
        <v>1</v>
      </c>
      <c r="H336" s="1" t="s">
        <v>19</v>
      </c>
      <c r="I336" s="1" t="s">
        <v>630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1287</v>
      </c>
      <c r="D337" s="1"/>
      <c r="E337" s="1"/>
      <c r="F337" s="1" t="s">
        <v>1288</v>
      </c>
      <c r="G337" s="1">
        <v>12</v>
      </c>
      <c r="H337" s="1" t="s">
        <v>19</v>
      </c>
      <c r="I337" s="1" t="s">
        <v>630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1244</v>
      </c>
      <c r="D338" s="1"/>
      <c r="E338" s="1"/>
      <c r="F338" s="1" t="s">
        <v>1245</v>
      </c>
      <c r="G338" s="1">
        <v>1</v>
      </c>
      <c r="H338" s="1" t="s">
        <v>19</v>
      </c>
      <c r="I338" s="1" t="s">
        <v>424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1244</v>
      </c>
      <c r="D339" s="1"/>
      <c r="E339" s="1"/>
      <c r="F339" s="1" t="s">
        <v>1245</v>
      </c>
      <c r="G339" s="1">
        <v>1</v>
      </c>
      <c r="H339" s="1" t="s">
        <v>19</v>
      </c>
      <c r="I339" s="1" t="s">
        <v>425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1244</v>
      </c>
      <c r="D340" s="1"/>
      <c r="E340" s="1"/>
      <c r="F340" s="1" t="s">
        <v>1245</v>
      </c>
      <c r="G340" s="1">
        <v>1</v>
      </c>
      <c r="H340" s="1" t="s">
        <v>19</v>
      </c>
      <c r="I340" s="1" t="s">
        <v>426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1244</v>
      </c>
      <c r="D341" s="1"/>
      <c r="E341" s="1"/>
      <c r="F341" s="1" t="s">
        <v>1245</v>
      </c>
      <c r="G341" s="1">
        <v>1</v>
      </c>
      <c r="H341" s="1" t="s">
        <v>19</v>
      </c>
      <c r="I341" s="1" t="s">
        <v>427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1244</v>
      </c>
      <c r="D342" s="1"/>
      <c r="E342" s="1"/>
      <c r="F342" s="1" t="s">
        <v>1245</v>
      </c>
      <c r="G342" s="1">
        <v>1</v>
      </c>
      <c r="H342" s="1" t="s">
        <v>19</v>
      </c>
      <c r="I342" s="1" t="s">
        <v>428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1246</v>
      </c>
      <c r="D343" s="1"/>
      <c r="E343" s="1"/>
      <c r="F343" s="1" t="s">
        <v>1247</v>
      </c>
      <c r="G343" s="1">
        <v>1</v>
      </c>
      <c r="H343" s="1" t="s">
        <v>19</v>
      </c>
      <c r="I343" s="1" t="s">
        <v>424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1246</v>
      </c>
      <c r="D344" s="1"/>
      <c r="E344" s="1"/>
      <c r="F344" s="1" t="s">
        <v>1247</v>
      </c>
      <c r="G344" s="1">
        <v>1</v>
      </c>
      <c r="H344" s="1" t="s">
        <v>19</v>
      </c>
      <c r="I344" s="1" t="s">
        <v>425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1246</v>
      </c>
      <c r="D345" s="1"/>
      <c r="E345" s="1"/>
      <c r="F345" s="1" t="s">
        <v>1247</v>
      </c>
      <c r="G345" s="1">
        <v>1</v>
      </c>
      <c r="H345" s="1" t="s">
        <v>19</v>
      </c>
      <c r="I345" s="1" t="s">
        <v>426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1246</v>
      </c>
      <c r="D346" s="1"/>
      <c r="E346" s="1"/>
      <c r="F346" s="1" t="s">
        <v>1247</v>
      </c>
      <c r="G346" s="1">
        <v>1</v>
      </c>
      <c r="H346" s="1" t="s">
        <v>19</v>
      </c>
      <c r="I346" s="1" t="s">
        <v>427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1246</v>
      </c>
      <c r="D347" s="1"/>
      <c r="E347" s="1"/>
      <c r="F347" s="1" t="s">
        <v>1247</v>
      </c>
      <c r="G347" s="1">
        <v>1</v>
      </c>
      <c r="H347" s="1" t="s">
        <v>19</v>
      </c>
      <c r="I347" s="1" t="s">
        <v>428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1151</v>
      </c>
      <c r="D348" s="1"/>
      <c r="E348" s="1" t="s">
        <v>1102</v>
      </c>
      <c r="F348" s="1" t="s">
        <v>1155</v>
      </c>
      <c r="G348" s="1">
        <v>2</v>
      </c>
      <c r="H348" s="1" t="s">
        <v>19</v>
      </c>
      <c r="I348" s="1" t="s">
        <v>424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1151</v>
      </c>
      <c r="D349" s="1"/>
      <c r="E349" s="1" t="s">
        <v>1102</v>
      </c>
      <c r="F349" s="1" t="s">
        <v>1155</v>
      </c>
      <c r="G349" s="1">
        <v>2</v>
      </c>
      <c r="H349" s="1" t="s">
        <v>19</v>
      </c>
      <c r="I349" s="1" t="s">
        <v>425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1151</v>
      </c>
      <c r="D350" s="1"/>
      <c r="E350" s="1" t="s">
        <v>1102</v>
      </c>
      <c r="F350" s="1" t="s">
        <v>1155</v>
      </c>
      <c r="G350" s="1">
        <v>2</v>
      </c>
      <c r="H350" s="1" t="s">
        <v>19</v>
      </c>
      <c r="I350" s="1" t="s">
        <v>426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1151</v>
      </c>
      <c r="D351" s="1"/>
      <c r="E351" s="1" t="s">
        <v>1102</v>
      </c>
      <c r="F351" s="1" t="s">
        <v>1155</v>
      </c>
      <c r="G351" s="1">
        <v>2</v>
      </c>
      <c r="H351" s="1" t="s">
        <v>19</v>
      </c>
      <c r="I351" s="1" t="s">
        <v>427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1151</v>
      </c>
      <c r="D352" s="1"/>
      <c r="E352" s="1" t="s">
        <v>1102</v>
      </c>
      <c r="F352" s="1" t="s">
        <v>1155</v>
      </c>
      <c r="G352" s="1">
        <v>2</v>
      </c>
      <c r="H352" s="1" t="s">
        <v>19</v>
      </c>
      <c r="I352" s="1" t="s">
        <v>428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1248</v>
      </c>
      <c r="D353" s="1"/>
      <c r="E353" s="1"/>
      <c r="F353" s="1" t="s">
        <v>576</v>
      </c>
      <c r="G353" s="1">
        <v>1</v>
      </c>
      <c r="H353" s="1"/>
      <c r="I353" s="1" t="s">
        <v>424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1248</v>
      </c>
      <c r="D354" s="1"/>
      <c r="E354" s="1"/>
      <c r="F354" s="1" t="s">
        <v>577</v>
      </c>
      <c r="G354" s="1">
        <v>1</v>
      </c>
      <c r="H354" s="1"/>
      <c r="I354" s="1" t="s">
        <v>425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1248</v>
      </c>
      <c r="D355" s="1"/>
      <c r="E355" s="1"/>
      <c r="F355" s="1" t="s">
        <v>577</v>
      </c>
      <c r="G355" s="1">
        <v>1</v>
      </c>
      <c r="H355" s="1"/>
      <c r="I355" s="1" t="s">
        <v>426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1248</v>
      </c>
      <c r="D356" s="1"/>
      <c r="E356" s="1"/>
      <c r="F356" s="1" t="s">
        <v>577</v>
      </c>
      <c r="G356" s="1">
        <v>1</v>
      </c>
      <c r="H356" s="1"/>
      <c r="I356" s="1" t="s">
        <v>427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1248</v>
      </c>
      <c r="D357" s="1"/>
      <c r="E357" s="1"/>
      <c r="F357" s="1" t="s">
        <v>576</v>
      </c>
      <c r="G357" s="1">
        <v>1</v>
      </c>
      <c r="H357" s="1"/>
      <c r="I357" s="1" t="s">
        <v>428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134</v>
      </c>
      <c r="D358" s="1"/>
      <c r="E358" s="1" t="s">
        <v>1102</v>
      </c>
      <c r="F358" s="1" t="s">
        <v>1352</v>
      </c>
      <c r="G358" s="1">
        <v>1</v>
      </c>
      <c r="H358" s="1" t="s">
        <v>19</v>
      </c>
      <c r="I358" s="1" t="s">
        <v>586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134</v>
      </c>
      <c r="D359" s="1"/>
      <c r="E359" s="1" t="s">
        <v>1102</v>
      </c>
      <c r="F359" s="1" t="s">
        <v>1353</v>
      </c>
      <c r="G359" s="1">
        <v>1</v>
      </c>
      <c r="H359" s="1" t="s">
        <v>19</v>
      </c>
      <c r="I359" s="1" t="s">
        <v>590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134</v>
      </c>
      <c r="D360" s="1"/>
      <c r="E360" s="1" t="s">
        <v>44</v>
      </c>
      <c r="F360" s="1" t="s">
        <v>1354</v>
      </c>
      <c r="G360" s="1">
        <v>1</v>
      </c>
      <c r="H360" s="1" t="s">
        <v>19</v>
      </c>
      <c r="I360" s="1" t="s">
        <v>630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144</v>
      </c>
      <c r="D361" s="1"/>
      <c r="E361" s="1" t="s">
        <v>465</v>
      </c>
      <c r="F361" s="1" t="s">
        <v>665</v>
      </c>
      <c r="G361" s="1">
        <v>6</v>
      </c>
      <c r="H361" s="1" t="s">
        <v>19</v>
      </c>
      <c r="I361" s="1" t="s">
        <v>630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738</v>
      </c>
      <c r="D362" s="1"/>
      <c r="E362" s="1" t="s">
        <v>2</v>
      </c>
      <c r="F362" s="1" t="s">
        <v>739</v>
      </c>
      <c r="G362" s="1">
        <v>1</v>
      </c>
      <c r="H362" s="1" t="s">
        <v>19</v>
      </c>
      <c r="I362" s="1" t="s">
        <v>630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740</v>
      </c>
      <c r="D363" s="1"/>
      <c r="E363" s="1" t="s">
        <v>2</v>
      </c>
      <c r="F363" s="1" t="s">
        <v>741</v>
      </c>
      <c r="G363" s="1">
        <v>1</v>
      </c>
      <c r="H363" s="1" t="s">
        <v>19</v>
      </c>
      <c r="I363" s="1" t="s">
        <v>630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149</v>
      </c>
      <c r="D364" s="1"/>
      <c r="E364" s="1" t="s">
        <v>44</v>
      </c>
      <c r="F364" s="1" t="s">
        <v>743</v>
      </c>
      <c r="G364" s="1">
        <v>6</v>
      </c>
      <c r="H364" s="1" t="s">
        <v>19</v>
      </c>
      <c r="I364" s="1" t="s">
        <v>635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1355</v>
      </c>
      <c r="D365" s="1"/>
      <c r="E365" s="1"/>
      <c r="F365" s="1" t="s">
        <v>1356</v>
      </c>
      <c r="G365" s="1">
        <v>1</v>
      </c>
      <c r="H365" s="1" t="s">
        <v>19</v>
      </c>
      <c r="I365" s="1" t="s">
        <v>630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939</v>
      </c>
      <c r="D366" s="1"/>
      <c r="E366" s="1" t="s">
        <v>44</v>
      </c>
      <c r="F366" s="1" t="s">
        <v>941</v>
      </c>
      <c r="G366" s="1">
        <v>3</v>
      </c>
      <c r="H366" s="1" t="s">
        <v>19</v>
      </c>
      <c r="I366" s="1" t="s">
        <v>630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939</v>
      </c>
      <c r="D367" s="1"/>
      <c r="E367" s="1" t="s">
        <v>747</v>
      </c>
      <c r="F367" s="1" t="s">
        <v>942</v>
      </c>
      <c r="G367" s="1">
        <v>14</v>
      </c>
      <c r="H367" s="1"/>
      <c r="I367" s="1" t="s">
        <v>630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939</v>
      </c>
      <c r="D368" s="1"/>
      <c r="E368" s="1" t="s">
        <v>1102</v>
      </c>
      <c r="F368" s="1" t="s">
        <v>943</v>
      </c>
      <c r="G368" s="1">
        <v>14</v>
      </c>
      <c r="H368" s="1"/>
      <c r="I368" s="1" t="s">
        <v>630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939</v>
      </c>
      <c r="D369" s="1"/>
      <c r="E369" s="1" t="s">
        <v>174</v>
      </c>
      <c r="F369" s="1" t="s">
        <v>945</v>
      </c>
      <c r="G369" s="1">
        <v>28</v>
      </c>
      <c r="H369" s="1"/>
      <c r="I369" s="1" t="s">
        <v>630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939</v>
      </c>
      <c r="D370" s="1"/>
      <c r="E370" s="1" t="s">
        <v>462</v>
      </c>
      <c r="F370" s="1" t="s">
        <v>946</v>
      </c>
      <c r="G370" s="1">
        <v>1</v>
      </c>
      <c r="H370" s="1"/>
      <c r="I370" s="1" t="s">
        <v>630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951</v>
      </c>
      <c r="D371" s="1"/>
      <c r="E371" s="1"/>
      <c r="F371" s="1" t="s">
        <v>954</v>
      </c>
      <c r="G371" s="1">
        <v>2</v>
      </c>
      <c r="H371" s="1"/>
      <c r="I371" s="1" t="s">
        <v>635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963</v>
      </c>
      <c r="D372" s="1"/>
      <c r="E372" s="1" t="s">
        <v>101</v>
      </c>
      <c r="F372" s="1" t="s">
        <v>968</v>
      </c>
      <c r="G372" s="1">
        <v>3</v>
      </c>
      <c r="H372" s="1" t="s">
        <v>19</v>
      </c>
      <c r="I372" s="1" t="s">
        <v>590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963</v>
      </c>
      <c r="D373" s="1"/>
      <c r="E373" s="1" t="s">
        <v>174</v>
      </c>
      <c r="F373" s="1" t="s">
        <v>969</v>
      </c>
      <c r="G373" s="1">
        <v>3</v>
      </c>
      <c r="H373" s="1" t="s">
        <v>19</v>
      </c>
      <c r="I373" s="1" t="s">
        <v>590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963</v>
      </c>
      <c r="D374" s="1"/>
      <c r="E374" s="1" t="s">
        <v>101</v>
      </c>
      <c r="F374" s="1" t="s">
        <v>968</v>
      </c>
      <c r="G374" s="1">
        <v>4</v>
      </c>
      <c r="H374" s="1" t="s">
        <v>19</v>
      </c>
      <c r="I374" s="1" t="s">
        <v>736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963</v>
      </c>
      <c r="D375" s="1"/>
      <c r="E375" s="1" t="s">
        <v>174</v>
      </c>
      <c r="F375" s="1" t="s">
        <v>969</v>
      </c>
      <c r="G375" s="1">
        <v>4</v>
      </c>
      <c r="H375" s="1" t="s">
        <v>19</v>
      </c>
      <c r="I375" s="1" t="s">
        <v>736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978</v>
      </c>
      <c r="D376" s="1"/>
      <c r="E376" s="1"/>
      <c r="F376" s="1" t="s">
        <v>980</v>
      </c>
      <c r="G376" s="1">
        <v>4</v>
      </c>
      <c r="H376" s="1"/>
      <c r="I376" s="1" t="s">
        <v>590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1818</v>
      </c>
      <c r="D377" s="1"/>
      <c r="E377" s="1" t="s">
        <v>747</v>
      </c>
      <c r="F377" s="1" t="s">
        <v>1019</v>
      </c>
      <c r="G377" s="1">
        <v>6</v>
      </c>
      <c r="H377" s="1"/>
      <c r="I377" s="1" t="s">
        <v>635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1818</v>
      </c>
      <c r="D378" s="1"/>
      <c r="E378" s="1" t="s">
        <v>1102</v>
      </c>
      <c r="F378" s="1" t="s">
        <v>1020</v>
      </c>
      <c r="G378" s="1">
        <v>6</v>
      </c>
      <c r="H378" s="1"/>
      <c r="I378" s="1" t="s">
        <v>635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1818</v>
      </c>
      <c r="D379" s="1"/>
      <c r="E379" s="1" t="s">
        <v>462</v>
      </c>
      <c r="F379" s="1" t="s">
        <v>1078</v>
      </c>
      <c r="G379" s="1">
        <v>6</v>
      </c>
      <c r="H379" s="1"/>
      <c r="I379" s="1" t="s">
        <v>635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1818</v>
      </c>
      <c r="D380" s="1"/>
      <c r="E380" s="1" t="s">
        <v>174</v>
      </c>
      <c r="F380" s="1" t="s">
        <v>1079</v>
      </c>
      <c r="G380" s="1">
        <v>6</v>
      </c>
      <c r="H380" s="1"/>
      <c r="I380" s="1" t="s">
        <v>635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1037</v>
      </c>
      <c r="D381" s="1"/>
      <c r="E381" s="1" t="s">
        <v>2</v>
      </c>
      <c r="F381" s="1" t="s">
        <v>1038</v>
      </c>
      <c r="G381" s="1">
        <v>1</v>
      </c>
      <c r="H381" s="1" t="s">
        <v>19</v>
      </c>
      <c r="I381" s="1" t="s">
        <v>586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1037</v>
      </c>
      <c r="D382" s="1"/>
      <c r="E382" s="1" t="s">
        <v>44</v>
      </c>
      <c r="F382" s="1" t="s">
        <v>1039</v>
      </c>
      <c r="G382" s="1">
        <v>1</v>
      </c>
      <c r="H382" s="1" t="s">
        <v>19</v>
      </c>
      <c r="I382" s="1" t="s">
        <v>586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1037</v>
      </c>
      <c r="D383" s="1"/>
      <c r="E383" s="1"/>
      <c r="F383" s="1" t="s">
        <v>1040</v>
      </c>
      <c r="G383" s="1">
        <v>2</v>
      </c>
      <c r="H383" s="1" t="s">
        <v>19</v>
      </c>
      <c r="I383" s="1" t="s">
        <v>586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2743</v>
      </c>
      <c r="D384" s="1"/>
      <c r="E384" s="1"/>
      <c r="F384" s="1" t="s">
        <v>2744</v>
      </c>
      <c r="G384" s="1">
        <v>8</v>
      </c>
      <c r="H384" s="1" t="s">
        <v>19</v>
      </c>
      <c r="I384" s="1" t="s">
        <v>590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143</v>
      </c>
      <c r="D385" s="1"/>
      <c r="E385" s="1"/>
      <c r="F385" s="1" t="s">
        <v>2745</v>
      </c>
      <c r="G385" s="1">
        <v>6</v>
      </c>
      <c r="H385" s="1" t="s">
        <v>19</v>
      </c>
      <c r="I385" s="1" t="s">
        <v>590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144</v>
      </c>
      <c r="D386" s="1"/>
      <c r="E386" s="1"/>
      <c r="F386" s="1" t="s">
        <v>2746</v>
      </c>
      <c r="G386" s="1">
        <v>110</v>
      </c>
      <c r="H386" s="1" t="s">
        <v>19</v>
      </c>
      <c r="I386" s="1" t="s">
        <v>590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2747</v>
      </c>
      <c r="D387" s="1"/>
      <c r="E387" s="1"/>
      <c r="F387" s="1" t="s">
        <v>2748</v>
      </c>
      <c r="G387" s="1">
        <v>40</v>
      </c>
      <c r="H387" s="1" t="s">
        <v>19</v>
      </c>
      <c r="I387" s="1" t="s">
        <v>590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2743</v>
      </c>
      <c r="D388" s="1"/>
      <c r="E388" s="1"/>
      <c r="F388" s="1" t="s">
        <v>2749</v>
      </c>
      <c r="G388" s="1">
        <v>8</v>
      </c>
      <c r="H388" s="1" t="s">
        <v>19</v>
      </c>
      <c r="I388" s="1" t="s">
        <v>590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144</v>
      </c>
      <c r="D389" s="1"/>
      <c r="E389" s="1"/>
      <c r="F389" s="1" t="s">
        <v>2750</v>
      </c>
      <c r="G389" s="1">
        <v>110</v>
      </c>
      <c r="H389" s="1" t="s">
        <v>19</v>
      </c>
      <c r="I389" s="1" t="s">
        <v>590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2747</v>
      </c>
      <c r="D390" s="1"/>
      <c r="E390" s="1"/>
      <c r="F390" s="1" t="s">
        <v>2750</v>
      </c>
      <c r="G390" s="1">
        <v>40</v>
      </c>
      <c r="H390" s="1" t="s">
        <v>19</v>
      </c>
      <c r="I390" s="1" t="s">
        <v>590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2743</v>
      </c>
      <c r="D391" s="1"/>
      <c r="E391" s="1"/>
      <c r="F391" s="1" t="s">
        <v>2751</v>
      </c>
      <c r="G391" s="1">
        <v>12</v>
      </c>
      <c r="H391" s="1" t="s">
        <v>19</v>
      </c>
      <c r="I391" s="1" t="s">
        <v>590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2743</v>
      </c>
      <c r="D392" s="1"/>
      <c r="E392" s="1"/>
      <c r="F392" s="1" t="s">
        <v>2752</v>
      </c>
      <c r="G392" s="1">
        <v>8</v>
      </c>
      <c r="H392" s="1" t="s">
        <v>19</v>
      </c>
      <c r="I392" s="1" t="s">
        <v>590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2753</v>
      </c>
      <c r="D393" s="1"/>
      <c r="E393" s="1"/>
      <c r="F393" s="1" t="s">
        <v>2754</v>
      </c>
      <c r="G393" s="1">
        <v>25</v>
      </c>
      <c r="H393" s="1" t="s">
        <v>19</v>
      </c>
      <c r="I393" s="1" t="s">
        <v>2755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2753</v>
      </c>
      <c r="D394" s="1"/>
      <c r="E394" s="1"/>
      <c r="F394" s="1" t="s">
        <v>2756</v>
      </c>
      <c r="G394" s="1">
        <v>50</v>
      </c>
      <c r="H394" s="1" t="s">
        <v>19</v>
      </c>
      <c r="I394" s="1" t="s">
        <v>2755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2753</v>
      </c>
      <c r="D395" s="1"/>
      <c r="E395" s="1"/>
      <c r="F395" s="1" t="s">
        <v>2757</v>
      </c>
      <c r="G395" s="1">
        <v>10</v>
      </c>
      <c r="H395" s="1" t="s">
        <v>19</v>
      </c>
      <c r="I395" s="1" t="s">
        <v>2755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2753</v>
      </c>
      <c r="D396" s="1"/>
      <c r="E396" s="1"/>
      <c r="F396" s="1" t="s">
        <v>2758</v>
      </c>
      <c r="G396" s="1">
        <v>20</v>
      </c>
      <c r="H396" s="1" t="s">
        <v>19</v>
      </c>
      <c r="I396" s="1" t="s">
        <v>2755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2753</v>
      </c>
      <c r="D397" s="1"/>
      <c r="E397" s="1"/>
      <c r="F397" s="1" t="s">
        <v>2759</v>
      </c>
      <c r="G397" s="1">
        <v>25</v>
      </c>
      <c r="H397" s="1" t="s">
        <v>19</v>
      </c>
      <c r="I397" s="1" t="s">
        <v>2755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2760</v>
      </c>
      <c r="D398" s="1"/>
      <c r="E398" s="1"/>
      <c r="F398" s="1" t="s">
        <v>2761</v>
      </c>
      <c r="G398" s="1">
        <v>10</v>
      </c>
      <c r="H398" s="1" t="s">
        <v>19</v>
      </c>
      <c r="I398" s="1" t="s">
        <v>2762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148</v>
      </c>
      <c r="D399" s="1"/>
      <c r="E399" s="1"/>
      <c r="F399" s="1" t="s">
        <v>2771</v>
      </c>
      <c r="G399" s="1">
        <v>30</v>
      </c>
      <c r="H399" s="1" t="s">
        <v>19</v>
      </c>
      <c r="I399" s="1" t="s">
        <v>630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133</v>
      </c>
      <c r="D400" s="1"/>
      <c r="E400" s="1"/>
      <c r="F400" s="1" t="s">
        <v>2772</v>
      </c>
      <c r="G400" s="1">
        <v>80</v>
      </c>
      <c r="H400" s="1" t="s">
        <v>19</v>
      </c>
      <c r="I400" s="1" t="s">
        <v>635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148</v>
      </c>
      <c r="D401" s="1"/>
      <c r="E401" s="1"/>
      <c r="F401" s="1" t="s">
        <v>2773</v>
      </c>
      <c r="G401" s="1">
        <v>30</v>
      </c>
      <c r="H401" s="1" t="s">
        <v>19</v>
      </c>
      <c r="I401" s="1" t="s">
        <v>630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2774</v>
      </c>
      <c r="D402" s="1"/>
      <c r="E402" s="1"/>
      <c r="F402" s="1" t="s">
        <v>2775</v>
      </c>
      <c r="G402" s="1">
        <v>15</v>
      </c>
      <c r="H402" s="1" t="s">
        <v>19</v>
      </c>
      <c r="I402" s="1" t="s">
        <v>2776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728</v>
      </c>
      <c r="D403" s="1"/>
      <c r="E403" s="1"/>
      <c r="F403" s="1" t="s">
        <v>2777</v>
      </c>
      <c r="G403" s="1">
        <v>30</v>
      </c>
      <c r="H403" s="1" t="s">
        <v>19</v>
      </c>
      <c r="I403" s="1" t="s">
        <v>635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148</v>
      </c>
      <c r="D404" s="1"/>
      <c r="E404" s="1"/>
      <c r="F404" s="1" t="s">
        <v>2778</v>
      </c>
      <c r="G404" s="1">
        <v>30</v>
      </c>
      <c r="H404" s="1" t="s">
        <v>19</v>
      </c>
      <c r="I404" s="1" t="s">
        <v>630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133</v>
      </c>
      <c r="D405" s="1"/>
      <c r="E405" s="1"/>
      <c r="F405" s="1" t="s">
        <v>2779</v>
      </c>
      <c r="G405" s="1">
        <v>80</v>
      </c>
      <c r="H405" s="1" t="s">
        <v>19</v>
      </c>
      <c r="I405" s="1" t="s">
        <v>635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2780</v>
      </c>
      <c r="D406" s="1"/>
      <c r="E406" s="1"/>
      <c r="F406" s="1" t="s">
        <v>2781</v>
      </c>
      <c r="G406" s="1">
        <v>2</v>
      </c>
      <c r="H406" s="1" t="s">
        <v>19</v>
      </c>
      <c r="I406" s="1" t="s">
        <v>2782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2783</v>
      </c>
      <c r="D407" s="1"/>
      <c r="E407" s="1"/>
      <c r="F407" s="1" t="s">
        <v>2784</v>
      </c>
      <c r="G407" s="1">
        <v>6</v>
      </c>
      <c r="H407" s="1" t="s">
        <v>19</v>
      </c>
      <c r="I407" s="1" t="s">
        <v>2785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1999</v>
      </c>
      <c r="D408" s="1"/>
      <c r="E408" s="1"/>
      <c r="F408" s="1" t="s">
        <v>2786</v>
      </c>
      <c r="G408" s="1">
        <v>14</v>
      </c>
      <c r="H408" s="1" t="s">
        <v>19</v>
      </c>
      <c r="I408" s="1" t="s">
        <v>630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1999</v>
      </c>
      <c r="D409" s="1"/>
      <c r="E409" s="1"/>
      <c r="F409" s="1" t="s">
        <v>2786</v>
      </c>
      <c r="G409" s="1">
        <v>12</v>
      </c>
      <c r="H409" s="1" t="s">
        <v>19</v>
      </c>
      <c r="I409" s="1" t="s">
        <v>630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1999</v>
      </c>
      <c r="D410" s="1"/>
      <c r="E410" s="1"/>
      <c r="F410" s="1" t="s">
        <v>2786</v>
      </c>
      <c r="G410" s="1">
        <v>12</v>
      </c>
      <c r="H410" s="1" t="s">
        <v>19</v>
      </c>
      <c r="I410" s="1" t="s">
        <v>630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1999</v>
      </c>
      <c r="D411" s="1"/>
      <c r="E411" s="1"/>
      <c r="F411" s="1" t="s">
        <v>2787</v>
      </c>
      <c r="G411" s="1">
        <v>18</v>
      </c>
      <c r="H411" s="1" t="s">
        <v>19</v>
      </c>
      <c r="I411" s="1" t="s">
        <v>630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2783</v>
      </c>
      <c r="D412" s="1"/>
      <c r="E412" s="1"/>
      <c r="F412" s="1" t="s">
        <v>2788</v>
      </c>
      <c r="G412" s="1">
        <v>9</v>
      </c>
      <c r="H412" s="1" t="s">
        <v>19</v>
      </c>
      <c r="I412" s="1" t="s">
        <v>630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1999</v>
      </c>
      <c r="D413" s="1"/>
      <c r="E413" s="1"/>
      <c r="F413" s="1" t="s">
        <v>2789</v>
      </c>
      <c r="G413" s="1">
        <v>14</v>
      </c>
      <c r="H413" s="1" t="s">
        <v>19</v>
      </c>
      <c r="I413" s="1" t="s">
        <v>630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2790</v>
      </c>
      <c r="D414" s="1"/>
      <c r="E414" s="1"/>
      <c r="F414" s="1" t="s">
        <v>2791</v>
      </c>
      <c r="G414" s="1">
        <v>4</v>
      </c>
      <c r="H414" s="1" t="s">
        <v>19</v>
      </c>
      <c r="I414" s="1" t="s">
        <v>630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2792</v>
      </c>
      <c r="D415" s="1"/>
      <c r="E415" s="1"/>
      <c r="F415" s="1" t="s">
        <v>2793</v>
      </c>
      <c r="G415" s="1">
        <v>80</v>
      </c>
      <c r="H415" s="1" t="s">
        <v>19</v>
      </c>
      <c r="I415" s="1" t="s">
        <v>630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2794</v>
      </c>
      <c r="D416" s="1"/>
      <c r="E416" s="1"/>
      <c r="F416" s="1" t="s">
        <v>2795</v>
      </c>
      <c r="G416" s="1">
        <v>8</v>
      </c>
      <c r="H416" s="1" t="s">
        <v>19</v>
      </c>
      <c r="I416" s="1" t="s">
        <v>630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2796</v>
      </c>
      <c r="D417" s="1"/>
      <c r="E417" s="1"/>
      <c r="F417" s="1" t="s">
        <v>2797</v>
      </c>
      <c r="G417" s="1">
        <v>4</v>
      </c>
      <c r="H417" s="1" t="s">
        <v>19</v>
      </c>
      <c r="I417" s="1" t="s">
        <v>2798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2799</v>
      </c>
      <c r="D418" s="1"/>
      <c r="E418" s="1"/>
      <c r="F418" s="1" t="s">
        <v>2800</v>
      </c>
      <c r="G418" s="1">
        <v>21</v>
      </c>
      <c r="H418" s="1" t="s">
        <v>19</v>
      </c>
      <c r="I418" s="1" t="s">
        <v>630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2780</v>
      </c>
      <c r="D419" s="1"/>
      <c r="E419" s="1"/>
      <c r="F419" s="1" t="s">
        <v>2801</v>
      </c>
      <c r="G419" s="1">
        <v>2</v>
      </c>
      <c r="H419" s="1" t="s">
        <v>19</v>
      </c>
      <c r="I419" s="1" t="s">
        <v>630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1282</v>
      </c>
      <c r="D420" s="1"/>
      <c r="E420" s="1"/>
      <c r="F420" s="1" t="s">
        <v>2802</v>
      </c>
      <c r="G420" s="1">
        <v>96</v>
      </c>
      <c r="H420" s="1" t="s">
        <v>19</v>
      </c>
      <c r="I420" s="1" t="s">
        <v>2803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1999</v>
      </c>
      <c r="D421" s="1"/>
      <c r="E421" s="1"/>
      <c r="F421" s="1" t="s">
        <v>2804</v>
      </c>
      <c r="G421" s="1">
        <v>14</v>
      </c>
      <c r="H421" s="1" t="s">
        <v>19</v>
      </c>
      <c r="I421" s="1" t="s">
        <v>630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2783</v>
      </c>
      <c r="D422" s="1"/>
      <c r="E422" s="1"/>
      <c r="F422" s="1" t="s">
        <v>2805</v>
      </c>
      <c r="G422" s="1">
        <v>10</v>
      </c>
      <c r="H422" s="1" t="s">
        <v>19</v>
      </c>
      <c r="I422" s="1" t="s">
        <v>630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1999</v>
      </c>
      <c r="D423" s="1"/>
      <c r="E423" s="1"/>
      <c r="F423" s="1" t="s">
        <v>2806</v>
      </c>
      <c r="G423" s="1">
        <v>12</v>
      </c>
      <c r="H423" s="1" t="s">
        <v>19</v>
      </c>
      <c r="I423" s="1" t="s">
        <v>630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1999</v>
      </c>
      <c r="D424" s="1"/>
      <c r="E424" s="1"/>
      <c r="F424" s="1" t="s">
        <v>2807</v>
      </c>
      <c r="G424" s="1">
        <v>18</v>
      </c>
      <c r="H424" s="1" t="s">
        <v>19</v>
      </c>
      <c r="I424" s="1" t="s">
        <v>630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2799</v>
      </c>
      <c r="D425" s="1"/>
      <c r="E425" s="1"/>
      <c r="F425" s="1" t="s">
        <v>2808</v>
      </c>
      <c r="G425" s="1">
        <v>21</v>
      </c>
      <c r="H425" s="1" t="s">
        <v>19</v>
      </c>
      <c r="I425" s="1" t="s">
        <v>630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2796</v>
      </c>
      <c r="D426" s="1"/>
      <c r="E426" s="1"/>
      <c r="F426" s="1" t="s">
        <v>2809</v>
      </c>
      <c r="G426" s="1">
        <v>4</v>
      </c>
      <c r="H426" s="1" t="s">
        <v>19</v>
      </c>
      <c r="I426" s="1" t="s">
        <v>2798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2792</v>
      </c>
      <c r="D427" s="1"/>
      <c r="E427" s="1"/>
      <c r="F427" s="1" t="s">
        <v>2810</v>
      </c>
      <c r="G427" s="1">
        <v>48</v>
      </c>
      <c r="H427" s="1" t="s">
        <v>19</v>
      </c>
      <c r="I427" s="1" t="s">
        <v>630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2783</v>
      </c>
      <c r="D428" s="1"/>
      <c r="E428" s="1"/>
      <c r="F428" s="1" t="s">
        <v>2811</v>
      </c>
      <c r="G428" s="1">
        <v>9</v>
      </c>
      <c r="H428" s="1" t="s">
        <v>19</v>
      </c>
      <c r="I428" s="1" t="s">
        <v>630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2790</v>
      </c>
      <c r="D429" s="1"/>
      <c r="E429" s="1"/>
      <c r="F429" s="1" t="s">
        <v>2812</v>
      </c>
      <c r="G429" s="1">
        <v>4</v>
      </c>
      <c r="H429" s="1" t="s">
        <v>19</v>
      </c>
      <c r="I429" s="1" t="s">
        <v>630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2813</v>
      </c>
      <c r="D430" s="1"/>
      <c r="E430" s="1"/>
      <c r="F430" s="1" t="s">
        <v>2814</v>
      </c>
      <c r="G430" s="1">
        <v>2</v>
      </c>
      <c r="H430" s="1" t="s">
        <v>19</v>
      </c>
      <c r="I430" s="1" t="s">
        <v>2815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1277</v>
      </c>
      <c r="D431" s="1"/>
      <c r="E431" s="1"/>
      <c r="F431" s="1" t="s">
        <v>2816</v>
      </c>
      <c r="G431" s="1">
        <v>15</v>
      </c>
      <c r="H431" s="1" t="s">
        <v>19</v>
      </c>
      <c r="I431" s="1" t="s">
        <v>630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2780</v>
      </c>
      <c r="D432" s="1"/>
      <c r="E432" s="1"/>
      <c r="F432" s="1" t="s">
        <v>2817</v>
      </c>
      <c r="G432" s="1">
        <v>4</v>
      </c>
      <c r="H432" s="1" t="s">
        <v>19</v>
      </c>
      <c r="I432" s="1" t="s">
        <v>630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1999</v>
      </c>
      <c r="D433" s="1"/>
      <c r="E433" s="1"/>
      <c r="F433" s="1" t="s">
        <v>2818</v>
      </c>
      <c r="G433" s="1">
        <v>14</v>
      </c>
      <c r="H433" s="1" t="s">
        <v>19</v>
      </c>
      <c r="I433" s="1" t="s">
        <v>630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2819</v>
      </c>
      <c r="D434" s="1"/>
      <c r="E434" s="1"/>
      <c r="F434" s="1" t="s">
        <v>2820</v>
      </c>
      <c r="G434" s="1">
        <v>96</v>
      </c>
      <c r="H434" s="1" t="s">
        <v>19</v>
      </c>
      <c r="I434" s="1" t="s">
        <v>2803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1999</v>
      </c>
      <c r="D435" s="1"/>
      <c r="E435" s="1"/>
      <c r="F435" s="1" t="s">
        <v>2821</v>
      </c>
      <c r="G435" s="1">
        <v>14</v>
      </c>
      <c r="H435" s="1" t="s">
        <v>19</v>
      </c>
      <c r="I435" s="1" t="s">
        <v>630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2783</v>
      </c>
      <c r="D436" s="1"/>
      <c r="E436" s="1"/>
      <c r="F436" s="1" t="s">
        <v>2822</v>
      </c>
      <c r="G436" s="1">
        <v>10</v>
      </c>
      <c r="H436" s="1" t="s">
        <v>19</v>
      </c>
      <c r="I436" s="1" t="s">
        <v>630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1999</v>
      </c>
      <c r="D437" s="1"/>
      <c r="E437" s="1"/>
      <c r="F437" s="1" t="s">
        <v>2823</v>
      </c>
      <c r="G437" s="1">
        <v>12</v>
      </c>
      <c r="H437" s="1" t="s">
        <v>19</v>
      </c>
      <c r="I437" s="1" t="s">
        <v>630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1999</v>
      </c>
      <c r="D438" s="1"/>
      <c r="E438" s="1"/>
      <c r="F438" s="1" t="s">
        <v>2824</v>
      </c>
      <c r="G438" s="1">
        <v>18</v>
      </c>
      <c r="H438" s="1" t="s">
        <v>19</v>
      </c>
      <c r="I438" s="1" t="s">
        <v>630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2780</v>
      </c>
      <c r="D439" s="1"/>
      <c r="E439" s="1"/>
      <c r="F439" s="1" t="s">
        <v>2825</v>
      </c>
      <c r="G439" s="1">
        <v>8</v>
      </c>
      <c r="H439" s="1" t="s">
        <v>19</v>
      </c>
      <c r="I439" s="1" t="s">
        <v>630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2783</v>
      </c>
      <c r="D440" s="1"/>
      <c r="E440" s="1"/>
      <c r="F440" s="1" t="s">
        <v>2826</v>
      </c>
      <c r="G440" s="1">
        <v>21</v>
      </c>
      <c r="H440" s="1" t="s">
        <v>19</v>
      </c>
      <c r="I440" s="1" t="s">
        <v>630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934</v>
      </c>
      <c r="D441" s="1"/>
      <c r="E441" s="1"/>
      <c r="F441" s="1" t="s">
        <v>2827</v>
      </c>
      <c r="G441" s="1">
        <v>4</v>
      </c>
      <c r="H441" s="1" t="s">
        <v>19</v>
      </c>
      <c r="I441" s="1" t="s">
        <v>630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2828</v>
      </c>
      <c r="D442" s="1"/>
      <c r="E442" s="1"/>
      <c r="F442" s="1" t="s">
        <v>2829</v>
      </c>
      <c r="G442" s="1">
        <v>14</v>
      </c>
      <c r="H442" s="1" t="s">
        <v>19</v>
      </c>
      <c r="I442" s="1" t="s">
        <v>2815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2796</v>
      </c>
      <c r="D443" s="1"/>
      <c r="E443" s="1"/>
      <c r="F443" s="1" t="s">
        <v>2830</v>
      </c>
      <c r="G443" s="1">
        <v>4</v>
      </c>
      <c r="H443" s="1" t="s">
        <v>19</v>
      </c>
      <c r="I443" s="1" t="s">
        <v>630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2799</v>
      </c>
      <c r="D444" s="1"/>
      <c r="E444" s="1"/>
      <c r="F444" s="1" t="s">
        <v>2831</v>
      </c>
      <c r="G444" s="1">
        <v>21</v>
      </c>
      <c r="H444" s="1" t="s">
        <v>19</v>
      </c>
      <c r="I444" s="1" t="s">
        <v>630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2792</v>
      </c>
      <c r="D445" s="1"/>
      <c r="E445" s="1"/>
      <c r="F445" s="1" t="s">
        <v>2832</v>
      </c>
      <c r="G445" s="1">
        <v>80</v>
      </c>
      <c r="H445" s="1" t="s">
        <v>19</v>
      </c>
      <c r="I445" s="1" t="s">
        <v>630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2833</v>
      </c>
      <c r="D446" s="1"/>
      <c r="E446" s="1"/>
      <c r="F446" s="1" t="s">
        <v>2834</v>
      </c>
      <c r="G446" s="1">
        <v>8</v>
      </c>
      <c r="H446" s="1" t="s">
        <v>19</v>
      </c>
      <c r="I446" s="1" t="s">
        <v>2815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961</v>
      </c>
      <c r="D447" s="1"/>
      <c r="E447" s="1"/>
      <c r="F447" s="1" t="s">
        <v>2835</v>
      </c>
      <c r="G447" s="1">
        <v>2</v>
      </c>
      <c r="H447" s="1" t="s">
        <v>19</v>
      </c>
      <c r="I447" s="1" t="s">
        <v>2836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1287</v>
      </c>
      <c r="D448" s="1"/>
      <c r="E448" s="1"/>
      <c r="F448" s="1" t="s">
        <v>2837</v>
      </c>
      <c r="G448" s="1">
        <v>4</v>
      </c>
      <c r="H448" s="1" t="s">
        <v>19</v>
      </c>
      <c r="I448" s="1" t="s">
        <v>630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2838</v>
      </c>
      <c r="D449" s="1"/>
      <c r="E449" s="1"/>
      <c r="F449" s="1" t="s">
        <v>2839</v>
      </c>
      <c r="G449" s="1">
        <v>4</v>
      </c>
      <c r="H449" s="1" t="s">
        <v>19</v>
      </c>
      <c r="I449" s="1" t="s">
        <v>586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2840</v>
      </c>
      <c r="D450" s="1"/>
      <c r="E450" s="1"/>
      <c r="F450" s="1" t="s">
        <v>2841</v>
      </c>
      <c r="G450" s="1">
        <v>4</v>
      </c>
      <c r="H450" s="1" t="s">
        <v>19</v>
      </c>
      <c r="I450" s="1" t="s">
        <v>2755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2842</v>
      </c>
      <c r="D451" s="1"/>
      <c r="E451" s="1"/>
      <c r="F451" s="1" t="s">
        <v>2843</v>
      </c>
      <c r="G451" s="1">
        <v>24</v>
      </c>
      <c r="H451" s="1" t="s">
        <v>19</v>
      </c>
      <c r="I451" s="1" t="s">
        <v>590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2844</v>
      </c>
      <c r="D452" s="1"/>
      <c r="E452" s="1"/>
      <c r="F452" s="1" t="s">
        <v>2845</v>
      </c>
      <c r="G452" s="1">
        <v>28</v>
      </c>
      <c r="H452" s="1" t="s">
        <v>19</v>
      </c>
      <c r="I452" s="1" t="s">
        <v>2846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2847</v>
      </c>
      <c r="D453" s="1"/>
      <c r="E453" s="1"/>
      <c r="F453" s="1" t="s">
        <v>2848</v>
      </c>
      <c r="G453" s="1">
        <v>8</v>
      </c>
      <c r="H453" s="1" t="s">
        <v>19</v>
      </c>
      <c r="I453" s="1" t="s">
        <v>635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2849</v>
      </c>
      <c r="D454" s="1"/>
      <c r="E454" s="1"/>
      <c r="F454" s="1" t="s">
        <v>2850</v>
      </c>
      <c r="G454" s="1">
        <v>2</v>
      </c>
      <c r="H454" s="1" t="s">
        <v>19</v>
      </c>
      <c r="I454" s="1" t="s">
        <v>586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1997</v>
      </c>
      <c r="D455" s="1"/>
      <c r="E455" s="1"/>
      <c r="F455" s="1" t="s">
        <v>2851</v>
      </c>
      <c r="G455" s="1">
        <v>9</v>
      </c>
      <c r="H455" s="1" t="s">
        <v>19</v>
      </c>
      <c r="I455" s="1" t="s">
        <v>2852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951</v>
      </c>
      <c r="D456" s="1"/>
      <c r="E456" s="1"/>
      <c r="F456" s="1" t="s">
        <v>2853</v>
      </c>
      <c r="G456" s="1">
        <v>9</v>
      </c>
      <c r="H456" s="1" t="s">
        <v>19</v>
      </c>
      <c r="I456" s="1" t="s">
        <v>2755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2854</v>
      </c>
      <c r="D457" s="1"/>
      <c r="E457" s="1"/>
      <c r="F457" s="1" t="s">
        <v>2855</v>
      </c>
      <c r="G457" s="1">
        <v>12</v>
      </c>
      <c r="H457" s="1" t="s">
        <v>19</v>
      </c>
      <c r="I457" s="1" t="s">
        <v>2856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2857</v>
      </c>
      <c r="D458" s="1"/>
      <c r="E458" s="1"/>
      <c r="F458" s="1" t="s">
        <v>2858</v>
      </c>
      <c r="G458" s="1">
        <v>44</v>
      </c>
      <c r="H458" s="1" t="s">
        <v>19</v>
      </c>
      <c r="I458" s="1" t="s">
        <v>2859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1287</v>
      </c>
      <c r="D459" s="1"/>
      <c r="E459" s="1"/>
      <c r="F459" s="1" t="s">
        <v>2860</v>
      </c>
      <c r="G459" s="1">
        <v>68</v>
      </c>
      <c r="H459" s="1" t="s">
        <v>19</v>
      </c>
      <c r="I459" s="1" t="s">
        <v>630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2861</v>
      </c>
      <c r="D460" s="1"/>
      <c r="E460" s="1"/>
      <c r="F460" s="1" t="s">
        <v>2862</v>
      </c>
      <c r="G460" s="1">
        <v>34</v>
      </c>
      <c r="H460" s="1" t="s">
        <v>19</v>
      </c>
      <c r="I460" s="1" t="s">
        <v>2863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2838</v>
      </c>
      <c r="D461" s="1"/>
      <c r="E461" s="1"/>
      <c r="F461" s="1" t="s">
        <v>2864</v>
      </c>
      <c r="G461" s="1">
        <v>46</v>
      </c>
      <c r="H461" s="1" t="s">
        <v>19</v>
      </c>
      <c r="I461" s="1" t="s">
        <v>586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2865</v>
      </c>
      <c r="D462" s="1"/>
      <c r="E462" s="1"/>
      <c r="F462" s="1" t="s">
        <v>2866</v>
      </c>
      <c r="G462" s="1">
        <v>49</v>
      </c>
      <c r="H462" s="1" t="s">
        <v>19</v>
      </c>
      <c r="I462" s="1" t="s">
        <v>586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1997</v>
      </c>
      <c r="D463" s="1"/>
      <c r="E463" s="1"/>
      <c r="F463" s="1" t="s">
        <v>2867</v>
      </c>
      <c r="G463" s="1">
        <v>9</v>
      </c>
      <c r="H463" s="1" t="s">
        <v>19</v>
      </c>
      <c r="I463" s="1" t="s">
        <v>2852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2868</v>
      </c>
      <c r="D464" s="1"/>
      <c r="E464" s="1"/>
      <c r="F464" s="1" t="s">
        <v>2869</v>
      </c>
      <c r="G464" s="1">
        <v>8</v>
      </c>
      <c r="H464" s="1" t="s">
        <v>19</v>
      </c>
      <c r="I464" s="1" t="s">
        <v>635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1287</v>
      </c>
      <c r="D465" s="1"/>
      <c r="E465" s="1"/>
      <c r="F465" s="1" t="s">
        <v>2870</v>
      </c>
      <c r="G465" s="1">
        <v>22</v>
      </c>
      <c r="H465" s="1" t="s">
        <v>19</v>
      </c>
      <c r="I465" s="1" t="s">
        <v>630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2840</v>
      </c>
      <c r="D466" s="1"/>
      <c r="E466" s="1"/>
      <c r="F466" s="1" t="s">
        <v>2871</v>
      </c>
      <c r="G466" s="1">
        <v>22</v>
      </c>
      <c r="H466" s="1" t="s">
        <v>19</v>
      </c>
      <c r="I466" s="1" t="s">
        <v>2755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951</v>
      </c>
      <c r="D467" s="1"/>
      <c r="E467" s="1"/>
      <c r="F467" s="1" t="s">
        <v>2872</v>
      </c>
      <c r="G467" s="1">
        <v>9</v>
      </c>
      <c r="H467" s="1" t="s">
        <v>19</v>
      </c>
      <c r="I467" s="1" t="s">
        <v>2755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2873</v>
      </c>
      <c r="D468" s="1"/>
      <c r="E468" s="1"/>
      <c r="F468" s="1" t="s">
        <v>2874</v>
      </c>
      <c r="G468" s="1">
        <v>4</v>
      </c>
      <c r="H468" s="1" t="s">
        <v>19</v>
      </c>
      <c r="I468" s="1" t="s">
        <v>2863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2875</v>
      </c>
      <c r="D469" s="1"/>
      <c r="E469" s="1"/>
      <c r="F469" s="1" t="s">
        <v>2876</v>
      </c>
      <c r="G469" s="1">
        <v>4</v>
      </c>
      <c r="H469" s="1" t="s">
        <v>19</v>
      </c>
      <c r="I469" s="1" t="s">
        <v>2755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2877</v>
      </c>
      <c r="D470" s="1"/>
      <c r="E470" s="1"/>
      <c r="F470" s="1" t="s">
        <v>2878</v>
      </c>
      <c r="G470" s="1">
        <v>4</v>
      </c>
      <c r="H470" s="1" t="s">
        <v>19</v>
      </c>
      <c r="I470" s="1" t="s">
        <v>586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2849</v>
      </c>
      <c r="D471" s="1"/>
      <c r="E471" s="1"/>
      <c r="F471" s="1" t="s">
        <v>2879</v>
      </c>
      <c r="G471" s="1">
        <v>8</v>
      </c>
      <c r="H471" s="1" t="s">
        <v>19</v>
      </c>
      <c r="I471" s="1" t="s">
        <v>586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960</v>
      </c>
      <c r="D472" s="1"/>
      <c r="E472" s="1"/>
      <c r="F472" s="1" t="s">
        <v>2880</v>
      </c>
      <c r="G472" s="1">
        <v>2</v>
      </c>
      <c r="H472" s="1" t="s">
        <v>19</v>
      </c>
      <c r="I472" s="1" t="s">
        <v>2856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2881</v>
      </c>
      <c r="D473" s="1"/>
      <c r="E473" s="1"/>
      <c r="F473" s="1" t="s">
        <v>2882</v>
      </c>
      <c r="G473" s="1">
        <v>49</v>
      </c>
      <c r="H473" s="1" t="s">
        <v>19</v>
      </c>
      <c r="I473" s="1" t="s">
        <v>590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2883</v>
      </c>
      <c r="D474" s="1"/>
      <c r="E474" s="1"/>
      <c r="F474" s="1" t="s">
        <v>2884</v>
      </c>
      <c r="G474" s="1">
        <v>80</v>
      </c>
      <c r="H474" s="1" t="s">
        <v>19</v>
      </c>
      <c r="I474" s="1" t="s">
        <v>635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2840</v>
      </c>
      <c r="D475" s="1"/>
      <c r="E475" s="1"/>
      <c r="F475" s="1" t="s">
        <v>2885</v>
      </c>
      <c r="G475" s="1">
        <v>24</v>
      </c>
      <c r="H475" s="1" t="s">
        <v>19</v>
      </c>
      <c r="I475" s="1" t="s">
        <v>2755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2861</v>
      </c>
      <c r="D476" s="1"/>
      <c r="E476" s="1"/>
      <c r="F476" s="1" t="s">
        <v>2886</v>
      </c>
      <c r="G476" s="1">
        <v>8</v>
      </c>
      <c r="H476" s="1" t="s">
        <v>19</v>
      </c>
      <c r="I476" s="1" t="s">
        <v>2863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2838</v>
      </c>
      <c r="D477" s="1"/>
      <c r="E477" s="1"/>
      <c r="F477" s="1" t="s">
        <v>2887</v>
      </c>
      <c r="G477" s="1">
        <v>8</v>
      </c>
      <c r="H477" s="1" t="s">
        <v>19</v>
      </c>
      <c r="I477" s="1" t="s">
        <v>586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2849</v>
      </c>
      <c r="D478" s="1"/>
      <c r="E478" s="1"/>
      <c r="F478" s="1" t="s">
        <v>2888</v>
      </c>
      <c r="G478" s="1">
        <v>2</v>
      </c>
      <c r="H478" s="1" t="s">
        <v>19</v>
      </c>
      <c r="I478" s="1" t="s">
        <v>586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2838</v>
      </c>
      <c r="D479" s="1"/>
      <c r="E479" s="1"/>
      <c r="F479" s="1" t="s">
        <v>2889</v>
      </c>
      <c r="G479" s="1">
        <v>8</v>
      </c>
      <c r="H479" s="1" t="s">
        <v>19</v>
      </c>
      <c r="I479" s="1" t="s">
        <v>586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2861</v>
      </c>
      <c r="D480" s="1"/>
      <c r="E480" s="1"/>
      <c r="F480" s="1" t="s">
        <v>2890</v>
      </c>
      <c r="G480" s="1">
        <v>8</v>
      </c>
      <c r="H480" s="1" t="s">
        <v>19</v>
      </c>
      <c r="I480" s="1" t="s">
        <v>2863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1287</v>
      </c>
      <c r="D481" s="1"/>
      <c r="E481" s="1"/>
      <c r="F481" s="1" t="s">
        <v>2891</v>
      </c>
      <c r="G481" s="1">
        <v>40</v>
      </c>
      <c r="H481" s="1" t="s">
        <v>19</v>
      </c>
      <c r="I481" s="1" t="s">
        <v>630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2868</v>
      </c>
      <c r="D482" s="1"/>
      <c r="E482" s="1"/>
      <c r="F482" s="1" t="s">
        <v>2892</v>
      </c>
      <c r="G482" s="1">
        <v>2</v>
      </c>
      <c r="H482" s="1" t="s">
        <v>19</v>
      </c>
      <c r="I482" s="1" t="s">
        <v>635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2840</v>
      </c>
      <c r="D483" s="1"/>
      <c r="E483" s="1"/>
      <c r="F483" s="1" t="s">
        <v>2893</v>
      </c>
      <c r="G483" s="1">
        <v>8</v>
      </c>
      <c r="H483" s="1" t="s">
        <v>19</v>
      </c>
      <c r="I483" s="1" t="s">
        <v>2755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2842</v>
      </c>
      <c r="D484" s="1"/>
      <c r="E484" s="1"/>
      <c r="F484" s="1" t="s">
        <v>2894</v>
      </c>
      <c r="G484" s="1">
        <v>24</v>
      </c>
      <c r="H484" s="1" t="s">
        <v>19</v>
      </c>
      <c r="I484" s="1" t="s">
        <v>590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2857</v>
      </c>
      <c r="D485" s="1"/>
      <c r="E485" s="1"/>
      <c r="F485" s="1" t="s">
        <v>2895</v>
      </c>
      <c r="G485" s="1">
        <v>44</v>
      </c>
      <c r="H485" s="1" t="s">
        <v>19</v>
      </c>
      <c r="I485" s="1" t="s">
        <v>2859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2844</v>
      </c>
      <c r="D486" s="1"/>
      <c r="E486" s="1"/>
      <c r="F486" s="1" t="s">
        <v>2896</v>
      </c>
      <c r="G486" s="1">
        <v>28</v>
      </c>
      <c r="H486" s="1" t="s">
        <v>19</v>
      </c>
      <c r="I486" s="1" t="s">
        <v>2846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184</v>
      </c>
      <c r="D487" s="1"/>
      <c r="E487" s="1"/>
      <c r="F487" s="1" t="s">
        <v>2897</v>
      </c>
      <c r="G487" s="1">
        <v>2</v>
      </c>
      <c r="H487" s="1" t="s">
        <v>19</v>
      </c>
      <c r="I487" s="1" t="s">
        <v>2836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2854</v>
      </c>
      <c r="D488" s="1"/>
      <c r="E488" s="1"/>
      <c r="F488" s="1" t="s">
        <v>2898</v>
      </c>
      <c r="G488" s="1">
        <v>12</v>
      </c>
      <c r="H488" s="1" t="s">
        <v>19</v>
      </c>
      <c r="I488" s="1" t="s">
        <v>2856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951</v>
      </c>
      <c r="D489" s="1"/>
      <c r="E489" s="1"/>
      <c r="F489" s="1" t="s">
        <v>2899</v>
      </c>
      <c r="G489" s="1">
        <v>9</v>
      </c>
      <c r="H489" s="1" t="s">
        <v>19</v>
      </c>
      <c r="I489" s="1" t="s">
        <v>2755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1997</v>
      </c>
      <c r="D490" s="1"/>
      <c r="E490" s="1"/>
      <c r="F490" s="1" t="s">
        <v>2900</v>
      </c>
      <c r="G490" s="1">
        <v>9</v>
      </c>
      <c r="H490" s="1" t="s">
        <v>19</v>
      </c>
      <c r="I490" s="1" t="s">
        <v>2852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1991</v>
      </c>
      <c r="D491" s="1"/>
      <c r="E491" s="1"/>
      <c r="F491" s="1" t="s">
        <v>2901</v>
      </c>
      <c r="G491" s="1">
        <v>9</v>
      </c>
      <c r="H491" s="1" t="s">
        <v>19</v>
      </c>
      <c r="I491" s="1" t="s">
        <v>586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2838</v>
      </c>
      <c r="D492" s="1"/>
      <c r="E492" s="1"/>
      <c r="F492" s="1" t="s">
        <v>2902</v>
      </c>
      <c r="G492" s="1">
        <v>4</v>
      </c>
      <c r="H492" s="1" t="s">
        <v>19</v>
      </c>
      <c r="I492" s="1" t="s">
        <v>586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1287</v>
      </c>
      <c r="D493" s="1"/>
      <c r="E493" s="1"/>
      <c r="F493" s="1" t="s">
        <v>2903</v>
      </c>
      <c r="G493" s="1">
        <v>4</v>
      </c>
      <c r="H493" s="1" t="s">
        <v>19</v>
      </c>
      <c r="I493" s="1" t="s">
        <v>630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2840</v>
      </c>
      <c r="D494" s="1"/>
      <c r="E494" s="1"/>
      <c r="F494" s="1" t="s">
        <v>2904</v>
      </c>
      <c r="G494" s="1">
        <v>16</v>
      </c>
      <c r="H494" s="1" t="s">
        <v>19</v>
      </c>
      <c r="I494" s="1" t="s">
        <v>2840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1287</v>
      </c>
      <c r="D495" s="1"/>
      <c r="E495" s="1"/>
      <c r="F495" s="1" t="s">
        <v>2905</v>
      </c>
      <c r="G495" s="1">
        <v>40</v>
      </c>
      <c r="H495" s="1" t="s">
        <v>19</v>
      </c>
      <c r="I495" s="1" t="s">
        <v>630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2840</v>
      </c>
      <c r="D496" s="1"/>
      <c r="E496" s="1"/>
      <c r="F496" s="1" t="s">
        <v>2906</v>
      </c>
      <c r="G496" s="1">
        <v>8</v>
      </c>
      <c r="H496" s="1" t="s">
        <v>19</v>
      </c>
      <c r="I496" s="1" t="s">
        <v>2755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2861</v>
      </c>
      <c r="D497" s="1"/>
      <c r="E497" s="1"/>
      <c r="F497" s="1" t="s">
        <v>2907</v>
      </c>
      <c r="G497" s="1">
        <v>18</v>
      </c>
      <c r="H497" s="1" t="s">
        <v>19</v>
      </c>
      <c r="I497" s="1" t="s">
        <v>2863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2838</v>
      </c>
      <c r="D498" s="1"/>
      <c r="E498" s="1"/>
      <c r="F498" s="1" t="s">
        <v>2908</v>
      </c>
      <c r="G498" s="1">
        <v>8</v>
      </c>
      <c r="H498" s="1" t="s">
        <v>19</v>
      </c>
      <c r="I498" s="1" t="s">
        <v>586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2838</v>
      </c>
      <c r="D499" s="1"/>
      <c r="E499" s="1"/>
      <c r="F499" s="1" t="s">
        <v>2909</v>
      </c>
      <c r="G499" s="1">
        <v>38</v>
      </c>
      <c r="H499" s="1" t="s">
        <v>19</v>
      </c>
      <c r="I499" s="1" t="s">
        <v>586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2840</v>
      </c>
      <c r="D500" s="1"/>
      <c r="E500" s="1"/>
      <c r="F500" s="1" t="s">
        <v>2910</v>
      </c>
      <c r="G500" s="1">
        <v>10</v>
      </c>
      <c r="H500" s="1" t="s">
        <v>19</v>
      </c>
      <c r="I500" s="1" t="s">
        <v>2755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2873</v>
      </c>
      <c r="D501" s="1"/>
      <c r="E501" s="1"/>
      <c r="F501" s="1" t="s">
        <v>2911</v>
      </c>
      <c r="G501" s="1">
        <v>4</v>
      </c>
      <c r="H501" s="1" t="s">
        <v>19</v>
      </c>
      <c r="I501" s="1" t="s">
        <v>2863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1991</v>
      </c>
      <c r="D502" s="1"/>
      <c r="E502" s="1"/>
      <c r="F502" s="1" t="s">
        <v>2912</v>
      </c>
      <c r="G502" s="1">
        <v>9</v>
      </c>
      <c r="H502" s="1" t="s">
        <v>19</v>
      </c>
      <c r="I502" s="1" t="s">
        <v>586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2881</v>
      </c>
      <c r="D503" s="1"/>
      <c r="E503" s="1"/>
      <c r="F503" s="1" t="s">
        <v>2913</v>
      </c>
      <c r="G503" s="1">
        <v>32</v>
      </c>
      <c r="H503" s="1" t="s">
        <v>19</v>
      </c>
      <c r="I503" s="1" t="s">
        <v>590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2877</v>
      </c>
      <c r="D504" s="1"/>
      <c r="E504" s="1"/>
      <c r="F504" s="1" t="s">
        <v>2914</v>
      </c>
      <c r="G504" s="1">
        <v>4</v>
      </c>
      <c r="H504" s="1" t="s">
        <v>19</v>
      </c>
      <c r="I504" s="1" t="s">
        <v>586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2865</v>
      </c>
      <c r="D505" s="1"/>
      <c r="E505" s="1"/>
      <c r="F505" s="1" t="s">
        <v>2915</v>
      </c>
      <c r="G505" s="1">
        <v>32</v>
      </c>
      <c r="H505" s="1" t="s">
        <v>19</v>
      </c>
      <c r="I505" s="1" t="s">
        <v>586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184</v>
      </c>
      <c r="D506" s="1"/>
      <c r="E506" s="1"/>
      <c r="F506" s="1" t="s">
        <v>2916</v>
      </c>
      <c r="G506" s="1">
        <v>2</v>
      </c>
      <c r="H506" s="1" t="s">
        <v>19</v>
      </c>
      <c r="I506" s="1" t="s">
        <v>2856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960</v>
      </c>
      <c r="D507" s="1"/>
      <c r="E507" s="1"/>
      <c r="F507" s="1" t="s">
        <v>2917</v>
      </c>
      <c r="G507" s="1">
        <v>2</v>
      </c>
      <c r="H507" s="1" t="s">
        <v>19</v>
      </c>
      <c r="I507" s="1" t="s">
        <v>2856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2868</v>
      </c>
      <c r="D508" s="1"/>
      <c r="E508" s="1"/>
      <c r="F508" s="1" t="s">
        <v>2918</v>
      </c>
      <c r="G508" s="1">
        <v>2</v>
      </c>
      <c r="H508" s="1" t="s">
        <v>19</v>
      </c>
      <c r="I508" s="1" t="s">
        <v>635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2919</v>
      </c>
      <c r="D509" s="1"/>
      <c r="E509" s="1"/>
      <c r="F509" s="1" t="s">
        <v>2920</v>
      </c>
      <c r="G509" s="1">
        <v>2</v>
      </c>
      <c r="H509" s="1" t="s">
        <v>19</v>
      </c>
      <c r="I509" s="1" t="s">
        <v>590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2919</v>
      </c>
      <c r="D510" s="1"/>
      <c r="E510" s="1"/>
      <c r="F510" s="1" t="s">
        <v>2921</v>
      </c>
      <c r="G510" s="1">
        <v>4</v>
      </c>
      <c r="H510" s="1" t="s">
        <v>19</v>
      </c>
      <c r="I510" s="1" t="s">
        <v>590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2868</v>
      </c>
      <c r="D511" s="1"/>
      <c r="E511" s="1"/>
      <c r="F511" s="1" t="s">
        <v>2922</v>
      </c>
      <c r="G511" s="1">
        <v>4</v>
      </c>
      <c r="H511" s="1" t="s">
        <v>19</v>
      </c>
      <c r="I511" s="1" t="s">
        <v>635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2849</v>
      </c>
      <c r="D512" s="1"/>
      <c r="E512" s="1"/>
      <c r="F512" s="1" t="s">
        <v>2923</v>
      </c>
      <c r="G512" s="1">
        <v>4</v>
      </c>
      <c r="H512" s="1" t="s">
        <v>19</v>
      </c>
      <c r="I512" s="1" t="s">
        <v>586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2849</v>
      </c>
      <c r="D513" s="1"/>
      <c r="E513" s="1"/>
      <c r="F513" s="1" t="s">
        <v>2924</v>
      </c>
      <c r="G513" s="1">
        <v>2</v>
      </c>
      <c r="H513" s="1" t="s">
        <v>19</v>
      </c>
      <c r="I513" s="1" t="s">
        <v>586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1997</v>
      </c>
      <c r="D514" s="1"/>
      <c r="E514" s="1"/>
      <c r="F514" s="1" t="s">
        <v>2925</v>
      </c>
      <c r="G514" s="1">
        <v>9</v>
      </c>
      <c r="H514" s="1" t="s">
        <v>19</v>
      </c>
      <c r="I514" s="1" t="s">
        <v>2852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2883</v>
      </c>
      <c r="D515" s="1"/>
      <c r="E515" s="1"/>
      <c r="F515" s="1" t="s">
        <v>2926</v>
      </c>
      <c r="G515" s="1">
        <v>48</v>
      </c>
      <c r="H515" s="1" t="s">
        <v>19</v>
      </c>
      <c r="I515" s="1" t="s">
        <v>635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1287</v>
      </c>
      <c r="D516" s="1"/>
      <c r="E516" s="1"/>
      <c r="F516" s="1" t="s">
        <v>2927</v>
      </c>
      <c r="G516" s="1">
        <v>28</v>
      </c>
      <c r="H516" s="1" t="s">
        <v>19</v>
      </c>
      <c r="I516" s="1" t="s">
        <v>630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1287</v>
      </c>
      <c r="D517" s="1"/>
      <c r="E517" s="1"/>
      <c r="F517" s="1" t="s">
        <v>2928</v>
      </c>
      <c r="G517" s="1">
        <v>10</v>
      </c>
      <c r="H517" s="1" t="s">
        <v>19</v>
      </c>
      <c r="I517" s="1" t="s">
        <v>630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2854</v>
      </c>
      <c r="D518" s="1"/>
      <c r="E518" s="1"/>
      <c r="F518" s="1" t="s">
        <v>2929</v>
      </c>
      <c r="G518" s="1">
        <v>70</v>
      </c>
      <c r="H518" s="1" t="s">
        <v>19</v>
      </c>
      <c r="I518" s="1" t="s">
        <v>2856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2861</v>
      </c>
      <c r="D519" s="1"/>
      <c r="E519" s="1"/>
      <c r="F519" s="1" t="s">
        <v>2930</v>
      </c>
      <c r="G519" s="1">
        <v>16</v>
      </c>
      <c r="H519" s="1" t="s">
        <v>19</v>
      </c>
      <c r="I519" s="1" t="s">
        <v>2863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951</v>
      </c>
      <c r="D520" s="1"/>
      <c r="E520" s="1"/>
      <c r="F520" s="1" t="s">
        <v>2931</v>
      </c>
      <c r="G520" s="1">
        <v>9</v>
      </c>
      <c r="H520" s="1" t="s">
        <v>19</v>
      </c>
      <c r="I520" s="1" t="s">
        <v>2755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2840</v>
      </c>
      <c r="D521" s="1"/>
      <c r="E521" s="1"/>
      <c r="F521" s="1" t="s">
        <v>2932</v>
      </c>
      <c r="G521" s="1">
        <v>4</v>
      </c>
      <c r="H521" s="1" t="s">
        <v>19</v>
      </c>
      <c r="I521" s="1" t="s">
        <v>2755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2875</v>
      </c>
      <c r="D522" s="1"/>
      <c r="E522" s="1"/>
      <c r="F522" s="1" t="s">
        <v>2933</v>
      </c>
      <c r="G522" s="1">
        <v>4</v>
      </c>
      <c r="H522" s="1" t="s">
        <v>19</v>
      </c>
      <c r="I522" s="1" t="s">
        <v>2755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2842</v>
      </c>
      <c r="D523" s="1"/>
      <c r="E523" s="1"/>
      <c r="F523" s="1" t="s">
        <v>2934</v>
      </c>
      <c r="G523" s="1">
        <v>24</v>
      </c>
      <c r="H523" s="1" t="s">
        <v>19</v>
      </c>
      <c r="I523" s="1" t="s">
        <v>590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2857</v>
      </c>
      <c r="D524" s="1"/>
      <c r="E524" s="1"/>
      <c r="F524" s="1" t="s">
        <v>2935</v>
      </c>
      <c r="G524" s="1">
        <v>44</v>
      </c>
      <c r="H524" s="1" t="s">
        <v>19</v>
      </c>
      <c r="I524" s="1" t="s">
        <v>2859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2844</v>
      </c>
      <c r="D525" s="1"/>
      <c r="E525" s="1"/>
      <c r="F525" s="1" t="s">
        <v>2936</v>
      </c>
      <c r="G525" s="1">
        <v>28</v>
      </c>
      <c r="H525" s="1" t="s">
        <v>19</v>
      </c>
      <c r="I525" s="1" t="s">
        <v>2846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184</v>
      </c>
      <c r="D526" s="1"/>
      <c r="E526" s="1"/>
      <c r="F526" s="1" t="s">
        <v>2937</v>
      </c>
      <c r="G526" s="1">
        <v>2</v>
      </c>
      <c r="H526" s="1" t="s">
        <v>19</v>
      </c>
      <c r="I526" s="1" t="s">
        <v>2836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2854</v>
      </c>
      <c r="D527" s="1"/>
      <c r="E527" s="1"/>
      <c r="F527" s="1" t="s">
        <v>2938</v>
      </c>
      <c r="G527" s="1">
        <v>12</v>
      </c>
      <c r="H527" s="1" t="s">
        <v>19</v>
      </c>
      <c r="I527" s="1" t="s">
        <v>2856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1997</v>
      </c>
      <c r="D528" s="1"/>
      <c r="E528" s="1"/>
      <c r="F528" s="1" t="s">
        <v>2939</v>
      </c>
      <c r="G528" s="1">
        <v>9</v>
      </c>
      <c r="H528" s="1" t="s">
        <v>19</v>
      </c>
      <c r="I528" s="1" t="s">
        <v>2852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951</v>
      </c>
      <c r="D529" s="1"/>
      <c r="E529" s="1"/>
      <c r="F529" s="1" t="s">
        <v>2940</v>
      </c>
      <c r="G529" s="1">
        <v>13</v>
      </c>
      <c r="H529" s="1" t="s">
        <v>19</v>
      </c>
      <c r="I529" s="1" t="s">
        <v>2755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1287</v>
      </c>
      <c r="D530" s="1"/>
      <c r="E530" s="1"/>
      <c r="F530" s="1" t="s">
        <v>2941</v>
      </c>
      <c r="G530" s="1">
        <v>68</v>
      </c>
      <c r="H530" s="1" t="s">
        <v>19</v>
      </c>
      <c r="I530" s="1" t="s">
        <v>630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2861</v>
      </c>
      <c r="D531" s="1"/>
      <c r="E531" s="1"/>
      <c r="F531" s="1" t="s">
        <v>2942</v>
      </c>
      <c r="G531" s="1">
        <v>34</v>
      </c>
      <c r="H531" s="1" t="s">
        <v>19</v>
      </c>
      <c r="I531" s="1" t="s">
        <v>2863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2838</v>
      </c>
      <c r="D532" s="1"/>
      <c r="E532" s="1"/>
      <c r="F532" s="1" t="s">
        <v>2943</v>
      </c>
      <c r="G532" s="1">
        <v>46</v>
      </c>
      <c r="H532" s="1" t="s">
        <v>19</v>
      </c>
      <c r="I532" s="1" t="s">
        <v>586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2840</v>
      </c>
      <c r="D533" s="1"/>
      <c r="E533" s="1"/>
      <c r="F533" s="1" t="s">
        <v>2944</v>
      </c>
      <c r="G533" s="1">
        <v>24</v>
      </c>
      <c r="H533" s="1" t="s">
        <v>19</v>
      </c>
      <c r="I533" s="1" t="s">
        <v>2755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960</v>
      </c>
      <c r="D534" s="1"/>
      <c r="E534" s="1"/>
      <c r="F534" s="1" t="s">
        <v>2945</v>
      </c>
      <c r="G534" s="1">
        <v>2</v>
      </c>
      <c r="H534" s="1" t="s">
        <v>19</v>
      </c>
      <c r="I534" s="1" t="s">
        <v>2856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2865</v>
      </c>
      <c r="D535" s="1"/>
      <c r="E535" s="1"/>
      <c r="F535" s="1" t="s">
        <v>2946</v>
      </c>
      <c r="G535" s="1">
        <v>49</v>
      </c>
      <c r="H535" s="1" t="s">
        <v>19</v>
      </c>
      <c r="I535" s="1" t="s">
        <v>586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951</v>
      </c>
      <c r="D536" s="1"/>
      <c r="E536" s="1"/>
      <c r="F536" s="1" t="s">
        <v>2947</v>
      </c>
      <c r="G536" s="1">
        <v>15</v>
      </c>
      <c r="H536" s="1" t="s">
        <v>19</v>
      </c>
      <c r="I536" s="1" t="s">
        <v>2755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1997</v>
      </c>
      <c r="D537" s="1"/>
      <c r="E537" s="1"/>
      <c r="F537" s="1" t="s">
        <v>2948</v>
      </c>
      <c r="G537" s="1">
        <v>9</v>
      </c>
      <c r="H537" s="1" t="s">
        <v>19</v>
      </c>
      <c r="I537" s="1" t="s">
        <v>2852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1991</v>
      </c>
      <c r="D538" s="1"/>
      <c r="E538" s="1"/>
      <c r="F538" s="1" t="s">
        <v>2949</v>
      </c>
      <c r="G538" s="1">
        <v>21</v>
      </c>
      <c r="H538" s="1" t="s">
        <v>19</v>
      </c>
      <c r="I538" s="1" t="s">
        <v>586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184</v>
      </c>
      <c r="D539" s="1"/>
      <c r="E539" s="1"/>
      <c r="F539" s="1" t="s">
        <v>2950</v>
      </c>
      <c r="G539" s="1">
        <v>2</v>
      </c>
      <c r="H539" s="1" t="s">
        <v>19</v>
      </c>
      <c r="I539" s="1" t="s">
        <v>2856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2881</v>
      </c>
      <c r="D540" s="1"/>
      <c r="E540" s="1"/>
      <c r="F540" s="1" t="s">
        <v>2951</v>
      </c>
      <c r="G540" s="1">
        <v>49</v>
      </c>
      <c r="H540" s="1" t="s">
        <v>19</v>
      </c>
      <c r="I540" s="1" t="s">
        <v>590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1991</v>
      </c>
      <c r="D541" s="1"/>
      <c r="E541" s="1"/>
      <c r="F541" s="1" t="s">
        <v>2952</v>
      </c>
      <c r="G541" s="1">
        <v>13</v>
      </c>
      <c r="H541" s="1" t="s">
        <v>19</v>
      </c>
      <c r="I541" s="1" t="s">
        <v>586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2953</v>
      </c>
      <c r="D542" s="1"/>
      <c r="E542" s="1"/>
      <c r="F542" s="1" t="s">
        <v>2954</v>
      </c>
      <c r="G542" s="1">
        <v>22</v>
      </c>
      <c r="H542" s="1" t="s">
        <v>19</v>
      </c>
      <c r="I542" s="1" t="s">
        <v>630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2873</v>
      </c>
      <c r="D543" s="1"/>
      <c r="E543" s="1"/>
      <c r="F543" s="1" t="s">
        <v>2955</v>
      </c>
      <c r="G543" s="1">
        <v>4</v>
      </c>
      <c r="H543" s="1" t="s">
        <v>19</v>
      </c>
      <c r="I543" s="1" t="s">
        <v>2863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2868</v>
      </c>
      <c r="D544" s="1"/>
      <c r="E544" s="1"/>
      <c r="F544" s="1" t="s">
        <v>2956</v>
      </c>
      <c r="G544" s="1">
        <v>8</v>
      </c>
      <c r="H544" s="1" t="s">
        <v>19</v>
      </c>
      <c r="I544" s="1" t="s">
        <v>635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2875</v>
      </c>
      <c r="D545" s="1"/>
      <c r="E545" s="1"/>
      <c r="F545" s="1" t="s">
        <v>2957</v>
      </c>
      <c r="G545" s="1">
        <v>4</v>
      </c>
      <c r="H545" s="1" t="s">
        <v>19</v>
      </c>
      <c r="I545" s="1" t="s">
        <v>2755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2919</v>
      </c>
      <c r="D546" s="1"/>
      <c r="E546" s="1"/>
      <c r="F546" s="1" t="s">
        <v>2958</v>
      </c>
      <c r="G546" s="1">
        <v>8</v>
      </c>
      <c r="H546" s="1" t="s">
        <v>19</v>
      </c>
      <c r="I546" s="1" t="s">
        <v>590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2877</v>
      </c>
      <c r="D547" s="1"/>
      <c r="E547" s="1"/>
      <c r="F547" s="1" t="s">
        <v>2959</v>
      </c>
      <c r="G547" s="1">
        <v>4</v>
      </c>
      <c r="H547" s="1" t="s">
        <v>19</v>
      </c>
      <c r="I547" s="1" t="s">
        <v>586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2849</v>
      </c>
      <c r="D548" s="1"/>
      <c r="E548" s="1"/>
      <c r="F548" s="1" t="s">
        <v>2960</v>
      </c>
      <c r="G548" s="1">
        <v>8</v>
      </c>
      <c r="H548" s="1" t="s">
        <v>19</v>
      </c>
      <c r="I548" s="1" t="s">
        <v>586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2840</v>
      </c>
      <c r="D549" s="1"/>
      <c r="E549" s="1"/>
      <c r="F549" s="1" t="s">
        <v>2961</v>
      </c>
      <c r="G549" s="1">
        <v>22</v>
      </c>
      <c r="H549" s="1" t="s">
        <v>19</v>
      </c>
      <c r="I549" s="1" t="s">
        <v>2755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2883</v>
      </c>
      <c r="D550" s="1"/>
      <c r="E550" s="1"/>
      <c r="F550" s="1" t="s">
        <v>2962</v>
      </c>
      <c r="G550" s="1">
        <v>80</v>
      </c>
      <c r="H550" s="1" t="s">
        <v>19</v>
      </c>
      <c r="I550" s="1" t="s">
        <v>635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2833</v>
      </c>
      <c r="D551" s="1"/>
      <c r="E551" s="1"/>
      <c r="F551" s="1" t="s">
        <v>2963</v>
      </c>
      <c r="G551" s="1">
        <v>8</v>
      </c>
      <c r="H551" s="1" t="s">
        <v>19</v>
      </c>
      <c r="I551" s="1" t="s">
        <v>2815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1552</v>
      </c>
      <c r="D562" s="1"/>
      <c r="E562" s="1"/>
      <c r="F562" s="1" t="s">
        <v>1553</v>
      </c>
      <c r="G562" s="1">
        <v>260</v>
      </c>
      <c r="H562" s="1" t="s">
        <v>19</v>
      </c>
      <c r="I562" s="1" t="s">
        <v>1554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1552</v>
      </c>
      <c r="D563" s="1"/>
      <c r="E563" s="1"/>
      <c r="F563" s="1" t="s">
        <v>1555</v>
      </c>
      <c r="G563" s="1">
        <v>260</v>
      </c>
      <c r="H563" s="1" t="s">
        <v>19</v>
      </c>
      <c r="I563" s="1" t="s">
        <v>1554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1552</v>
      </c>
      <c r="D564" s="1"/>
      <c r="E564" s="1"/>
      <c r="F564" s="1" t="s">
        <v>1556</v>
      </c>
      <c r="G564" s="1">
        <v>260</v>
      </c>
      <c r="H564" s="1" t="s">
        <v>19</v>
      </c>
      <c r="I564" s="1" t="s">
        <v>1554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1557</v>
      </c>
      <c r="D565" s="1"/>
      <c r="E565" s="1"/>
      <c r="F565" s="1" t="s">
        <v>1558</v>
      </c>
      <c r="G565" s="1">
        <v>408</v>
      </c>
      <c r="H565" s="1" t="s">
        <v>19</v>
      </c>
      <c r="I565" s="1" t="s">
        <v>1559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1560</v>
      </c>
      <c r="D566" s="1"/>
      <c r="E566" s="1"/>
      <c r="F566" s="1" t="s">
        <v>1561</v>
      </c>
      <c r="G566" s="1">
        <v>174</v>
      </c>
      <c r="H566" s="1" t="s">
        <v>19</v>
      </c>
      <c r="I566" s="1" t="s">
        <v>425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1562</v>
      </c>
      <c r="D567" s="1"/>
      <c r="E567" s="1"/>
      <c r="F567" s="1" t="s">
        <v>1563</v>
      </c>
      <c r="G567" s="1">
        <v>258</v>
      </c>
      <c r="H567" s="1" t="s">
        <v>19</v>
      </c>
      <c r="I567" s="1" t="s">
        <v>426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1564</v>
      </c>
      <c r="D568" s="1"/>
      <c r="E568" s="1"/>
      <c r="F568" s="1" t="s">
        <v>1565</v>
      </c>
      <c r="G568" s="1">
        <v>597</v>
      </c>
      <c r="H568" s="1" t="s">
        <v>19</v>
      </c>
      <c r="I568" s="1" t="s">
        <v>428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1566</v>
      </c>
      <c r="D569" s="1"/>
      <c r="E569" s="1"/>
      <c r="F569" s="1" t="s">
        <v>1567</v>
      </c>
      <c r="G569" s="1">
        <v>362</v>
      </c>
      <c r="H569" s="1" t="s">
        <v>19</v>
      </c>
      <c r="I569" s="1" t="s">
        <v>427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1568</v>
      </c>
      <c r="D570" s="1"/>
      <c r="E570" s="1"/>
      <c r="F570" s="1" t="s">
        <v>1569</v>
      </c>
      <c r="G570" s="1">
        <v>131</v>
      </c>
      <c r="H570" s="1" t="s">
        <v>19</v>
      </c>
      <c r="I570" s="1" t="s">
        <v>428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1568</v>
      </c>
      <c r="D571" s="1"/>
      <c r="E571" s="1"/>
      <c r="F571" s="1" t="s">
        <v>1570</v>
      </c>
      <c r="G571" s="1">
        <v>131</v>
      </c>
      <c r="H571" s="1" t="s">
        <v>19</v>
      </c>
      <c r="I571" s="1" t="s">
        <v>428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1568</v>
      </c>
      <c r="D572" s="1"/>
      <c r="E572" s="1"/>
      <c r="F572" s="1" t="s">
        <v>1571</v>
      </c>
      <c r="G572" s="1">
        <v>131</v>
      </c>
      <c r="H572" s="1" t="s">
        <v>19</v>
      </c>
      <c r="I572" s="1" t="s">
        <v>428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1572</v>
      </c>
      <c r="D573" s="1"/>
      <c r="E573" s="1"/>
      <c r="F573" s="1" t="s">
        <v>1573</v>
      </c>
      <c r="G573" s="1">
        <v>1</v>
      </c>
      <c r="H573" s="1" t="s">
        <v>19</v>
      </c>
      <c r="I573" s="1" t="s">
        <v>1574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1572</v>
      </c>
      <c r="D574" s="1"/>
      <c r="E574" s="1"/>
      <c r="F574" s="1" t="s">
        <v>1575</v>
      </c>
      <c r="G574" s="1">
        <v>1</v>
      </c>
      <c r="H574" s="1" t="s">
        <v>19</v>
      </c>
      <c r="I574" s="1" t="s">
        <v>1574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1560</v>
      </c>
      <c r="D575" s="1"/>
      <c r="E575" s="1"/>
      <c r="F575" s="1" t="s">
        <v>1576</v>
      </c>
      <c r="G575" s="1">
        <v>174</v>
      </c>
      <c r="H575" s="1" t="s">
        <v>19</v>
      </c>
      <c r="I575" s="1" t="s">
        <v>425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1562</v>
      </c>
      <c r="D576" s="1"/>
      <c r="E576" s="1"/>
      <c r="F576" s="1" t="s">
        <v>1577</v>
      </c>
      <c r="G576" s="1">
        <v>258</v>
      </c>
      <c r="H576" s="1" t="s">
        <v>19</v>
      </c>
      <c r="I576" s="1" t="s">
        <v>426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1566</v>
      </c>
      <c r="D577" s="1"/>
      <c r="E577" s="1"/>
      <c r="F577" s="1" t="s">
        <v>1578</v>
      </c>
      <c r="G577" s="1">
        <v>362</v>
      </c>
      <c r="H577" s="1" t="s">
        <v>19</v>
      </c>
      <c r="I577" s="1" t="s">
        <v>427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1564</v>
      </c>
      <c r="D578" s="1"/>
      <c r="E578" s="1"/>
      <c r="F578" s="1" t="s">
        <v>1579</v>
      </c>
      <c r="G578" s="1">
        <v>597</v>
      </c>
      <c r="H578" s="1" t="s">
        <v>19</v>
      </c>
      <c r="I578" s="1" t="s">
        <v>428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1557</v>
      </c>
      <c r="D579" s="1"/>
      <c r="E579" s="1"/>
      <c r="F579" s="1" t="s">
        <v>1580</v>
      </c>
      <c r="G579" s="1">
        <v>408</v>
      </c>
      <c r="H579" s="1" t="s">
        <v>19</v>
      </c>
      <c r="I579" s="1" t="s">
        <v>424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1572</v>
      </c>
      <c r="D580" s="1"/>
      <c r="E580" s="1"/>
      <c r="F580" s="1" t="s">
        <v>1581</v>
      </c>
      <c r="G580" s="1">
        <v>1</v>
      </c>
      <c r="H580" s="1" t="s">
        <v>19</v>
      </c>
      <c r="I580" s="1" t="s">
        <v>1574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639</v>
      </c>
      <c r="D581" s="1"/>
      <c r="E581" s="1"/>
      <c r="F581" s="1" t="s">
        <v>1582</v>
      </c>
      <c r="G581" s="1">
        <v>14</v>
      </c>
      <c r="H581" s="1" t="s">
        <v>19</v>
      </c>
      <c r="I581" s="1" t="s">
        <v>426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1583</v>
      </c>
      <c r="D582" s="1"/>
      <c r="E582" s="1"/>
      <c r="F582" s="1" t="s">
        <v>1584</v>
      </c>
      <c r="G582" s="1">
        <v>20</v>
      </c>
      <c r="H582" s="1" t="s">
        <v>19</v>
      </c>
      <c r="I582" s="1" t="s">
        <v>428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1585</v>
      </c>
      <c r="D583" s="1"/>
      <c r="E583" s="1"/>
      <c r="F583" s="1" t="s">
        <v>1586</v>
      </c>
      <c r="G583" s="1">
        <v>230</v>
      </c>
      <c r="H583" s="1" t="s">
        <v>19</v>
      </c>
      <c r="I583" s="1" t="s">
        <v>1587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639</v>
      </c>
      <c r="D584" s="1"/>
      <c r="E584" s="1"/>
      <c r="F584" s="1" t="s">
        <v>1588</v>
      </c>
      <c r="G584" s="1">
        <v>20</v>
      </c>
      <c r="H584" s="1" t="s">
        <v>19</v>
      </c>
      <c r="I584" s="1" t="s">
        <v>426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1583</v>
      </c>
      <c r="D585" s="1"/>
      <c r="E585" s="1"/>
      <c r="F585" s="1" t="s">
        <v>1589</v>
      </c>
      <c r="G585" s="1">
        <v>20</v>
      </c>
      <c r="H585" s="1" t="s">
        <v>19</v>
      </c>
      <c r="I585" s="1" t="s">
        <v>428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1585</v>
      </c>
      <c r="D586" s="1"/>
      <c r="E586" s="1"/>
      <c r="F586" s="1" t="s">
        <v>1590</v>
      </c>
      <c r="G586" s="1">
        <v>230</v>
      </c>
      <c r="H586" s="1" t="s">
        <v>19</v>
      </c>
      <c r="I586" s="1" t="s">
        <v>1587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639</v>
      </c>
      <c r="D587" s="1"/>
      <c r="E587" s="1"/>
      <c r="F587" s="1" t="s">
        <v>1591</v>
      </c>
      <c r="G587" s="1">
        <v>50</v>
      </c>
      <c r="H587" s="1" t="s">
        <v>19</v>
      </c>
      <c r="I587" s="1" t="s">
        <v>426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639</v>
      </c>
      <c r="D588" s="1"/>
      <c r="E588" s="1"/>
      <c r="F588" s="1" t="s">
        <v>1592</v>
      </c>
      <c r="G588" s="1">
        <v>26</v>
      </c>
      <c r="H588" s="1" t="s">
        <v>19</v>
      </c>
      <c r="I588" s="1" t="s">
        <v>426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1583</v>
      </c>
      <c r="D589" s="1"/>
      <c r="E589" s="1"/>
      <c r="F589" s="1" t="s">
        <v>1593</v>
      </c>
      <c r="G589" s="1">
        <v>40</v>
      </c>
      <c r="H589" s="1" t="s">
        <v>19</v>
      </c>
      <c r="I589" s="1" t="s">
        <v>428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1585</v>
      </c>
      <c r="D590" s="1"/>
      <c r="E590" s="1"/>
      <c r="F590" s="1" t="s">
        <v>1594</v>
      </c>
      <c r="G590" s="1">
        <v>460</v>
      </c>
      <c r="H590" s="1" t="s">
        <v>19</v>
      </c>
      <c r="I590" s="1" t="s">
        <v>1587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1595</v>
      </c>
      <c r="D591" s="1"/>
      <c r="E591" s="1"/>
      <c r="F591" s="1" t="s">
        <v>1596</v>
      </c>
      <c r="G591" s="1">
        <v>6</v>
      </c>
      <c r="H591" s="1" t="s">
        <v>19</v>
      </c>
      <c r="I591" s="1" t="s">
        <v>1559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1597</v>
      </c>
      <c r="D592" s="1"/>
      <c r="E592" s="1"/>
      <c r="F592" s="1" t="s">
        <v>1598</v>
      </c>
      <c r="G592" s="1">
        <v>2</v>
      </c>
      <c r="H592" s="1" t="s">
        <v>19</v>
      </c>
      <c r="I592" s="1" t="s">
        <v>1599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1595</v>
      </c>
      <c r="D593" s="1"/>
      <c r="E593" s="1"/>
      <c r="F593" s="1" t="s">
        <v>1600</v>
      </c>
      <c r="G593" s="1">
        <v>16</v>
      </c>
      <c r="H593" s="1" t="s">
        <v>19</v>
      </c>
      <c r="I593" s="1" t="s">
        <v>1559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1557</v>
      </c>
      <c r="D594" s="1"/>
      <c r="E594" s="1"/>
      <c r="F594" s="1" t="s">
        <v>1601</v>
      </c>
      <c r="G594" s="1">
        <v>48</v>
      </c>
      <c r="H594" s="1" t="s">
        <v>19</v>
      </c>
      <c r="I594" s="1" t="s">
        <v>424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1560</v>
      </c>
      <c r="D595" s="1"/>
      <c r="E595" s="1"/>
      <c r="F595" s="1" t="s">
        <v>1602</v>
      </c>
      <c r="G595" s="1">
        <v>7</v>
      </c>
      <c r="H595" s="1" t="s">
        <v>19</v>
      </c>
      <c r="I595" s="1" t="s">
        <v>425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1562</v>
      </c>
      <c r="D596" s="1"/>
      <c r="E596" s="1"/>
      <c r="F596" s="1" t="s">
        <v>1603</v>
      </c>
      <c r="G596" s="1">
        <v>10</v>
      </c>
      <c r="H596" s="1" t="s">
        <v>19</v>
      </c>
      <c r="I596" s="1" t="s">
        <v>426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1566</v>
      </c>
      <c r="D597" s="1"/>
      <c r="E597" s="1"/>
      <c r="F597" s="1" t="s">
        <v>1604</v>
      </c>
      <c r="G597" s="1">
        <v>24</v>
      </c>
      <c r="H597" s="1" t="s">
        <v>19</v>
      </c>
      <c r="I597" s="1" t="s">
        <v>427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1564</v>
      </c>
      <c r="D598" s="1"/>
      <c r="E598" s="1"/>
      <c r="F598" s="1" t="s">
        <v>1605</v>
      </c>
      <c r="G598" s="1">
        <v>146</v>
      </c>
      <c r="H598" s="1" t="s">
        <v>19</v>
      </c>
      <c r="I598" s="1" t="s">
        <v>428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1606</v>
      </c>
      <c r="D599" s="1"/>
      <c r="E599" s="1"/>
      <c r="F599" s="1" t="s">
        <v>1607</v>
      </c>
      <c r="G599" s="1">
        <v>1</v>
      </c>
      <c r="H599" s="1" t="s">
        <v>19</v>
      </c>
      <c r="I599" s="1" t="s">
        <v>1599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1595</v>
      </c>
      <c r="D600" s="1"/>
      <c r="E600" s="1"/>
      <c r="F600" s="1" t="s">
        <v>1608</v>
      </c>
      <c r="G600" s="1">
        <v>90</v>
      </c>
      <c r="H600" s="1" t="s">
        <v>19</v>
      </c>
      <c r="I600" s="1" t="s">
        <v>1559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1609</v>
      </c>
      <c r="D601" s="1"/>
      <c r="E601" s="1"/>
      <c r="F601" s="1" t="s">
        <v>1610</v>
      </c>
      <c r="G601" s="1">
        <v>40</v>
      </c>
      <c r="H601" s="1" t="s">
        <v>19</v>
      </c>
      <c r="I601" s="1" t="s">
        <v>425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1611</v>
      </c>
      <c r="D602" s="1"/>
      <c r="E602" s="1"/>
      <c r="F602" s="1" t="s">
        <v>1612</v>
      </c>
      <c r="G602" s="1">
        <v>44</v>
      </c>
      <c r="H602" s="1" t="s">
        <v>19</v>
      </c>
      <c r="I602" s="1" t="s">
        <v>426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1613</v>
      </c>
      <c r="D603" s="1"/>
      <c r="E603" s="1"/>
      <c r="F603" s="1" t="s">
        <v>1614</v>
      </c>
      <c r="G603" s="1">
        <v>12</v>
      </c>
      <c r="H603" s="1" t="s">
        <v>19</v>
      </c>
      <c r="I603" s="1" t="s">
        <v>425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1611</v>
      </c>
      <c r="D604" s="1"/>
      <c r="E604" s="1"/>
      <c r="F604" s="1" t="s">
        <v>1615</v>
      </c>
      <c r="G604" s="1">
        <v>12</v>
      </c>
      <c r="H604" s="1" t="s">
        <v>19</v>
      </c>
      <c r="I604" s="1" t="s">
        <v>426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1611</v>
      </c>
      <c r="D605" s="1"/>
      <c r="E605" s="1"/>
      <c r="F605" s="1" t="s">
        <v>1615</v>
      </c>
      <c r="G605" s="1">
        <v>12</v>
      </c>
      <c r="H605" s="1" t="s">
        <v>19</v>
      </c>
      <c r="I605" s="1" t="s">
        <v>426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1616</v>
      </c>
      <c r="D606" s="1"/>
      <c r="E606" s="1"/>
      <c r="F606" s="1" t="s">
        <v>1617</v>
      </c>
      <c r="G606" s="1">
        <v>48</v>
      </c>
      <c r="H606" s="1" t="s">
        <v>19</v>
      </c>
      <c r="I606" s="1" t="s">
        <v>427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1597</v>
      </c>
      <c r="D607" s="1"/>
      <c r="E607" s="1"/>
      <c r="F607" s="1" t="s">
        <v>1618</v>
      </c>
      <c r="G607" s="1">
        <v>2</v>
      </c>
      <c r="H607" s="1" t="s">
        <v>19</v>
      </c>
      <c r="I607" s="1" t="s">
        <v>1599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1560</v>
      </c>
      <c r="D608" s="1"/>
      <c r="E608" s="1"/>
      <c r="F608" s="1" t="s">
        <v>1619</v>
      </c>
      <c r="G608" s="1">
        <v>7</v>
      </c>
      <c r="H608" s="1" t="s">
        <v>19</v>
      </c>
      <c r="I608" s="1" t="s">
        <v>425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1560</v>
      </c>
      <c r="D609" s="1"/>
      <c r="E609" s="1"/>
      <c r="F609" s="1" t="s">
        <v>1619</v>
      </c>
      <c r="G609" s="1">
        <v>48</v>
      </c>
      <c r="H609" s="1" t="s">
        <v>19</v>
      </c>
      <c r="I609" s="1" t="s">
        <v>425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1562</v>
      </c>
      <c r="D610" s="1"/>
      <c r="E610" s="1"/>
      <c r="F610" s="1" t="s">
        <v>1620</v>
      </c>
      <c r="G610" s="1">
        <v>10</v>
      </c>
      <c r="H610" s="1" t="s">
        <v>19</v>
      </c>
      <c r="I610" s="1" t="s">
        <v>426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1566</v>
      </c>
      <c r="D611" s="1"/>
      <c r="E611" s="1"/>
      <c r="F611" s="1" t="s">
        <v>1621</v>
      </c>
      <c r="G611" s="1">
        <v>24</v>
      </c>
      <c r="H611" s="1" t="s">
        <v>19</v>
      </c>
      <c r="I611" s="1" t="s">
        <v>427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1564</v>
      </c>
      <c r="D612" s="1"/>
      <c r="E612" s="1"/>
      <c r="F612" s="1" t="s">
        <v>1622</v>
      </c>
      <c r="G612" s="1">
        <v>146</v>
      </c>
      <c r="H612" s="1" t="s">
        <v>19</v>
      </c>
      <c r="I612" s="1" t="s">
        <v>428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1595</v>
      </c>
      <c r="D613" s="1"/>
      <c r="E613" s="1"/>
      <c r="F613" s="1" t="s">
        <v>1623</v>
      </c>
      <c r="G613" s="1">
        <v>16</v>
      </c>
      <c r="H613" s="1" t="s">
        <v>19</v>
      </c>
      <c r="I613" s="1" t="s">
        <v>1559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1597</v>
      </c>
      <c r="D614" s="1"/>
      <c r="E614" s="1"/>
      <c r="F614" s="1" t="s">
        <v>1624</v>
      </c>
      <c r="G614" s="1">
        <v>2</v>
      </c>
      <c r="H614" s="1" t="s">
        <v>19</v>
      </c>
      <c r="I614" s="1" t="s">
        <v>1599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1611</v>
      </c>
      <c r="D615" s="1"/>
      <c r="E615" s="1"/>
      <c r="F615" s="1" t="s">
        <v>1625</v>
      </c>
      <c r="G615" s="1">
        <v>16</v>
      </c>
      <c r="H615" s="1" t="s">
        <v>19</v>
      </c>
      <c r="I615" s="1" t="s">
        <v>426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1609</v>
      </c>
      <c r="D616" s="1"/>
      <c r="E616" s="1"/>
      <c r="F616" s="1" t="s">
        <v>1626</v>
      </c>
      <c r="G616" s="1">
        <v>12</v>
      </c>
      <c r="H616" s="1" t="s">
        <v>19</v>
      </c>
      <c r="I616" s="1" t="s">
        <v>425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1595</v>
      </c>
      <c r="D617" s="1"/>
      <c r="E617" s="1"/>
      <c r="F617" s="1" t="s">
        <v>1627</v>
      </c>
      <c r="G617" s="1">
        <v>80</v>
      </c>
      <c r="H617" s="1" t="s">
        <v>19</v>
      </c>
      <c r="I617" s="1" t="s">
        <v>1559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1613</v>
      </c>
      <c r="D618" s="1"/>
      <c r="E618" s="1"/>
      <c r="F618" s="1" t="s">
        <v>1628</v>
      </c>
      <c r="G618" s="1">
        <v>12</v>
      </c>
      <c r="H618" s="1" t="s">
        <v>19</v>
      </c>
      <c r="I618" s="1" t="s">
        <v>425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1611</v>
      </c>
      <c r="D619" s="1"/>
      <c r="E619" s="1"/>
      <c r="F619" s="1" t="s">
        <v>1629</v>
      </c>
      <c r="G619" s="1">
        <v>12</v>
      </c>
      <c r="H619" s="1" t="s">
        <v>19</v>
      </c>
      <c r="I619" s="1" t="s">
        <v>426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1616</v>
      </c>
      <c r="D620" s="1"/>
      <c r="E620" s="1"/>
      <c r="F620" s="1" t="s">
        <v>1630</v>
      </c>
      <c r="G620" s="1">
        <v>20</v>
      </c>
      <c r="H620" s="1" t="s">
        <v>19</v>
      </c>
      <c r="I620" s="1" t="s">
        <v>427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1595</v>
      </c>
      <c r="D621" s="1"/>
      <c r="E621" s="1"/>
      <c r="F621" s="1" t="s">
        <v>1631</v>
      </c>
      <c r="G621" s="1">
        <v>16</v>
      </c>
      <c r="H621" s="1" t="s">
        <v>19</v>
      </c>
      <c r="I621" s="1" t="s">
        <v>1559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1611</v>
      </c>
      <c r="D622" s="1"/>
      <c r="E622" s="1"/>
      <c r="F622" s="1" t="s">
        <v>1632</v>
      </c>
      <c r="G622" s="1">
        <v>28</v>
      </c>
      <c r="H622" s="1" t="s">
        <v>19</v>
      </c>
      <c r="I622" s="1" t="s">
        <v>426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1609</v>
      </c>
      <c r="D623" s="1"/>
      <c r="E623" s="1"/>
      <c r="F623" s="1" t="s">
        <v>1633</v>
      </c>
      <c r="G623" s="1">
        <v>28</v>
      </c>
      <c r="H623" s="1" t="s">
        <v>19</v>
      </c>
      <c r="I623" s="1" t="s">
        <v>425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1616</v>
      </c>
      <c r="D624" s="1"/>
      <c r="E624" s="1"/>
      <c r="F624" s="1" t="s">
        <v>1634</v>
      </c>
      <c r="G624" s="1">
        <v>28</v>
      </c>
      <c r="H624" s="1" t="s">
        <v>19</v>
      </c>
      <c r="I624" s="1" t="s">
        <v>427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1597</v>
      </c>
      <c r="D625" s="1"/>
      <c r="E625" s="1"/>
      <c r="F625" s="1" t="s">
        <v>1635</v>
      </c>
      <c r="G625" s="1">
        <v>2</v>
      </c>
      <c r="H625" s="1" t="s">
        <v>19</v>
      </c>
      <c r="I625" s="1" t="s">
        <v>1599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1560</v>
      </c>
      <c r="D626" s="1"/>
      <c r="E626" s="1"/>
      <c r="F626" s="1" t="s">
        <v>1636</v>
      </c>
      <c r="G626" s="1">
        <v>7</v>
      </c>
      <c r="H626" s="1" t="s">
        <v>19</v>
      </c>
      <c r="I626" s="1" t="s">
        <v>425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1562</v>
      </c>
      <c r="D627" s="1"/>
      <c r="E627" s="1"/>
      <c r="F627" s="1" t="s">
        <v>1577</v>
      </c>
      <c r="G627" s="1">
        <v>10</v>
      </c>
      <c r="H627" s="1" t="s">
        <v>19</v>
      </c>
      <c r="I627" s="1" t="s">
        <v>426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1566</v>
      </c>
      <c r="D628" s="1"/>
      <c r="E628" s="1"/>
      <c r="F628" s="1" t="s">
        <v>1578</v>
      </c>
      <c r="G628" s="1">
        <v>24</v>
      </c>
      <c r="H628" s="1" t="s">
        <v>19</v>
      </c>
      <c r="I628" s="1" t="s">
        <v>427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1564</v>
      </c>
      <c r="D629" s="1"/>
      <c r="E629" s="1"/>
      <c r="F629" s="1" t="s">
        <v>1579</v>
      </c>
      <c r="G629" s="1">
        <v>146</v>
      </c>
      <c r="H629" s="1" t="s">
        <v>19</v>
      </c>
      <c r="I629" s="1" t="s">
        <v>428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1557</v>
      </c>
      <c r="D630" s="1"/>
      <c r="E630" s="1"/>
      <c r="F630" s="1" t="s">
        <v>1637</v>
      </c>
      <c r="G630" s="1">
        <v>48</v>
      </c>
      <c r="H630" s="1" t="s">
        <v>19</v>
      </c>
      <c r="I630" s="1" t="s">
        <v>424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1595</v>
      </c>
      <c r="D631" s="1"/>
      <c r="E631" s="1"/>
      <c r="F631" s="1" t="s">
        <v>1638</v>
      </c>
      <c r="G631" s="1">
        <v>16</v>
      </c>
      <c r="H631" s="1" t="s">
        <v>19</v>
      </c>
      <c r="I631" s="1" t="s">
        <v>1559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1606</v>
      </c>
      <c r="D632" s="1"/>
      <c r="E632" s="1"/>
      <c r="F632" s="1" t="s">
        <v>1639</v>
      </c>
      <c r="G632" s="1">
        <v>1</v>
      </c>
      <c r="H632" s="1" t="s">
        <v>19</v>
      </c>
      <c r="I632" s="1" t="s">
        <v>1599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1597</v>
      </c>
      <c r="D633" s="1"/>
      <c r="E633" s="1"/>
      <c r="F633" s="1" t="s">
        <v>1640</v>
      </c>
      <c r="G633" s="1">
        <v>2</v>
      </c>
      <c r="H633" s="1" t="s">
        <v>19</v>
      </c>
      <c r="I633" s="1" t="s">
        <v>1599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1609</v>
      </c>
      <c r="D634" s="1"/>
      <c r="E634" s="1"/>
      <c r="F634" s="1" t="s">
        <v>1641</v>
      </c>
      <c r="G634" s="1">
        <v>40</v>
      </c>
      <c r="H634" s="1" t="s">
        <v>19</v>
      </c>
      <c r="I634" s="1" t="s">
        <v>425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1616</v>
      </c>
      <c r="D635" s="1"/>
      <c r="E635" s="1"/>
      <c r="F635" s="1" t="s">
        <v>1642</v>
      </c>
      <c r="G635" s="1">
        <v>48</v>
      </c>
      <c r="H635" s="1" t="s">
        <v>19</v>
      </c>
      <c r="I635" s="1" t="s">
        <v>427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1595</v>
      </c>
      <c r="D636" s="1"/>
      <c r="E636" s="1"/>
      <c r="F636" s="1" t="s">
        <v>1643</v>
      </c>
      <c r="G636" s="1">
        <v>96</v>
      </c>
      <c r="H636" s="1" t="s">
        <v>19</v>
      </c>
      <c r="I636" s="1" t="s">
        <v>1559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1613</v>
      </c>
      <c r="D637" s="1"/>
      <c r="E637" s="1"/>
      <c r="F637" s="1" t="s">
        <v>1644</v>
      </c>
      <c r="G637" s="1">
        <v>12</v>
      </c>
      <c r="H637" s="1" t="s">
        <v>19</v>
      </c>
      <c r="I637" s="1" t="s">
        <v>425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1645</v>
      </c>
      <c r="D643" s="1"/>
      <c r="E643" s="1"/>
      <c r="F643" s="1" t="s">
        <v>1646</v>
      </c>
      <c r="G643" s="1">
        <v>30</v>
      </c>
      <c r="H643" s="1" t="s">
        <v>19</v>
      </c>
      <c r="I643" s="1" t="s">
        <v>1647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1648</v>
      </c>
      <c r="D644" s="1"/>
      <c r="E644" s="1"/>
      <c r="F644" s="1" t="s">
        <v>1649</v>
      </c>
      <c r="G644" s="1">
        <v>15</v>
      </c>
      <c r="H644" s="1" t="s">
        <v>19</v>
      </c>
      <c r="I644" s="1" t="s">
        <v>1650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1648</v>
      </c>
      <c r="D645" s="1"/>
      <c r="E645" s="1"/>
      <c r="F645" s="1" t="s">
        <v>1651</v>
      </c>
      <c r="G645" s="1">
        <v>15</v>
      </c>
      <c r="H645" s="1" t="s">
        <v>19</v>
      </c>
      <c r="I645" s="1" t="s">
        <v>1647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1645</v>
      </c>
      <c r="D646" s="1"/>
      <c r="E646" s="1"/>
      <c r="F646" s="1" t="s">
        <v>1652</v>
      </c>
      <c r="G646" s="1">
        <v>30</v>
      </c>
      <c r="H646" s="1" t="s">
        <v>19</v>
      </c>
      <c r="I646" s="1" t="s">
        <v>1647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1645</v>
      </c>
      <c r="D647" s="1"/>
      <c r="E647" s="1"/>
      <c r="F647" s="1" t="s">
        <v>1653</v>
      </c>
      <c r="G647" s="1">
        <v>10</v>
      </c>
      <c r="H647" s="1" t="s">
        <v>19</v>
      </c>
      <c r="I647" s="1" t="s">
        <v>1650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1648</v>
      </c>
      <c r="D648" s="1"/>
      <c r="E648" s="1"/>
      <c r="F648" s="1" t="s">
        <v>1654</v>
      </c>
      <c r="G648" s="1">
        <v>15</v>
      </c>
      <c r="H648" s="1" t="s">
        <v>19</v>
      </c>
      <c r="I648" s="1" t="s">
        <v>1650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1655</v>
      </c>
      <c r="D649" s="1"/>
      <c r="E649" s="1"/>
      <c r="F649" s="1" t="s">
        <v>1656</v>
      </c>
      <c r="G649" s="1">
        <v>30</v>
      </c>
      <c r="H649" s="1" t="s">
        <v>19</v>
      </c>
      <c r="I649" s="1" t="s">
        <v>1657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674</v>
      </c>
      <c r="D650" s="1"/>
      <c r="E650" s="1"/>
      <c r="F650" s="1" t="s">
        <v>1658</v>
      </c>
      <c r="G650" s="1">
        <v>10</v>
      </c>
      <c r="H650" s="1" t="s">
        <v>19</v>
      </c>
      <c r="I650" s="1" t="s">
        <v>1647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674</v>
      </c>
      <c r="D651" s="1"/>
      <c r="E651" s="1"/>
      <c r="F651" s="1" t="s">
        <v>1659</v>
      </c>
      <c r="G651" s="1">
        <v>6</v>
      </c>
      <c r="H651" s="1" t="s">
        <v>19</v>
      </c>
      <c r="I651" s="1" t="s">
        <v>1650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1660</v>
      </c>
      <c r="D652" s="1"/>
      <c r="E652" s="1"/>
      <c r="F652" s="1" t="s">
        <v>1661</v>
      </c>
      <c r="G652" s="1">
        <v>8</v>
      </c>
      <c r="H652" s="1" t="s">
        <v>19</v>
      </c>
      <c r="I652" s="1" t="s">
        <v>1647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1662</v>
      </c>
      <c r="D653" s="1"/>
      <c r="E653" s="1"/>
      <c r="F653" s="1" t="s">
        <v>1663</v>
      </c>
      <c r="G653" s="1">
        <v>8</v>
      </c>
      <c r="H653" s="1" t="s">
        <v>19</v>
      </c>
      <c r="I653" s="1" t="s">
        <v>1647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818</v>
      </c>
      <c r="D654" s="1"/>
      <c r="E654" s="1"/>
      <c r="F654" s="1" t="s">
        <v>1664</v>
      </c>
      <c r="G654" s="1">
        <v>2600</v>
      </c>
      <c r="H654" s="1" t="s">
        <v>19</v>
      </c>
      <c r="I654" s="1" t="s">
        <v>1346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818</v>
      </c>
      <c r="D655" s="1"/>
      <c r="E655" s="1"/>
      <c r="F655" s="1" t="s">
        <v>1665</v>
      </c>
      <c r="G655" s="1">
        <v>2600</v>
      </c>
      <c r="H655" s="1" t="s">
        <v>19</v>
      </c>
      <c r="I655" s="1" t="s">
        <v>1346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818</v>
      </c>
      <c r="D656" s="1"/>
      <c r="E656" s="1"/>
      <c r="F656" s="1" t="s">
        <v>1666</v>
      </c>
      <c r="G656" s="1">
        <v>2600</v>
      </c>
      <c r="H656" s="1" t="s">
        <v>19</v>
      </c>
      <c r="I656" s="1" t="s">
        <v>1346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1667</v>
      </c>
      <c r="D657" s="1"/>
      <c r="E657" s="1"/>
      <c r="F657" s="1" t="s">
        <v>1668</v>
      </c>
      <c r="G657" s="1">
        <v>136</v>
      </c>
      <c r="H657" s="1" t="s">
        <v>19</v>
      </c>
      <c r="I657" s="1" t="s">
        <v>1669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674</v>
      </c>
      <c r="D658" s="1"/>
      <c r="E658" s="1"/>
      <c r="F658" s="1" t="s">
        <v>1670</v>
      </c>
      <c r="G658" s="1">
        <v>12</v>
      </c>
      <c r="H658" s="1" t="s">
        <v>19</v>
      </c>
      <c r="I658" s="1" t="s">
        <v>1671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1667</v>
      </c>
      <c r="D659" s="1"/>
      <c r="E659" s="1"/>
      <c r="F659" s="1" t="s">
        <v>1672</v>
      </c>
      <c r="G659" s="1">
        <v>136</v>
      </c>
      <c r="H659" s="1" t="s">
        <v>19</v>
      </c>
      <c r="I659" s="1" t="s">
        <v>1669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674</v>
      </c>
      <c r="D660" s="1"/>
      <c r="E660" s="1"/>
      <c r="F660" s="1" t="s">
        <v>1673</v>
      </c>
      <c r="G660" s="1">
        <v>12</v>
      </c>
      <c r="H660" s="1" t="s">
        <v>19</v>
      </c>
      <c r="I660" s="1" t="s">
        <v>1671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674</v>
      </c>
      <c r="D661" s="1"/>
      <c r="E661" s="1"/>
      <c r="F661" s="1" t="s">
        <v>1674</v>
      </c>
      <c r="G661" s="1">
        <v>8</v>
      </c>
      <c r="H661" s="1" t="s">
        <v>19</v>
      </c>
      <c r="I661" s="1" t="s">
        <v>1671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1667</v>
      </c>
      <c r="D662" s="1"/>
      <c r="E662" s="1"/>
      <c r="F662" s="1" t="s">
        <v>1675</v>
      </c>
      <c r="G662" s="1">
        <v>136</v>
      </c>
      <c r="H662" s="1" t="s">
        <v>19</v>
      </c>
      <c r="I662" s="1" t="s">
        <v>1669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1676</v>
      </c>
      <c r="D663" s="1"/>
      <c r="E663" s="1"/>
      <c r="F663" s="1" t="s">
        <v>1677</v>
      </c>
      <c r="G663" s="1">
        <v>8</v>
      </c>
      <c r="H663" s="1" t="s">
        <v>19</v>
      </c>
      <c r="I663" s="1" t="s">
        <v>1671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674</v>
      </c>
      <c r="D664" s="1"/>
      <c r="E664" s="1"/>
      <c r="F664" s="1" t="s">
        <v>1678</v>
      </c>
      <c r="G664" s="1">
        <v>12</v>
      </c>
      <c r="H664" s="1" t="s">
        <v>19</v>
      </c>
      <c r="I664" s="1" t="s">
        <v>1671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674</v>
      </c>
      <c r="D665" s="1"/>
      <c r="E665" s="1"/>
      <c r="F665" s="1" t="s">
        <v>1679</v>
      </c>
      <c r="G665" s="1">
        <v>8</v>
      </c>
      <c r="H665" s="1" t="s">
        <v>19</v>
      </c>
      <c r="I665" s="1" t="s">
        <v>1671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674</v>
      </c>
      <c r="D666" s="1"/>
      <c r="E666" s="1"/>
      <c r="F666" s="1" t="s">
        <v>1680</v>
      </c>
      <c r="G666" s="1">
        <v>4</v>
      </c>
      <c r="H666" s="1" t="s">
        <v>19</v>
      </c>
      <c r="I666" s="1" t="s">
        <v>1671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1688</v>
      </c>
      <c r="D667" s="1" t="s">
        <v>1689</v>
      </c>
      <c r="E667" s="1"/>
      <c r="F667" s="1" t="s">
        <v>1690</v>
      </c>
      <c r="G667" s="1">
        <v>90</v>
      </c>
      <c r="H667" s="1" t="s">
        <v>19</v>
      </c>
      <c r="I667" s="1" t="s">
        <v>653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1691</v>
      </c>
      <c r="D668" s="1" t="s">
        <v>1692</v>
      </c>
      <c r="E668" s="1"/>
      <c r="F668" s="1" t="s">
        <v>1693</v>
      </c>
      <c r="G668" s="1">
        <v>88</v>
      </c>
      <c r="H668" s="1" t="s">
        <v>19</v>
      </c>
      <c r="I668" s="1" t="s">
        <v>653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1688</v>
      </c>
      <c r="D669" s="1" t="s">
        <v>1689</v>
      </c>
      <c r="E669" s="1"/>
      <c r="F669" s="1" t="s">
        <v>1694</v>
      </c>
      <c r="G669" s="1">
        <v>24</v>
      </c>
      <c r="H669" s="1" t="s">
        <v>19</v>
      </c>
      <c r="I669" s="1" t="s">
        <v>653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1691</v>
      </c>
      <c r="D670" s="1" t="s">
        <v>1692</v>
      </c>
      <c r="E670" s="1"/>
      <c r="F670" s="1" t="s">
        <v>1695</v>
      </c>
      <c r="G670" s="1">
        <v>28</v>
      </c>
      <c r="H670" s="1" t="s">
        <v>19</v>
      </c>
      <c r="I670" s="1" t="s">
        <v>653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1688</v>
      </c>
      <c r="D671" s="1" t="s">
        <v>1689</v>
      </c>
      <c r="E671" s="1"/>
      <c r="F671" s="1" t="s">
        <v>1696</v>
      </c>
      <c r="G671" s="1">
        <v>90</v>
      </c>
      <c r="H671" s="1" t="s">
        <v>19</v>
      </c>
      <c r="I671" s="1" t="s">
        <v>653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1691</v>
      </c>
      <c r="D672" s="1" t="s">
        <v>1692</v>
      </c>
      <c r="E672" s="1"/>
      <c r="F672" s="1" t="s">
        <v>1697</v>
      </c>
      <c r="G672" s="1">
        <v>88</v>
      </c>
      <c r="H672" s="1" t="s">
        <v>19</v>
      </c>
      <c r="I672" s="1" t="s">
        <v>653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1688</v>
      </c>
      <c r="D673" s="1" t="s">
        <v>1689</v>
      </c>
      <c r="E673" s="1"/>
      <c r="F673" s="1" t="s">
        <v>1698</v>
      </c>
      <c r="G673" s="1">
        <v>94</v>
      </c>
      <c r="H673" s="1" t="s">
        <v>19</v>
      </c>
      <c r="I673" s="1" t="s">
        <v>653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1691</v>
      </c>
      <c r="D674" s="1" t="s">
        <v>1692</v>
      </c>
      <c r="E674" s="1"/>
      <c r="F674" s="1" t="s">
        <v>1699</v>
      </c>
      <c r="G674" s="1">
        <v>60</v>
      </c>
      <c r="H674" s="1" t="s">
        <v>19</v>
      </c>
      <c r="I674" s="1" t="s">
        <v>653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1700</v>
      </c>
      <c r="D675" s="1" t="s">
        <v>1701</v>
      </c>
      <c r="E675" s="1"/>
      <c r="F675" s="1" t="s">
        <v>1702</v>
      </c>
      <c r="G675" s="1">
        <v>18</v>
      </c>
      <c r="H675" s="1" t="s">
        <v>19</v>
      </c>
      <c r="I675" s="1" t="s">
        <v>1703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1704</v>
      </c>
      <c r="D676" s="1" t="s">
        <v>1705</v>
      </c>
      <c r="E676" s="1"/>
      <c r="F676" s="1" t="s">
        <v>1706</v>
      </c>
      <c r="G676" s="1">
        <v>16</v>
      </c>
      <c r="H676" s="1" t="s">
        <v>19</v>
      </c>
      <c r="I676" s="1" t="s">
        <v>653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1688</v>
      </c>
      <c r="D677" s="1" t="s">
        <v>1689</v>
      </c>
      <c r="E677" s="1"/>
      <c r="F677" s="1" t="s">
        <v>1707</v>
      </c>
      <c r="G677" s="1">
        <v>90</v>
      </c>
      <c r="H677" s="1" t="s">
        <v>19</v>
      </c>
      <c r="I677" s="1" t="s">
        <v>653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1691</v>
      </c>
      <c r="D678" s="1" t="s">
        <v>1692</v>
      </c>
      <c r="E678" s="1"/>
      <c r="F678" s="1" t="s">
        <v>1708</v>
      </c>
      <c r="G678" s="1">
        <v>88</v>
      </c>
      <c r="H678" s="1" t="s">
        <v>19</v>
      </c>
      <c r="I678" s="1" t="s">
        <v>653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1691</v>
      </c>
      <c r="D679" s="1" t="s">
        <v>1692</v>
      </c>
      <c r="E679" s="1"/>
      <c r="F679" s="1" t="s">
        <v>1709</v>
      </c>
      <c r="G679" s="1">
        <v>60</v>
      </c>
      <c r="H679" s="1" t="s">
        <v>19</v>
      </c>
      <c r="I679" s="1" t="s">
        <v>653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1688</v>
      </c>
      <c r="D680" s="1" t="s">
        <v>1689</v>
      </c>
      <c r="E680" s="1"/>
      <c r="F680" s="1" t="s">
        <v>1710</v>
      </c>
      <c r="G680" s="1">
        <v>24</v>
      </c>
      <c r="H680" s="1" t="s">
        <v>19</v>
      </c>
      <c r="I680" s="1" t="s">
        <v>653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1691</v>
      </c>
      <c r="D681" s="1" t="s">
        <v>1692</v>
      </c>
      <c r="E681" s="1"/>
      <c r="F681" s="1" t="s">
        <v>1711</v>
      </c>
      <c r="G681" s="1">
        <v>74</v>
      </c>
      <c r="H681" s="1" t="s">
        <v>19</v>
      </c>
      <c r="I681" s="1" t="s">
        <v>653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1712</v>
      </c>
      <c r="D682" s="1" t="s">
        <v>1713</v>
      </c>
      <c r="E682" s="1"/>
      <c r="F682" s="1" t="s">
        <v>1714</v>
      </c>
      <c r="G682" s="1">
        <v>70</v>
      </c>
      <c r="H682" s="1" t="s">
        <v>19</v>
      </c>
      <c r="I682" s="1" t="s">
        <v>1703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1691</v>
      </c>
      <c r="D683" s="1" t="s">
        <v>1692</v>
      </c>
      <c r="E683" s="1"/>
      <c r="F683" s="1" t="s">
        <v>1715</v>
      </c>
      <c r="G683" s="1">
        <v>63</v>
      </c>
      <c r="H683" s="1" t="s">
        <v>19</v>
      </c>
      <c r="I683" s="1" t="s">
        <v>653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1688</v>
      </c>
      <c r="D684" s="1" t="s">
        <v>1689</v>
      </c>
      <c r="E684" s="1"/>
      <c r="F684" s="1" t="s">
        <v>1716</v>
      </c>
      <c r="G684" s="1">
        <v>44</v>
      </c>
      <c r="H684" s="1" t="s">
        <v>19</v>
      </c>
      <c r="I684" s="1" t="s">
        <v>653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1717</v>
      </c>
      <c r="D685" s="1"/>
      <c r="E685" s="1"/>
      <c r="F685" s="1" t="s">
        <v>1718</v>
      </c>
      <c r="G685" s="1">
        <v>2</v>
      </c>
      <c r="H685" s="1" t="s">
        <v>19</v>
      </c>
      <c r="I685" s="1" t="s">
        <v>653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1719</v>
      </c>
      <c r="D686" s="1"/>
      <c r="E686" s="1"/>
      <c r="F686" s="1" t="s">
        <v>1720</v>
      </c>
      <c r="G686" s="1">
        <v>4</v>
      </c>
      <c r="H686" s="1" t="s">
        <v>19</v>
      </c>
      <c r="I686" s="1" t="s">
        <v>653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1721</v>
      </c>
      <c r="D687" s="1"/>
      <c r="E687" s="1"/>
      <c r="F687" s="1" t="s">
        <v>1722</v>
      </c>
      <c r="G687" s="1">
        <v>200</v>
      </c>
      <c r="H687" s="1" t="s">
        <v>19</v>
      </c>
      <c r="I687" s="1" t="s">
        <v>653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1723</v>
      </c>
      <c r="D688" s="1"/>
      <c r="E688" s="1"/>
      <c r="F688" s="1" t="s">
        <v>1724</v>
      </c>
      <c r="G688" s="1">
        <v>32</v>
      </c>
      <c r="H688" s="1" t="s">
        <v>19</v>
      </c>
      <c r="I688" s="1" t="s">
        <v>653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1725</v>
      </c>
      <c r="D689" s="1"/>
      <c r="E689" s="1"/>
      <c r="F689" s="1" t="s">
        <v>1726</v>
      </c>
      <c r="G689" s="1">
        <v>264</v>
      </c>
      <c r="H689" s="1" t="s">
        <v>19</v>
      </c>
      <c r="I689" s="1" t="s">
        <v>653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1727</v>
      </c>
      <c r="D690" s="1"/>
      <c r="E690" s="1" t="s">
        <v>2</v>
      </c>
      <c r="F690" s="1" t="s">
        <v>1728</v>
      </c>
      <c r="G690" s="1">
        <v>1</v>
      </c>
      <c r="H690" s="1" t="s">
        <v>19</v>
      </c>
      <c r="I690" s="1" t="s">
        <v>653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1721</v>
      </c>
      <c r="D691" s="1"/>
      <c r="E691" s="1"/>
      <c r="F691" s="1" t="s">
        <v>1729</v>
      </c>
      <c r="G691" s="1">
        <v>2</v>
      </c>
      <c r="H691" s="1" t="s">
        <v>19</v>
      </c>
      <c r="I691" s="1" t="s">
        <v>653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1730</v>
      </c>
      <c r="D692" s="1"/>
      <c r="E692" s="1"/>
      <c r="F692" s="1" t="s">
        <v>1731</v>
      </c>
      <c r="G692" s="1">
        <v>16</v>
      </c>
      <c r="H692" s="1" t="s">
        <v>19</v>
      </c>
      <c r="I692" s="1" t="s">
        <v>653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1732</v>
      </c>
      <c r="D693" s="1"/>
      <c r="E693" s="1"/>
      <c r="F693" s="1" t="s">
        <v>1733</v>
      </c>
      <c r="G693" s="1">
        <v>16</v>
      </c>
      <c r="H693" s="1" t="s">
        <v>19</v>
      </c>
      <c r="I693" s="1" t="s">
        <v>653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1025</v>
      </c>
      <c r="D694" s="1"/>
      <c r="E694" s="1"/>
      <c r="F694" s="1" t="s">
        <v>1734</v>
      </c>
      <c r="G694" s="1">
        <v>16</v>
      </c>
      <c r="H694" s="1" t="s">
        <v>19</v>
      </c>
      <c r="I694" s="1" t="s">
        <v>653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1735</v>
      </c>
      <c r="D695" s="1"/>
      <c r="E695" s="1"/>
      <c r="F695" s="1" t="s">
        <v>1736</v>
      </c>
      <c r="G695" s="1">
        <v>8</v>
      </c>
      <c r="H695" s="1" t="s">
        <v>19</v>
      </c>
      <c r="I695" s="1" t="s">
        <v>653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1737</v>
      </c>
      <c r="D696" s="1"/>
      <c r="E696" s="1"/>
      <c r="F696" s="1" t="s">
        <v>1738</v>
      </c>
      <c r="G696" s="1">
        <v>4</v>
      </c>
      <c r="H696" s="1" t="s">
        <v>19</v>
      </c>
      <c r="I696" s="1" t="s">
        <v>653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1052</v>
      </c>
      <c r="D697" s="1"/>
      <c r="E697" s="1"/>
      <c r="F697" s="1" t="s">
        <v>1739</v>
      </c>
      <c r="G697" s="1">
        <v>1</v>
      </c>
      <c r="H697" s="1" t="s">
        <v>19</v>
      </c>
      <c r="I697" s="1" t="s">
        <v>653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1740</v>
      </c>
      <c r="D698" s="1"/>
      <c r="E698" s="1"/>
      <c r="F698" s="1" t="s">
        <v>1741</v>
      </c>
      <c r="G698" s="1">
        <v>1</v>
      </c>
      <c r="H698" s="1" t="s">
        <v>19</v>
      </c>
      <c r="I698" s="1" t="s">
        <v>653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1742</v>
      </c>
      <c r="D699" s="1"/>
      <c r="E699" s="1"/>
      <c r="F699" s="1" t="s">
        <v>1743</v>
      </c>
      <c r="G699" s="1">
        <v>4</v>
      </c>
      <c r="H699" s="1" t="s">
        <v>19</v>
      </c>
      <c r="I699" s="1" t="s">
        <v>653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1721</v>
      </c>
      <c r="D700" s="1"/>
      <c r="E700" s="1"/>
      <c r="F700" s="1" t="s">
        <v>1744</v>
      </c>
      <c r="G700" s="1">
        <v>153</v>
      </c>
      <c r="H700" s="1" t="s">
        <v>19</v>
      </c>
      <c r="I700" s="1" t="s">
        <v>653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1745</v>
      </c>
      <c r="D701" s="1"/>
      <c r="E701" s="1"/>
      <c r="F701" s="1" t="s">
        <v>1746</v>
      </c>
      <c r="G701" s="1">
        <v>56</v>
      </c>
      <c r="H701" s="1" t="s">
        <v>19</v>
      </c>
      <c r="I701" s="1" t="s">
        <v>653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1747</v>
      </c>
      <c r="D702" s="1"/>
      <c r="E702" s="1"/>
      <c r="F702" s="1" t="s">
        <v>1748</v>
      </c>
      <c r="G702" s="1">
        <v>137</v>
      </c>
      <c r="H702" s="1" t="s">
        <v>19</v>
      </c>
      <c r="I702" s="1" t="s">
        <v>653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1721</v>
      </c>
      <c r="D703" s="1"/>
      <c r="E703" s="1"/>
      <c r="F703" s="1" t="s">
        <v>1749</v>
      </c>
      <c r="G703" s="1">
        <v>200</v>
      </c>
      <c r="H703" s="1" t="s">
        <v>19</v>
      </c>
      <c r="I703" s="1" t="s">
        <v>653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1732</v>
      </c>
      <c r="D704" s="1"/>
      <c r="E704" s="1"/>
      <c r="F704" s="1" t="s">
        <v>1750</v>
      </c>
      <c r="G704" s="1">
        <v>4</v>
      </c>
      <c r="H704" s="1" t="s">
        <v>19</v>
      </c>
      <c r="I704" s="1" t="s">
        <v>653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1025</v>
      </c>
      <c r="D705" s="1"/>
      <c r="E705" s="1"/>
      <c r="F705" s="1" t="s">
        <v>1751</v>
      </c>
      <c r="G705" s="1">
        <v>4</v>
      </c>
      <c r="H705" s="1" t="s">
        <v>19</v>
      </c>
      <c r="I705" s="1" t="s">
        <v>653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1737</v>
      </c>
      <c r="D706" s="1"/>
      <c r="E706" s="1"/>
      <c r="F706" s="1" t="s">
        <v>1752</v>
      </c>
      <c r="G706" s="1">
        <v>4</v>
      </c>
      <c r="H706" s="1" t="s">
        <v>19</v>
      </c>
      <c r="I706" s="1" t="s">
        <v>653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1730</v>
      </c>
      <c r="D707" s="1"/>
      <c r="E707" s="1"/>
      <c r="F707" s="1" t="s">
        <v>1753</v>
      </c>
      <c r="G707" s="1">
        <v>2</v>
      </c>
      <c r="H707" s="1" t="s">
        <v>19</v>
      </c>
      <c r="I707" s="1" t="s">
        <v>653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1745</v>
      </c>
      <c r="D708" s="1"/>
      <c r="E708" s="1"/>
      <c r="F708" s="1" t="s">
        <v>1754</v>
      </c>
      <c r="G708" s="1">
        <v>18</v>
      </c>
      <c r="H708" s="1" t="s">
        <v>19</v>
      </c>
      <c r="I708" s="1" t="s">
        <v>653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1747</v>
      </c>
      <c r="D709" s="1"/>
      <c r="E709" s="1"/>
      <c r="F709" s="1" t="s">
        <v>1755</v>
      </c>
      <c r="G709" s="1">
        <v>137</v>
      </c>
      <c r="H709" s="1" t="s">
        <v>19</v>
      </c>
      <c r="I709" s="1" t="s">
        <v>653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1732</v>
      </c>
      <c r="D710" s="1"/>
      <c r="E710" s="1"/>
      <c r="F710" s="1" t="s">
        <v>1756</v>
      </c>
      <c r="G710" s="1">
        <v>8</v>
      </c>
      <c r="H710" s="1" t="s">
        <v>19</v>
      </c>
      <c r="I710" s="1" t="s">
        <v>653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1730</v>
      </c>
      <c r="D711" s="1"/>
      <c r="E711" s="1"/>
      <c r="F711" s="1" t="s">
        <v>1757</v>
      </c>
      <c r="G711" s="1">
        <v>8</v>
      </c>
      <c r="H711" s="1" t="s">
        <v>19</v>
      </c>
      <c r="I711" s="1" t="s">
        <v>653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1025</v>
      </c>
      <c r="D712" s="1"/>
      <c r="E712" s="1"/>
      <c r="F712" s="1" t="s">
        <v>1758</v>
      </c>
      <c r="G712" s="1">
        <v>8</v>
      </c>
      <c r="H712" s="1" t="s">
        <v>19</v>
      </c>
      <c r="I712" s="1" t="s">
        <v>653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1730</v>
      </c>
      <c r="D713" s="1"/>
      <c r="E713" s="1"/>
      <c r="F713" s="1" t="s">
        <v>1759</v>
      </c>
      <c r="G713" s="1">
        <v>8</v>
      </c>
      <c r="H713" s="1" t="s">
        <v>19</v>
      </c>
      <c r="I713" s="1" t="s">
        <v>653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1732</v>
      </c>
      <c r="D714" s="1"/>
      <c r="E714" s="1"/>
      <c r="F714" s="1" t="s">
        <v>1760</v>
      </c>
      <c r="G714" s="1">
        <v>8</v>
      </c>
      <c r="H714" s="1" t="s">
        <v>19</v>
      </c>
      <c r="I714" s="1" t="s">
        <v>653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1725</v>
      </c>
      <c r="D715" s="1"/>
      <c r="E715" s="1"/>
      <c r="F715" s="1" t="s">
        <v>1761</v>
      </c>
      <c r="G715" s="1">
        <v>264</v>
      </c>
      <c r="H715" s="1" t="s">
        <v>19</v>
      </c>
      <c r="I715" s="1" t="s">
        <v>653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1742</v>
      </c>
      <c r="D716" s="1"/>
      <c r="E716" s="1"/>
      <c r="F716" s="1" t="s">
        <v>1762</v>
      </c>
      <c r="G716" s="1">
        <v>4</v>
      </c>
      <c r="H716" s="1" t="s">
        <v>19</v>
      </c>
      <c r="I716" s="1" t="s">
        <v>653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1735</v>
      </c>
      <c r="D717" s="1"/>
      <c r="E717" s="1"/>
      <c r="F717" s="1" t="s">
        <v>1763</v>
      </c>
      <c r="G717" s="1">
        <v>8</v>
      </c>
      <c r="H717" s="1" t="s">
        <v>19</v>
      </c>
      <c r="I717" s="1" t="s">
        <v>653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1725</v>
      </c>
      <c r="D718" s="1"/>
      <c r="E718" s="1"/>
      <c r="F718" s="1" t="s">
        <v>1764</v>
      </c>
      <c r="G718" s="1">
        <v>132</v>
      </c>
      <c r="H718" s="1" t="s">
        <v>19</v>
      </c>
      <c r="I718" s="1" t="s">
        <v>653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1721</v>
      </c>
      <c r="D719" s="1"/>
      <c r="E719" s="1"/>
      <c r="F719" s="1" t="s">
        <v>1765</v>
      </c>
      <c r="G719" s="1">
        <v>153</v>
      </c>
      <c r="H719" s="1" t="s">
        <v>19</v>
      </c>
      <c r="I719" s="1" t="s">
        <v>653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1747</v>
      </c>
      <c r="D720" s="1"/>
      <c r="E720" s="1"/>
      <c r="F720" s="1" t="s">
        <v>1766</v>
      </c>
      <c r="G720" s="1">
        <v>44</v>
      </c>
      <c r="H720" s="1" t="s">
        <v>19</v>
      </c>
      <c r="I720" s="1" t="s">
        <v>653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1721</v>
      </c>
      <c r="D721" s="1"/>
      <c r="E721" s="1"/>
      <c r="F721" s="1" t="s">
        <v>1767</v>
      </c>
      <c r="G721" s="1">
        <v>200</v>
      </c>
      <c r="H721" s="1" t="s">
        <v>19</v>
      </c>
      <c r="I721" s="1" t="s">
        <v>653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1745</v>
      </c>
      <c r="D722" s="1"/>
      <c r="E722" s="1"/>
      <c r="F722" s="1" t="s">
        <v>1768</v>
      </c>
      <c r="G722" s="1">
        <v>38</v>
      </c>
      <c r="H722" s="1" t="s">
        <v>19</v>
      </c>
      <c r="I722" s="1" t="s">
        <v>653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1747</v>
      </c>
      <c r="D723" s="1"/>
      <c r="E723" s="1"/>
      <c r="F723" s="1" t="s">
        <v>1769</v>
      </c>
      <c r="G723" s="1">
        <v>137</v>
      </c>
      <c r="H723" s="1" t="s">
        <v>19</v>
      </c>
      <c r="I723" s="1" t="s">
        <v>653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1730</v>
      </c>
      <c r="D724" s="1"/>
      <c r="E724" s="1"/>
      <c r="F724" s="1" t="s">
        <v>1770</v>
      </c>
      <c r="G724" s="1">
        <v>16</v>
      </c>
      <c r="H724" s="1" t="s">
        <v>19</v>
      </c>
      <c r="I724" s="1" t="s">
        <v>653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1025</v>
      </c>
      <c r="D725" s="1"/>
      <c r="E725" s="1"/>
      <c r="F725" s="1" t="s">
        <v>1771</v>
      </c>
      <c r="G725" s="1">
        <v>16</v>
      </c>
      <c r="H725" s="1" t="s">
        <v>19</v>
      </c>
      <c r="I725" s="1" t="s">
        <v>653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1732</v>
      </c>
      <c r="D726" s="1"/>
      <c r="E726" s="1"/>
      <c r="F726" s="1" t="s">
        <v>1772</v>
      </c>
      <c r="G726" s="1">
        <v>16</v>
      </c>
      <c r="H726" s="1" t="s">
        <v>19</v>
      </c>
      <c r="I726" s="1" t="s">
        <v>653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1052</v>
      </c>
      <c r="D727" s="1"/>
      <c r="E727" s="1"/>
      <c r="F727" s="1" t="s">
        <v>1773</v>
      </c>
      <c r="G727" s="1">
        <v>2</v>
      </c>
      <c r="H727" s="1" t="s">
        <v>19</v>
      </c>
      <c r="I727" s="1" t="s">
        <v>653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1740</v>
      </c>
      <c r="D728" s="1"/>
      <c r="E728" s="1"/>
      <c r="F728" s="1" t="s">
        <v>1774</v>
      </c>
      <c r="G728" s="1">
        <v>2</v>
      </c>
      <c r="H728" s="1" t="s">
        <v>19</v>
      </c>
      <c r="I728" s="1" t="s">
        <v>653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1730</v>
      </c>
      <c r="D729" s="1"/>
      <c r="E729" s="1"/>
      <c r="F729" s="1" t="s">
        <v>1775</v>
      </c>
      <c r="G729" s="1">
        <v>4</v>
      </c>
      <c r="H729" s="1" t="s">
        <v>19</v>
      </c>
      <c r="I729" s="1" t="s">
        <v>653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1732</v>
      </c>
      <c r="D730" s="1"/>
      <c r="E730" s="1"/>
      <c r="F730" s="1" t="s">
        <v>1776</v>
      </c>
      <c r="G730" s="1">
        <v>8</v>
      </c>
      <c r="H730" s="1" t="s">
        <v>19</v>
      </c>
      <c r="I730" s="1" t="s">
        <v>653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1025</v>
      </c>
      <c r="D731" s="1"/>
      <c r="E731" s="1"/>
      <c r="F731" s="1" t="s">
        <v>1777</v>
      </c>
      <c r="G731" s="1">
        <v>8</v>
      </c>
      <c r="H731" s="1" t="s">
        <v>19</v>
      </c>
      <c r="I731" s="1" t="s">
        <v>653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1725</v>
      </c>
      <c r="D732" s="1"/>
      <c r="E732" s="1"/>
      <c r="F732" s="1" t="s">
        <v>1778</v>
      </c>
      <c r="G732" s="1">
        <v>264</v>
      </c>
      <c r="H732" s="1" t="s">
        <v>19</v>
      </c>
      <c r="I732" s="1" t="s">
        <v>653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1735</v>
      </c>
      <c r="D733" s="1"/>
      <c r="E733" s="1"/>
      <c r="F733" s="1" t="s">
        <v>1779</v>
      </c>
      <c r="G733" s="1">
        <v>8</v>
      </c>
      <c r="H733" s="1" t="s">
        <v>19</v>
      </c>
      <c r="I733" s="1" t="s">
        <v>653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1721</v>
      </c>
      <c r="D734" s="1"/>
      <c r="E734" s="1"/>
      <c r="F734" s="1" t="s">
        <v>1780</v>
      </c>
      <c r="G734" s="1">
        <v>153</v>
      </c>
      <c r="H734" s="1" t="s">
        <v>19</v>
      </c>
      <c r="I734" s="1" t="s">
        <v>653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1747</v>
      </c>
      <c r="D735" s="1"/>
      <c r="E735" s="1"/>
      <c r="F735" s="1" t="s">
        <v>1781</v>
      </c>
      <c r="G735" s="1">
        <v>44</v>
      </c>
      <c r="H735" s="1" t="s">
        <v>19</v>
      </c>
      <c r="I735" s="1" t="s">
        <v>653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1725</v>
      </c>
      <c r="D736" s="1"/>
      <c r="E736" s="1"/>
      <c r="F736" s="1" t="s">
        <v>1782</v>
      </c>
      <c r="G736" s="1">
        <v>132</v>
      </c>
      <c r="H736" s="1" t="s">
        <v>19</v>
      </c>
      <c r="I736" s="1" t="s">
        <v>653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1745</v>
      </c>
      <c r="D737" s="1"/>
      <c r="E737" s="1"/>
      <c r="F737" s="1" t="s">
        <v>1783</v>
      </c>
      <c r="G737" s="1">
        <v>56</v>
      </c>
      <c r="H737" s="1" t="s">
        <v>19</v>
      </c>
      <c r="I737" s="1" t="s">
        <v>653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1721</v>
      </c>
      <c r="D738" s="1"/>
      <c r="E738" s="1"/>
      <c r="F738" s="1" t="s">
        <v>1784</v>
      </c>
      <c r="G738" s="1">
        <v>200</v>
      </c>
      <c r="H738" s="1" t="s">
        <v>19</v>
      </c>
      <c r="I738" s="1" t="s">
        <v>653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1725</v>
      </c>
      <c r="D739" s="1"/>
      <c r="E739" s="1"/>
      <c r="F739" s="1" t="s">
        <v>1785</v>
      </c>
      <c r="G739" s="1">
        <v>165</v>
      </c>
      <c r="H739" s="1" t="s">
        <v>19</v>
      </c>
      <c r="I739" s="1" t="s">
        <v>653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1786</v>
      </c>
      <c r="D740" s="1"/>
      <c r="E740" s="1"/>
      <c r="F740" s="1" t="s">
        <v>1787</v>
      </c>
      <c r="G740" s="1">
        <v>8</v>
      </c>
      <c r="H740" s="1" t="s">
        <v>19</v>
      </c>
      <c r="I740" s="1" t="s">
        <v>653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1786</v>
      </c>
      <c r="D741" s="1"/>
      <c r="E741" s="1"/>
      <c r="F741" s="1" t="s">
        <v>1788</v>
      </c>
      <c r="G741" s="1">
        <v>4</v>
      </c>
      <c r="H741" s="1" t="s">
        <v>19</v>
      </c>
      <c r="I741" s="1" t="s">
        <v>653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1789</v>
      </c>
      <c r="D742" s="1"/>
      <c r="E742" s="1"/>
      <c r="F742" s="1" t="s">
        <v>1790</v>
      </c>
      <c r="G742" s="1">
        <v>80</v>
      </c>
      <c r="H742" s="1" t="s">
        <v>19</v>
      </c>
      <c r="I742" s="1" t="s">
        <v>653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1789</v>
      </c>
      <c r="D743" s="1"/>
      <c r="E743" s="1"/>
      <c r="F743" s="1" t="s">
        <v>1791</v>
      </c>
      <c r="G743" s="1">
        <v>204</v>
      </c>
      <c r="H743" s="1" t="s">
        <v>19</v>
      </c>
      <c r="I743" s="1" t="s">
        <v>653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1792</v>
      </c>
      <c r="D744" s="1"/>
      <c r="E744" s="1"/>
      <c r="F744" s="1" t="s">
        <v>1793</v>
      </c>
      <c r="G744" s="1">
        <v>16</v>
      </c>
      <c r="H744" s="1" t="s">
        <v>19</v>
      </c>
      <c r="I744" s="1" t="s">
        <v>653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1794</v>
      </c>
      <c r="D745" s="1"/>
      <c r="E745" s="1"/>
      <c r="F745" s="1" t="s">
        <v>1795</v>
      </c>
      <c r="G745" s="1">
        <v>40</v>
      </c>
      <c r="H745" s="1" t="s">
        <v>19</v>
      </c>
      <c r="I745" s="1" t="s">
        <v>653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1796</v>
      </c>
      <c r="D746" s="1"/>
      <c r="E746" s="1"/>
      <c r="F746" s="1" t="s">
        <v>1797</v>
      </c>
      <c r="G746" s="1">
        <v>16</v>
      </c>
      <c r="H746" s="1" t="s">
        <v>19</v>
      </c>
      <c r="I746" s="1" t="s">
        <v>653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1798</v>
      </c>
      <c r="D747" s="1"/>
      <c r="E747" s="1"/>
      <c r="F747" s="1" t="s">
        <v>1799</v>
      </c>
      <c r="G747" s="1">
        <v>8</v>
      </c>
      <c r="H747" s="1" t="s">
        <v>19</v>
      </c>
      <c r="I747" s="1" t="s">
        <v>653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1786</v>
      </c>
      <c r="D748" s="1"/>
      <c r="E748" s="1"/>
      <c r="F748" s="1" t="s">
        <v>1800</v>
      </c>
      <c r="G748" s="1">
        <v>8</v>
      </c>
      <c r="H748" s="1" t="s">
        <v>19</v>
      </c>
      <c r="I748" s="1" t="s">
        <v>653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1786</v>
      </c>
      <c r="D749" s="1"/>
      <c r="E749" s="1"/>
      <c r="F749" s="1" t="s">
        <v>1801</v>
      </c>
      <c r="G749" s="1">
        <v>4</v>
      </c>
      <c r="H749" s="1" t="s">
        <v>19</v>
      </c>
      <c r="I749" s="1" t="s">
        <v>653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1798</v>
      </c>
      <c r="D750" s="1"/>
      <c r="E750" s="1"/>
      <c r="F750" s="1" t="s">
        <v>1802</v>
      </c>
      <c r="G750" s="1">
        <v>4</v>
      </c>
      <c r="H750" s="1" t="s">
        <v>19</v>
      </c>
      <c r="I750" s="1" t="s">
        <v>653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1789</v>
      </c>
      <c r="D751" s="1"/>
      <c r="E751" s="1"/>
      <c r="F751" s="1" t="s">
        <v>1803</v>
      </c>
      <c r="G751" s="1">
        <v>80</v>
      </c>
      <c r="H751" s="1" t="s">
        <v>19</v>
      </c>
      <c r="I751" s="1" t="s">
        <v>653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1789</v>
      </c>
      <c r="D752" s="1"/>
      <c r="E752" s="1"/>
      <c r="F752" s="1" t="s">
        <v>1804</v>
      </c>
      <c r="G752" s="1">
        <v>204</v>
      </c>
      <c r="H752" s="1" t="s">
        <v>19</v>
      </c>
      <c r="I752" s="1" t="s">
        <v>653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1792</v>
      </c>
      <c r="D753" s="1"/>
      <c r="E753" s="1"/>
      <c r="F753" s="1" t="s">
        <v>1805</v>
      </c>
      <c r="G753" s="1">
        <v>16</v>
      </c>
      <c r="H753" s="1" t="s">
        <v>19</v>
      </c>
      <c r="I753" s="1" t="s">
        <v>653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1794</v>
      </c>
      <c r="D754" s="1"/>
      <c r="E754" s="1"/>
      <c r="F754" s="1" t="s">
        <v>1806</v>
      </c>
      <c r="G754" s="1">
        <v>40</v>
      </c>
      <c r="H754" s="1" t="s">
        <v>19</v>
      </c>
      <c r="I754" s="1" t="s">
        <v>653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1796</v>
      </c>
      <c r="D755" s="1"/>
      <c r="E755" s="1"/>
      <c r="F755" s="1" t="s">
        <v>1807</v>
      </c>
      <c r="G755" s="1">
        <v>16</v>
      </c>
      <c r="H755" s="1" t="s">
        <v>19</v>
      </c>
      <c r="I755" s="1" t="s">
        <v>653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1786</v>
      </c>
      <c r="D756" s="1"/>
      <c r="E756" s="1"/>
      <c r="F756" s="1" t="s">
        <v>1808</v>
      </c>
      <c r="G756" s="1">
        <v>8</v>
      </c>
      <c r="H756" s="1" t="s">
        <v>19</v>
      </c>
      <c r="I756" s="1" t="s">
        <v>653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1798</v>
      </c>
      <c r="D757" s="1"/>
      <c r="E757" s="1"/>
      <c r="F757" s="1" t="s">
        <v>1809</v>
      </c>
      <c r="G757" s="1">
        <v>8</v>
      </c>
      <c r="H757" s="1" t="s">
        <v>19</v>
      </c>
      <c r="I757" s="1" t="s">
        <v>653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1786</v>
      </c>
      <c r="D758" s="1"/>
      <c r="E758" s="1"/>
      <c r="F758" s="1" t="s">
        <v>1810</v>
      </c>
      <c r="G758" s="1">
        <v>7</v>
      </c>
      <c r="H758" s="1" t="s">
        <v>19</v>
      </c>
      <c r="I758" s="1" t="s">
        <v>653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1798</v>
      </c>
      <c r="D759" s="1"/>
      <c r="E759" s="1"/>
      <c r="F759" s="1" t="s">
        <v>1811</v>
      </c>
      <c r="G759" s="1">
        <v>7</v>
      </c>
      <c r="H759" s="1" t="s">
        <v>19</v>
      </c>
      <c r="I759" s="1" t="s">
        <v>653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1789</v>
      </c>
      <c r="D760" s="1"/>
      <c r="E760" s="1"/>
      <c r="F760" s="1" t="s">
        <v>1812</v>
      </c>
      <c r="G760" s="1">
        <v>204</v>
      </c>
      <c r="H760" s="1" t="s">
        <v>19</v>
      </c>
      <c r="I760" s="1" t="s">
        <v>653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1796</v>
      </c>
      <c r="D761" s="1"/>
      <c r="E761" s="1"/>
      <c r="F761" s="1" t="s">
        <v>1813</v>
      </c>
      <c r="G761" s="1">
        <v>16</v>
      </c>
      <c r="H761" s="1" t="s">
        <v>19</v>
      </c>
      <c r="I761" s="1" t="s">
        <v>653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1794</v>
      </c>
      <c r="D762" s="1"/>
      <c r="E762" s="1"/>
      <c r="F762" s="1" t="s">
        <v>1814</v>
      </c>
      <c r="G762" s="1">
        <v>40</v>
      </c>
      <c r="H762" s="1" t="s">
        <v>19</v>
      </c>
      <c r="I762" s="1" t="s">
        <v>653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1792</v>
      </c>
      <c r="D763" s="1"/>
      <c r="E763" s="1"/>
      <c r="F763" s="1" t="s">
        <v>1815</v>
      </c>
      <c r="G763" s="1">
        <v>16</v>
      </c>
      <c r="H763" s="1" t="s">
        <v>19</v>
      </c>
      <c r="I763" s="1" t="s">
        <v>653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1133</v>
      </c>
      <c r="D764" s="1"/>
      <c r="E764" s="1" t="s">
        <v>44</v>
      </c>
      <c r="F764" s="1" t="s">
        <v>1135</v>
      </c>
      <c r="G764" s="1">
        <v>1</v>
      </c>
      <c r="H764" s="1" t="s">
        <v>19</v>
      </c>
      <c r="I764" s="1" t="s">
        <v>653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1910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1911</v>
      </c>
      <c r="G766" s="1">
        <v>67</v>
      </c>
      <c r="H766" s="1" t="s">
        <v>1254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1912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1913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1914</v>
      </c>
      <c r="G769" s="1">
        <v>12</v>
      </c>
      <c r="H769" s="1" t="s">
        <v>1254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1915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1916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1917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1918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1919</v>
      </c>
      <c r="G774" s="1">
        <v>6</v>
      </c>
      <c r="H774" s="1" t="s">
        <v>1254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1920</v>
      </c>
      <c r="G775" s="1">
        <v>3</v>
      </c>
      <c r="H775" s="1" t="s">
        <v>1254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1921</v>
      </c>
      <c r="G776" s="1">
        <v>55</v>
      </c>
      <c r="H776" s="1" t="s">
        <v>1254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1913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1914</v>
      </c>
      <c r="G778" s="1">
        <v>12</v>
      </c>
      <c r="H778" s="1" t="s">
        <v>1254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1915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1916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1917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1918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1919</v>
      </c>
      <c r="G783" s="1">
        <v>6</v>
      </c>
      <c r="H783" s="1" t="s">
        <v>1254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1920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1922</v>
      </c>
      <c r="G785" s="1">
        <v>72</v>
      </c>
      <c r="H785" s="1" t="s">
        <v>1254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1923</v>
      </c>
      <c r="G786" s="1">
        <v>12</v>
      </c>
      <c r="H786" s="1" t="s">
        <v>1254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1924</v>
      </c>
      <c r="G787" s="1">
        <v>6</v>
      </c>
      <c r="H787" s="1" t="s">
        <v>1254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1925</v>
      </c>
      <c r="G788" s="1">
        <v>3</v>
      </c>
      <c r="H788" s="1" t="s">
        <v>1254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1913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1926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1927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1928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1929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1911</v>
      </c>
      <c r="G794" s="1">
        <v>67</v>
      </c>
      <c r="H794" s="1" t="s">
        <v>1254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1913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1914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1915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1916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1917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1918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1919</v>
      </c>
      <c r="G801" s="1">
        <v>6</v>
      </c>
      <c r="H801" s="1" t="s">
        <v>1254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1920</v>
      </c>
      <c r="G802" s="1">
        <v>3</v>
      </c>
      <c r="H802" s="1" t="s">
        <v>1254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1141</v>
      </c>
      <c r="D803" s="1"/>
      <c r="E803" s="1" t="s">
        <v>1838</v>
      </c>
      <c r="F803" s="1" t="s">
        <v>1936</v>
      </c>
      <c r="G803" s="1">
        <v>1</v>
      </c>
      <c r="H803" s="1" t="s">
        <v>19</v>
      </c>
      <c r="I803" s="1" t="s">
        <v>653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1939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1940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1941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1942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1943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1944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1945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1946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1947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1948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1949</v>
      </c>
      <c r="G814" s="1">
        <v>57</v>
      </c>
      <c r="H814" s="1" t="s">
        <v>1254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1950</v>
      </c>
      <c r="G815" s="1">
        <v>190</v>
      </c>
      <c r="H815" s="1" t="s">
        <v>1254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1951</v>
      </c>
      <c r="G816" s="1">
        <v>6</v>
      </c>
      <c r="H816" s="1" t="s">
        <v>1254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1952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1953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1954</v>
      </c>
      <c r="G819" s="1">
        <v>10</v>
      </c>
      <c r="H819" s="1" t="s">
        <v>1254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1955</v>
      </c>
      <c r="G820" s="1">
        <v>5</v>
      </c>
      <c r="H820" s="1" t="s">
        <v>1254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1956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1957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1958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1959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1960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1961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1962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1963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1964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1965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1133</v>
      </c>
      <c r="D831" s="1"/>
      <c r="E831" s="1" t="s">
        <v>2</v>
      </c>
      <c r="F831" s="1" t="s">
        <v>1134</v>
      </c>
      <c r="G831" s="1">
        <v>1</v>
      </c>
      <c r="H831" s="1" t="s">
        <v>19</v>
      </c>
      <c r="I831" s="1" t="s">
        <v>653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707</v>
      </c>
      <c r="D832" s="1"/>
      <c r="E832" s="1" t="s">
        <v>1967</v>
      </c>
      <c r="F832" s="1" t="s">
        <v>1968</v>
      </c>
      <c r="G832" s="1">
        <v>10</v>
      </c>
      <c r="H832" s="1" t="s">
        <v>19</v>
      </c>
      <c r="I832" s="1" t="s">
        <v>630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713</v>
      </c>
      <c r="D833" s="1"/>
      <c r="E833" s="1" t="s">
        <v>1969</v>
      </c>
      <c r="F833" s="1" t="s">
        <v>1970</v>
      </c>
      <c r="G833" s="1">
        <v>6</v>
      </c>
      <c r="H833" s="1" t="s">
        <v>19</v>
      </c>
      <c r="I833" s="1" t="s">
        <v>630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148</v>
      </c>
      <c r="D834" s="1"/>
      <c r="E834" s="1"/>
      <c r="F834" s="1" t="s">
        <v>1971</v>
      </c>
      <c r="G834" s="1">
        <v>16</v>
      </c>
      <c r="H834" s="1" t="s">
        <v>19</v>
      </c>
      <c r="I834" s="1" t="s">
        <v>630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937</v>
      </c>
      <c r="D835" s="1"/>
      <c r="E835" s="1" t="s">
        <v>1972</v>
      </c>
      <c r="F835" s="1" t="s">
        <v>1973</v>
      </c>
      <c r="G835" s="1">
        <v>8</v>
      </c>
      <c r="H835" s="1" t="s">
        <v>19</v>
      </c>
      <c r="I835" s="1" t="s">
        <v>630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960</v>
      </c>
      <c r="D836" s="1"/>
      <c r="E836" s="1" t="s">
        <v>1974</v>
      </c>
      <c r="F836" s="1" t="s">
        <v>1975</v>
      </c>
      <c r="G836" s="1">
        <v>2</v>
      </c>
      <c r="H836" s="1"/>
      <c r="I836" s="1" t="s">
        <v>630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1976</v>
      </c>
      <c r="D837" s="1" t="s">
        <v>1977</v>
      </c>
      <c r="E837" s="1"/>
      <c r="F837" s="1" t="s">
        <v>1978</v>
      </c>
      <c r="G837" s="1">
        <v>1</v>
      </c>
      <c r="H837" s="1" t="s">
        <v>19</v>
      </c>
      <c r="I837" s="1" t="s">
        <v>590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1976</v>
      </c>
      <c r="D838" s="1" t="s">
        <v>1977</v>
      </c>
      <c r="E838" s="1"/>
      <c r="F838" s="1" t="s">
        <v>1979</v>
      </c>
      <c r="G838" s="1">
        <v>1</v>
      </c>
      <c r="H838" s="1" t="s">
        <v>19</v>
      </c>
      <c r="I838" s="1" t="s">
        <v>590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1976</v>
      </c>
      <c r="D839" s="1" t="s">
        <v>1977</v>
      </c>
      <c r="E839" s="1"/>
      <c r="F839" s="1" t="s">
        <v>1980</v>
      </c>
      <c r="G839" s="1">
        <v>1</v>
      </c>
      <c r="H839" s="1" t="s">
        <v>19</v>
      </c>
      <c r="I839" s="1" t="s">
        <v>590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1976</v>
      </c>
      <c r="D840" s="1" t="s">
        <v>1977</v>
      </c>
      <c r="E840" s="1"/>
      <c r="F840" s="1" t="s">
        <v>1980</v>
      </c>
      <c r="G840" s="1">
        <v>1</v>
      </c>
      <c r="H840" s="1" t="s">
        <v>19</v>
      </c>
      <c r="I840" s="1" t="s">
        <v>586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1976</v>
      </c>
      <c r="D841" s="1" t="s">
        <v>1977</v>
      </c>
      <c r="E841" s="1"/>
      <c r="F841" s="1" t="s">
        <v>1981</v>
      </c>
      <c r="G841" s="1">
        <v>1</v>
      </c>
      <c r="H841" s="1" t="s">
        <v>19</v>
      </c>
      <c r="I841" s="1" t="s">
        <v>586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1982</v>
      </c>
      <c r="D842" s="1" t="s">
        <v>1977</v>
      </c>
      <c r="E842" s="1"/>
      <c r="F842" s="1" t="s">
        <v>1983</v>
      </c>
      <c r="G842" s="1">
        <v>1</v>
      </c>
      <c r="H842" s="1" t="s">
        <v>19</v>
      </c>
      <c r="I842" s="1" t="s">
        <v>635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1976</v>
      </c>
      <c r="D843" s="1" t="s">
        <v>1984</v>
      </c>
      <c r="E843" s="1"/>
      <c r="F843" s="1" t="s">
        <v>1985</v>
      </c>
      <c r="G843" s="1">
        <v>1</v>
      </c>
      <c r="H843" s="1" t="s">
        <v>19</v>
      </c>
      <c r="I843" s="1" t="s">
        <v>586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1976</v>
      </c>
      <c r="D844" s="1" t="s">
        <v>1984</v>
      </c>
      <c r="E844" s="1"/>
      <c r="F844" s="1" t="s">
        <v>1986</v>
      </c>
      <c r="G844" s="1">
        <v>1</v>
      </c>
      <c r="H844" s="1" t="s">
        <v>19</v>
      </c>
      <c r="I844" s="1" t="s">
        <v>590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1976</v>
      </c>
      <c r="D845" s="1" t="s">
        <v>1977</v>
      </c>
      <c r="E845" s="1"/>
      <c r="F845" s="1" t="s">
        <v>1987</v>
      </c>
      <c r="G845" s="1">
        <v>1</v>
      </c>
      <c r="H845" s="1" t="s">
        <v>19</v>
      </c>
      <c r="I845" s="1" t="s">
        <v>586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1988</v>
      </c>
      <c r="D846" s="1" t="s">
        <v>1977</v>
      </c>
      <c r="E846" s="1"/>
      <c r="F846" s="1" t="s">
        <v>1989</v>
      </c>
      <c r="G846" s="1">
        <v>1</v>
      </c>
      <c r="H846" s="1" t="s">
        <v>19</v>
      </c>
      <c r="I846" s="1" t="s">
        <v>635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1982</v>
      </c>
      <c r="D847" s="1" t="s">
        <v>1977</v>
      </c>
      <c r="E847" s="1"/>
      <c r="F847" s="1" t="s">
        <v>1990</v>
      </c>
      <c r="G847" s="1">
        <v>1</v>
      </c>
      <c r="H847" s="1" t="s">
        <v>19</v>
      </c>
      <c r="I847" s="1" t="s">
        <v>635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1991</v>
      </c>
      <c r="D848" s="1" t="s">
        <v>1977</v>
      </c>
      <c r="E848" s="1"/>
      <c r="F848" s="1" t="s">
        <v>1992</v>
      </c>
      <c r="G848" s="1">
        <v>1</v>
      </c>
      <c r="H848" s="1" t="s">
        <v>19</v>
      </c>
      <c r="I848" s="1" t="s">
        <v>586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1993</v>
      </c>
      <c r="D849" s="1" t="s">
        <v>1977</v>
      </c>
      <c r="E849" s="1"/>
      <c r="F849" s="1" t="s">
        <v>1994</v>
      </c>
      <c r="G849" s="1">
        <v>1</v>
      </c>
      <c r="H849" s="1" t="s">
        <v>19</v>
      </c>
      <c r="I849" s="1" t="s">
        <v>630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1995</v>
      </c>
      <c r="D850" s="1" t="s">
        <v>1977</v>
      </c>
      <c r="E850" s="1"/>
      <c r="F850" s="1" t="s">
        <v>1996</v>
      </c>
      <c r="G850" s="1">
        <v>1</v>
      </c>
      <c r="H850" s="1" t="s">
        <v>19</v>
      </c>
      <c r="I850" s="1" t="s">
        <v>630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1995</v>
      </c>
      <c r="D851" s="1" t="s">
        <v>1977</v>
      </c>
      <c r="E851" s="1"/>
      <c r="F851" s="1" t="s">
        <v>1996</v>
      </c>
      <c r="G851" s="1">
        <v>1</v>
      </c>
      <c r="H851" s="1" t="s">
        <v>19</v>
      </c>
      <c r="I851" s="1" t="s">
        <v>630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1995</v>
      </c>
      <c r="D852" s="1" t="s">
        <v>1977</v>
      </c>
      <c r="E852" s="1"/>
      <c r="F852" s="1" t="s">
        <v>1996</v>
      </c>
      <c r="G852" s="1">
        <v>1</v>
      </c>
      <c r="H852" s="1" t="s">
        <v>19</v>
      </c>
      <c r="I852" s="1" t="s">
        <v>630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1997</v>
      </c>
      <c r="D853" s="1" t="s">
        <v>1977</v>
      </c>
      <c r="E853" s="1"/>
      <c r="F853" s="1" t="s">
        <v>1998</v>
      </c>
      <c r="G853" s="1">
        <v>1</v>
      </c>
      <c r="H853" s="1" t="s">
        <v>19</v>
      </c>
      <c r="I853" s="1" t="s">
        <v>590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1999</v>
      </c>
      <c r="D854" s="1" t="s">
        <v>1977</v>
      </c>
      <c r="E854" s="1"/>
      <c r="F854" s="1" t="s">
        <v>2000</v>
      </c>
      <c r="G854" s="1">
        <v>1</v>
      </c>
      <c r="H854" s="1" t="s">
        <v>19</v>
      </c>
      <c r="I854" s="1" t="s">
        <v>630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1999</v>
      </c>
      <c r="D855" s="1" t="s">
        <v>1977</v>
      </c>
      <c r="E855" s="1"/>
      <c r="F855" s="1" t="s">
        <v>2001</v>
      </c>
      <c r="G855" s="1">
        <v>1</v>
      </c>
      <c r="H855" s="1" t="s">
        <v>19</v>
      </c>
      <c r="I855" s="1" t="s">
        <v>630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1999</v>
      </c>
      <c r="D856" s="1" t="s">
        <v>1977</v>
      </c>
      <c r="E856" s="1"/>
      <c r="F856" s="1" t="s">
        <v>2002</v>
      </c>
      <c r="G856" s="1">
        <v>1</v>
      </c>
      <c r="H856" s="1" t="s">
        <v>19</v>
      </c>
      <c r="I856" s="1" t="s">
        <v>630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2003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2004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2005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2006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2007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2008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2009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2010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2011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2012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2013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2014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2015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2016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2017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2018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2019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2020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2021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2022</v>
      </c>
      <c r="G876" s="1">
        <v>21</v>
      </c>
      <c r="H876" s="1" t="s">
        <v>1254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2023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2024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2025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2026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2027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2028</v>
      </c>
      <c r="G882" s="1">
        <v>5</v>
      </c>
      <c r="H882" s="1" t="s">
        <v>1254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2029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2030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2031</v>
      </c>
      <c r="G885" s="1">
        <v>21</v>
      </c>
      <c r="H885" s="1" t="s">
        <v>1254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2032</v>
      </c>
      <c r="G886" s="1">
        <v>81</v>
      </c>
      <c r="H886" s="1" t="s">
        <v>1254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2033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2034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2035</v>
      </c>
      <c r="G889" s="1">
        <v>6</v>
      </c>
      <c r="H889" s="1" t="s">
        <v>1254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2036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2037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2038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2039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2040</v>
      </c>
      <c r="G894" s="1">
        <v>5</v>
      </c>
      <c r="H894" s="1" t="s">
        <v>1254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2041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2042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2043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2044</v>
      </c>
      <c r="G898" s="1">
        <v>38</v>
      </c>
      <c r="H898" s="1" t="s">
        <v>1254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2045</v>
      </c>
      <c r="G899" s="1">
        <v>78</v>
      </c>
      <c r="H899" s="1" t="s">
        <v>1254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2046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2047</v>
      </c>
      <c r="G901" s="1">
        <v>6</v>
      </c>
      <c r="H901" s="1" t="s">
        <v>1254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2048</v>
      </c>
      <c r="D902" s="1"/>
      <c r="E902" s="1"/>
      <c r="F902" s="1" t="s">
        <v>2049</v>
      </c>
      <c r="G902" s="1">
        <v>5</v>
      </c>
      <c r="H902" s="1" t="s">
        <v>19</v>
      </c>
      <c r="I902" s="1" t="s">
        <v>2050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2048</v>
      </c>
      <c r="D903" s="1"/>
      <c r="E903" s="1"/>
      <c r="F903" s="1" t="s">
        <v>2051</v>
      </c>
      <c r="G903" s="1">
        <v>10</v>
      </c>
      <c r="H903" s="1" t="s">
        <v>19</v>
      </c>
      <c r="I903" s="1" t="s">
        <v>2050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2048</v>
      </c>
      <c r="D904" s="1"/>
      <c r="E904" s="1"/>
      <c r="F904" s="1" t="s">
        <v>2052</v>
      </c>
      <c r="G904" s="1">
        <v>14</v>
      </c>
      <c r="H904" s="1" t="s">
        <v>19</v>
      </c>
      <c r="I904" s="1" t="s">
        <v>2050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2048</v>
      </c>
      <c r="D905" s="1"/>
      <c r="E905" s="1"/>
      <c r="F905" s="1" t="s">
        <v>2053</v>
      </c>
      <c r="G905" s="1">
        <v>3</v>
      </c>
      <c r="H905" s="1" t="s">
        <v>19</v>
      </c>
      <c r="I905" s="1" t="s">
        <v>2050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2048</v>
      </c>
      <c r="D906" s="1"/>
      <c r="E906" s="1"/>
      <c r="F906" s="1" t="s">
        <v>2054</v>
      </c>
      <c r="G906" s="1">
        <v>5</v>
      </c>
      <c r="H906" s="1" t="s">
        <v>1254</v>
      </c>
      <c r="I906" s="1" t="s">
        <v>2050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2048</v>
      </c>
      <c r="D907" s="1"/>
      <c r="E907" s="1"/>
      <c r="F907" s="1" t="s">
        <v>2055</v>
      </c>
      <c r="G907" s="1">
        <v>20</v>
      </c>
      <c r="H907" s="1" t="s">
        <v>19</v>
      </c>
      <c r="I907" s="1" t="s">
        <v>2050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2048</v>
      </c>
      <c r="D908" s="1"/>
      <c r="E908" s="1"/>
      <c r="F908" s="1" t="s">
        <v>2056</v>
      </c>
      <c r="G908" s="1">
        <v>10</v>
      </c>
      <c r="H908" s="1" t="s">
        <v>19</v>
      </c>
      <c r="I908" s="1" t="s">
        <v>2050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2048</v>
      </c>
      <c r="D909" s="1"/>
      <c r="E909" s="1"/>
      <c r="F909" s="1" t="s">
        <v>2057</v>
      </c>
      <c r="G909" s="1">
        <v>170</v>
      </c>
      <c r="H909" s="1" t="s">
        <v>1254</v>
      </c>
      <c r="I909" s="1" t="s">
        <v>2050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2048</v>
      </c>
      <c r="D910" s="1"/>
      <c r="E910" s="1"/>
      <c r="F910" s="1" t="s">
        <v>2058</v>
      </c>
      <c r="G910" s="1">
        <v>6</v>
      </c>
      <c r="H910" s="1" t="s">
        <v>19</v>
      </c>
      <c r="I910" s="1" t="s">
        <v>2050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2048</v>
      </c>
      <c r="D911" s="1"/>
      <c r="E911" s="1"/>
      <c r="F911" s="1" t="s">
        <v>2059</v>
      </c>
      <c r="G911" s="1">
        <v>4</v>
      </c>
      <c r="H911" s="1" t="s">
        <v>1254</v>
      </c>
      <c r="I911" s="1" t="s">
        <v>2050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78</v>
      </c>
      <c r="D912" s="1"/>
      <c r="E912" s="1"/>
      <c r="F912" s="1" t="s">
        <v>678</v>
      </c>
      <c r="G912" s="1">
        <v>12</v>
      </c>
      <c r="H912" s="1" t="s">
        <v>19</v>
      </c>
      <c r="I912" s="1" t="s">
        <v>2069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2073</v>
      </c>
      <c r="D913" s="1"/>
      <c r="E913" s="1"/>
      <c r="F913" s="1" t="s">
        <v>2074</v>
      </c>
      <c r="G913" s="1">
        <v>44</v>
      </c>
      <c r="H913" s="1" t="s">
        <v>19</v>
      </c>
      <c r="I913" s="1" t="s">
        <v>424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1529</v>
      </c>
      <c r="D914" s="1"/>
      <c r="E914" s="1"/>
      <c r="F914" s="1" t="s">
        <v>2075</v>
      </c>
      <c r="G914" s="1">
        <v>16</v>
      </c>
      <c r="H914" s="1" t="s">
        <v>19</v>
      </c>
      <c r="I914" s="1" t="s">
        <v>426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1440</v>
      </c>
      <c r="D915" s="1"/>
      <c r="E915" s="1"/>
      <c r="F915" s="1" t="s">
        <v>2076</v>
      </c>
      <c r="G915" s="1">
        <v>32</v>
      </c>
      <c r="H915" s="1" t="s">
        <v>19</v>
      </c>
      <c r="I915" s="1" t="s">
        <v>427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1442</v>
      </c>
      <c r="D916" s="1"/>
      <c r="E916" s="1"/>
      <c r="F916" s="1" t="s">
        <v>2077</v>
      </c>
      <c r="G916" s="1">
        <v>24</v>
      </c>
      <c r="H916" s="1" t="s">
        <v>19</v>
      </c>
      <c r="I916" s="1" t="s">
        <v>427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1444</v>
      </c>
      <c r="D917" s="1"/>
      <c r="E917" s="1"/>
      <c r="F917" s="1" t="s">
        <v>2078</v>
      </c>
      <c r="G917" s="1">
        <v>24</v>
      </c>
      <c r="H917" s="1" t="s">
        <v>19</v>
      </c>
      <c r="I917" s="1" t="s">
        <v>427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1431</v>
      </c>
      <c r="D918" s="1"/>
      <c r="E918" s="1"/>
      <c r="F918" s="1" t="s">
        <v>2078</v>
      </c>
      <c r="G918" s="1">
        <v>16</v>
      </c>
      <c r="H918" s="1" t="s">
        <v>19</v>
      </c>
      <c r="I918" s="1" t="s">
        <v>425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1448</v>
      </c>
      <c r="D919" s="1"/>
      <c r="E919" s="1"/>
      <c r="F919" s="1" t="s">
        <v>2079</v>
      </c>
      <c r="G919" s="1">
        <v>28</v>
      </c>
      <c r="H919" s="1" t="s">
        <v>19</v>
      </c>
      <c r="I919" s="1" t="s">
        <v>428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1415</v>
      </c>
      <c r="D920" s="1"/>
      <c r="E920" s="1"/>
      <c r="F920" s="1" t="s">
        <v>2080</v>
      </c>
      <c r="G920" s="1">
        <v>2</v>
      </c>
      <c r="H920" s="1" t="s">
        <v>19</v>
      </c>
      <c r="I920" s="1" t="s">
        <v>424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1403</v>
      </c>
      <c r="D921" s="1"/>
      <c r="E921" s="1"/>
      <c r="F921" s="1" t="s">
        <v>2081</v>
      </c>
      <c r="G921" s="1">
        <v>2</v>
      </c>
      <c r="H921" s="1" t="s">
        <v>19</v>
      </c>
      <c r="I921" s="1" t="s">
        <v>1405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1413</v>
      </c>
      <c r="D922" s="1"/>
      <c r="E922" s="1"/>
      <c r="F922" s="1" t="s">
        <v>2082</v>
      </c>
      <c r="G922" s="1">
        <v>2</v>
      </c>
      <c r="H922" s="1" t="s">
        <v>19</v>
      </c>
      <c r="I922" s="1" t="s">
        <v>428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1417</v>
      </c>
      <c r="D923" s="1"/>
      <c r="E923" s="1"/>
      <c r="F923" s="1" t="s">
        <v>2083</v>
      </c>
      <c r="G923" s="1">
        <v>2</v>
      </c>
      <c r="H923" s="1" t="s">
        <v>19</v>
      </c>
      <c r="I923" s="1" t="s">
        <v>427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2084</v>
      </c>
      <c r="D924" s="1"/>
      <c r="E924" s="1"/>
      <c r="F924" s="1" t="s">
        <v>2085</v>
      </c>
      <c r="G924" s="1">
        <v>5</v>
      </c>
      <c r="H924" s="1" t="s">
        <v>19</v>
      </c>
      <c r="I924" s="1" t="s">
        <v>424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2084</v>
      </c>
      <c r="D925" s="1"/>
      <c r="E925" s="1"/>
      <c r="F925" s="1" t="s">
        <v>2086</v>
      </c>
      <c r="G925" s="1">
        <v>3</v>
      </c>
      <c r="H925" s="1" t="s">
        <v>19</v>
      </c>
      <c r="I925" s="1" t="s">
        <v>424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2084</v>
      </c>
      <c r="D926" s="1"/>
      <c r="E926" s="1"/>
      <c r="F926" s="1" t="s">
        <v>2087</v>
      </c>
      <c r="G926" s="1">
        <v>3</v>
      </c>
      <c r="H926" s="1" t="s">
        <v>19</v>
      </c>
      <c r="I926" s="1" t="s">
        <v>424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2084</v>
      </c>
      <c r="D927" s="1"/>
      <c r="E927" s="1"/>
      <c r="F927" s="1" t="s">
        <v>2088</v>
      </c>
      <c r="G927" s="1">
        <v>3</v>
      </c>
      <c r="H927" s="1" t="s">
        <v>19</v>
      </c>
      <c r="I927" s="1" t="s">
        <v>424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2084</v>
      </c>
      <c r="D928" s="1"/>
      <c r="E928" s="1"/>
      <c r="F928" s="1" t="s">
        <v>2089</v>
      </c>
      <c r="G928" s="1">
        <v>6</v>
      </c>
      <c r="H928" s="1" t="s">
        <v>19</v>
      </c>
      <c r="I928" s="1" t="s">
        <v>424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2090</v>
      </c>
      <c r="D929" s="1"/>
      <c r="E929" s="1"/>
      <c r="F929" s="1" t="s">
        <v>2091</v>
      </c>
      <c r="G929" s="1">
        <v>5</v>
      </c>
      <c r="H929" s="1" t="s">
        <v>19</v>
      </c>
      <c r="I929" s="1" t="s">
        <v>2092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2093</v>
      </c>
      <c r="D930" s="1"/>
      <c r="E930" s="1"/>
      <c r="F930" s="1" t="s">
        <v>2094</v>
      </c>
      <c r="G930" s="1">
        <v>3</v>
      </c>
      <c r="H930" s="1" t="s">
        <v>19</v>
      </c>
      <c r="I930" s="1" t="s">
        <v>425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2093</v>
      </c>
      <c r="D931" s="1"/>
      <c r="E931" s="1"/>
      <c r="F931" s="1" t="s">
        <v>2095</v>
      </c>
      <c r="G931" s="1">
        <v>3</v>
      </c>
      <c r="H931" s="1" t="s">
        <v>19</v>
      </c>
      <c r="I931" s="1" t="s">
        <v>425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2093</v>
      </c>
      <c r="D932" s="1"/>
      <c r="E932" s="1"/>
      <c r="F932" s="1" t="s">
        <v>2096</v>
      </c>
      <c r="G932" s="1">
        <v>7</v>
      </c>
      <c r="H932" s="1" t="s">
        <v>19</v>
      </c>
      <c r="I932" s="1" t="s">
        <v>425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2093</v>
      </c>
      <c r="D933" s="1"/>
      <c r="E933" s="1"/>
      <c r="F933" s="1" t="s">
        <v>2097</v>
      </c>
      <c r="G933" s="1">
        <v>7</v>
      </c>
      <c r="H933" s="1" t="s">
        <v>19</v>
      </c>
      <c r="I933" s="1" t="s">
        <v>425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2098</v>
      </c>
      <c r="D934" s="1"/>
      <c r="E934" s="1"/>
      <c r="F934" s="1" t="s">
        <v>2099</v>
      </c>
      <c r="G934" s="1">
        <v>2</v>
      </c>
      <c r="H934" s="1" t="s">
        <v>19</v>
      </c>
      <c r="I934" s="1" t="s">
        <v>426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2098</v>
      </c>
      <c r="D935" s="1"/>
      <c r="E935" s="1"/>
      <c r="F935" s="1" t="s">
        <v>2100</v>
      </c>
      <c r="G935" s="1">
        <v>3</v>
      </c>
      <c r="H935" s="1" t="s">
        <v>19</v>
      </c>
      <c r="I935" s="1" t="s">
        <v>426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2098</v>
      </c>
      <c r="D936" s="1"/>
      <c r="E936" s="1"/>
      <c r="F936" s="1" t="s">
        <v>2101</v>
      </c>
      <c r="G936" s="1">
        <v>3</v>
      </c>
      <c r="H936" s="1" t="s">
        <v>19</v>
      </c>
      <c r="I936" s="1" t="s">
        <v>426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2098</v>
      </c>
      <c r="D937" s="1"/>
      <c r="E937" s="1"/>
      <c r="F937" s="1" t="s">
        <v>2102</v>
      </c>
      <c r="G937" s="1">
        <v>7</v>
      </c>
      <c r="H937" s="1" t="s">
        <v>19</v>
      </c>
      <c r="I937" s="1" t="s">
        <v>426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2098</v>
      </c>
      <c r="D938" s="1"/>
      <c r="E938" s="1"/>
      <c r="F938" s="1" t="s">
        <v>2103</v>
      </c>
      <c r="G938" s="1">
        <v>7</v>
      </c>
      <c r="H938" s="1" t="s">
        <v>19</v>
      </c>
      <c r="I938" s="1" t="s">
        <v>426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2104</v>
      </c>
      <c r="D939" s="1"/>
      <c r="E939" s="1"/>
      <c r="F939" s="1" t="s">
        <v>2105</v>
      </c>
      <c r="G939" s="1">
        <v>3</v>
      </c>
      <c r="H939" s="1" t="s">
        <v>19</v>
      </c>
      <c r="I939" s="1" t="s">
        <v>427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2104</v>
      </c>
      <c r="D940" s="1"/>
      <c r="E940" s="1"/>
      <c r="F940" s="1" t="s">
        <v>2106</v>
      </c>
      <c r="G940" s="1">
        <v>7</v>
      </c>
      <c r="H940" s="1" t="s">
        <v>19</v>
      </c>
      <c r="I940" s="1" t="s">
        <v>427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2104</v>
      </c>
      <c r="D941" s="1"/>
      <c r="E941" s="1"/>
      <c r="F941" s="1" t="s">
        <v>2107</v>
      </c>
      <c r="G941" s="1">
        <v>3</v>
      </c>
      <c r="H941" s="1" t="s">
        <v>19</v>
      </c>
      <c r="I941" s="1" t="s">
        <v>427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2104</v>
      </c>
      <c r="D942" s="1"/>
      <c r="E942" s="1"/>
      <c r="F942" s="1" t="s">
        <v>2108</v>
      </c>
      <c r="G942" s="1">
        <v>7</v>
      </c>
      <c r="H942" s="1" t="s">
        <v>19</v>
      </c>
      <c r="I942" s="1" t="s">
        <v>427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2109</v>
      </c>
      <c r="D943" s="1"/>
      <c r="E943" s="1"/>
      <c r="F943" s="1" t="s">
        <v>2110</v>
      </c>
      <c r="G943" s="1">
        <v>3</v>
      </c>
      <c r="H943" s="1" t="s">
        <v>19</v>
      </c>
      <c r="I943" s="1" t="s">
        <v>428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2109</v>
      </c>
      <c r="D944" s="1"/>
      <c r="E944" s="1"/>
      <c r="F944" s="1" t="s">
        <v>2111</v>
      </c>
      <c r="G944" s="1">
        <v>3</v>
      </c>
      <c r="H944" s="1" t="s">
        <v>19</v>
      </c>
      <c r="I944" s="1" t="s">
        <v>428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2109</v>
      </c>
      <c r="D945" s="1"/>
      <c r="E945" s="1"/>
      <c r="F945" s="1" t="s">
        <v>2112</v>
      </c>
      <c r="G945" s="1">
        <v>7</v>
      </c>
      <c r="H945" s="1" t="s">
        <v>19</v>
      </c>
      <c r="I945" s="1" t="s">
        <v>428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2109</v>
      </c>
      <c r="D946" s="1"/>
      <c r="E946" s="1"/>
      <c r="F946" s="1" t="s">
        <v>2113</v>
      </c>
      <c r="G946" s="1">
        <v>7</v>
      </c>
      <c r="H946" s="1" t="s">
        <v>19</v>
      </c>
      <c r="I946" s="1" t="s">
        <v>428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2114</v>
      </c>
      <c r="D947" s="1"/>
      <c r="E947" s="1"/>
      <c r="F947" s="1" t="s">
        <v>2115</v>
      </c>
      <c r="G947" s="1">
        <v>408</v>
      </c>
      <c r="H947" s="1" t="s">
        <v>19</v>
      </c>
      <c r="I947" s="1" t="s">
        <v>424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1560</v>
      </c>
      <c r="D948" s="1"/>
      <c r="E948" s="1"/>
      <c r="F948" s="1" t="s">
        <v>2116</v>
      </c>
      <c r="G948" s="1">
        <v>174</v>
      </c>
      <c r="H948" s="1" t="s">
        <v>19</v>
      </c>
      <c r="I948" s="1" t="s">
        <v>425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1562</v>
      </c>
      <c r="D949" s="1"/>
      <c r="E949" s="1"/>
      <c r="F949" s="1" t="s">
        <v>1620</v>
      </c>
      <c r="G949" s="1">
        <v>258</v>
      </c>
      <c r="H949" s="1" t="s">
        <v>19</v>
      </c>
      <c r="I949" s="1" t="s">
        <v>426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1566</v>
      </c>
      <c r="D950" s="1"/>
      <c r="E950" s="1"/>
      <c r="F950" s="1" t="s">
        <v>1621</v>
      </c>
      <c r="G950" s="1">
        <v>362</v>
      </c>
      <c r="H950" s="1" t="s">
        <v>19</v>
      </c>
      <c r="I950" s="1" t="s">
        <v>427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1564</v>
      </c>
      <c r="D951" s="1"/>
      <c r="E951" s="1"/>
      <c r="F951" s="1" t="s">
        <v>2117</v>
      </c>
      <c r="G951" s="1">
        <v>597</v>
      </c>
      <c r="H951" s="1" t="s">
        <v>19</v>
      </c>
      <c r="I951" s="1" t="s">
        <v>428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1560</v>
      </c>
      <c r="D952" s="1"/>
      <c r="E952" s="1"/>
      <c r="F952" s="1" t="s">
        <v>1619</v>
      </c>
      <c r="G952" s="1">
        <v>7</v>
      </c>
      <c r="H952" s="1" t="s">
        <v>19</v>
      </c>
      <c r="I952" s="1" t="s">
        <v>425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1560</v>
      </c>
      <c r="D953" s="1"/>
      <c r="E953" s="1"/>
      <c r="F953" s="1" t="s">
        <v>1619</v>
      </c>
      <c r="G953" s="1">
        <v>48</v>
      </c>
      <c r="H953" s="1" t="s">
        <v>19</v>
      </c>
      <c r="I953" s="1" t="s">
        <v>425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1562</v>
      </c>
      <c r="D954" s="1"/>
      <c r="E954" s="1"/>
      <c r="F954" s="1" t="s">
        <v>1620</v>
      </c>
      <c r="G954" s="1">
        <v>10</v>
      </c>
      <c r="H954" s="1" t="s">
        <v>19</v>
      </c>
      <c r="I954" s="1" t="s">
        <v>426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1566</v>
      </c>
      <c r="D955" s="1"/>
      <c r="E955" s="1"/>
      <c r="F955" s="1" t="s">
        <v>1621</v>
      </c>
      <c r="G955" s="1">
        <v>24</v>
      </c>
      <c r="H955" s="1" t="s">
        <v>19</v>
      </c>
      <c r="I955" s="1" t="s">
        <v>427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1564</v>
      </c>
      <c r="D956" s="1"/>
      <c r="E956" s="1"/>
      <c r="F956" s="1" t="s">
        <v>1622</v>
      </c>
      <c r="G956" s="1">
        <v>146</v>
      </c>
      <c r="H956" s="1" t="s">
        <v>19</v>
      </c>
      <c r="I956" s="1" t="s">
        <v>428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1597</v>
      </c>
      <c r="D957" s="1"/>
      <c r="E957" s="1"/>
      <c r="F957" s="1" t="s">
        <v>2118</v>
      </c>
      <c r="G957" s="1">
        <v>2</v>
      </c>
      <c r="H957" s="1" t="s">
        <v>19</v>
      </c>
      <c r="I957" s="1" t="s">
        <v>1599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1223</v>
      </c>
      <c r="D958" s="1"/>
      <c r="E958" s="1"/>
      <c r="F958" s="1" t="s">
        <v>2119</v>
      </c>
      <c r="G958" s="1">
        <v>200</v>
      </c>
      <c r="H958" s="1" t="s">
        <v>19</v>
      </c>
      <c r="I958" s="1" t="s">
        <v>424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2120</v>
      </c>
      <c r="D959" s="1" t="s">
        <v>2121</v>
      </c>
      <c r="E959" s="1"/>
      <c r="F959" s="1" t="s">
        <v>2122</v>
      </c>
      <c r="G959" s="1">
        <v>8</v>
      </c>
      <c r="H959" s="1" t="s">
        <v>19</v>
      </c>
      <c r="I959" s="1" t="s">
        <v>424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2120</v>
      </c>
      <c r="D960" s="1" t="s">
        <v>2121</v>
      </c>
      <c r="E960" s="1"/>
      <c r="F960" s="1" t="s">
        <v>2123</v>
      </c>
      <c r="G960" s="1">
        <v>3</v>
      </c>
      <c r="H960" s="1" t="s">
        <v>19</v>
      </c>
      <c r="I960" s="1" t="s">
        <v>424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2124</v>
      </c>
      <c r="D961" s="1" t="s">
        <v>2125</v>
      </c>
      <c r="E961" s="1"/>
      <c r="F961" s="1" t="s">
        <v>2122</v>
      </c>
      <c r="G961" s="1">
        <v>7</v>
      </c>
      <c r="H961" s="1" t="s">
        <v>19</v>
      </c>
      <c r="I961" s="1" t="s">
        <v>425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2124</v>
      </c>
      <c r="D962" s="1" t="s">
        <v>2125</v>
      </c>
      <c r="E962" s="1"/>
      <c r="F962" s="1" t="s">
        <v>2123</v>
      </c>
      <c r="G962" s="1">
        <v>3</v>
      </c>
      <c r="H962" s="1" t="s">
        <v>19</v>
      </c>
      <c r="I962" s="1" t="s">
        <v>425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2098</v>
      </c>
      <c r="D963" s="1" t="s">
        <v>2126</v>
      </c>
      <c r="E963" s="1"/>
      <c r="F963" s="1" t="s">
        <v>2122</v>
      </c>
      <c r="G963" s="1">
        <v>8</v>
      </c>
      <c r="H963" s="1" t="s">
        <v>19</v>
      </c>
      <c r="I963" s="1" t="s">
        <v>426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2098</v>
      </c>
      <c r="D964" s="1" t="s">
        <v>2126</v>
      </c>
      <c r="E964" s="1"/>
      <c r="F964" s="1" t="s">
        <v>2123</v>
      </c>
      <c r="G964" s="1">
        <v>3</v>
      </c>
      <c r="H964" s="1" t="s">
        <v>19</v>
      </c>
      <c r="I964" s="1" t="s">
        <v>426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2104</v>
      </c>
      <c r="D965" s="1" t="s">
        <v>2127</v>
      </c>
      <c r="E965" s="1"/>
      <c r="F965" s="1" t="s">
        <v>2122</v>
      </c>
      <c r="G965" s="1">
        <v>9</v>
      </c>
      <c r="H965" s="1" t="s">
        <v>19</v>
      </c>
      <c r="I965" s="1" t="s">
        <v>427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2104</v>
      </c>
      <c r="D966" s="1" t="s">
        <v>2127</v>
      </c>
      <c r="E966" s="1"/>
      <c r="F966" s="1" t="s">
        <v>2123</v>
      </c>
      <c r="G966" s="1">
        <v>4</v>
      </c>
      <c r="H966" s="1" t="s">
        <v>19</v>
      </c>
      <c r="I966" s="1" t="s">
        <v>427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2109</v>
      </c>
      <c r="D967" s="1" t="s">
        <v>2128</v>
      </c>
      <c r="E967" s="1"/>
      <c r="F967" s="1" t="s">
        <v>2122</v>
      </c>
      <c r="G967" s="1">
        <v>10</v>
      </c>
      <c r="H967" s="1" t="s">
        <v>19</v>
      </c>
      <c r="I967" s="1" t="s">
        <v>428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2109</v>
      </c>
      <c r="D968" s="1" t="s">
        <v>2128</v>
      </c>
      <c r="E968" s="1"/>
      <c r="F968" s="1" t="s">
        <v>2123</v>
      </c>
      <c r="G968" s="1">
        <v>7</v>
      </c>
      <c r="H968" s="1" t="s">
        <v>19</v>
      </c>
      <c r="I968" s="1" t="s">
        <v>428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2129</v>
      </c>
      <c r="E969" s="1"/>
      <c r="F969" s="1" t="s">
        <v>2130</v>
      </c>
      <c r="G969" s="1">
        <v>189</v>
      </c>
      <c r="H969" s="1" t="s">
        <v>19</v>
      </c>
      <c r="I969" s="1" t="s">
        <v>2092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2129</v>
      </c>
      <c r="E970" s="1"/>
      <c r="F970" s="1" t="s">
        <v>2131</v>
      </c>
      <c r="G970" s="1">
        <v>189</v>
      </c>
      <c r="H970" s="1" t="s">
        <v>19</v>
      </c>
      <c r="I970" s="1" t="s">
        <v>2092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2129</v>
      </c>
      <c r="E971" s="1"/>
      <c r="F971" s="1" t="s">
        <v>2132</v>
      </c>
      <c r="G971" s="1">
        <v>189</v>
      </c>
      <c r="H971" s="1" t="s">
        <v>19</v>
      </c>
      <c r="I971" s="1" t="s">
        <v>2092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2133</v>
      </c>
      <c r="D972" s="1"/>
      <c r="E972" s="1"/>
      <c r="F972" s="1" t="s">
        <v>2134</v>
      </c>
      <c r="G972" s="1">
        <v>60</v>
      </c>
      <c r="H972" s="1" t="s">
        <v>19</v>
      </c>
      <c r="I972" s="1" t="s">
        <v>2135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2136</v>
      </c>
      <c r="E973" s="1"/>
      <c r="F973" s="1" t="s">
        <v>2137</v>
      </c>
      <c r="G973" s="1">
        <v>280</v>
      </c>
      <c r="H973" s="1" t="s">
        <v>19</v>
      </c>
      <c r="I973" s="1" t="s">
        <v>570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2136</v>
      </c>
      <c r="E974" s="1"/>
      <c r="F974" s="1" t="s">
        <v>2138</v>
      </c>
      <c r="G974" s="1">
        <v>16</v>
      </c>
      <c r="H974" s="1" t="s">
        <v>19</v>
      </c>
      <c r="I974" s="1" t="s">
        <v>570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2136</v>
      </c>
      <c r="E975" s="1"/>
      <c r="F975" s="1" t="s">
        <v>2139</v>
      </c>
      <c r="G975" s="1">
        <v>8</v>
      </c>
      <c r="H975" s="1" t="s">
        <v>19</v>
      </c>
      <c r="I975" s="1" t="s">
        <v>570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2136</v>
      </c>
      <c r="E976" s="1"/>
      <c r="F976" s="1" t="s">
        <v>2140</v>
      </c>
      <c r="G976" s="1">
        <v>256</v>
      </c>
      <c r="H976" s="1" t="s">
        <v>19</v>
      </c>
      <c r="I976" s="1" t="s">
        <v>570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2136</v>
      </c>
      <c r="E977" s="1"/>
      <c r="F977" s="1" t="s">
        <v>2141</v>
      </c>
      <c r="G977" s="1">
        <v>296</v>
      </c>
      <c r="H977" s="1" t="s">
        <v>19</v>
      </c>
      <c r="I977" s="1" t="s">
        <v>570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2142</v>
      </c>
      <c r="E978" s="1"/>
      <c r="F978" s="1" t="s">
        <v>2143</v>
      </c>
      <c r="G978" s="1">
        <v>252</v>
      </c>
      <c r="H978" s="1" t="s">
        <v>19</v>
      </c>
      <c r="I978" s="1" t="s">
        <v>571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2142</v>
      </c>
      <c r="E979" s="1"/>
      <c r="F979" s="1" t="s">
        <v>2144</v>
      </c>
      <c r="G979" s="1">
        <v>16</v>
      </c>
      <c r="H979" s="1" t="s">
        <v>19</v>
      </c>
      <c r="I979" s="1" t="s">
        <v>571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2142</v>
      </c>
      <c r="E980" s="1"/>
      <c r="F980" s="1" t="s">
        <v>2145</v>
      </c>
      <c r="G980" s="1">
        <v>8</v>
      </c>
      <c r="H980" s="1" t="s">
        <v>19</v>
      </c>
      <c r="I980" s="1" t="s">
        <v>571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2142</v>
      </c>
      <c r="E981" s="1"/>
      <c r="F981" s="1" t="s">
        <v>2146</v>
      </c>
      <c r="G981" s="1">
        <v>228</v>
      </c>
      <c r="H981" s="1" t="s">
        <v>19</v>
      </c>
      <c r="I981" s="1" t="s">
        <v>571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2142</v>
      </c>
      <c r="E982" s="1"/>
      <c r="F982" s="1" t="s">
        <v>2147</v>
      </c>
      <c r="G982" s="1">
        <v>268</v>
      </c>
      <c r="H982" s="1" t="s">
        <v>19</v>
      </c>
      <c r="I982" s="1" t="s">
        <v>571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2148</v>
      </c>
      <c r="E983" s="1"/>
      <c r="F983" s="1" t="s">
        <v>2149</v>
      </c>
      <c r="G983" s="1">
        <v>252</v>
      </c>
      <c r="H983" s="1" t="s">
        <v>19</v>
      </c>
      <c r="I983" s="1" t="s">
        <v>572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2148</v>
      </c>
      <c r="E984" s="1"/>
      <c r="F984" s="1" t="s">
        <v>2150</v>
      </c>
      <c r="G984" s="1">
        <v>16</v>
      </c>
      <c r="H984" s="1" t="s">
        <v>19</v>
      </c>
      <c r="I984" s="1" t="s">
        <v>572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2148</v>
      </c>
      <c r="E985" s="1"/>
      <c r="F985" s="1" t="s">
        <v>2151</v>
      </c>
      <c r="G985" s="1">
        <v>8</v>
      </c>
      <c r="H985" s="1" t="s">
        <v>19</v>
      </c>
      <c r="I985" s="1" t="s">
        <v>572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2148</v>
      </c>
      <c r="E986" s="1"/>
      <c r="F986" s="1" t="s">
        <v>2152</v>
      </c>
      <c r="G986" s="1">
        <v>228</v>
      </c>
      <c r="H986" s="1" t="s">
        <v>19</v>
      </c>
      <c r="I986" s="1" t="s">
        <v>572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2148</v>
      </c>
      <c r="E987" s="1"/>
      <c r="F987" s="1" t="s">
        <v>2153</v>
      </c>
      <c r="G987" s="1">
        <v>268</v>
      </c>
      <c r="H987" s="1" t="s">
        <v>19</v>
      </c>
      <c r="I987" s="1" t="s">
        <v>572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2154</v>
      </c>
      <c r="E988" s="1"/>
      <c r="F988" s="1" t="s">
        <v>2155</v>
      </c>
      <c r="G988" s="1">
        <v>182</v>
      </c>
      <c r="H988" s="1" t="s">
        <v>19</v>
      </c>
      <c r="I988" s="1" t="s">
        <v>573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2154</v>
      </c>
      <c r="E989" s="1"/>
      <c r="F989" s="1" t="s">
        <v>2156</v>
      </c>
      <c r="G989" s="1">
        <v>16</v>
      </c>
      <c r="H989" s="1" t="s">
        <v>19</v>
      </c>
      <c r="I989" s="1" t="s">
        <v>573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2154</v>
      </c>
      <c r="E990" s="1"/>
      <c r="F990" s="1" t="s">
        <v>2157</v>
      </c>
      <c r="G990" s="1">
        <v>8</v>
      </c>
      <c r="H990" s="1" t="s">
        <v>19</v>
      </c>
      <c r="I990" s="1" t="s">
        <v>573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2154</v>
      </c>
      <c r="E991" s="1"/>
      <c r="F991" s="1" t="s">
        <v>2158</v>
      </c>
      <c r="G991" s="1">
        <v>158</v>
      </c>
      <c r="H991" s="1" t="s">
        <v>19</v>
      </c>
      <c r="I991" s="1" t="s">
        <v>573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2154</v>
      </c>
      <c r="E992" s="1"/>
      <c r="F992" s="1" t="s">
        <v>2159</v>
      </c>
      <c r="G992" s="1">
        <v>198</v>
      </c>
      <c r="H992" s="1" t="s">
        <v>19</v>
      </c>
      <c r="I992" s="1" t="s">
        <v>573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2160</v>
      </c>
      <c r="E993" s="1"/>
      <c r="F993" s="1" t="s">
        <v>2161</v>
      </c>
      <c r="G993" s="1">
        <v>36</v>
      </c>
      <c r="H993" s="1" t="s">
        <v>19</v>
      </c>
      <c r="I993" s="1" t="s">
        <v>425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2160</v>
      </c>
      <c r="E994" s="1"/>
      <c r="F994" s="1" t="s">
        <v>2162</v>
      </c>
      <c r="G994" s="1">
        <v>36</v>
      </c>
      <c r="H994" s="1" t="s">
        <v>19</v>
      </c>
      <c r="I994" s="1" t="s">
        <v>425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2160</v>
      </c>
      <c r="E995" s="1"/>
      <c r="F995" s="1" t="s">
        <v>2163</v>
      </c>
      <c r="G995" s="1">
        <v>36</v>
      </c>
      <c r="H995" s="1" t="s">
        <v>19</v>
      </c>
      <c r="I995" s="1" t="s">
        <v>425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2160</v>
      </c>
      <c r="E996" s="1"/>
      <c r="F996" s="1" t="s">
        <v>2164</v>
      </c>
      <c r="G996" s="1">
        <v>18</v>
      </c>
      <c r="H996" s="1" t="s">
        <v>19</v>
      </c>
      <c r="I996" s="1" t="s">
        <v>425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2160</v>
      </c>
      <c r="E997" s="1"/>
      <c r="F997" s="1" t="s">
        <v>2165</v>
      </c>
      <c r="G997" s="1">
        <v>18</v>
      </c>
      <c r="H997" s="1" t="s">
        <v>19</v>
      </c>
      <c r="I997" s="1" t="s">
        <v>425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2160</v>
      </c>
      <c r="E998" s="1"/>
      <c r="F998" s="1" t="s">
        <v>2166</v>
      </c>
      <c r="G998" s="1">
        <v>18</v>
      </c>
      <c r="H998" s="1" t="s">
        <v>19</v>
      </c>
      <c r="I998" s="1" t="s">
        <v>425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2167</v>
      </c>
      <c r="E999" s="1"/>
      <c r="F999" s="1" t="s">
        <v>2168</v>
      </c>
      <c r="G999" s="1">
        <v>27</v>
      </c>
      <c r="H999" s="1" t="s">
        <v>19</v>
      </c>
      <c r="I999" s="1" t="s">
        <v>426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2167</v>
      </c>
      <c r="E1000" s="1"/>
      <c r="F1000" s="1" t="s">
        <v>2169</v>
      </c>
      <c r="G1000" s="1">
        <v>27</v>
      </c>
      <c r="H1000" s="1" t="s">
        <v>19</v>
      </c>
      <c r="I1000" s="1" t="s">
        <v>426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2167</v>
      </c>
      <c r="E1001" s="1"/>
      <c r="F1001" s="1" t="s">
        <v>2170</v>
      </c>
      <c r="G1001" s="1">
        <v>27</v>
      </c>
      <c r="H1001" s="1" t="s">
        <v>19</v>
      </c>
      <c r="I1001" s="1" t="s">
        <v>426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2171</v>
      </c>
      <c r="E1002" s="1"/>
      <c r="F1002" s="1" t="s">
        <v>2172</v>
      </c>
      <c r="G1002" s="1">
        <v>36</v>
      </c>
      <c r="H1002" s="1" t="s">
        <v>19</v>
      </c>
      <c r="I1002" s="1" t="s">
        <v>427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2171</v>
      </c>
      <c r="E1003" s="1"/>
      <c r="F1003" s="1" t="s">
        <v>2173</v>
      </c>
      <c r="G1003" s="1">
        <v>36</v>
      </c>
      <c r="H1003" s="1" t="s">
        <v>19</v>
      </c>
      <c r="I1003" s="1" t="s">
        <v>427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2171</v>
      </c>
      <c r="E1004" s="1"/>
      <c r="F1004" s="1" t="s">
        <v>2174</v>
      </c>
      <c r="G1004" s="1">
        <v>36</v>
      </c>
      <c r="H1004" s="1" t="s">
        <v>19</v>
      </c>
      <c r="I1004" s="1" t="s">
        <v>427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2175</v>
      </c>
      <c r="E1005" s="1"/>
      <c r="F1005" s="1" t="s">
        <v>2176</v>
      </c>
      <c r="G1005" s="1">
        <v>72</v>
      </c>
      <c r="H1005" s="1" t="s">
        <v>19</v>
      </c>
      <c r="I1005" s="1" t="s">
        <v>428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2175</v>
      </c>
      <c r="E1006" s="1"/>
      <c r="F1006" s="1" t="s">
        <v>2177</v>
      </c>
      <c r="G1006" s="1">
        <v>72</v>
      </c>
      <c r="H1006" s="1" t="s">
        <v>19</v>
      </c>
      <c r="I1006" s="1" t="s">
        <v>428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2175</v>
      </c>
      <c r="E1007" s="1"/>
      <c r="F1007" s="1" t="s">
        <v>2178</v>
      </c>
      <c r="G1007" s="1">
        <v>72</v>
      </c>
      <c r="H1007" s="1" t="s">
        <v>19</v>
      </c>
      <c r="I1007" s="1" t="s">
        <v>428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1082</v>
      </c>
      <c r="D1008" s="1"/>
      <c r="E1008" s="1"/>
      <c r="F1008" s="1" t="s">
        <v>1083</v>
      </c>
      <c r="G1008" s="1">
        <v>1</v>
      </c>
      <c r="H1008" s="1" t="s">
        <v>19</v>
      </c>
      <c r="I1008" s="1" t="s">
        <v>653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1082</v>
      </c>
      <c r="D1009" s="1"/>
      <c r="E1009" s="1"/>
      <c r="F1009" s="1" t="s">
        <v>1084</v>
      </c>
      <c r="G1009" s="1">
        <v>9</v>
      </c>
      <c r="H1009" s="1" t="s">
        <v>19</v>
      </c>
      <c r="I1009" s="1" t="s">
        <v>653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1082</v>
      </c>
      <c r="D1010" s="1"/>
      <c r="E1010" s="1"/>
      <c r="F1010" s="1" t="s">
        <v>1085</v>
      </c>
      <c r="G1010" s="1">
        <v>1</v>
      </c>
      <c r="H1010" s="1" t="s">
        <v>19</v>
      </c>
      <c r="I1010" s="1" t="s">
        <v>653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1798</v>
      </c>
      <c r="D1011" s="1"/>
      <c r="E1011" s="1"/>
      <c r="F1011" s="1" t="s">
        <v>2179</v>
      </c>
      <c r="G1011" s="1">
        <v>4</v>
      </c>
      <c r="H1011" s="1" t="s">
        <v>19</v>
      </c>
      <c r="I1011" s="1" t="s">
        <v>653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2180</v>
      </c>
      <c r="E1012" s="1"/>
      <c r="F1012" s="1" t="s">
        <v>2181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2180</v>
      </c>
      <c r="E1013" s="1"/>
      <c r="F1013" s="1" t="s">
        <v>2182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2180</v>
      </c>
      <c r="E1014" s="1"/>
      <c r="F1014" s="1" t="s">
        <v>2183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2180</v>
      </c>
      <c r="E1015" s="1"/>
      <c r="F1015" s="1" t="s">
        <v>2184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2185</v>
      </c>
      <c r="D1016" s="1"/>
      <c r="E1016" s="1" t="s">
        <v>2186</v>
      </c>
      <c r="F1016" s="1" t="s">
        <v>2187</v>
      </c>
      <c r="G1016" s="1">
        <v>22</v>
      </c>
      <c r="H1016" s="1" t="s">
        <v>19</v>
      </c>
      <c r="I1016" s="1" t="s">
        <v>653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2188</v>
      </c>
      <c r="D1017" s="1"/>
      <c r="E1017" s="1"/>
      <c r="F1017" s="1" t="s">
        <v>2189</v>
      </c>
      <c r="G1017" s="1">
        <v>1</v>
      </c>
      <c r="H1017" s="1" t="s">
        <v>19</v>
      </c>
      <c r="I1017" s="1" t="s">
        <v>653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589</v>
      </c>
      <c r="D1018" s="1"/>
      <c r="E1018" s="1" t="s">
        <v>1104</v>
      </c>
      <c r="F1018" s="1" t="s">
        <v>2190</v>
      </c>
      <c r="G1018" s="1">
        <v>2</v>
      </c>
      <c r="H1018" s="1" t="s">
        <v>19</v>
      </c>
      <c r="I1018" s="1" t="s">
        <v>586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186</v>
      </c>
      <c r="D1019" s="1"/>
      <c r="E1019" s="1" t="s">
        <v>2191</v>
      </c>
      <c r="F1019" s="1" t="s">
        <v>2187</v>
      </c>
      <c r="G1019" s="1">
        <v>6</v>
      </c>
      <c r="H1019" s="1" t="s">
        <v>19</v>
      </c>
      <c r="I1019" s="1" t="s">
        <v>630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960</v>
      </c>
      <c r="D1020" s="1"/>
      <c r="E1020" s="1" t="s">
        <v>2194</v>
      </c>
      <c r="F1020" s="1" t="s">
        <v>2195</v>
      </c>
      <c r="G1020" s="1">
        <v>2</v>
      </c>
      <c r="H1020" s="1" t="s">
        <v>19</v>
      </c>
      <c r="I1020" s="1" t="s">
        <v>630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960</v>
      </c>
      <c r="D1021" s="1"/>
      <c r="E1021" s="1" t="s">
        <v>2196</v>
      </c>
      <c r="F1021" s="1" t="s">
        <v>2187</v>
      </c>
      <c r="G1021" s="1">
        <v>1</v>
      </c>
      <c r="H1021" s="1" t="s">
        <v>19</v>
      </c>
      <c r="I1021" s="1" t="s">
        <v>630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2197</v>
      </c>
      <c r="E1022" s="1"/>
      <c r="F1022" s="1" t="s">
        <v>2198</v>
      </c>
      <c r="G1022" s="1">
        <v>12</v>
      </c>
      <c r="H1022" s="1" t="s">
        <v>19</v>
      </c>
      <c r="I1022" s="1" t="s">
        <v>590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2197</v>
      </c>
      <c r="E1023" s="1"/>
      <c r="F1023" s="1" t="s">
        <v>2199</v>
      </c>
      <c r="G1023" s="1">
        <v>3</v>
      </c>
      <c r="H1023" s="1" t="s">
        <v>19</v>
      </c>
      <c r="I1023" s="1" t="s">
        <v>590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2197</v>
      </c>
      <c r="E1024" s="1"/>
      <c r="F1024" s="1" t="s">
        <v>2200</v>
      </c>
      <c r="G1024" s="1">
        <v>12</v>
      </c>
      <c r="H1024" s="1" t="s">
        <v>19</v>
      </c>
      <c r="I1024" s="1" t="s">
        <v>590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2197</v>
      </c>
      <c r="E1025" s="1"/>
      <c r="F1025" s="1" t="s">
        <v>2201</v>
      </c>
      <c r="G1025" s="1">
        <v>3</v>
      </c>
      <c r="H1025" s="1" t="s">
        <v>19</v>
      </c>
      <c r="I1025" s="1" t="s">
        <v>590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2202</v>
      </c>
      <c r="D1026" s="1"/>
      <c r="E1026" s="1"/>
      <c r="F1026" s="1" t="s">
        <v>2203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2202</v>
      </c>
      <c r="D1027" s="1"/>
      <c r="E1027" s="1"/>
      <c r="F1027" s="1" t="s">
        <v>2204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2202</v>
      </c>
      <c r="D1028" s="1"/>
      <c r="E1028" s="1"/>
      <c r="F1028" s="1" t="s">
        <v>2205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2202</v>
      </c>
      <c r="D1029" s="1"/>
      <c r="E1029" s="1"/>
      <c r="F1029" s="1" t="s">
        <v>2206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2207</v>
      </c>
      <c r="D1030" s="1"/>
      <c r="E1030" s="1"/>
      <c r="F1030" s="1" t="s">
        <v>2208</v>
      </c>
      <c r="G1030" s="1">
        <v>3</v>
      </c>
      <c r="H1030" s="1" t="s">
        <v>19</v>
      </c>
      <c r="I1030" s="1" t="s">
        <v>635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2207</v>
      </c>
      <c r="D1031" s="1"/>
      <c r="E1031" s="1"/>
      <c r="F1031" s="1" t="s">
        <v>2209</v>
      </c>
      <c r="G1031" s="1">
        <v>12</v>
      </c>
      <c r="H1031" s="1" t="s">
        <v>19</v>
      </c>
      <c r="I1031" s="1" t="s">
        <v>635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2207</v>
      </c>
      <c r="D1032" s="1"/>
      <c r="E1032" s="1"/>
      <c r="F1032" s="1" t="s">
        <v>2210</v>
      </c>
      <c r="G1032" s="1">
        <v>12</v>
      </c>
      <c r="H1032" s="1" t="s">
        <v>19</v>
      </c>
      <c r="I1032" s="1" t="s">
        <v>635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2048</v>
      </c>
      <c r="D1033" s="1"/>
      <c r="E1033" s="1"/>
      <c r="F1033" s="1" t="s">
        <v>2211</v>
      </c>
      <c r="G1033" s="1">
        <v>3</v>
      </c>
      <c r="H1033" s="1" t="s">
        <v>19</v>
      </c>
      <c r="I1033" s="1" t="s">
        <v>630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2048</v>
      </c>
      <c r="D1034" s="1"/>
      <c r="E1034" s="1"/>
      <c r="F1034" s="1" t="s">
        <v>2212</v>
      </c>
      <c r="G1034" s="1">
        <v>12</v>
      </c>
      <c r="H1034" s="1" t="s">
        <v>19</v>
      </c>
      <c r="I1034" s="1" t="s">
        <v>630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2048</v>
      </c>
      <c r="D1035" s="1"/>
      <c r="E1035" s="1"/>
      <c r="F1035" s="1" t="s">
        <v>2213</v>
      </c>
      <c r="G1035" s="1">
        <v>3</v>
      </c>
      <c r="H1035" s="1" t="s">
        <v>19</v>
      </c>
      <c r="I1035" s="1" t="s">
        <v>630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2048</v>
      </c>
      <c r="D1036" s="1"/>
      <c r="E1036" s="1"/>
      <c r="F1036" s="1" t="s">
        <v>2214</v>
      </c>
      <c r="G1036" s="1">
        <v>12</v>
      </c>
      <c r="H1036" s="1" t="s">
        <v>19</v>
      </c>
      <c r="I1036" s="1" t="s">
        <v>630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2215</v>
      </c>
      <c r="D1037" s="1"/>
      <c r="E1037" s="1"/>
      <c r="F1037" s="1" t="s">
        <v>2216</v>
      </c>
      <c r="G1037" s="1">
        <v>1</v>
      </c>
      <c r="H1037" s="1" t="s">
        <v>19</v>
      </c>
      <c r="I1037" s="1" t="s">
        <v>635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2215</v>
      </c>
      <c r="D1038" s="1"/>
      <c r="E1038" s="1"/>
      <c r="F1038" s="1" t="s">
        <v>2217</v>
      </c>
      <c r="G1038" s="1">
        <v>2</v>
      </c>
      <c r="H1038" s="1" t="s">
        <v>19</v>
      </c>
      <c r="I1038" s="1" t="s">
        <v>635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2215</v>
      </c>
      <c r="D1039" s="1"/>
      <c r="E1039" s="1"/>
      <c r="F1039" s="1" t="s">
        <v>2218</v>
      </c>
      <c r="G1039" s="1">
        <v>30</v>
      </c>
      <c r="H1039" s="1" t="s">
        <v>19</v>
      </c>
      <c r="I1039" s="1" t="s">
        <v>635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2215</v>
      </c>
      <c r="D1040" s="1"/>
      <c r="E1040" s="1"/>
      <c r="F1040" s="1" t="s">
        <v>2219</v>
      </c>
      <c r="G1040" s="1">
        <v>3</v>
      </c>
      <c r="H1040" s="1" t="s">
        <v>19</v>
      </c>
      <c r="I1040" s="1" t="s">
        <v>635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2215</v>
      </c>
      <c r="D1041" s="1"/>
      <c r="E1041" s="1"/>
      <c r="F1041" s="1" t="s">
        <v>2220</v>
      </c>
      <c r="G1041" s="1">
        <v>6</v>
      </c>
      <c r="H1041" s="1" t="s">
        <v>1106</v>
      </c>
      <c r="I1041" s="1" t="s">
        <v>635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2215</v>
      </c>
      <c r="D1042" s="1"/>
      <c r="E1042" s="1"/>
      <c r="F1042" s="1" t="s">
        <v>2221</v>
      </c>
      <c r="G1042" s="1">
        <v>8</v>
      </c>
      <c r="H1042" s="1" t="s">
        <v>19</v>
      </c>
      <c r="I1042" s="1" t="s">
        <v>635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2215</v>
      </c>
      <c r="D1043" s="1"/>
      <c r="E1043" s="1"/>
      <c r="F1043" s="1" t="s">
        <v>2222</v>
      </c>
      <c r="G1043" s="1">
        <v>2</v>
      </c>
      <c r="H1043" s="1" t="s">
        <v>19</v>
      </c>
      <c r="I1043" s="1" t="s">
        <v>635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2215</v>
      </c>
      <c r="D1044" s="1"/>
      <c r="E1044" s="1"/>
      <c r="F1044" s="1" t="s">
        <v>2223</v>
      </c>
      <c r="G1044" s="1">
        <v>2</v>
      </c>
      <c r="H1044" s="1" t="s">
        <v>19</v>
      </c>
      <c r="I1044" s="1" t="s">
        <v>635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2215</v>
      </c>
      <c r="D1045" s="1"/>
      <c r="E1045" s="1"/>
      <c r="F1045" s="1" t="s">
        <v>2224</v>
      </c>
      <c r="G1045" s="1">
        <v>8</v>
      </c>
      <c r="H1045" s="1" t="s">
        <v>19</v>
      </c>
      <c r="I1045" s="1" t="s">
        <v>635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2215</v>
      </c>
      <c r="D1046" s="1"/>
      <c r="E1046" s="1"/>
      <c r="F1046" s="1" t="s">
        <v>2225</v>
      </c>
      <c r="G1046" s="1">
        <v>2</v>
      </c>
      <c r="H1046" s="1" t="s">
        <v>19</v>
      </c>
      <c r="I1046" s="1" t="s">
        <v>635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2215</v>
      </c>
      <c r="D1047" s="1"/>
      <c r="E1047" s="1"/>
      <c r="F1047" s="1" t="s">
        <v>2226</v>
      </c>
      <c r="G1047" s="1">
        <v>2</v>
      </c>
      <c r="H1047" s="1" t="s">
        <v>19</v>
      </c>
      <c r="I1047" s="1" t="s">
        <v>635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2215</v>
      </c>
      <c r="D1048" s="1"/>
      <c r="E1048" s="1"/>
      <c r="F1048" s="1" t="s">
        <v>2227</v>
      </c>
      <c r="G1048" s="1">
        <v>3</v>
      </c>
      <c r="H1048" s="1" t="s">
        <v>19</v>
      </c>
      <c r="I1048" s="1" t="s">
        <v>635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2215</v>
      </c>
      <c r="D1049" s="1"/>
      <c r="E1049" s="1"/>
      <c r="F1049" s="1" t="s">
        <v>2228</v>
      </c>
      <c r="G1049" s="1">
        <v>3</v>
      </c>
      <c r="H1049" s="1" t="s">
        <v>19</v>
      </c>
      <c r="I1049" s="1" t="s">
        <v>635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2215</v>
      </c>
      <c r="D1050" s="1"/>
      <c r="E1050" s="1"/>
      <c r="F1050" s="1" t="s">
        <v>2229</v>
      </c>
      <c r="G1050" s="1">
        <v>2</v>
      </c>
      <c r="H1050" s="1" t="s">
        <v>19</v>
      </c>
      <c r="I1050" s="1" t="s">
        <v>635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2215</v>
      </c>
      <c r="D1051" s="1"/>
      <c r="E1051" s="1"/>
      <c r="F1051" s="1" t="s">
        <v>2230</v>
      </c>
      <c r="G1051" s="1">
        <v>8</v>
      </c>
      <c r="H1051" s="1" t="s">
        <v>19</v>
      </c>
      <c r="I1051" s="1" t="s">
        <v>635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2215</v>
      </c>
      <c r="D1052" s="1"/>
      <c r="E1052" s="1"/>
      <c r="F1052" s="1" t="s">
        <v>2231</v>
      </c>
      <c r="G1052" s="1">
        <v>2</v>
      </c>
      <c r="H1052" s="1" t="s">
        <v>19</v>
      </c>
      <c r="I1052" s="1" t="s">
        <v>635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2215</v>
      </c>
      <c r="D1053" s="1"/>
      <c r="E1053" s="1"/>
      <c r="F1053" s="1" t="s">
        <v>2232</v>
      </c>
      <c r="G1053" s="1">
        <v>3</v>
      </c>
      <c r="H1053" s="1" t="s">
        <v>19</v>
      </c>
      <c r="I1053" s="1" t="s">
        <v>635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2197</v>
      </c>
      <c r="D1054" s="1"/>
      <c r="E1054" s="1"/>
      <c r="F1054" s="1" t="s">
        <v>2233</v>
      </c>
      <c r="G1054" s="1">
        <v>1</v>
      </c>
      <c r="H1054" s="1" t="s">
        <v>19</v>
      </c>
      <c r="I1054" s="1" t="s">
        <v>590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2197</v>
      </c>
      <c r="D1055" s="1"/>
      <c r="E1055" s="1"/>
      <c r="F1055" s="1" t="s">
        <v>2234</v>
      </c>
      <c r="G1055" s="1">
        <v>2</v>
      </c>
      <c r="H1055" s="1" t="s">
        <v>19</v>
      </c>
      <c r="I1055" s="1" t="s">
        <v>590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2197</v>
      </c>
      <c r="D1056" s="1"/>
      <c r="E1056" s="1"/>
      <c r="F1056" s="1" t="s">
        <v>2235</v>
      </c>
      <c r="G1056" s="1">
        <v>3</v>
      </c>
      <c r="H1056" s="1" t="s">
        <v>19</v>
      </c>
      <c r="I1056" s="1" t="s">
        <v>590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2197</v>
      </c>
      <c r="D1057" s="1"/>
      <c r="E1057" s="1"/>
      <c r="F1057" s="1" t="s">
        <v>2236</v>
      </c>
      <c r="G1057" s="1">
        <v>6</v>
      </c>
      <c r="H1057" s="1" t="s">
        <v>1106</v>
      </c>
      <c r="I1057" s="1" t="s">
        <v>590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2197</v>
      </c>
      <c r="D1058" s="1"/>
      <c r="E1058" s="1"/>
      <c r="F1058" s="1" t="s">
        <v>2237</v>
      </c>
      <c r="G1058" s="1">
        <v>1</v>
      </c>
      <c r="H1058" s="1" t="s">
        <v>19</v>
      </c>
      <c r="I1058" s="1" t="s">
        <v>590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2197</v>
      </c>
      <c r="D1059" s="1"/>
      <c r="E1059" s="1"/>
      <c r="F1059" s="1" t="s">
        <v>2238</v>
      </c>
      <c r="G1059" s="1">
        <v>8</v>
      </c>
      <c r="H1059" s="1" t="s">
        <v>19</v>
      </c>
      <c r="I1059" s="1" t="s">
        <v>590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2197</v>
      </c>
      <c r="D1060" s="1"/>
      <c r="E1060" s="1"/>
      <c r="F1060" s="1" t="s">
        <v>2239</v>
      </c>
      <c r="G1060" s="1">
        <v>2</v>
      </c>
      <c r="H1060" s="1" t="s">
        <v>19</v>
      </c>
      <c r="I1060" s="1" t="s">
        <v>590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2197</v>
      </c>
      <c r="D1061" s="1"/>
      <c r="E1061" s="1"/>
      <c r="F1061" s="1" t="s">
        <v>2240</v>
      </c>
      <c r="G1061" s="1">
        <v>2</v>
      </c>
      <c r="H1061" s="1" t="s">
        <v>19</v>
      </c>
      <c r="I1061" s="1" t="s">
        <v>590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2197</v>
      </c>
      <c r="D1062" s="1"/>
      <c r="E1062" s="1"/>
      <c r="F1062" s="1" t="s">
        <v>2241</v>
      </c>
      <c r="G1062" s="1">
        <v>2</v>
      </c>
      <c r="H1062" s="1" t="s">
        <v>19</v>
      </c>
      <c r="I1062" s="1" t="s">
        <v>590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2197</v>
      </c>
      <c r="D1063" s="1"/>
      <c r="E1063" s="1"/>
      <c r="F1063" s="1" t="s">
        <v>2242</v>
      </c>
      <c r="G1063" s="1">
        <v>2</v>
      </c>
      <c r="H1063" s="1" t="s">
        <v>19</v>
      </c>
      <c r="I1063" s="1" t="s">
        <v>590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2197</v>
      </c>
      <c r="D1064" s="1"/>
      <c r="E1064" s="1"/>
      <c r="F1064" s="1" t="s">
        <v>2243</v>
      </c>
      <c r="G1064" s="1">
        <v>3</v>
      </c>
      <c r="H1064" s="1" t="s">
        <v>19</v>
      </c>
      <c r="I1064" s="1" t="s">
        <v>590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2197</v>
      </c>
      <c r="D1065" s="1"/>
      <c r="E1065" s="1"/>
      <c r="F1065" s="1" t="s">
        <v>2244</v>
      </c>
      <c r="G1065" s="1">
        <v>3</v>
      </c>
      <c r="H1065" s="1" t="s">
        <v>19</v>
      </c>
      <c r="I1065" s="1" t="s">
        <v>590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2197</v>
      </c>
      <c r="D1066" s="1"/>
      <c r="E1066" s="1"/>
      <c r="F1066" s="1" t="s">
        <v>2245</v>
      </c>
      <c r="G1066" s="1">
        <v>8</v>
      </c>
      <c r="H1066" s="1" t="s">
        <v>19</v>
      </c>
      <c r="I1066" s="1" t="s">
        <v>590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2197</v>
      </c>
      <c r="D1067" s="1"/>
      <c r="E1067" s="1"/>
      <c r="F1067" s="1" t="s">
        <v>2246</v>
      </c>
      <c r="G1067" s="1">
        <v>2</v>
      </c>
      <c r="H1067" s="1" t="s">
        <v>19</v>
      </c>
      <c r="I1067" s="1" t="s">
        <v>590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2197</v>
      </c>
      <c r="D1068" s="1"/>
      <c r="E1068" s="1"/>
      <c r="F1068" s="1" t="s">
        <v>2247</v>
      </c>
      <c r="G1068" s="1">
        <v>8</v>
      </c>
      <c r="H1068" s="1" t="s">
        <v>19</v>
      </c>
      <c r="I1068" s="1" t="s">
        <v>590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2197</v>
      </c>
      <c r="D1069" s="1"/>
      <c r="E1069" s="1"/>
      <c r="F1069" s="1" t="s">
        <v>2248</v>
      </c>
      <c r="G1069" s="1">
        <v>2</v>
      </c>
      <c r="H1069" s="1" t="s">
        <v>19</v>
      </c>
      <c r="I1069" s="1" t="s">
        <v>590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2197</v>
      </c>
      <c r="D1070" s="1"/>
      <c r="E1070" s="1"/>
      <c r="F1070" s="1" t="s">
        <v>2249</v>
      </c>
      <c r="G1070" s="1">
        <v>3</v>
      </c>
      <c r="H1070" s="1" t="s">
        <v>19</v>
      </c>
      <c r="I1070" s="1" t="s">
        <v>590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2197</v>
      </c>
      <c r="D1071" s="1"/>
      <c r="E1071" s="1"/>
      <c r="F1071" s="1" t="s">
        <v>2233</v>
      </c>
      <c r="G1071" s="1">
        <v>1</v>
      </c>
      <c r="H1071" s="1" t="s">
        <v>19</v>
      </c>
      <c r="I1071" s="1" t="s">
        <v>590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2197</v>
      </c>
      <c r="D1072" s="1"/>
      <c r="E1072" s="1"/>
      <c r="F1072" s="1" t="s">
        <v>2234</v>
      </c>
      <c r="G1072" s="1">
        <v>2</v>
      </c>
      <c r="H1072" s="1" t="s">
        <v>19</v>
      </c>
      <c r="I1072" s="1" t="s">
        <v>590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2197</v>
      </c>
      <c r="D1073" s="1"/>
      <c r="E1073" s="1"/>
      <c r="F1073" s="1" t="s">
        <v>2235</v>
      </c>
      <c r="G1073" s="1">
        <v>3</v>
      </c>
      <c r="H1073" s="1" t="s">
        <v>19</v>
      </c>
      <c r="I1073" s="1" t="s">
        <v>590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2197</v>
      </c>
      <c r="D1074" s="1"/>
      <c r="E1074" s="1"/>
      <c r="F1074" s="1" t="s">
        <v>2236</v>
      </c>
      <c r="G1074" s="1">
        <v>6</v>
      </c>
      <c r="H1074" s="1" t="s">
        <v>1106</v>
      </c>
      <c r="I1074" s="1" t="s">
        <v>590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2197</v>
      </c>
      <c r="D1075" s="1"/>
      <c r="E1075" s="1"/>
      <c r="F1075" s="1" t="s">
        <v>2237</v>
      </c>
      <c r="G1075" s="1">
        <v>1</v>
      </c>
      <c r="H1075" s="1" t="s">
        <v>19</v>
      </c>
      <c r="I1075" s="1" t="s">
        <v>590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2197</v>
      </c>
      <c r="D1076" s="1"/>
      <c r="E1076" s="1"/>
      <c r="F1076" s="1" t="s">
        <v>2238</v>
      </c>
      <c r="G1076" s="1">
        <v>8</v>
      </c>
      <c r="H1076" s="1" t="s">
        <v>19</v>
      </c>
      <c r="I1076" s="1" t="s">
        <v>590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2197</v>
      </c>
      <c r="D1077" s="1"/>
      <c r="E1077" s="1"/>
      <c r="F1077" s="1" t="s">
        <v>2239</v>
      </c>
      <c r="G1077" s="1">
        <v>2</v>
      </c>
      <c r="H1077" s="1" t="s">
        <v>19</v>
      </c>
      <c r="I1077" s="1" t="s">
        <v>590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2197</v>
      </c>
      <c r="D1078" s="1"/>
      <c r="E1078" s="1"/>
      <c r="F1078" s="1" t="s">
        <v>2240</v>
      </c>
      <c r="G1078" s="1">
        <v>2</v>
      </c>
      <c r="H1078" s="1" t="s">
        <v>19</v>
      </c>
      <c r="I1078" s="1" t="s">
        <v>590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2197</v>
      </c>
      <c r="D1079" s="1"/>
      <c r="E1079" s="1"/>
      <c r="F1079" s="1" t="s">
        <v>2241</v>
      </c>
      <c r="G1079" s="1">
        <v>2</v>
      </c>
      <c r="H1079" s="1" t="s">
        <v>19</v>
      </c>
      <c r="I1079" s="1" t="s">
        <v>590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2197</v>
      </c>
      <c r="D1080" s="1"/>
      <c r="E1080" s="1"/>
      <c r="F1080" s="1" t="s">
        <v>2242</v>
      </c>
      <c r="G1080" s="1">
        <v>2</v>
      </c>
      <c r="H1080" s="1" t="s">
        <v>19</v>
      </c>
      <c r="I1080" s="1" t="s">
        <v>590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2197</v>
      </c>
      <c r="D1081" s="1"/>
      <c r="E1081" s="1"/>
      <c r="F1081" s="1" t="s">
        <v>2243</v>
      </c>
      <c r="G1081" s="1">
        <v>3</v>
      </c>
      <c r="H1081" s="1" t="s">
        <v>19</v>
      </c>
      <c r="I1081" s="1" t="s">
        <v>590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2197</v>
      </c>
      <c r="D1082" s="1"/>
      <c r="E1082" s="1"/>
      <c r="F1082" s="1" t="s">
        <v>2244</v>
      </c>
      <c r="G1082" s="1">
        <v>3</v>
      </c>
      <c r="H1082" s="1" t="s">
        <v>19</v>
      </c>
      <c r="I1082" s="1" t="s">
        <v>590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2197</v>
      </c>
      <c r="D1083" s="1"/>
      <c r="E1083" s="1"/>
      <c r="F1083" s="1" t="s">
        <v>2245</v>
      </c>
      <c r="G1083" s="1">
        <v>8</v>
      </c>
      <c r="H1083" s="1" t="s">
        <v>19</v>
      </c>
      <c r="I1083" s="1" t="s">
        <v>590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2197</v>
      </c>
      <c r="D1084" s="1"/>
      <c r="E1084" s="1"/>
      <c r="F1084" s="1" t="s">
        <v>2250</v>
      </c>
      <c r="G1084" s="1">
        <v>2</v>
      </c>
      <c r="H1084" s="1" t="s">
        <v>19</v>
      </c>
      <c r="I1084" s="1" t="s">
        <v>590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2197</v>
      </c>
      <c r="D1085" s="1"/>
      <c r="E1085" s="1"/>
      <c r="F1085" s="1" t="s">
        <v>2247</v>
      </c>
      <c r="G1085" s="1">
        <v>8</v>
      </c>
      <c r="H1085" s="1" t="s">
        <v>19</v>
      </c>
      <c r="I1085" s="1" t="s">
        <v>590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2197</v>
      </c>
      <c r="D1086" s="1"/>
      <c r="E1086" s="1"/>
      <c r="F1086" s="1" t="s">
        <v>2248</v>
      </c>
      <c r="G1086" s="1">
        <v>2</v>
      </c>
      <c r="H1086" s="1" t="s">
        <v>19</v>
      </c>
      <c r="I1086" s="1" t="s">
        <v>590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2197</v>
      </c>
      <c r="D1087" s="1"/>
      <c r="E1087" s="1"/>
      <c r="F1087" s="1" t="s">
        <v>2249</v>
      </c>
      <c r="G1087" s="1">
        <v>3</v>
      </c>
      <c r="H1087" s="1" t="s">
        <v>19</v>
      </c>
      <c r="I1087" s="1" t="s">
        <v>590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2251</v>
      </c>
      <c r="D1088" s="1"/>
      <c r="E1088" s="1"/>
      <c r="F1088" s="1" t="s">
        <v>2252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2251</v>
      </c>
      <c r="D1089" s="1"/>
      <c r="E1089" s="1"/>
      <c r="F1089" s="1" t="s">
        <v>2253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2251</v>
      </c>
      <c r="D1090" s="1"/>
      <c r="E1090" s="1"/>
      <c r="F1090" s="1" t="s">
        <v>2254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2251</v>
      </c>
      <c r="D1091" s="1"/>
      <c r="E1091" s="1"/>
      <c r="F1091" s="1" t="s">
        <v>2255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2251</v>
      </c>
      <c r="D1092" s="1"/>
      <c r="E1092" s="1"/>
      <c r="F1092" s="1" t="s">
        <v>2256</v>
      </c>
      <c r="G1092" s="1">
        <v>6</v>
      </c>
      <c r="H1092" s="1" t="s">
        <v>1106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2251</v>
      </c>
      <c r="D1093" s="1"/>
      <c r="E1093" s="1"/>
      <c r="F1093" s="1" t="s">
        <v>2257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2251</v>
      </c>
      <c r="D1094" s="1"/>
      <c r="E1094" s="1"/>
      <c r="F1094" s="1" t="s">
        <v>2258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2251</v>
      </c>
      <c r="D1095" s="1"/>
      <c r="E1095" s="1"/>
      <c r="F1095" s="1" t="s">
        <v>2259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2251</v>
      </c>
      <c r="D1096" s="1"/>
      <c r="E1096" s="1"/>
      <c r="F1096" s="1" t="s">
        <v>2260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2251</v>
      </c>
      <c r="D1097" s="1"/>
      <c r="E1097" s="1"/>
      <c r="F1097" s="1" t="s">
        <v>2261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2251</v>
      </c>
      <c r="D1098" s="1"/>
      <c r="E1098" s="1"/>
      <c r="F1098" s="1" t="s">
        <v>2262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2251</v>
      </c>
      <c r="D1099" s="1"/>
      <c r="E1099" s="1"/>
      <c r="F1099" s="1" t="s">
        <v>2263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2251</v>
      </c>
      <c r="D1100" s="1"/>
      <c r="E1100" s="1"/>
      <c r="F1100" s="1" t="s">
        <v>2264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2251</v>
      </c>
      <c r="D1101" s="1"/>
      <c r="E1101" s="1"/>
      <c r="F1101" s="1" t="s">
        <v>2265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2251</v>
      </c>
      <c r="D1102" s="1"/>
      <c r="E1102" s="1"/>
      <c r="F1102" s="1" t="s">
        <v>2266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2251</v>
      </c>
      <c r="D1103" s="1"/>
      <c r="E1103" s="1"/>
      <c r="F1103" s="1" t="s">
        <v>2267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939</v>
      </c>
      <c r="D1104" s="1"/>
      <c r="E1104" s="1"/>
      <c r="F1104" s="1" t="s">
        <v>2268</v>
      </c>
      <c r="G1104" s="1">
        <v>1</v>
      </c>
      <c r="H1104" s="1" t="s">
        <v>19</v>
      </c>
      <c r="I1104" s="1" t="s">
        <v>630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939</v>
      </c>
      <c r="D1105" s="1"/>
      <c r="E1105" s="1"/>
      <c r="F1105" s="1" t="s">
        <v>2269</v>
      </c>
      <c r="G1105" s="1">
        <v>1</v>
      </c>
      <c r="H1105" s="1" t="s">
        <v>19</v>
      </c>
      <c r="I1105" s="1" t="s">
        <v>630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939</v>
      </c>
      <c r="D1106" s="1"/>
      <c r="E1106" s="1"/>
      <c r="F1106" s="1" t="s">
        <v>2270</v>
      </c>
      <c r="G1106" s="1">
        <v>1</v>
      </c>
      <c r="H1106" s="1" t="s">
        <v>19</v>
      </c>
      <c r="I1106" s="1" t="s">
        <v>630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2188</v>
      </c>
      <c r="D1107" s="1"/>
      <c r="E1107" s="1"/>
      <c r="F1107" s="1" t="s">
        <v>2271</v>
      </c>
      <c r="G1107" s="1">
        <v>4</v>
      </c>
      <c r="H1107" s="1" t="s">
        <v>19</v>
      </c>
      <c r="I1107" s="1" t="s">
        <v>2272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1294</v>
      </c>
      <c r="D1108" s="1"/>
      <c r="E1108" s="1" t="s">
        <v>2</v>
      </c>
      <c r="F1108" s="1" t="s">
        <v>1295</v>
      </c>
      <c r="G1108" s="1">
        <v>51</v>
      </c>
      <c r="H1108" s="1" t="s">
        <v>19</v>
      </c>
      <c r="I1108" s="1" t="s">
        <v>1296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1299</v>
      </c>
      <c r="D1109" s="1"/>
      <c r="E1109" s="1" t="s">
        <v>2</v>
      </c>
      <c r="F1109" s="1" t="s">
        <v>1300</v>
      </c>
      <c r="G1109" s="1">
        <v>108</v>
      </c>
      <c r="H1109" s="1" t="s">
        <v>19</v>
      </c>
      <c r="I1109" s="1" t="s">
        <v>1302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1299</v>
      </c>
      <c r="D1110" s="1"/>
      <c r="E1110" s="1" t="s">
        <v>2</v>
      </c>
      <c r="F1110" s="1" t="s">
        <v>1300</v>
      </c>
      <c r="G1110" s="1">
        <v>30</v>
      </c>
      <c r="H1110" s="1" t="s">
        <v>19</v>
      </c>
      <c r="I1110" s="1" t="s">
        <v>1301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1299</v>
      </c>
      <c r="D1111" s="1"/>
      <c r="E1111" s="1" t="s">
        <v>2</v>
      </c>
      <c r="F1111" s="1" t="s">
        <v>1300</v>
      </c>
      <c r="G1111" s="1">
        <v>64</v>
      </c>
      <c r="H1111" s="1" t="s">
        <v>19</v>
      </c>
      <c r="I1111" s="1" t="s">
        <v>1301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2292</v>
      </c>
      <c r="D1112" s="1"/>
      <c r="E1112" s="1"/>
      <c r="F1112" s="1" t="s">
        <v>2293</v>
      </c>
      <c r="G1112" s="1">
        <v>1360</v>
      </c>
      <c r="H1112" s="1" t="s">
        <v>19</v>
      </c>
      <c r="I1112" s="1" t="s">
        <v>2294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2292</v>
      </c>
      <c r="D1113" s="1"/>
      <c r="E1113" s="1"/>
      <c r="F1113" s="1" t="s">
        <v>2295</v>
      </c>
      <c r="G1113" s="1">
        <v>840</v>
      </c>
      <c r="H1113" s="1" t="s">
        <v>19</v>
      </c>
      <c r="I1113" s="1" t="s">
        <v>2296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2292</v>
      </c>
      <c r="D1114" s="1"/>
      <c r="E1114" s="1"/>
      <c r="F1114" s="1" t="s">
        <v>2297</v>
      </c>
      <c r="G1114" s="1">
        <v>1360</v>
      </c>
      <c r="H1114" s="1" t="s">
        <v>19</v>
      </c>
      <c r="I1114" s="1" t="s">
        <v>2294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2292</v>
      </c>
      <c r="D1115" s="1"/>
      <c r="E1115" s="1"/>
      <c r="F1115" s="1" t="s">
        <v>2298</v>
      </c>
      <c r="G1115" s="1">
        <v>840</v>
      </c>
      <c r="H1115" s="1" t="s">
        <v>19</v>
      </c>
      <c r="I1115" s="1" t="s">
        <v>2296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2292</v>
      </c>
      <c r="D1116" s="1"/>
      <c r="E1116" s="1"/>
      <c r="F1116" s="1" t="s">
        <v>2299</v>
      </c>
      <c r="G1116" s="1">
        <v>840</v>
      </c>
      <c r="H1116" s="1" t="s">
        <v>19</v>
      </c>
      <c r="I1116" s="1" t="s">
        <v>2296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2292</v>
      </c>
      <c r="D1117" s="1"/>
      <c r="E1117" s="1"/>
      <c r="F1117" s="1" t="s">
        <v>2300</v>
      </c>
      <c r="G1117" s="1">
        <v>1360</v>
      </c>
      <c r="H1117" s="1" t="s">
        <v>19</v>
      </c>
      <c r="I1117" s="1" t="s">
        <v>2301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1362</v>
      </c>
      <c r="D1118" s="1"/>
      <c r="E1118" s="1"/>
      <c r="F1118" s="1" t="s">
        <v>2302</v>
      </c>
      <c r="G1118" s="1">
        <v>1</v>
      </c>
      <c r="H1118" s="1" t="s">
        <v>19</v>
      </c>
      <c r="I1118" s="1" t="s">
        <v>1301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1362</v>
      </c>
      <c r="D1119" s="1"/>
      <c r="E1119" s="1"/>
      <c r="F1119" s="1" t="s">
        <v>2303</v>
      </c>
      <c r="G1119" s="1">
        <v>1</v>
      </c>
      <c r="H1119" s="1" t="s">
        <v>19</v>
      </c>
      <c r="I1119" s="1" t="s">
        <v>1301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1362</v>
      </c>
      <c r="D1120" s="1"/>
      <c r="E1120" s="1"/>
      <c r="F1120" s="1" t="s">
        <v>2302</v>
      </c>
      <c r="G1120" s="1">
        <v>1</v>
      </c>
      <c r="H1120" s="1" t="s">
        <v>19</v>
      </c>
      <c r="I1120" s="1" t="s">
        <v>1296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1362</v>
      </c>
      <c r="D1121" s="1"/>
      <c r="E1121" s="1"/>
      <c r="F1121" s="1" t="s">
        <v>2303</v>
      </c>
      <c r="G1121" s="1">
        <v>1</v>
      </c>
      <c r="H1121" s="1" t="s">
        <v>19</v>
      </c>
      <c r="I1121" s="1" t="s">
        <v>1296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1362</v>
      </c>
      <c r="D1122" s="1"/>
      <c r="E1122" s="1"/>
      <c r="F1122" s="1" t="s">
        <v>2302</v>
      </c>
      <c r="G1122" s="1">
        <v>1</v>
      </c>
      <c r="H1122" s="1" t="s">
        <v>19</v>
      </c>
      <c r="I1122" s="1" t="s">
        <v>1302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1362</v>
      </c>
      <c r="D1123" s="1"/>
      <c r="E1123" s="1"/>
      <c r="F1123" s="1" t="s">
        <v>2303</v>
      </c>
      <c r="G1123" s="1">
        <v>1</v>
      </c>
      <c r="H1123" s="1" t="s">
        <v>19</v>
      </c>
      <c r="I1123" s="1" t="s">
        <v>1302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1362</v>
      </c>
      <c r="D1124" s="1"/>
      <c r="E1124" s="1"/>
      <c r="F1124" s="1" t="s">
        <v>2302</v>
      </c>
      <c r="G1124" s="1">
        <v>1</v>
      </c>
      <c r="H1124" s="1" t="s">
        <v>19</v>
      </c>
      <c r="I1124" s="1" t="s">
        <v>1291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1362</v>
      </c>
      <c r="D1125" s="1"/>
      <c r="E1125" s="1"/>
      <c r="F1125" s="1" t="s">
        <v>2303</v>
      </c>
      <c r="G1125" s="1">
        <v>1</v>
      </c>
      <c r="H1125" s="1" t="s">
        <v>19</v>
      </c>
      <c r="I1125" s="1" t="s">
        <v>1291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2304</v>
      </c>
      <c r="D1126" s="1"/>
      <c r="E1126" s="1"/>
      <c r="F1126" s="1" t="s">
        <v>2305</v>
      </c>
      <c r="G1126" s="1">
        <v>1</v>
      </c>
      <c r="H1126" s="1" t="s">
        <v>19</v>
      </c>
      <c r="I1126" s="1" t="s">
        <v>1301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2304</v>
      </c>
      <c r="D1127" s="1"/>
      <c r="E1127" s="1"/>
      <c r="F1127" s="1" t="s">
        <v>2306</v>
      </c>
      <c r="G1127" s="1">
        <v>1</v>
      </c>
      <c r="H1127" s="1" t="s">
        <v>19</v>
      </c>
      <c r="I1127" s="1" t="s">
        <v>1291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2304</v>
      </c>
      <c r="D1128" s="1"/>
      <c r="E1128" s="1"/>
      <c r="F1128" s="1" t="s">
        <v>2307</v>
      </c>
      <c r="G1128" s="1">
        <v>1</v>
      </c>
      <c r="H1128" s="1" t="s">
        <v>19</v>
      </c>
      <c r="I1128" s="1" t="s">
        <v>1296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2304</v>
      </c>
      <c r="D1129" s="1"/>
      <c r="E1129" s="1"/>
      <c r="F1129" s="1" t="s">
        <v>2308</v>
      </c>
      <c r="G1129" s="1">
        <v>1</v>
      </c>
      <c r="H1129" s="1" t="s">
        <v>19</v>
      </c>
      <c r="I1129" s="1" t="s">
        <v>1302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1219</v>
      </c>
      <c r="D1130" s="1"/>
      <c r="E1130" s="1" t="s">
        <v>44</v>
      </c>
      <c r="F1130" s="1" t="s">
        <v>2309</v>
      </c>
      <c r="G1130" s="1">
        <v>2</v>
      </c>
      <c r="H1130" s="1" t="s">
        <v>19</v>
      </c>
      <c r="I1130" s="1" t="s">
        <v>425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2315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1164</v>
      </c>
      <c r="D1132" s="1"/>
      <c r="E1132" s="1" t="s">
        <v>465</v>
      </c>
      <c r="F1132" s="1" t="s">
        <v>2316</v>
      </c>
      <c r="G1132" s="1">
        <v>1</v>
      </c>
      <c r="H1132" s="1" t="s">
        <v>19</v>
      </c>
      <c r="I1132" s="1" t="s">
        <v>424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1164</v>
      </c>
      <c r="D1133" s="1"/>
      <c r="E1133" s="1" t="s">
        <v>1104</v>
      </c>
      <c r="F1133" s="1" t="s">
        <v>2317</v>
      </c>
      <c r="G1133" s="1">
        <v>2</v>
      </c>
      <c r="H1133" s="1" t="s">
        <v>19</v>
      </c>
      <c r="I1133" s="1" t="s">
        <v>424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2318</v>
      </c>
      <c r="D1134" s="1"/>
      <c r="E1134" s="1"/>
      <c r="F1134" s="1" t="s">
        <v>2319</v>
      </c>
      <c r="G1134" s="1">
        <v>1</v>
      </c>
      <c r="H1134" s="1" t="s">
        <v>19</v>
      </c>
      <c r="I1134" s="1" t="s">
        <v>2318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2320</v>
      </c>
      <c r="D1135" s="1"/>
      <c r="E1135" s="1"/>
      <c r="F1135" s="1" t="s">
        <v>2321</v>
      </c>
      <c r="G1135" s="1">
        <v>1</v>
      </c>
      <c r="H1135" s="1" t="s">
        <v>19</v>
      </c>
      <c r="I1135" s="1" t="s">
        <v>2320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2322</v>
      </c>
      <c r="D1136" s="1"/>
      <c r="E1136" s="1"/>
      <c r="F1136" s="1" t="s">
        <v>2323</v>
      </c>
      <c r="G1136" s="1">
        <v>1</v>
      </c>
      <c r="H1136" s="1" t="s">
        <v>19</v>
      </c>
      <c r="I1136" s="1" t="s">
        <v>2322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2324</v>
      </c>
      <c r="D1137" s="1"/>
      <c r="E1137" s="1"/>
      <c r="F1137" s="1" t="s">
        <v>2325</v>
      </c>
      <c r="G1137" s="1">
        <v>1</v>
      </c>
      <c r="H1137" s="1" t="s">
        <v>19</v>
      </c>
      <c r="I1137" s="1" t="s">
        <v>2324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2326</v>
      </c>
      <c r="D1138" s="1"/>
      <c r="E1138" s="1"/>
      <c r="F1138" s="1" t="s">
        <v>2327</v>
      </c>
      <c r="G1138" s="1">
        <v>1</v>
      </c>
      <c r="H1138" s="1" t="s">
        <v>19</v>
      </c>
      <c r="I1138" s="1" t="s">
        <v>2326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2084</v>
      </c>
      <c r="D1139" s="1"/>
      <c r="E1139" s="1"/>
      <c r="F1139" s="1" t="s">
        <v>2328</v>
      </c>
      <c r="G1139" s="1">
        <v>35</v>
      </c>
      <c r="H1139" s="1" t="s">
        <v>1254</v>
      </c>
      <c r="I1139" s="1" t="s">
        <v>2329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2084</v>
      </c>
      <c r="D1140" s="1"/>
      <c r="E1140" s="1"/>
      <c r="F1140" s="1" t="s">
        <v>2330</v>
      </c>
      <c r="G1140" s="1">
        <v>38</v>
      </c>
      <c r="H1140" s="1" t="s">
        <v>1254</v>
      </c>
      <c r="I1140" s="1" t="s">
        <v>2329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2084</v>
      </c>
      <c r="D1141" s="1"/>
      <c r="E1141" s="1"/>
      <c r="F1141" s="1" t="s">
        <v>2331</v>
      </c>
      <c r="G1141" s="1">
        <v>2</v>
      </c>
      <c r="H1141" s="1" t="s">
        <v>19</v>
      </c>
      <c r="I1141" s="1" t="s">
        <v>2329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2084</v>
      </c>
      <c r="D1142" s="1"/>
      <c r="E1142" s="1"/>
      <c r="F1142" s="1" t="s">
        <v>2332</v>
      </c>
      <c r="G1142" s="1">
        <v>6</v>
      </c>
      <c r="H1142" s="1" t="s">
        <v>1254</v>
      </c>
      <c r="I1142" s="1" t="s">
        <v>2329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2084</v>
      </c>
      <c r="D1143" s="1"/>
      <c r="E1143" s="1"/>
      <c r="F1143" s="1" t="s">
        <v>2333</v>
      </c>
      <c r="G1143" s="1">
        <v>3</v>
      </c>
      <c r="H1143" s="1" t="s">
        <v>1254</v>
      </c>
      <c r="I1143" s="1" t="s">
        <v>2329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2084</v>
      </c>
      <c r="D1144" s="1"/>
      <c r="E1144" s="1"/>
      <c r="F1144" s="1" t="s">
        <v>2334</v>
      </c>
      <c r="G1144" s="1">
        <v>18</v>
      </c>
      <c r="H1144" s="1" t="s">
        <v>19</v>
      </c>
      <c r="I1144" s="1" t="s">
        <v>2329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2084</v>
      </c>
      <c r="D1145" s="1"/>
      <c r="E1145" s="1"/>
      <c r="F1145" s="1" t="s">
        <v>2335</v>
      </c>
      <c r="G1145" s="1">
        <v>10</v>
      </c>
      <c r="H1145" s="1" t="s">
        <v>19</v>
      </c>
      <c r="I1145" s="1" t="s">
        <v>2329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2084</v>
      </c>
      <c r="D1146" s="1"/>
      <c r="E1146" s="1"/>
      <c r="F1146" s="1" t="s">
        <v>2336</v>
      </c>
      <c r="G1146" s="1">
        <v>10</v>
      </c>
      <c r="H1146" s="1" t="s">
        <v>19</v>
      </c>
      <c r="I1146" s="1" t="s">
        <v>2329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2084</v>
      </c>
      <c r="D1147" s="1"/>
      <c r="E1147" s="1"/>
      <c r="F1147" s="1" t="s">
        <v>2337</v>
      </c>
      <c r="G1147" s="1">
        <v>6</v>
      </c>
      <c r="H1147" s="1" t="s">
        <v>1254</v>
      </c>
      <c r="I1147" s="1" t="s">
        <v>2329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2084</v>
      </c>
      <c r="D1148" s="1"/>
      <c r="E1148" s="1"/>
      <c r="F1148" s="1" t="s">
        <v>2338</v>
      </c>
      <c r="G1148" s="1">
        <v>2</v>
      </c>
      <c r="H1148" s="1"/>
      <c r="I1148" s="1" t="s">
        <v>2329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2084</v>
      </c>
      <c r="D1149" s="1"/>
      <c r="E1149" s="1"/>
      <c r="F1149" s="1" t="s">
        <v>2339</v>
      </c>
      <c r="G1149" s="1">
        <v>4</v>
      </c>
      <c r="H1149" s="1"/>
      <c r="I1149" s="1" t="s">
        <v>2329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2084</v>
      </c>
      <c r="D1150" s="1"/>
      <c r="E1150" s="1"/>
      <c r="F1150" s="1" t="s">
        <v>2340</v>
      </c>
      <c r="G1150" s="1">
        <v>2</v>
      </c>
      <c r="H1150" s="1"/>
      <c r="I1150" s="1" t="s">
        <v>2329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2084</v>
      </c>
      <c r="D1151" s="1"/>
      <c r="E1151" s="1"/>
      <c r="F1151" s="1" t="s">
        <v>2341</v>
      </c>
      <c r="G1151" s="1">
        <v>4</v>
      </c>
      <c r="H1151" s="1"/>
      <c r="I1151" s="1" t="s">
        <v>2329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2084</v>
      </c>
      <c r="D1152" s="1"/>
      <c r="E1152" s="1"/>
      <c r="F1152" s="1" t="s">
        <v>2342</v>
      </c>
      <c r="G1152" s="1">
        <v>2</v>
      </c>
      <c r="H1152" s="1"/>
      <c r="I1152" s="1" t="s">
        <v>2329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2084</v>
      </c>
      <c r="D1153" s="1"/>
      <c r="E1153" s="1"/>
      <c r="F1153" s="1" t="s">
        <v>2343</v>
      </c>
      <c r="G1153" s="1">
        <v>2</v>
      </c>
      <c r="H1153" s="1"/>
      <c r="I1153" s="1" t="s">
        <v>2329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2084</v>
      </c>
      <c r="D1154" s="1"/>
      <c r="E1154" s="1"/>
      <c r="F1154" s="1" t="s">
        <v>2344</v>
      </c>
      <c r="G1154" s="1">
        <v>3</v>
      </c>
      <c r="H1154" s="1"/>
      <c r="I1154" s="1" t="s">
        <v>2329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2084</v>
      </c>
      <c r="D1155" s="1"/>
      <c r="E1155" s="1"/>
      <c r="F1155" s="1" t="s">
        <v>2345</v>
      </c>
      <c r="G1155" s="1">
        <v>5</v>
      </c>
      <c r="H1155" s="1"/>
      <c r="I1155" s="1" t="s">
        <v>2329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2084</v>
      </c>
      <c r="D1156" s="1"/>
      <c r="E1156" s="1"/>
      <c r="F1156" s="1" t="s">
        <v>2346</v>
      </c>
      <c r="G1156" s="1">
        <v>5</v>
      </c>
      <c r="H1156" s="1"/>
      <c r="I1156" s="1" t="s">
        <v>2329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2084</v>
      </c>
      <c r="D1157" s="1"/>
      <c r="E1157" s="1"/>
      <c r="F1157" s="1" t="s">
        <v>2347</v>
      </c>
      <c r="G1157" s="1">
        <v>2</v>
      </c>
      <c r="H1157" s="1"/>
      <c r="I1157" s="1" t="s">
        <v>2329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2084</v>
      </c>
      <c r="D1158" s="1"/>
      <c r="E1158" s="1"/>
      <c r="F1158" s="1" t="s">
        <v>2348</v>
      </c>
      <c r="G1158" s="1">
        <v>3</v>
      </c>
      <c r="H1158" s="1"/>
      <c r="I1158" s="1" t="s">
        <v>2329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2084</v>
      </c>
      <c r="D1159" s="1"/>
      <c r="E1159" s="1"/>
      <c r="F1159" s="1" t="s">
        <v>2349</v>
      </c>
      <c r="G1159" s="1">
        <v>6</v>
      </c>
      <c r="H1159" s="1"/>
      <c r="I1159" s="1" t="s">
        <v>2329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2093</v>
      </c>
      <c r="D1160" s="1"/>
      <c r="E1160" s="1"/>
      <c r="F1160" s="1" t="s">
        <v>2350</v>
      </c>
      <c r="G1160" s="1">
        <v>10</v>
      </c>
      <c r="H1160" s="1" t="s">
        <v>19</v>
      </c>
      <c r="I1160" s="1" t="s">
        <v>2125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2093</v>
      </c>
      <c r="D1161" s="1"/>
      <c r="E1161" s="1"/>
      <c r="F1161" s="1" t="s">
        <v>2351</v>
      </c>
      <c r="G1161" s="1">
        <v>12</v>
      </c>
      <c r="H1161" s="1" t="s">
        <v>19</v>
      </c>
      <c r="I1161" s="1" t="s">
        <v>2125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2093</v>
      </c>
      <c r="D1162" s="1"/>
      <c r="E1162" s="1"/>
      <c r="F1162" s="1" t="s">
        <v>2352</v>
      </c>
      <c r="G1162" s="1">
        <v>15</v>
      </c>
      <c r="H1162" s="1" t="s">
        <v>19</v>
      </c>
      <c r="I1162" s="1" t="s">
        <v>2125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2093</v>
      </c>
      <c r="D1163" s="1"/>
      <c r="E1163" s="1"/>
      <c r="F1163" s="1" t="s">
        <v>2353</v>
      </c>
      <c r="G1163" s="1">
        <v>30</v>
      </c>
      <c r="H1163" s="1" t="s">
        <v>1254</v>
      </c>
      <c r="I1163" s="1" t="s">
        <v>2125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2093</v>
      </c>
      <c r="D1164" s="1"/>
      <c r="E1164" s="1"/>
      <c r="F1164" s="1" t="s">
        <v>2354</v>
      </c>
      <c r="G1164" s="1">
        <v>6</v>
      </c>
      <c r="H1164" s="1" t="s">
        <v>19</v>
      </c>
      <c r="I1164" s="1" t="s">
        <v>2125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2093</v>
      </c>
      <c r="D1165" s="1"/>
      <c r="E1165" s="1"/>
      <c r="F1165" s="1" t="s">
        <v>2355</v>
      </c>
      <c r="G1165" s="1">
        <v>34</v>
      </c>
      <c r="H1165" s="1" t="s">
        <v>1254</v>
      </c>
      <c r="I1165" s="1" t="s">
        <v>2125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2093</v>
      </c>
      <c r="D1166" s="1"/>
      <c r="E1166" s="1"/>
      <c r="F1166" s="1" t="s">
        <v>2356</v>
      </c>
      <c r="G1166" s="1">
        <v>5</v>
      </c>
      <c r="H1166" s="1" t="s">
        <v>19</v>
      </c>
      <c r="I1166" s="1" t="s">
        <v>2125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2093</v>
      </c>
      <c r="D1167" s="1"/>
      <c r="E1167" s="1"/>
      <c r="F1167" s="1" t="s">
        <v>2357</v>
      </c>
      <c r="G1167" s="1">
        <v>6</v>
      </c>
      <c r="H1167" s="1" t="s">
        <v>1254</v>
      </c>
      <c r="I1167" s="1" t="s">
        <v>2125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2093</v>
      </c>
      <c r="D1168" s="1"/>
      <c r="E1168" s="1"/>
      <c r="F1168" s="1" t="s">
        <v>2358</v>
      </c>
      <c r="G1168" s="1">
        <v>4</v>
      </c>
      <c r="H1168" s="1" t="s">
        <v>1254</v>
      </c>
      <c r="I1168" s="1" t="s">
        <v>2125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2093</v>
      </c>
      <c r="D1169" s="1"/>
      <c r="E1169" s="1"/>
      <c r="F1169" s="1" t="s">
        <v>2359</v>
      </c>
      <c r="G1169" s="1">
        <v>3</v>
      </c>
      <c r="H1169" s="1" t="s">
        <v>19</v>
      </c>
      <c r="I1169" s="1" t="s">
        <v>2125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2093</v>
      </c>
      <c r="D1170" s="1"/>
      <c r="E1170" s="1"/>
      <c r="F1170" s="1" t="s">
        <v>2360</v>
      </c>
      <c r="G1170" s="1">
        <v>2</v>
      </c>
      <c r="H1170" s="1" t="s">
        <v>19</v>
      </c>
      <c r="I1170" s="1" t="s">
        <v>2125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2093</v>
      </c>
      <c r="D1171" s="1"/>
      <c r="E1171" s="1"/>
      <c r="F1171" s="1" t="s">
        <v>2361</v>
      </c>
      <c r="G1171" s="1">
        <v>6</v>
      </c>
      <c r="H1171" s="1" t="s">
        <v>19</v>
      </c>
      <c r="I1171" s="1" t="s">
        <v>2125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2093</v>
      </c>
      <c r="D1172" s="1"/>
      <c r="E1172" s="1"/>
      <c r="F1172" s="1" t="s">
        <v>2362</v>
      </c>
      <c r="G1172" s="1">
        <v>2</v>
      </c>
      <c r="H1172" s="1" t="s">
        <v>19</v>
      </c>
      <c r="I1172" s="1" t="s">
        <v>2125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2093</v>
      </c>
      <c r="D1173" s="1"/>
      <c r="E1173" s="1"/>
      <c r="F1173" s="1" t="s">
        <v>2363</v>
      </c>
      <c r="G1173" s="1">
        <v>6</v>
      </c>
      <c r="H1173" s="1" t="s">
        <v>19</v>
      </c>
      <c r="I1173" s="1" t="s">
        <v>2125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2093</v>
      </c>
      <c r="D1174" s="1"/>
      <c r="E1174" s="1"/>
      <c r="F1174" s="1" t="s">
        <v>2364</v>
      </c>
      <c r="G1174" s="1">
        <v>3</v>
      </c>
      <c r="H1174" s="1" t="s">
        <v>19</v>
      </c>
      <c r="I1174" s="1" t="s">
        <v>2125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2093</v>
      </c>
      <c r="D1175" s="1"/>
      <c r="E1175" s="1"/>
      <c r="F1175" s="1" t="s">
        <v>2365</v>
      </c>
      <c r="G1175" s="1">
        <v>2</v>
      </c>
      <c r="H1175" s="1" t="s">
        <v>19</v>
      </c>
      <c r="I1175" s="1" t="s">
        <v>2125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2093</v>
      </c>
      <c r="D1176" s="1"/>
      <c r="E1176" s="1"/>
      <c r="F1176" s="1" t="s">
        <v>2366</v>
      </c>
      <c r="G1176" s="1">
        <v>2</v>
      </c>
      <c r="H1176" s="1" t="s">
        <v>19</v>
      </c>
      <c r="I1176" s="1" t="s">
        <v>2125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2093</v>
      </c>
      <c r="D1177" s="1"/>
      <c r="E1177" s="1"/>
      <c r="F1177" s="1" t="s">
        <v>2367</v>
      </c>
      <c r="G1177" s="1">
        <v>6</v>
      </c>
      <c r="H1177" s="1" t="s">
        <v>19</v>
      </c>
      <c r="I1177" s="1" t="s">
        <v>2125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2098</v>
      </c>
      <c r="D1178" s="1"/>
      <c r="E1178" s="1"/>
      <c r="F1178" s="1" t="s">
        <v>2368</v>
      </c>
      <c r="G1178" s="1">
        <v>33</v>
      </c>
      <c r="H1178" s="1" t="s">
        <v>1254</v>
      </c>
      <c r="I1178" s="1" t="s">
        <v>2126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2098</v>
      </c>
      <c r="D1179" s="1"/>
      <c r="E1179" s="1"/>
      <c r="F1179" s="1" t="s">
        <v>2369</v>
      </c>
      <c r="G1179" s="1">
        <v>4</v>
      </c>
      <c r="H1179" s="1" t="s">
        <v>1254</v>
      </c>
      <c r="I1179" s="1" t="s">
        <v>2126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2098</v>
      </c>
      <c r="D1180" s="1"/>
      <c r="E1180" s="1"/>
      <c r="F1180" s="1" t="s">
        <v>2370</v>
      </c>
      <c r="G1180" s="1">
        <v>36</v>
      </c>
      <c r="H1180" s="1" t="s">
        <v>1254</v>
      </c>
      <c r="I1180" s="1" t="s">
        <v>2126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2098</v>
      </c>
      <c r="D1181" s="1"/>
      <c r="E1181" s="1"/>
      <c r="F1181" s="1" t="s">
        <v>2371</v>
      </c>
      <c r="G1181" s="1">
        <v>5</v>
      </c>
      <c r="H1181" s="1" t="s">
        <v>19</v>
      </c>
      <c r="I1181" s="1" t="s">
        <v>2126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2098</v>
      </c>
      <c r="D1182" s="1"/>
      <c r="E1182" s="1"/>
      <c r="F1182" s="1" t="s">
        <v>2372</v>
      </c>
      <c r="G1182" s="1">
        <v>15</v>
      </c>
      <c r="H1182" s="1" t="s">
        <v>19</v>
      </c>
      <c r="I1182" s="1" t="s">
        <v>2126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2098</v>
      </c>
      <c r="D1183" s="1"/>
      <c r="E1183" s="1"/>
      <c r="F1183" s="1" t="s">
        <v>2373</v>
      </c>
      <c r="G1183" s="1">
        <v>10</v>
      </c>
      <c r="H1183" s="1" t="s">
        <v>19</v>
      </c>
      <c r="I1183" s="1" t="s">
        <v>2126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2098</v>
      </c>
      <c r="D1184" s="1"/>
      <c r="E1184" s="1"/>
      <c r="F1184" s="1" t="s">
        <v>2374</v>
      </c>
      <c r="G1184" s="1">
        <v>10</v>
      </c>
      <c r="H1184" s="1" t="s">
        <v>19</v>
      </c>
      <c r="I1184" s="1" t="s">
        <v>2126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2098</v>
      </c>
      <c r="D1185" s="1"/>
      <c r="E1185" s="1"/>
      <c r="F1185" s="1" t="s">
        <v>2375</v>
      </c>
      <c r="G1185" s="1">
        <v>6</v>
      </c>
      <c r="H1185" s="1" t="s">
        <v>1254</v>
      </c>
      <c r="I1185" s="1" t="s">
        <v>2126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2098</v>
      </c>
      <c r="D1186" s="1"/>
      <c r="E1186" s="1"/>
      <c r="F1186" s="1" t="s">
        <v>2376</v>
      </c>
      <c r="G1186" s="1">
        <v>2</v>
      </c>
      <c r="H1186" s="1" t="s">
        <v>19</v>
      </c>
      <c r="I1186" s="1" t="s">
        <v>2126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2098</v>
      </c>
      <c r="D1187" s="1"/>
      <c r="E1187" s="1"/>
      <c r="F1187" s="1" t="s">
        <v>2377</v>
      </c>
      <c r="G1187" s="1">
        <v>6</v>
      </c>
      <c r="H1187" s="1" t="s">
        <v>1254</v>
      </c>
      <c r="I1187" s="1" t="s">
        <v>2126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2098</v>
      </c>
      <c r="D1188" s="1"/>
      <c r="E1188" s="1"/>
      <c r="F1188" s="1" t="s">
        <v>2378</v>
      </c>
      <c r="G1188" s="1">
        <v>3</v>
      </c>
      <c r="H1188" s="1" t="s">
        <v>19</v>
      </c>
      <c r="I1188" s="1" t="s">
        <v>2126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2098</v>
      </c>
      <c r="D1189" s="1"/>
      <c r="E1189" s="1"/>
      <c r="F1189" s="1" t="s">
        <v>2379</v>
      </c>
      <c r="G1189" s="1">
        <v>2</v>
      </c>
      <c r="H1189" s="1" t="s">
        <v>19</v>
      </c>
      <c r="I1189" s="1" t="s">
        <v>2126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2098</v>
      </c>
      <c r="D1190" s="1"/>
      <c r="E1190" s="1"/>
      <c r="F1190" s="1" t="s">
        <v>2380</v>
      </c>
      <c r="G1190" s="1">
        <v>5</v>
      </c>
      <c r="H1190" s="1" t="s">
        <v>19</v>
      </c>
      <c r="I1190" s="1" t="s">
        <v>2126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2098</v>
      </c>
      <c r="D1191" s="1"/>
      <c r="E1191" s="1"/>
      <c r="F1191" s="1" t="s">
        <v>2381</v>
      </c>
      <c r="G1191" s="1">
        <v>2</v>
      </c>
      <c r="H1191" s="1" t="s">
        <v>19</v>
      </c>
      <c r="I1191" s="1" t="s">
        <v>2126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2098</v>
      </c>
      <c r="D1192" s="1"/>
      <c r="E1192" s="1"/>
      <c r="F1192" s="1" t="s">
        <v>2382</v>
      </c>
      <c r="G1192" s="1">
        <v>5</v>
      </c>
      <c r="H1192" s="1" t="s">
        <v>19</v>
      </c>
      <c r="I1192" s="1" t="s">
        <v>2126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2098</v>
      </c>
      <c r="D1193" s="1"/>
      <c r="E1193" s="1"/>
      <c r="F1193" s="1" t="s">
        <v>2383</v>
      </c>
      <c r="G1193" s="1">
        <v>2</v>
      </c>
      <c r="H1193" s="1" t="s">
        <v>19</v>
      </c>
      <c r="I1193" s="1" t="s">
        <v>2126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2098</v>
      </c>
      <c r="D1194" s="1"/>
      <c r="E1194" s="1"/>
      <c r="F1194" s="1" t="s">
        <v>2384</v>
      </c>
      <c r="G1194" s="1">
        <v>2</v>
      </c>
      <c r="H1194" s="1" t="s">
        <v>19</v>
      </c>
      <c r="I1194" s="1" t="s">
        <v>2126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2098</v>
      </c>
      <c r="D1195" s="1"/>
      <c r="E1195" s="1"/>
      <c r="F1195" s="1" t="s">
        <v>2385</v>
      </c>
      <c r="G1195" s="1">
        <v>2</v>
      </c>
      <c r="H1195" s="1" t="s">
        <v>19</v>
      </c>
      <c r="I1195" s="1" t="s">
        <v>2126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2098</v>
      </c>
      <c r="D1196" s="1"/>
      <c r="E1196" s="1"/>
      <c r="F1196" s="1" t="s">
        <v>2386</v>
      </c>
      <c r="G1196" s="1">
        <v>2</v>
      </c>
      <c r="H1196" s="1" t="s">
        <v>19</v>
      </c>
      <c r="I1196" s="1" t="s">
        <v>2126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2098</v>
      </c>
      <c r="D1197" s="1"/>
      <c r="E1197" s="1"/>
      <c r="F1197" s="1" t="s">
        <v>2387</v>
      </c>
      <c r="G1197" s="1">
        <v>4</v>
      </c>
      <c r="H1197" s="1" t="s">
        <v>19</v>
      </c>
      <c r="I1197" s="1" t="s">
        <v>2126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2098</v>
      </c>
      <c r="D1198" s="1"/>
      <c r="E1198" s="1"/>
      <c r="F1198" s="1" t="s">
        <v>2388</v>
      </c>
      <c r="G1198" s="1">
        <v>2</v>
      </c>
      <c r="H1198" s="1" t="s">
        <v>19</v>
      </c>
      <c r="I1198" s="1" t="s">
        <v>2126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2098</v>
      </c>
      <c r="D1199" s="1"/>
      <c r="E1199" s="1"/>
      <c r="F1199" s="1" t="s">
        <v>2389</v>
      </c>
      <c r="G1199" s="1">
        <v>3</v>
      </c>
      <c r="H1199" s="1" t="s">
        <v>19</v>
      </c>
      <c r="I1199" s="1" t="s">
        <v>2126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2104</v>
      </c>
      <c r="D1200" s="1"/>
      <c r="E1200" s="1"/>
      <c r="F1200" s="1" t="s">
        <v>2390</v>
      </c>
      <c r="G1200" s="1">
        <v>3</v>
      </c>
      <c r="H1200" s="1" t="s">
        <v>19</v>
      </c>
      <c r="I1200" s="1" t="s">
        <v>2127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2104</v>
      </c>
      <c r="D1201" s="1"/>
      <c r="E1201" s="1"/>
      <c r="F1201" s="1" t="s">
        <v>2391</v>
      </c>
      <c r="G1201" s="1">
        <v>2</v>
      </c>
      <c r="H1201" s="1" t="s">
        <v>19</v>
      </c>
      <c r="I1201" s="1" t="s">
        <v>2127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2104</v>
      </c>
      <c r="D1202" s="1"/>
      <c r="E1202" s="1"/>
      <c r="F1202" s="1" t="s">
        <v>2392</v>
      </c>
      <c r="G1202" s="1">
        <v>4</v>
      </c>
      <c r="H1202" s="1" t="s">
        <v>19</v>
      </c>
      <c r="I1202" s="1" t="s">
        <v>2127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2104</v>
      </c>
      <c r="D1203" s="1"/>
      <c r="E1203" s="1"/>
      <c r="F1203" s="1" t="s">
        <v>2393</v>
      </c>
      <c r="G1203" s="1">
        <v>2</v>
      </c>
      <c r="H1203" s="1" t="s">
        <v>19</v>
      </c>
      <c r="I1203" s="1" t="s">
        <v>2127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2104</v>
      </c>
      <c r="D1204" s="1"/>
      <c r="E1204" s="1"/>
      <c r="F1204" s="1" t="s">
        <v>2394</v>
      </c>
      <c r="G1204" s="1">
        <v>3</v>
      </c>
      <c r="H1204" s="1" t="s">
        <v>19</v>
      </c>
      <c r="I1204" s="1" t="s">
        <v>2127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2104</v>
      </c>
      <c r="D1205" s="1"/>
      <c r="E1205" s="1"/>
      <c r="F1205" s="1" t="s">
        <v>2395</v>
      </c>
      <c r="G1205" s="1">
        <v>6</v>
      </c>
      <c r="H1205" s="1" t="s">
        <v>19</v>
      </c>
      <c r="I1205" s="1" t="s">
        <v>2127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2104</v>
      </c>
      <c r="D1206" s="1"/>
      <c r="E1206" s="1"/>
      <c r="F1206" s="1" t="s">
        <v>2396</v>
      </c>
      <c r="G1206" s="1">
        <v>2</v>
      </c>
      <c r="H1206" s="1" t="s">
        <v>19</v>
      </c>
      <c r="I1206" s="1" t="s">
        <v>2127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2104</v>
      </c>
      <c r="D1207" s="1"/>
      <c r="E1207" s="1"/>
      <c r="F1207" s="1" t="s">
        <v>2397</v>
      </c>
      <c r="G1207" s="1">
        <v>2</v>
      </c>
      <c r="H1207" s="1" t="s">
        <v>19</v>
      </c>
      <c r="I1207" s="1" t="s">
        <v>2127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2104</v>
      </c>
      <c r="D1208" s="1"/>
      <c r="E1208" s="1"/>
      <c r="F1208" s="1" t="s">
        <v>2398</v>
      </c>
      <c r="G1208" s="1">
        <v>2</v>
      </c>
      <c r="H1208" s="1" t="s">
        <v>19</v>
      </c>
      <c r="I1208" s="1" t="s">
        <v>2127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2104</v>
      </c>
      <c r="D1209" s="1"/>
      <c r="E1209" s="1"/>
      <c r="F1209" s="1" t="s">
        <v>2399</v>
      </c>
      <c r="G1209" s="1">
        <v>2</v>
      </c>
      <c r="H1209" s="1" t="s">
        <v>19</v>
      </c>
      <c r="I1209" s="1" t="s">
        <v>2127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2104</v>
      </c>
      <c r="D1210" s="1"/>
      <c r="E1210" s="1"/>
      <c r="F1210" s="1" t="s">
        <v>2400</v>
      </c>
      <c r="G1210" s="1">
        <v>6</v>
      </c>
      <c r="H1210" s="1" t="s">
        <v>19</v>
      </c>
      <c r="I1210" s="1" t="s">
        <v>2127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2104</v>
      </c>
      <c r="D1211" s="1"/>
      <c r="E1211" s="1"/>
      <c r="F1211" s="1" t="s">
        <v>2401</v>
      </c>
      <c r="G1211" s="1">
        <v>2</v>
      </c>
      <c r="H1211" s="1" t="s">
        <v>19</v>
      </c>
      <c r="I1211" s="1" t="s">
        <v>2127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2104</v>
      </c>
      <c r="D1212" s="1"/>
      <c r="E1212" s="1"/>
      <c r="F1212" s="1" t="s">
        <v>2402</v>
      </c>
      <c r="G1212" s="1">
        <v>2</v>
      </c>
      <c r="H1212" s="1" t="s">
        <v>19</v>
      </c>
      <c r="I1212" s="1" t="s">
        <v>2127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2104</v>
      </c>
      <c r="D1213" s="1"/>
      <c r="E1213" s="1"/>
      <c r="F1213" s="1" t="s">
        <v>2403</v>
      </c>
      <c r="G1213" s="1">
        <v>4</v>
      </c>
      <c r="H1213" s="1" t="s">
        <v>1254</v>
      </c>
      <c r="I1213" s="1" t="s">
        <v>2127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2104</v>
      </c>
      <c r="D1214" s="1"/>
      <c r="E1214" s="1"/>
      <c r="F1214" s="1" t="s">
        <v>2404</v>
      </c>
      <c r="G1214" s="1">
        <v>15</v>
      </c>
      <c r="H1214" s="1" t="s">
        <v>19</v>
      </c>
      <c r="I1214" s="1" t="s">
        <v>2127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2104</v>
      </c>
      <c r="D1215" s="1"/>
      <c r="E1215" s="1"/>
      <c r="F1215" s="1" t="s">
        <v>2405</v>
      </c>
      <c r="G1215" s="1">
        <v>10</v>
      </c>
      <c r="H1215" s="1" t="s">
        <v>19</v>
      </c>
      <c r="I1215" s="1" t="s">
        <v>2127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2104</v>
      </c>
      <c r="D1216" s="1"/>
      <c r="E1216" s="1"/>
      <c r="F1216" s="1" t="s">
        <v>2406</v>
      </c>
      <c r="G1216" s="1">
        <v>18</v>
      </c>
      <c r="H1216" s="1" t="s">
        <v>19</v>
      </c>
      <c r="I1216" s="1" t="s">
        <v>2127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2104</v>
      </c>
      <c r="D1217" s="1"/>
      <c r="E1217" s="1"/>
      <c r="F1217" s="1" t="s">
        <v>2353</v>
      </c>
      <c r="G1217" s="1">
        <v>35</v>
      </c>
      <c r="H1217" s="1" t="s">
        <v>1254</v>
      </c>
      <c r="I1217" s="1" t="s">
        <v>2127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2104</v>
      </c>
      <c r="D1218" s="1"/>
      <c r="E1218" s="1"/>
      <c r="F1218" s="1" t="s">
        <v>2407</v>
      </c>
      <c r="G1218" s="1">
        <v>36</v>
      </c>
      <c r="H1218" s="1" t="s">
        <v>1254</v>
      </c>
      <c r="I1218" s="1" t="s">
        <v>2127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2104</v>
      </c>
      <c r="D1219" s="1"/>
      <c r="E1219" s="1"/>
      <c r="F1219" s="1" t="s">
        <v>2408</v>
      </c>
      <c r="G1219" s="1">
        <v>2</v>
      </c>
      <c r="H1219" s="1" t="s">
        <v>19</v>
      </c>
      <c r="I1219" s="1" t="s">
        <v>2127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2104</v>
      </c>
      <c r="D1220" s="1"/>
      <c r="E1220" s="1"/>
      <c r="F1220" s="1" t="s">
        <v>2409</v>
      </c>
      <c r="G1220" s="1">
        <v>6</v>
      </c>
      <c r="H1220" s="1" t="s">
        <v>1254</v>
      </c>
      <c r="I1220" s="1" t="s">
        <v>2127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2104</v>
      </c>
      <c r="D1221" s="1"/>
      <c r="E1221" s="1"/>
      <c r="F1221" s="1" t="s">
        <v>2410</v>
      </c>
      <c r="G1221" s="1">
        <v>6</v>
      </c>
      <c r="H1221" s="1" t="s">
        <v>1254</v>
      </c>
      <c r="I1221" s="1" t="s">
        <v>2127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2104</v>
      </c>
      <c r="D1222" s="1"/>
      <c r="E1222" s="1"/>
      <c r="F1222" s="1" t="s">
        <v>2411</v>
      </c>
      <c r="G1222" s="1">
        <v>5</v>
      </c>
      <c r="H1222" s="1" t="s">
        <v>1254</v>
      </c>
      <c r="I1222" s="1" t="s">
        <v>2127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2109</v>
      </c>
      <c r="D1223" s="1"/>
      <c r="E1223" s="1"/>
      <c r="F1223" s="1" t="s">
        <v>2412</v>
      </c>
      <c r="G1223" s="1">
        <v>50</v>
      </c>
      <c r="H1223" s="1" t="s">
        <v>1254</v>
      </c>
      <c r="I1223" s="1" t="s">
        <v>2413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2109</v>
      </c>
      <c r="D1224" s="1"/>
      <c r="E1224" s="1"/>
      <c r="F1224" s="1" t="s">
        <v>2414</v>
      </c>
      <c r="G1224" s="1">
        <v>4</v>
      </c>
      <c r="H1224" s="1" t="s">
        <v>1254</v>
      </c>
      <c r="I1224" s="1" t="s">
        <v>2413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2109</v>
      </c>
      <c r="D1225" s="1"/>
      <c r="E1225" s="1"/>
      <c r="F1225" s="1" t="s">
        <v>2415</v>
      </c>
      <c r="G1225" s="1">
        <v>52</v>
      </c>
      <c r="H1225" s="1" t="s">
        <v>1254</v>
      </c>
      <c r="I1225" s="1" t="s">
        <v>2413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2109</v>
      </c>
      <c r="D1226" s="1"/>
      <c r="E1226" s="1"/>
      <c r="F1226" s="1" t="s">
        <v>2416</v>
      </c>
      <c r="G1226" s="1">
        <v>5</v>
      </c>
      <c r="H1226" s="1" t="s">
        <v>19</v>
      </c>
      <c r="I1226" s="1" t="s">
        <v>2413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2109</v>
      </c>
      <c r="D1227" s="1"/>
      <c r="E1227" s="1"/>
      <c r="F1227" s="1" t="s">
        <v>2417</v>
      </c>
      <c r="G1227" s="1">
        <v>20</v>
      </c>
      <c r="H1227" s="1" t="s">
        <v>19</v>
      </c>
      <c r="I1227" s="1" t="s">
        <v>2413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2109</v>
      </c>
      <c r="D1228" s="1"/>
      <c r="E1228" s="1"/>
      <c r="F1228" s="1" t="s">
        <v>2418</v>
      </c>
      <c r="G1228" s="1">
        <v>6</v>
      </c>
      <c r="H1228" s="1" t="s">
        <v>19</v>
      </c>
      <c r="I1228" s="1" t="s">
        <v>2413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2109</v>
      </c>
      <c r="D1229" s="1"/>
      <c r="E1229" s="1"/>
      <c r="F1229" s="1" t="s">
        <v>2419</v>
      </c>
      <c r="G1229" s="1">
        <v>15</v>
      </c>
      <c r="H1229" s="1" t="s">
        <v>19</v>
      </c>
      <c r="I1229" s="1" t="s">
        <v>2413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2109</v>
      </c>
      <c r="D1230" s="1"/>
      <c r="E1230" s="1"/>
      <c r="F1230" s="1" t="s">
        <v>2420</v>
      </c>
      <c r="G1230" s="1">
        <v>6</v>
      </c>
      <c r="H1230" s="1" t="s">
        <v>1254</v>
      </c>
      <c r="I1230" s="1" t="s">
        <v>2413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2109</v>
      </c>
      <c r="D1231" s="1"/>
      <c r="E1231" s="1"/>
      <c r="F1231" s="1" t="s">
        <v>2421</v>
      </c>
      <c r="G1231" s="1">
        <v>2</v>
      </c>
      <c r="H1231" s="1" t="s">
        <v>19</v>
      </c>
      <c r="I1231" s="1" t="s">
        <v>2413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2109</v>
      </c>
      <c r="D1232" s="1"/>
      <c r="E1232" s="1"/>
      <c r="F1232" s="1" t="s">
        <v>2422</v>
      </c>
      <c r="G1232" s="1">
        <v>10</v>
      </c>
      <c r="H1232" s="1" t="s">
        <v>1254</v>
      </c>
      <c r="I1232" s="1" t="s">
        <v>2413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2109</v>
      </c>
      <c r="D1233" s="1"/>
      <c r="E1233" s="1"/>
      <c r="F1233" s="1" t="s">
        <v>2423</v>
      </c>
      <c r="G1233" s="1">
        <v>2</v>
      </c>
      <c r="H1233" s="1" t="s">
        <v>19</v>
      </c>
      <c r="I1233" s="1" t="s">
        <v>2413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2109</v>
      </c>
      <c r="D1234" s="1"/>
      <c r="E1234" s="1"/>
      <c r="F1234" s="1" t="s">
        <v>2424</v>
      </c>
      <c r="G1234" s="1">
        <v>3</v>
      </c>
      <c r="H1234" s="1" t="s">
        <v>19</v>
      </c>
      <c r="I1234" s="1" t="s">
        <v>2413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2109</v>
      </c>
      <c r="D1235" s="1"/>
      <c r="E1235" s="1"/>
      <c r="F1235" s="1" t="s">
        <v>2425</v>
      </c>
      <c r="G1235" s="1">
        <v>2</v>
      </c>
      <c r="H1235" s="1" t="s">
        <v>19</v>
      </c>
      <c r="I1235" s="1" t="s">
        <v>2413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2109</v>
      </c>
      <c r="D1236" s="1"/>
      <c r="E1236" s="1"/>
      <c r="F1236" s="1" t="s">
        <v>2426</v>
      </c>
      <c r="G1236" s="1">
        <v>5</v>
      </c>
      <c r="H1236" s="1" t="s">
        <v>19</v>
      </c>
      <c r="I1236" s="1" t="s">
        <v>2413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2109</v>
      </c>
      <c r="D1237" s="1"/>
      <c r="E1237" s="1"/>
      <c r="F1237" s="1" t="s">
        <v>2427</v>
      </c>
      <c r="G1237" s="1">
        <v>2</v>
      </c>
      <c r="H1237" s="1" t="s">
        <v>19</v>
      </c>
      <c r="I1237" s="1" t="s">
        <v>2413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2109</v>
      </c>
      <c r="D1238" s="1"/>
      <c r="E1238" s="1"/>
      <c r="F1238" s="1" t="s">
        <v>2428</v>
      </c>
      <c r="G1238" s="1">
        <v>5</v>
      </c>
      <c r="H1238" s="1" t="s">
        <v>19</v>
      </c>
      <c r="I1238" s="1" t="s">
        <v>2413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2109</v>
      </c>
      <c r="D1239" s="1"/>
      <c r="E1239" s="1"/>
      <c r="F1239" s="1" t="s">
        <v>2429</v>
      </c>
      <c r="G1239" s="1">
        <v>2</v>
      </c>
      <c r="H1239" s="1" t="s">
        <v>19</v>
      </c>
      <c r="I1239" s="1" t="s">
        <v>2413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2109</v>
      </c>
      <c r="D1240" s="1"/>
      <c r="E1240" s="1"/>
      <c r="F1240" s="1" t="s">
        <v>2430</v>
      </c>
      <c r="G1240" s="1">
        <v>2</v>
      </c>
      <c r="H1240" s="1" t="s">
        <v>19</v>
      </c>
      <c r="I1240" s="1" t="s">
        <v>2413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2109</v>
      </c>
      <c r="D1241" s="1"/>
      <c r="E1241" s="1"/>
      <c r="F1241" s="1" t="s">
        <v>2431</v>
      </c>
      <c r="G1241" s="1">
        <v>2</v>
      </c>
      <c r="H1241" s="1" t="s">
        <v>19</v>
      </c>
      <c r="I1241" s="1" t="s">
        <v>2413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2109</v>
      </c>
      <c r="D1242" s="1"/>
      <c r="E1242" s="1"/>
      <c r="F1242" s="1" t="s">
        <v>2432</v>
      </c>
      <c r="G1242" s="1">
        <v>2</v>
      </c>
      <c r="H1242" s="1" t="s">
        <v>19</v>
      </c>
      <c r="I1242" s="1" t="s">
        <v>2413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2109</v>
      </c>
      <c r="D1243" s="1"/>
      <c r="E1243" s="1"/>
      <c r="F1243" s="1" t="s">
        <v>2433</v>
      </c>
      <c r="G1243" s="1">
        <v>4</v>
      </c>
      <c r="H1243" s="1" t="s">
        <v>19</v>
      </c>
      <c r="I1243" s="1" t="s">
        <v>2413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2109</v>
      </c>
      <c r="D1244" s="1"/>
      <c r="E1244" s="1"/>
      <c r="F1244" s="1" t="s">
        <v>2434</v>
      </c>
      <c r="G1244" s="1">
        <v>2</v>
      </c>
      <c r="H1244" s="1" t="s">
        <v>19</v>
      </c>
      <c r="I1244" s="1" t="s">
        <v>2413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2109</v>
      </c>
      <c r="D1245" s="1"/>
      <c r="E1245" s="1"/>
      <c r="F1245" s="1" t="s">
        <v>2435</v>
      </c>
      <c r="G1245" s="1">
        <v>3</v>
      </c>
      <c r="H1245" s="1" t="s">
        <v>19</v>
      </c>
      <c r="I1245" s="1" t="s">
        <v>2413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855</v>
      </c>
      <c r="D1246" s="1"/>
      <c r="E1246" s="1" t="s">
        <v>747</v>
      </c>
      <c r="F1246" s="1" t="s">
        <v>828</v>
      </c>
      <c r="G1246" s="1">
        <v>1</v>
      </c>
      <c r="H1246" s="1" t="s">
        <v>19</v>
      </c>
      <c r="I1246" s="1" t="s">
        <v>426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855</v>
      </c>
      <c r="D1247" s="1"/>
      <c r="E1247" s="1" t="s">
        <v>747</v>
      </c>
      <c r="F1247" s="1" t="s">
        <v>828</v>
      </c>
      <c r="G1247" s="1">
        <v>1</v>
      </c>
      <c r="H1247" s="1" t="s">
        <v>19</v>
      </c>
      <c r="I1247" s="1" t="s">
        <v>428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855</v>
      </c>
      <c r="D1248" s="1"/>
      <c r="E1248" s="1" t="s">
        <v>1102</v>
      </c>
      <c r="F1248" s="1" t="s">
        <v>829</v>
      </c>
      <c r="G1248" s="1">
        <v>1</v>
      </c>
      <c r="H1248" s="1" t="s">
        <v>19</v>
      </c>
      <c r="I1248" s="1" t="s">
        <v>426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855</v>
      </c>
      <c r="D1249" s="1"/>
      <c r="E1249" s="1" t="s">
        <v>1109</v>
      </c>
      <c r="F1249" s="1" t="s">
        <v>840</v>
      </c>
      <c r="G1249" s="1">
        <v>2</v>
      </c>
      <c r="H1249" s="1" t="s">
        <v>19</v>
      </c>
      <c r="I1249" s="1" t="s">
        <v>425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855</v>
      </c>
      <c r="D1250" s="1"/>
      <c r="E1250" s="1" t="s">
        <v>1113</v>
      </c>
      <c r="F1250" s="1" t="s">
        <v>844</v>
      </c>
      <c r="G1250" s="1">
        <v>2</v>
      </c>
      <c r="H1250" s="1" t="s">
        <v>19</v>
      </c>
      <c r="I1250" s="1" t="s">
        <v>426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855</v>
      </c>
      <c r="D1251" s="1"/>
      <c r="E1251" s="1" t="s">
        <v>1113</v>
      </c>
      <c r="F1251" s="1" t="s">
        <v>844</v>
      </c>
      <c r="G1251" s="1">
        <v>2</v>
      </c>
      <c r="H1251" s="1" t="s">
        <v>19</v>
      </c>
      <c r="I1251" s="1" t="s">
        <v>428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855</v>
      </c>
      <c r="D1252" s="1"/>
      <c r="E1252" s="1" t="s">
        <v>1114</v>
      </c>
      <c r="F1252" s="1" t="s">
        <v>845</v>
      </c>
      <c r="G1252" s="1">
        <v>2</v>
      </c>
      <c r="H1252" s="1" t="s">
        <v>19</v>
      </c>
      <c r="I1252" s="1" t="s">
        <v>426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2455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2456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2457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2458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2459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2315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2460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2461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2462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2463</v>
      </c>
      <c r="D1262" s="1"/>
      <c r="E1262" s="1"/>
      <c r="F1262" s="1" t="s">
        <v>2464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2465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2466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2467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2468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2469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2470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2471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2472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2473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2318</v>
      </c>
      <c r="D1272" s="1"/>
      <c r="E1272" s="1"/>
      <c r="F1272" s="1" t="s">
        <v>2474</v>
      </c>
      <c r="G1272" s="1">
        <v>1</v>
      </c>
      <c r="H1272" s="1" t="s">
        <v>19</v>
      </c>
      <c r="I1272" s="1" t="s">
        <v>2318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2320</v>
      </c>
      <c r="D1273" s="1"/>
      <c r="E1273" s="1"/>
      <c r="F1273" s="1" t="s">
        <v>2475</v>
      </c>
      <c r="G1273" s="1">
        <v>1</v>
      </c>
      <c r="H1273" s="1" t="s">
        <v>19</v>
      </c>
      <c r="I1273" s="1" t="s">
        <v>2320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2322</v>
      </c>
      <c r="D1274" s="1"/>
      <c r="E1274" s="1"/>
      <c r="F1274" s="1" t="s">
        <v>2476</v>
      </c>
      <c r="G1274" s="1">
        <v>1</v>
      </c>
      <c r="H1274" s="1" t="s">
        <v>19</v>
      </c>
      <c r="I1274" s="1" t="s">
        <v>2322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2324</v>
      </c>
      <c r="D1275" s="1"/>
      <c r="E1275" s="1"/>
      <c r="F1275" s="1" t="s">
        <v>2477</v>
      </c>
      <c r="G1275" s="1">
        <v>1</v>
      </c>
      <c r="H1275" s="1" t="s">
        <v>19</v>
      </c>
      <c r="I1275" s="1" t="s">
        <v>2324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2326</v>
      </c>
      <c r="D1276" s="1"/>
      <c r="E1276" s="1"/>
      <c r="F1276" s="1" t="s">
        <v>2478</v>
      </c>
      <c r="G1276" s="1">
        <v>1</v>
      </c>
      <c r="H1276" s="1" t="s">
        <v>19</v>
      </c>
      <c r="I1276" s="1" t="s">
        <v>2326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1151</v>
      </c>
      <c r="D1277" s="1"/>
      <c r="E1277" s="1" t="s">
        <v>2</v>
      </c>
      <c r="F1277" s="1" t="s">
        <v>1152</v>
      </c>
      <c r="G1277" s="1">
        <v>2</v>
      </c>
      <c r="H1277" s="1" t="s">
        <v>19</v>
      </c>
      <c r="I1277" s="1" t="s">
        <v>424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1151</v>
      </c>
      <c r="D1278" s="1"/>
      <c r="E1278" s="1" t="s">
        <v>44</v>
      </c>
      <c r="F1278" s="1" t="s">
        <v>1153</v>
      </c>
      <c r="G1278" s="1">
        <v>4</v>
      </c>
      <c r="H1278" s="1" t="s">
        <v>19</v>
      </c>
      <c r="I1278" s="1" t="s">
        <v>424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1151</v>
      </c>
      <c r="D1279" s="1"/>
      <c r="E1279" s="1" t="s">
        <v>747</v>
      </c>
      <c r="F1279" s="1" t="s">
        <v>1154</v>
      </c>
      <c r="G1279" s="1">
        <v>2</v>
      </c>
      <c r="H1279" s="1" t="s">
        <v>19</v>
      </c>
      <c r="I1279" s="1" t="s">
        <v>424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1151</v>
      </c>
      <c r="D1280" s="1"/>
      <c r="E1280" s="1" t="s">
        <v>101</v>
      </c>
      <c r="F1280" s="1" t="s">
        <v>1156</v>
      </c>
      <c r="G1280" s="1">
        <v>4</v>
      </c>
      <c r="H1280" s="1" t="s">
        <v>19</v>
      </c>
      <c r="I1280" s="1" t="s">
        <v>424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1151</v>
      </c>
      <c r="D1281" s="1"/>
      <c r="E1281" s="1" t="s">
        <v>174</v>
      </c>
      <c r="F1281" s="1" t="s">
        <v>1157</v>
      </c>
      <c r="G1281" s="1">
        <v>8</v>
      </c>
      <c r="H1281" s="1" t="s">
        <v>19</v>
      </c>
      <c r="I1281" s="1" t="s">
        <v>424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1151</v>
      </c>
      <c r="D1282" s="1"/>
      <c r="E1282" s="1" t="s">
        <v>462</v>
      </c>
      <c r="F1282" s="1" t="s">
        <v>1158</v>
      </c>
      <c r="G1282" s="1">
        <v>2</v>
      </c>
      <c r="H1282" s="1" t="s">
        <v>19</v>
      </c>
      <c r="I1282" s="1" t="s">
        <v>424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1151</v>
      </c>
      <c r="D1283" s="1"/>
      <c r="E1283" s="1" t="s">
        <v>2</v>
      </c>
      <c r="F1283" s="1" t="s">
        <v>1152</v>
      </c>
      <c r="G1283" s="1">
        <v>2</v>
      </c>
      <c r="H1283" s="1" t="s">
        <v>19</v>
      </c>
      <c r="I1283" s="1" t="s">
        <v>425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1151</v>
      </c>
      <c r="D1284" s="1"/>
      <c r="E1284" s="1" t="s">
        <v>44</v>
      </c>
      <c r="F1284" s="1" t="s">
        <v>1153</v>
      </c>
      <c r="G1284" s="1">
        <v>4</v>
      </c>
      <c r="H1284" s="1" t="s">
        <v>19</v>
      </c>
      <c r="I1284" s="1" t="s">
        <v>425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1151</v>
      </c>
      <c r="D1285" s="1"/>
      <c r="E1285" s="1" t="s">
        <v>747</v>
      </c>
      <c r="F1285" s="1" t="s">
        <v>1154</v>
      </c>
      <c r="G1285" s="1">
        <v>2</v>
      </c>
      <c r="H1285" s="1" t="s">
        <v>19</v>
      </c>
      <c r="I1285" s="1" t="s">
        <v>425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1151</v>
      </c>
      <c r="D1286" s="1"/>
      <c r="E1286" s="1" t="s">
        <v>101</v>
      </c>
      <c r="F1286" s="1" t="s">
        <v>1156</v>
      </c>
      <c r="G1286" s="1">
        <v>4</v>
      </c>
      <c r="H1286" s="1" t="s">
        <v>19</v>
      </c>
      <c r="I1286" s="1" t="s">
        <v>425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1151</v>
      </c>
      <c r="D1287" s="1"/>
      <c r="E1287" s="1" t="s">
        <v>174</v>
      </c>
      <c r="F1287" s="1" t="s">
        <v>1157</v>
      </c>
      <c r="G1287" s="1">
        <v>8</v>
      </c>
      <c r="H1287" s="1" t="s">
        <v>19</v>
      </c>
      <c r="I1287" s="1" t="s">
        <v>425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1151</v>
      </c>
      <c r="D1288" s="1"/>
      <c r="E1288" s="1" t="s">
        <v>462</v>
      </c>
      <c r="F1288" s="1" t="s">
        <v>1158</v>
      </c>
      <c r="G1288" s="1">
        <v>2</v>
      </c>
      <c r="H1288" s="1" t="s">
        <v>19</v>
      </c>
      <c r="I1288" s="1" t="s">
        <v>425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1151</v>
      </c>
      <c r="D1289" s="1"/>
      <c r="E1289" s="1" t="s">
        <v>2</v>
      </c>
      <c r="F1289" s="1" t="s">
        <v>1152</v>
      </c>
      <c r="G1289" s="1">
        <v>2</v>
      </c>
      <c r="H1289" s="1" t="s">
        <v>19</v>
      </c>
      <c r="I1289" s="1" t="s">
        <v>426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1151</v>
      </c>
      <c r="D1290" s="1"/>
      <c r="E1290" s="1" t="s">
        <v>44</v>
      </c>
      <c r="F1290" s="1" t="s">
        <v>1153</v>
      </c>
      <c r="G1290" s="1">
        <v>4</v>
      </c>
      <c r="H1290" s="1" t="s">
        <v>19</v>
      </c>
      <c r="I1290" s="1" t="s">
        <v>426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1151</v>
      </c>
      <c r="D1291" s="1"/>
      <c r="E1291" s="1" t="s">
        <v>747</v>
      </c>
      <c r="F1291" s="1" t="s">
        <v>1154</v>
      </c>
      <c r="G1291" s="1">
        <v>2</v>
      </c>
      <c r="H1291" s="1" t="s">
        <v>19</v>
      </c>
      <c r="I1291" s="1" t="s">
        <v>426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1151</v>
      </c>
      <c r="D1292" s="1"/>
      <c r="E1292" s="1" t="s">
        <v>101</v>
      </c>
      <c r="F1292" s="1" t="s">
        <v>1156</v>
      </c>
      <c r="G1292" s="1">
        <v>4</v>
      </c>
      <c r="H1292" s="1" t="s">
        <v>19</v>
      </c>
      <c r="I1292" s="1" t="s">
        <v>426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1151</v>
      </c>
      <c r="D1293" s="1"/>
      <c r="E1293" s="1" t="s">
        <v>174</v>
      </c>
      <c r="F1293" s="1" t="s">
        <v>1157</v>
      </c>
      <c r="G1293" s="1">
        <v>8</v>
      </c>
      <c r="H1293" s="1" t="s">
        <v>19</v>
      </c>
      <c r="I1293" s="1" t="s">
        <v>426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1151</v>
      </c>
      <c r="D1294" s="1"/>
      <c r="E1294" s="1" t="s">
        <v>462</v>
      </c>
      <c r="F1294" s="1" t="s">
        <v>1158</v>
      </c>
      <c r="G1294" s="1">
        <v>2</v>
      </c>
      <c r="H1294" s="1" t="s">
        <v>19</v>
      </c>
      <c r="I1294" s="1" t="s">
        <v>426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1151</v>
      </c>
      <c r="D1295" s="1"/>
      <c r="E1295" s="1" t="s">
        <v>2</v>
      </c>
      <c r="F1295" s="1" t="s">
        <v>1152</v>
      </c>
      <c r="G1295" s="1">
        <v>2</v>
      </c>
      <c r="H1295" s="1" t="s">
        <v>19</v>
      </c>
      <c r="I1295" s="1" t="s">
        <v>427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1151</v>
      </c>
      <c r="D1296" s="1"/>
      <c r="E1296" s="1" t="s">
        <v>44</v>
      </c>
      <c r="F1296" s="1" t="s">
        <v>1153</v>
      </c>
      <c r="G1296" s="1">
        <v>4</v>
      </c>
      <c r="H1296" s="1" t="s">
        <v>19</v>
      </c>
      <c r="I1296" s="1" t="s">
        <v>427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1151</v>
      </c>
      <c r="D1297" s="1"/>
      <c r="E1297" s="1" t="s">
        <v>747</v>
      </c>
      <c r="F1297" s="1" t="s">
        <v>1154</v>
      </c>
      <c r="G1297" s="1">
        <v>2</v>
      </c>
      <c r="H1297" s="1" t="s">
        <v>19</v>
      </c>
      <c r="I1297" s="1" t="s">
        <v>427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1151</v>
      </c>
      <c r="D1298" s="1"/>
      <c r="E1298" s="1" t="s">
        <v>101</v>
      </c>
      <c r="F1298" s="1" t="s">
        <v>1156</v>
      </c>
      <c r="G1298" s="1">
        <v>4</v>
      </c>
      <c r="H1298" s="1" t="s">
        <v>19</v>
      </c>
      <c r="I1298" s="1" t="s">
        <v>427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1151</v>
      </c>
      <c r="D1299" s="1"/>
      <c r="E1299" s="1" t="s">
        <v>174</v>
      </c>
      <c r="F1299" s="1" t="s">
        <v>1157</v>
      </c>
      <c r="G1299" s="1">
        <v>8</v>
      </c>
      <c r="H1299" s="1" t="s">
        <v>19</v>
      </c>
      <c r="I1299" s="1" t="s">
        <v>427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1151</v>
      </c>
      <c r="D1300" s="1"/>
      <c r="E1300" s="1" t="s">
        <v>462</v>
      </c>
      <c r="F1300" s="1" t="s">
        <v>1158</v>
      </c>
      <c r="G1300" s="1">
        <v>2</v>
      </c>
      <c r="H1300" s="1" t="s">
        <v>19</v>
      </c>
      <c r="I1300" s="1" t="s">
        <v>427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1151</v>
      </c>
      <c r="D1301" s="1"/>
      <c r="E1301" s="1" t="s">
        <v>2</v>
      </c>
      <c r="F1301" s="1" t="s">
        <v>1152</v>
      </c>
      <c r="G1301" s="1">
        <v>2</v>
      </c>
      <c r="H1301" s="1" t="s">
        <v>19</v>
      </c>
      <c r="I1301" s="1" t="s">
        <v>428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1151</v>
      </c>
      <c r="D1302" s="1"/>
      <c r="E1302" s="1" t="s">
        <v>44</v>
      </c>
      <c r="F1302" s="1" t="s">
        <v>1153</v>
      </c>
      <c r="G1302" s="1">
        <v>4</v>
      </c>
      <c r="H1302" s="1" t="s">
        <v>19</v>
      </c>
      <c r="I1302" s="1" t="s">
        <v>428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1151</v>
      </c>
      <c r="D1303" s="1"/>
      <c r="E1303" s="1" t="s">
        <v>747</v>
      </c>
      <c r="F1303" s="1" t="s">
        <v>1154</v>
      </c>
      <c r="G1303" s="1">
        <v>2</v>
      </c>
      <c r="H1303" s="1" t="s">
        <v>19</v>
      </c>
      <c r="I1303" s="1" t="s">
        <v>428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1151</v>
      </c>
      <c r="D1304" s="1"/>
      <c r="E1304" s="1" t="s">
        <v>101</v>
      </c>
      <c r="F1304" s="1" t="s">
        <v>1156</v>
      </c>
      <c r="G1304" s="1">
        <v>4</v>
      </c>
      <c r="H1304" s="1" t="s">
        <v>19</v>
      </c>
      <c r="I1304" s="1" t="s">
        <v>428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1151</v>
      </c>
      <c r="D1305" s="1"/>
      <c r="E1305" s="1" t="s">
        <v>174</v>
      </c>
      <c r="F1305" s="1" t="s">
        <v>1157</v>
      </c>
      <c r="G1305" s="1">
        <v>8</v>
      </c>
      <c r="H1305" s="1" t="s">
        <v>19</v>
      </c>
      <c r="I1305" s="1" t="s">
        <v>428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1151</v>
      </c>
      <c r="D1306" s="1"/>
      <c r="E1306" s="1" t="s">
        <v>462</v>
      </c>
      <c r="F1306" s="1" t="s">
        <v>1158</v>
      </c>
      <c r="G1306" s="1">
        <v>2</v>
      </c>
      <c r="H1306" s="1" t="s">
        <v>19</v>
      </c>
      <c r="I1306" s="1" t="s">
        <v>428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1403</v>
      </c>
      <c r="D1307" s="1"/>
      <c r="E1307" s="1"/>
      <c r="F1307" s="1" t="s">
        <v>1404</v>
      </c>
      <c r="G1307" s="1">
        <v>16</v>
      </c>
      <c r="H1307" s="1" t="s">
        <v>19</v>
      </c>
      <c r="I1307" s="1" t="s">
        <v>1405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1406</v>
      </c>
      <c r="D1308" s="1"/>
      <c r="E1308" s="1"/>
      <c r="F1308" s="1" t="s">
        <v>1407</v>
      </c>
      <c r="G1308" s="1">
        <v>32</v>
      </c>
      <c r="H1308" s="1" t="s">
        <v>19</v>
      </c>
      <c r="I1308" s="1" t="s">
        <v>426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1408</v>
      </c>
      <c r="D1309" s="1"/>
      <c r="E1309" s="1"/>
      <c r="F1309" s="1" t="s">
        <v>1409</v>
      </c>
      <c r="G1309" s="1">
        <v>16</v>
      </c>
      <c r="H1309" s="1" t="s">
        <v>19</v>
      </c>
      <c r="I1309" s="1" t="s">
        <v>426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1410</v>
      </c>
      <c r="D1310" s="1"/>
      <c r="E1310" s="1"/>
      <c r="F1310" s="1" t="s">
        <v>1411</v>
      </c>
      <c r="G1310" s="1">
        <v>8</v>
      </c>
      <c r="H1310" s="1" t="s">
        <v>19</v>
      </c>
      <c r="I1310" s="1" t="s">
        <v>427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1214</v>
      </c>
      <c r="D1311" s="1"/>
      <c r="E1311" s="1"/>
      <c r="F1311" s="1" t="s">
        <v>1412</v>
      </c>
      <c r="G1311" s="1">
        <v>16</v>
      </c>
      <c r="H1311" s="1" t="s">
        <v>19</v>
      </c>
      <c r="I1311" s="1" t="s">
        <v>426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1413</v>
      </c>
      <c r="D1312" s="1"/>
      <c r="E1312" s="1"/>
      <c r="F1312" s="1" t="s">
        <v>1414</v>
      </c>
      <c r="G1312" s="1">
        <v>16</v>
      </c>
      <c r="H1312" s="1" t="s">
        <v>19</v>
      </c>
      <c r="I1312" s="1" t="s">
        <v>428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1415</v>
      </c>
      <c r="D1313" s="1"/>
      <c r="E1313" s="1"/>
      <c r="F1313" s="1" t="s">
        <v>1416</v>
      </c>
      <c r="G1313" s="1">
        <v>16</v>
      </c>
      <c r="H1313" s="1" t="s">
        <v>19</v>
      </c>
      <c r="I1313" s="1" t="s">
        <v>424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1417</v>
      </c>
      <c r="D1314" s="1"/>
      <c r="E1314" s="1"/>
      <c r="F1314" s="1" t="s">
        <v>1418</v>
      </c>
      <c r="G1314" s="1">
        <v>16</v>
      </c>
      <c r="H1314" s="1" t="s">
        <v>19</v>
      </c>
      <c r="I1314" s="1" t="s">
        <v>427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1419</v>
      </c>
      <c r="D1315" s="1"/>
      <c r="E1315" s="1"/>
      <c r="F1315" s="1" t="s">
        <v>1420</v>
      </c>
      <c r="G1315" s="1">
        <v>14</v>
      </c>
      <c r="H1315" s="1" t="s">
        <v>19</v>
      </c>
      <c r="I1315" s="1" t="s">
        <v>1421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1422</v>
      </c>
      <c r="D1316" s="1"/>
      <c r="E1316" s="1"/>
      <c r="F1316" s="1" t="s">
        <v>1423</v>
      </c>
      <c r="G1316" s="1">
        <v>8</v>
      </c>
      <c r="H1316" s="1" t="s">
        <v>19</v>
      </c>
      <c r="I1316" s="1" t="s">
        <v>1421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1424</v>
      </c>
      <c r="D1317" s="1"/>
      <c r="E1317" s="1"/>
      <c r="F1317" s="1" t="s">
        <v>1425</v>
      </c>
      <c r="G1317" s="1">
        <v>28</v>
      </c>
      <c r="H1317" s="1" t="s">
        <v>19</v>
      </c>
      <c r="I1317" s="1" t="s">
        <v>424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1223</v>
      </c>
      <c r="D1318" s="1"/>
      <c r="E1318" s="1"/>
      <c r="F1318" s="1" t="s">
        <v>1426</v>
      </c>
      <c r="G1318" s="1">
        <v>44</v>
      </c>
      <c r="H1318" s="1" t="s">
        <v>19</v>
      </c>
      <c r="I1318" s="1" t="s">
        <v>424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1427</v>
      </c>
      <c r="D1319" s="1"/>
      <c r="E1319" s="1"/>
      <c r="F1319" s="1" t="s">
        <v>1428</v>
      </c>
      <c r="G1319" s="1">
        <v>10</v>
      </c>
      <c r="H1319" s="1" t="s">
        <v>19</v>
      </c>
      <c r="I1319" s="1" t="s">
        <v>425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1429</v>
      </c>
      <c r="D1320" s="1"/>
      <c r="E1320" s="1"/>
      <c r="F1320" s="1" t="s">
        <v>1430</v>
      </c>
      <c r="G1320" s="1">
        <v>32</v>
      </c>
      <c r="H1320" s="1" t="s">
        <v>19</v>
      </c>
      <c r="I1320" s="1" t="s">
        <v>427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1431</v>
      </c>
      <c r="D1321" s="1"/>
      <c r="E1321" s="1"/>
      <c r="F1321" s="1" t="s">
        <v>1432</v>
      </c>
      <c r="G1321" s="1">
        <v>16</v>
      </c>
      <c r="H1321" s="1" t="s">
        <v>19</v>
      </c>
      <c r="I1321" s="1" t="s">
        <v>425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1433</v>
      </c>
      <c r="D1322" s="1"/>
      <c r="E1322" s="1"/>
      <c r="F1322" s="1" t="s">
        <v>1434</v>
      </c>
      <c r="G1322" s="1">
        <v>10</v>
      </c>
      <c r="H1322" s="1" t="s">
        <v>19</v>
      </c>
      <c r="I1322" s="1" t="s">
        <v>1435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1436</v>
      </c>
      <c r="D1323" s="1"/>
      <c r="E1323" s="1"/>
      <c r="F1323" s="1" t="s">
        <v>1437</v>
      </c>
      <c r="G1323" s="1">
        <v>14</v>
      </c>
      <c r="H1323" s="1" t="s">
        <v>19</v>
      </c>
      <c r="I1323" s="1" t="s">
        <v>427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1438</v>
      </c>
      <c r="D1324" s="1"/>
      <c r="E1324" s="1"/>
      <c r="F1324" s="1" t="s">
        <v>1439</v>
      </c>
      <c r="G1324" s="1">
        <v>8</v>
      </c>
      <c r="H1324" s="1" t="s">
        <v>19</v>
      </c>
      <c r="I1324" s="1" t="s">
        <v>427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1440</v>
      </c>
      <c r="D1325" s="1"/>
      <c r="E1325" s="1"/>
      <c r="F1325" s="1" t="s">
        <v>1441</v>
      </c>
      <c r="G1325" s="1">
        <v>32</v>
      </c>
      <c r="H1325" s="1" t="s">
        <v>19</v>
      </c>
      <c r="I1325" s="1" t="s">
        <v>427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1442</v>
      </c>
      <c r="D1326" s="1"/>
      <c r="E1326" s="1"/>
      <c r="F1326" s="1" t="s">
        <v>1443</v>
      </c>
      <c r="G1326" s="1">
        <v>24</v>
      </c>
      <c r="H1326" s="1" t="s">
        <v>19</v>
      </c>
      <c r="I1326" s="1" t="s">
        <v>427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1444</v>
      </c>
      <c r="D1327" s="1"/>
      <c r="E1327" s="1"/>
      <c r="F1327" s="1" t="s">
        <v>1445</v>
      </c>
      <c r="G1327" s="1">
        <v>24</v>
      </c>
      <c r="H1327" s="1" t="s">
        <v>19</v>
      </c>
      <c r="I1327" s="1" t="s">
        <v>427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1446</v>
      </c>
      <c r="D1328" s="1"/>
      <c r="E1328" s="1"/>
      <c r="F1328" s="1" t="s">
        <v>1447</v>
      </c>
      <c r="G1328" s="1">
        <v>12</v>
      </c>
      <c r="H1328" s="1" t="s">
        <v>19</v>
      </c>
      <c r="I1328" s="1" t="s">
        <v>428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1448</v>
      </c>
      <c r="D1329" s="1"/>
      <c r="E1329" s="1"/>
      <c r="F1329" s="1" t="s">
        <v>1449</v>
      </c>
      <c r="G1329" s="1">
        <v>28</v>
      </c>
      <c r="H1329" s="1" t="s">
        <v>19</v>
      </c>
      <c r="I1329" s="1" t="s">
        <v>428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1403</v>
      </c>
      <c r="D1330" s="1"/>
      <c r="E1330" s="1"/>
      <c r="F1330" s="1" t="s">
        <v>1450</v>
      </c>
      <c r="G1330" s="1">
        <v>8</v>
      </c>
      <c r="H1330" s="1" t="s">
        <v>19</v>
      </c>
      <c r="I1330" s="1" t="s">
        <v>1405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1415</v>
      </c>
      <c r="D1331" s="1"/>
      <c r="E1331" s="1"/>
      <c r="F1331" s="1" t="s">
        <v>1451</v>
      </c>
      <c r="G1331" s="1">
        <v>8</v>
      </c>
      <c r="H1331" s="1" t="s">
        <v>19</v>
      </c>
      <c r="I1331" s="1" t="s">
        <v>424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1413</v>
      </c>
      <c r="D1332" s="1"/>
      <c r="E1332" s="1"/>
      <c r="F1332" s="1" t="s">
        <v>1452</v>
      </c>
      <c r="G1332" s="1">
        <v>12</v>
      </c>
      <c r="H1332" s="1" t="s">
        <v>19</v>
      </c>
      <c r="I1332" s="1" t="s">
        <v>428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1417</v>
      </c>
      <c r="D1333" s="1"/>
      <c r="E1333" s="1"/>
      <c r="F1333" s="1" t="s">
        <v>1453</v>
      </c>
      <c r="G1333" s="1">
        <v>8</v>
      </c>
      <c r="H1333" s="1" t="s">
        <v>19</v>
      </c>
      <c r="I1333" s="1" t="s">
        <v>427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1454</v>
      </c>
      <c r="D1334" s="1"/>
      <c r="E1334" s="1"/>
      <c r="F1334" s="1" t="s">
        <v>1455</v>
      </c>
      <c r="G1334" s="1">
        <v>14</v>
      </c>
      <c r="H1334" s="1" t="s">
        <v>19</v>
      </c>
      <c r="I1334" s="1" t="s">
        <v>1456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1419</v>
      </c>
      <c r="D1335" s="1"/>
      <c r="E1335" s="1"/>
      <c r="F1335" s="1" t="s">
        <v>1457</v>
      </c>
      <c r="G1335" s="1">
        <v>16</v>
      </c>
      <c r="H1335" s="1" t="s">
        <v>19</v>
      </c>
      <c r="I1335" s="1" t="s">
        <v>1421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1422</v>
      </c>
      <c r="D1336" s="1"/>
      <c r="E1336" s="1"/>
      <c r="F1336" s="1" t="s">
        <v>1458</v>
      </c>
      <c r="G1336" s="1">
        <v>16</v>
      </c>
      <c r="H1336" s="1" t="s">
        <v>19</v>
      </c>
      <c r="I1336" s="1" t="s">
        <v>1421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1459</v>
      </c>
      <c r="D1337" s="1"/>
      <c r="E1337" s="1"/>
      <c r="F1337" s="1" t="s">
        <v>1460</v>
      </c>
      <c r="G1337" s="1">
        <v>7</v>
      </c>
      <c r="H1337" s="1" t="s">
        <v>19</v>
      </c>
      <c r="I1337" s="1" t="s">
        <v>426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1461</v>
      </c>
      <c r="D1338" s="1"/>
      <c r="E1338" s="1"/>
      <c r="F1338" s="1" t="s">
        <v>1462</v>
      </c>
      <c r="G1338" s="1">
        <v>16</v>
      </c>
      <c r="H1338" s="1" t="s">
        <v>19</v>
      </c>
      <c r="I1338" s="1" t="s">
        <v>427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1438</v>
      </c>
      <c r="D1339" s="1"/>
      <c r="E1339" s="1"/>
      <c r="F1339" s="1" t="s">
        <v>1463</v>
      </c>
      <c r="G1339" s="1">
        <v>16</v>
      </c>
      <c r="H1339" s="1" t="s">
        <v>19</v>
      </c>
      <c r="I1339" s="1" t="s">
        <v>427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1464</v>
      </c>
      <c r="D1340" s="1"/>
      <c r="E1340" s="1"/>
      <c r="F1340" s="1" t="s">
        <v>1465</v>
      </c>
      <c r="G1340" s="1">
        <v>68</v>
      </c>
      <c r="H1340" s="1" t="s">
        <v>19</v>
      </c>
      <c r="I1340" s="1" t="s">
        <v>426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1427</v>
      </c>
      <c r="D1341" s="1"/>
      <c r="E1341" s="1"/>
      <c r="F1341" s="1" t="s">
        <v>1466</v>
      </c>
      <c r="G1341" s="1">
        <v>8</v>
      </c>
      <c r="H1341" s="1" t="s">
        <v>19</v>
      </c>
      <c r="I1341" s="1" t="s">
        <v>425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1467</v>
      </c>
      <c r="D1342" s="1"/>
      <c r="E1342" s="1"/>
      <c r="F1342" s="1" t="s">
        <v>1468</v>
      </c>
      <c r="G1342" s="1">
        <v>8</v>
      </c>
      <c r="H1342" s="1" t="s">
        <v>19</v>
      </c>
      <c r="I1342" s="1" t="s">
        <v>426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1469</v>
      </c>
      <c r="D1343" s="1"/>
      <c r="E1343" s="1"/>
      <c r="F1343" s="1" t="s">
        <v>1470</v>
      </c>
      <c r="G1343" s="1">
        <v>12</v>
      </c>
      <c r="H1343" s="1" t="s">
        <v>19</v>
      </c>
      <c r="I1343" s="1" t="s">
        <v>428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1471</v>
      </c>
      <c r="D1344" s="1"/>
      <c r="E1344" s="1"/>
      <c r="F1344" s="1" t="s">
        <v>1472</v>
      </c>
      <c r="G1344" s="1">
        <v>20</v>
      </c>
      <c r="H1344" s="1" t="s">
        <v>19</v>
      </c>
      <c r="I1344" s="1" t="s">
        <v>424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1464</v>
      </c>
      <c r="D1345" s="1"/>
      <c r="E1345" s="1"/>
      <c r="F1345" s="1" t="s">
        <v>1473</v>
      </c>
      <c r="G1345" s="1">
        <v>16</v>
      </c>
      <c r="H1345" s="1" t="s">
        <v>19</v>
      </c>
      <c r="I1345" s="1" t="s">
        <v>426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1469</v>
      </c>
      <c r="D1346" s="1"/>
      <c r="E1346" s="1"/>
      <c r="F1346" s="1" t="s">
        <v>1474</v>
      </c>
      <c r="G1346" s="1">
        <v>4</v>
      </c>
      <c r="H1346" s="1" t="s">
        <v>19</v>
      </c>
      <c r="I1346" s="1" t="s">
        <v>428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1454</v>
      </c>
      <c r="D1347" s="1"/>
      <c r="E1347" s="1"/>
      <c r="F1347" s="1" t="s">
        <v>1475</v>
      </c>
      <c r="G1347" s="1">
        <v>14</v>
      </c>
      <c r="H1347" s="1" t="s">
        <v>19</v>
      </c>
      <c r="I1347" s="1" t="s">
        <v>1476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1477</v>
      </c>
      <c r="D1348" s="1"/>
      <c r="E1348" s="1"/>
      <c r="F1348" s="1" t="s">
        <v>1478</v>
      </c>
      <c r="G1348" s="1">
        <v>10</v>
      </c>
      <c r="H1348" s="1" t="s">
        <v>19</v>
      </c>
      <c r="I1348" s="1" t="s">
        <v>1421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1424</v>
      </c>
      <c r="D1349" s="1"/>
      <c r="E1349" s="1"/>
      <c r="F1349" s="1" t="s">
        <v>1479</v>
      </c>
      <c r="G1349" s="1">
        <v>28</v>
      </c>
      <c r="H1349" s="1" t="s">
        <v>19</v>
      </c>
      <c r="I1349" s="1" t="s">
        <v>424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1427</v>
      </c>
      <c r="D1350" s="1"/>
      <c r="E1350" s="1"/>
      <c r="F1350" s="1" t="s">
        <v>1480</v>
      </c>
      <c r="G1350" s="1">
        <v>10</v>
      </c>
      <c r="H1350" s="1" t="s">
        <v>19</v>
      </c>
      <c r="I1350" s="1" t="s">
        <v>425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1467</v>
      </c>
      <c r="D1351" s="1"/>
      <c r="E1351" s="1"/>
      <c r="F1351" s="1" t="s">
        <v>1481</v>
      </c>
      <c r="G1351" s="1">
        <v>16</v>
      </c>
      <c r="H1351" s="1" t="s">
        <v>19</v>
      </c>
      <c r="I1351" s="1" t="s">
        <v>426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1429</v>
      </c>
      <c r="D1352" s="1"/>
      <c r="E1352" s="1"/>
      <c r="F1352" s="1" t="s">
        <v>1482</v>
      </c>
      <c r="G1352" s="1">
        <v>32</v>
      </c>
      <c r="H1352" s="1" t="s">
        <v>19</v>
      </c>
      <c r="I1352" s="1" t="s">
        <v>427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1410</v>
      </c>
      <c r="D1353" s="1"/>
      <c r="E1353" s="1"/>
      <c r="F1353" s="1" t="s">
        <v>1483</v>
      </c>
      <c r="G1353" s="1">
        <v>4</v>
      </c>
      <c r="H1353" s="1" t="s">
        <v>19</v>
      </c>
      <c r="I1353" s="1" t="s">
        <v>427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1433</v>
      </c>
      <c r="D1354" s="1"/>
      <c r="E1354" s="1"/>
      <c r="F1354" s="1" t="s">
        <v>1484</v>
      </c>
      <c r="G1354" s="1">
        <v>4</v>
      </c>
      <c r="H1354" s="1" t="s">
        <v>19</v>
      </c>
      <c r="I1354" s="1" t="s">
        <v>1485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1486</v>
      </c>
      <c r="D1355" s="1"/>
      <c r="E1355" s="1"/>
      <c r="F1355" s="1" t="s">
        <v>1487</v>
      </c>
      <c r="G1355" s="1">
        <v>7</v>
      </c>
      <c r="H1355" s="1" t="s">
        <v>19</v>
      </c>
      <c r="I1355" s="1" t="s">
        <v>426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1461</v>
      </c>
      <c r="D1356" s="1"/>
      <c r="E1356" s="1"/>
      <c r="F1356" s="1" t="s">
        <v>1488</v>
      </c>
      <c r="G1356" s="1">
        <v>16</v>
      </c>
      <c r="H1356" s="1" t="s">
        <v>19</v>
      </c>
      <c r="I1356" s="1" t="s">
        <v>427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1461</v>
      </c>
      <c r="D1357" s="1"/>
      <c r="E1357" s="1"/>
      <c r="F1357" s="1" t="s">
        <v>1488</v>
      </c>
      <c r="G1357" s="1">
        <v>10</v>
      </c>
      <c r="H1357" s="1" t="s">
        <v>19</v>
      </c>
      <c r="I1357" s="1" t="s">
        <v>427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1446</v>
      </c>
      <c r="D1358" s="1"/>
      <c r="E1358" s="1"/>
      <c r="F1358" s="1" t="s">
        <v>1489</v>
      </c>
      <c r="G1358" s="1">
        <v>12</v>
      </c>
      <c r="H1358" s="1" t="s">
        <v>19</v>
      </c>
      <c r="I1358" s="1" t="s">
        <v>428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1471</v>
      </c>
      <c r="D1359" s="1"/>
      <c r="E1359" s="1"/>
      <c r="F1359" s="1" t="s">
        <v>1490</v>
      </c>
      <c r="G1359" s="1">
        <v>4</v>
      </c>
      <c r="H1359" s="1" t="s">
        <v>19</v>
      </c>
      <c r="I1359" s="1" t="s">
        <v>424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1464</v>
      </c>
      <c r="D1360" s="1"/>
      <c r="E1360" s="1"/>
      <c r="F1360" s="1" t="s">
        <v>1491</v>
      </c>
      <c r="G1360" s="1">
        <v>40</v>
      </c>
      <c r="H1360" s="1" t="s">
        <v>19</v>
      </c>
      <c r="I1360" s="1" t="s">
        <v>426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1469</v>
      </c>
      <c r="D1361" s="1"/>
      <c r="E1361" s="1"/>
      <c r="F1361" s="1" t="s">
        <v>1492</v>
      </c>
      <c r="G1361" s="1">
        <v>8</v>
      </c>
      <c r="H1361" s="1" t="s">
        <v>19</v>
      </c>
      <c r="I1361" s="1" t="s">
        <v>428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1422</v>
      </c>
      <c r="D1362" s="1"/>
      <c r="E1362" s="1"/>
      <c r="F1362" s="1" t="s">
        <v>1493</v>
      </c>
      <c r="G1362" s="1">
        <v>8</v>
      </c>
      <c r="H1362" s="1" t="s">
        <v>19</v>
      </c>
      <c r="I1362" s="1" t="s">
        <v>1421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1471</v>
      </c>
      <c r="D1363" s="1"/>
      <c r="E1363" s="1"/>
      <c r="F1363" s="1" t="s">
        <v>1494</v>
      </c>
      <c r="G1363" s="1">
        <v>16</v>
      </c>
      <c r="H1363" s="1" t="s">
        <v>19</v>
      </c>
      <c r="I1363" s="1" t="s">
        <v>424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1410</v>
      </c>
      <c r="D1364" s="1"/>
      <c r="E1364" s="1"/>
      <c r="F1364" s="1" t="s">
        <v>1495</v>
      </c>
      <c r="G1364" s="1">
        <v>4</v>
      </c>
      <c r="H1364" s="1" t="s">
        <v>19</v>
      </c>
      <c r="I1364" s="1" t="s">
        <v>427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1433</v>
      </c>
      <c r="D1365" s="1"/>
      <c r="E1365" s="1"/>
      <c r="F1365" s="1" t="s">
        <v>1496</v>
      </c>
      <c r="G1365" s="1">
        <v>6</v>
      </c>
      <c r="H1365" s="1" t="s">
        <v>19</v>
      </c>
      <c r="I1365" s="1" t="s">
        <v>1435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1461</v>
      </c>
      <c r="D1366" s="1"/>
      <c r="E1366" s="1"/>
      <c r="F1366" s="1" t="s">
        <v>1497</v>
      </c>
      <c r="G1366" s="1">
        <v>4</v>
      </c>
      <c r="H1366" s="1" t="s">
        <v>19</v>
      </c>
      <c r="I1366" s="1" t="s">
        <v>427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1438</v>
      </c>
      <c r="D1367" s="1"/>
      <c r="E1367" s="1"/>
      <c r="F1367" s="1" t="s">
        <v>1498</v>
      </c>
      <c r="G1367" s="1">
        <v>8</v>
      </c>
      <c r="H1367" s="1" t="s">
        <v>19</v>
      </c>
      <c r="I1367" s="1" t="s">
        <v>427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1419</v>
      </c>
      <c r="D1368" s="1"/>
      <c r="E1368" s="1"/>
      <c r="F1368" s="1" t="s">
        <v>1499</v>
      </c>
      <c r="G1368" s="1">
        <v>4</v>
      </c>
      <c r="H1368" s="1" t="s">
        <v>19</v>
      </c>
      <c r="I1368" s="1" t="s">
        <v>1421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1500</v>
      </c>
      <c r="D1369" s="1"/>
      <c r="E1369" s="1"/>
      <c r="F1369" s="1" t="s">
        <v>1501</v>
      </c>
      <c r="G1369" s="1">
        <v>8</v>
      </c>
      <c r="H1369" s="1" t="s">
        <v>19</v>
      </c>
      <c r="I1369" s="1" t="s">
        <v>424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1403</v>
      </c>
      <c r="D1370" s="1"/>
      <c r="E1370" s="1"/>
      <c r="F1370" s="1" t="s">
        <v>1502</v>
      </c>
      <c r="G1370" s="1">
        <v>8</v>
      </c>
      <c r="H1370" s="1" t="s">
        <v>19</v>
      </c>
      <c r="I1370" s="1" t="s">
        <v>1405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1413</v>
      </c>
      <c r="D1371" s="1"/>
      <c r="E1371" s="1"/>
      <c r="F1371" s="1" t="s">
        <v>1503</v>
      </c>
      <c r="G1371" s="1">
        <v>8</v>
      </c>
      <c r="H1371" s="1" t="s">
        <v>19</v>
      </c>
      <c r="I1371" s="1" t="s">
        <v>428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1417</v>
      </c>
      <c r="D1372" s="1"/>
      <c r="E1372" s="1"/>
      <c r="F1372" s="1" t="s">
        <v>1504</v>
      </c>
      <c r="G1372" s="1">
        <v>8</v>
      </c>
      <c r="H1372" s="1" t="s">
        <v>19</v>
      </c>
      <c r="I1372" s="1" t="s">
        <v>427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1427</v>
      </c>
      <c r="D1373" s="1"/>
      <c r="E1373" s="1"/>
      <c r="F1373" s="1" t="s">
        <v>1505</v>
      </c>
      <c r="G1373" s="1">
        <v>8</v>
      </c>
      <c r="H1373" s="1" t="s">
        <v>19</v>
      </c>
      <c r="I1373" s="1" t="s">
        <v>425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1408</v>
      </c>
      <c r="D1374" s="1"/>
      <c r="E1374" s="1"/>
      <c r="F1374" s="1" t="s">
        <v>1506</v>
      </c>
      <c r="G1374" s="1">
        <v>8</v>
      </c>
      <c r="H1374" s="1" t="s">
        <v>19</v>
      </c>
      <c r="I1374" s="1" t="s">
        <v>426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1464</v>
      </c>
      <c r="D1375" s="1"/>
      <c r="E1375" s="1"/>
      <c r="F1375" s="1" t="s">
        <v>1507</v>
      </c>
      <c r="G1375" s="1">
        <v>16</v>
      </c>
      <c r="H1375" s="1" t="s">
        <v>19</v>
      </c>
      <c r="I1375" s="1" t="s">
        <v>426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1464</v>
      </c>
      <c r="D1376" s="1"/>
      <c r="E1376" s="1"/>
      <c r="F1376" s="1" t="s">
        <v>1508</v>
      </c>
      <c r="G1376" s="1">
        <v>60</v>
      </c>
      <c r="H1376" s="1" t="s">
        <v>19</v>
      </c>
      <c r="I1376" s="1" t="s">
        <v>426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1415</v>
      </c>
      <c r="D1377" s="1"/>
      <c r="E1377" s="1"/>
      <c r="F1377" s="1" t="s">
        <v>1509</v>
      </c>
      <c r="G1377" s="1">
        <v>4</v>
      </c>
      <c r="H1377" s="1" t="s">
        <v>19</v>
      </c>
      <c r="I1377" s="1" t="s">
        <v>424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1403</v>
      </c>
      <c r="D1378" s="1"/>
      <c r="E1378" s="1"/>
      <c r="F1378" s="1" t="s">
        <v>1510</v>
      </c>
      <c r="G1378" s="1">
        <v>4</v>
      </c>
      <c r="H1378" s="1" t="s">
        <v>19</v>
      </c>
      <c r="I1378" s="1" t="s">
        <v>1405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1413</v>
      </c>
      <c r="D1379" s="1"/>
      <c r="E1379" s="1"/>
      <c r="F1379" s="1" t="s">
        <v>1511</v>
      </c>
      <c r="G1379" s="1">
        <v>4</v>
      </c>
      <c r="H1379" s="1" t="s">
        <v>19</v>
      </c>
      <c r="I1379" s="1" t="s">
        <v>428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1417</v>
      </c>
      <c r="D1380" s="1"/>
      <c r="E1380" s="1"/>
      <c r="F1380" s="1" t="s">
        <v>1512</v>
      </c>
      <c r="G1380" s="1">
        <v>4</v>
      </c>
      <c r="H1380" s="1" t="s">
        <v>19</v>
      </c>
      <c r="I1380" s="1" t="s">
        <v>427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1464</v>
      </c>
      <c r="D1381" s="1"/>
      <c r="E1381" s="1"/>
      <c r="F1381" s="1" t="s">
        <v>1513</v>
      </c>
      <c r="G1381" s="1">
        <v>16</v>
      </c>
      <c r="H1381" s="1" t="s">
        <v>19</v>
      </c>
      <c r="I1381" s="1" t="s">
        <v>426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1410</v>
      </c>
      <c r="D1382" s="1"/>
      <c r="E1382" s="1"/>
      <c r="F1382" s="1" t="s">
        <v>1514</v>
      </c>
      <c r="G1382" s="1">
        <v>12</v>
      </c>
      <c r="H1382" s="1" t="s">
        <v>19</v>
      </c>
      <c r="I1382" s="1" t="s">
        <v>427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1461</v>
      </c>
      <c r="D1383" s="1"/>
      <c r="E1383" s="1"/>
      <c r="F1383" s="1" t="s">
        <v>1515</v>
      </c>
      <c r="G1383" s="1">
        <v>14</v>
      </c>
      <c r="H1383" s="1" t="s">
        <v>19</v>
      </c>
      <c r="I1383" s="1" t="s">
        <v>427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1438</v>
      </c>
      <c r="D1384" s="1"/>
      <c r="E1384" s="1"/>
      <c r="F1384" s="1" t="s">
        <v>1516</v>
      </c>
      <c r="G1384" s="1">
        <v>16</v>
      </c>
      <c r="H1384" s="1" t="s">
        <v>19</v>
      </c>
      <c r="I1384" s="1" t="s">
        <v>427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1305</v>
      </c>
      <c r="D1385" s="1"/>
      <c r="E1385" s="1"/>
      <c r="F1385" s="1" t="s">
        <v>1517</v>
      </c>
      <c r="G1385" s="1">
        <v>28</v>
      </c>
      <c r="H1385" s="1" t="s">
        <v>19</v>
      </c>
      <c r="I1385" s="1" t="s">
        <v>428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1518</v>
      </c>
      <c r="D1386" s="1"/>
      <c r="E1386" s="1"/>
      <c r="F1386" s="1" t="s">
        <v>1519</v>
      </c>
      <c r="G1386" s="1">
        <v>14</v>
      </c>
      <c r="H1386" s="1" t="s">
        <v>19</v>
      </c>
      <c r="I1386" s="1" t="s">
        <v>1476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1477</v>
      </c>
      <c r="D1387" s="1"/>
      <c r="E1387" s="1"/>
      <c r="F1387" s="1" t="s">
        <v>1520</v>
      </c>
      <c r="G1387" s="1">
        <v>14</v>
      </c>
      <c r="H1387" s="1" t="s">
        <v>19</v>
      </c>
      <c r="I1387" s="1" t="s">
        <v>1421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1422</v>
      </c>
      <c r="D1388" s="1"/>
      <c r="E1388" s="1"/>
      <c r="F1388" s="1" t="s">
        <v>1521</v>
      </c>
      <c r="G1388" s="1">
        <v>16</v>
      </c>
      <c r="H1388" s="1" t="s">
        <v>19</v>
      </c>
      <c r="I1388" s="1" t="s">
        <v>1421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1471</v>
      </c>
      <c r="D1389" s="1"/>
      <c r="E1389" s="1"/>
      <c r="F1389" s="1" t="s">
        <v>1522</v>
      </c>
      <c r="G1389" s="1">
        <v>36</v>
      </c>
      <c r="H1389" s="1" t="s">
        <v>19</v>
      </c>
      <c r="I1389" s="1" t="s">
        <v>424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1424</v>
      </c>
      <c r="D1390" s="1"/>
      <c r="E1390" s="1"/>
      <c r="F1390" s="1" t="s">
        <v>1523</v>
      </c>
      <c r="G1390" s="1">
        <v>28</v>
      </c>
      <c r="H1390" s="1" t="s">
        <v>19</v>
      </c>
      <c r="I1390" s="1" t="s">
        <v>424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1223</v>
      </c>
      <c r="D1391" s="1"/>
      <c r="E1391" s="1"/>
      <c r="F1391" s="1" t="s">
        <v>1524</v>
      </c>
      <c r="G1391" s="1">
        <v>44</v>
      </c>
      <c r="H1391" s="1" t="s">
        <v>19</v>
      </c>
      <c r="I1391" s="1" t="s">
        <v>424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1427</v>
      </c>
      <c r="D1392" s="1"/>
      <c r="E1392" s="1"/>
      <c r="F1392" s="1" t="s">
        <v>1525</v>
      </c>
      <c r="G1392" s="1">
        <v>10</v>
      </c>
      <c r="H1392" s="1" t="s">
        <v>19</v>
      </c>
      <c r="I1392" s="1" t="s">
        <v>425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1408</v>
      </c>
      <c r="D1393" s="1"/>
      <c r="E1393" s="1"/>
      <c r="F1393" s="1" t="s">
        <v>1526</v>
      </c>
      <c r="G1393" s="1">
        <v>16</v>
      </c>
      <c r="H1393" s="1" t="s">
        <v>19</v>
      </c>
      <c r="I1393" s="1" t="s">
        <v>426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1429</v>
      </c>
      <c r="D1394" s="1"/>
      <c r="E1394" s="1"/>
      <c r="F1394" s="1" t="s">
        <v>1527</v>
      </c>
      <c r="G1394" s="1">
        <v>32</v>
      </c>
      <c r="H1394" s="1" t="s">
        <v>19</v>
      </c>
      <c r="I1394" s="1" t="s">
        <v>427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1219</v>
      </c>
      <c r="D1395" s="1"/>
      <c r="E1395" s="1"/>
      <c r="F1395" s="1" t="s">
        <v>1528</v>
      </c>
      <c r="G1395" s="1">
        <v>16</v>
      </c>
      <c r="H1395" s="1" t="s">
        <v>19</v>
      </c>
      <c r="I1395" s="1" t="s">
        <v>425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1529</v>
      </c>
      <c r="D1396" s="1"/>
      <c r="E1396" s="1"/>
      <c r="F1396" s="1" t="s">
        <v>1530</v>
      </c>
      <c r="G1396" s="1">
        <v>16</v>
      </c>
      <c r="H1396" s="1" t="s">
        <v>19</v>
      </c>
      <c r="I1396" s="1" t="s">
        <v>426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1433</v>
      </c>
      <c r="D1397" s="1"/>
      <c r="E1397" s="1"/>
      <c r="F1397" s="1" t="s">
        <v>1531</v>
      </c>
      <c r="G1397" s="1">
        <v>16</v>
      </c>
      <c r="H1397" s="1" t="s">
        <v>19</v>
      </c>
      <c r="I1397" s="1" t="s">
        <v>1435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1438</v>
      </c>
      <c r="D1398" s="1"/>
      <c r="E1398" s="1"/>
      <c r="F1398" s="1" t="s">
        <v>1532</v>
      </c>
      <c r="G1398" s="1">
        <v>7</v>
      </c>
      <c r="H1398" s="1" t="s">
        <v>19</v>
      </c>
      <c r="I1398" s="1" t="s">
        <v>427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1469</v>
      </c>
      <c r="D1399" s="1"/>
      <c r="E1399" s="1"/>
      <c r="F1399" s="1" t="s">
        <v>1533</v>
      </c>
      <c r="G1399" s="1">
        <v>20</v>
      </c>
      <c r="H1399" s="1" t="s">
        <v>19</v>
      </c>
      <c r="I1399" s="1" t="s">
        <v>428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1440</v>
      </c>
      <c r="D1400" s="1"/>
      <c r="E1400" s="1"/>
      <c r="F1400" s="1" t="s">
        <v>1534</v>
      </c>
      <c r="G1400" s="1">
        <v>32</v>
      </c>
      <c r="H1400" s="1" t="s">
        <v>19</v>
      </c>
      <c r="I1400" s="1" t="s">
        <v>427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1442</v>
      </c>
      <c r="D1401" s="1"/>
      <c r="E1401" s="1"/>
      <c r="F1401" s="1" t="s">
        <v>1535</v>
      </c>
      <c r="G1401" s="1">
        <v>24</v>
      </c>
      <c r="H1401" s="1" t="s">
        <v>19</v>
      </c>
      <c r="I1401" s="1" t="s">
        <v>427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1311</v>
      </c>
      <c r="D1402" s="1"/>
      <c r="E1402" s="1"/>
      <c r="F1402" s="1" t="s">
        <v>1536</v>
      </c>
      <c r="G1402" s="1">
        <v>24</v>
      </c>
      <c r="H1402" s="1" t="s">
        <v>19</v>
      </c>
      <c r="I1402" s="1" t="s">
        <v>427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1446</v>
      </c>
      <c r="D1403" s="1"/>
      <c r="E1403" s="1"/>
      <c r="F1403" s="1" t="s">
        <v>1537</v>
      </c>
      <c r="G1403" s="1">
        <v>12</v>
      </c>
      <c r="H1403" s="1" t="s">
        <v>19</v>
      </c>
      <c r="I1403" s="1" t="s">
        <v>428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1438</v>
      </c>
      <c r="D1404" s="1"/>
      <c r="E1404" s="1"/>
      <c r="F1404" s="1" t="s">
        <v>1538</v>
      </c>
      <c r="G1404" s="1">
        <v>16</v>
      </c>
      <c r="H1404" s="1" t="s">
        <v>19</v>
      </c>
      <c r="I1404" s="1" t="s">
        <v>427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1415</v>
      </c>
      <c r="D1405" s="1"/>
      <c r="E1405" s="1"/>
      <c r="F1405" s="1" t="s">
        <v>1539</v>
      </c>
      <c r="G1405" s="1">
        <v>8</v>
      </c>
      <c r="H1405" s="1" t="s">
        <v>19</v>
      </c>
      <c r="I1405" s="1" t="s">
        <v>424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1403</v>
      </c>
      <c r="D1406" s="1"/>
      <c r="E1406" s="1"/>
      <c r="F1406" s="1" t="s">
        <v>1540</v>
      </c>
      <c r="G1406" s="1">
        <v>8</v>
      </c>
      <c r="H1406" s="1" t="s">
        <v>19</v>
      </c>
      <c r="I1406" s="1" t="s">
        <v>1405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1413</v>
      </c>
      <c r="D1407" s="1"/>
      <c r="E1407" s="1"/>
      <c r="F1407" s="1" t="s">
        <v>1541</v>
      </c>
      <c r="G1407" s="1">
        <v>12</v>
      </c>
      <c r="H1407" s="1" t="s">
        <v>19</v>
      </c>
      <c r="I1407" s="1" t="s">
        <v>428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1417</v>
      </c>
      <c r="D1408" s="1"/>
      <c r="E1408" s="1"/>
      <c r="F1408" s="1" t="s">
        <v>1542</v>
      </c>
      <c r="G1408" s="1">
        <v>8</v>
      </c>
      <c r="H1408" s="1" t="s">
        <v>19</v>
      </c>
      <c r="I1408" s="1" t="s">
        <v>427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1477</v>
      </c>
      <c r="D1409" s="1"/>
      <c r="E1409" s="1"/>
      <c r="F1409" s="1" t="s">
        <v>1543</v>
      </c>
      <c r="G1409" s="1">
        <v>16</v>
      </c>
      <c r="H1409" s="1" t="s">
        <v>19</v>
      </c>
      <c r="I1409" s="1" t="s">
        <v>1421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1477</v>
      </c>
      <c r="D1410" s="1"/>
      <c r="E1410" s="1"/>
      <c r="F1410" s="1" t="s">
        <v>1543</v>
      </c>
      <c r="G1410" s="1">
        <v>16</v>
      </c>
      <c r="H1410" s="1" t="s">
        <v>19</v>
      </c>
      <c r="I1410" s="1" t="s">
        <v>1421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1422</v>
      </c>
      <c r="D1411" s="1"/>
      <c r="E1411" s="1"/>
      <c r="F1411" s="1" t="s">
        <v>1544</v>
      </c>
      <c r="G1411" s="1">
        <v>16</v>
      </c>
      <c r="H1411" s="1" t="s">
        <v>19</v>
      </c>
      <c r="I1411" s="1" t="s">
        <v>1421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1415</v>
      </c>
      <c r="D1412" s="1"/>
      <c r="E1412" s="1"/>
      <c r="F1412" s="1" t="s">
        <v>1545</v>
      </c>
      <c r="G1412" s="1">
        <v>8</v>
      </c>
      <c r="H1412" s="1" t="s">
        <v>19</v>
      </c>
      <c r="I1412" s="1" t="s">
        <v>424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1403</v>
      </c>
      <c r="D1413" s="1"/>
      <c r="E1413" s="1"/>
      <c r="F1413" s="1" t="s">
        <v>1546</v>
      </c>
      <c r="G1413" s="1">
        <v>8</v>
      </c>
      <c r="H1413" s="1" t="s">
        <v>19</v>
      </c>
      <c r="I1413" s="1" t="s">
        <v>1405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1413</v>
      </c>
      <c r="D1414" s="1"/>
      <c r="E1414" s="1"/>
      <c r="F1414" s="1" t="s">
        <v>1547</v>
      </c>
      <c r="G1414" s="1">
        <v>8</v>
      </c>
      <c r="H1414" s="1" t="s">
        <v>19</v>
      </c>
      <c r="I1414" s="1" t="s">
        <v>428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1417</v>
      </c>
      <c r="D1415" s="1"/>
      <c r="E1415" s="1"/>
      <c r="F1415" s="1" t="s">
        <v>1548</v>
      </c>
      <c r="G1415" s="1">
        <v>8</v>
      </c>
      <c r="H1415" s="1" t="s">
        <v>19</v>
      </c>
      <c r="I1415" s="1" t="s">
        <v>427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1464</v>
      </c>
      <c r="D1416" s="1"/>
      <c r="E1416" s="1"/>
      <c r="F1416" s="1" t="s">
        <v>1549</v>
      </c>
      <c r="G1416" s="1">
        <v>100</v>
      </c>
      <c r="H1416" s="1" t="s">
        <v>19</v>
      </c>
      <c r="I1416" s="1" t="s">
        <v>426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1427</v>
      </c>
      <c r="D1417" s="1"/>
      <c r="E1417" s="1"/>
      <c r="F1417" s="1" t="s">
        <v>1550</v>
      </c>
      <c r="G1417" s="1">
        <v>8</v>
      </c>
      <c r="H1417" s="1" t="s">
        <v>19</v>
      </c>
      <c r="I1417" s="1" t="s">
        <v>425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1408</v>
      </c>
      <c r="D1418" s="1"/>
      <c r="E1418" s="1"/>
      <c r="F1418" s="1" t="s">
        <v>1551</v>
      </c>
      <c r="G1418" s="1">
        <v>8</v>
      </c>
      <c r="H1418" s="1" t="s">
        <v>19</v>
      </c>
      <c r="I1418" s="1" t="s">
        <v>426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1552</v>
      </c>
      <c r="D1419" s="1"/>
      <c r="E1419" s="1"/>
      <c r="F1419" s="1" t="s">
        <v>1553</v>
      </c>
      <c r="G1419" s="1">
        <v>260</v>
      </c>
      <c r="H1419" s="1" t="s">
        <v>19</v>
      </c>
      <c r="I1419" s="1" t="s">
        <v>1554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1552</v>
      </c>
      <c r="D1420" s="1"/>
      <c r="E1420" s="1"/>
      <c r="F1420" s="1" t="s">
        <v>1555</v>
      </c>
      <c r="G1420" s="1">
        <v>260</v>
      </c>
      <c r="H1420" s="1" t="s">
        <v>19</v>
      </c>
      <c r="I1420" s="1" t="s">
        <v>1554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1552</v>
      </c>
      <c r="D1421" s="1"/>
      <c r="E1421" s="1"/>
      <c r="F1421" s="1" t="s">
        <v>1556</v>
      </c>
      <c r="G1421" s="1">
        <v>260</v>
      </c>
      <c r="H1421" s="1" t="s">
        <v>19</v>
      </c>
      <c r="I1421" s="1" t="s">
        <v>1554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1557</v>
      </c>
      <c r="D1422" s="1"/>
      <c r="E1422" s="1"/>
      <c r="F1422" s="1" t="s">
        <v>1558</v>
      </c>
      <c r="G1422" s="1">
        <v>408</v>
      </c>
      <c r="H1422" s="1" t="s">
        <v>19</v>
      </c>
      <c r="I1422" s="1" t="s">
        <v>1559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1560</v>
      </c>
      <c r="D1423" s="1"/>
      <c r="E1423" s="1"/>
      <c r="F1423" s="1" t="s">
        <v>1561</v>
      </c>
      <c r="G1423" s="1">
        <v>174</v>
      </c>
      <c r="H1423" s="1" t="s">
        <v>19</v>
      </c>
      <c r="I1423" s="1" t="s">
        <v>425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1562</v>
      </c>
      <c r="D1424" s="1"/>
      <c r="E1424" s="1"/>
      <c r="F1424" s="1" t="s">
        <v>1563</v>
      </c>
      <c r="G1424" s="1">
        <v>258</v>
      </c>
      <c r="H1424" s="1" t="s">
        <v>19</v>
      </c>
      <c r="I1424" s="1" t="s">
        <v>426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1564</v>
      </c>
      <c r="D1425" s="1"/>
      <c r="E1425" s="1"/>
      <c r="F1425" s="1" t="s">
        <v>1565</v>
      </c>
      <c r="G1425" s="1">
        <v>597</v>
      </c>
      <c r="H1425" s="1" t="s">
        <v>19</v>
      </c>
      <c r="I1425" s="1" t="s">
        <v>428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1566</v>
      </c>
      <c r="D1426" s="1"/>
      <c r="E1426" s="1"/>
      <c r="F1426" s="1" t="s">
        <v>1567</v>
      </c>
      <c r="G1426" s="1">
        <v>362</v>
      </c>
      <c r="H1426" s="1" t="s">
        <v>19</v>
      </c>
      <c r="I1426" s="1" t="s">
        <v>427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1568</v>
      </c>
      <c r="D1427" s="1"/>
      <c r="E1427" s="1"/>
      <c r="F1427" s="1" t="s">
        <v>1569</v>
      </c>
      <c r="G1427" s="1">
        <v>131</v>
      </c>
      <c r="H1427" s="1" t="s">
        <v>19</v>
      </c>
      <c r="I1427" s="1" t="s">
        <v>428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1568</v>
      </c>
      <c r="D1428" s="1"/>
      <c r="E1428" s="1"/>
      <c r="F1428" s="1" t="s">
        <v>1570</v>
      </c>
      <c r="G1428" s="1">
        <v>131</v>
      </c>
      <c r="H1428" s="1" t="s">
        <v>19</v>
      </c>
      <c r="I1428" s="1" t="s">
        <v>428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1568</v>
      </c>
      <c r="D1429" s="1"/>
      <c r="E1429" s="1"/>
      <c r="F1429" s="1" t="s">
        <v>1571</v>
      </c>
      <c r="G1429" s="1">
        <v>131</v>
      </c>
      <c r="H1429" s="1" t="s">
        <v>19</v>
      </c>
      <c r="I1429" s="1" t="s">
        <v>428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1572</v>
      </c>
      <c r="D1430" s="1"/>
      <c r="E1430" s="1"/>
      <c r="F1430" s="1" t="s">
        <v>1573</v>
      </c>
      <c r="G1430" s="1">
        <v>1</v>
      </c>
      <c r="H1430" s="1" t="s">
        <v>19</v>
      </c>
      <c r="I1430" s="1" t="s">
        <v>1574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1572</v>
      </c>
      <c r="D1431" s="1"/>
      <c r="E1431" s="1"/>
      <c r="F1431" s="1" t="s">
        <v>1575</v>
      </c>
      <c r="G1431" s="1">
        <v>1</v>
      </c>
      <c r="H1431" s="1" t="s">
        <v>19</v>
      </c>
      <c r="I1431" s="1" t="s">
        <v>1574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1560</v>
      </c>
      <c r="D1432" s="1"/>
      <c r="E1432" s="1"/>
      <c r="F1432" s="1" t="s">
        <v>1576</v>
      </c>
      <c r="G1432" s="1">
        <v>174</v>
      </c>
      <c r="H1432" s="1" t="s">
        <v>19</v>
      </c>
      <c r="I1432" s="1" t="s">
        <v>425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1562</v>
      </c>
      <c r="D1433" s="1"/>
      <c r="E1433" s="1"/>
      <c r="F1433" s="1" t="s">
        <v>1577</v>
      </c>
      <c r="G1433" s="1">
        <v>258</v>
      </c>
      <c r="H1433" s="1" t="s">
        <v>19</v>
      </c>
      <c r="I1433" s="1" t="s">
        <v>426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1566</v>
      </c>
      <c r="D1434" s="1"/>
      <c r="E1434" s="1"/>
      <c r="F1434" s="1" t="s">
        <v>1578</v>
      </c>
      <c r="G1434" s="1">
        <v>362</v>
      </c>
      <c r="H1434" s="1" t="s">
        <v>19</v>
      </c>
      <c r="I1434" s="1" t="s">
        <v>427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1564</v>
      </c>
      <c r="D1435" s="1"/>
      <c r="E1435" s="1"/>
      <c r="F1435" s="1" t="s">
        <v>1579</v>
      </c>
      <c r="G1435" s="1">
        <v>597</v>
      </c>
      <c r="H1435" s="1" t="s">
        <v>19</v>
      </c>
      <c r="I1435" s="1" t="s">
        <v>428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1557</v>
      </c>
      <c r="D1436" s="1"/>
      <c r="E1436" s="1"/>
      <c r="F1436" s="1" t="s">
        <v>1580</v>
      </c>
      <c r="G1436" s="1">
        <v>408</v>
      </c>
      <c r="H1436" s="1" t="s">
        <v>19</v>
      </c>
      <c r="I1436" s="1" t="s">
        <v>424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1572</v>
      </c>
      <c r="D1437" s="1"/>
      <c r="E1437" s="1"/>
      <c r="F1437" s="1" t="s">
        <v>1581</v>
      </c>
      <c r="G1437" s="1">
        <v>1</v>
      </c>
      <c r="H1437" s="1" t="s">
        <v>19</v>
      </c>
      <c r="I1437" s="1" t="s">
        <v>1574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639</v>
      </c>
      <c r="D1438" s="1"/>
      <c r="E1438" s="1"/>
      <c r="F1438" s="1" t="s">
        <v>1582</v>
      </c>
      <c r="G1438" s="1">
        <v>14</v>
      </c>
      <c r="H1438" s="1" t="s">
        <v>19</v>
      </c>
      <c r="I1438" s="1" t="s">
        <v>426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1583</v>
      </c>
      <c r="D1439" s="1"/>
      <c r="E1439" s="1"/>
      <c r="F1439" s="1" t="s">
        <v>1584</v>
      </c>
      <c r="G1439" s="1">
        <v>20</v>
      </c>
      <c r="H1439" s="1" t="s">
        <v>19</v>
      </c>
      <c r="I1439" s="1" t="s">
        <v>428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1585</v>
      </c>
      <c r="D1440" s="1"/>
      <c r="E1440" s="1"/>
      <c r="F1440" s="1" t="s">
        <v>1586</v>
      </c>
      <c r="G1440" s="1">
        <v>230</v>
      </c>
      <c r="H1440" s="1" t="s">
        <v>19</v>
      </c>
      <c r="I1440" s="1" t="s">
        <v>1587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639</v>
      </c>
      <c r="D1441" s="1"/>
      <c r="E1441" s="1"/>
      <c r="F1441" s="1" t="s">
        <v>1588</v>
      </c>
      <c r="G1441" s="1">
        <v>20</v>
      </c>
      <c r="H1441" s="1" t="s">
        <v>19</v>
      </c>
      <c r="I1441" s="1" t="s">
        <v>426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1583</v>
      </c>
      <c r="D1442" s="1"/>
      <c r="E1442" s="1"/>
      <c r="F1442" s="1" t="s">
        <v>1589</v>
      </c>
      <c r="G1442" s="1">
        <v>20</v>
      </c>
      <c r="H1442" s="1" t="s">
        <v>19</v>
      </c>
      <c r="I1442" s="1" t="s">
        <v>428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1585</v>
      </c>
      <c r="D1443" s="1"/>
      <c r="E1443" s="1"/>
      <c r="F1443" s="1" t="s">
        <v>1590</v>
      </c>
      <c r="G1443" s="1">
        <v>230</v>
      </c>
      <c r="H1443" s="1" t="s">
        <v>19</v>
      </c>
      <c r="I1443" s="1" t="s">
        <v>1587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639</v>
      </c>
      <c r="D1444" s="1"/>
      <c r="E1444" s="1"/>
      <c r="F1444" s="1" t="s">
        <v>1591</v>
      </c>
      <c r="G1444" s="1">
        <v>50</v>
      </c>
      <c r="H1444" s="1" t="s">
        <v>19</v>
      </c>
      <c r="I1444" s="1" t="s">
        <v>426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639</v>
      </c>
      <c r="D1445" s="1"/>
      <c r="E1445" s="1"/>
      <c r="F1445" s="1" t="s">
        <v>1592</v>
      </c>
      <c r="G1445" s="1">
        <v>26</v>
      </c>
      <c r="H1445" s="1" t="s">
        <v>19</v>
      </c>
      <c r="I1445" s="1" t="s">
        <v>426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1583</v>
      </c>
      <c r="D1446" s="1"/>
      <c r="E1446" s="1"/>
      <c r="F1446" s="1" t="s">
        <v>1593</v>
      </c>
      <c r="G1446" s="1">
        <v>40</v>
      </c>
      <c r="H1446" s="1" t="s">
        <v>19</v>
      </c>
      <c r="I1446" s="1" t="s">
        <v>428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1585</v>
      </c>
      <c r="D1447" s="1"/>
      <c r="E1447" s="1"/>
      <c r="F1447" s="1" t="s">
        <v>1594</v>
      </c>
      <c r="G1447" s="1">
        <v>460</v>
      </c>
      <c r="H1447" s="1" t="s">
        <v>19</v>
      </c>
      <c r="I1447" s="1" t="s">
        <v>1587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1595</v>
      </c>
      <c r="D1448" s="1"/>
      <c r="E1448" s="1"/>
      <c r="F1448" s="1" t="s">
        <v>1596</v>
      </c>
      <c r="G1448" s="1">
        <v>6</v>
      </c>
      <c r="H1448" s="1" t="s">
        <v>19</v>
      </c>
      <c r="I1448" s="1" t="s">
        <v>1559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1597</v>
      </c>
      <c r="D1449" s="1"/>
      <c r="E1449" s="1"/>
      <c r="F1449" s="1" t="s">
        <v>1598</v>
      </c>
      <c r="G1449" s="1">
        <v>2</v>
      </c>
      <c r="H1449" s="1" t="s">
        <v>19</v>
      </c>
      <c r="I1449" s="1" t="s">
        <v>1599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1595</v>
      </c>
      <c r="D1450" s="1"/>
      <c r="E1450" s="1"/>
      <c r="F1450" s="1" t="s">
        <v>1600</v>
      </c>
      <c r="G1450" s="1">
        <v>16</v>
      </c>
      <c r="H1450" s="1" t="s">
        <v>19</v>
      </c>
      <c r="I1450" s="1" t="s">
        <v>1559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1557</v>
      </c>
      <c r="D1451" s="1"/>
      <c r="E1451" s="1"/>
      <c r="F1451" s="1" t="s">
        <v>1601</v>
      </c>
      <c r="G1451" s="1">
        <v>48</v>
      </c>
      <c r="H1451" s="1" t="s">
        <v>19</v>
      </c>
      <c r="I1451" s="1" t="s">
        <v>424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1560</v>
      </c>
      <c r="D1452" s="1"/>
      <c r="E1452" s="1"/>
      <c r="F1452" s="1" t="s">
        <v>1602</v>
      </c>
      <c r="G1452" s="1">
        <v>7</v>
      </c>
      <c r="H1452" s="1" t="s">
        <v>19</v>
      </c>
      <c r="I1452" s="1" t="s">
        <v>425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1562</v>
      </c>
      <c r="D1453" s="1"/>
      <c r="E1453" s="1"/>
      <c r="F1453" s="1" t="s">
        <v>1603</v>
      </c>
      <c r="G1453" s="1">
        <v>10</v>
      </c>
      <c r="H1453" s="1" t="s">
        <v>19</v>
      </c>
      <c r="I1453" s="1" t="s">
        <v>426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1566</v>
      </c>
      <c r="D1454" s="1"/>
      <c r="E1454" s="1"/>
      <c r="F1454" s="1" t="s">
        <v>1604</v>
      </c>
      <c r="G1454" s="1">
        <v>24</v>
      </c>
      <c r="H1454" s="1" t="s">
        <v>19</v>
      </c>
      <c r="I1454" s="1" t="s">
        <v>427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1564</v>
      </c>
      <c r="D1455" s="1"/>
      <c r="E1455" s="1"/>
      <c r="F1455" s="1" t="s">
        <v>1605</v>
      </c>
      <c r="G1455" s="1">
        <v>146</v>
      </c>
      <c r="H1455" s="1" t="s">
        <v>19</v>
      </c>
      <c r="I1455" s="1" t="s">
        <v>428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1606</v>
      </c>
      <c r="D1456" s="1"/>
      <c r="E1456" s="1"/>
      <c r="F1456" s="1" t="s">
        <v>1607</v>
      </c>
      <c r="G1456" s="1">
        <v>1</v>
      </c>
      <c r="H1456" s="1" t="s">
        <v>19</v>
      </c>
      <c r="I1456" s="1" t="s">
        <v>1599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1595</v>
      </c>
      <c r="D1457" s="1"/>
      <c r="E1457" s="1"/>
      <c r="F1457" s="1" t="s">
        <v>1608</v>
      </c>
      <c r="G1457" s="1">
        <v>90</v>
      </c>
      <c r="H1457" s="1" t="s">
        <v>19</v>
      </c>
      <c r="I1457" s="1" t="s">
        <v>1559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1609</v>
      </c>
      <c r="D1458" s="1"/>
      <c r="E1458" s="1"/>
      <c r="F1458" s="1" t="s">
        <v>1610</v>
      </c>
      <c r="G1458" s="1">
        <v>40</v>
      </c>
      <c r="H1458" s="1" t="s">
        <v>19</v>
      </c>
      <c r="I1458" s="1" t="s">
        <v>425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1611</v>
      </c>
      <c r="D1459" s="1"/>
      <c r="E1459" s="1"/>
      <c r="F1459" s="1" t="s">
        <v>1612</v>
      </c>
      <c r="G1459" s="1">
        <v>44</v>
      </c>
      <c r="H1459" s="1" t="s">
        <v>19</v>
      </c>
      <c r="I1459" s="1" t="s">
        <v>426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1613</v>
      </c>
      <c r="D1460" s="1"/>
      <c r="E1460" s="1"/>
      <c r="F1460" s="1" t="s">
        <v>1614</v>
      </c>
      <c r="G1460" s="1">
        <v>12</v>
      </c>
      <c r="H1460" s="1" t="s">
        <v>19</v>
      </c>
      <c r="I1460" s="1" t="s">
        <v>425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1611</v>
      </c>
      <c r="D1461" s="1"/>
      <c r="E1461" s="1"/>
      <c r="F1461" s="1" t="s">
        <v>1615</v>
      </c>
      <c r="G1461" s="1">
        <v>12</v>
      </c>
      <c r="H1461" s="1" t="s">
        <v>19</v>
      </c>
      <c r="I1461" s="1" t="s">
        <v>426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1611</v>
      </c>
      <c r="D1462" s="1"/>
      <c r="E1462" s="1"/>
      <c r="F1462" s="1" t="s">
        <v>1615</v>
      </c>
      <c r="G1462" s="1">
        <v>12</v>
      </c>
      <c r="H1462" s="1" t="s">
        <v>19</v>
      </c>
      <c r="I1462" s="1" t="s">
        <v>426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1616</v>
      </c>
      <c r="D1463" s="1"/>
      <c r="E1463" s="1"/>
      <c r="F1463" s="1" t="s">
        <v>1617</v>
      </c>
      <c r="G1463" s="1">
        <v>48</v>
      </c>
      <c r="H1463" s="1" t="s">
        <v>19</v>
      </c>
      <c r="I1463" s="1" t="s">
        <v>427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1597</v>
      </c>
      <c r="D1464" s="1"/>
      <c r="E1464" s="1"/>
      <c r="F1464" s="1" t="s">
        <v>1618</v>
      </c>
      <c r="G1464" s="1">
        <v>2</v>
      </c>
      <c r="H1464" s="1" t="s">
        <v>19</v>
      </c>
      <c r="I1464" s="1" t="s">
        <v>1599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1560</v>
      </c>
      <c r="D1465" s="1"/>
      <c r="E1465" s="1"/>
      <c r="F1465" s="1" t="s">
        <v>1619</v>
      </c>
      <c r="G1465" s="1">
        <v>7</v>
      </c>
      <c r="H1465" s="1" t="s">
        <v>19</v>
      </c>
      <c r="I1465" s="1" t="s">
        <v>425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1560</v>
      </c>
      <c r="D1466" s="1"/>
      <c r="E1466" s="1"/>
      <c r="F1466" s="1" t="s">
        <v>1619</v>
      </c>
      <c r="G1466" s="1">
        <v>48</v>
      </c>
      <c r="H1466" s="1" t="s">
        <v>19</v>
      </c>
      <c r="I1466" s="1" t="s">
        <v>425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1562</v>
      </c>
      <c r="D1467" s="1"/>
      <c r="E1467" s="1"/>
      <c r="F1467" s="1" t="s">
        <v>1620</v>
      </c>
      <c r="G1467" s="1">
        <v>10</v>
      </c>
      <c r="H1467" s="1" t="s">
        <v>19</v>
      </c>
      <c r="I1467" s="1" t="s">
        <v>426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1566</v>
      </c>
      <c r="D1468" s="1"/>
      <c r="E1468" s="1"/>
      <c r="F1468" s="1" t="s">
        <v>1621</v>
      </c>
      <c r="G1468" s="1">
        <v>24</v>
      </c>
      <c r="H1468" s="1" t="s">
        <v>19</v>
      </c>
      <c r="I1468" s="1" t="s">
        <v>427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1564</v>
      </c>
      <c r="D1469" s="1"/>
      <c r="E1469" s="1"/>
      <c r="F1469" s="1" t="s">
        <v>1622</v>
      </c>
      <c r="G1469" s="1">
        <v>146</v>
      </c>
      <c r="H1469" s="1" t="s">
        <v>19</v>
      </c>
      <c r="I1469" s="1" t="s">
        <v>428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1595</v>
      </c>
      <c r="D1470" s="1"/>
      <c r="E1470" s="1"/>
      <c r="F1470" s="1" t="s">
        <v>1623</v>
      </c>
      <c r="G1470" s="1">
        <v>16</v>
      </c>
      <c r="H1470" s="1" t="s">
        <v>19</v>
      </c>
      <c r="I1470" s="1" t="s">
        <v>1559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1597</v>
      </c>
      <c r="D1471" s="1"/>
      <c r="E1471" s="1"/>
      <c r="F1471" s="1" t="s">
        <v>1624</v>
      </c>
      <c r="G1471" s="1">
        <v>2</v>
      </c>
      <c r="H1471" s="1" t="s">
        <v>19</v>
      </c>
      <c r="I1471" s="1" t="s">
        <v>1599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1611</v>
      </c>
      <c r="D1472" s="1"/>
      <c r="E1472" s="1"/>
      <c r="F1472" s="1" t="s">
        <v>1625</v>
      </c>
      <c r="G1472" s="1">
        <v>16</v>
      </c>
      <c r="H1472" s="1" t="s">
        <v>19</v>
      </c>
      <c r="I1472" s="1" t="s">
        <v>426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1609</v>
      </c>
      <c r="D1473" s="1"/>
      <c r="E1473" s="1"/>
      <c r="F1473" s="1" t="s">
        <v>1626</v>
      </c>
      <c r="G1473" s="1">
        <v>12</v>
      </c>
      <c r="H1473" s="1" t="s">
        <v>19</v>
      </c>
      <c r="I1473" s="1" t="s">
        <v>425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1595</v>
      </c>
      <c r="D1474" s="1"/>
      <c r="E1474" s="1"/>
      <c r="F1474" s="1" t="s">
        <v>1627</v>
      </c>
      <c r="G1474" s="1">
        <v>80</v>
      </c>
      <c r="H1474" s="1" t="s">
        <v>19</v>
      </c>
      <c r="I1474" s="1" t="s">
        <v>1559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1613</v>
      </c>
      <c r="D1475" s="1"/>
      <c r="E1475" s="1"/>
      <c r="F1475" s="1" t="s">
        <v>1628</v>
      </c>
      <c r="G1475" s="1">
        <v>12</v>
      </c>
      <c r="H1475" s="1" t="s">
        <v>19</v>
      </c>
      <c r="I1475" s="1" t="s">
        <v>425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1611</v>
      </c>
      <c r="D1476" s="1"/>
      <c r="E1476" s="1"/>
      <c r="F1476" s="1" t="s">
        <v>1629</v>
      </c>
      <c r="G1476" s="1">
        <v>12</v>
      </c>
      <c r="H1476" s="1" t="s">
        <v>19</v>
      </c>
      <c r="I1476" s="1" t="s">
        <v>426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1616</v>
      </c>
      <c r="D1477" s="1"/>
      <c r="E1477" s="1"/>
      <c r="F1477" s="1" t="s">
        <v>1630</v>
      </c>
      <c r="G1477" s="1">
        <v>20</v>
      </c>
      <c r="H1477" s="1" t="s">
        <v>19</v>
      </c>
      <c r="I1477" s="1" t="s">
        <v>427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1595</v>
      </c>
      <c r="D1478" s="1"/>
      <c r="E1478" s="1"/>
      <c r="F1478" s="1" t="s">
        <v>1631</v>
      </c>
      <c r="G1478" s="1">
        <v>16</v>
      </c>
      <c r="H1478" s="1" t="s">
        <v>19</v>
      </c>
      <c r="I1478" s="1" t="s">
        <v>1559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1611</v>
      </c>
      <c r="D1479" s="1"/>
      <c r="E1479" s="1"/>
      <c r="F1479" s="1" t="s">
        <v>1632</v>
      </c>
      <c r="G1479" s="1">
        <v>28</v>
      </c>
      <c r="H1479" s="1" t="s">
        <v>19</v>
      </c>
      <c r="I1479" s="1" t="s">
        <v>426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1609</v>
      </c>
      <c r="D1480" s="1"/>
      <c r="E1480" s="1"/>
      <c r="F1480" s="1" t="s">
        <v>1633</v>
      </c>
      <c r="G1480" s="1">
        <v>28</v>
      </c>
      <c r="H1480" s="1" t="s">
        <v>19</v>
      </c>
      <c r="I1480" s="1" t="s">
        <v>425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1616</v>
      </c>
      <c r="D1481" s="1"/>
      <c r="E1481" s="1"/>
      <c r="F1481" s="1" t="s">
        <v>1634</v>
      </c>
      <c r="G1481" s="1">
        <v>28</v>
      </c>
      <c r="H1481" s="1" t="s">
        <v>19</v>
      </c>
      <c r="I1481" s="1" t="s">
        <v>427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1597</v>
      </c>
      <c r="D1482" s="1"/>
      <c r="E1482" s="1"/>
      <c r="F1482" s="1" t="s">
        <v>1635</v>
      </c>
      <c r="G1482" s="1">
        <v>2</v>
      </c>
      <c r="H1482" s="1" t="s">
        <v>19</v>
      </c>
      <c r="I1482" s="1" t="s">
        <v>1599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1560</v>
      </c>
      <c r="D1483" s="1"/>
      <c r="E1483" s="1"/>
      <c r="F1483" s="1" t="s">
        <v>1636</v>
      </c>
      <c r="G1483" s="1">
        <v>7</v>
      </c>
      <c r="H1483" s="1" t="s">
        <v>19</v>
      </c>
      <c r="I1483" s="1" t="s">
        <v>425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1562</v>
      </c>
      <c r="D1484" s="1"/>
      <c r="E1484" s="1"/>
      <c r="F1484" s="1" t="s">
        <v>1577</v>
      </c>
      <c r="G1484" s="1">
        <v>10</v>
      </c>
      <c r="H1484" s="1" t="s">
        <v>19</v>
      </c>
      <c r="I1484" s="1" t="s">
        <v>426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1566</v>
      </c>
      <c r="D1485" s="1"/>
      <c r="E1485" s="1"/>
      <c r="F1485" s="1" t="s">
        <v>1578</v>
      </c>
      <c r="G1485" s="1">
        <v>24</v>
      </c>
      <c r="H1485" s="1" t="s">
        <v>19</v>
      </c>
      <c r="I1485" s="1" t="s">
        <v>427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1564</v>
      </c>
      <c r="D1486" s="1"/>
      <c r="E1486" s="1"/>
      <c r="F1486" s="1" t="s">
        <v>1579</v>
      </c>
      <c r="G1486" s="1">
        <v>146</v>
      </c>
      <c r="H1486" s="1" t="s">
        <v>19</v>
      </c>
      <c r="I1486" s="1" t="s">
        <v>428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1557</v>
      </c>
      <c r="D1487" s="1"/>
      <c r="E1487" s="1"/>
      <c r="F1487" s="1" t="s">
        <v>1637</v>
      </c>
      <c r="G1487" s="1">
        <v>48</v>
      </c>
      <c r="H1487" s="1" t="s">
        <v>19</v>
      </c>
      <c r="I1487" s="1" t="s">
        <v>424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1595</v>
      </c>
      <c r="D1488" s="1"/>
      <c r="E1488" s="1"/>
      <c r="F1488" s="1" t="s">
        <v>1638</v>
      </c>
      <c r="G1488" s="1">
        <v>16</v>
      </c>
      <c r="H1488" s="1" t="s">
        <v>19</v>
      </c>
      <c r="I1488" s="1" t="s">
        <v>1559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1606</v>
      </c>
      <c r="D1489" s="1"/>
      <c r="E1489" s="1"/>
      <c r="F1489" s="1" t="s">
        <v>1639</v>
      </c>
      <c r="G1489" s="1">
        <v>1</v>
      </c>
      <c r="H1489" s="1" t="s">
        <v>19</v>
      </c>
      <c r="I1489" s="1" t="s">
        <v>1599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1597</v>
      </c>
      <c r="D1490" s="1"/>
      <c r="E1490" s="1"/>
      <c r="F1490" s="1" t="s">
        <v>1640</v>
      </c>
      <c r="G1490" s="1">
        <v>2</v>
      </c>
      <c r="H1490" s="1" t="s">
        <v>19</v>
      </c>
      <c r="I1490" s="1" t="s">
        <v>1599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1609</v>
      </c>
      <c r="D1491" s="1"/>
      <c r="E1491" s="1"/>
      <c r="F1491" s="1" t="s">
        <v>1641</v>
      </c>
      <c r="G1491" s="1">
        <v>40</v>
      </c>
      <c r="H1491" s="1" t="s">
        <v>19</v>
      </c>
      <c r="I1491" s="1" t="s">
        <v>425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1616</v>
      </c>
      <c r="D1492" s="1"/>
      <c r="E1492" s="1"/>
      <c r="F1492" s="1" t="s">
        <v>1642</v>
      </c>
      <c r="G1492" s="1">
        <v>48</v>
      </c>
      <c r="H1492" s="1" t="s">
        <v>19</v>
      </c>
      <c r="I1492" s="1" t="s">
        <v>427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1595</v>
      </c>
      <c r="D1493" s="1"/>
      <c r="E1493" s="1"/>
      <c r="F1493" s="1" t="s">
        <v>1643</v>
      </c>
      <c r="G1493" s="1">
        <v>96</v>
      </c>
      <c r="H1493" s="1" t="s">
        <v>19</v>
      </c>
      <c r="I1493" s="1" t="s">
        <v>1559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1613</v>
      </c>
      <c r="D1494" s="1"/>
      <c r="E1494" s="1"/>
      <c r="F1494" s="1" t="s">
        <v>1644</v>
      </c>
      <c r="G1494" s="1">
        <v>12</v>
      </c>
      <c r="H1494" s="1" t="s">
        <v>19</v>
      </c>
      <c r="I1494" s="1" t="s">
        <v>425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2479</v>
      </c>
      <c r="D1495" s="1"/>
      <c r="E1495" s="1"/>
      <c r="F1495" s="1" t="s">
        <v>2480</v>
      </c>
      <c r="G1495" s="1">
        <v>2</v>
      </c>
      <c r="H1495" s="1" t="s">
        <v>19</v>
      </c>
      <c r="I1495" s="1" t="s">
        <v>571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2479</v>
      </c>
      <c r="D1496" s="1"/>
      <c r="E1496" s="1"/>
      <c r="F1496" s="1" t="s">
        <v>2481</v>
      </c>
      <c r="G1496" s="1">
        <v>3</v>
      </c>
      <c r="H1496" s="1" t="s">
        <v>19</v>
      </c>
      <c r="I1496" s="1" t="s">
        <v>571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2479</v>
      </c>
      <c r="D1497" s="1"/>
      <c r="E1497" s="1"/>
      <c r="F1497" s="1" t="s">
        <v>2482</v>
      </c>
      <c r="G1497" s="1">
        <v>3</v>
      </c>
      <c r="H1497" s="1" t="s">
        <v>19</v>
      </c>
      <c r="I1497" s="1" t="s">
        <v>571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2483</v>
      </c>
      <c r="D1498" s="1"/>
      <c r="E1498" s="1"/>
      <c r="F1498" s="1" t="s">
        <v>1912</v>
      </c>
      <c r="G1498" s="1">
        <v>2</v>
      </c>
      <c r="H1498" s="1" t="s">
        <v>19</v>
      </c>
      <c r="I1498" s="1" t="s">
        <v>573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2483</v>
      </c>
      <c r="D1499" s="1"/>
      <c r="E1499" s="1"/>
      <c r="F1499" s="1" t="s">
        <v>2480</v>
      </c>
      <c r="G1499" s="1">
        <v>2</v>
      </c>
      <c r="H1499" s="1" t="s">
        <v>19</v>
      </c>
      <c r="I1499" s="1" t="s">
        <v>573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2483</v>
      </c>
      <c r="D1500" s="1"/>
      <c r="E1500" s="1"/>
      <c r="F1500" s="1" t="s">
        <v>2481</v>
      </c>
      <c r="G1500" s="1">
        <v>3</v>
      </c>
      <c r="H1500" s="1" t="s">
        <v>19</v>
      </c>
      <c r="I1500" s="1" t="s">
        <v>573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2483</v>
      </c>
      <c r="D1501" s="1"/>
      <c r="E1501" s="1"/>
      <c r="F1501" s="1" t="s">
        <v>2482</v>
      </c>
      <c r="G1501" s="1">
        <v>3</v>
      </c>
      <c r="H1501" s="1" t="s">
        <v>19</v>
      </c>
      <c r="I1501" s="1" t="s">
        <v>573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2484</v>
      </c>
      <c r="D1502" s="1"/>
      <c r="E1502" s="1"/>
      <c r="F1502" s="1" t="s">
        <v>2485</v>
      </c>
      <c r="G1502" s="1">
        <v>3</v>
      </c>
      <c r="H1502" s="1" t="s">
        <v>19</v>
      </c>
      <c r="I1502" s="1" t="s">
        <v>570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2484</v>
      </c>
      <c r="D1503" s="1"/>
      <c r="E1503" s="1"/>
      <c r="F1503" s="1" t="s">
        <v>2486</v>
      </c>
      <c r="G1503" s="1">
        <v>3</v>
      </c>
      <c r="H1503" s="1" t="s">
        <v>19</v>
      </c>
      <c r="I1503" s="1" t="s">
        <v>570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2484</v>
      </c>
      <c r="D1504" s="1"/>
      <c r="E1504" s="1"/>
      <c r="F1504" s="1" t="s">
        <v>2487</v>
      </c>
      <c r="G1504" s="1">
        <v>2</v>
      </c>
      <c r="H1504" s="1" t="s">
        <v>19</v>
      </c>
      <c r="I1504" s="1" t="s">
        <v>570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2484</v>
      </c>
      <c r="D1505" s="1"/>
      <c r="E1505" s="1"/>
      <c r="F1505" s="1" t="s">
        <v>2488</v>
      </c>
      <c r="G1505" s="1">
        <v>2</v>
      </c>
      <c r="H1505" s="1" t="s">
        <v>19</v>
      </c>
      <c r="I1505" s="1" t="s">
        <v>570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2489</v>
      </c>
      <c r="D1506" s="1"/>
      <c r="E1506" s="1"/>
      <c r="F1506" s="1" t="s">
        <v>1912</v>
      </c>
      <c r="G1506" s="1">
        <v>2</v>
      </c>
      <c r="H1506" s="1" t="s">
        <v>19</v>
      </c>
      <c r="I1506" s="1" t="s">
        <v>572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2489</v>
      </c>
      <c r="D1507" s="1"/>
      <c r="E1507" s="1"/>
      <c r="F1507" s="1" t="s">
        <v>2480</v>
      </c>
      <c r="G1507" s="1">
        <v>2</v>
      </c>
      <c r="H1507" s="1" t="s">
        <v>19</v>
      </c>
      <c r="I1507" s="1" t="s">
        <v>572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2489</v>
      </c>
      <c r="D1508" s="1"/>
      <c r="E1508" s="1"/>
      <c r="F1508" s="1" t="s">
        <v>2481</v>
      </c>
      <c r="G1508" s="1">
        <v>3</v>
      </c>
      <c r="H1508" s="1" t="s">
        <v>19</v>
      </c>
      <c r="I1508" s="1" t="s">
        <v>572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2489</v>
      </c>
      <c r="D1509" s="1"/>
      <c r="E1509" s="1"/>
      <c r="F1509" s="1" t="s">
        <v>2482</v>
      </c>
      <c r="G1509" s="1">
        <v>3</v>
      </c>
      <c r="H1509" s="1" t="s">
        <v>19</v>
      </c>
      <c r="I1509" s="1" t="s">
        <v>572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2489</v>
      </c>
      <c r="D1510" s="1"/>
      <c r="E1510" s="1"/>
      <c r="F1510" s="1" t="s">
        <v>2490</v>
      </c>
      <c r="G1510" s="1">
        <v>1</v>
      </c>
      <c r="H1510" s="1" t="s">
        <v>19</v>
      </c>
      <c r="I1510" s="1" t="s">
        <v>572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2489</v>
      </c>
      <c r="D1511" s="1"/>
      <c r="E1511" s="1"/>
      <c r="F1511" s="1" t="s">
        <v>2491</v>
      </c>
      <c r="G1511" s="1">
        <v>2</v>
      </c>
      <c r="H1511" s="1" t="s">
        <v>19</v>
      </c>
      <c r="I1511" s="1" t="s">
        <v>572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2489</v>
      </c>
      <c r="D1512" s="1"/>
      <c r="E1512" s="1"/>
      <c r="F1512" s="1" t="s">
        <v>2492</v>
      </c>
      <c r="G1512" s="1">
        <v>4</v>
      </c>
      <c r="H1512" s="1" t="s">
        <v>19</v>
      </c>
      <c r="I1512" s="1" t="s">
        <v>572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2489</v>
      </c>
      <c r="D1513" s="1"/>
      <c r="E1513" s="1"/>
      <c r="F1513" s="1" t="s">
        <v>2493</v>
      </c>
      <c r="G1513" s="1">
        <v>2</v>
      </c>
      <c r="H1513" s="1" t="s">
        <v>19</v>
      </c>
      <c r="I1513" s="1" t="s">
        <v>572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2489</v>
      </c>
      <c r="D1514" s="1"/>
      <c r="E1514" s="1"/>
      <c r="F1514" s="1" t="s">
        <v>2494</v>
      </c>
      <c r="G1514" s="1">
        <v>4</v>
      </c>
      <c r="H1514" s="1" t="s">
        <v>19</v>
      </c>
      <c r="I1514" s="1" t="s">
        <v>572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2489</v>
      </c>
      <c r="D1515" s="1"/>
      <c r="E1515" s="1"/>
      <c r="F1515" s="1" t="s">
        <v>2495</v>
      </c>
      <c r="G1515" s="1">
        <v>4</v>
      </c>
      <c r="H1515" s="1" t="s">
        <v>19</v>
      </c>
      <c r="I1515" s="1" t="s">
        <v>572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2489</v>
      </c>
      <c r="D1516" s="1"/>
      <c r="E1516" s="1"/>
      <c r="F1516" s="1" t="s">
        <v>2496</v>
      </c>
      <c r="G1516" s="1">
        <v>2</v>
      </c>
      <c r="H1516" s="1" t="s">
        <v>19</v>
      </c>
      <c r="I1516" s="1" t="s">
        <v>572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2489</v>
      </c>
      <c r="D1517" s="1"/>
      <c r="E1517" s="1"/>
      <c r="F1517" s="1" t="s">
        <v>2497</v>
      </c>
      <c r="G1517" s="1">
        <v>2</v>
      </c>
      <c r="H1517" s="1" t="s">
        <v>19</v>
      </c>
      <c r="I1517" s="1" t="s">
        <v>572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2489</v>
      </c>
      <c r="D1518" s="1"/>
      <c r="E1518" s="1"/>
      <c r="F1518" s="1" t="s">
        <v>2498</v>
      </c>
      <c r="G1518" s="1">
        <v>9</v>
      </c>
      <c r="H1518" s="1" t="s">
        <v>19</v>
      </c>
      <c r="I1518" s="1" t="s">
        <v>572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2479</v>
      </c>
      <c r="D1519" s="1"/>
      <c r="E1519" s="1"/>
      <c r="F1519" s="1" t="s">
        <v>2491</v>
      </c>
      <c r="G1519" s="1">
        <v>2</v>
      </c>
      <c r="H1519" s="1" t="s">
        <v>19</v>
      </c>
      <c r="I1519" s="1" t="s">
        <v>571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2479</v>
      </c>
      <c r="D1520" s="1"/>
      <c r="E1520" s="1"/>
      <c r="F1520" s="1" t="s">
        <v>2492</v>
      </c>
      <c r="G1520" s="1">
        <v>4</v>
      </c>
      <c r="H1520" s="1" t="s">
        <v>19</v>
      </c>
      <c r="I1520" s="1" t="s">
        <v>571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2479</v>
      </c>
      <c r="D1521" s="1"/>
      <c r="E1521" s="1"/>
      <c r="F1521" s="1" t="s">
        <v>2493</v>
      </c>
      <c r="G1521" s="1">
        <v>2</v>
      </c>
      <c r="H1521" s="1" t="s">
        <v>19</v>
      </c>
      <c r="I1521" s="1" t="s">
        <v>571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2479</v>
      </c>
      <c r="D1522" s="1"/>
      <c r="E1522" s="1"/>
      <c r="F1522" s="1" t="s">
        <v>2494</v>
      </c>
      <c r="G1522" s="1">
        <v>4</v>
      </c>
      <c r="H1522" s="1" t="s">
        <v>19</v>
      </c>
      <c r="I1522" s="1" t="s">
        <v>571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2479</v>
      </c>
      <c r="D1523" s="1"/>
      <c r="E1523" s="1"/>
      <c r="F1523" s="1" t="s">
        <v>2495</v>
      </c>
      <c r="G1523" s="1">
        <v>4</v>
      </c>
      <c r="H1523" s="1" t="s">
        <v>19</v>
      </c>
      <c r="I1523" s="1" t="s">
        <v>571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2479</v>
      </c>
      <c r="D1524" s="1"/>
      <c r="E1524" s="1"/>
      <c r="F1524" s="1" t="s">
        <v>2496</v>
      </c>
      <c r="G1524" s="1">
        <v>2</v>
      </c>
      <c r="H1524" s="1" t="s">
        <v>19</v>
      </c>
      <c r="I1524" s="1" t="s">
        <v>571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2479</v>
      </c>
      <c r="D1525" s="1"/>
      <c r="E1525" s="1"/>
      <c r="F1525" s="1" t="s">
        <v>2497</v>
      </c>
      <c r="G1525" s="1">
        <v>2</v>
      </c>
      <c r="H1525" s="1" t="s">
        <v>19</v>
      </c>
      <c r="I1525" s="1" t="s">
        <v>571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2479</v>
      </c>
      <c r="D1526" s="1"/>
      <c r="E1526" s="1"/>
      <c r="F1526" s="1" t="s">
        <v>2499</v>
      </c>
      <c r="G1526" s="1">
        <v>1</v>
      </c>
      <c r="H1526" s="1" t="s">
        <v>19</v>
      </c>
      <c r="I1526" s="1" t="s">
        <v>571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2479</v>
      </c>
      <c r="D1527" s="1"/>
      <c r="E1527" s="1"/>
      <c r="F1527" s="1" t="s">
        <v>2498</v>
      </c>
      <c r="G1527" s="1">
        <v>9</v>
      </c>
      <c r="H1527" s="1"/>
      <c r="I1527" s="1" t="s">
        <v>571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2500</v>
      </c>
      <c r="D1528" s="1"/>
      <c r="E1528" s="1"/>
      <c r="F1528" s="1" t="s">
        <v>2501</v>
      </c>
      <c r="G1528" s="1">
        <v>10</v>
      </c>
      <c r="H1528" s="1"/>
      <c r="I1528" s="1" t="s">
        <v>570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2500</v>
      </c>
      <c r="D1529" s="1"/>
      <c r="E1529" s="1"/>
      <c r="F1529" s="1" t="s">
        <v>2502</v>
      </c>
      <c r="G1529" s="1">
        <v>2</v>
      </c>
      <c r="H1529" s="1" t="s">
        <v>19</v>
      </c>
      <c r="I1529" s="1" t="s">
        <v>570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2500</v>
      </c>
      <c r="D1530" s="1"/>
      <c r="E1530" s="1"/>
      <c r="F1530" s="1" t="s">
        <v>2503</v>
      </c>
      <c r="G1530" s="1">
        <v>4</v>
      </c>
      <c r="H1530" s="1" t="s">
        <v>19</v>
      </c>
      <c r="I1530" s="1" t="s">
        <v>570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2500</v>
      </c>
      <c r="D1531" s="1"/>
      <c r="E1531" s="1"/>
      <c r="F1531" s="1" t="s">
        <v>2504</v>
      </c>
      <c r="G1531" s="1">
        <v>2</v>
      </c>
      <c r="H1531" s="1" t="s">
        <v>19</v>
      </c>
      <c r="I1531" s="1" t="s">
        <v>570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2500</v>
      </c>
      <c r="D1532" s="1"/>
      <c r="E1532" s="1"/>
      <c r="F1532" s="1" t="s">
        <v>2505</v>
      </c>
      <c r="G1532" s="1">
        <v>4</v>
      </c>
      <c r="H1532" s="1" t="s">
        <v>19</v>
      </c>
      <c r="I1532" s="1" t="s">
        <v>570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2500</v>
      </c>
      <c r="D1533" s="1"/>
      <c r="E1533" s="1"/>
      <c r="F1533" s="1" t="s">
        <v>2506</v>
      </c>
      <c r="G1533" s="1">
        <v>4</v>
      </c>
      <c r="H1533" s="1" t="s">
        <v>19</v>
      </c>
      <c r="I1533" s="1" t="s">
        <v>570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2500</v>
      </c>
      <c r="D1534" s="1"/>
      <c r="E1534" s="1"/>
      <c r="F1534" s="1" t="s">
        <v>2507</v>
      </c>
      <c r="G1534" s="1">
        <v>2</v>
      </c>
      <c r="H1534" s="1" t="s">
        <v>19</v>
      </c>
      <c r="I1534" s="1" t="s">
        <v>570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2500</v>
      </c>
      <c r="D1535" s="1"/>
      <c r="E1535" s="1"/>
      <c r="F1535" s="1" t="s">
        <v>2508</v>
      </c>
      <c r="G1535" s="1">
        <v>2</v>
      </c>
      <c r="H1535" s="1" t="s">
        <v>19</v>
      </c>
      <c r="I1535" s="1" t="s">
        <v>570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2500</v>
      </c>
      <c r="D1536" s="1"/>
      <c r="E1536" s="1"/>
      <c r="F1536" s="1" t="s">
        <v>2509</v>
      </c>
      <c r="G1536" s="1">
        <v>1</v>
      </c>
      <c r="H1536" s="1" t="s">
        <v>19</v>
      </c>
      <c r="I1536" s="1" t="s">
        <v>570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2510</v>
      </c>
      <c r="D1537" s="1"/>
      <c r="E1537" s="1"/>
      <c r="F1537" s="1" t="s">
        <v>2511</v>
      </c>
      <c r="G1537" s="1">
        <v>1</v>
      </c>
      <c r="H1537" s="1" t="s">
        <v>19</v>
      </c>
      <c r="I1537" s="1" t="s">
        <v>573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2510</v>
      </c>
      <c r="D1538" s="1"/>
      <c r="E1538" s="1"/>
      <c r="F1538" s="1" t="s">
        <v>2491</v>
      </c>
      <c r="G1538" s="1">
        <v>2</v>
      </c>
      <c r="H1538" s="1" t="s">
        <v>19</v>
      </c>
      <c r="I1538" s="1" t="s">
        <v>573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2510</v>
      </c>
      <c r="D1539" s="1"/>
      <c r="E1539" s="1"/>
      <c r="F1539" s="1" t="s">
        <v>2492</v>
      </c>
      <c r="G1539" s="1">
        <v>4</v>
      </c>
      <c r="H1539" s="1" t="s">
        <v>19</v>
      </c>
      <c r="I1539" s="1" t="s">
        <v>573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2510</v>
      </c>
      <c r="D1540" s="1"/>
      <c r="E1540" s="1"/>
      <c r="F1540" s="1" t="s">
        <v>2493</v>
      </c>
      <c r="G1540" s="1">
        <v>2</v>
      </c>
      <c r="H1540" s="1" t="s">
        <v>19</v>
      </c>
      <c r="I1540" s="1" t="s">
        <v>573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2510</v>
      </c>
      <c r="D1541" s="1"/>
      <c r="E1541" s="1"/>
      <c r="F1541" s="1" t="s">
        <v>2494</v>
      </c>
      <c r="G1541" s="1">
        <v>4</v>
      </c>
      <c r="H1541" s="1" t="s">
        <v>19</v>
      </c>
      <c r="I1541" s="1" t="s">
        <v>573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2510</v>
      </c>
      <c r="D1542" s="1"/>
      <c r="E1542" s="1"/>
      <c r="F1542" s="1" t="s">
        <v>2495</v>
      </c>
      <c r="G1542" s="1">
        <v>4</v>
      </c>
      <c r="H1542" s="1" t="s">
        <v>19</v>
      </c>
      <c r="I1542" s="1" t="s">
        <v>573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2510</v>
      </c>
      <c r="D1543" s="1"/>
      <c r="E1543" s="1"/>
      <c r="F1543" s="1" t="s">
        <v>2496</v>
      </c>
      <c r="G1543" s="1">
        <v>2</v>
      </c>
      <c r="H1543" s="1" t="s">
        <v>19</v>
      </c>
      <c r="I1543" s="1" t="s">
        <v>573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2510</v>
      </c>
      <c r="D1544" s="1"/>
      <c r="E1544" s="1"/>
      <c r="F1544" s="1" t="s">
        <v>2497</v>
      </c>
      <c r="G1544" s="1">
        <v>1</v>
      </c>
      <c r="H1544" s="1" t="s">
        <v>19</v>
      </c>
      <c r="I1544" s="1" t="s">
        <v>573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2510</v>
      </c>
      <c r="D1545" s="1"/>
      <c r="E1545" s="1"/>
      <c r="F1545" s="1" t="s">
        <v>2498</v>
      </c>
      <c r="G1545" s="1">
        <v>7</v>
      </c>
      <c r="H1545" s="1"/>
      <c r="I1545" s="1" t="s">
        <v>573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2136</v>
      </c>
      <c r="E1546" s="1"/>
      <c r="F1546" s="1" t="s">
        <v>2137</v>
      </c>
      <c r="G1546" s="1">
        <v>280</v>
      </c>
      <c r="H1546" s="1" t="s">
        <v>19</v>
      </c>
      <c r="I1546" s="1" t="s">
        <v>570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2136</v>
      </c>
      <c r="E1547" s="1"/>
      <c r="F1547" s="1" t="s">
        <v>2138</v>
      </c>
      <c r="G1547" s="1">
        <v>16</v>
      </c>
      <c r="H1547" s="1" t="s">
        <v>19</v>
      </c>
      <c r="I1547" s="1" t="s">
        <v>570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2136</v>
      </c>
      <c r="E1548" s="1"/>
      <c r="F1548" s="1" t="s">
        <v>2139</v>
      </c>
      <c r="G1548" s="1">
        <v>8</v>
      </c>
      <c r="H1548" s="1" t="s">
        <v>19</v>
      </c>
      <c r="I1548" s="1" t="s">
        <v>570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2136</v>
      </c>
      <c r="E1549" s="1"/>
      <c r="F1549" s="1" t="s">
        <v>2140</v>
      </c>
      <c r="G1549" s="1">
        <v>256</v>
      </c>
      <c r="H1549" s="1" t="s">
        <v>19</v>
      </c>
      <c r="I1549" s="1" t="s">
        <v>570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2136</v>
      </c>
      <c r="E1550" s="1"/>
      <c r="F1550" s="1" t="s">
        <v>2141</v>
      </c>
      <c r="G1550" s="1">
        <v>296</v>
      </c>
      <c r="H1550" s="1" t="s">
        <v>19</v>
      </c>
      <c r="I1550" s="1" t="s">
        <v>570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2142</v>
      </c>
      <c r="E1551" s="1"/>
      <c r="F1551" s="1" t="s">
        <v>2143</v>
      </c>
      <c r="G1551" s="1">
        <v>252</v>
      </c>
      <c r="H1551" s="1" t="s">
        <v>19</v>
      </c>
      <c r="I1551" s="1" t="s">
        <v>571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2142</v>
      </c>
      <c r="E1552" s="1"/>
      <c r="F1552" s="1" t="s">
        <v>2144</v>
      </c>
      <c r="G1552" s="1">
        <v>16</v>
      </c>
      <c r="H1552" s="1" t="s">
        <v>19</v>
      </c>
      <c r="I1552" s="1" t="s">
        <v>571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2142</v>
      </c>
      <c r="E1553" s="1"/>
      <c r="F1553" s="1" t="s">
        <v>2145</v>
      </c>
      <c r="G1553" s="1">
        <v>8</v>
      </c>
      <c r="H1553" s="1" t="s">
        <v>19</v>
      </c>
      <c r="I1553" s="1" t="s">
        <v>571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2142</v>
      </c>
      <c r="E1554" s="1"/>
      <c r="F1554" s="1" t="s">
        <v>2146</v>
      </c>
      <c r="G1554" s="1">
        <v>228</v>
      </c>
      <c r="H1554" s="1" t="s">
        <v>19</v>
      </c>
      <c r="I1554" s="1" t="s">
        <v>571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2142</v>
      </c>
      <c r="E1555" s="1"/>
      <c r="F1555" s="1" t="s">
        <v>2147</v>
      </c>
      <c r="G1555" s="1">
        <v>268</v>
      </c>
      <c r="H1555" s="1" t="s">
        <v>19</v>
      </c>
      <c r="I1555" s="1" t="s">
        <v>571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2148</v>
      </c>
      <c r="E1556" s="1"/>
      <c r="F1556" s="1" t="s">
        <v>2149</v>
      </c>
      <c r="G1556" s="1">
        <v>252</v>
      </c>
      <c r="H1556" s="1" t="s">
        <v>19</v>
      </c>
      <c r="I1556" s="1" t="s">
        <v>572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2148</v>
      </c>
      <c r="E1557" s="1"/>
      <c r="F1557" s="1" t="s">
        <v>2150</v>
      </c>
      <c r="G1557" s="1">
        <v>16</v>
      </c>
      <c r="H1557" s="1" t="s">
        <v>19</v>
      </c>
      <c r="I1557" s="1" t="s">
        <v>572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2148</v>
      </c>
      <c r="E1558" s="1"/>
      <c r="F1558" s="1" t="s">
        <v>2151</v>
      </c>
      <c r="G1558" s="1">
        <v>8</v>
      </c>
      <c r="H1558" s="1" t="s">
        <v>19</v>
      </c>
      <c r="I1558" s="1" t="s">
        <v>572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2148</v>
      </c>
      <c r="E1559" s="1"/>
      <c r="F1559" s="1" t="s">
        <v>2152</v>
      </c>
      <c r="G1559" s="1">
        <v>228</v>
      </c>
      <c r="H1559" s="1" t="s">
        <v>19</v>
      </c>
      <c r="I1559" s="1" t="s">
        <v>572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2148</v>
      </c>
      <c r="E1560" s="1"/>
      <c r="F1560" s="1" t="s">
        <v>2153</v>
      </c>
      <c r="G1560" s="1">
        <v>268</v>
      </c>
      <c r="H1560" s="1" t="s">
        <v>19</v>
      </c>
      <c r="I1560" s="1" t="s">
        <v>572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2154</v>
      </c>
      <c r="E1561" s="1"/>
      <c r="F1561" s="1" t="s">
        <v>2155</v>
      </c>
      <c r="G1561" s="1">
        <v>182</v>
      </c>
      <c r="H1561" s="1" t="s">
        <v>19</v>
      </c>
      <c r="I1561" s="1" t="s">
        <v>573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2154</v>
      </c>
      <c r="E1562" s="1"/>
      <c r="F1562" s="1" t="s">
        <v>2156</v>
      </c>
      <c r="G1562" s="1">
        <v>16</v>
      </c>
      <c r="H1562" s="1" t="s">
        <v>19</v>
      </c>
      <c r="I1562" s="1" t="s">
        <v>573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2154</v>
      </c>
      <c r="E1563" s="1"/>
      <c r="F1563" s="1" t="s">
        <v>2157</v>
      </c>
      <c r="G1563" s="1">
        <v>8</v>
      </c>
      <c r="H1563" s="1" t="s">
        <v>19</v>
      </c>
      <c r="I1563" s="1" t="s">
        <v>573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2154</v>
      </c>
      <c r="E1564" s="1"/>
      <c r="F1564" s="1" t="s">
        <v>2158</v>
      </c>
      <c r="G1564" s="1">
        <v>158</v>
      </c>
      <c r="H1564" s="1" t="s">
        <v>19</v>
      </c>
      <c r="I1564" s="1" t="s">
        <v>573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2154</v>
      </c>
      <c r="E1565" s="1"/>
      <c r="F1565" s="1" t="s">
        <v>2159</v>
      </c>
      <c r="G1565" s="1">
        <v>198</v>
      </c>
      <c r="H1565" s="1" t="s">
        <v>19</v>
      </c>
      <c r="I1565" s="1" t="s">
        <v>573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2160</v>
      </c>
      <c r="E1566" s="1"/>
      <c r="F1566" s="1" t="s">
        <v>2161</v>
      </c>
      <c r="G1566" s="1">
        <v>36</v>
      </c>
      <c r="H1566" s="1" t="s">
        <v>19</v>
      </c>
      <c r="I1566" s="1" t="s">
        <v>425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2160</v>
      </c>
      <c r="E1567" s="1"/>
      <c r="F1567" s="1" t="s">
        <v>2162</v>
      </c>
      <c r="G1567" s="1">
        <v>36</v>
      </c>
      <c r="H1567" s="1" t="s">
        <v>19</v>
      </c>
      <c r="I1567" s="1" t="s">
        <v>425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2160</v>
      </c>
      <c r="E1568" s="1"/>
      <c r="F1568" s="1" t="s">
        <v>2163</v>
      </c>
      <c r="G1568" s="1">
        <v>36</v>
      </c>
      <c r="H1568" s="1" t="s">
        <v>19</v>
      </c>
      <c r="I1568" s="1" t="s">
        <v>425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2160</v>
      </c>
      <c r="E1569" s="1"/>
      <c r="F1569" s="1" t="s">
        <v>2164</v>
      </c>
      <c r="G1569" s="1">
        <v>18</v>
      </c>
      <c r="H1569" s="1" t="s">
        <v>19</v>
      </c>
      <c r="I1569" s="1" t="s">
        <v>425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2160</v>
      </c>
      <c r="E1570" s="1"/>
      <c r="F1570" s="1" t="s">
        <v>2165</v>
      </c>
      <c r="G1570" s="1">
        <v>18</v>
      </c>
      <c r="H1570" s="1" t="s">
        <v>19</v>
      </c>
      <c r="I1570" s="1" t="s">
        <v>425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2160</v>
      </c>
      <c r="E1571" s="1"/>
      <c r="F1571" s="1" t="s">
        <v>2166</v>
      </c>
      <c r="G1571" s="1">
        <v>18</v>
      </c>
      <c r="H1571" s="1" t="s">
        <v>19</v>
      </c>
      <c r="I1571" s="1" t="s">
        <v>425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2167</v>
      </c>
      <c r="E1572" s="1"/>
      <c r="F1572" s="1" t="s">
        <v>2168</v>
      </c>
      <c r="G1572" s="1">
        <v>27</v>
      </c>
      <c r="H1572" s="1" t="s">
        <v>19</v>
      </c>
      <c r="I1572" s="1" t="s">
        <v>426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2167</v>
      </c>
      <c r="E1573" s="1"/>
      <c r="F1573" s="1" t="s">
        <v>2169</v>
      </c>
      <c r="G1573" s="1">
        <v>27</v>
      </c>
      <c r="H1573" s="1" t="s">
        <v>19</v>
      </c>
      <c r="I1573" s="1" t="s">
        <v>426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2167</v>
      </c>
      <c r="E1574" s="1"/>
      <c r="F1574" s="1" t="s">
        <v>2170</v>
      </c>
      <c r="G1574" s="1">
        <v>27</v>
      </c>
      <c r="H1574" s="1" t="s">
        <v>19</v>
      </c>
      <c r="I1574" s="1" t="s">
        <v>426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2171</v>
      </c>
      <c r="E1575" s="1"/>
      <c r="F1575" s="1" t="s">
        <v>2172</v>
      </c>
      <c r="G1575" s="1">
        <v>36</v>
      </c>
      <c r="H1575" s="1" t="s">
        <v>19</v>
      </c>
      <c r="I1575" s="1" t="s">
        <v>427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2171</v>
      </c>
      <c r="E1576" s="1"/>
      <c r="F1576" s="1" t="s">
        <v>2173</v>
      </c>
      <c r="G1576" s="1">
        <v>36</v>
      </c>
      <c r="H1576" s="1" t="s">
        <v>19</v>
      </c>
      <c r="I1576" s="1" t="s">
        <v>427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2171</v>
      </c>
      <c r="E1577" s="1"/>
      <c r="F1577" s="1" t="s">
        <v>2174</v>
      </c>
      <c r="G1577" s="1">
        <v>36</v>
      </c>
      <c r="H1577" s="1" t="s">
        <v>19</v>
      </c>
      <c r="I1577" s="1" t="s">
        <v>427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2175</v>
      </c>
      <c r="E1578" s="1"/>
      <c r="F1578" s="1" t="s">
        <v>2176</v>
      </c>
      <c r="G1578" s="1">
        <v>72</v>
      </c>
      <c r="H1578" s="1" t="s">
        <v>19</v>
      </c>
      <c r="I1578" s="1" t="s">
        <v>428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2175</v>
      </c>
      <c r="E1579" s="1"/>
      <c r="F1579" s="1" t="s">
        <v>2177</v>
      </c>
      <c r="G1579" s="1">
        <v>72</v>
      </c>
      <c r="H1579" s="1" t="s">
        <v>19</v>
      </c>
      <c r="I1579" s="1" t="s">
        <v>428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2175</v>
      </c>
      <c r="E1580" s="1"/>
      <c r="F1580" s="1" t="s">
        <v>2178</v>
      </c>
      <c r="G1580" s="1">
        <v>72</v>
      </c>
      <c r="H1580" s="1" t="s">
        <v>19</v>
      </c>
      <c r="I1580" s="1" t="s">
        <v>428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2484</v>
      </c>
      <c r="D1581" s="1" t="s">
        <v>2512</v>
      </c>
      <c r="E1581" s="1"/>
      <c r="F1581" s="1" t="s">
        <v>2122</v>
      </c>
      <c r="G1581" s="1">
        <v>8</v>
      </c>
      <c r="H1581" s="1" t="s">
        <v>19</v>
      </c>
      <c r="I1581" s="1" t="s">
        <v>570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2484</v>
      </c>
      <c r="D1582" s="1" t="s">
        <v>2512</v>
      </c>
      <c r="E1582" s="1"/>
      <c r="F1582" s="1" t="s">
        <v>2513</v>
      </c>
      <c r="G1582" s="1">
        <v>5</v>
      </c>
      <c r="H1582" s="1" t="s">
        <v>19</v>
      </c>
      <c r="I1582" s="1" t="s">
        <v>570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2479</v>
      </c>
      <c r="D1583" s="1" t="s">
        <v>2514</v>
      </c>
      <c r="E1583" s="1"/>
      <c r="F1583" s="1" t="s">
        <v>2122</v>
      </c>
      <c r="G1583" s="1">
        <v>7</v>
      </c>
      <c r="H1583" s="1" t="s">
        <v>19</v>
      </c>
      <c r="I1583" s="1" t="s">
        <v>571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2479</v>
      </c>
      <c r="D1584" s="1" t="s">
        <v>2514</v>
      </c>
      <c r="E1584" s="1"/>
      <c r="F1584" s="1" t="s">
        <v>2513</v>
      </c>
      <c r="G1584" s="1">
        <v>5</v>
      </c>
      <c r="H1584" s="1" t="s">
        <v>19</v>
      </c>
      <c r="I1584" s="1" t="s">
        <v>571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2489</v>
      </c>
      <c r="D1585" s="1" t="s">
        <v>2515</v>
      </c>
      <c r="E1585" s="1"/>
      <c r="F1585" s="1" t="s">
        <v>2122</v>
      </c>
      <c r="G1585" s="1">
        <v>7</v>
      </c>
      <c r="H1585" s="1" t="s">
        <v>19</v>
      </c>
      <c r="I1585" s="1" t="s">
        <v>572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2489</v>
      </c>
      <c r="D1586" s="1" t="s">
        <v>2515</v>
      </c>
      <c r="E1586" s="1"/>
      <c r="F1586" s="1" t="s">
        <v>2513</v>
      </c>
      <c r="G1586" s="1">
        <v>5</v>
      </c>
      <c r="H1586" s="1" t="s">
        <v>19</v>
      </c>
      <c r="I1586" s="1" t="s">
        <v>572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2483</v>
      </c>
      <c r="D1587" s="1" t="s">
        <v>2516</v>
      </c>
      <c r="E1587" s="1"/>
      <c r="F1587" s="1" t="s">
        <v>2122</v>
      </c>
      <c r="G1587" s="1">
        <v>5</v>
      </c>
      <c r="H1587" s="1" t="s">
        <v>19</v>
      </c>
      <c r="I1587" s="1" t="s">
        <v>573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2483</v>
      </c>
      <c r="D1588" s="1" t="s">
        <v>2516</v>
      </c>
      <c r="E1588" s="1"/>
      <c r="F1588" s="1" t="s">
        <v>2513</v>
      </c>
      <c r="G1588" s="1">
        <v>5</v>
      </c>
      <c r="H1588" s="1" t="s">
        <v>19</v>
      </c>
      <c r="I1588" s="1" t="s">
        <v>573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2483</v>
      </c>
      <c r="D1589" s="1"/>
      <c r="E1589" s="1"/>
      <c r="F1589" s="1" t="s">
        <v>2517</v>
      </c>
      <c r="G1589" s="1">
        <v>1</v>
      </c>
      <c r="H1589" s="1" t="s">
        <v>19</v>
      </c>
      <c r="I1589" s="1" t="s">
        <v>573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2483</v>
      </c>
      <c r="D1590" s="1"/>
      <c r="E1590" s="1"/>
      <c r="F1590" s="1" t="s">
        <v>2517</v>
      </c>
      <c r="G1590" s="1">
        <v>1</v>
      </c>
      <c r="H1590" s="1" t="s">
        <v>19</v>
      </c>
      <c r="I1590" s="1" t="s">
        <v>573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2483</v>
      </c>
      <c r="D1591" s="1"/>
      <c r="E1591" s="1"/>
      <c r="F1591" s="1" t="s">
        <v>2517</v>
      </c>
      <c r="G1591" s="1">
        <v>1</v>
      </c>
      <c r="H1591" s="1" t="s">
        <v>19</v>
      </c>
      <c r="I1591" s="1" t="s">
        <v>573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2483</v>
      </c>
      <c r="D1592" s="1"/>
      <c r="E1592" s="1"/>
      <c r="F1592" s="1" t="s">
        <v>2518</v>
      </c>
      <c r="G1592" s="1">
        <v>1</v>
      </c>
      <c r="H1592" s="1" t="s">
        <v>19</v>
      </c>
      <c r="I1592" s="1" t="s">
        <v>573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2483</v>
      </c>
      <c r="D1593" s="1"/>
      <c r="E1593" s="1"/>
      <c r="F1593" s="1" t="s">
        <v>2519</v>
      </c>
      <c r="G1593" s="1">
        <v>1</v>
      </c>
      <c r="H1593" s="1" t="s">
        <v>19</v>
      </c>
      <c r="I1593" s="1" t="s">
        <v>573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2483</v>
      </c>
      <c r="D1594" s="1"/>
      <c r="E1594" s="1"/>
      <c r="F1594" s="1" t="s">
        <v>2519</v>
      </c>
      <c r="G1594" s="1">
        <v>1</v>
      </c>
      <c r="H1594" s="1" t="s">
        <v>19</v>
      </c>
      <c r="I1594" s="1" t="s">
        <v>573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2188</v>
      </c>
      <c r="D1595" s="1"/>
      <c r="E1595" s="1"/>
      <c r="F1595" s="1" t="s">
        <v>2520</v>
      </c>
      <c r="G1595" s="1">
        <v>4</v>
      </c>
      <c r="H1595" s="1" t="s">
        <v>19</v>
      </c>
      <c r="I1595" s="1" t="s">
        <v>1346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1050</v>
      </c>
      <c r="D1596" s="1"/>
      <c r="E1596" s="1"/>
      <c r="F1596" s="1" t="s">
        <v>1736</v>
      </c>
      <c r="G1596" s="1">
        <v>66</v>
      </c>
      <c r="H1596" s="1" t="s">
        <v>19</v>
      </c>
      <c r="I1596" s="1" t="s">
        <v>653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1050</v>
      </c>
      <c r="D1597" s="1"/>
      <c r="E1597" s="1"/>
      <c r="F1597" s="1" t="s">
        <v>1763</v>
      </c>
      <c r="G1597" s="1">
        <v>66</v>
      </c>
      <c r="H1597" s="1" t="s">
        <v>19</v>
      </c>
      <c r="I1597" s="1" t="s">
        <v>653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1050</v>
      </c>
      <c r="D1598" s="1"/>
      <c r="E1598" s="1"/>
      <c r="F1598" s="1" t="s">
        <v>1779</v>
      </c>
      <c r="G1598" s="1">
        <v>66</v>
      </c>
      <c r="H1598" s="1" t="s">
        <v>19</v>
      </c>
      <c r="I1598" s="1" t="s">
        <v>653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1133</v>
      </c>
      <c r="D1599" s="1"/>
      <c r="E1599" s="1" t="s">
        <v>44</v>
      </c>
      <c r="F1599" s="1" t="s">
        <v>1135</v>
      </c>
      <c r="G1599" s="1">
        <v>1</v>
      </c>
      <c r="H1599" s="1" t="s">
        <v>19</v>
      </c>
      <c r="I1599" s="1" t="s">
        <v>653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1141</v>
      </c>
      <c r="D1600" s="1"/>
      <c r="E1600" s="1" t="s">
        <v>1838</v>
      </c>
      <c r="F1600" s="1" t="s">
        <v>1936</v>
      </c>
      <c r="G1600" s="1">
        <v>1</v>
      </c>
      <c r="H1600" s="1" t="s">
        <v>19</v>
      </c>
      <c r="I1600" s="1" t="s">
        <v>653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1082</v>
      </c>
      <c r="D1601" s="1"/>
      <c r="E1601" s="1"/>
      <c r="F1601" s="1" t="s">
        <v>1083</v>
      </c>
      <c r="G1601" s="1">
        <v>1</v>
      </c>
      <c r="H1601" s="1" t="s">
        <v>19</v>
      </c>
      <c r="I1601" s="1" t="s">
        <v>653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1082</v>
      </c>
      <c r="D1602" s="1"/>
      <c r="E1602" s="1"/>
      <c r="F1602" s="1" t="s">
        <v>1084</v>
      </c>
      <c r="G1602" s="1">
        <v>9</v>
      </c>
      <c r="H1602" s="1" t="s">
        <v>19</v>
      </c>
      <c r="I1602" s="1" t="s">
        <v>653</v>
      </c>
      <c r="J1602" s="1">
        <v>98.8</v>
      </c>
      <c r="K1602" s="1">
        <v>889.19999999999993</v>
      </c>
      <c r="L1602" s="42">
        <v>9</v>
      </c>
      <c r="M1602" s="43" t="s">
        <v>2535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1082</v>
      </c>
      <c r="D1603" s="1"/>
      <c r="E1603" s="1"/>
      <c r="F1603" s="1" t="s">
        <v>1085</v>
      </c>
      <c r="G1603" s="1">
        <v>1</v>
      </c>
      <c r="H1603" s="1" t="s">
        <v>19</v>
      </c>
      <c r="I1603" s="1" t="s">
        <v>653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1798</v>
      </c>
      <c r="D1604" s="1"/>
      <c r="E1604" s="1"/>
      <c r="F1604" s="1" t="s">
        <v>2179</v>
      </c>
      <c r="G1604" s="1">
        <v>4</v>
      </c>
      <c r="H1604" s="1" t="s">
        <v>19</v>
      </c>
      <c r="I1604" s="1" t="s">
        <v>653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2180</v>
      </c>
      <c r="E1605" s="1"/>
      <c r="F1605" s="1" t="s">
        <v>2181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2180</v>
      </c>
      <c r="E1606" s="1"/>
      <c r="F1606" s="1" t="s">
        <v>2182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2180</v>
      </c>
      <c r="E1607" s="1"/>
      <c r="F1607" s="1" t="s">
        <v>2183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2180</v>
      </c>
      <c r="E1608" s="1"/>
      <c r="F1608" s="1" t="s">
        <v>2184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2185</v>
      </c>
      <c r="D1609" s="1"/>
      <c r="E1609" s="1" t="s">
        <v>2186</v>
      </c>
      <c r="F1609" s="1" t="s">
        <v>2187</v>
      </c>
      <c r="G1609" s="1">
        <v>22</v>
      </c>
      <c r="H1609" s="1" t="s">
        <v>19</v>
      </c>
      <c r="I1609" s="1" t="s">
        <v>653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2188</v>
      </c>
      <c r="D1610" s="1"/>
      <c r="E1610" s="1"/>
      <c r="F1610" s="1" t="s">
        <v>2189</v>
      </c>
      <c r="G1610" s="1">
        <v>1</v>
      </c>
      <c r="H1610" s="1" t="s">
        <v>19</v>
      </c>
      <c r="I1610" s="1" t="s">
        <v>653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1299</v>
      </c>
      <c r="D1611" s="1"/>
      <c r="E1611" s="1" t="s">
        <v>2</v>
      </c>
      <c r="F1611" s="1" t="s">
        <v>1300</v>
      </c>
      <c r="G1611" s="1">
        <v>64</v>
      </c>
      <c r="H1611" s="1" t="s">
        <v>19</v>
      </c>
      <c r="I1611" s="1" t="s">
        <v>1301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2292</v>
      </c>
      <c r="D1612" s="1"/>
      <c r="E1612" s="1"/>
      <c r="F1612" s="1" t="s">
        <v>2293</v>
      </c>
      <c r="G1612" s="1">
        <v>1360</v>
      </c>
      <c r="H1612" s="1" t="s">
        <v>19</v>
      </c>
      <c r="I1612" s="1" t="s">
        <v>2294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2292</v>
      </c>
      <c r="D1613" s="1"/>
      <c r="E1613" s="1"/>
      <c r="F1613" s="1" t="s">
        <v>2295</v>
      </c>
      <c r="G1613" s="1">
        <v>840</v>
      </c>
      <c r="H1613" s="1" t="s">
        <v>19</v>
      </c>
      <c r="I1613" s="1" t="s">
        <v>2296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2292</v>
      </c>
      <c r="D1614" s="1"/>
      <c r="E1614" s="1"/>
      <c r="F1614" s="1" t="s">
        <v>2297</v>
      </c>
      <c r="G1614" s="1">
        <v>1360</v>
      </c>
      <c r="H1614" s="1" t="s">
        <v>19</v>
      </c>
      <c r="I1614" s="1" t="s">
        <v>2294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2292</v>
      </c>
      <c r="D1615" s="1"/>
      <c r="E1615" s="1"/>
      <c r="F1615" s="1" t="s">
        <v>2298</v>
      </c>
      <c r="G1615" s="1">
        <v>840</v>
      </c>
      <c r="H1615" s="1" t="s">
        <v>19</v>
      </c>
      <c r="I1615" s="1" t="s">
        <v>2296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2292</v>
      </c>
      <c r="D1616" s="1"/>
      <c r="E1616" s="1"/>
      <c r="F1616" s="1" t="s">
        <v>2299</v>
      </c>
      <c r="G1616" s="1">
        <v>840</v>
      </c>
      <c r="H1616" s="1" t="s">
        <v>19</v>
      </c>
      <c r="I1616" s="1" t="s">
        <v>2296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2292</v>
      </c>
      <c r="D1617" s="1"/>
      <c r="E1617" s="1"/>
      <c r="F1617" s="1" t="s">
        <v>2300</v>
      </c>
      <c r="G1617" s="1">
        <v>1360</v>
      </c>
      <c r="H1617" s="1" t="s">
        <v>19</v>
      </c>
      <c r="I1617" s="1" t="s">
        <v>2301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1362</v>
      </c>
      <c r="D1618" s="1"/>
      <c r="E1618" s="1"/>
      <c r="F1618" s="1" t="s">
        <v>2302</v>
      </c>
      <c r="G1618" s="1">
        <v>1</v>
      </c>
      <c r="H1618" s="1" t="s">
        <v>19</v>
      </c>
      <c r="I1618" s="1" t="s">
        <v>1301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1362</v>
      </c>
      <c r="D1619" s="1"/>
      <c r="E1619" s="1"/>
      <c r="F1619" s="1" t="s">
        <v>2303</v>
      </c>
      <c r="G1619" s="1">
        <v>1</v>
      </c>
      <c r="H1619" s="1" t="s">
        <v>19</v>
      </c>
      <c r="I1619" s="1" t="s">
        <v>1301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1362</v>
      </c>
      <c r="D1620" s="1"/>
      <c r="E1620" s="1"/>
      <c r="F1620" s="1" t="s">
        <v>2302</v>
      </c>
      <c r="G1620" s="1">
        <v>1</v>
      </c>
      <c r="H1620" s="1" t="s">
        <v>19</v>
      </c>
      <c r="I1620" s="1" t="s">
        <v>1296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1362</v>
      </c>
      <c r="D1621" s="1"/>
      <c r="E1621" s="1"/>
      <c r="F1621" s="1" t="s">
        <v>2303</v>
      </c>
      <c r="G1621" s="1">
        <v>1</v>
      </c>
      <c r="H1621" s="1" t="s">
        <v>19</v>
      </c>
      <c r="I1621" s="1" t="s">
        <v>1296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1362</v>
      </c>
      <c r="D1622" s="1"/>
      <c r="E1622" s="1"/>
      <c r="F1622" s="1" t="s">
        <v>2302</v>
      </c>
      <c r="G1622" s="1">
        <v>1</v>
      </c>
      <c r="H1622" s="1" t="s">
        <v>19</v>
      </c>
      <c r="I1622" s="1" t="s">
        <v>1302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1362</v>
      </c>
      <c r="D1623" s="1"/>
      <c r="E1623" s="1"/>
      <c r="F1623" s="1" t="s">
        <v>2303</v>
      </c>
      <c r="G1623" s="1">
        <v>1</v>
      </c>
      <c r="H1623" s="1" t="s">
        <v>19</v>
      </c>
      <c r="I1623" s="1" t="s">
        <v>1302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1362</v>
      </c>
      <c r="D1624" s="1"/>
      <c r="E1624" s="1"/>
      <c r="F1624" s="1" t="s">
        <v>2302</v>
      </c>
      <c r="G1624" s="1">
        <v>1</v>
      </c>
      <c r="H1624" s="1" t="s">
        <v>19</v>
      </c>
      <c r="I1624" s="1" t="s">
        <v>1291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1362</v>
      </c>
      <c r="D1625" s="1"/>
      <c r="E1625" s="1"/>
      <c r="F1625" s="1" t="s">
        <v>2303</v>
      </c>
      <c r="G1625" s="1">
        <v>1</v>
      </c>
      <c r="H1625" s="1" t="s">
        <v>19</v>
      </c>
      <c r="I1625" s="1" t="s">
        <v>1291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2304</v>
      </c>
      <c r="D1626" s="1"/>
      <c r="E1626" s="1"/>
      <c r="F1626" s="1" t="s">
        <v>2305</v>
      </c>
      <c r="G1626" s="1">
        <v>1</v>
      </c>
      <c r="H1626" s="1" t="s">
        <v>19</v>
      </c>
      <c r="I1626" s="1" t="s">
        <v>1301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2304</v>
      </c>
      <c r="D1627" s="1"/>
      <c r="E1627" s="1"/>
      <c r="F1627" s="1" t="s">
        <v>2306</v>
      </c>
      <c r="G1627" s="1">
        <v>1</v>
      </c>
      <c r="H1627" s="1" t="s">
        <v>19</v>
      </c>
      <c r="I1627" s="1" t="s">
        <v>1291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2304</v>
      </c>
      <c r="D1628" s="1"/>
      <c r="E1628" s="1"/>
      <c r="F1628" s="1" t="s">
        <v>2307</v>
      </c>
      <c r="G1628" s="1">
        <v>1</v>
      </c>
      <c r="H1628" s="1" t="s">
        <v>19</v>
      </c>
      <c r="I1628" s="1" t="s">
        <v>1296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2304</v>
      </c>
      <c r="D1629" s="1"/>
      <c r="E1629" s="1"/>
      <c r="F1629" s="1" t="s">
        <v>2308</v>
      </c>
      <c r="G1629" s="1">
        <v>1</v>
      </c>
      <c r="H1629" s="1" t="s">
        <v>19</v>
      </c>
      <c r="I1629" s="1" t="s">
        <v>1302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2536</v>
      </c>
      <c r="D1630" s="1" t="s">
        <v>2537</v>
      </c>
      <c r="E1630" s="1"/>
      <c r="F1630" s="1" t="s">
        <v>2538</v>
      </c>
      <c r="G1630" s="1">
        <v>1</v>
      </c>
      <c r="H1630" s="1" t="s">
        <v>19</v>
      </c>
      <c r="I1630" s="1" t="s">
        <v>1301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2539</v>
      </c>
      <c r="D1631" s="1" t="s">
        <v>2540</v>
      </c>
      <c r="E1631" s="1"/>
      <c r="F1631" s="1" t="s">
        <v>2538</v>
      </c>
      <c r="G1631" s="1">
        <v>1</v>
      </c>
      <c r="H1631" s="1" t="s">
        <v>19</v>
      </c>
      <c r="I1631" s="1" t="s">
        <v>1296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2541</v>
      </c>
      <c r="D1632" s="1" t="s">
        <v>2542</v>
      </c>
      <c r="E1632" s="1"/>
      <c r="F1632" s="1" t="s">
        <v>2538</v>
      </c>
      <c r="G1632" s="1">
        <v>1</v>
      </c>
      <c r="H1632" s="1" t="s">
        <v>19</v>
      </c>
      <c r="I1632" s="1" t="s">
        <v>1302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2543</v>
      </c>
      <c r="D1633" s="1" t="s">
        <v>2544</v>
      </c>
      <c r="E1633" s="1"/>
      <c r="F1633" s="1" t="s">
        <v>2538</v>
      </c>
      <c r="G1633" s="1">
        <v>1</v>
      </c>
      <c r="H1633" s="1" t="s">
        <v>19</v>
      </c>
      <c r="I1633" s="1" t="s">
        <v>1291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1362</v>
      </c>
      <c r="D1634" s="1"/>
      <c r="E1634" s="1" t="s">
        <v>2</v>
      </c>
      <c r="F1634" s="1" t="s">
        <v>1363</v>
      </c>
      <c r="G1634" s="1">
        <v>1</v>
      </c>
      <c r="H1634" s="1" t="s">
        <v>19</v>
      </c>
      <c r="I1634" s="1" t="s">
        <v>1301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1362</v>
      </c>
      <c r="D1635" s="1"/>
      <c r="E1635" s="1" t="s">
        <v>44</v>
      </c>
      <c r="F1635" s="1" t="s">
        <v>1364</v>
      </c>
      <c r="G1635" s="1">
        <v>1</v>
      </c>
      <c r="H1635" s="1" t="s">
        <v>19</v>
      </c>
      <c r="I1635" s="1" t="s">
        <v>1301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1362</v>
      </c>
      <c r="D1636" s="1"/>
      <c r="E1636" s="1" t="s">
        <v>747</v>
      </c>
      <c r="F1636" s="1" t="s">
        <v>1365</v>
      </c>
      <c r="G1636" s="1">
        <v>1</v>
      </c>
      <c r="H1636" s="1" t="s">
        <v>19</v>
      </c>
      <c r="I1636" s="1" t="s">
        <v>1301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1362</v>
      </c>
      <c r="D1637" s="1"/>
      <c r="E1637" s="1" t="s">
        <v>1102</v>
      </c>
      <c r="F1637" s="1" t="s">
        <v>1366</v>
      </c>
      <c r="G1637" s="1">
        <v>1</v>
      </c>
      <c r="H1637" s="1" t="s">
        <v>19</v>
      </c>
      <c r="I1637" s="1" t="s">
        <v>1301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1362</v>
      </c>
      <c r="D1638" s="1"/>
      <c r="E1638" s="1" t="s">
        <v>101</v>
      </c>
      <c r="F1638" s="1" t="s">
        <v>1367</v>
      </c>
      <c r="G1638" s="1">
        <v>1</v>
      </c>
      <c r="H1638" s="1" t="s">
        <v>19</v>
      </c>
      <c r="I1638" s="1" t="s">
        <v>1301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1362</v>
      </c>
      <c r="D1639" s="1"/>
      <c r="E1639" s="1"/>
      <c r="F1639" s="1" t="s">
        <v>2302</v>
      </c>
      <c r="G1639" s="1">
        <v>1</v>
      </c>
      <c r="H1639" s="1" t="s">
        <v>19</v>
      </c>
      <c r="I1639" s="1" t="s">
        <v>1301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1362</v>
      </c>
      <c r="D1640" s="1"/>
      <c r="E1640" s="1"/>
      <c r="F1640" s="1" t="s">
        <v>2303</v>
      </c>
      <c r="G1640" s="1">
        <v>1</v>
      </c>
      <c r="H1640" s="1" t="s">
        <v>19</v>
      </c>
      <c r="I1640" s="1" t="s">
        <v>1301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1362</v>
      </c>
      <c r="D1641" s="1"/>
      <c r="E1641" s="1" t="s">
        <v>2</v>
      </c>
      <c r="F1641" s="1" t="s">
        <v>1363</v>
      </c>
      <c r="G1641" s="1">
        <v>1</v>
      </c>
      <c r="H1641" s="1" t="s">
        <v>19</v>
      </c>
      <c r="I1641" s="1" t="s">
        <v>1296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1362</v>
      </c>
      <c r="D1642" s="1"/>
      <c r="E1642" s="1" t="s">
        <v>44</v>
      </c>
      <c r="F1642" s="1" t="s">
        <v>1364</v>
      </c>
      <c r="G1642" s="1">
        <v>1</v>
      </c>
      <c r="H1642" s="1" t="s">
        <v>19</v>
      </c>
      <c r="I1642" s="1" t="s">
        <v>1296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1362</v>
      </c>
      <c r="D1643" s="1"/>
      <c r="E1643" s="1" t="s">
        <v>747</v>
      </c>
      <c r="F1643" s="1" t="s">
        <v>1365</v>
      </c>
      <c r="G1643" s="1">
        <v>1</v>
      </c>
      <c r="H1643" s="1" t="s">
        <v>19</v>
      </c>
      <c r="I1643" s="1" t="s">
        <v>1296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1362</v>
      </c>
      <c r="D1644" s="1"/>
      <c r="E1644" s="1" t="s">
        <v>1102</v>
      </c>
      <c r="F1644" s="1" t="s">
        <v>1366</v>
      </c>
      <c r="G1644" s="1">
        <v>1</v>
      </c>
      <c r="H1644" s="1" t="s">
        <v>19</v>
      </c>
      <c r="I1644" s="1" t="s">
        <v>1296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1362</v>
      </c>
      <c r="D1645" s="1"/>
      <c r="E1645" s="1" t="s">
        <v>101</v>
      </c>
      <c r="F1645" s="1" t="s">
        <v>1367</v>
      </c>
      <c r="G1645" s="1">
        <v>1</v>
      </c>
      <c r="H1645" s="1" t="s">
        <v>19</v>
      </c>
      <c r="I1645" s="1" t="s">
        <v>1296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1362</v>
      </c>
      <c r="D1646" s="1"/>
      <c r="E1646" s="1"/>
      <c r="F1646" s="1" t="s">
        <v>2302</v>
      </c>
      <c r="G1646" s="1">
        <v>1</v>
      </c>
      <c r="H1646" s="1" t="s">
        <v>19</v>
      </c>
      <c r="I1646" s="1" t="s">
        <v>1296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1362</v>
      </c>
      <c r="D1647" s="1"/>
      <c r="E1647" s="1"/>
      <c r="F1647" s="1" t="s">
        <v>2303</v>
      </c>
      <c r="G1647" s="1">
        <v>1</v>
      </c>
      <c r="H1647" s="1" t="s">
        <v>19</v>
      </c>
      <c r="I1647" s="1" t="s">
        <v>1296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1362</v>
      </c>
      <c r="D1648" s="1"/>
      <c r="E1648" s="1" t="s">
        <v>2</v>
      </c>
      <c r="F1648" s="1" t="s">
        <v>1363</v>
      </c>
      <c r="G1648" s="1">
        <v>1</v>
      </c>
      <c r="H1648" s="1" t="s">
        <v>19</v>
      </c>
      <c r="I1648" s="1" t="s">
        <v>1302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1362</v>
      </c>
      <c r="D1649" s="1"/>
      <c r="E1649" s="1" t="s">
        <v>44</v>
      </c>
      <c r="F1649" s="1" t="s">
        <v>1364</v>
      </c>
      <c r="G1649" s="1">
        <v>1</v>
      </c>
      <c r="H1649" s="1" t="s">
        <v>19</v>
      </c>
      <c r="I1649" s="1" t="s">
        <v>1302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1362</v>
      </c>
      <c r="D1650" s="1"/>
      <c r="E1650" s="1" t="s">
        <v>747</v>
      </c>
      <c r="F1650" s="1" t="s">
        <v>1365</v>
      </c>
      <c r="G1650" s="1">
        <v>1</v>
      </c>
      <c r="H1650" s="1" t="s">
        <v>19</v>
      </c>
      <c r="I1650" s="1" t="s">
        <v>1302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1362</v>
      </c>
      <c r="D1651" s="1"/>
      <c r="E1651" s="1" t="s">
        <v>1102</v>
      </c>
      <c r="F1651" s="1" t="s">
        <v>1366</v>
      </c>
      <c r="G1651" s="1">
        <v>1</v>
      </c>
      <c r="H1651" s="1" t="s">
        <v>19</v>
      </c>
      <c r="I1651" s="1" t="s">
        <v>1302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1362</v>
      </c>
      <c r="D1652" s="1"/>
      <c r="E1652" s="1" t="s">
        <v>101</v>
      </c>
      <c r="F1652" s="1" t="s">
        <v>1367</v>
      </c>
      <c r="G1652" s="1">
        <v>1</v>
      </c>
      <c r="H1652" s="1" t="s">
        <v>19</v>
      </c>
      <c r="I1652" s="1" t="s">
        <v>1302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1362</v>
      </c>
      <c r="D1653" s="1"/>
      <c r="E1653" s="1"/>
      <c r="F1653" s="1" t="s">
        <v>2302</v>
      </c>
      <c r="G1653" s="1">
        <v>1</v>
      </c>
      <c r="H1653" s="1" t="s">
        <v>19</v>
      </c>
      <c r="I1653" s="1" t="s">
        <v>1302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1362</v>
      </c>
      <c r="D1654" s="1"/>
      <c r="E1654" s="1"/>
      <c r="F1654" s="1" t="s">
        <v>2303</v>
      </c>
      <c r="G1654" s="1">
        <v>1</v>
      </c>
      <c r="H1654" s="1" t="s">
        <v>19</v>
      </c>
      <c r="I1654" s="1" t="s">
        <v>1302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1362</v>
      </c>
      <c r="D1655" s="1"/>
      <c r="E1655" s="1" t="s">
        <v>2</v>
      </c>
      <c r="F1655" s="1" t="s">
        <v>1363</v>
      </c>
      <c r="G1655" s="1">
        <v>1</v>
      </c>
      <c r="H1655" s="1" t="s">
        <v>19</v>
      </c>
      <c r="I1655" s="1" t="s">
        <v>1291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1362</v>
      </c>
      <c r="D1656" s="1"/>
      <c r="E1656" s="1" t="s">
        <v>44</v>
      </c>
      <c r="F1656" s="1" t="s">
        <v>1364</v>
      </c>
      <c r="G1656" s="1">
        <v>1</v>
      </c>
      <c r="H1656" s="1" t="s">
        <v>19</v>
      </c>
      <c r="I1656" s="1" t="s">
        <v>1291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1362</v>
      </c>
      <c r="D1657" s="1"/>
      <c r="E1657" s="1" t="s">
        <v>747</v>
      </c>
      <c r="F1657" s="1" t="s">
        <v>1365</v>
      </c>
      <c r="G1657" s="1">
        <v>1</v>
      </c>
      <c r="H1657" s="1" t="s">
        <v>19</v>
      </c>
      <c r="I1657" s="1" t="s">
        <v>1291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1362</v>
      </c>
      <c r="D1658" s="1"/>
      <c r="E1658" s="1" t="s">
        <v>1102</v>
      </c>
      <c r="F1658" s="1" t="s">
        <v>1366</v>
      </c>
      <c r="G1658" s="1">
        <v>1</v>
      </c>
      <c r="H1658" s="1" t="s">
        <v>19</v>
      </c>
      <c r="I1658" s="1" t="s">
        <v>1291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1362</v>
      </c>
      <c r="D1659" s="1"/>
      <c r="E1659" s="1" t="s">
        <v>101</v>
      </c>
      <c r="F1659" s="1" t="s">
        <v>1367</v>
      </c>
      <c r="G1659" s="1">
        <v>1</v>
      </c>
      <c r="H1659" s="1" t="s">
        <v>19</v>
      </c>
      <c r="I1659" s="1" t="s">
        <v>1291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1362</v>
      </c>
      <c r="D1660" s="1"/>
      <c r="E1660" s="1"/>
      <c r="F1660" s="1" t="s">
        <v>2302</v>
      </c>
      <c r="G1660" s="1">
        <v>1</v>
      </c>
      <c r="H1660" s="1" t="s">
        <v>19</v>
      </c>
      <c r="I1660" s="1" t="s">
        <v>1291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1362</v>
      </c>
      <c r="D1661" s="1"/>
      <c r="E1661" s="1"/>
      <c r="F1661" s="1" t="s">
        <v>2303</v>
      </c>
      <c r="G1661" s="1">
        <v>1</v>
      </c>
      <c r="H1661" s="1" t="s">
        <v>19</v>
      </c>
      <c r="I1661" s="1" t="s">
        <v>1291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2304</v>
      </c>
      <c r="D1662" s="1"/>
      <c r="E1662" s="1"/>
      <c r="F1662" s="1" t="s">
        <v>2305</v>
      </c>
      <c r="G1662" s="1">
        <v>1</v>
      </c>
      <c r="H1662" s="1" t="s">
        <v>19</v>
      </c>
      <c r="I1662" s="1" t="s">
        <v>1301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2304</v>
      </c>
      <c r="D1663" s="1"/>
      <c r="E1663" s="1"/>
      <c r="F1663" s="1" t="s">
        <v>2306</v>
      </c>
      <c r="G1663" s="1">
        <v>1</v>
      </c>
      <c r="H1663" s="1" t="s">
        <v>19</v>
      </c>
      <c r="I1663" s="1" t="s">
        <v>1291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2304</v>
      </c>
      <c r="D1664" s="1"/>
      <c r="E1664" s="1"/>
      <c r="F1664" s="1" t="s">
        <v>2307</v>
      </c>
      <c r="G1664" s="1">
        <v>1</v>
      </c>
      <c r="H1664" s="1" t="s">
        <v>19</v>
      </c>
      <c r="I1664" s="1" t="s">
        <v>1296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2304</v>
      </c>
      <c r="D1665" s="1"/>
      <c r="E1665" s="1"/>
      <c r="F1665" s="1" t="s">
        <v>2308</v>
      </c>
      <c r="G1665" s="1">
        <v>1</v>
      </c>
      <c r="H1665" s="1" t="s">
        <v>19</v>
      </c>
      <c r="I1665" s="1" t="s">
        <v>1302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2536</v>
      </c>
      <c r="D1666" s="1" t="s">
        <v>2537</v>
      </c>
      <c r="E1666" s="1"/>
      <c r="F1666" s="1" t="s">
        <v>2538</v>
      </c>
      <c r="G1666" s="1">
        <v>1</v>
      </c>
      <c r="H1666" s="1" t="s">
        <v>19</v>
      </c>
      <c r="I1666" s="1" t="s">
        <v>1301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2539</v>
      </c>
      <c r="D1667" s="1" t="s">
        <v>2540</v>
      </c>
      <c r="E1667" s="1"/>
      <c r="F1667" s="1" t="s">
        <v>2538</v>
      </c>
      <c r="G1667" s="1">
        <v>1</v>
      </c>
      <c r="H1667" s="1" t="s">
        <v>19</v>
      </c>
      <c r="I1667" s="1" t="s">
        <v>1296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2541</v>
      </c>
      <c r="D1668" s="1" t="s">
        <v>2542</v>
      </c>
      <c r="E1668" s="1"/>
      <c r="F1668" s="1" t="s">
        <v>2538</v>
      </c>
      <c r="G1668" s="1">
        <v>1</v>
      </c>
      <c r="H1668" s="1" t="s">
        <v>19</v>
      </c>
      <c r="I1668" s="1" t="s">
        <v>1302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2543</v>
      </c>
      <c r="D1669" s="1" t="s">
        <v>2544</v>
      </c>
      <c r="E1669" s="1"/>
      <c r="F1669" s="1" t="s">
        <v>2538</v>
      </c>
      <c r="G1669" s="1">
        <v>1</v>
      </c>
      <c r="H1669" s="1" t="s">
        <v>19</v>
      </c>
      <c r="I1669" s="1" t="s">
        <v>1291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1299</v>
      </c>
      <c r="D1670" s="1"/>
      <c r="E1670" s="1" t="s">
        <v>2</v>
      </c>
      <c r="F1670" s="1" t="s">
        <v>1300</v>
      </c>
      <c r="G1670" s="1">
        <v>39</v>
      </c>
      <c r="H1670" s="1" t="s">
        <v>19</v>
      </c>
      <c r="I1670" s="1" t="s">
        <v>1301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1361</v>
      </c>
      <c r="D1671" s="1"/>
      <c r="E1671" s="1" t="s">
        <v>2</v>
      </c>
      <c r="F1671" s="1" t="s">
        <v>2545</v>
      </c>
      <c r="G1671" s="1">
        <v>78</v>
      </c>
      <c r="H1671" s="1" t="s">
        <v>19</v>
      </c>
      <c r="I1671" s="1" t="s">
        <v>1301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1361</v>
      </c>
      <c r="D1672" s="1"/>
      <c r="E1672" s="1" t="s">
        <v>2</v>
      </c>
      <c r="F1672" s="1" t="s">
        <v>2545</v>
      </c>
      <c r="G1672" s="1">
        <v>26</v>
      </c>
      <c r="H1672" s="1" t="s">
        <v>19</v>
      </c>
      <c r="I1672" s="1" t="s">
        <v>1296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1361</v>
      </c>
      <c r="D1673" s="1"/>
      <c r="E1673" s="1" t="s">
        <v>2</v>
      </c>
      <c r="F1673" s="1" t="s">
        <v>2545</v>
      </c>
      <c r="G1673" s="1">
        <v>46</v>
      </c>
      <c r="H1673" s="1" t="s">
        <v>19</v>
      </c>
      <c r="I1673" s="1" t="s">
        <v>1302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1392</v>
      </c>
      <c r="D1674" s="1"/>
      <c r="E1674" s="1" t="s">
        <v>2</v>
      </c>
      <c r="F1674" s="1" t="s">
        <v>2546</v>
      </c>
      <c r="G1674" s="1">
        <v>1</v>
      </c>
      <c r="H1674" s="1" t="s">
        <v>19</v>
      </c>
      <c r="I1674" s="1" t="s">
        <v>1296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1844</v>
      </c>
      <c r="D1675" s="1"/>
      <c r="E1675" s="1" t="s">
        <v>2</v>
      </c>
      <c r="F1675" s="1" t="s">
        <v>1845</v>
      </c>
      <c r="G1675" s="1">
        <v>1</v>
      </c>
      <c r="H1675" s="1" t="s">
        <v>19</v>
      </c>
      <c r="I1675" s="1" t="s">
        <v>1291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1844</v>
      </c>
      <c r="D1676" s="1"/>
      <c r="E1676" s="1" t="s">
        <v>44</v>
      </c>
      <c r="F1676" s="1" t="s">
        <v>1846</v>
      </c>
      <c r="G1676" s="1">
        <v>1</v>
      </c>
      <c r="H1676" s="1" t="s">
        <v>19</v>
      </c>
      <c r="I1676" s="1" t="s">
        <v>1291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1844</v>
      </c>
      <c r="D1677" s="1"/>
      <c r="E1677" s="1" t="s">
        <v>44</v>
      </c>
      <c r="F1677" s="1" t="s">
        <v>1847</v>
      </c>
      <c r="G1677" s="1">
        <v>1</v>
      </c>
      <c r="H1677" s="1" t="s">
        <v>19</v>
      </c>
      <c r="I1677" s="1" t="s">
        <v>1291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1848</v>
      </c>
      <c r="D1678" s="1"/>
      <c r="E1678" s="1" t="s">
        <v>44</v>
      </c>
      <c r="F1678" s="1" t="s">
        <v>1850</v>
      </c>
      <c r="G1678" s="1">
        <v>1</v>
      </c>
      <c r="H1678" s="1" t="s">
        <v>19</v>
      </c>
      <c r="I1678" s="1" t="s">
        <v>1302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1361</v>
      </c>
      <c r="D1679" s="1"/>
      <c r="E1679" s="1" t="s">
        <v>2</v>
      </c>
      <c r="F1679" s="1" t="s">
        <v>2545</v>
      </c>
      <c r="G1679" s="1">
        <v>8</v>
      </c>
      <c r="H1679" s="1" t="s">
        <v>19</v>
      </c>
      <c r="I1679" s="1" t="s">
        <v>1302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1361</v>
      </c>
      <c r="D1680" s="1"/>
      <c r="E1680" s="1" t="s">
        <v>2</v>
      </c>
      <c r="F1680" s="1" t="s">
        <v>2545</v>
      </c>
      <c r="G1680" s="1">
        <v>52</v>
      </c>
      <c r="H1680" s="1" t="s">
        <v>19</v>
      </c>
      <c r="I1680" s="1" t="s">
        <v>1291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1380</v>
      </c>
      <c r="D1681" s="1"/>
      <c r="E1681" s="1" t="s">
        <v>44</v>
      </c>
      <c r="F1681" s="1" t="s">
        <v>1381</v>
      </c>
      <c r="G1681" s="1">
        <v>1</v>
      </c>
      <c r="H1681" s="1" t="s">
        <v>19</v>
      </c>
      <c r="I1681" s="1" t="s">
        <v>1301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1380</v>
      </c>
      <c r="D1682" s="1"/>
      <c r="E1682" s="1" t="s">
        <v>747</v>
      </c>
      <c r="F1682" s="1" t="s">
        <v>1382</v>
      </c>
      <c r="G1682" s="1">
        <v>1</v>
      </c>
      <c r="H1682" s="1" t="s">
        <v>19</v>
      </c>
      <c r="I1682" s="1" t="s">
        <v>1301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1394</v>
      </c>
      <c r="D1683" s="1"/>
      <c r="E1683" s="1" t="s">
        <v>2</v>
      </c>
      <c r="F1683" s="1" t="s">
        <v>1395</v>
      </c>
      <c r="G1683" s="1">
        <v>1</v>
      </c>
      <c r="H1683" s="1" t="s">
        <v>19</v>
      </c>
      <c r="I1683" s="1" t="s">
        <v>1301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1394</v>
      </c>
      <c r="D1684" s="1"/>
      <c r="E1684" s="1" t="s">
        <v>44</v>
      </c>
      <c r="F1684" s="1" t="s">
        <v>1396</v>
      </c>
      <c r="G1684" s="1">
        <v>1</v>
      </c>
      <c r="H1684" s="1" t="s">
        <v>19</v>
      </c>
      <c r="I1684" s="1" t="s">
        <v>1301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1394</v>
      </c>
      <c r="D1685" s="1"/>
      <c r="E1685" s="1" t="s">
        <v>747</v>
      </c>
      <c r="F1685" s="1" t="s">
        <v>1398</v>
      </c>
      <c r="G1685" s="1">
        <v>4</v>
      </c>
      <c r="H1685" s="1" t="s">
        <v>19</v>
      </c>
      <c r="I1685" s="1" t="s">
        <v>1301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1397</v>
      </c>
      <c r="D1686" s="1"/>
      <c r="E1686" s="1" t="s">
        <v>2</v>
      </c>
      <c r="F1686" s="1" t="s">
        <v>1400</v>
      </c>
      <c r="G1686" s="1">
        <v>1</v>
      </c>
      <c r="H1686" s="1" t="s">
        <v>19</v>
      </c>
      <c r="I1686" s="1" t="s">
        <v>1301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1401</v>
      </c>
      <c r="D1687" s="1"/>
      <c r="E1687" s="1" t="s">
        <v>2</v>
      </c>
      <c r="F1687" s="1" t="s">
        <v>1402</v>
      </c>
      <c r="G1687" s="1">
        <v>1</v>
      </c>
      <c r="H1687" s="1" t="s">
        <v>19</v>
      </c>
      <c r="I1687" s="1" t="s">
        <v>1291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1401</v>
      </c>
      <c r="D1688" s="1"/>
      <c r="E1688" s="1" t="s">
        <v>2</v>
      </c>
      <c r="F1688" s="1" t="s">
        <v>1842</v>
      </c>
      <c r="G1688" s="1">
        <v>1</v>
      </c>
      <c r="H1688" s="1" t="s">
        <v>19</v>
      </c>
      <c r="I1688" s="1" t="s">
        <v>1291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1401</v>
      </c>
      <c r="D1689" s="1"/>
      <c r="E1689" s="1" t="s">
        <v>44</v>
      </c>
      <c r="F1689" s="1" t="s">
        <v>1841</v>
      </c>
      <c r="G1689" s="1">
        <v>1</v>
      </c>
      <c r="H1689" s="1" t="s">
        <v>19</v>
      </c>
      <c r="I1689" s="1" t="s">
        <v>1291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1401</v>
      </c>
      <c r="D1690" s="1"/>
      <c r="E1690" s="1" t="s">
        <v>747</v>
      </c>
      <c r="F1690" s="1" t="s">
        <v>1843</v>
      </c>
      <c r="G1690" s="1">
        <v>1</v>
      </c>
      <c r="H1690" s="1" t="s">
        <v>19</v>
      </c>
      <c r="I1690" s="1" t="s">
        <v>1291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1844</v>
      </c>
      <c r="D1691" s="1"/>
      <c r="E1691" s="1" t="s">
        <v>2575</v>
      </c>
      <c r="F1691" s="1" t="s">
        <v>2576</v>
      </c>
      <c r="G1691" s="1">
        <v>2</v>
      </c>
      <c r="H1691" s="1" t="s">
        <v>19</v>
      </c>
      <c r="I1691" s="1" t="s">
        <v>1291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1848</v>
      </c>
      <c r="D1692" s="1"/>
      <c r="E1692" s="1" t="s">
        <v>747</v>
      </c>
      <c r="F1692" s="1" t="s">
        <v>1851</v>
      </c>
      <c r="G1692" s="1">
        <v>4</v>
      </c>
      <c r="H1692" s="1" t="s">
        <v>19</v>
      </c>
      <c r="I1692" s="1" t="s">
        <v>1302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1852</v>
      </c>
      <c r="D1693" s="1"/>
      <c r="E1693" s="1" t="s">
        <v>2</v>
      </c>
      <c r="F1693" s="1" t="s">
        <v>1853</v>
      </c>
      <c r="G1693" s="1">
        <v>1</v>
      </c>
      <c r="H1693" s="1" t="s">
        <v>19</v>
      </c>
      <c r="I1693" s="1" t="s">
        <v>1291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1852</v>
      </c>
      <c r="D1694" s="1"/>
      <c r="E1694" s="1" t="s">
        <v>747</v>
      </c>
      <c r="F1694" s="1" t="s">
        <v>1854</v>
      </c>
      <c r="G1694" s="1">
        <v>1</v>
      </c>
      <c r="H1694" s="1" t="s">
        <v>19</v>
      </c>
      <c r="I1694" s="1" t="s">
        <v>1291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1885</v>
      </c>
      <c r="D1695" s="1"/>
      <c r="E1695" s="1" t="s">
        <v>2</v>
      </c>
      <c r="F1695" s="1" t="s">
        <v>1886</v>
      </c>
      <c r="G1695" s="1">
        <v>1</v>
      </c>
      <c r="H1695" s="1" t="s">
        <v>19</v>
      </c>
      <c r="I1695" s="1" t="s">
        <v>1296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1885</v>
      </c>
      <c r="D1696" s="1"/>
      <c r="E1696" s="1" t="s">
        <v>44</v>
      </c>
      <c r="F1696" s="1" t="s">
        <v>1887</v>
      </c>
      <c r="G1696" s="1">
        <v>1</v>
      </c>
      <c r="H1696" s="1" t="s">
        <v>19</v>
      </c>
      <c r="I1696" s="1" t="s">
        <v>1296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1885</v>
      </c>
      <c r="D1697" s="1"/>
      <c r="E1697" s="1" t="s">
        <v>747</v>
      </c>
      <c r="F1697" s="1" t="s">
        <v>1888</v>
      </c>
      <c r="G1697" s="1">
        <v>1</v>
      </c>
      <c r="H1697" s="1" t="s">
        <v>19</v>
      </c>
      <c r="I1697" s="1" t="s">
        <v>1296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1885</v>
      </c>
      <c r="D1698" s="1"/>
      <c r="E1698" s="1" t="s">
        <v>1102</v>
      </c>
      <c r="F1698" s="1" t="s">
        <v>1889</v>
      </c>
      <c r="G1698" s="1">
        <v>1</v>
      </c>
      <c r="H1698" s="1" t="s">
        <v>19</v>
      </c>
      <c r="I1698" s="1" t="s">
        <v>1296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1368</v>
      </c>
      <c r="D1699" s="1"/>
      <c r="E1699" s="1" t="s">
        <v>2</v>
      </c>
      <c r="F1699" s="1" t="s">
        <v>1369</v>
      </c>
      <c r="G1699" s="1">
        <v>2</v>
      </c>
      <c r="H1699" s="1" t="s">
        <v>19</v>
      </c>
      <c r="I1699" s="1" t="s">
        <v>1301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1368</v>
      </c>
      <c r="D1700" s="1"/>
      <c r="E1700" s="1" t="s">
        <v>44</v>
      </c>
      <c r="F1700" s="1" t="s">
        <v>1370</v>
      </c>
      <c r="G1700" s="1">
        <v>2</v>
      </c>
      <c r="H1700" s="1" t="s">
        <v>19</v>
      </c>
      <c r="I1700" s="1" t="s">
        <v>1301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1368</v>
      </c>
      <c r="D1701" s="1"/>
      <c r="E1701" s="1" t="s">
        <v>747</v>
      </c>
      <c r="F1701" s="1" t="s">
        <v>2577</v>
      </c>
      <c r="G1701" s="1">
        <v>2</v>
      </c>
      <c r="H1701" s="1" t="s">
        <v>19</v>
      </c>
      <c r="I1701" s="1" t="s">
        <v>1301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1368</v>
      </c>
      <c r="D1702" s="1"/>
      <c r="E1702" s="1" t="s">
        <v>1102</v>
      </c>
      <c r="F1702" s="1" t="s">
        <v>2578</v>
      </c>
      <c r="G1702" s="1">
        <v>2</v>
      </c>
      <c r="H1702" s="1" t="s">
        <v>19</v>
      </c>
      <c r="I1702" s="1" t="s">
        <v>1301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1368</v>
      </c>
      <c r="D1703" s="1"/>
      <c r="E1703" s="1" t="s">
        <v>101</v>
      </c>
      <c r="F1703" s="1" t="s">
        <v>2579</v>
      </c>
      <c r="G1703" s="1">
        <v>2</v>
      </c>
      <c r="H1703" s="1" t="s">
        <v>19</v>
      </c>
      <c r="I1703" s="1" t="s">
        <v>1301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1368</v>
      </c>
      <c r="D1704" s="1"/>
      <c r="E1704" s="1" t="s">
        <v>174</v>
      </c>
      <c r="F1704" s="1" t="s">
        <v>1374</v>
      </c>
      <c r="G1704" s="1">
        <v>2</v>
      </c>
      <c r="H1704" s="1" t="s">
        <v>19</v>
      </c>
      <c r="I1704" s="1" t="s">
        <v>1301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1368</v>
      </c>
      <c r="D1705" s="1"/>
      <c r="E1705" s="1" t="s">
        <v>462</v>
      </c>
      <c r="F1705" s="1" t="s">
        <v>1375</v>
      </c>
      <c r="G1705" s="1">
        <v>2</v>
      </c>
      <c r="H1705" s="1" t="s">
        <v>19</v>
      </c>
      <c r="I1705" s="1" t="s">
        <v>1301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1368</v>
      </c>
      <c r="D1706" s="1"/>
      <c r="E1706" s="1" t="s">
        <v>2</v>
      </c>
      <c r="F1706" s="1" t="s">
        <v>1369</v>
      </c>
      <c r="G1706" s="1">
        <v>2</v>
      </c>
      <c r="H1706" s="1" t="s">
        <v>19</v>
      </c>
      <c r="I1706" s="1" t="s">
        <v>1296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1368</v>
      </c>
      <c r="D1707" s="1"/>
      <c r="E1707" s="1" t="s">
        <v>44</v>
      </c>
      <c r="F1707" s="1" t="s">
        <v>1370</v>
      </c>
      <c r="G1707" s="1">
        <v>2</v>
      </c>
      <c r="H1707" s="1" t="s">
        <v>19</v>
      </c>
      <c r="I1707" s="1" t="s">
        <v>1296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1368</v>
      </c>
      <c r="D1708" s="1"/>
      <c r="E1708" s="1" t="s">
        <v>747</v>
      </c>
      <c r="F1708" s="1" t="s">
        <v>1371</v>
      </c>
      <c r="G1708" s="1">
        <v>2</v>
      </c>
      <c r="H1708" s="1" t="s">
        <v>19</v>
      </c>
      <c r="I1708" s="1" t="s">
        <v>1296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1368</v>
      </c>
      <c r="D1709" s="1"/>
      <c r="E1709" s="1" t="s">
        <v>1102</v>
      </c>
      <c r="F1709" s="1" t="s">
        <v>2578</v>
      </c>
      <c r="G1709" s="1">
        <v>2</v>
      </c>
      <c r="H1709" s="1" t="s">
        <v>19</v>
      </c>
      <c r="I1709" s="1" t="s">
        <v>1296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1368</v>
      </c>
      <c r="D1710" s="1"/>
      <c r="E1710" s="1" t="s">
        <v>101</v>
      </c>
      <c r="F1710" s="1" t="s">
        <v>2579</v>
      </c>
      <c r="G1710" s="1">
        <v>2</v>
      </c>
      <c r="H1710" s="1" t="s">
        <v>19</v>
      </c>
      <c r="I1710" s="1" t="s">
        <v>1296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1368</v>
      </c>
      <c r="D1711" s="1"/>
      <c r="E1711" s="1" t="s">
        <v>174</v>
      </c>
      <c r="F1711" s="1" t="s">
        <v>1374</v>
      </c>
      <c r="G1711" s="1">
        <v>2</v>
      </c>
      <c r="H1711" s="1" t="s">
        <v>19</v>
      </c>
      <c r="I1711" s="1" t="s">
        <v>1296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1368</v>
      </c>
      <c r="D1712" s="1"/>
      <c r="E1712" s="1" t="s">
        <v>462</v>
      </c>
      <c r="F1712" s="1" t="s">
        <v>1375</v>
      </c>
      <c r="G1712" s="1">
        <v>2</v>
      </c>
      <c r="H1712" s="1" t="s">
        <v>19</v>
      </c>
      <c r="I1712" s="1" t="s">
        <v>1296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1368</v>
      </c>
      <c r="D1713" s="1"/>
      <c r="E1713" s="1" t="s">
        <v>2</v>
      </c>
      <c r="F1713" s="1" t="s">
        <v>1369</v>
      </c>
      <c r="G1713" s="1">
        <v>2</v>
      </c>
      <c r="H1713" s="1" t="s">
        <v>19</v>
      </c>
      <c r="I1713" s="1" t="s">
        <v>1302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1368</v>
      </c>
      <c r="D1714" s="1"/>
      <c r="E1714" s="1" t="s">
        <v>44</v>
      </c>
      <c r="F1714" s="1" t="s">
        <v>1370</v>
      </c>
      <c r="G1714" s="1">
        <v>2</v>
      </c>
      <c r="H1714" s="1" t="s">
        <v>19</v>
      </c>
      <c r="I1714" s="1" t="s">
        <v>1302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1368</v>
      </c>
      <c r="D1715" s="1"/>
      <c r="E1715" s="1" t="s">
        <v>747</v>
      </c>
      <c r="F1715" s="1" t="s">
        <v>2577</v>
      </c>
      <c r="G1715" s="1">
        <v>2</v>
      </c>
      <c r="H1715" s="1" t="s">
        <v>19</v>
      </c>
      <c r="I1715" s="1" t="s">
        <v>1302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1368</v>
      </c>
      <c r="D1716" s="1"/>
      <c r="E1716" s="1" t="s">
        <v>1102</v>
      </c>
      <c r="F1716" s="1" t="s">
        <v>2578</v>
      </c>
      <c r="G1716" s="1">
        <v>2</v>
      </c>
      <c r="H1716" s="1" t="s">
        <v>19</v>
      </c>
      <c r="I1716" s="1" t="s">
        <v>1302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1368</v>
      </c>
      <c r="D1717" s="1"/>
      <c r="E1717" s="1" t="s">
        <v>101</v>
      </c>
      <c r="F1717" s="1" t="s">
        <v>2579</v>
      </c>
      <c r="G1717" s="1">
        <v>2</v>
      </c>
      <c r="H1717" s="1" t="s">
        <v>19</v>
      </c>
      <c r="I1717" s="1" t="s">
        <v>1302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1368</v>
      </c>
      <c r="D1718" s="1"/>
      <c r="E1718" s="1" t="s">
        <v>174</v>
      </c>
      <c r="F1718" s="1" t="s">
        <v>1374</v>
      </c>
      <c r="G1718" s="1">
        <v>2</v>
      </c>
      <c r="H1718" s="1" t="s">
        <v>19</v>
      </c>
      <c r="I1718" s="1" t="s">
        <v>1302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1368</v>
      </c>
      <c r="D1719" s="1"/>
      <c r="E1719" s="1" t="s">
        <v>462</v>
      </c>
      <c r="F1719" s="1" t="s">
        <v>1375</v>
      </c>
      <c r="G1719" s="1">
        <v>2</v>
      </c>
      <c r="H1719" s="1" t="s">
        <v>19</v>
      </c>
      <c r="I1719" s="1" t="s">
        <v>1302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1368</v>
      </c>
      <c r="D1720" s="1"/>
      <c r="E1720" s="1" t="s">
        <v>2</v>
      </c>
      <c r="F1720" s="1" t="s">
        <v>1369</v>
      </c>
      <c r="G1720" s="1">
        <v>2</v>
      </c>
      <c r="H1720" s="1" t="s">
        <v>19</v>
      </c>
      <c r="I1720" s="1" t="s">
        <v>1291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1368</v>
      </c>
      <c r="D1721" s="1"/>
      <c r="E1721" s="1" t="s">
        <v>44</v>
      </c>
      <c r="F1721" s="1" t="s">
        <v>1370</v>
      </c>
      <c r="G1721" s="1">
        <v>2</v>
      </c>
      <c r="H1721" s="1" t="s">
        <v>19</v>
      </c>
      <c r="I1721" s="1" t="s">
        <v>1291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1368</v>
      </c>
      <c r="D1722" s="1"/>
      <c r="E1722" s="1" t="s">
        <v>747</v>
      </c>
      <c r="F1722" s="1" t="s">
        <v>1371</v>
      </c>
      <c r="G1722" s="1">
        <v>2</v>
      </c>
      <c r="H1722" s="1" t="s">
        <v>19</v>
      </c>
      <c r="I1722" s="1" t="s">
        <v>1291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1368</v>
      </c>
      <c r="D1723" s="1"/>
      <c r="E1723" s="1" t="s">
        <v>1102</v>
      </c>
      <c r="F1723" s="1" t="s">
        <v>1372</v>
      </c>
      <c r="G1723" s="1">
        <v>2</v>
      </c>
      <c r="H1723" s="1" t="s">
        <v>19</v>
      </c>
      <c r="I1723" s="1" t="s">
        <v>1291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1368</v>
      </c>
      <c r="D1724" s="1"/>
      <c r="E1724" s="1" t="s">
        <v>101</v>
      </c>
      <c r="F1724" s="1" t="s">
        <v>1373</v>
      </c>
      <c r="G1724" s="1">
        <v>2</v>
      </c>
      <c r="H1724" s="1" t="s">
        <v>19</v>
      </c>
      <c r="I1724" s="1" t="s">
        <v>1291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1368</v>
      </c>
      <c r="D1725" s="1"/>
      <c r="E1725" s="1" t="s">
        <v>174</v>
      </c>
      <c r="F1725" s="1" t="s">
        <v>1374</v>
      </c>
      <c r="G1725" s="1">
        <v>2</v>
      </c>
      <c r="H1725" s="1" t="s">
        <v>19</v>
      </c>
      <c r="I1725" s="1" t="s">
        <v>1291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1368</v>
      </c>
      <c r="D1726" s="1"/>
      <c r="E1726" s="1" t="s">
        <v>462</v>
      </c>
      <c r="F1726" s="1" t="s">
        <v>1375</v>
      </c>
      <c r="G1726" s="1">
        <v>2</v>
      </c>
      <c r="H1726" s="1" t="s">
        <v>19</v>
      </c>
      <c r="I1726" s="1" t="s">
        <v>1291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1380</v>
      </c>
      <c r="D1727" s="1"/>
      <c r="E1727" s="1" t="s">
        <v>2</v>
      </c>
      <c r="F1727" s="1" t="s">
        <v>1379</v>
      </c>
      <c r="G1727" s="1">
        <v>2</v>
      </c>
      <c r="H1727" s="1" t="s">
        <v>19</v>
      </c>
      <c r="I1727" s="1" t="s">
        <v>1301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1393</v>
      </c>
      <c r="D1728" s="1"/>
      <c r="E1728" s="1" t="s">
        <v>2</v>
      </c>
      <c r="F1728" s="1" t="s">
        <v>1388</v>
      </c>
      <c r="G1728" s="1">
        <v>1</v>
      </c>
      <c r="H1728" s="1" t="s">
        <v>19</v>
      </c>
      <c r="I1728" s="1" t="s">
        <v>1291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1848</v>
      </c>
      <c r="D1729" s="1"/>
      <c r="E1729" s="1" t="s">
        <v>2</v>
      </c>
      <c r="F1729" s="1" t="s">
        <v>1849</v>
      </c>
      <c r="G1729" s="1">
        <v>1</v>
      </c>
      <c r="H1729" s="1" t="s">
        <v>19</v>
      </c>
      <c r="I1729" s="1" t="s">
        <v>1302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2061</v>
      </c>
      <c r="D1730" s="1" t="s">
        <v>2580</v>
      </c>
      <c r="E1730" s="1"/>
      <c r="F1730" s="1" t="s">
        <v>2581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2061</v>
      </c>
      <c r="D1731" s="1" t="s">
        <v>2580</v>
      </c>
      <c r="E1731" s="1"/>
      <c r="F1731" s="1" t="s">
        <v>2582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2061</v>
      </c>
      <c r="D1732" s="1" t="s">
        <v>2580</v>
      </c>
      <c r="E1732" s="1"/>
      <c r="F1732" s="1" t="s">
        <v>2583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2584</v>
      </c>
      <c r="D1733" s="1" t="s">
        <v>2585</v>
      </c>
      <c r="E1733" s="1"/>
      <c r="F1733" s="1" t="s">
        <v>2586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2584</v>
      </c>
      <c r="D1734" s="1" t="s">
        <v>2585</v>
      </c>
      <c r="E1734" s="1"/>
      <c r="F1734" s="1" t="s">
        <v>2587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2584</v>
      </c>
      <c r="D1735" s="1" t="s">
        <v>2585</v>
      </c>
      <c r="E1735" s="1"/>
      <c r="F1735" s="1" t="s">
        <v>2588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2589</v>
      </c>
      <c r="D1736" s="1" t="s">
        <v>2590</v>
      </c>
      <c r="E1736" s="1"/>
      <c r="F1736" s="1" t="s">
        <v>2591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2589</v>
      </c>
      <c r="D1737" s="1" t="s">
        <v>2590</v>
      </c>
      <c r="E1737" s="1"/>
      <c r="F1737" s="1" t="s">
        <v>2592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2589</v>
      </c>
      <c r="D1738" s="1" t="s">
        <v>2590</v>
      </c>
      <c r="E1738" s="1"/>
      <c r="F1738" s="1" t="s">
        <v>2593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2594</v>
      </c>
      <c r="D1739" s="1" t="s">
        <v>2595</v>
      </c>
      <c r="E1739" s="1"/>
      <c r="F1739" s="1" t="s">
        <v>2596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2594</v>
      </c>
      <c r="D1740" s="1" t="s">
        <v>2595</v>
      </c>
      <c r="E1740" s="1"/>
      <c r="F1740" s="1" t="s">
        <v>2597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2594</v>
      </c>
      <c r="D1741" s="1" t="s">
        <v>2595</v>
      </c>
      <c r="E1741" s="1"/>
      <c r="F1741" s="1" t="s">
        <v>2598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2599</v>
      </c>
      <c r="D1742" s="1" t="s">
        <v>2600</v>
      </c>
      <c r="E1742" s="1"/>
      <c r="F1742" s="1" t="s">
        <v>2601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2599</v>
      </c>
      <c r="D1743" s="1" t="s">
        <v>2600</v>
      </c>
      <c r="E1743" s="1"/>
      <c r="F1743" s="1" t="s">
        <v>2602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2599</v>
      </c>
      <c r="D1744" s="1" t="s">
        <v>2600</v>
      </c>
      <c r="E1744" s="1"/>
      <c r="F1744" s="1" t="s">
        <v>2603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2604</v>
      </c>
      <c r="D1745" s="1" t="s">
        <v>2605</v>
      </c>
      <c r="E1745" s="1"/>
      <c r="F1745" s="1" t="s">
        <v>2606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2604</v>
      </c>
      <c r="D1746" s="1" t="s">
        <v>2605</v>
      </c>
      <c r="E1746" s="1"/>
      <c r="F1746" s="1" t="s">
        <v>2607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2604</v>
      </c>
      <c r="D1747" s="1" t="s">
        <v>2605</v>
      </c>
      <c r="E1747" s="1"/>
      <c r="F1747" s="1" t="s">
        <v>2608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2609</v>
      </c>
      <c r="D1748" s="1" t="s">
        <v>2610</v>
      </c>
      <c r="E1748" s="1"/>
      <c r="F1748" s="1" t="s">
        <v>2611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2609</v>
      </c>
      <c r="D1749" s="1" t="s">
        <v>2610</v>
      </c>
      <c r="E1749" s="1"/>
      <c r="F1749" s="1" t="s">
        <v>2612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2609</v>
      </c>
      <c r="D1750" s="1" t="s">
        <v>2610</v>
      </c>
      <c r="E1750" s="1"/>
      <c r="F1750" s="1" t="s">
        <v>2613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2614</v>
      </c>
      <c r="D1751" s="1" t="s">
        <v>2615</v>
      </c>
      <c r="E1751" s="1"/>
      <c r="F1751" s="1" t="s">
        <v>2616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2614</v>
      </c>
      <c r="D1752" s="1" t="s">
        <v>2615</v>
      </c>
      <c r="E1752" s="1"/>
      <c r="F1752" s="1" t="s">
        <v>2617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2614</v>
      </c>
      <c r="D1753" s="1" t="s">
        <v>2615</v>
      </c>
      <c r="E1753" s="1"/>
      <c r="F1753" s="1" t="s">
        <v>2618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1885</v>
      </c>
      <c r="D1754" s="1"/>
      <c r="E1754" s="1"/>
      <c r="F1754" s="1" t="s">
        <v>2619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1885</v>
      </c>
      <c r="D1755" s="1"/>
      <c r="E1755" s="1"/>
      <c r="F1755" s="1" t="s">
        <v>2620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1885</v>
      </c>
      <c r="D1756" s="1"/>
      <c r="E1756" s="1"/>
      <c r="F1756" s="1" t="s">
        <v>2621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1885</v>
      </c>
      <c r="D1757" s="1"/>
      <c r="E1757" s="1"/>
      <c r="F1757" s="1" t="s">
        <v>2622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2623</v>
      </c>
      <c r="D1758" s="1"/>
      <c r="E1758" s="1"/>
      <c r="F1758" s="1" t="s">
        <v>2624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2623</v>
      </c>
      <c r="D1759" s="1"/>
      <c r="E1759" s="1"/>
      <c r="F1759" s="1" t="s">
        <v>2625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2623</v>
      </c>
      <c r="D1760" s="1"/>
      <c r="E1760" s="1"/>
      <c r="F1760" s="1" t="s">
        <v>2626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1890</v>
      </c>
      <c r="D1761" s="1" t="s">
        <v>2627</v>
      </c>
      <c r="E1761" s="1"/>
      <c r="F1761" s="1" t="s">
        <v>2628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1890</v>
      </c>
      <c r="D1762" s="1" t="s">
        <v>2627</v>
      </c>
      <c r="E1762" s="1"/>
      <c r="F1762" s="1" t="s">
        <v>2629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1890</v>
      </c>
      <c r="D1763" s="1" t="s">
        <v>2627</v>
      </c>
      <c r="E1763" s="1"/>
      <c r="F1763" s="1" t="s">
        <v>2630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2631</v>
      </c>
      <c r="D1764" s="1" t="s">
        <v>2632</v>
      </c>
      <c r="E1764" s="1"/>
      <c r="F1764" s="1" t="s">
        <v>2633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2631</v>
      </c>
      <c r="D1765" s="1" t="s">
        <v>2632</v>
      </c>
      <c r="E1765" s="1"/>
      <c r="F1765" s="1" t="s">
        <v>2634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2631</v>
      </c>
      <c r="D1766" s="1" t="s">
        <v>2632</v>
      </c>
      <c r="E1766" s="1"/>
      <c r="F1766" s="1" t="s">
        <v>2635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2636</v>
      </c>
      <c r="D1767" s="1" t="s">
        <v>2637</v>
      </c>
      <c r="E1767" s="1"/>
      <c r="F1767" s="1" t="s">
        <v>2638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2636</v>
      </c>
      <c r="D1768" s="1" t="s">
        <v>2637</v>
      </c>
      <c r="E1768" s="1"/>
      <c r="F1768" s="1" t="s">
        <v>2639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2636</v>
      </c>
      <c r="D1769" s="1" t="s">
        <v>2637</v>
      </c>
      <c r="E1769" s="1"/>
      <c r="F1769" s="1" t="s">
        <v>2640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2641</v>
      </c>
      <c r="D1770" s="1" t="s">
        <v>2642</v>
      </c>
      <c r="E1770" s="1"/>
      <c r="F1770" s="1" t="s">
        <v>2643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2641</v>
      </c>
      <c r="D1771" s="1" t="s">
        <v>2642</v>
      </c>
      <c r="E1771" s="1"/>
      <c r="F1771" s="1" t="s">
        <v>2644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2641</v>
      </c>
      <c r="D1772" s="1" t="s">
        <v>2642</v>
      </c>
      <c r="E1772" s="1"/>
      <c r="F1772" s="1" t="s">
        <v>2645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1901</v>
      </c>
      <c r="D1773" s="1" t="s">
        <v>2646</v>
      </c>
      <c r="E1773" s="1"/>
      <c r="F1773" s="1" t="s">
        <v>2647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1901</v>
      </c>
      <c r="D1774" s="1" t="s">
        <v>2646</v>
      </c>
      <c r="E1774" s="1"/>
      <c r="F1774" s="1" t="s">
        <v>2648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1901</v>
      </c>
      <c r="D1775" s="1" t="s">
        <v>2646</v>
      </c>
      <c r="E1775" s="1"/>
      <c r="F1775" s="1" t="s">
        <v>2649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1901</v>
      </c>
      <c r="D1776" s="1" t="s">
        <v>2646</v>
      </c>
      <c r="E1776" s="1"/>
      <c r="F1776" s="1" t="s">
        <v>2650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1901</v>
      </c>
      <c r="D1777" s="1" t="s">
        <v>2646</v>
      </c>
      <c r="E1777" s="1"/>
      <c r="F1777" s="1" t="s">
        <v>2651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1901</v>
      </c>
      <c r="D1778" s="1" t="s">
        <v>2646</v>
      </c>
      <c r="E1778" s="1"/>
      <c r="F1778" s="1" t="s">
        <v>2652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2653</v>
      </c>
      <c r="D1779" s="1"/>
      <c r="E1779" s="1"/>
      <c r="F1779" s="1" t="s">
        <v>2654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2653</v>
      </c>
      <c r="D1780" s="1"/>
      <c r="E1780" s="1"/>
      <c r="F1780" s="1" t="s">
        <v>2655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2653</v>
      </c>
      <c r="D1781" s="1"/>
      <c r="E1781" s="1"/>
      <c r="F1781" s="1" t="s">
        <v>2656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1903</v>
      </c>
      <c r="D1782" s="1" t="s">
        <v>2657</v>
      </c>
      <c r="E1782" s="1"/>
      <c r="F1782" s="1" t="s">
        <v>2658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1903</v>
      </c>
      <c r="D1783" s="1" t="s">
        <v>2657</v>
      </c>
      <c r="E1783" s="1"/>
      <c r="F1783" s="1" t="s">
        <v>2659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1903</v>
      </c>
      <c r="D1784" s="1" t="s">
        <v>2657</v>
      </c>
      <c r="E1784" s="1"/>
      <c r="F1784" s="1" t="s">
        <v>2660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1903</v>
      </c>
      <c r="D1785" s="1" t="s">
        <v>2657</v>
      </c>
      <c r="E1785" s="1"/>
      <c r="F1785" s="1" t="s">
        <v>2661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1904</v>
      </c>
      <c r="D1786" s="1"/>
      <c r="E1786" s="1"/>
      <c r="F1786" s="1" t="s">
        <v>2662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1904</v>
      </c>
      <c r="D1787" s="1"/>
      <c r="E1787" s="1"/>
      <c r="F1787" s="1" t="s">
        <v>2663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1904</v>
      </c>
      <c r="D1788" s="1"/>
      <c r="E1788" s="1"/>
      <c r="F1788" s="1" t="s">
        <v>2664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1904</v>
      </c>
      <c r="D1789" s="1"/>
      <c r="E1789" s="1"/>
      <c r="F1789" s="1" t="s">
        <v>2665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1904</v>
      </c>
      <c r="D1790" s="1"/>
      <c r="E1790" s="1"/>
      <c r="F1790" s="1" t="s">
        <v>2666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1904</v>
      </c>
      <c r="D1791" s="1"/>
      <c r="E1791" s="1"/>
      <c r="F1791" s="1" t="s">
        <v>2667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1904</v>
      </c>
      <c r="D1792" s="1"/>
      <c r="E1792" s="1"/>
      <c r="F1792" s="1" t="s">
        <v>2668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1904</v>
      </c>
      <c r="D1793" s="1"/>
      <c r="E1793" s="1"/>
      <c r="F1793" s="1" t="s">
        <v>2669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1904</v>
      </c>
      <c r="D1794" s="1"/>
      <c r="E1794" s="1"/>
      <c r="F1794" s="1" t="s">
        <v>2670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1905</v>
      </c>
      <c r="D1795" s="1"/>
      <c r="E1795" s="1"/>
      <c r="F1795" s="1" t="s">
        <v>2671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1905</v>
      </c>
      <c r="D1796" s="1"/>
      <c r="E1796" s="1"/>
      <c r="F1796" s="1" t="s">
        <v>2672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1905</v>
      </c>
      <c r="D1797" s="1"/>
      <c r="E1797" s="1"/>
      <c r="F1797" s="1" t="s">
        <v>2673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1906</v>
      </c>
      <c r="D1798" s="1"/>
      <c r="E1798" s="1"/>
      <c r="F1798" s="1" t="s">
        <v>2674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1909</v>
      </c>
      <c r="D1799" s="1"/>
      <c r="E1799" s="1"/>
      <c r="F1799" s="1" t="s">
        <v>2675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1909</v>
      </c>
      <c r="D1800" s="1"/>
      <c r="E1800" s="1"/>
      <c r="F1800" s="1" t="s">
        <v>2676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1909</v>
      </c>
      <c r="D1801" s="1"/>
      <c r="E1801" s="1"/>
      <c r="F1801" s="1" t="s">
        <v>2677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1852</v>
      </c>
      <c r="D1802" s="1"/>
      <c r="E1802" s="1"/>
      <c r="F1802" s="1" t="s">
        <v>2678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2679</v>
      </c>
      <c r="D1803" s="1"/>
      <c r="E1803" s="1"/>
      <c r="F1803" s="1" t="s">
        <v>2680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2679</v>
      </c>
      <c r="D1804" s="1"/>
      <c r="E1804" s="1"/>
      <c r="F1804" s="1" t="s">
        <v>2681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2679</v>
      </c>
      <c r="D1805" s="1"/>
      <c r="E1805" s="1"/>
      <c r="F1805" s="1" t="s">
        <v>2682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2679</v>
      </c>
      <c r="D1806" s="1"/>
      <c r="E1806" s="1"/>
      <c r="F1806" s="1" t="s">
        <v>2683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2684</v>
      </c>
      <c r="D1807" s="1"/>
      <c r="E1807" s="1"/>
      <c r="F1807" s="1" t="s">
        <v>2685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2684</v>
      </c>
      <c r="D1808" s="1"/>
      <c r="E1808" s="1"/>
      <c r="F1808" s="1" t="s">
        <v>2686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2684</v>
      </c>
      <c r="D1809" s="1"/>
      <c r="E1809" s="1"/>
      <c r="F1809" s="1" t="s">
        <v>2687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2684</v>
      </c>
      <c r="D1810" s="1"/>
      <c r="E1810" s="1"/>
      <c r="F1810" s="1" t="s">
        <v>2685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2684</v>
      </c>
      <c r="D1811" s="1"/>
      <c r="E1811" s="1"/>
      <c r="F1811" s="1" t="s">
        <v>2688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2689</v>
      </c>
      <c r="D1812" s="1"/>
      <c r="E1812" s="1"/>
      <c r="F1812" s="1" t="s">
        <v>2690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2689</v>
      </c>
      <c r="D1813" s="1"/>
      <c r="E1813" s="1"/>
      <c r="F1813" s="1" t="s">
        <v>2691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2689</v>
      </c>
      <c r="D1814" s="1"/>
      <c r="E1814" s="1"/>
      <c r="F1814" s="1" t="s">
        <v>2692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2689</v>
      </c>
      <c r="D1815" s="1"/>
      <c r="E1815" s="1"/>
      <c r="F1815" s="1" t="s">
        <v>2693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2689</v>
      </c>
      <c r="D1816" s="1"/>
      <c r="E1816" s="1"/>
      <c r="F1816" s="1" t="s">
        <v>2694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2689</v>
      </c>
      <c r="D1817" s="1"/>
      <c r="E1817" s="1"/>
      <c r="F1817" s="1" t="s">
        <v>2695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2689</v>
      </c>
      <c r="D1818" s="1"/>
      <c r="E1818" s="1"/>
      <c r="F1818" s="1" t="s">
        <v>2696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1392</v>
      </c>
      <c r="D1819" s="1"/>
      <c r="E1819" s="1"/>
      <c r="F1819" s="1" t="s">
        <v>2697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1392</v>
      </c>
      <c r="D1820" s="1"/>
      <c r="E1820" s="1"/>
      <c r="F1820" s="1" t="s">
        <v>2698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1392</v>
      </c>
      <c r="D1821" s="1"/>
      <c r="E1821" s="1"/>
      <c r="F1821" s="1" t="s">
        <v>2699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1392</v>
      </c>
      <c r="D1822" s="1"/>
      <c r="E1822" s="1"/>
      <c r="F1822" s="1" t="s">
        <v>2700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1392</v>
      </c>
      <c r="D1823" s="1"/>
      <c r="E1823" s="1"/>
      <c r="F1823" s="1" t="s">
        <v>2701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1394</v>
      </c>
      <c r="D1824" s="1"/>
      <c r="E1824" s="1"/>
      <c r="F1824" s="1" t="s">
        <v>2702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1394</v>
      </c>
      <c r="D1825" s="1"/>
      <c r="E1825" s="1"/>
      <c r="F1825" s="1" t="s">
        <v>2703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1394</v>
      </c>
      <c r="D1826" s="1"/>
      <c r="E1826" s="1"/>
      <c r="F1826" s="1" t="s">
        <v>2704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1394</v>
      </c>
      <c r="D1827" s="1"/>
      <c r="E1827" s="1"/>
      <c r="F1827" s="1" t="s">
        <v>2705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2706</v>
      </c>
      <c r="D1828" s="1"/>
      <c r="E1828" s="1"/>
      <c r="F1828" s="1" t="s">
        <v>2707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2706</v>
      </c>
      <c r="D1829" s="1"/>
      <c r="E1829" s="1"/>
      <c r="F1829" s="1" t="s">
        <v>2708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2706</v>
      </c>
      <c r="D1830" s="1"/>
      <c r="E1830" s="1"/>
      <c r="F1830" s="1" t="s">
        <v>2709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2706</v>
      </c>
      <c r="D1831" s="1"/>
      <c r="E1831" s="1"/>
      <c r="F1831" s="1" t="s">
        <v>2710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2706</v>
      </c>
      <c r="D1832" s="1"/>
      <c r="E1832" s="1"/>
      <c r="F1832" s="1" t="s">
        <v>2711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2706</v>
      </c>
      <c r="D1833" s="1"/>
      <c r="E1833" s="1"/>
      <c r="F1833" s="1" t="s">
        <v>2712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2706</v>
      </c>
      <c r="D1834" s="1"/>
      <c r="E1834" s="1"/>
      <c r="F1834" s="1" t="s">
        <v>2713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1380</v>
      </c>
      <c r="D1835" s="1"/>
      <c r="E1835" s="1"/>
      <c r="F1835" s="1" t="s">
        <v>2714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1380</v>
      </c>
      <c r="D1836" s="1"/>
      <c r="E1836" s="1"/>
      <c r="F1836" s="1" t="s">
        <v>2715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1380</v>
      </c>
      <c r="D1837" s="1"/>
      <c r="E1837" s="1"/>
      <c r="F1837" s="1" t="s">
        <v>2716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1380</v>
      </c>
      <c r="D1838" s="1"/>
      <c r="E1838" s="1"/>
      <c r="F1838" s="1" t="s">
        <v>2717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1368</v>
      </c>
      <c r="D1839" s="1"/>
      <c r="E1839" s="1"/>
      <c r="F1839" s="1" t="s">
        <v>2718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2719</v>
      </c>
      <c r="D1840" s="1"/>
      <c r="E1840" s="1"/>
      <c r="F1840" s="1" t="s">
        <v>2720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2719</v>
      </c>
      <c r="D1841" s="1"/>
      <c r="E1841" s="1"/>
      <c r="F1841" s="1" t="s">
        <v>2721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2719</v>
      </c>
      <c r="D1842" s="1"/>
      <c r="E1842" s="1"/>
      <c r="F1842" s="1" t="s">
        <v>2722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421</v>
      </c>
      <c r="D1843" s="1"/>
      <c r="E1843" s="1" t="s">
        <v>2</v>
      </c>
      <c r="F1843" s="1" t="s">
        <v>422</v>
      </c>
      <c r="G1843" s="1">
        <v>3</v>
      </c>
      <c r="H1843" s="1" t="s">
        <v>19</v>
      </c>
      <c r="I1843" s="1" t="s">
        <v>424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421</v>
      </c>
      <c r="D1844" s="1"/>
      <c r="E1844" s="1" t="s">
        <v>2</v>
      </c>
      <c r="F1844" s="1" t="s">
        <v>422</v>
      </c>
      <c r="G1844" s="1">
        <v>1</v>
      </c>
      <c r="H1844" s="1" t="s">
        <v>19</v>
      </c>
      <c r="I1844" s="1" t="s">
        <v>425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421</v>
      </c>
      <c r="D1845" s="1"/>
      <c r="E1845" s="1" t="s">
        <v>2</v>
      </c>
      <c r="F1845" s="1" t="s">
        <v>422</v>
      </c>
      <c r="G1845" s="1">
        <v>1</v>
      </c>
      <c r="H1845" s="1" t="s">
        <v>19</v>
      </c>
      <c r="I1845" s="1" t="s">
        <v>426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421</v>
      </c>
      <c r="D1846" s="1"/>
      <c r="E1846" s="1" t="s">
        <v>2</v>
      </c>
      <c r="F1846" s="1" t="s">
        <v>422</v>
      </c>
      <c r="G1846" s="1">
        <v>3</v>
      </c>
      <c r="H1846" s="1" t="s">
        <v>19</v>
      </c>
      <c r="I1846" s="1" t="s">
        <v>427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421</v>
      </c>
      <c r="D1847" s="1"/>
      <c r="E1847" s="1" t="s">
        <v>2</v>
      </c>
      <c r="F1847" s="1" t="s">
        <v>422</v>
      </c>
      <c r="G1847" s="1">
        <v>6</v>
      </c>
      <c r="H1847" s="1" t="s">
        <v>19</v>
      </c>
      <c r="I1847" s="1" t="s">
        <v>428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421</v>
      </c>
      <c r="D1848" s="1"/>
      <c r="E1848" s="1" t="s">
        <v>44</v>
      </c>
      <c r="F1848" s="1" t="s">
        <v>423</v>
      </c>
      <c r="G1848" s="1">
        <v>6</v>
      </c>
      <c r="H1848" s="1" t="s">
        <v>19</v>
      </c>
      <c r="I1848" s="1" t="s">
        <v>424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421</v>
      </c>
      <c r="D1849" s="1"/>
      <c r="E1849" s="1" t="s">
        <v>44</v>
      </c>
      <c r="F1849" s="1" t="s">
        <v>423</v>
      </c>
      <c r="G1849" s="1">
        <v>2</v>
      </c>
      <c r="H1849" s="1" t="s">
        <v>19</v>
      </c>
      <c r="I1849" s="1" t="s">
        <v>425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421</v>
      </c>
      <c r="D1850" s="1"/>
      <c r="E1850" s="1" t="s">
        <v>44</v>
      </c>
      <c r="F1850" s="1" t="s">
        <v>423</v>
      </c>
      <c r="G1850" s="1">
        <v>2</v>
      </c>
      <c r="H1850" s="1" t="s">
        <v>19</v>
      </c>
      <c r="I1850" s="1" t="s">
        <v>426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421</v>
      </c>
      <c r="D1851" s="1"/>
      <c r="E1851" s="1" t="s">
        <v>44</v>
      </c>
      <c r="F1851" s="1" t="s">
        <v>423</v>
      </c>
      <c r="G1851" s="1">
        <v>6</v>
      </c>
      <c r="H1851" s="1" t="s">
        <v>19</v>
      </c>
      <c r="I1851" s="1" t="s">
        <v>427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421</v>
      </c>
      <c r="D1852" s="1"/>
      <c r="E1852" s="1" t="s">
        <v>44</v>
      </c>
      <c r="F1852" s="1" t="s">
        <v>423</v>
      </c>
      <c r="G1852" s="1">
        <v>12</v>
      </c>
      <c r="H1852" s="1" t="s">
        <v>19</v>
      </c>
      <c r="I1852" s="1" t="s">
        <v>428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429</v>
      </c>
      <c r="D1853" s="1"/>
      <c r="E1853" s="1"/>
      <c r="F1853" s="1" t="s">
        <v>430</v>
      </c>
      <c r="G1853" s="1">
        <v>8</v>
      </c>
      <c r="H1853" s="1" t="s">
        <v>19</v>
      </c>
      <c r="I1853" s="1" t="s">
        <v>424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429</v>
      </c>
      <c r="D1854" s="1"/>
      <c r="E1854" s="1"/>
      <c r="F1854" s="1" t="s">
        <v>430</v>
      </c>
      <c r="G1854" s="1">
        <v>2</v>
      </c>
      <c r="H1854" s="1" t="s">
        <v>19</v>
      </c>
      <c r="I1854" s="1" t="s">
        <v>425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429</v>
      </c>
      <c r="D1855" s="1"/>
      <c r="E1855" s="1"/>
      <c r="F1855" s="1" t="s">
        <v>430</v>
      </c>
      <c r="G1855" s="1">
        <v>2</v>
      </c>
      <c r="H1855" s="1" t="s">
        <v>19</v>
      </c>
      <c r="I1855" s="1" t="s">
        <v>426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429</v>
      </c>
      <c r="D1856" s="1"/>
      <c r="E1856" s="1"/>
      <c r="F1856" s="1" t="s">
        <v>430</v>
      </c>
      <c r="G1856" s="1">
        <v>6</v>
      </c>
      <c r="H1856" s="1" t="s">
        <v>19</v>
      </c>
      <c r="I1856" s="1" t="s">
        <v>427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429</v>
      </c>
      <c r="D1857" s="1"/>
      <c r="E1857" s="1"/>
      <c r="F1857" s="1" t="s">
        <v>430</v>
      </c>
      <c r="G1857" s="1">
        <v>12</v>
      </c>
      <c r="H1857" s="1" t="s">
        <v>19</v>
      </c>
      <c r="I1857" s="1" t="s">
        <v>428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591</v>
      </c>
      <c r="D1858" s="1"/>
      <c r="E1858" s="1" t="s">
        <v>2</v>
      </c>
      <c r="F1858" s="1" t="s">
        <v>599</v>
      </c>
      <c r="G1858" s="1">
        <v>1</v>
      </c>
      <c r="H1858" s="1" t="s">
        <v>19</v>
      </c>
      <c r="I1858" s="1" t="s">
        <v>428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591</v>
      </c>
      <c r="D1859" s="1"/>
      <c r="E1859" s="1" t="s">
        <v>44</v>
      </c>
      <c r="F1859" s="1" t="s">
        <v>595</v>
      </c>
      <c r="G1859" s="1">
        <v>1</v>
      </c>
      <c r="H1859" s="1" t="s">
        <v>19</v>
      </c>
      <c r="I1859" s="1" t="s">
        <v>428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591</v>
      </c>
      <c r="D1860" s="1"/>
      <c r="E1860" s="1" t="s">
        <v>747</v>
      </c>
      <c r="F1860" s="1" t="s">
        <v>594</v>
      </c>
      <c r="G1860" s="1">
        <v>1</v>
      </c>
      <c r="H1860" s="1" t="s">
        <v>19</v>
      </c>
      <c r="I1860" s="1" t="s">
        <v>428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591</v>
      </c>
      <c r="D1861" s="1"/>
      <c r="E1861" s="1" t="s">
        <v>1102</v>
      </c>
      <c r="F1861" s="1" t="s">
        <v>592</v>
      </c>
      <c r="G1861" s="1">
        <v>1</v>
      </c>
      <c r="H1861" s="1" t="s">
        <v>19</v>
      </c>
      <c r="I1861" s="1" t="s">
        <v>428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591</v>
      </c>
      <c r="D1862" s="1"/>
      <c r="E1862" s="1" t="s">
        <v>101</v>
      </c>
      <c r="F1862" s="1" t="s">
        <v>593</v>
      </c>
      <c r="G1862" s="1">
        <v>1</v>
      </c>
      <c r="H1862" s="1" t="s">
        <v>19</v>
      </c>
      <c r="I1862" s="1" t="s">
        <v>428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688</v>
      </c>
      <c r="C1863" s="1" t="s">
        <v>597</v>
      </c>
      <c r="D1863" s="1"/>
      <c r="E1863" s="1" t="s">
        <v>2</v>
      </c>
      <c r="F1863" s="1" t="s">
        <v>598</v>
      </c>
      <c r="G1863" s="1">
        <v>1</v>
      </c>
      <c r="H1863" s="1" t="s">
        <v>19</v>
      </c>
      <c r="I1863" s="1" t="s">
        <v>427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689</v>
      </c>
      <c r="C1864" s="1" t="s">
        <v>597</v>
      </c>
      <c r="D1864" s="1"/>
      <c r="E1864" s="1" t="s">
        <v>44</v>
      </c>
      <c r="F1864" s="1" t="s">
        <v>600</v>
      </c>
      <c r="G1864" s="1">
        <v>1</v>
      </c>
      <c r="H1864" s="1" t="s">
        <v>19</v>
      </c>
      <c r="I1864" s="1" t="s">
        <v>427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690</v>
      </c>
      <c r="C1865" s="1" t="s">
        <v>597</v>
      </c>
      <c r="D1865" s="1"/>
      <c r="E1865" s="1" t="s">
        <v>747</v>
      </c>
      <c r="F1865" s="1" t="s">
        <v>601</v>
      </c>
      <c r="G1865" s="1">
        <v>1</v>
      </c>
      <c r="H1865" s="1" t="s">
        <v>19</v>
      </c>
      <c r="I1865" s="1" t="s">
        <v>427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691</v>
      </c>
      <c r="C1866" s="1" t="s">
        <v>597</v>
      </c>
      <c r="D1866" s="1"/>
      <c r="E1866" s="1" t="s">
        <v>1102</v>
      </c>
      <c r="F1866" s="1" t="s">
        <v>602</v>
      </c>
      <c r="G1866" s="1">
        <v>1</v>
      </c>
      <c r="H1866" s="1" t="s">
        <v>19</v>
      </c>
      <c r="I1866" s="1" t="s">
        <v>427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692</v>
      </c>
      <c r="C1867" s="1" t="s">
        <v>597</v>
      </c>
      <c r="D1867" s="1"/>
      <c r="E1867" s="1" t="s">
        <v>101</v>
      </c>
      <c r="F1867" s="1" t="s">
        <v>603</v>
      </c>
      <c r="G1867" s="1">
        <v>1</v>
      </c>
      <c r="H1867" s="1" t="s">
        <v>19</v>
      </c>
      <c r="I1867" s="1" t="s">
        <v>427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693</v>
      </c>
      <c r="C1868" s="1" t="s">
        <v>597</v>
      </c>
      <c r="D1868" s="1"/>
      <c r="E1868" s="1" t="s">
        <v>174</v>
      </c>
      <c r="F1868" s="1" t="s">
        <v>604</v>
      </c>
      <c r="G1868" s="1">
        <v>2</v>
      </c>
      <c r="H1868" s="1" t="s">
        <v>19</v>
      </c>
      <c r="I1868" s="1" t="s">
        <v>427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605</v>
      </c>
      <c r="D1869" s="1"/>
      <c r="E1869" s="1" t="s">
        <v>2</v>
      </c>
      <c r="F1869" s="1" t="s">
        <v>606</v>
      </c>
      <c r="G1869" s="1">
        <v>1</v>
      </c>
      <c r="H1869" s="1" t="s">
        <v>19</v>
      </c>
      <c r="I1869" s="1" t="s">
        <v>425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605</v>
      </c>
      <c r="D1870" s="1"/>
      <c r="E1870" s="1" t="s">
        <v>44</v>
      </c>
      <c r="F1870" s="1" t="s">
        <v>607</v>
      </c>
      <c r="G1870" s="1">
        <v>1</v>
      </c>
      <c r="H1870" s="1" t="s">
        <v>19</v>
      </c>
      <c r="I1870" s="1" t="s">
        <v>425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605</v>
      </c>
      <c r="D1871" s="1"/>
      <c r="E1871" s="1" t="s">
        <v>747</v>
      </c>
      <c r="F1871" s="1" t="s">
        <v>608</v>
      </c>
      <c r="G1871" s="1">
        <v>1</v>
      </c>
      <c r="H1871" s="1" t="s">
        <v>19</v>
      </c>
      <c r="I1871" s="1" t="s">
        <v>425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605</v>
      </c>
      <c r="D1872" s="1"/>
      <c r="E1872" s="1" t="s">
        <v>1102</v>
      </c>
      <c r="F1872" s="1" t="s">
        <v>609</v>
      </c>
      <c r="G1872" s="1">
        <v>1</v>
      </c>
      <c r="H1872" s="1" t="s">
        <v>19</v>
      </c>
      <c r="I1872" s="1" t="s">
        <v>425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605</v>
      </c>
      <c r="D1873" s="1"/>
      <c r="E1873" s="1" t="s">
        <v>101</v>
      </c>
      <c r="F1873" s="1" t="s">
        <v>610</v>
      </c>
      <c r="G1873" s="1">
        <v>1</v>
      </c>
      <c r="H1873" s="1" t="s">
        <v>19</v>
      </c>
      <c r="I1873" s="1" t="s">
        <v>425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605</v>
      </c>
      <c r="D1874" s="1"/>
      <c r="E1874" s="1" t="s">
        <v>2</v>
      </c>
      <c r="F1874" s="1" t="s">
        <v>606</v>
      </c>
      <c r="G1874" s="1">
        <v>1</v>
      </c>
      <c r="H1874" s="1" t="s">
        <v>19</v>
      </c>
      <c r="I1874" s="1" t="s">
        <v>426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605</v>
      </c>
      <c r="D1875" s="1"/>
      <c r="E1875" s="1" t="s">
        <v>44</v>
      </c>
      <c r="F1875" s="1" t="s">
        <v>607</v>
      </c>
      <c r="G1875" s="1">
        <v>1</v>
      </c>
      <c r="H1875" s="1" t="s">
        <v>19</v>
      </c>
      <c r="I1875" s="1" t="s">
        <v>426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605</v>
      </c>
      <c r="D1876" s="1"/>
      <c r="E1876" s="1" t="s">
        <v>747</v>
      </c>
      <c r="F1876" s="1" t="s">
        <v>608</v>
      </c>
      <c r="G1876" s="1">
        <v>1</v>
      </c>
      <c r="H1876" s="1" t="s">
        <v>19</v>
      </c>
      <c r="I1876" s="1" t="s">
        <v>426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605</v>
      </c>
      <c r="D1877" s="1"/>
      <c r="E1877" s="1" t="s">
        <v>101</v>
      </c>
      <c r="F1877" s="1" t="s">
        <v>610</v>
      </c>
      <c r="G1877" s="1">
        <v>1</v>
      </c>
      <c r="H1877" s="1" t="s">
        <v>19</v>
      </c>
      <c r="I1877" s="1" t="s">
        <v>426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612</v>
      </c>
      <c r="D1878" s="1"/>
      <c r="E1878" s="1" t="s">
        <v>2</v>
      </c>
      <c r="F1878" s="1" t="s">
        <v>613</v>
      </c>
      <c r="G1878" s="1">
        <v>1</v>
      </c>
      <c r="H1878" s="1" t="s">
        <v>19</v>
      </c>
      <c r="I1878" s="1" t="s">
        <v>424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612</v>
      </c>
      <c r="D1879" s="1"/>
      <c r="E1879" s="1" t="s">
        <v>44</v>
      </c>
      <c r="F1879" s="1" t="s">
        <v>614</v>
      </c>
      <c r="G1879" s="1">
        <v>1</v>
      </c>
      <c r="H1879" s="1" t="s">
        <v>19</v>
      </c>
      <c r="I1879" s="1" t="s">
        <v>424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612</v>
      </c>
      <c r="D1880" s="1"/>
      <c r="E1880" s="1" t="s">
        <v>747</v>
      </c>
      <c r="F1880" s="1" t="s">
        <v>615</v>
      </c>
      <c r="G1880" s="1">
        <v>1</v>
      </c>
      <c r="H1880" s="1" t="s">
        <v>19</v>
      </c>
      <c r="I1880" s="1" t="s">
        <v>424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612</v>
      </c>
      <c r="D1881" s="1"/>
      <c r="E1881" s="1" t="s">
        <v>1102</v>
      </c>
      <c r="F1881" s="1" t="s">
        <v>616</v>
      </c>
      <c r="G1881" s="1">
        <v>1</v>
      </c>
      <c r="H1881" s="1" t="s">
        <v>19</v>
      </c>
      <c r="I1881" s="1" t="s">
        <v>424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612</v>
      </c>
      <c r="D1882" s="1"/>
      <c r="E1882" s="1" t="s">
        <v>101</v>
      </c>
      <c r="F1882" s="1" t="s">
        <v>617</v>
      </c>
      <c r="G1882" s="1">
        <v>1</v>
      </c>
      <c r="H1882" s="1" t="s">
        <v>19</v>
      </c>
      <c r="I1882" s="1" t="s">
        <v>424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612</v>
      </c>
      <c r="D1883" s="1"/>
      <c r="E1883" s="1" t="s">
        <v>174</v>
      </c>
      <c r="F1883" s="1" t="s">
        <v>618</v>
      </c>
      <c r="G1883" s="1">
        <v>2</v>
      </c>
      <c r="H1883" s="1" t="s">
        <v>19</v>
      </c>
      <c r="I1883" s="1" t="s">
        <v>424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639</v>
      </c>
      <c r="D1884" s="1"/>
      <c r="E1884" s="1" t="s">
        <v>2</v>
      </c>
      <c r="F1884" s="1" t="s">
        <v>640</v>
      </c>
      <c r="G1884" s="1">
        <v>1</v>
      </c>
      <c r="H1884" s="1" t="s">
        <v>19</v>
      </c>
      <c r="I1884" s="1" t="s">
        <v>426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639</v>
      </c>
      <c r="D1885" s="1"/>
      <c r="E1885" s="1" t="s">
        <v>44</v>
      </c>
      <c r="F1885" s="1" t="s">
        <v>641</v>
      </c>
      <c r="G1885" s="1">
        <v>1</v>
      </c>
      <c r="H1885" s="1" t="s">
        <v>19</v>
      </c>
      <c r="I1885" s="1" t="s">
        <v>426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639</v>
      </c>
      <c r="D1886" s="1"/>
      <c r="E1886" s="1" t="s">
        <v>747</v>
      </c>
      <c r="F1886" s="1" t="s">
        <v>642</v>
      </c>
      <c r="G1886" s="1">
        <v>1</v>
      </c>
      <c r="H1886" s="1" t="s">
        <v>19</v>
      </c>
      <c r="I1886" s="1" t="s">
        <v>426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855</v>
      </c>
      <c r="D1887" s="1"/>
      <c r="E1887" s="1" t="s">
        <v>2</v>
      </c>
      <c r="F1887" s="1" t="s">
        <v>826</v>
      </c>
      <c r="G1887" s="1">
        <v>1</v>
      </c>
      <c r="H1887" s="1" t="s">
        <v>19</v>
      </c>
      <c r="I1887" s="1" t="s">
        <v>424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855</v>
      </c>
      <c r="D1888" s="1"/>
      <c r="E1888" s="1" t="s">
        <v>2</v>
      </c>
      <c r="F1888" s="1" t="s">
        <v>826</v>
      </c>
      <c r="G1888" s="1">
        <v>1</v>
      </c>
      <c r="H1888" s="1" t="s">
        <v>19</v>
      </c>
      <c r="I1888" s="1" t="s">
        <v>425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855</v>
      </c>
      <c r="D1889" s="1"/>
      <c r="E1889" s="1" t="s">
        <v>44</v>
      </c>
      <c r="F1889" s="1" t="s">
        <v>827</v>
      </c>
      <c r="G1889" s="1">
        <v>17</v>
      </c>
      <c r="H1889" s="1" t="s">
        <v>19</v>
      </c>
      <c r="I1889" s="1" t="s">
        <v>424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855</v>
      </c>
      <c r="D1890" s="1"/>
      <c r="E1890" s="1" t="s">
        <v>44</v>
      </c>
      <c r="F1890" s="1" t="s">
        <v>827</v>
      </c>
      <c r="G1890" s="1">
        <v>7</v>
      </c>
      <c r="H1890" s="1" t="s">
        <v>19</v>
      </c>
      <c r="I1890" s="1" t="s">
        <v>425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855</v>
      </c>
      <c r="D1891" s="1"/>
      <c r="E1891" s="1" t="s">
        <v>44</v>
      </c>
      <c r="F1891" s="1" t="s">
        <v>827</v>
      </c>
      <c r="G1891" s="1">
        <v>5</v>
      </c>
      <c r="H1891" s="1" t="s">
        <v>19</v>
      </c>
      <c r="I1891" s="1" t="s">
        <v>426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855</v>
      </c>
      <c r="D1892" s="1"/>
      <c r="E1892" s="1" t="s">
        <v>44</v>
      </c>
      <c r="F1892" s="1" t="s">
        <v>827</v>
      </c>
      <c r="G1892" s="1">
        <v>15</v>
      </c>
      <c r="H1892" s="1" t="s">
        <v>19</v>
      </c>
      <c r="I1892" s="1" t="s">
        <v>427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855</v>
      </c>
      <c r="D1893" s="1"/>
      <c r="E1893" s="1" t="s">
        <v>44</v>
      </c>
      <c r="F1893" s="1" t="s">
        <v>827</v>
      </c>
      <c r="G1893" s="1">
        <v>30</v>
      </c>
      <c r="H1893" s="1" t="s">
        <v>19</v>
      </c>
      <c r="I1893" s="1" t="s">
        <v>428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855</v>
      </c>
      <c r="D1894" s="1"/>
      <c r="E1894" s="1" t="s">
        <v>747</v>
      </c>
      <c r="F1894" s="1" t="s">
        <v>828</v>
      </c>
      <c r="G1894" s="1">
        <v>1</v>
      </c>
      <c r="H1894" s="1" t="s">
        <v>19</v>
      </c>
      <c r="I1894" s="1" t="s">
        <v>424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855</v>
      </c>
      <c r="D1895" s="1"/>
      <c r="E1895" s="1" t="s">
        <v>747</v>
      </c>
      <c r="F1895" s="1" t="s">
        <v>828</v>
      </c>
      <c r="G1895" s="1">
        <v>1</v>
      </c>
      <c r="H1895" s="1" t="s">
        <v>19</v>
      </c>
      <c r="I1895" s="1" t="s">
        <v>425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855</v>
      </c>
      <c r="D1896" s="1"/>
      <c r="E1896" s="1" t="s">
        <v>1102</v>
      </c>
      <c r="F1896" s="1" t="s">
        <v>829</v>
      </c>
      <c r="G1896" s="1">
        <v>3</v>
      </c>
      <c r="H1896" s="1" t="s">
        <v>19</v>
      </c>
      <c r="I1896" s="1" t="s">
        <v>424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855</v>
      </c>
      <c r="D1897" s="1"/>
      <c r="E1897" s="1" t="s">
        <v>101</v>
      </c>
      <c r="F1897" s="1" t="s">
        <v>830</v>
      </c>
      <c r="G1897" s="1">
        <v>1</v>
      </c>
      <c r="H1897" s="1" t="s">
        <v>19</v>
      </c>
      <c r="I1897" s="1" t="s">
        <v>424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855</v>
      </c>
      <c r="D1898" s="1"/>
      <c r="E1898" s="1" t="s">
        <v>174</v>
      </c>
      <c r="F1898" s="1" t="s">
        <v>831</v>
      </c>
      <c r="G1898" s="1">
        <v>2</v>
      </c>
      <c r="H1898" s="1" t="s">
        <v>19</v>
      </c>
      <c r="I1898" s="1" t="s">
        <v>424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855</v>
      </c>
      <c r="D1899" s="1"/>
      <c r="E1899" s="1" t="s">
        <v>174</v>
      </c>
      <c r="F1899" s="1" t="s">
        <v>831</v>
      </c>
      <c r="G1899" s="1">
        <v>2</v>
      </c>
      <c r="H1899" s="1" t="s">
        <v>19</v>
      </c>
      <c r="I1899" s="1" t="s">
        <v>425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855</v>
      </c>
      <c r="D1900" s="1"/>
      <c r="E1900" s="1" t="s">
        <v>462</v>
      </c>
      <c r="F1900" s="1" t="s">
        <v>832</v>
      </c>
      <c r="G1900" s="1">
        <v>2</v>
      </c>
      <c r="H1900" s="1" t="s">
        <v>19</v>
      </c>
      <c r="I1900" s="1" t="s">
        <v>424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855</v>
      </c>
      <c r="D1901" s="1"/>
      <c r="E1901" s="1" t="s">
        <v>462</v>
      </c>
      <c r="F1901" s="1" t="s">
        <v>832</v>
      </c>
      <c r="G1901" s="1">
        <v>4</v>
      </c>
      <c r="H1901" s="1" t="s">
        <v>19</v>
      </c>
      <c r="I1901" s="1" t="s">
        <v>425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855</v>
      </c>
      <c r="D1902" s="1"/>
      <c r="E1902" s="1" t="s">
        <v>465</v>
      </c>
      <c r="F1902" s="1" t="s">
        <v>833</v>
      </c>
      <c r="G1902" s="1">
        <v>12</v>
      </c>
      <c r="H1902" s="1" t="s">
        <v>19</v>
      </c>
      <c r="I1902" s="1" t="s">
        <v>424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855</v>
      </c>
      <c r="D1903" s="1"/>
      <c r="E1903" s="1" t="s">
        <v>465</v>
      </c>
      <c r="F1903" s="1" t="s">
        <v>833</v>
      </c>
      <c r="G1903" s="1">
        <v>4</v>
      </c>
      <c r="H1903" s="1" t="s">
        <v>19</v>
      </c>
      <c r="I1903" s="1" t="s">
        <v>425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855</v>
      </c>
      <c r="D1904" s="1"/>
      <c r="E1904" s="1" t="s">
        <v>465</v>
      </c>
      <c r="F1904" s="1" t="s">
        <v>833</v>
      </c>
      <c r="G1904" s="1">
        <v>4</v>
      </c>
      <c r="H1904" s="1" t="s">
        <v>19</v>
      </c>
      <c r="I1904" s="1" t="s">
        <v>426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855</v>
      </c>
      <c r="D1905" s="1"/>
      <c r="E1905" s="1" t="s">
        <v>465</v>
      </c>
      <c r="F1905" s="1" t="s">
        <v>833</v>
      </c>
      <c r="G1905" s="1">
        <v>12</v>
      </c>
      <c r="H1905" s="1" t="s">
        <v>19</v>
      </c>
      <c r="I1905" s="1" t="s">
        <v>427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855</v>
      </c>
      <c r="D1906" s="1"/>
      <c r="E1906" s="1" t="s">
        <v>465</v>
      </c>
      <c r="F1906" s="1" t="s">
        <v>833</v>
      </c>
      <c r="G1906" s="1">
        <v>24</v>
      </c>
      <c r="H1906" s="1" t="s">
        <v>19</v>
      </c>
      <c r="I1906" s="1" t="s">
        <v>428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855</v>
      </c>
      <c r="D1907" s="1"/>
      <c r="E1907" s="1" t="s">
        <v>1103</v>
      </c>
      <c r="F1907" s="1" t="s">
        <v>834</v>
      </c>
      <c r="G1907" s="1">
        <v>6</v>
      </c>
      <c r="H1907" s="1" t="s">
        <v>19</v>
      </c>
      <c r="I1907" s="1" t="s">
        <v>424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855</v>
      </c>
      <c r="D1908" s="1"/>
      <c r="E1908" s="1" t="s">
        <v>1104</v>
      </c>
      <c r="F1908" s="1" t="s">
        <v>835</v>
      </c>
      <c r="G1908" s="1">
        <v>2</v>
      </c>
      <c r="H1908" s="1" t="s">
        <v>19</v>
      </c>
      <c r="I1908" s="1" t="s">
        <v>424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855</v>
      </c>
      <c r="D1909" s="1"/>
      <c r="E1909" s="1" t="s">
        <v>1105</v>
      </c>
      <c r="F1909" s="1" t="s">
        <v>836</v>
      </c>
      <c r="G1909" s="1">
        <v>1</v>
      </c>
      <c r="H1909" s="1" t="s">
        <v>19</v>
      </c>
      <c r="I1909" s="1" t="s">
        <v>424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855</v>
      </c>
      <c r="D1910" s="1"/>
      <c r="E1910" s="1" t="s">
        <v>1105</v>
      </c>
      <c r="F1910" s="1" t="s">
        <v>836</v>
      </c>
      <c r="G1910" s="1">
        <v>1</v>
      </c>
      <c r="H1910" s="1" t="s">
        <v>19</v>
      </c>
      <c r="I1910" s="1" t="s">
        <v>425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855</v>
      </c>
      <c r="D1911" s="1"/>
      <c r="E1911" s="1" t="s">
        <v>1106</v>
      </c>
      <c r="F1911" s="1" t="s">
        <v>837</v>
      </c>
      <c r="G1911" s="1">
        <v>1</v>
      </c>
      <c r="H1911" s="1" t="s">
        <v>19</v>
      </c>
      <c r="I1911" s="1" t="s">
        <v>424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855</v>
      </c>
      <c r="D1912" s="1"/>
      <c r="E1912" s="1" t="s">
        <v>1106</v>
      </c>
      <c r="F1912" s="1" t="s">
        <v>837</v>
      </c>
      <c r="G1912" s="1">
        <v>1</v>
      </c>
      <c r="H1912" s="1" t="s">
        <v>19</v>
      </c>
      <c r="I1912" s="1" t="s">
        <v>425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855</v>
      </c>
      <c r="D1913" s="1"/>
      <c r="E1913" s="1" t="s">
        <v>1107</v>
      </c>
      <c r="F1913" s="1" t="s">
        <v>838</v>
      </c>
      <c r="G1913" s="1">
        <v>4</v>
      </c>
      <c r="H1913" s="1" t="s">
        <v>19</v>
      </c>
      <c r="I1913" s="1" t="s">
        <v>424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855</v>
      </c>
      <c r="D1914" s="1"/>
      <c r="E1914" s="1" t="s">
        <v>1107</v>
      </c>
      <c r="F1914" s="1" t="s">
        <v>838</v>
      </c>
      <c r="G1914" s="1">
        <v>4</v>
      </c>
      <c r="H1914" s="1" t="s">
        <v>19</v>
      </c>
      <c r="I1914" s="1" t="s">
        <v>425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855</v>
      </c>
      <c r="D1915" s="1"/>
      <c r="E1915" s="1" t="s">
        <v>1108</v>
      </c>
      <c r="F1915" s="1" t="s">
        <v>839</v>
      </c>
      <c r="G1915" s="1">
        <v>18</v>
      </c>
      <c r="H1915" s="1" t="s">
        <v>19</v>
      </c>
      <c r="I1915" s="1" t="s">
        <v>424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855</v>
      </c>
      <c r="D1916" s="1"/>
      <c r="E1916" s="1" t="s">
        <v>1108</v>
      </c>
      <c r="F1916" s="1" t="s">
        <v>839</v>
      </c>
      <c r="G1916" s="1">
        <v>6</v>
      </c>
      <c r="H1916" s="1" t="s">
        <v>19</v>
      </c>
      <c r="I1916" s="1" t="s">
        <v>425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855</v>
      </c>
      <c r="D1917" s="1"/>
      <c r="E1917" s="1" t="s">
        <v>1108</v>
      </c>
      <c r="F1917" s="1" t="s">
        <v>839</v>
      </c>
      <c r="G1917" s="1">
        <v>4</v>
      </c>
      <c r="H1917" s="1" t="s">
        <v>19</v>
      </c>
      <c r="I1917" s="1" t="s">
        <v>426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855</v>
      </c>
      <c r="D1918" s="1"/>
      <c r="E1918" s="1" t="s">
        <v>1108</v>
      </c>
      <c r="F1918" s="1" t="s">
        <v>839</v>
      </c>
      <c r="G1918" s="1">
        <v>12</v>
      </c>
      <c r="H1918" s="1" t="s">
        <v>19</v>
      </c>
      <c r="I1918" s="1" t="s">
        <v>427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855</v>
      </c>
      <c r="D1919" s="1"/>
      <c r="E1919" s="1" t="s">
        <v>1108</v>
      </c>
      <c r="F1919" s="1" t="s">
        <v>839</v>
      </c>
      <c r="G1919" s="1">
        <v>24</v>
      </c>
      <c r="H1919" s="1" t="s">
        <v>19</v>
      </c>
      <c r="I1919" s="1" t="s">
        <v>428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855</v>
      </c>
      <c r="D1920" s="1"/>
      <c r="E1920" s="1" t="s">
        <v>1109</v>
      </c>
      <c r="F1920" s="1" t="s">
        <v>840</v>
      </c>
      <c r="G1920" s="1">
        <v>6</v>
      </c>
      <c r="H1920" s="1" t="s">
        <v>19</v>
      </c>
      <c r="I1920" s="1" t="s">
        <v>424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855</v>
      </c>
      <c r="D1921" s="1"/>
      <c r="E1921" s="1" t="s">
        <v>1109</v>
      </c>
      <c r="F1921" s="1" t="s">
        <v>840</v>
      </c>
      <c r="G1921" s="1">
        <v>2</v>
      </c>
      <c r="H1921" s="1" t="s">
        <v>19</v>
      </c>
      <c r="I1921" s="1" t="s">
        <v>426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855</v>
      </c>
      <c r="D1922" s="1"/>
      <c r="E1922" s="1" t="s">
        <v>1109</v>
      </c>
      <c r="F1922" s="1" t="s">
        <v>840</v>
      </c>
      <c r="G1922" s="1">
        <v>6</v>
      </c>
      <c r="H1922" s="1" t="s">
        <v>19</v>
      </c>
      <c r="I1922" s="1" t="s">
        <v>427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855</v>
      </c>
      <c r="D1923" s="1"/>
      <c r="E1923" s="1" t="s">
        <v>1109</v>
      </c>
      <c r="F1923" s="1" t="s">
        <v>840</v>
      </c>
      <c r="G1923" s="1">
        <v>12</v>
      </c>
      <c r="H1923" s="1" t="s">
        <v>19</v>
      </c>
      <c r="I1923" s="1" t="s">
        <v>428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855</v>
      </c>
      <c r="D1924" s="1"/>
      <c r="E1924" s="1" t="s">
        <v>1110</v>
      </c>
      <c r="F1924" s="1" t="s">
        <v>841</v>
      </c>
      <c r="G1924" s="1">
        <v>6</v>
      </c>
      <c r="H1924" s="1" t="s">
        <v>19</v>
      </c>
      <c r="I1924" s="1" t="s">
        <v>424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855</v>
      </c>
      <c r="D1925" s="1"/>
      <c r="E1925" s="1" t="s">
        <v>1110</v>
      </c>
      <c r="F1925" s="1" t="s">
        <v>841</v>
      </c>
      <c r="G1925" s="1">
        <v>2</v>
      </c>
      <c r="H1925" s="1" t="s">
        <v>19</v>
      </c>
      <c r="I1925" s="1" t="s">
        <v>425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855</v>
      </c>
      <c r="D1926" s="1"/>
      <c r="E1926" s="1" t="s">
        <v>1110</v>
      </c>
      <c r="F1926" s="1" t="s">
        <v>841</v>
      </c>
      <c r="G1926" s="1">
        <v>2</v>
      </c>
      <c r="H1926" s="1" t="s">
        <v>19</v>
      </c>
      <c r="I1926" s="1" t="s">
        <v>426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855</v>
      </c>
      <c r="D1927" s="1"/>
      <c r="E1927" s="1" t="s">
        <v>1110</v>
      </c>
      <c r="F1927" s="1" t="s">
        <v>841</v>
      </c>
      <c r="G1927" s="1">
        <v>6</v>
      </c>
      <c r="H1927" s="1" t="s">
        <v>19</v>
      </c>
      <c r="I1927" s="1" t="s">
        <v>427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855</v>
      </c>
      <c r="D1928" s="1"/>
      <c r="E1928" s="1" t="s">
        <v>1110</v>
      </c>
      <c r="F1928" s="1" t="s">
        <v>841</v>
      </c>
      <c r="G1928" s="1">
        <v>12</v>
      </c>
      <c r="H1928" s="1" t="s">
        <v>19</v>
      </c>
      <c r="I1928" s="1" t="s">
        <v>428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855</v>
      </c>
      <c r="D1929" s="1"/>
      <c r="E1929" s="1" t="s">
        <v>1111</v>
      </c>
      <c r="F1929" s="1" t="s">
        <v>842</v>
      </c>
      <c r="G1929" s="1">
        <v>1</v>
      </c>
      <c r="H1929" s="1" t="s">
        <v>19</v>
      </c>
      <c r="I1929" s="1" t="s">
        <v>424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855</v>
      </c>
      <c r="D1930" s="1"/>
      <c r="E1930" s="1" t="s">
        <v>1112</v>
      </c>
      <c r="F1930" s="1" t="s">
        <v>843</v>
      </c>
      <c r="G1930" s="1">
        <v>1</v>
      </c>
      <c r="H1930" s="1" t="s">
        <v>19</v>
      </c>
      <c r="I1930" s="1" t="s">
        <v>424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855</v>
      </c>
      <c r="D1931" s="1"/>
      <c r="E1931" s="1" t="s">
        <v>1113</v>
      </c>
      <c r="F1931" s="1" t="s">
        <v>844</v>
      </c>
      <c r="G1931" s="1">
        <v>2</v>
      </c>
      <c r="H1931" s="1" t="s">
        <v>19</v>
      </c>
      <c r="I1931" s="1" t="s">
        <v>424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855</v>
      </c>
      <c r="D1932" s="1"/>
      <c r="E1932" s="1" t="s">
        <v>1113</v>
      </c>
      <c r="F1932" s="1" t="s">
        <v>844</v>
      </c>
      <c r="G1932" s="1">
        <v>2</v>
      </c>
      <c r="H1932" s="1" t="s">
        <v>19</v>
      </c>
      <c r="I1932" s="1" t="s">
        <v>425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855</v>
      </c>
      <c r="D1933" s="1"/>
      <c r="E1933" s="1" t="s">
        <v>1114</v>
      </c>
      <c r="F1933" s="1" t="s">
        <v>845</v>
      </c>
      <c r="G1933" s="1">
        <v>14</v>
      </c>
      <c r="H1933" s="1" t="s">
        <v>19</v>
      </c>
      <c r="I1933" s="1" t="s">
        <v>424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855</v>
      </c>
      <c r="D1934" s="1"/>
      <c r="E1934" s="1" t="s">
        <v>1114</v>
      </c>
      <c r="F1934" s="1" t="s">
        <v>845</v>
      </c>
      <c r="G1934" s="1">
        <v>4</v>
      </c>
      <c r="H1934" s="1" t="s">
        <v>19</v>
      </c>
      <c r="I1934" s="1" t="s">
        <v>425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855</v>
      </c>
      <c r="D1935" s="1"/>
      <c r="E1935" s="1" t="s">
        <v>1114</v>
      </c>
      <c r="F1935" s="1" t="s">
        <v>845</v>
      </c>
      <c r="G1935" s="1">
        <v>4</v>
      </c>
      <c r="H1935" s="1" t="s">
        <v>19</v>
      </c>
      <c r="I1935" s="1" t="s">
        <v>426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855</v>
      </c>
      <c r="D1936" s="1"/>
      <c r="E1936" s="1" t="s">
        <v>1114</v>
      </c>
      <c r="F1936" s="1" t="s">
        <v>845</v>
      </c>
      <c r="G1936" s="1">
        <v>12</v>
      </c>
      <c r="H1936" s="1" t="s">
        <v>19</v>
      </c>
      <c r="I1936" s="1" t="s">
        <v>427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855</v>
      </c>
      <c r="D1937" s="1"/>
      <c r="E1937" s="1" t="s">
        <v>1114</v>
      </c>
      <c r="F1937" s="1" t="s">
        <v>845</v>
      </c>
      <c r="G1937" s="1">
        <v>24</v>
      </c>
      <c r="H1937" s="1" t="s">
        <v>19</v>
      </c>
      <c r="I1937" s="1" t="s">
        <v>428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855</v>
      </c>
      <c r="D1938" s="1"/>
      <c r="E1938" s="1" t="s">
        <v>214</v>
      </c>
      <c r="F1938" s="1" t="s">
        <v>846</v>
      </c>
      <c r="G1938" s="1">
        <v>12</v>
      </c>
      <c r="H1938" s="1" t="s">
        <v>19</v>
      </c>
      <c r="I1938" s="1" t="s">
        <v>424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855</v>
      </c>
      <c r="D1939" s="1"/>
      <c r="E1939" s="1" t="s">
        <v>214</v>
      </c>
      <c r="F1939" s="1" t="s">
        <v>846</v>
      </c>
      <c r="G1939" s="1">
        <v>4</v>
      </c>
      <c r="H1939" s="1" t="s">
        <v>19</v>
      </c>
      <c r="I1939" s="1" t="s">
        <v>425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855</v>
      </c>
      <c r="D1940" s="1"/>
      <c r="E1940" s="1" t="s">
        <v>214</v>
      </c>
      <c r="F1940" s="1" t="s">
        <v>846</v>
      </c>
      <c r="G1940" s="1">
        <v>4</v>
      </c>
      <c r="H1940" s="1" t="s">
        <v>19</v>
      </c>
      <c r="I1940" s="1" t="s">
        <v>426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855</v>
      </c>
      <c r="D1941" s="1"/>
      <c r="E1941" s="1" t="s">
        <v>214</v>
      </c>
      <c r="F1941" s="1" t="s">
        <v>846</v>
      </c>
      <c r="G1941" s="1">
        <v>12</v>
      </c>
      <c r="H1941" s="1" t="s">
        <v>19</v>
      </c>
      <c r="I1941" s="1" t="s">
        <v>427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855</v>
      </c>
      <c r="D1942" s="1"/>
      <c r="E1942" s="1" t="s">
        <v>214</v>
      </c>
      <c r="F1942" s="1" t="s">
        <v>846</v>
      </c>
      <c r="G1942" s="1">
        <v>24</v>
      </c>
      <c r="H1942" s="1" t="s">
        <v>19</v>
      </c>
      <c r="I1942" s="1" t="s">
        <v>428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855</v>
      </c>
      <c r="D1943" s="1"/>
      <c r="E1943" s="1" t="s">
        <v>1115</v>
      </c>
      <c r="F1943" s="1" t="s">
        <v>847</v>
      </c>
      <c r="G1943" s="1">
        <v>4</v>
      </c>
      <c r="H1943" s="1" t="s">
        <v>19</v>
      </c>
      <c r="I1943" s="1" t="s">
        <v>424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855</v>
      </c>
      <c r="D1944" s="1"/>
      <c r="E1944" s="1" t="s">
        <v>1115</v>
      </c>
      <c r="F1944" s="1" t="s">
        <v>847</v>
      </c>
      <c r="G1944" s="1">
        <v>4</v>
      </c>
      <c r="H1944" s="1" t="s">
        <v>19</v>
      </c>
      <c r="I1944" s="1" t="s">
        <v>425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855</v>
      </c>
      <c r="D1945" s="1"/>
      <c r="E1945" s="1" t="s">
        <v>1116</v>
      </c>
      <c r="F1945" s="1" t="s">
        <v>848</v>
      </c>
      <c r="G1945" s="1">
        <v>2</v>
      </c>
      <c r="H1945" s="1" t="s">
        <v>19</v>
      </c>
      <c r="I1945" s="1" t="s">
        <v>424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855</v>
      </c>
      <c r="D1946" s="1"/>
      <c r="E1946" s="1" t="s">
        <v>1116</v>
      </c>
      <c r="F1946" s="1" t="s">
        <v>848</v>
      </c>
      <c r="G1946" s="1">
        <v>2</v>
      </c>
      <c r="H1946" s="1" t="s">
        <v>19</v>
      </c>
      <c r="I1946" s="1" t="s">
        <v>425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855</v>
      </c>
      <c r="D1947" s="1"/>
      <c r="E1947" s="1" t="s">
        <v>11</v>
      </c>
      <c r="F1947" s="1" t="s">
        <v>850</v>
      </c>
      <c r="G1947" s="1">
        <v>12</v>
      </c>
      <c r="H1947" s="1" t="s">
        <v>19</v>
      </c>
      <c r="I1947" s="1" t="s">
        <v>424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855</v>
      </c>
      <c r="D1948" s="1"/>
      <c r="E1948" s="1" t="s">
        <v>11</v>
      </c>
      <c r="F1948" s="1" t="s">
        <v>850</v>
      </c>
      <c r="G1948" s="1">
        <v>4</v>
      </c>
      <c r="H1948" s="1" t="s">
        <v>19</v>
      </c>
      <c r="I1948" s="1" t="s">
        <v>425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855</v>
      </c>
      <c r="D1949" s="1"/>
      <c r="E1949" s="1" t="s">
        <v>11</v>
      </c>
      <c r="F1949" s="1" t="s">
        <v>850</v>
      </c>
      <c r="G1949" s="1">
        <v>4</v>
      </c>
      <c r="H1949" s="1" t="s">
        <v>19</v>
      </c>
      <c r="I1949" s="1" t="s">
        <v>426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855</v>
      </c>
      <c r="D1950" s="1"/>
      <c r="E1950" s="1" t="s">
        <v>11</v>
      </c>
      <c r="F1950" s="1" t="s">
        <v>850</v>
      </c>
      <c r="G1950" s="1">
        <v>12</v>
      </c>
      <c r="H1950" s="1" t="s">
        <v>19</v>
      </c>
      <c r="I1950" s="1" t="s">
        <v>427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855</v>
      </c>
      <c r="D1951" s="1"/>
      <c r="E1951" s="1" t="s">
        <v>11</v>
      </c>
      <c r="F1951" s="1" t="s">
        <v>850</v>
      </c>
      <c r="G1951" s="1">
        <v>24</v>
      </c>
      <c r="H1951" s="1" t="s">
        <v>19</v>
      </c>
      <c r="I1951" s="1" t="s">
        <v>428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855</v>
      </c>
      <c r="D1952" s="1"/>
      <c r="E1952" s="1" t="s">
        <v>1117</v>
      </c>
      <c r="F1952" s="1" t="s">
        <v>851</v>
      </c>
      <c r="G1952" s="1">
        <v>1</v>
      </c>
      <c r="H1952" s="1" t="s">
        <v>19</v>
      </c>
      <c r="I1952" s="1" t="s">
        <v>425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855</v>
      </c>
      <c r="D1953" s="1"/>
      <c r="E1953" s="1" t="s">
        <v>1118</v>
      </c>
      <c r="F1953" s="1" t="s">
        <v>852</v>
      </c>
      <c r="G1953" s="1">
        <v>1</v>
      </c>
      <c r="H1953" s="1" t="s">
        <v>19</v>
      </c>
      <c r="I1953" s="1" t="s">
        <v>425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855</v>
      </c>
      <c r="D1954" s="1"/>
      <c r="E1954" s="1" t="s">
        <v>1119</v>
      </c>
      <c r="F1954" s="1" t="s">
        <v>853</v>
      </c>
      <c r="G1954" s="1">
        <v>1</v>
      </c>
      <c r="H1954" s="1" t="s">
        <v>19</v>
      </c>
      <c r="I1954" s="1" t="s">
        <v>425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855</v>
      </c>
      <c r="D1955" s="1"/>
      <c r="E1955" s="1" t="s">
        <v>1120</v>
      </c>
      <c r="F1955" s="1" t="s">
        <v>854</v>
      </c>
      <c r="G1955" s="1">
        <v>2</v>
      </c>
      <c r="H1955" s="1" t="s">
        <v>19</v>
      </c>
      <c r="I1955" s="1" t="s">
        <v>425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2723</v>
      </c>
      <c r="D1956" s="1" t="s">
        <v>2724</v>
      </c>
      <c r="E1956" s="1" t="s">
        <v>2725</v>
      </c>
      <c r="F1956" s="1" t="s">
        <v>2726</v>
      </c>
      <c r="G1956" s="1">
        <v>1</v>
      </c>
      <c r="H1956" s="1" t="s">
        <v>19</v>
      </c>
      <c r="I1956" s="1" t="s">
        <v>424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2723</v>
      </c>
      <c r="D1957" s="1" t="s">
        <v>2724</v>
      </c>
      <c r="E1957" s="1" t="s">
        <v>2727</v>
      </c>
      <c r="F1957" s="1" t="s">
        <v>2728</v>
      </c>
      <c r="G1957" s="1">
        <v>1</v>
      </c>
      <c r="H1957" s="1" t="s">
        <v>19</v>
      </c>
      <c r="I1957" s="1" t="s">
        <v>425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2723</v>
      </c>
      <c r="D1958" s="1" t="s">
        <v>2724</v>
      </c>
      <c r="E1958" s="1" t="s">
        <v>2729</v>
      </c>
      <c r="F1958" s="1" t="s">
        <v>2730</v>
      </c>
      <c r="G1958" s="1">
        <v>1</v>
      </c>
      <c r="H1958" s="1" t="s">
        <v>19</v>
      </c>
      <c r="I1958" s="1" t="s">
        <v>426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2723</v>
      </c>
      <c r="D1959" s="1" t="s">
        <v>2724</v>
      </c>
      <c r="E1959" s="1" t="s">
        <v>2731</v>
      </c>
      <c r="F1959" s="1" t="s">
        <v>2732</v>
      </c>
      <c r="G1959" s="1">
        <v>1</v>
      </c>
      <c r="H1959" s="1" t="s">
        <v>19</v>
      </c>
      <c r="I1959" s="1" t="s">
        <v>427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2723</v>
      </c>
      <c r="D1960" s="1" t="s">
        <v>2724</v>
      </c>
      <c r="E1960" s="1" t="s">
        <v>2733</v>
      </c>
      <c r="F1960" s="1" t="s">
        <v>2734</v>
      </c>
      <c r="G1960" s="1">
        <v>1</v>
      </c>
      <c r="H1960" s="1" t="s">
        <v>19</v>
      </c>
      <c r="I1960" s="1" t="s">
        <v>428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501</v>
      </c>
      <c r="D1961" s="1"/>
      <c r="E1961" s="1" t="s">
        <v>2</v>
      </c>
      <c r="F1961" s="1" t="s">
        <v>502</v>
      </c>
      <c r="G1961" s="1">
        <v>1</v>
      </c>
      <c r="H1961" s="1" t="s">
        <v>19</v>
      </c>
      <c r="I1961" s="1" t="s">
        <v>424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501</v>
      </c>
      <c r="D1962" s="1"/>
      <c r="E1962" s="1" t="s">
        <v>2</v>
      </c>
      <c r="F1962" s="1" t="s">
        <v>502</v>
      </c>
      <c r="G1962" s="1">
        <v>1</v>
      </c>
      <c r="H1962" s="1" t="s">
        <v>19</v>
      </c>
      <c r="I1962" s="1" t="s">
        <v>425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501</v>
      </c>
      <c r="D1963" s="1"/>
      <c r="E1963" s="1" t="s">
        <v>2</v>
      </c>
      <c r="F1963" s="1" t="s">
        <v>502</v>
      </c>
      <c r="G1963" s="1">
        <v>1</v>
      </c>
      <c r="H1963" s="1" t="s">
        <v>19</v>
      </c>
      <c r="I1963" s="1" t="s">
        <v>426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501</v>
      </c>
      <c r="D1964" s="1"/>
      <c r="E1964" s="1" t="s">
        <v>2</v>
      </c>
      <c r="F1964" s="1" t="s">
        <v>502</v>
      </c>
      <c r="G1964" s="1">
        <v>1</v>
      </c>
      <c r="H1964" s="1" t="s">
        <v>19</v>
      </c>
      <c r="I1964" s="1" t="s">
        <v>428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501</v>
      </c>
      <c r="D1965" s="1"/>
      <c r="E1965" s="1" t="s">
        <v>44</v>
      </c>
      <c r="F1965" s="1" t="s">
        <v>503</v>
      </c>
      <c r="G1965" s="1">
        <v>1</v>
      </c>
      <c r="H1965" s="1" t="s">
        <v>19</v>
      </c>
      <c r="I1965" s="1" t="s">
        <v>424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501</v>
      </c>
      <c r="D1966" s="1"/>
      <c r="E1966" s="1" t="s">
        <v>44</v>
      </c>
      <c r="F1966" s="1" t="s">
        <v>503</v>
      </c>
      <c r="G1966" s="1">
        <v>1</v>
      </c>
      <c r="H1966" s="1" t="s">
        <v>19</v>
      </c>
      <c r="I1966" s="1" t="s">
        <v>425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501</v>
      </c>
      <c r="D1967" s="1"/>
      <c r="E1967" s="1" t="s">
        <v>44</v>
      </c>
      <c r="F1967" s="1" t="s">
        <v>503</v>
      </c>
      <c r="G1967" s="1">
        <v>1</v>
      </c>
      <c r="H1967" s="1" t="s">
        <v>19</v>
      </c>
      <c r="I1967" s="1" t="s">
        <v>426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501</v>
      </c>
      <c r="D1968" s="1"/>
      <c r="E1968" s="1" t="s">
        <v>44</v>
      </c>
      <c r="F1968" s="1" t="s">
        <v>503</v>
      </c>
      <c r="G1968" s="1">
        <v>1</v>
      </c>
      <c r="H1968" s="1" t="s">
        <v>19</v>
      </c>
      <c r="I1968" s="1" t="s">
        <v>428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501</v>
      </c>
      <c r="D1969" s="1"/>
      <c r="E1969" s="1" t="s">
        <v>747</v>
      </c>
      <c r="F1969" s="1" t="s">
        <v>504</v>
      </c>
      <c r="G1969" s="1">
        <v>1</v>
      </c>
      <c r="H1969" s="1" t="s">
        <v>19</v>
      </c>
      <c r="I1969" s="1" t="s">
        <v>424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501</v>
      </c>
      <c r="D1970" s="1"/>
      <c r="E1970" s="1" t="s">
        <v>747</v>
      </c>
      <c r="F1970" s="1" t="s">
        <v>504</v>
      </c>
      <c r="G1970" s="1">
        <v>1</v>
      </c>
      <c r="H1970" s="1" t="s">
        <v>19</v>
      </c>
      <c r="I1970" s="1" t="s">
        <v>425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501</v>
      </c>
      <c r="D1971" s="1"/>
      <c r="E1971" s="1" t="s">
        <v>747</v>
      </c>
      <c r="F1971" s="1" t="s">
        <v>504</v>
      </c>
      <c r="G1971" s="1">
        <v>1</v>
      </c>
      <c r="H1971" s="1" t="s">
        <v>19</v>
      </c>
      <c r="I1971" s="1" t="s">
        <v>426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501</v>
      </c>
      <c r="D1972" s="1"/>
      <c r="E1972" s="1" t="s">
        <v>747</v>
      </c>
      <c r="F1972" s="1" t="s">
        <v>504</v>
      </c>
      <c r="G1972" s="1">
        <v>1</v>
      </c>
      <c r="H1972" s="1" t="s">
        <v>19</v>
      </c>
      <c r="I1972" s="1" t="s">
        <v>428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501</v>
      </c>
      <c r="D1973" s="1"/>
      <c r="E1973" s="1" t="s">
        <v>1102</v>
      </c>
      <c r="F1973" s="1" t="s">
        <v>505</v>
      </c>
      <c r="G1973" s="1">
        <v>1</v>
      </c>
      <c r="H1973" s="1" t="s">
        <v>19</v>
      </c>
      <c r="I1973" s="1" t="s">
        <v>424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501</v>
      </c>
      <c r="D1974" s="1"/>
      <c r="E1974" s="1" t="s">
        <v>1102</v>
      </c>
      <c r="F1974" s="1" t="s">
        <v>505</v>
      </c>
      <c r="G1974" s="1">
        <v>1</v>
      </c>
      <c r="H1974" s="1" t="s">
        <v>19</v>
      </c>
      <c r="I1974" s="1" t="s">
        <v>425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501</v>
      </c>
      <c r="D1975" s="1"/>
      <c r="E1975" s="1" t="s">
        <v>1102</v>
      </c>
      <c r="F1975" s="1" t="s">
        <v>505</v>
      </c>
      <c r="G1975" s="1">
        <v>1</v>
      </c>
      <c r="H1975" s="1" t="s">
        <v>19</v>
      </c>
      <c r="I1975" s="1" t="s">
        <v>426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501</v>
      </c>
      <c r="D1976" s="1"/>
      <c r="E1976" s="1" t="s">
        <v>1102</v>
      </c>
      <c r="F1976" s="1" t="s">
        <v>505</v>
      </c>
      <c r="G1976" s="1">
        <v>1</v>
      </c>
      <c r="H1976" s="1" t="s">
        <v>19</v>
      </c>
      <c r="I1976" s="1" t="s">
        <v>428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501</v>
      </c>
      <c r="D1977" s="1"/>
      <c r="E1977" s="1" t="s">
        <v>101</v>
      </c>
      <c r="F1977" s="1" t="s">
        <v>506</v>
      </c>
      <c r="G1977" s="1">
        <v>2</v>
      </c>
      <c r="H1977" s="1" t="s">
        <v>19</v>
      </c>
      <c r="I1977" s="1" t="s">
        <v>424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501</v>
      </c>
      <c r="D1978" s="1"/>
      <c r="E1978" s="1" t="s">
        <v>101</v>
      </c>
      <c r="F1978" s="1" t="s">
        <v>506</v>
      </c>
      <c r="G1978" s="1">
        <v>2</v>
      </c>
      <c r="H1978" s="1" t="s">
        <v>19</v>
      </c>
      <c r="I1978" s="1" t="s">
        <v>425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501</v>
      </c>
      <c r="D1979" s="1"/>
      <c r="E1979" s="1" t="s">
        <v>101</v>
      </c>
      <c r="F1979" s="1" t="s">
        <v>506</v>
      </c>
      <c r="G1979" s="1">
        <v>2</v>
      </c>
      <c r="H1979" s="1" t="s">
        <v>19</v>
      </c>
      <c r="I1979" s="1" t="s">
        <v>426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501</v>
      </c>
      <c r="D1980" s="1"/>
      <c r="E1980" s="1" t="s">
        <v>101</v>
      </c>
      <c r="F1980" s="1" t="s">
        <v>506</v>
      </c>
      <c r="G1980" s="1">
        <v>2</v>
      </c>
      <c r="H1980" s="1" t="s">
        <v>19</v>
      </c>
      <c r="I1980" s="1" t="s">
        <v>428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1244</v>
      </c>
      <c r="D1981" s="1"/>
      <c r="E1981" s="1"/>
      <c r="F1981" s="1" t="s">
        <v>1245</v>
      </c>
      <c r="G1981" s="1">
        <v>1</v>
      </c>
      <c r="H1981" s="1" t="s">
        <v>19</v>
      </c>
      <c r="I1981" s="1" t="s">
        <v>424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1244</v>
      </c>
      <c r="D1982" s="1"/>
      <c r="E1982" s="1"/>
      <c r="F1982" s="1" t="s">
        <v>1245</v>
      </c>
      <c r="G1982" s="1">
        <v>1</v>
      </c>
      <c r="H1982" s="1" t="s">
        <v>19</v>
      </c>
      <c r="I1982" s="1" t="s">
        <v>425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1244</v>
      </c>
      <c r="D1983" s="1"/>
      <c r="E1983" s="1"/>
      <c r="F1983" s="1" t="s">
        <v>1245</v>
      </c>
      <c r="G1983" s="1">
        <v>1</v>
      </c>
      <c r="H1983" s="1" t="s">
        <v>19</v>
      </c>
      <c r="I1983" s="1" t="s">
        <v>426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1244</v>
      </c>
      <c r="D1984" s="1"/>
      <c r="E1984" s="1"/>
      <c r="F1984" s="1" t="s">
        <v>1245</v>
      </c>
      <c r="G1984" s="1">
        <v>1</v>
      </c>
      <c r="H1984" s="1" t="s">
        <v>19</v>
      </c>
      <c r="I1984" s="1" t="s">
        <v>427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1244</v>
      </c>
      <c r="D1985" s="1"/>
      <c r="E1985" s="1"/>
      <c r="F1985" s="1" t="s">
        <v>1245</v>
      </c>
      <c r="G1985" s="1">
        <v>1</v>
      </c>
      <c r="H1985" s="1" t="s">
        <v>19</v>
      </c>
      <c r="I1985" s="1" t="s">
        <v>428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1246</v>
      </c>
      <c r="D1986" s="1"/>
      <c r="E1986" s="1"/>
      <c r="F1986" s="1" t="s">
        <v>1247</v>
      </c>
      <c r="G1986" s="1">
        <v>1</v>
      </c>
      <c r="H1986" s="1" t="s">
        <v>19</v>
      </c>
      <c r="I1986" s="1" t="s">
        <v>424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1246</v>
      </c>
      <c r="D1987" s="1"/>
      <c r="E1987" s="1"/>
      <c r="F1987" s="1" t="s">
        <v>1247</v>
      </c>
      <c r="G1987" s="1">
        <v>1</v>
      </c>
      <c r="H1987" s="1" t="s">
        <v>19</v>
      </c>
      <c r="I1987" s="1" t="s">
        <v>425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1246</v>
      </c>
      <c r="D1988" s="1"/>
      <c r="E1988" s="1"/>
      <c r="F1988" s="1" t="s">
        <v>1247</v>
      </c>
      <c r="G1988" s="1">
        <v>1</v>
      </c>
      <c r="H1988" s="1" t="s">
        <v>19</v>
      </c>
      <c r="I1988" s="1" t="s">
        <v>426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1246</v>
      </c>
      <c r="D1989" s="1"/>
      <c r="E1989" s="1"/>
      <c r="F1989" s="1" t="s">
        <v>1247</v>
      </c>
      <c r="G1989" s="1">
        <v>1</v>
      </c>
      <c r="H1989" s="1" t="s">
        <v>19</v>
      </c>
      <c r="I1989" s="1" t="s">
        <v>427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1246</v>
      </c>
      <c r="D1990" s="1"/>
      <c r="E1990" s="1"/>
      <c r="F1990" s="1" t="s">
        <v>1247</v>
      </c>
      <c r="G1990" s="1">
        <v>1</v>
      </c>
      <c r="H1990" s="1" t="s">
        <v>19</v>
      </c>
      <c r="I1990" s="1" t="s">
        <v>428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1151</v>
      </c>
      <c r="D1991" s="1"/>
      <c r="E1991" s="1" t="s">
        <v>1102</v>
      </c>
      <c r="F1991" s="1" t="s">
        <v>1155</v>
      </c>
      <c r="G1991" s="1">
        <v>2</v>
      </c>
      <c r="H1991" s="1" t="s">
        <v>19</v>
      </c>
      <c r="I1991" s="1" t="s">
        <v>424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1151</v>
      </c>
      <c r="D1992" s="1"/>
      <c r="E1992" s="1" t="s">
        <v>1102</v>
      </c>
      <c r="F1992" s="1" t="s">
        <v>1155</v>
      </c>
      <c r="G1992" s="1">
        <v>2</v>
      </c>
      <c r="H1992" s="1" t="s">
        <v>19</v>
      </c>
      <c r="I1992" s="1" t="s">
        <v>425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1151</v>
      </c>
      <c r="D1993" s="1"/>
      <c r="E1993" s="1" t="s">
        <v>1102</v>
      </c>
      <c r="F1993" s="1" t="s">
        <v>1155</v>
      </c>
      <c r="G1993" s="1">
        <v>2</v>
      </c>
      <c r="H1993" s="1" t="s">
        <v>19</v>
      </c>
      <c r="I1993" s="1" t="s">
        <v>426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1151</v>
      </c>
      <c r="D1994" s="1"/>
      <c r="E1994" s="1" t="s">
        <v>1102</v>
      </c>
      <c r="F1994" s="1" t="s">
        <v>1155</v>
      </c>
      <c r="G1994" s="1">
        <v>2</v>
      </c>
      <c r="H1994" s="1" t="s">
        <v>19</v>
      </c>
      <c r="I1994" s="1" t="s">
        <v>427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1151</v>
      </c>
      <c r="D1995" s="1"/>
      <c r="E1995" s="1" t="s">
        <v>1102</v>
      </c>
      <c r="F1995" s="1" t="s">
        <v>1155</v>
      </c>
      <c r="G1995" s="1">
        <v>2</v>
      </c>
      <c r="H1995" s="1" t="s">
        <v>19</v>
      </c>
      <c r="I1995" s="1" t="s">
        <v>428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1248</v>
      </c>
      <c r="D1996" s="1"/>
      <c r="E1996" s="1"/>
      <c r="F1996" s="1" t="s">
        <v>576</v>
      </c>
      <c r="G1996" s="1">
        <v>1</v>
      </c>
      <c r="H1996" s="1"/>
      <c r="I1996" s="1" t="s">
        <v>424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1248</v>
      </c>
      <c r="D1997" s="1"/>
      <c r="E1997" s="1"/>
      <c r="F1997" s="1" t="s">
        <v>577</v>
      </c>
      <c r="G1997" s="1">
        <v>1</v>
      </c>
      <c r="H1997" s="1"/>
      <c r="I1997" s="1" t="s">
        <v>425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1248</v>
      </c>
      <c r="D1998" s="1"/>
      <c r="E1998" s="1"/>
      <c r="F1998" s="1" t="s">
        <v>577</v>
      </c>
      <c r="G1998" s="1">
        <v>1</v>
      </c>
      <c r="H1998" s="1"/>
      <c r="I1998" s="1" t="s">
        <v>426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1248</v>
      </c>
      <c r="D1999" s="1"/>
      <c r="E1999" s="1"/>
      <c r="F1999" s="1" t="s">
        <v>577</v>
      </c>
      <c r="G1999" s="1">
        <v>1</v>
      </c>
      <c r="H1999" s="1"/>
      <c r="I1999" s="1" t="s">
        <v>427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1248</v>
      </c>
      <c r="D2000" s="1"/>
      <c r="E2000" s="1"/>
      <c r="F2000" s="1" t="s">
        <v>576</v>
      </c>
      <c r="G2000" s="1">
        <v>1</v>
      </c>
      <c r="H2000" s="1"/>
      <c r="I2000" s="1" t="s">
        <v>428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507</v>
      </c>
      <c r="D2001" s="1"/>
      <c r="E2001" s="1" t="s">
        <v>2</v>
      </c>
      <c r="F2001" s="1" t="s">
        <v>1251</v>
      </c>
      <c r="G2001" s="1">
        <v>1</v>
      </c>
      <c r="H2001" s="1" t="s">
        <v>19</v>
      </c>
      <c r="I2001" s="1" t="s">
        <v>427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507</v>
      </c>
      <c r="D2002" s="1"/>
      <c r="E2002" s="1" t="s">
        <v>44</v>
      </c>
      <c r="F2002" s="1" t="s">
        <v>503</v>
      </c>
      <c r="G2002" s="1">
        <v>1</v>
      </c>
      <c r="H2002" s="1" t="s">
        <v>19</v>
      </c>
      <c r="I2002" s="1" t="s">
        <v>427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507</v>
      </c>
      <c r="D2003" s="1"/>
      <c r="E2003" s="1" t="s">
        <v>747</v>
      </c>
      <c r="F2003" s="1" t="s">
        <v>504</v>
      </c>
      <c r="G2003" s="1">
        <v>1</v>
      </c>
      <c r="H2003" s="1" t="s">
        <v>19</v>
      </c>
      <c r="I2003" s="1" t="s">
        <v>427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507</v>
      </c>
      <c r="D2004" s="1"/>
      <c r="E2004" s="1" t="s">
        <v>1102</v>
      </c>
      <c r="F2004" s="1" t="s">
        <v>505</v>
      </c>
      <c r="G2004" s="1">
        <v>1</v>
      </c>
      <c r="H2004" s="1" t="s">
        <v>19</v>
      </c>
      <c r="I2004" s="1" t="s">
        <v>427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507</v>
      </c>
      <c r="D2005" s="1"/>
      <c r="E2005" s="1" t="s">
        <v>101</v>
      </c>
      <c r="F2005" s="1" t="s">
        <v>506</v>
      </c>
      <c r="G2005" s="1">
        <v>2</v>
      </c>
      <c r="H2005" s="1" t="s">
        <v>19</v>
      </c>
      <c r="I2005" s="1" t="s">
        <v>427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1151</v>
      </c>
      <c r="D2006" s="1"/>
      <c r="E2006" s="1" t="s">
        <v>2</v>
      </c>
      <c r="F2006" s="1" t="s">
        <v>1152</v>
      </c>
      <c r="G2006" s="1">
        <v>2</v>
      </c>
      <c r="H2006" s="1" t="s">
        <v>19</v>
      </c>
      <c r="I2006" s="1" t="s">
        <v>424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1151</v>
      </c>
      <c r="D2007" s="1"/>
      <c r="E2007" s="1" t="s">
        <v>44</v>
      </c>
      <c r="F2007" s="1" t="s">
        <v>1153</v>
      </c>
      <c r="G2007" s="1">
        <v>4</v>
      </c>
      <c r="H2007" s="1" t="s">
        <v>19</v>
      </c>
      <c r="I2007" s="1" t="s">
        <v>424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1151</v>
      </c>
      <c r="D2008" s="1"/>
      <c r="E2008" s="1" t="s">
        <v>747</v>
      </c>
      <c r="F2008" s="1" t="s">
        <v>1154</v>
      </c>
      <c r="G2008" s="1">
        <v>2</v>
      </c>
      <c r="H2008" s="1" t="s">
        <v>19</v>
      </c>
      <c r="I2008" s="1" t="s">
        <v>424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1151</v>
      </c>
      <c r="D2009" s="1"/>
      <c r="E2009" s="1" t="s">
        <v>101</v>
      </c>
      <c r="F2009" s="1" t="s">
        <v>1156</v>
      </c>
      <c r="G2009" s="1">
        <v>4</v>
      </c>
      <c r="H2009" s="1" t="s">
        <v>19</v>
      </c>
      <c r="I2009" s="1" t="s">
        <v>424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1151</v>
      </c>
      <c r="D2010" s="1"/>
      <c r="E2010" s="1" t="s">
        <v>174</v>
      </c>
      <c r="F2010" s="1" t="s">
        <v>1157</v>
      </c>
      <c r="G2010" s="1">
        <v>8</v>
      </c>
      <c r="H2010" s="1" t="s">
        <v>19</v>
      </c>
      <c r="I2010" s="1" t="s">
        <v>424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1151</v>
      </c>
      <c r="D2011" s="1"/>
      <c r="E2011" s="1" t="s">
        <v>462</v>
      </c>
      <c r="F2011" s="1" t="s">
        <v>1158</v>
      </c>
      <c r="G2011" s="1">
        <v>2</v>
      </c>
      <c r="H2011" s="1" t="s">
        <v>19</v>
      </c>
      <c r="I2011" s="1" t="s">
        <v>424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1151</v>
      </c>
      <c r="D2012" s="1"/>
      <c r="E2012" s="1" t="s">
        <v>2</v>
      </c>
      <c r="F2012" s="1" t="s">
        <v>1152</v>
      </c>
      <c r="G2012" s="1">
        <v>2</v>
      </c>
      <c r="H2012" s="1" t="s">
        <v>19</v>
      </c>
      <c r="I2012" s="1" t="s">
        <v>425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1151</v>
      </c>
      <c r="D2013" s="1"/>
      <c r="E2013" s="1" t="s">
        <v>44</v>
      </c>
      <c r="F2013" s="1" t="s">
        <v>1153</v>
      </c>
      <c r="G2013" s="1">
        <v>4</v>
      </c>
      <c r="H2013" s="1" t="s">
        <v>19</v>
      </c>
      <c r="I2013" s="1" t="s">
        <v>425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1151</v>
      </c>
      <c r="D2014" s="1"/>
      <c r="E2014" s="1" t="s">
        <v>747</v>
      </c>
      <c r="F2014" s="1" t="s">
        <v>1154</v>
      </c>
      <c r="G2014" s="1">
        <v>2</v>
      </c>
      <c r="H2014" s="1" t="s">
        <v>19</v>
      </c>
      <c r="I2014" s="1" t="s">
        <v>425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1151</v>
      </c>
      <c r="D2015" s="1"/>
      <c r="E2015" s="1" t="s">
        <v>101</v>
      </c>
      <c r="F2015" s="1" t="s">
        <v>1156</v>
      </c>
      <c r="G2015" s="1">
        <v>4</v>
      </c>
      <c r="H2015" s="1" t="s">
        <v>19</v>
      </c>
      <c r="I2015" s="1" t="s">
        <v>425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1151</v>
      </c>
      <c r="D2016" s="1"/>
      <c r="E2016" s="1" t="s">
        <v>174</v>
      </c>
      <c r="F2016" s="1" t="s">
        <v>1157</v>
      </c>
      <c r="G2016" s="1">
        <v>8</v>
      </c>
      <c r="H2016" s="1" t="s">
        <v>19</v>
      </c>
      <c r="I2016" s="1" t="s">
        <v>425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1151</v>
      </c>
      <c r="D2017" s="1"/>
      <c r="E2017" s="1" t="s">
        <v>462</v>
      </c>
      <c r="F2017" s="1" t="s">
        <v>1158</v>
      </c>
      <c r="G2017" s="1">
        <v>2</v>
      </c>
      <c r="H2017" s="1" t="s">
        <v>19</v>
      </c>
      <c r="I2017" s="1" t="s">
        <v>425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1151</v>
      </c>
      <c r="D2018" s="1"/>
      <c r="E2018" s="1" t="s">
        <v>2</v>
      </c>
      <c r="F2018" s="1" t="s">
        <v>1152</v>
      </c>
      <c r="G2018" s="1">
        <v>2</v>
      </c>
      <c r="H2018" s="1" t="s">
        <v>19</v>
      </c>
      <c r="I2018" s="1" t="s">
        <v>426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1151</v>
      </c>
      <c r="D2019" s="1"/>
      <c r="E2019" s="1" t="s">
        <v>44</v>
      </c>
      <c r="F2019" s="1" t="s">
        <v>1153</v>
      </c>
      <c r="G2019" s="1">
        <v>4</v>
      </c>
      <c r="H2019" s="1" t="s">
        <v>19</v>
      </c>
      <c r="I2019" s="1" t="s">
        <v>426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1151</v>
      </c>
      <c r="D2020" s="1"/>
      <c r="E2020" s="1" t="s">
        <v>747</v>
      </c>
      <c r="F2020" s="1" t="s">
        <v>1154</v>
      </c>
      <c r="G2020" s="1">
        <v>2</v>
      </c>
      <c r="H2020" s="1" t="s">
        <v>19</v>
      </c>
      <c r="I2020" s="1" t="s">
        <v>426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1151</v>
      </c>
      <c r="D2021" s="1"/>
      <c r="E2021" s="1" t="s">
        <v>101</v>
      </c>
      <c r="F2021" s="1" t="s">
        <v>1156</v>
      </c>
      <c r="G2021" s="1">
        <v>4</v>
      </c>
      <c r="H2021" s="1" t="s">
        <v>19</v>
      </c>
      <c r="I2021" s="1" t="s">
        <v>426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1151</v>
      </c>
      <c r="D2022" s="1"/>
      <c r="E2022" s="1" t="s">
        <v>174</v>
      </c>
      <c r="F2022" s="1" t="s">
        <v>1157</v>
      </c>
      <c r="G2022" s="1">
        <v>8</v>
      </c>
      <c r="H2022" s="1" t="s">
        <v>19</v>
      </c>
      <c r="I2022" s="1" t="s">
        <v>426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1151</v>
      </c>
      <c r="D2023" s="1"/>
      <c r="E2023" s="1" t="s">
        <v>462</v>
      </c>
      <c r="F2023" s="1" t="s">
        <v>1158</v>
      </c>
      <c r="G2023" s="1">
        <v>2</v>
      </c>
      <c r="H2023" s="1" t="s">
        <v>19</v>
      </c>
      <c r="I2023" s="1" t="s">
        <v>426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1151</v>
      </c>
      <c r="D2024" s="1"/>
      <c r="E2024" s="1" t="s">
        <v>2</v>
      </c>
      <c r="F2024" s="1" t="s">
        <v>1152</v>
      </c>
      <c r="G2024" s="1">
        <v>2</v>
      </c>
      <c r="H2024" s="1" t="s">
        <v>19</v>
      </c>
      <c r="I2024" s="1" t="s">
        <v>427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1151</v>
      </c>
      <c r="D2025" s="1"/>
      <c r="E2025" s="1" t="s">
        <v>44</v>
      </c>
      <c r="F2025" s="1" t="s">
        <v>1153</v>
      </c>
      <c r="G2025" s="1">
        <v>4</v>
      </c>
      <c r="H2025" s="1" t="s">
        <v>19</v>
      </c>
      <c r="I2025" s="1" t="s">
        <v>427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1151</v>
      </c>
      <c r="D2026" s="1"/>
      <c r="E2026" s="1" t="s">
        <v>747</v>
      </c>
      <c r="F2026" s="1" t="s">
        <v>1154</v>
      </c>
      <c r="G2026" s="1">
        <v>2</v>
      </c>
      <c r="H2026" s="1" t="s">
        <v>19</v>
      </c>
      <c r="I2026" s="1" t="s">
        <v>427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1151</v>
      </c>
      <c r="D2027" s="1"/>
      <c r="E2027" s="1" t="s">
        <v>101</v>
      </c>
      <c r="F2027" s="1" t="s">
        <v>1156</v>
      </c>
      <c r="G2027" s="1">
        <v>4</v>
      </c>
      <c r="H2027" s="1" t="s">
        <v>19</v>
      </c>
      <c r="I2027" s="1" t="s">
        <v>427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1151</v>
      </c>
      <c r="D2028" s="1"/>
      <c r="E2028" s="1" t="s">
        <v>174</v>
      </c>
      <c r="F2028" s="1" t="s">
        <v>1157</v>
      </c>
      <c r="G2028" s="1">
        <v>8</v>
      </c>
      <c r="H2028" s="1" t="s">
        <v>19</v>
      </c>
      <c r="I2028" s="1" t="s">
        <v>427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1151</v>
      </c>
      <c r="D2029" s="1"/>
      <c r="E2029" s="1" t="s">
        <v>462</v>
      </c>
      <c r="F2029" s="1" t="s">
        <v>1158</v>
      </c>
      <c r="G2029" s="1">
        <v>2</v>
      </c>
      <c r="H2029" s="1" t="s">
        <v>19</v>
      </c>
      <c r="I2029" s="1" t="s">
        <v>427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1151</v>
      </c>
      <c r="D2030" s="1"/>
      <c r="E2030" s="1" t="s">
        <v>2</v>
      </c>
      <c r="F2030" s="1" t="s">
        <v>1152</v>
      </c>
      <c r="G2030" s="1">
        <v>2</v>
      </c>
      <c r="H2030" s="1" t="s">
        <v>19</v>
      </c>
      <c r="I2030" s="1" t="s">
        <v>428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1151</v>
      </c>
      <c r="D2031" s="1"/>
      <c r="E2031" s="1" t="s">
        <v>44</v>
      </c>
      <c r="F2031" s="1" t="s">
        <v>1153</v>
      </c>
      <c r="G2031" s="1">
        <v>4</v>
      </c>
      <c r="H2031" s="1" t="s">
        <v>19</v>
      </c>
      <c r="I2031" s="1" t="s">
        <v>428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1151</v>
      </c>
      <c r="D2032" s="1"/>
      <c r="E2032" s="1" t="s">
        <v>747</v>
      </c>
      <c r="F2032" s="1" t="s">
        <v>1154</v>
      </c>
      <c r="G2032" s="1">
        <v>2</v>
      </c>
      <c r="H2032" s="1" t="s">
        <v>19</v>
      </c>
      <c r="I2032" s="1" t="s">
        <v>428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1151</v>
      </c>
      <c r="D2033" s="1"/>
      <c r="E2033" s="1" t="s">
        <v>101</v>
      </c>
      <c r="F2033" s="1" t="s">
        <v>1156</v>
      </c>
      <c r="G2033" s="1">
        <v>4</v>
      </c>
      <c r="H2033" s="1" t="s">
        <v>19</v>
      </c>
      <c r="I2033" s="1" t="s">
        <v>428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1151</v>
      </c>
      <c r="D2034" s="1"/>
      <c r="E2034" s="1" t="s">
        <v>174</v>
      </c>
      <c r="F2034" s="1" t="s">
        <v>1157</v>
      </c>
      <c r="G2034" s="1">
        <v>8</v>
      </c>
      <c r="H2034" s="1" t="s">
        <v>19</v>
      </c>
      <c r="I2034" s="1" t="s">
        <v>428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1151</v>
      </c>
      <c r="D2035" s="1"/>
      <c r="E2035" s="1" t="s">
        <v>462</v>
      </c>
      <c r="F2035" s="1" t="s">
        <v>1158</v>
      </c>
      <c r="G2035" s="1">
        <v>2</v>
      </c>
      <c r="H2035" s="1" t="s">
        <v>19</v>
      </c>
      <c r="I2035" s="1" t="s">
        <v>428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591</v>
      </c>
      <c r="D2036" s="1"/>
      <c r="E2036" s="1" t="s">
        <v>174</v>
      </c>
      <c r="F2036" s="1" t="s">
        <v>596</v>
      </c>
      <c r="G2036" s="1">
        <v>2</v>
      </c>
      <c r="H2036" s="1" t="s">
        <v>19</v>
      </c>
      <c r="I2036" s="1" t="s">
        <v>428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693</v>
      </c>
      <c r="C2037" s="1" t="s">
        <v>597</v>
      </c>
      <c r="D2037" s="1"/>
      <c r="E2037" s="1" t="s">
        <v>174</v>
      </c>
      <c r="F2037" s="1" t="s">
        <v>604</v>
      </c>
      <c r="G2037" s="1">
        <v>2</v>
      </c>
      <c r="H2037" s="1" t="s">
        <v>19</v>
      </c>
      <c r="I2037" s="1" t="s">
        <v>427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605</v>
      </c>
      <c r="D2038" s="1"/>
      <c r="E2038" s="1" t="s">
        <v>174</v>
      </c>
      <c r="F2038" s="1" t="s">
        <v>611</v>
      </c>
      <c r="G2038" s="1">
        <v>2</v>
      </c>
      <c r="H2038" s="1" t="s">
        <v>19</v>
      </c>
      <c r="I2038" s="1" t="s">
        <v>425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605</v>
      </c>
      <c r="D2039" s="1"/>
      <c r="E2039" s="1" t="s">
        <v>174</v>
      </c>
      <c r="F2039" s="1" t="s">
        <v>611</v>
      </c>
      <c r="G2039" s="1">
        <v>2</v>
      </c>
      <c r="H2039" s="1" t="s">
        <v>19</v>
      </c>
      <c r="I2039" s="1" t="s">
        <v>426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612</v>
      </c>
      <c r="D2040" s="1"/>
      <c r="E2040" s="1" t="s">
        <v>174</v>
      </c>
      <c r="F2040" s="1" t="s">
        <v>618</v>
      </c>
      <c r="G2040" s="1">
        <v>2</v>
      </c>
      <c r="H2040" s="1" t="s">
        <v>19</v>
      </c>
      <c r="I2040" s="1" t="s">
        <v>424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1403</v>
      </c>
      <c r="D2041" s="1"/>
      <c r="E2041" s="1"/>
      <c r="F2041" s="1" t="s">
        <v>1404</v>
      </c>
      <c r="G2041" s="1">
        <v>16</v>
      </c>
      <c r="H2041" s="1" t="s">
        <v>19</v>
      </c>
      <c r="I2041" s="1" t="s">
        <v>1405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1406</v>
      </c>
      <c r="D2042" s="1"/>
      <c r="E2042" s="1"/>
      <c r="F2042" s="1" t="s">
        <v>1407</v>
      </c>
      <c r="G2042" s="1">
        <v>32</v>
      </c>
      <c r="H2042" s="1" t="s">
        <v>19</v>
      </c>
      <c r="I2042" s="1" t="s">
        <v>426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1408</v>
      </c>
      <c r="D2043" s="1"/>
      <c r="E2043" s="1"/>
      <c r="F2043" s="1" t="s">
        <v>1409</v>
      </c>
      <c r="G2043" s="1">
        <v>16</v>
      </c>
      <c r="H2043" s="1" t="s">
        <v>19</v>
      </c>
      <c r="I2043" s="1" t="s">
        <v>426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1410</v>
      </c>
      <c r="D2044" s="1"/>
      <c r="E2044" s="1"/>
      <c r="F2044" s="1" t="s">
        <v>1411</v>
      </c>
      <c r="G2044" s="1">
        <v>8</v>
      </c>
      <c r="H2044" s="1" t="s">
        <v>19</v>
      </c>
      <c r="I2044" s="1" t="s">
        <v>427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1214</v>
      </c>
      <c r="D2045" s="1"/>
      <c r="E2045" s="1"/>
      <c r="F2045" s="1" t="s">
        <v>1412</v>
      </c>
      <c r="G2045" s="1">
        <v>16</v>
      </c>
      <c r="H2045" s="1" t="s">
        <v>19</v>
      </c>
      <c r="I2045" s="1" t="s">
        <v>426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1413</v>
      </c>
      <c r="D2046" s="1"/>
      <c r="E2046" s="1"/>
      <c r="F2046" s="1" t="s">
        <v>1414</v>
      </c>
      <c r="G2046" s="1">
        <v>16</v>
      </c>
      <c r="H2046" s="1" t="s">
        <v>19</v>
      </c>
      <c r="I2046" s="1" t="s">
        <v>428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1415</v>
      </c>
      <c r="D2047" s="1"/>
      <c r="E2047" s="1"/>
      <c r="F2047" s="1" t="s">
        <v>1416</v>
      </c>
      <c r="G2047" s="1">
        <v>16</v>
      </c>
      <c r="H2047" s="1" t="s">
        <v>19</v>
      </c>
      <c r="I2047" s="1" t="s">
        <v>424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1417</v>
      </c>
      <c r="D2048" s="1"/>
      <c r="E2048" s="1"/>
      <c r="F2048" s="1" t="s">
        <v>1418</v>
      </c>
      <c r="G2048" s="1">
        <v>16</v>
      </c>
      <c r="H2048" s="1" t="s">
        <v>19</v>
      </c>
      <c r="I2048" s="1" t="s">
        <v>427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1419</v>
      </c>
      <c r="D2049" s="1"/>
      <c r="E2049" s="1"/>
      <c r="F2049" s="1" t="s">
        <v>1420</v>
      </c>
      <c r="G2049" s="1">
        <v>14</v>
      </c>
      <c r="H2049" s="1" t="s">
        <v>19</v>
      </c>
      <c r="I2049" s="1" t="s">
        <v>1421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1422</v>
      </c>
      <c r="D2050" s="1"/>
      <c r="E2050" s="1"/>
      <c r="F2050" s="1" t="s">
        <v>1423</v>
      </c>
      <c r="G2050" s="1">
        <v>8</v>
      </c>
      <c r="H2050" s="1" t="s">
        <v>19</v>
      </c>
      <c r="I2050" s="1" t="s">
        <v>1421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1424</v>
      </c>
      <c r="D2051" s="1"/>
      <c r="E2051" s="1"/>
      <c r="F2051" s="1" t="s">
        <v>1425</v>
      </c>
      <c r="G2051" s="1">
        <v>28</v>
      </c>
      <c r="H2051" s="1" t="s">
        <v>19</v>
      </c>
      <c r="I2051" s="1" t="s">
        <v>424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1223</v>
      </c>
      <c r="D2052" s="1"/>
      <c r="E2052" s="1"/>
      <c r="F2052" s="1" t="s">
        <v>1426</v>
      </c>
      <c r="G2052" s="1">
        <v>44</v>
      </c>
      <c r="H2052" s="1" t="s">
        <v>19</v>
      </c>
      <c r="I2052" s="1" t="s">
        <v>424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1427</v>
      </c>
      <c r="D2053" s="1"/>
      <c r="E2053" s="1"/>
      <c r="F2053" s="1" t="s">
        <v>1428</v>
      </c>
      <c r="G2053" s="1">
        <v>10</v>
      </c>
      <c r="H2053" s="1" t="s">
        <v>19</v>
      </c>
      <c r="I2053" s="1" t="s">
        <v>425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1429</v>
      </c>
      <c r="D2054" s="1"/>
      <c r="E2054" s="1"/>
      <c r="F2054" s="1" t="s">
        <v>1430</v>
      </c>
      <c r="G2054" s="1">
        <v>32</v>
      </c>
      <c r="H2054" s="1" t="s">
        <v>19</v>
      </c>
      <c r="I2054" s="1" t="s">
        <v>427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1431</v>
      </c>
      <c r="D2055" s="1"/>
      <c r="E2055" s="1"/>
      <c r="F2055" s="1" t="s">
        <v>1432</v>
      </c>
      <c r="G2055" s="1">
        <v>16</v>
      </c>
      <c r="H2055" s="1" t="s">
        <v>19</v>
      </c>
      <c r="I2055" s="1" t="s">
        <v>425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1433</v>
      </c>
      <c r="D2056" s="1"/>
      <c r="E2056" s="1"/>
      <c r="F2056" s="1" t="s">
        <v>1434</v>
      </c>
      <c r="G2056" s="1">
        <v>10</v>
      </c>
      <c r="H2056" s="1" t="s">
        <v>19</v>
      </c>
      <c r="I2056" s="1" t="s">
        <v>1435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1436</v>
      </c>
      <c r="D2057" s="1"/>
      <c r="E2057" s="1"/>
      <c r="F2057" s="1" t="s">
        <v>1437</v>
      </c>
      <c r="G2057" s="1">
        <v>14</v>
      </c>
      <c r="H2057" s="1" t="s">
        <v>19</v>
      </c>
      <c r="I2057" s="1" t="s">
        <v>427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1438</v>
      </c>
      <c r="D2058" s="1"/>
      <c r="E2058" s="1"/>
      <c r="F2058" s="1" t="s">
        <v>1439</v>
      </c>
      <c r="G2058" s="1">
        <v>8</v>
      </c>
      <c r="H2058" s="1" t="s">
        <v>19</v>
      </c>
      <c r="I2058" s="1" t="s">
        <v>427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1440</v>
      </c>
      <c r="D2059" s="1"/>
      <c r="E2059" s="1"/>
      <c r="F2059" s="1" t="s">
        <v>1441</v>
      </c>
      <c r="G2059" s="1">
        <v>32</v>
      </c>
      <c r="H2059" s="1" t="s">
        <v>19</v>
      </c>
      <c r="I2059" s="1" t="s">
        <v>427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1442</v>
      </c>
      <c r="D2060" s="1"/>
      <c r="E2060" s="1"/>
      <c r="F2060" s="1" t="s">
        <v>1443</v>
      </c>
      <c r="G2060" s="1">
        <v>24</v>
      </c>
      <c r="H2060" s="1" t="s">
        <v>19</v>
      </c>
      <c r="I2060" s="1" t="s">
        <v>427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1444</v>
      </c>
      <c r="D2061" s="1"/>
      <c r="E2061" s="1"/>
      <c r="F2061" s="1" t="s">
        <v>1445</v>
      </c>
      <c r="G2061" s="1">
        <v>24</v>
      </c>
      <c r="H2061" s="1" t="s">
        <v>19</v>
      </c>
      <c r="I2061" s="1" t="s">
        <v>427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1446</v>
      </c>
      <c r="D2062" s="1"/>
      <c r="E2062" s="1"/>
      <c r="F2062" s="1" t="s">
        <v>1447</v>
      </c>
      <c r="G2062" s="1">
        <v>12</v>
      </c>
      <c r="H2062" s="1" t="s">
        <v>19</v>
      </c>
      <c r="I2062" s="1" t="s">
        <v>428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1448</v>
      </c>
      <c r="D2063" s="1"/>
      <c r="E2063" s="1"/>
      <c r="F2063" s="1" t="s">
        <v>1449</v>
      </c>
      <c r="G2063" s="1">
        <v>28</v>
      </c>
      <c r="H2063" s="1" t="s">
        <v>19</v>
      </c>
      <c r="I2063" s="1" t="s">
        <v>428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1403</v>
      </c>
      <c r="D2064" s="1"/>
      <c r="E2064" s="1"/>
      <c r="F2064" s="1" t="s">
        <v>1450</v>
      </c>
      <c r="G2064" s="1">
        <v>8</v>
      </c>
      <c r="H2064" s="1" t="s">
        <v>19</v>
      </c>
      <c r="I2064" s="1" t="s">
        <v>1405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1415</v>
      </c>
      <c r="D2065" s="1"/>
      <c r="E2065" s="1"/>
      <c r="F2065" s="1" t="s">
        <v>1451</v>
      </c>
      <c r="G2065" s="1">
        <v>8</v>
      </c>
      <c r="H2065" s="1" t="s">
        <v>19</v>
      </c>
      <c r="I2065" s="1" t="s">
        <v>424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1413</v>
      </c>
      <c r="D2066" s="1"/>
      <c r="E2066" s="1"/>
      <c r="F2066" s="1" t="s">
        <v>1452</v>
      </c>
      <c r="G2066" s="1">
        <v>12</v>
      </c>
      <c r="H2066" s="1" t="s">
        <v>19</v>
      </c>
      <c r="I2066" s="1" t="s">
        <v>428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1417</v>
      </c>
      <c r="D2067" s="1"/>
      <c r="E2067" s="1"/>
      <c r="F2067" s="1" t="s">
        <v>1453</v>
      </c>
      <c r="G2067" s="1">
        <v>8</v>
      </c>
      <c r="H2067" s="1" t="s">
        <v>19</v>
      </c>
      <c r="I2067" s="1" t="s">
        <v>427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1454</v>
      </c>
      <c r="D2068" s="1"/>
      <c r="E2068" s="1"/>
      <c r="F2068" s="1" t="s">
        <v>1455</v>
      </c>
      <c r="G2068" s="1">
        <v>14</v>
      </c>
      <c r="H2068" s="1" t="s">
        <v>19</v>
      </c>
      <c r="I2068" s="1" t="s">
        <v>1456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1419</v>
      </c>
      <c r="D2069" s="1"/>
      <c r="E2069" s="1"/>
      <c r="F2069" s="1" t="s">
        <v>1457</v>
      </c>
      <c r="G2069" s="1">
        <v>16</v>
      </c>
      <c r="H2069" s="1" t="s">
        <v>19</v>
      </c>
      <c r="I2069" s="1" t="s">
        <v>1421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1422</v>
      </c>
      <c r="D2070" s="1"/>
      <c r="E2070" s="1"/>
      <c r="F2070" s="1" t="s">
        <v>1458</v>
      </c>
      <c r="G2070" s="1">
        <v>16</v>
      </c>
      <c r="H2070" s="1" t="s">
        <v>19</v>
      </c>
      <c r="I2070" s="1" t="s">
        <v>1421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1459</v>
      </c>
      <c r="D2071" s="1"/>
      <c r="E2071" s="1"/>
      <c r="F2071" s="1" t="s">
        <v>1460</v>
      </c>
      <c r="G2071" s="1">
        <v>7</v>
      </c>
      <c r="H2071" s="1" t="s">
        <v>19</v>
      </c>
      <c r="I2071" s="1" t="s">
        <v>426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1461</v>
      </c>
      <c r="D2072" s="1"/>
      <c r="E2072" s="1"/>
      <c r="F2072" s="1" t="s">
        <v>1462</v>
      </c>
      <c r="G2072" s="1">
        <v>16</v>
      </c>
      <c r="H2072" s="1" t="s">
        <v>19</v>
      </c>
      <c r="I2072" s="1" t="s">
        <v>427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1438</v>
      </c>
      <c r="D2073" s="1"/>
      <c r="E2073" s="1"/>
      <c r="F2073" s="1" t="s">
        <v>1463</v>
      </c>
      <c r="G2073" s="1">
        <v>16</v>
      </c>
      <c r="H2073" s="1" t="s">
        <v>19</v>
      </c>
      <c r="I2073" s="1" t="s">
        <v>427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1464</v>
      </c>
      <c r="D2074" s="1"/>
      <c r="E2074" s="1"/>
      <c r="F2074" s="1" t="s">
        <v>1465</v>
      </c>
      <c r="G2074" s="1">
        <v>68</v>
      </c>
      <c r="H2074" s="1" t="s">
        <v>19</v>
      </c>
      <c r="I2074" s="1" t="s">
        <v>426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1427</v>
      </c>
      <c r="D2075" s="1"/>
      <c r="E2075" s="1"/>
      <c r="F2075" s="1" t="s">
        <v>1466</v>
      </c>
      <c r="G2075" s="1">
        <v>8</v>
      </c>
      <c r="H2075" s="1" t="s">
        <v>19</v>
      </c>
      <c r="I2075" s="1" t="s">
        <v>425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1467</v>
      </c>
      <c r="D2076" s="1"/>
      <c r="E2076" s="1"/>
      <c r="F2076" s="1" t="s">
        <v>1468</v>
      </c>
      <c r="G2076" s="1">
        <v>8</v>
      </c>
      <c r="H2076" s="1" t="s">
        <v>19</v>
      </c>
      <c r="I2076" s="1" t="s">
        <v>426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1469</v>
      </c>
      <c r="D2077" s="1"/>
      <c r="E2077" s="1"/>
      <c r="F2077" s="1" t="s">
        <v>1470</v>
      </c>
      <c r="G2077" s="1">
        <v>12</v>
      </c>
      <c r="H2077" s="1" t="s">
        <v>19</v>
      </c>
      <c r="I2077" s="1" t="s">
        <v>428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1471</v>
      </c>
      <c r="D2078" s="1"/>
      <c r="E2078" s="1"/>
      <c r="F2078" s="1" t="s">
        <v>1472</v>
      </c>
      <c r="G2078" s="1">
        <v>20</v>
      </c>
      <c r="H2078" s="1" t="s">
        <v>19</v>
      </c>
      <c r="I2078" s="1" t="s">
        <v>424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1464</v>
      </c>
      <c r="D2079" s="1"/>
      <c r="E2079" s="1"/>
      <c r="F2079" s="1" t="s">
        <v>1473</v>
      </c>
      <c r="G2079" s="1">
        <v>16</v>
      </c>
      <c r="H2079" s="1" t="s">
        <v>19</v>
      </c>
      <c r="I2079" s="1" t="s">
        <v>426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1469</v>
      </c>
      <c r="D2080" s="1"/>
      <c r="E2080" s="1"/>
      <c r="F2080" s="1" t="s">
        <v>1474</v>
      </c>
      <c r="G2080" s="1">
        <v>4</v>
      </c>
      <c r="H2080" s="1" t="s">
        <v>19</v>
      </c>
      <c r="I2080" s="1" t="s">
        <v>428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1454</v>
      </c>
      <c r="D2081" s="1"/>
      <c r="E2081" s="1"/>
      <c r="F2081" s="1" t="s">
        <v>1475</v>
      </c>
      <c r="G2081" s="1">
        <v>14</v>
      </c>
      <c r="H2081" s="1" t="s">
        <v>19</v>
      </c>
      <c r="I2081" s="1" t="s">
        <v>1476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1477</v>
      </c>
      <c r="D2082" s="1"/>
      <c r="E2082" s="1"/>
      <c r="F2082" s="1" t="s">
        <v>1478</v>
      </c>
      <c r="G2082" s="1">
        <v>10</v>
      </c>
      <c r="H2082" s="1" t="s">
        <v>19</v>
      </c>
      <c r="I2082" s="1" t="s">
        <v>1421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1424</v>
      </c>
      <c r="D2083" s="1"/>
      <c r="E2083" s="1"/>
      <c r="F2083" s="1" t="s">
        <v>1479</v>
      </c>
      <c r="G2083" s="1">
        <v>28</v>
      </c>
      <c r="H2083" s="1" t="s">
        <v>19</v>
      </c>
      <c r="I2083" s="1" t="s">
        <v>424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1427</v>
      </c>
      <c r="D2084" s="1"/>
      <c r="E2084" s="1"/>
      <c r="F2084" s="1" t="s">
        <v>1480</v>
      </c>
      <c r="G2084" s="1">
        <v>10</v>
      </c>
      <c r="H2084" s="1" t="s">
        <v>19</v>
      </c>
      <c r="I2084" s="1" t="s">
        <v>425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1467</v>
      </c>
      <c r="D2085" s="1"/>
      <c r="E2085" s="1"/>
      <c r="F2085" s="1" t="s">
        <v>1481</v>
      </c>
      <c r="G2085" s="1">
        <v>16</v>
      </c>
      <c r="H2085" s="1" t="s">
        <v>19</v>
      </c>
      <c r="I2085" s="1" t="s">
        <v>426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1429</v>
      </c>
      <c r="D2086" s="1"/>
      <c r="E2086" s="1"/>
      <c r="F2086" s="1" t="s">
        <v>1482</v>
      </c>
      <c r="G2086" s="1">
        <v>32</v>
      </c>
      <c r="H2086" s="1" t="s">
        <v>19</v>
      </c>
      <c r="I2086" s="1" t="s">
        <v>427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1410</v>
      </c>
      <c r="D2087" s="1"/>
      <c r="E2087" s="1"/>
      <c r="F2087" s="1" t="s">
        <v>1483</v>
      </c>
      <c r="G2087" s="1">
        <v>4</v>
      </c>
      <c r="H2087" s="1" t="s">
        <v>19</v>
      </c>
      <c r="I2087" s="1" t="s">
        <v>427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1433</v>
      </c>
      <c r="D2088" s="1"/>
      <c r="E2088" s="1"/>
      <c r="F2088" s="1" t="s">
        <v>1484</v>
      </c>
      <c r="G2088" s="1">
        <v>4</v>
      </c>
      <c r="H2088" s="1" t="s">
        <v>19</v>
      </c>
      <c r="I2088" s="1" t="s">
        <v>1485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1486</v>
      </c>
      <c r="D2089" s="1"/>
      <c r="E2089" s="1"/>
      <c r="F2089" s="1" t="s">
        <v>1487</v>
      </c>
      <c r="G2089" s="1">
        <v>7</v>
      </c>
      <c r="H2089" s="1" t="s">
        <v>19</v>
      </c>
      <c r="I2089" s="1" t="s">
        <v>426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1461</v>
      </c>
      <c r="D2090" s="1"/>
      <c r="E2090" s="1"/>
      <c r="F2090" s="1" t="s">
        <v>1488</v>
      </c>
      <c r="G2090" s="1">
        <v>16</v>
      </c>
      <c r="H2090" s="1" t="s">
        <v>19</v>
      </c>
      <c r="I2090" s="1" t="s">
        <v>427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1461</v>
      </c>
      <c r="D2091" s="1"/>
      <c r="E2091" s="1"/>
      <c r="F2091" s="1" t="s">
        <v>1488</v>
      </c>
      <c r="G2091" s="1">
        <v>10</v>
      </c>
      <c r="H2091" s="1" t="s">
        <v>19</v>
      </c>
      <c r="I2091" s="1" t="s">
        <v>427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1446</v>
      </c>
      <c r="D2092" s="1"/>
      <c r="E2092" s="1"/>
      <c r="F2092" s="1" t="s">
        <v>1489</v>
      </c>
      <c r="G2092" s="1">
        <v>12</v>
      </c>
      <c r="H2092" s="1" t="s">
        <v>19</v>
      </c>
      <c r="I2092" s="1" t="s">
        <v>428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1471</v>
      </c>
      <c r="D2093" s="1"/>
      <c r="E2093" s="1"/>
      <c r="F2093" s="1" t="s">
        <v>1490</v>
      </c>
      <c r="G2093" s="1">
        <v>4</v>
      </c>
      <c r="H2093" s="1" t="s">
        <v>19</v>
      </c>
      <c r="I2093" s="1" t="s">
        <v>424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1464</v>
      </c>
      <c r="D2094" s="1"/>
      <c r="E2094" s="1"/>
      <c r="F2094" s="1" t="s">
        <v>1491</v>
      </c>
      <c r="G2094" s="1">
        <v>40</v>
      </c>
      <c r="H2094" s="1" t="s">
        <v>19</v>
      </c>
      <c r="I2094" s="1" t="s">
        <v>426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1469</v>
      </c>
      <c r="D2095" s="1"/>
      <c r="E2095" s="1"/>
      <c r="F2095" s="1" t="s">
        <v>1492</v>
      </c>
      <c r="G2095" s="1">
        <v>8</v>
      </c>
      <c r="H2095" s="1" t="s">
        <v>19</v>
      </c>
      <c r="I2095" s="1" t="s">
        <v>428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1422</v>
      </c>
      <c r="D2096" s="1"/>
      <c r="E2096" s="1"/>
      <c r="F2096" s="1" t="s">
        <v>1493</v>
      </c>
      <c r="G2096" s="1">
        <v>8</v>
      </c>
      <c r="H2096" s="1" t="s">
        <v>19</v>
      </c>
      <c r="I2096" s="1" t="s">
        <v>1421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1471</v>
      </c>
      <c r="D2097" s="1"/>
      <c r="E2097" s="1"/>
      <c r="F2097" s="1" t="s">
        <v>1494</v>
      </c>
      <c r="G2097" s="1">
        <v>16</v>
      </c>
      <c r="H2097" s="1" t="s">
        <v>19</v>
      </c>
      <c r="I2097" s="1" t="s">
        <v>424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1410</v>
      </c>
      <c r="D2098" s="1"/>
      <c r="E2098" s="1"/>
      <c r="F2098" s="1" t="s">
        <v>1495</v>
      </c>
      <c r="G2098" s="1">
        <v>4</v>
      </c>
      <c r="H2098" s="1" t="s">
        <v>19</v>
      </c>
      <c r="I2098" s="1" t="s">
        <v>427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1433</v>
      </c>
      <c r="D2099" s="1"/>
      <c r="E2099" s="1"/>
      <c r="F2099" s="1" t="s">
        <v>1496</v>
      </c>
      <c r="G2099" s="1">
        <v>6</v>
      </c>
      <c r="H2099" s="1" t="s">
        <v>19</v>
      </c>
      <c r="I2099" s="1" t="s">
        <v>1435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1461</v>
      </c>
      <c r="D2100" s="1"/>
      <c r="E2100" s="1"/>
      <c r="F2100" s="1" t="s">
        <v>1497</v>
      </c>
      <c r="G2100" s="1">
        <v>4</v>
      </c>
      <c r="H2100" s="1" t="s">
        <v>19</v>
      </c>
      <c r="I2100" s="1" t="s">
        <v>427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1438</v>
      </c>
      <c r="D2101" s="1"/>
      <c r="E2101" s="1"/>
      <c r="F2101" s="1" t="s">
        <v>1498</v>
      </c>
      <c r="G2101" s="1">
        <v>8</v>
      </c>
      <c r="H2101" s="1" t="s">
        <v>19</v>
      </c>
      <c r="I2101" s="1" t="s">
        <v>427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1419</v>
      </c>
      <c r="D2102" s="1"/>
      <c r="E2102" s="1"/>
      <c r="F2102" s="1" t="s">
        <v>1499</v>
      </c>
      <c r="G2102" s="1">
        <v>4</v>
      </c>
      <c r="H2102" s="1" t="s">
        <v>19</v>
      </c>
      <c r="I2102" s="1" t="s">
        <v>1421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1500</v>
      </c>
      <c r="D2103" s="1"/>
      <c r="E2103" s="1"/>
      <c r="F2103" s="1" t="s">
        <v>1501</v>
      </c>
      <c r="G2103" s="1">
        <v>8</v>
      </c>
      <c r="H2103" s="1" t="s">
        <v>19</v>
      </c>
      <c r="I2103" s="1" t="s">
        <v>424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1403</v>
      </c>
      <c r="D2104" s="1"/>
      <c r="E2104" s="1"/>
      <c r="F2104" s="1" t="s">
        <v>1502</v>
      </c>
      <c r="G2104" s="1">
        <v>8</v>
      </c>
      <c r="H2104" s="1" t="s">
        <v>19</v>
      </c>
      <c r="I2104" s="1" t="s">
        <v>1405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1413</v>
      </c>
      <c r="D2105" s="1"/>
      <c r="E2105" s="1"/>
      <c r="F2105" s="1" t="s">
        <v>1503</v>
      </c>
      <c r="G2105" s="1">
        <v>8</v>
      </c>
      <c r="H2105" s="1" t="s">
        <v>19</v>
      </c>
      <c r="I2105" s="1" t="s">
        <v>428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1417</v>
      </c>
      <c r="D2106" s="1"/>
      <c r="E2106" s="1"/>
      <c r="F2106" s="1" t="s">
        <v>1504</v>
      </c>
      <c r="G2106" s="1">
        <v>8</v>
      </c>
      <c r="H2106" s="1" t="s">
        <v>19</v>
      </c>
      <c r="I2106" s="1" t="s">
        <v>427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1427</v>
      </c>
      <c r="D2107" s="1"/>
      <c r="E2107" s="1"/>
      <c r="F2107" s="1" t="s">
        <v>1505</v>
      </c>
      <c r="G2107" s="1">
        <v>8</v>
      </c>
      <c r="H2107" s="1" t="s">
        <v>19</v>
      </c>
      <c r="I2107" s="1" t="s">
        <v>425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1408</v>
      </c>
      <c r="D2108" s="1"/>
      <c r="E2108" s="1"/>
      <c r="F2108" s="1" t="s">
        <v>1506</v>
      </c>
      <c r="G2108" s="1">
        <v>8</v>
      </c>
      <c r="H2108" s="1" t="s">
        <v>19</v>
      </c>
      <c r="I2108" s="1" t="s">
        <v>426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1464</v>
      </c>
      <c r="D2109" s="1"/>
      <c r="E2109" s="1"/>
      <c r="F2109" s="1" t="s">
        <v>1507</v>
      </c>
      <c r="G2109" s="1">
        <v>16</v>
      </c>
      <c r="H2109" s="1" t="s">
        <v>19</v>
      </c>
      <c r="I2109" s="1" t="s">
        <v>426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1464</v>
      </c>
      <c r="D2110" s="1"/>
      <c r="E2110" s="1"/>
      <c r="F2110" s="1" t="s">
        <v>1508</v>
      </c>
      <c r="G2110" s="1">
        <v>60</v>
      </c>
      <c r="H2110" s="1" t="s">
        <v>19</v>
      </c>
      <c r="I2110" s="1" t="s">
        <v>426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1415</v>
      </c>
      <c r="D2111" s="1"/>
      <c r="E2111" s="1"/>
      <c r="F2111" s="1" t="s">
        <v>1509</v>
      </c>
      <c r="G2111" s="1">
        <v>4</v>
      </c>
      <c r="H2111" s="1" t="s">
        <v>19</v>
      </c>
      <c r="I2111" s="1" t="s">
        <v>424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1403</v>
      </c>
      <c r="D2112" s="1"/>
      <c r="E2112" s="1"/>
      <c r="F2112" s="1" t="s">
        <v>1510</v>
      </c>
      <c r="G2112" s="1">
        <v>4</v>
      </c>
      <c r="H2112" s="1" t="s">
        <v>19</v>
      </c>
      <c r="I2112" s="1" t="s">
        <v>1405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1413</v>
      </c>
      <c r="D2113" s="1"/>
      <c r="E2113" s="1"/>
      <c r="F2113" s="1" t="s">
        <v>1511</v>
      </c>
      <c r="G2113" s="1">
        <v>4</v>
      </c>
      <c r="H2113" s="1" t="s">
        <v>19</v>
      </c>
      <c r="I2113" s="1" t="s">
        <v>428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1417</v>
      </c>
      <c r="D2114" s="1"/>
      <c r="E2114" s="1"/>
      <c r="F2114" s="1" t="s">
        <v>1512</v>
      </c>
      <c r="G2114" s="1">
        <v>4</v>
      </c>
      <c r="H2114" s="1" t="s">
        <v>19</v>
      </c>
      <c r="I2114" s="1" t="s">
        <v>427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1464</v>
      </c>
      <c r="D2115" s="1"/>
      <c r="E2115" s="1"/>
      <c r="F2115" s="1" t="s">
        <v>1513</v>
      </c>
      <c r="G2115" s="1">
        <v>16</v>
      </c>
      <c r="H2115" s="1" t="s">
        <v>19</v>
      </c>
      <c r="I2115" s="1" t="s">
        <v>426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1410</v>
      </c>
      <c r="D2116" s="1"/>
      <c r="E2116" s="1"/>
      <c r="F2116" s="1" t="s">
        <v>1514</v>
      </c>
      <c r="G2116" s="1">
        <v>12</v>
      </c>
      <c r="H2116" s="1" t="s">
        <v>19</v>
      </c>
      <c r="I2116" s="1" t="s">
        <v>427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1461</v>
      </c>
      <c r="D2117" s="1"/>
      <c r="E2117" s="1"/>
      <c r="F2117" s="1" t="s">
        <v>1515</v>
      </c>
      <c r="G2117" s="1">
        <v>14</v>
      </c>
      <c r="H2117" s="1" t="s">
        <v>19</v>
      </c>
      <c r="I2117" s="1" t="s">
        <v>427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1438</v>
      </c>
      <c r="D2118" s="1"/>
      <c r="E2118" s="1"/>
      <c r="F2118" s="1" t="s">
        <v>1516</v>
      </c>
      <c r="G2118" s="1">
        <v>16</v>
      </c>
      <c r="H2118" s="1" t="s">
        <v>19</v>
      </c>
      <c r="I2118" s="1" t="s">
        <v>427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1305</v>
      </c>
      <c r="D2119" s="1"/>
      <c r="E2119" s="1"/>
      <c r="F2119" s="1" t="s">
        <v>1517</v>
      </c>
      <c r="G2119" s="1">
        <v>28</v>
      </c>
      <c r="H2119" s="1" t="s">
        <v>19</v>
      </c>
      <c r="I2119" s="1" t="s">
        <v>428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1518</v>
      </c>
      <c r="D2120" s="1"/>
      <c r="E2120" s="1"/>
      <c r="F2120" s="1" t="s">
        <v>1519</v>
      </c>
      <c r="G2120" s="1">
        <v>14</v>
      </c>
      <c r="H2120" s="1" t="s">
        <v>19</v>
      </c>
      <c r="I2120" s="1" t="s">
        <v>1476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1477</v>
      </c>
      <c r="D2121" s="1"/>
      <c r="E2121" s="1"/>
      <c r="F2121" s="1" t="s">
        <v>1520</v>
      </c>
      <c r="G2121" s="1">
        <v>14</v>
      </c>
      <c r="H2121" s="1" t="s">
        <v>19</v>
      </c>
      <c r="I2121" s="1" t="s">
        <v>1421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1422</v>
      </c>
      <c r="D2122" s="1"/>
      <c r="E2122" s="1"/>
      <c r="F2122" s="1" t="s">
        <v>1521</v>
      </c>
      <c r="G2122" s="1">
        <v>16</v>
      </c>
      <c r="H2122" s="1" t="s">
        <v>19</v>
      </c>
      <c r="I2122" s="1" t="s">
        <v>1421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1471</v>
      </c>
      <c r="D2123" s="1"/>
      <c r="E2123" s="1"/>
      <c r="F2123" s="1" t="s">
        <v>1522</v>
      </c>
      <c r="G2123" s="1">
        <v>36</v>
      </c>
      <c r="H2123" s="1" t="s">
        <v>19</v>
      </c>
      <c r="I2123" s="1" t="s">
        <v>424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1424</v>
      </c>
      <c r="D2124" s="1"/>
      <c r="E2124" s="1"/>
      <c r="F2124" s="1" t="s">
        <v>1523</v>
      </c>
      <c r="G2124" s="1">
        <v>28</v>
      </c>
      <c r="H2124" s="1" t="s">
        <v>19</v>
      </c>
      <c r="I2124" s="1" t="s">
        <v>424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1223</v>
      </c>
      <c r="D2125" s="1"/>
      <c r="E2125" s="1"/>
      <c r="F2125" s="1" t="s">
        <v>1524</v>
      </c>
      <c r="G2125" s="1">
        <v>44</v>
      </c>
      <c r="H2125" s="1" t="s">
        <v>19</v>
      </c>
      <c r="I2125" s="1" t="s">
        <v>424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1427</v>
      </c>
      <c r="D2126" s="1"/>
      <c r="E2126" s="1"/>
      <c r="F2126" s="1" t="s">
        <v>1525</v>
      </c>
      <c r="G2126" s="1">
        <v>10</v>
      </c>
      <c r="H2126" s="1" t="s">
        <v>19</v>
      </c>
      <c r="I2126" s="1" t="s">
        <v>425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1408</v>
      </c>
      <c r="D2127" s="1"/>
      <c r="E2127" s="1"/>
      <c r="F2127" s="1" t="s">
        <v>1526</v>
      </c>
      <c r="G2127" s="1">
        <v>16</v>
      </c>
      <c r="H2127" s="1" t="s">
        <v>19</v>
      </c>
      <c r="I2127" s="1" t="s">
        <v>426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1429</v>
      </c>
      <c r="D2128" s="1"/>
      <c r="E2128" s="1"/>
      <c r="F2128" s="1" t="s">
        <v>1527</v>
      </c>
      <c r="G2128" s="1">
        <v>32</v>
      </c>
      <c r="H2128" s="1" t="s">
        <v>19</v>
      </c>
      <c r="I2128" s="1" t="s">
        <v>427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1219</v>
      </c>
      <c r="D2129" s="1"/>
      <c r="E2129" s="1"/>
      <c r="F2129" s="1" t="s">
        <v>1528</v>
      </c>
      <c r="G2129" s="1">
        <v>16</v>
      </c>
      <c r="H2129" s="1" t="s">
        <v>19</v>
      </c>
      <c r="I2129" s="1" t="s">
        <v>425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1529</v>
      </c>
      <c r="D2130" s="1"/>
      <c r="E2130" s="1"/>
      <c r="F2130" s="1" t="s">
        <v>1530</v>
      </c>
      <c r="G2130" s="1">
        <v>16</v>
      </c>
      <c r="H2130" s="1" t="s">
        <v>19</v>
      </c>
      <c r="I2130" s="1" t="s">
        <v>426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1433</v>
      </c>
      <c r="D2131" s="1"/>
      <c r="E2131" s="1"/>
      <c r="F2131" s="1" t="s">
        <v>1531</v>
      </c>
      <c r="G2131" s="1">
        <v>16</v>
      </c>
      <c r="H2131" s="1" t="s">
        <v>19</v>
      </c>
      <c r="I2131" s="1" t="s">
        <v>1435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1438</v>
      </c>
      <c r="D2132" s="1"/>
      <c r="E2132" s="1"/>
      <c r="F2132" s="1" t="s">
        <v>1532</v>
      </c>
      <c r="G2132" s="1">
        <v>7</v>
      </c>
      <c r="H2132" s="1" t="s">
        <v>19</v>
      </c>
      <c r="I2132" s="1" t="s">
        <v>427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1469</v>
      </c>
      <c r="D2133" s="1"/>
      <c r="E2133" s="1"/>
      <c r="F2133" s="1" t="s">
        <v>1533</v>
      </c>
      <c r="G2133" s="1">
        <v>20</v>
      </c>
      <c r="H2133" s="1" t="s">
        <v>19</v>
      </c>
      <c r="I2133" s="1" t="s">
        <v>428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1440</v>
      </c>
      <c r="D2134" s="1"/>
      <c r="E2134" s="1"/>
      <c r="F2134" s="1" t="s">
        <v>1534</v>
      </c>
      <c r="G2134" s="1">
        <v>32</v>
      </c>
      <c r="H2134" s="1" t="s">
        <v>19</v>
      </c>
      <c r="I2134" s="1" t="s">
        <v>427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1442</v>
      </c>
      <c r="D2135" s="1"/>
      <c r="E2135" s="1"/>
      <c r="F2135" s="1" t="s">
        <v>1535</v>
      </c>
      <c r="G2135" s="1">
        <v>24</v>
      </c>
      <c r="H2135" s="1" t="s">
        <v>19</v>
      </c>
      <c r="I2135" s="1" t="s">
        <v>427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1311</v>
      </c>
      <c r="D2136" s="1"/>
      <c r="E2136" s="1"/>
      <c r="F2136" s="1" t="s">
        <v>1536</v>
      </c>
      <c r="G2136" s="1">
        <v>24</v>
      </c>
      <c r="H2136" s="1" t="s">
        <v>19</v>
      </c>
      <c r="I2136" s="1" t="s">
        <v>427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1446</v>
      </c>
      <c r="D2137" s="1"/>
      <c r="E2137" s="1"/>
      <c r="F2137" s="1" t="s">
        <v>1537</v>
      </c>
      <c r="G2137" s="1">
        <v>12</v>
      </c>
      <c r="H2137" s="1" t="s">
        <v>19</v>
      </c>
      <c r="I2137" s="1" t="s">
        <v>428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1438</v>
      </c>
      <c r="D2138" s="1"/>
      <c r="E2138" s="1"/>
      <c r="F2138" s="1" t="s">
        <v>1538</v>
      </c>
      <c r="G2138" s="1">
        <v>16</v>
      </c>
      <c r="H2138" s="1" t="s">
        <v>19</v>
      </c>
      <c r="I2138" s="1" t="s">
        <v>427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1415</v>
      </c>
      <c r="D2139" s="1"/>
      <c r="E2139" s="1"/>
      <c r="F2139" s="1" t="s">
        <v>1539</v>
      </c>
      <c r="G2139" s="1">
        <v>8</v>
      </c>
      <c r="H2139" s="1" t="s">
        <v>19</v>
      </c>
      <c r="I2139" s="1" t="s">
        <v>424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1403</v>
      </c>
      <c r="D2140" s="1"/>
      <c r="E2140" s="1"/>
      <c r="F2140" s="1" t="s">
        <v>1540</v>
      </c>
      <c r="G2140" s="1">
        <v>8</v>
      </c>
      <c r="H2140" s="1" t="s">
        <v>19</v>
      </c>
      <c r="I2140" s="1" t="s">
        <v>1405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1413</v>
      </c>
      <c r="D2141" s="1"/>
      <c r="E2141" s="1"/>
      <c r="F2141" s="1" t="s">
        <v>1541</v>
      </c>
      <c r="G2141" s="1">
        <v>12</v>
      </c>
      <c r="H2141" s="1" t="s">
        <v>19</v>
      </c>
      <c r="I2141" s="1" t="s">
        <v>428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1417</v>
      </c>
      <c r="D2142" s="1"/>
      <c r="E2142" s="1"/>
      <c r="F2142" s="1" t="s">
        <v>1542</v>
      </c>
      <c r="G2142" s="1">
        <v>8</v>
      </c>
      <c r="H2142" s="1" t="s">
        <v>19</v>
      </c>
      <c r="I2142" s="1" t="s">
        <v>427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1477</v>
      </c>
      <c r="D2143" s="1"/>
      <c r="E2143" s="1"/>
      <c r="F2143" s="1" t="s">
        <v>1543</v>
      </c>
      <c r="G2143" s="1">
        <v>16</v>
      </c>
      <c r="H2143" s="1" t="s">
        <v>19</v>
      </c>
      <c r="I2143" s="1" t="s">
        <v>1421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1477</v>
      </c>
      <c r="D2144" s="1"/>
      <c r="E2144" s="1"/>
      <c r="F2144" s="1" t="s">
        <v>1543</v>
      </c>
      <c r="G2144" s="1">
        <v>16</v>
      </c>
      <c r="H2144" s="1" t="s">
        <v>19</v>
      </c>
      <c r="I2144" s="1" t="s">
        <v>1421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1422</v>
      </c>
      <c r="D2145" s="1"/>
      <c r="E2145" s="1"/>
      <c r="F2145" s="1" t="s">
        <v>1544</v>
      </c>
      <c r="G2145" s="1">
        <v>16</v>
      </c>
      <c r="H2145" s="1" t="s">
        <v>19</v>
      </c>
      <c r="I2145" s="1" t="s">
        <v>1421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1415</v>
      </c>
      <c r="D2146" s="1"/>
      <c r="E2146" s="1"/>
      <c r="F2146" s="1" t="s">
        <v>1545</v>
      </c>
      <c r="G2146" s="1">
        <v>8</v>
      </c>
      <c r="H2146" s="1" t="s">
        <v>19</v>
      </c>
      <c r="I2146" s="1" t="s">
        <v>424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1403</v>
      </c>
      <c r="D2147" s="1"/>
      <c r="E2147" s="1"/>
      <c r="F2147" s="1" t="s">
        <v>1546</v>
      </c>
      <c r="G2147" s="1">
        <v>8</v>
      </c>
      <c r="H2147" s="1" t="s">
        <v>19</v>
      </c>
      <c r="I2147" s="1" t="s">
        <v>1405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1413</v>
      </c>
      <c r="D2148" s="1"/>
      <c r="E2148" s="1"/>
      <c r="F2148" s="1" t="s">
        <v>1547</v>
      </c>
      <c r="G2148" s="1">
        <v>8</v>
      </c>
      <c r="H2148" s="1" t="s">
        <v>19</v>
      </c>
      <c r="I2148" s="1" t="s">
        <v>428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1417</v>
      </c>
      <c r="D2149" s="1"/>
      <c r="E2149" s="1"/>
      <c r="F2149" s="1" t="s">
        <v>1548</v>
      </c>
      <c r="G2149" s="1">
        <v>8</v>
      </c>
      <c r="H2149" s="1" t="s">
        <v>19</v>
      </c>
      <c r="I2149" s="1" t="s">
        <v>427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1464</v>
      </c>
      <c r="D2150" s="1"/>
      <c r="E2150" s="1"/>
      <c r="F2150" s="1" t="s">
        <v>1549</v>
      </c>
      <c r="G2150" s="1">
        <v>100</v>
      </c>
      <c r="H2150" s="1" t="s">
        <v>19</v>
      </c>
      <c r="I2150" s="1" t="s">
        <v>426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1427</v>
      </c>
      <c r="D2151" s="1"/>
      <c r="E2151" s="1"/>
      <c r="F2151" s="1" t="s">
        <v>1550</v>
      </c>
      <c r="G2151" s="1">
        <v>8</v>
      </c>
      <c r="H2151" s="1" t="s">
        <v>19</v>
      </c>
      <c r="I2151" s="1" t="s">
        <v>425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1408</v>
      </c>
      <c r="D2152" s="1"/>
      <c r="E2152" s="1"/>
      <c r="F2152" s="1" t="s">
        <v>1551</v>
      </c>
      <c r="G2152" s="1">
        <v>8</v>
      </c>
      <c r="H2152" s="1" t="s">
        <v>19</v>
      </c>
      <c r="I2152" s="1" t="s">
        <v>426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1165</v>
      </c>
      <c r="D2153" s="1"/>
      <c r="E2153" s="1" t="s">
        <v>2</v>
      </c>
      <c r="F2153" s="1" t="s">
        <v>1166</v>
      </c>
      <c r="G2153" s="1">
        <v>1</v>
      </c>
      <c r="H2153" s="1" t="s">
        <v>19</v>
      </c>
      <c r="I2153" s="1" t="s">
        <v>424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1165</v>
      </c>
      <c r="D2154" s="1"/>
      <c r="E2154" s="1" t="s">
        <v>44</v>
      </c>
      <c r="F2154" s="1" t="s">
        <v>1167</v>
      </c>
      <c r="G2154" s="1">
        <v>1</v>
      </c>
      <c r="H2154" s="1" t="s">
        <v>19</v>
      </c>
      <c r="I2154" s="1" t="s">
        <v>424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1174</v>
      </c>
      <c r="D2155" s="1"/>
      <c r="E2155" s="1" t="s">
        <v>2</v>
      </c>
      <c r="F2155" s="1" t="s">
        <v>1175</v>
      </c>
      <c r="G2155" s="1">
        <v>1</v>
      </c>
      <c r="H2155" s="1" t="s">
        <v>19</v>
      </c>
      <c r="I2155" s="1" t="s">
        <v>424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1174</v>
      </c>
      <c r="D2156" s="1"/>
      <c r="E2156" s="1" t="s">
        <v>2</v>
      </c>
      <c r="F2156" s="1" t="s">
        <v>1175</v>
      </c>
      <c r="G2156" s="1">
        <v>1</v>
      </c>
      <c r="H2156" s="1" t="s">
        <v>19</v>
      </c>
      <c r="I2156" s="1" t="s">
        <v>425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1174</v>
      </c>
      <c r="D2157" s="1"/>
      <c r="E2157" s="1" t="s">
        <v>2</v>
      </c>
      <c r="F2157" s="1" t="s">
        <v>1175</v>
      </c>
      <c r="G2157" s="1">
        <v>1</v>
      </c>
      <c r="H2157" s="1" t="s">
        <v>19</v>
      </c>
      <c r="I2157" s="1" t="s">
        <v>426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1174</v>
      </c>
      <c r="D2158" s="1"/>
      <c r="E2158" s="1" t="s">
        <v>2</v>
      </c>
      <c r="F2158" s="1" t="s">
        <v>1175</v>
      </c>
      <c r="G2158" s="1">
        <v>1</v>
      </c>
      <c r="H2158" s="1" t="s">
        <v>19</v>
      </c>
      <c r="I2158" s="1" t="s">
        <v>427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1174</v>
      </c>
      <c r="D2159" s="1"/>
      <c r="E2159" s="1" t="s">
        <v>2</v>
      </c>
      <c r="F2159" s="1" t="s">
        <v>1175</v>
      </c>
      <c r="G2159" s="1">
        <v>1</v>
      </c>
      <c r="H2159" s="1" t="s">
        <v>19</v>
      </c>
      <c r="I2159" s="1" t="s">
        <v>428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1174</v>
      </c>
      <c r="D2160" s="1"/>
      <c r="E2160" s="1" t="s">
        <v>44</v>
      </c>
      <c r="F2160" s="1" t="s">
        <v>1176</v>
      </c>
      <c r="G2160" s="1">
        <v>1</v>
      </c>
      <c r="H2160" s="1" t="s">
        <v>19</v>
      </c>
      <c r="I2160" s="1" t="s">
        <v>424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1174</v>
      </c>
      <c r="D2161" s="1"/>
      <c r="E2161" s="1" t="s">
        <v>44</v>
      </c>
      <c r="F2161" s="1" t="s">
        <v>1176</v>
      </c>
      <c r="G2161" s="1">
        <v>1</v>
      </c>
      <c r="H2161" s="1" t="s">
        <v>19</v>
      </c>
      <c r="I2161" s="1" t="s">
        <v>425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1174</v>
      </c>
      <c r="D2162" s="1"/>
      <c r="E2162" s="1" t="s">
        <v>44</v>
      </c>
      <c r="F2162" s="1" t="s">
        <v>1176</v>
      </c>
      <c r="G2162" s="1">
        <v>1</v>
      </c>
      <c r="H2162" s="1" t="s">
        <v>19</v>
      </c>
      <c r="I2162" s="1" t="s">
        <v>426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1174</v>
      </c>
      <c r="D2163" s="1"/>
      <c r="E2163" s="1" t="s">
        <v>44</v>
      </c>
      <c r="F2163" s="1" t="s">
        <v>1176</v>
      </c>
      <c r="G2163" s="1">
        <v>1</v>
      </c>
      <c r="H2163" s="1" t="s">
        <v>19</v>
      </c>
      <c r="I2163" s="1" t="s">
        <v>427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1174</v>
      </c>
      <c r="D2164" s="1"/>
      <c r="E2164" s="1" t="s">
        <v>44</v>
      </c>
      <c r="F2164" s="1" t="s">
        <v>1176</v>
      </c>
      <c r="G2164" s="1">
        <v>1</v>
      </c>
      <c r="H2164" s="1" t="s">
        <v>19</v>
      </c>
      <c r="I2164" s="1" t="s">
        <v>428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1210</v>
      </c>
      <c r="D2165" s="1"/>
      <c r="E2165" s="1" t="s">
        <v>2</v>
      </c>
      <c r="F2165" s="1" t="s">
        <v>1211</v>
      </c>
      <c r="G2165" s="1">
        <v>2</v>
      </c>
      <c r="H2165" s="1" t="s">
        <v>19</v>
      </c>
      <c r="I2165" s="1" t="s">
        <v>428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1210</v>
      </c>
      <c r="D2166" s="1"/>
      <c r="E2166" s="1" t="s">
        <v>44</v>
      </c>
      <c r="F2166" s="1" t="s">
        <v>1212</v>
      </c>
      <c r="G2166" s="1">
        <v>2</v>
      </c>
      <c r="H2166" s="1" t="s">
        <v>19</v>
      </c>
      <c r="I2166" s="1" t="s">
        <v>428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1210</v>
      </c>
      <c r="D2167" s="1"/>
      <c r="E2167" s="1" t="s">
        <v>747</v>
      </c>
      <c r="F2167" s="1" t="s">
        <v>1213</v>
      </c>
      <c r="G2167" s="1">
        <v>2</v>
      </c>
      <c r="H2167" s="1" t="s">
        <v>19</v>
      </c>
      <c r="I2167" s="1" t="s">
        <v>428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1552</v>
      </c>
      <c r="D2168" s="1"/>
      <c r="E2168" s="1"/>
      <c r="F2168" s="1" t="s">
        <v>1553</v>
      </c>
      <c r="G2168" s="1">
        <v>260</v>
      </c>
      <c r="H2168" s="1" t="s">
        <v>19</v>
      </c>
      <c r="I2168" s="1" t="s">
        <v>1554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1552</v>
      </c>
      <c r="D2169" s="1"/>
      <c r="E2169" s="1"/>
      <c r="F2169" s="1" t="s">
        <v>1555</v>
      </c>
      <c r="G2169" s="1">
        <v>260</v>
      </c>
      <c r="H2169" s="1" t="s">
        <v>19</v>
      </c>
      <c r="I2169" s="1" t="s">
        <v>1554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1552</v>
      </c>
      <c r="D2170" s="1"/>
      <c r="E2170" s="1"/>
      <c r="F2170" s="1" t="s">
        <v>1556</v>
      </c>
      <c r="G2170" s="1">
        <v>260</v>
      </c>
      <c r="H2170" s="1" t="s">
        <v>19</v>
      </c>
      <c r="I2170" s="1" t="s">
        <v>1554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1557</v>
      </c>
      <c r="D2171" s="1"/>
      <c r="E2171" s="1"/>
      <c r="F2171" s="1" t="s">
        <v>1558</v>
      </c>
      <c r="G2171" s="1">
        <v>408</v>
      </c>
      <c r="H2171" s="1" t="s">
        <v>19</v>
      </c>
      <c r="I2171" s="1" t="s">
        <v>1559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1560</v>
      </c>
      <c r="D2172" s="1"/>
      <c r="E2172" s="1"/>
      <c r="F2172" s="1" t="s">
        <v>1561</v>
      </c>
      <c r="G2172" s="1">
        <v>174</v>
      </c>
      <c r="H2172" s="1" t="s">
        <v>19</v>
      </c>
      <c r="I2172" s="1" t="s">
        <v>425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1562</v>
      </c>
      <c r="D2173" s="1"/>
      <c r="E2173" s="1"/>
      <c r="F2173" s="1" t="s">
        <v>1563</v>
      </c>
      <c r="G2173" s="1">
        <v>258</v>
      </c>
      <c r="H2173" s="1" t="s">
        <v>19</v>
      </c>
      <c r="I2173" s="1" t="s">
        <v>426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1564</v>
      </c>
      <c r="D2174" s="1"/>
      <c r="E2174" s="1"/>
      <c r="F2174" s="1" t="s">
        <v>1565</v>
      </c>
      <c r="G2174" s="1">
        <v>597</v>
      </c>
      <c r="H2174" s="1" t="s">
        <v>19</v>
      </c>
      <c r="I2174" s="1" t="s">
        <v>428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1566</v>
      </c>
      <c r="D2175" s="1"/>
      <c r="E2175" s="1"/>
      <c r="F2175" s="1" t="s">
        <v>1567</v>
      </c>
      <c r="G2175" s="1">
        <v>362</v>
      </c>
      <c r="H2175" s="1" t="s">
        <v>19</v>
      </c>
      <c r="I2175" s="1" t="s">
        <v>427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1568</v>
      </c>
      <c r="D2176" s="1"/>
      <c r="E2176" s="1"/>
      <c r="F2176" s="1" t="s">
        <v>1569</v>
      </c>
      <c r="G2176" s="1">
        <v>131</v>
      </c>
      <c r="H2176" s="1" t="s">
        <v>19</v>
      </c>
      <c r="I2176" s="1" t="s">
        <v>428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1568</v>
      </c>
      <c r="D2177" s="1"/>
      <c r="E2177" s="1"/>
      <c r="F2177" s="1" t="s">
        <v>1570</v>
      </c>
      <c r="G2177" s="1">
        <v>131</v>
      </c>
      <c r="H2177" s="1" t="s">
        <v>19</v>
      </c>
      <c r="I2177" s="1" t="s">
        <v>428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1568</v>
      </c>
      <c r="D2178" s="1"/>
      <c r="E2178" s="1"/>
      <c r="F2178" s="1" t="s">
        <v>1571</v>
      </c>
      <c r="G2178" s="1">
        <v>131</v>
      </c>
      <c r="H2178" s="1" t="s">
        <v>19</v>
      </c>
      <c r="I2178" s="1" t="s">
        <v>428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1572</v>
      </c>
      <c r="D2179" s="1"/>
      <c r="E2179" s="1"/>
      <c r="F2179" s="1" t="s">
        <v>1573</v>
      </c>
      <c r="G2179" s="1">
        <v>1</v>
      </c>
      <c r="H2179" s="1" t="s">
        <v>19</v>
      </c>
      <c r="I2179" s="1" t="s">
        <v>1574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1572</v>
      </c>
      <c r="D2180" s="1"/>
      <c r="E2180" s="1"/>
      <c r="F2180" s="1" t="s">
        <v>1575</v>
      </c>
      <c r="G2180" s="1">
        <v>1</v>
      </c>
      <c r="H2180" s="1" t="s">
        <v>19</v>
      </c>
      <c r="I2180" s="1" t="s">
        <v>1574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1560</v>
      </c>
      <c r="D2181" s="1"/>
      <c r="E2181" s="1"/>
      <c r="F2181" s="1" t="s">
        <v>1576</v>
      </c>
      <c r="G2181" s="1">
        <v>174</v>
      </c>
      <c r="H2181" s="1" t="s">
        <v>19</v>
      </c>
      <c r="I2181" s="1" t="s">
        <v>425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1562</v>
      </c>
      <c r="D2182" s="1"/>
      <c r="E2182" s="1"/>
      <c r="F2182" s="1" t="s">
        <v>1577</v>
      </c>
      <c r="G2182" s="1">
        <v>258</v>
      </c>
      <c r="H2182" s="1" t="s">
        <v>19</v>
      </c>
      <c r="I2182" s="1" t="s">
        <v>426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1566</v>
      </c>
      <c r="D2183" s="1"/>
      <c r="E2183" s="1"/>
      <c r="F2183" s="1" t="s">
        <v>1578</v>
      </c>
      <c r="G2183" s="1">
        <v>362</v>
      </c>
      <c r="H2183" s="1" t="s">
        <v>19</v>
      </c>
      <c r="I2183" s="1" t="s">
        <v>427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1564</v>
      </c>
      <c r="D2184" s="1"/>
      <c r="E2184" s="1"/>
      <c r="F2184" s="1" t="s">
        <v>1579</v>
      </c>
      <c r="G2184" s="1">
        <v>597</v>
      </c>
      <c r="H2184" s="1" t="s">
        <v>19</v>
      </c>
      <c r="I2184" s="1" t="s">
        <v>428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1557</v>
      </c>
      <c r="D2185" s="1"/>
      <c r="E2185" s="1"/>
      <c r="F2185" s="1" t="s">
        <v>1580</v>
      </c>
      <c r="G2185" s="1">
        <v>408</v>
      </c>
      <c r="H2185" s="1" t="s">
        <v>19</v>
      </c>
      <c r="I2185" s="1" t="s">
        <v>424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1572</v>
      </c>
      <c r="D2186" s="1"/>
      <c r="E2186" s="1"/>
      <c r="F2186" s="1" t="s">
        <v>1581</v>
      </c>
      <c r="G2186" s="1">
        <v>1</v>
      </c>
      <c r="H2186" s="1" t="s">
        <v>19</v>
      </c>
      <c r="I2186" s="1" t="s">
        <v>1574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639</v>
      </c>
      <c r="D2187" s="1"/>
      <c r="E2187" s="1"/>
      <c r="F2187" s="1" t="s">
        <v>1582</v>
      </c>
      <c r="G2187" s="1">
        <v>14</v>
      </c>
      <c r="H2187" s="1" t="s">
        <v>19</v>
      </c>
      <c r="I2187" s="1" t="s">
        <v>426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1583</v>
      </c>
      <c r="D2188" s="1"/>
      <c r="E2188" s="1"/>
      <c r="F2188" s="1" t="s">
        <v>1584</v>
      </c>
      <c r="G2188" s="1">
        <v>20</v>
      </c>
      <c r="H2188" s="1" t="s">
        <v>19</v>
      </c>
      <c r="I2188" s="1" t="s">
        <v>428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1585</v>
      </c>
      <c r="D2189" s="1"/>
      <c r="E2189" s="1"/>
      <c r="F2189" s="1" t="s">
        <v>1586</v>
      </c>
      <c r="G2189" s="1">
        <v>230</v>
      </c>
      <c r="H2189" s="1" t="s">
        <v>19</v>
      </c>
      <c r="I2189" s="1" t="s">
        <v>1587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639</v>
      </c>
      <c r="D2190" s="1"/>
      <c r="E2190" s="1"/>
      <c r="F2190" s="1" t="s">
        <v>1588</v>
      </c>
      <c r="G2190" s="1">
        <v>20</v>
      </c>
      <c r="H2190" s="1" t="s">
        <v>19</v>
      </c>
      <c r="I2190" s="1" t="s">
        <v>426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1583</v>
      </c>
      <c r="D2191" s="1"/>
      <c r="E2191" s="1"/>
      <c r="F2191" s="1" t="s">
        <v>1589</v>
      </c>
      <c r="G2191" s="1">
        <v>20</v>
      </c>
      <c r="H2191" s="1" t="s">
        <v>19</v>
      </c>
      <c r="I2191" s="1" t="s">
        <v>428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1585</v>
      </c>
      <c r="D2192" s="1"/>
      <c r="E2192" s="1"/>
      <c r="F2192" s="1" t="s">
        <v>1590</v>
      </c>
      <c r="G2192" s="1">
        <v>230</v>
      </c>
      <c r="H2192" s="1" t="s">
        <v>19</v>
      </c>
      <c r="I2192" s="1" t="s">
        <v>1587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639</v>
      </c>
      <c r="D2193" s="1"/>
      <c r="E2193" s="1"/>
      <c r="F2193" s="1" t="s">
        <v>1591</v>
      </c>
      <c r="G2193" s="1">
        <v>50</v>
      </c>
      <c r="H2193" s="1" t="s">
        <v>19</v>
      </c>
      <c r="I2193" s="1" t="s">
        <v>426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639</v>
      </c>
      <c r="D2194" s="1"/>
      <c r="E2194" s="1"/>
      <c r="F2194" s="1" t="s">
        <v>1592</v>
      </c>
      <c r="G2194" s="1">
        <v>26</v>
      </c>
      <c r="H2194" s="1" t="s">
        <v>19</v>
      </c>
      <c r="I2194" s="1" t="s">
        <v>426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1583</v>
      </c>
      <c r="D2195" s="1"/>
      <c r="E2195" s="1"/>
      <c r="F2195" s="1" t="s">
        <v>1593</v>
      </c>
      <c r="G2195" s="1">
        <v>40</v>
      </c>
      <c r="H2195" s="1" t="s">
        <v>19</v>
      </c>
      <c r="I2195" s="1" t="s">
        <v>428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1585</v>
      </c>
      <c r="D2196" s="1"/>
      <c r="E2196" s="1"/>
      <c r="F2196" s="1" t="s">
        <v>1594</v>
      </c>
      <c r="G2196" s="1">
        <v>460</v>
      </c>
      <c r="H2196" s="1" t="s">
        <v>19</v>
      </c>
      <c r="I2196" s="1" t="s">
        <v>1587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1595</v>
      </c>
      <c r="D2197" s="1"/>
      <c r="E2197" s="1"/>
      <c r="F2197" s="1" t="s">
        <v>1596</v>
      </c>
      <c r="G2197" s="1">
        <v>6</v>
      </c>
      <c r="H2197" s="1" t="s">
        <v>19</v>
      </c>
      <c r="I2197" s="1" t="s">
        <v>1559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1597</v>
      </c>
      <c r="D2198" s="1"/>
      <c r="E2198" s="1"/>
      <c r="F2198" s="1" t="s">
        <v>1598</v>
      </c>
      <c r="G2198" s="1">
        <v>2</v>
      </c>
      <c r="H2198" s="1" t="s">
        <v>19</v>
      </c>
      <c r="I2198" s="1" t="s">
        <v>1599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1595</v>
      </c>
      <c r="D2199" s="1"/>
      <c r="E2199" s="1"/>
      <c r="F2199" s="1" t="s">
        <v>1600</v>
      </c>
      <c r="G2199" s="1">
        <v>16</v>
      </c>
      <c r="H2199" s="1" t="s">
        <v>19</v>
      </c>
      <c r="I2199" s="1" t="s">
        <v>1559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1557</v>
      </c>
      <c r="D2200" s="1"/>
      <c r="E2200" s="1"/>
      <c r="F2200" s="1" t="s">
        <v>1601</v>
      </c>
      <c r="G2200" s="1">
        <v>48</v>
      </c>
      <c r="H2200" s="1" t="s">
        <v>19</v>
      </c>
      <c r="I2200" s="1" t="s">
        <v>424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1560</v>
      </c>
      <c r="D2201" s="1"/>
      <c r="E2201" s="1"/>
      <c r="F2201" s="1" t="s">
        <v>1602</v>
      </c>
      <c r="G2201" s="1">
        <v>7</v>
      </c>
      <c r="H2201" s="1" t="s">
        <v>19</v>
      </c>
      <c r="I2201" s="1" t="s">
        <v>425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1562</v>
      </c>
      <c r="D2202" s="1"/>
      <c r="E2202" s="1"/>
      <c r="F2202" s="1" t="s">
        <v>1603</v>
      </c>
      <c r="G2202" s="1">
        <v>10</v>
      </c>
      <c r="H2202" s="1" t="s">
        <v>19</v>
      </c>
      <c r="I2202" s="1" t="s">
        <v>426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1566</v>
      </c>
      <c r="D2203" s="1"/>
      <c r="E2203" s="1"/>
      <c r="F2203" s="1" t="s">
        <v>1604</v>
      </c>
      <c r="G2203" s="1">
        <v>24</v>
      </c>
      <c r="H2203" s="1" t="s">
        <v>19</v>
      </c>
      <c r="I2203" s="1" t="s">
        <v>427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1564</v>
      </c>
      <c r="D2204" s="1"/>
      <c r="E2204" s="1"/>
      <c r="F2204" s="1" t="s">
        <v>1605</v>
      </c>
      <c r="G2204" s="1">
        <v>146</v>
      </c>
      <c r="H2204" s="1" t="s">
        <v>19</v>
      </c>
      <c r="I2204" s="1" t="s">
        <v>428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1606</v>
      </c>
      <c r="D2205" s="1"/>
      <c r="E2205" s="1"/>
      <c r="F2205" s="1" t="s">
        <v>1607</v>
      </c>
      <c r="G2205" s="1">
        <v>1</v>
      </c>
      <c r="H2205" s="1" t="s">
        <v>19</v>
      </c>
      <c r="I2205" s="1" t="s">
        <v>1599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1595</v>
      </c>
      <c r="D2206" s="1"/>
      <c r="E2206" s="1"/>
      <c r="F2206" s="1" t="s">
        <v>1608</v>
      </c>
      <c r="G2206" s="1">
        <v>90</v>
      </c>
      <c r="H2206" s="1" t="s">
        <v>19</v>
      </c>
      <c r="I2206" s="1" t="s">
        <v>1559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1609</v>
      </c>
      <c r="D2207" s="1"/>
      <c r="E2207" s="1"/>
      <c r="F2207" s="1" t="s">
        <v>1610</v>
      </c>
      <c r="G2207" s="1">
        <v>40</v>
      </c>
      <c r="H2207" s="1" t="s">
        <v>19</v>
      </c>
      <c r="I2207" s="1" t="s">
        <v>425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1611</v>
      </c>
      <c r="D2208" s="1"/>
      <c r="E2208" s="1"/>
      <c r="F2208" s="1" t="s">
        <v>1612</v>
      </c>
      <c r="G2208" s="1">
        <v>44</v>
      </c>
      <c r="H2208" s="1" t="s">
        <v>19</v>
      </c>
      <c r="I2208" s="1" t="s">
        <v>426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1613</v>
      </c>
      <c r="D2209" s="1"/>
      <c r="E2209" s="1"/>
      <c r="F2209" s="1" t="s">
        <v>1614</v>
      </c>
      <c r="G2209" s="1">
        <v>12</v>
      </c>
      <c r="H2209" s="1" t="s">
        <v>19</v>
      </c>
      <c r="I2209" s="1" t="s">
        <v>425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1611</v>
      </c>
      <c r="D2210" s="1"/>
      <c r="E2210" s="1"/>
      <c r="F2210" s="1" t="s">
        <v>1615</v>
      </c>
      <c r="G2210" s="1">
        <v>12</v>
      </c>
      <c r="H2210" s="1" t="s">
        <v>19</v>
      </c>
      <c r="I2210" s="1" t="s">
        <v>426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1611</v>
      </c>
      <c r="D2211" s="1"/>
      <c r="E2211" s="1"/>
      <c r="F2211" s="1" t="s">
        <v>1615</v>
      </c>
      <c r="G2211" s="1">
        <v>12</v>
      </c>
      <c r="H2211" s="1" t="s">
        <v>19</v>
      </c>
      <c r="I2211" s="1" t="s">
        <v>426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1616</v>
      </c>
      <c r="D2212" s="1"/>
      <c r="E2212" s="1"/>
      <c r="F2212" s="1" t="s">
        <v>1617</v>
      </c>
      <c r="G2212" s="1">
        <v>48</v>
      </c>
      <c r="H2212" s="1" t="s">
        <v>19</v>
      </c>
      <c r="I2212" s="1" t="s">
        <v>427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1597</v>
      </c>
      <c r="D2213" s="1"/>
      <c r="E2213" s="1"/>
      <c r="F2213" s="1" t="s">
        <v>1618</v>
      </c>
      <c r="G2213" s="1">
        <v>2</v>
      </c>
      <c r="H2213" s="1" t="s">
        <v>19</v>
      </c>
      <c r="I2213" s="1" t="s">
        <v>1599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1560</v>
      </c>
      <c r="D2214" s="1"/>
      <c r="E2214" s="1"/>
      <c r="F2214" s="1" t="s">
        <v>1619</v>
      </c>
      <c r="G2214" s="1">
        <v>7</v>
      </c>
      <c r="H2214" s="1" t="s">
        <v>19</v>
      </c>
      <c r="I2214" s="1" t="s">
        <v>425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1560</v>
      </c>
      <c r="D2215" s="1"/>
      <c r="E2215" s="1"/>
      <c r="F2215" s="1" t="s">
        <v>1619</v>
      </c>
      <c r="G2215" s="1">
        <v>48</v>
      </c>
      <c r="H2215" s="1" t="s">
        <v>19</v>
      </c>
      <c r="I2215" s="1" t="s">
        <v>425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1562</v>
      </c>
      <c r="D2216" s="1"/>
      <c r="E2216" s="1"/>
      <c r="F2216" s="1" t="s">
        <v>1620</v>
      </c>
      <c r="G2216" s="1">
        <v>10</v>
      </c>
      <c r="H2216" s="1" t="s">
        <v>19</v>
      </c>
      <c r="I2216" s="1" t="s">
        <v>426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1566</v>
      </c>
      <c r="D2217" s="1"/>
      <c r="E2217" s="1"/>
      <c r="F2217" s="1" t="s">
        <v>1621</v>
      </c>
      <c r="G2217" s="1">
        <v>24</v>
      </c>
      <c r="H2217" s="1" t="s">
        <v>19</v>
      </c>
      <c r="I2217" s="1" t="s">
        <v>427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1564</v>
      </c>
      <c r="D2218" s="1"/>
      <c r="E2218" s="1"/>
      <c r="F2218" s="1" t="s">
        <v>1622</v>
      </c>
      <c r="G2218" s="1">
        <v>146</v>
      </c>
      <c r="H2218" s="1" t="s">
        <v>19</v>
      </c>
      <c r="I2218" s="1" t="s">
        <v>428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1595</v>
      </c>
      <c r="D2219" s="1"/>
      <c r="E2219" s="1"/>
      <c r="F2219" s="1" t="s">
        <v>1623</v>
      </c>
      <c r="G2219" s="1">
        <v>16</v>
      </c>
      <c r="H2219" s="1" t="s">
        <v>19</v>
      </c>
      <c r="I2219" s="1" t="s">
        <v>1559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1597</v>
      </c>
      <c r="D2220" s="1"/>
      <c r="E2220" s="1"/>
      <c r="F2220" s="1" t="s">
        <v>1624</v>
      </c>
      <c r="G2220" s="1">
        <v>2</v>
      </c>
      <c r="H2220" s="1" t="s">
        <v>19</v>
      </c>
      <c r="I2220" s="1" t="s">
        <v>1599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1611</v>
      </c>
      <c r="D2221" s="1"/>
      <c r="E2221" s="1"/>
      <c r="F2221" s="1" t="s">
        <v>1625</v>
      </c>
      <c r="G2221" s="1">
        <v>16</v>
      </c>
      <c r="H2221" s="1" t="s">
        <v>19</v>
      </c>
      <c r="I2221" s="1" t="s">
        <v>426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1609</v>
      </c>
      <c r="D2222" s="1"/>
      <c r="E2222" s="1"/>
      <c r="F2222" s="1" t="s">
        <v>1626</v>
      </c>
      <c r="G2222" s="1">
        <v>12</v>
      </c>
      <c r="H2222" s="1" t="s">
        <v>19</v>
      </c>
      <c r="I2222" s="1" t="s">
        <v>425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1595</v>
      </c>
      <c r="D2223" s="1"/>
      <c r="E2223" s="1"/>
      <c r="F2223" s="1" t="s">
        <v>1627</v>
      </c>
      <c r="G2223" s="1">
        <v>80</v>
      </c>
      <c r="H2223" s="1" t="s">
        <v>19</v>
      </c>
      <c r="I2223" s="1" t="s">
        <v>1559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1613</v>
      </c>
      <c r="D2224" s="1"/>
      <c r="E2224" s="1"/>
      <c r="F2224" s="1" t="s">
        <v>1628</v>
      </c>
      <c r="G2224" s="1">
        <v>12</v>
      </c>
      <c r="H2224" s="1" t="s">
        <v>19</v>
      </c>
      <c r="I2224" s="1" t="s">
        <v>425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1611</v>
      </c>
      <c r="D2225" s="1"/>
      <c r="E2225" s="1"/>
      <c r="F2225" s="1" t="s">
        <v>1629</v>
      </c>
      <c r="G2225" s="1">
        <v>12</v>
      </c>
      <c r="H2225" s="1" t="s">
        <v>19</v>
      </c>
      <c r="I2225" s="1" t="s">
        <v>426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1616</v>
      </c>
      <c r="D2226" s="1"/>
      <c r="E2226" s="1"/>
      <c r="F2226" s="1" t="s">
        <v>1630</v>
      </c>
      <c r="G2226" s="1">
        <v>20</v>
      </c>
      <c r="H2226" s="1" t="s">
        <v>19</v>
      </c>
      <c r="I2226" s="1" t="s">
        <v>427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1595</v>
      </c>
      <c r="D2227" s="1"/>
      <c r="E2227" s="1"/>
      <c r="F2227" s="1" t="s">
        <v>1631</v>
      </c>
      <c r="G2227" s="1">
        <v>16</v>
      </c>
      <c r="H2227" s="1" t="s">
        <v>19</v>
      </c>
      <c r="I2227" s="1" t="s">
        <v>1559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1611</v>
      </c>
      <c r="D2228" s="1"/>
      <c r="E2228" s="1"/>
      <c r="F2228" s="1" t="s">
        <v>1632</v>
      </c>
      <c r="G2228" s="1">
        <v>28</v>
      </c>
      <c r="H2228" s="1" t="s">
        <v>19</v>
      </c>
      <c r="I2228" s="1" t="s">
        <v>426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1609</v>
      </c>
      <c r="D2229" s="1"/>
      <c r="E2229" s="1"/>
      <c r="F2229" s="1" t="s">
        <v>1633</v>
      </c>
      <c r="G2229" s="1">
        <v>28</v>
      </c>
      <c r="H2229" s="1" t="s">
        <v>19</v>
      </c>
      <c r="I2229" s="1" t="s">
        <v>425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1616</v>
      </c>
      <c r="D2230" s="1"/>
      <c r="E2230" s="1"/>
      <c r="F2230" s="1" t="s">
        <v>1634</v>
      </c>
      <c r="G2230" s="1">
        <v>28</v>
      </c>
      <c r="H2230" s="1" t="s">
        <v>19</v>
      </c>
      <c r="I2230" s="1" t="s">
        <v>427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1597</v>
      </c>
      <c r="D2231" s="1"/>
      <c r="E2231" s="1"/>
      <c r="F2231" s="1" t="s">
        <v>1635</v>
      </c>
      <c r="G2231" s="1">
        <v>2</v>
      </c>
      <c r="H2231" s="1" t="s">
        <v>19</v>
      </c>
      <c r="I2231" s="1" t="s">
        <v>1599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1560</v>
      </c>
      <c r="D2232" s="1"/>
      <c r="E2232" s="1"/>
      <c r="F2232" s="1" t="s">
        <v>1636</v>
      </c>
      <c r="G2232" s="1">
        <v>7</v>
      </c>
      <c r="H2232" s="1" t="s">
        <v>19</v>
      </c>
      <c r="I2232" s="1" t="s">
        <v>425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1562</v>
      </c>
      <c r="D2233" s="1"/>
      <c r="E2233" s="1"/>
      <c r="F2233" s="1" t="s">
        <v>1577</v>
      </c>
      <c r="G2233" s="1">
        <v>10</v>
      </c>
      <c r="H2233" s="1" t="s">
        <v>19</v>
      </c>
      <c r="I2233" s="1" t="s">
        <v>426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1566</v>
      </c>
      <c r="D2234" s="1"/>
      <c r="E2234" s="1"/>
      <c r="F2234" s="1" t="s">
        <v>1578</v>
      </c>
      <c r="G2234" s="1">
        <v>24</v>
      </c>
      <c r="H2234" s="1" t="s">
        <v>19</v>
      </c>
      <c r="I2234" s="1" t="s">
        <v>427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1564</v>
      </c>
      <c r="D2235" s="1"/>
      <c r="E2235" s="1"/>
      <c r="F2235" s="1" t="s">
        <v>1579</v>
      </c>
      <c r="G2235" s="1">
        <v>146</v>
      </c>
      <c r="H2235" s="1" t="s">
        <v>19</v>
      </c>
      <c r="I2235" s="1" t="s">
        <v>428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1557</v>
      </c>
      <c r="D2236" s="1"/>
      <c r="E2236" s="1"/>
      <c r="F2236" s="1" t="s">
        <v>1637</v>
      </c>
      <c r="G2236" s="1">
        <v>48</v>
      </c>
      <c r="H2236" s="1" t="s">
        <v>19</v>
      </c>
      <c r="I2236" s="1" t="s">
        <v>424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1595</v>
      </c>
      <c r="D2237" s="1"/>
      <c r="E2237" s="1"/>
      <c r="F2237" s="1" t="s">
        <v>1638</v>
      </c>
      <c r="G2237" s="1">
        <v>16</v>
      </c>
      <c r="H2237" s="1" t="s">
        <v>19</v>
      </c>
      <c r="I2237" s="1" t="s">
        <v>1559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1606</v>
      </c>
      <c r="D2238" s="1"/>
      <c r="E2238" s="1"/>
      <c r="F2238" s="1" t="s">
        <v>1639</v>
      </c>
      <c r="G2238" s="1">
        <v>1</v>
      </c>
      <c r="H2238" s="1" t="s">
        <v>19</v>
      </c>
      <c r="I2238" s="1" t="s">
        <v>1599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1597</v>
      </c>
      <c r="D2239" s="1"/>
      <c r="E2239" s="1"/>
      <c r="F2239" s="1" t="s">
        <v>1640</v>
      </c>
      <c r="G2239" s="1">
        <v>2</v>
      </c>
      <c r="H2239" s="1" t="s">
        <v>19</v>
      </c>
      <c r="I2239" s="1" t="s">
        <v>1599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1609</v>
      </c>
      <c r="D2240" s="1"/>
      <c r="E2240" s="1"/>
      <c r="F2240" s="1" t="s">
        <v>1641</v>
      </c>
      <c r="G2240" s="1">
        <v>40</v>
      </c>
      <c r="H2240" s="1" t="s">
        <v>19</v>
      </c>
      <c r="I2240" s="1" t="s">
        <v>425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1616</v>
      </c>
      <c r="D2241" s="1"/>
      <c r="E2241" s="1"/>
      <c r="F2241" s="1" t="s">
        <v>1642</v>
      </c>
      <c r="G2241" s="1">
        <v>48</v>
      </c>
      <c r="H2241" s="1" t="s">
        <v>19</v>
      </c>
      <c r="I2241" s="1" t="s">
        <v>427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1595</v>
      </c>
      <c r="D2242" s="1"/>
      <c r="E2242" s="1"/>
      <c r="F2242" s="1" t="s">
        <v>1643</v>
      </c>
      <c r="G2242" s="1">
        <v>96</v>
      </c>
      <c r="H2242" s="1" t="s">
        <v>19</v>
      </c>
      <c r="I2242" s="1" t="s">
        <v>1559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1613</v>
      </c>
      <c r="D2243" s="1"/>
      <c r="E2243" s="1"/>
      <c r="F2243" s="1" t="s">
        <v>1644</v>
      </c>
      <c r="G2243" s="1">
        <v>12</v>
      </c>
      <c r="H2243" s="1" t="s">
        <v>19</v>
      </c>
      <c r="I2243" s="1" t="s">
        <v>425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1182</v>
      </c>
      <c r="D2244" s="1"/>
      <c r="E2244" s="1" t="s">
        <v>2</v>
      </c>
      <c r="F2244" s="1" t="s">
        <v>1183</v>
      </c>
      <c r="G2244" s="1">
        <v>1</v>
      </c>
      <c r="H2244" s="1" t="s">
        <v>19</v>
      </c>
      <c r="I2244" s="1" t="s">
        <v>424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1182</v>
      </c>
      <c r="D2245" s="1"/>
      <c r="E2245" s="1" t="s">
        <v>2</v>
      </c>
      <c r="F2245" s="1" t="s">
        <v>1183</v>
      </c>
      <c r="G2245" s="1">
        <v>1</v>
      </c>
      <c r="H2245" s="1" t="s">
        <v>19</v>
      </c>
      <c r="I2245" s="1" t="s">
        <v>428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1182</v>
      </c>
      <c r="D2246" s="1"/>
      <c r="E2246" s="1" t="s">
        <v>44</v>
      </c>
      <c r="F2246" s="1" t="s">
        <v>1184</v>
      </c>
      <c r="G2246" s="1">
        <v>1</v>
      </c>
      <c r="H2246" s="1" t="s">
        <v>19</v>
      </c>
      <c r="I2246" s="1" t="s">
        <v>425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1182</v>
      </c>
      <c r="D2247" s="1"/>
      <c r="E2247" s="1" t="s">
        <v>44</v>
      </c>
      <c r="F2247" s="1" t="s">
        <v>1184</v>
      </c>
      <c r="G2247" s="1">
        <v>1</v>
      </c>
      <c r="H2247" s="1" t="s">
        <v>19</v>
      </c>
      <c r="I2247" s="1" t="s">
        <v>426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1182</v>
      </c>
      <c r="D2248" s="1"/>
      <c r="E2248" s="1" t="s">
        <v>44</v>
      </c>
      <c r="F2248" s="1" t="s">
        <v>1184</v>
      </c>
      <c r="G2248" s="1">
        <v>1</v>
      </c>
      <c r="H2248" s="1" t="s">
        <v>19</v>
      </c>
      <c r="I2248" s="1" t="s">
        <v>427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643</v>
      </c>
      <c r="D2249" s="1"/>
      <c r="E2249" s="1" t="s">
        <v>2</v>
      </c>
      <c r="F2249" s="1" t="s">
        <v>644</v>
      </c>
      <c r="G2249" s="1">
        <v>1</v>
      </c>
      <c r="H2249" s="1" t="s">
        <v>19</v>
      </c>
      <c r="I2249" s="1" t="s">
        <v>428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1164</v>
      </c>
      <c r="D2250" s="1"/>
      <c r="E2250" s="1" t="s">
        <v>747</v>
      </c>
      <c r="F2250" s="1" t="s">
        <v>1168</v>
      </c>
      <c r="G2250" s="1">
        <v>2</v>
      </c>
      <c r="H2250" s="1" t="s">
        <v>19</v>
      </c>
      <c r="I2250" s="1" t="s">
        <v>424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1164</v>
      </c>
      <c r="D2251" s="1"/>
      <c r="E2251" s="1" t="s">
        <v>1102</v>
      </c>
      <c r="F2251" s="1" t="s">
        <v>1169</v>
      </c>
      <c r="G2251" s="1">
        <v>2</v>
      </c>
      <c r="H2251" s="1" t="s">
        <v>19</v>
      </c>
      <c r="I2251" s="1" t="s">
        <v>424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1164</v>
      </c>
      <c r="D2252" s="1"/>
      <c r="E2252" s="1" t="s">
        <v>101</v>
      </c>
      <c r="F2252" s="1" t="s">
        <v>1170</v>
      </c>
      <c r="G2252" s="1">
        <v>1</v>
      </c>
      <c r="H2252" s="1" t="s">
        <v>19</v>
      </c>
      <c r="I2252" s="1" t="s">
        <v>424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1164</v>
      </c>
      <c r="D2253" s="1"/>
      <c r="E2253" s="1" t="s">
        <v>462</v>
      </c>
      <c r="F2253" s="1" t="s">
        <v>1172</v>
      </c>
      <c r="G2253" s="1">
        <v>2</v>
      </c>
      <c r="H2253" s="1" t="s">
        <v>19</v>
      </c>
      <c r="I2253" s="1" t="s">
        <v>424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1164</v>
      </c>
      <c r="D2254" s="1"/>
      <c r="E2254" s="1" t="s">
        <v>465</v>
      </c>
      <c r="F2254" s="1" t="s">
        <v>2316</v>
      </c>
      <c r="G2254" s="1">
        <v>1</v>
      </c>
      <c r="H2254" s="1" t="s">
        <v>19</v>
      </c>
      <c r="I2254" s="1" t="s">
        <v>424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1164</v>
      </c>
      <c r="D2255" s="1"/>
      <c r="E2255" s="1" t="s">
        <v>1104</v>
      </c>
      <c r="F2255" s="1" t="s">
        <v>2317</v>
      </c>
      <c r="G2255" s="1">
        <v>2</v>
      </c>
      <c r="H2255" s="1" t="s">
        <v>19</v>
      </c>
      <c r="I2255" s="1" t="s">
        <v>424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1185</v>
      </c>
      <c r="D2256" s="1"/>
      <c r="E2256" s="1" t="s">
        <v>2</v>
      </c>
      <c r="F2256" s="1" t="s">
        <v>1186</v>
      </c>
      <c r="G2256" s="1">
        <v>2</v>
      </c>
      <c r="H2256" s="1" t="s">
        <v>19</v>
      </c>
      <c r="I2256" s="1" t="s">
        <v>425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1185</v>
      </c>
      <c r="D2257" s="1"/>
      <c r="E2257" s="1" t="s">
        <v>44</v>
      </c>
      <c r="F2257" s="1" t="s">
        <v>1187</v>
      </c>
      <c r="G2257" s="1">
        <v>1</v>
      </c>
      <c r="H2257" s="1" t="s">
        <v>19</v>
      </c>
      <c r="I2257" s="1" t="s">
        <v>425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1185</v>
      </c>
      <c r="D2258" s="1"/>
      <c r="E2258" s="1" t="s">
        <v>747</v>
      </c>
      <c r="F2258" s="1" t="s">
        <v>1188</v>
      </c>
      <c r="G2258" s="1">
        <v>1</v>
      </c>
      <c r="H2258" s="1" t="s">
        <v>19</v>
      </c>
      <c r="I2258" s="1" t="s">
        <v>425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1192</v>
      </c>
      <c r="D2259" s="1"/>
      <c r="E2259" s="1" t="s">
        <v>2</v>
      </c>
      <c r="F2259" s="1" t="s">
        <v>1193</v>
      </c>
      <c r="G2259" s="1">
        <v>2</v>
      </c>
      <c r="H2259" s="1" t="s">
        <v>19</v>
      </c>
      <c r="I2259" s="1" t="s">
        <v>427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1192</v>
      </c>
      <c r="D2260" s="1"/>
      <c r="E2260" s="1" t="s">
        <v>44</v>
      </c>
      <c r="F2260" s="1" t="s">
        <v>1194</v>
      </c>
      <c r="G2260" s="1">
        <v>3</v>
      </c>
      <c r="H2260" s="1" t="s">
        <v>19</v>
      </c>
      <c r="I2260" s="1" t="s">
        <v>427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1192</v>
      </c>
      <c r="D2261" s="1"/>
      <c r="E2261" s="1" t="s">
        <v>747</v>
      </c>
      <c r="F2261" s="1" t="s">
        <v>1195</v>
      </c>
      <c r="G2261" s="1">
        <v>1</v>
      </c>
      <c r="H2261" s="1" t="s">
        <v>19</v>
      </c>
      <c r="I2261" s="1" t="s">
        <v>427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1185</v>
      </c>
      <c r="D2262" s="1"/>
      <c r="E2262" s="1" t="s">
        <v>1102</v>
      </c>
      <c r="F2262" s="1" t="s">
        <v>1196</v>
      </c>
      <c r="G2262" s="1">
        <v>1</v>
      </c>
      <c r="H2262" s="1" t="s">
        <v>19</v>
      </c>
      <c r="I2262" s="1" t="s">
        <v>425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1177</v>
      </c>
      <c r="D2263" s="1"/>
      <c r="E2263" s="1" t="s">
        <v>2</v>
      </c>
      <c r="F2263" s="1" t="s">
        <v>1178</v>
      </c>
      <c r="G2263" s="1">
        <v>2</v>
      </c>
      <c r="H2263" s="1" t="s">
        <v>19</v>
      </c>
      <c r="I2263" s="1" t="s">
        <v>426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1177</v>
      </c>
      <c r="D2264" s="1"/>
      <c r="E2264" s="1" t="s">
        <v>44</v>
      </c>
      <c r="F2264" s="1" t="s">
        <v>1179</v>
      </c>
      <c r="G2264" s="1">
        <v>1</v>
      </c>
      <c r="H2264" s="1" t="s">
        <v>19</v>
      </c>
      <c r="I2264" s="1" t="s">
        <v>426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1177</v>
      </c>
      <c r="D2265" s="1"/>
      <c r="E2265" s="1" t="s">
        <v>747</v>
      </c>
      <c r="F2265" s="1" t="s">
        <v>1180</v>
      </c>
      <c r="G2265" s="1">
        <v>1</v>
      </c>
      <c r="H2265" s="1" t="s">
        <v>19</v>
      </c>
      <c r="I2265" s="1" t="s">
        <v>426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1177</v>
      </c>
      <c r="D2266" s="1"/>
      <c r="E2266" s="1" t="s">
        <v>1102</v>
      </c>
      <c r="F2266" s="1" t="s">
        <v>1181</v>
      </c>
      <c r="G2266" s="1">
        <v>1</v>
      </c>
      <c r="H2266" s="1" t="s">
        <v>19</v>
      </c>
      <c r="I2266" s="1" t="s">
        <v>426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1177</v>
      </c>
      <c r="D2267" s="1"/>
      <c r="E2267" s="1" t="s">
        <v>101</v>
      </c>
      <c r="F2267" s="1" t="s">
        <v>1869</v>
      </c>
      <c r="G2267" s="1">
        <v>1</v>
      </c>
      <c r="H2267" s="1" t="s">
        <v>19</v>
      </c>
      <c r="I2267" s="1" t="s">
        <v>425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1202</v>
      </c>
      <c r="D2268" s="1"/>
      <c r="E2268" s="1" t="s">
        <v>44</v>
      </c>
      <c r="F2268" s="1" t="s">
        <v>1204</v>
      </c>
      <c r="G2268" s="1">
        <v>2</v>
      </c>
      <c r="H2268" s="1" t="s">
        <v>19</v>
      </c>
      <c r="I2268" s="1" t="s">
        <v>426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1202</v>
      </c>
      <c r="D2269" s="1"/>
      <c r="E2269" s="1" t="s">
        <v>747</v>
      </c>
      <c r="F2269" s="1" t="s">
        <v>1205</v>
      </c>
      <c r="G2269" s="1">
        <v>1</v>
      </c>
      <c r="H2269" s="1" t="s">
        <v>19</v>
      </c>
      <c r="I2269" s="1" t="s">
        <v>426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1202</v>
      </c>
      <c r="D2270" s="1"/>
      <c r="E2270" s="1" t="s">
        <v>1102</v>
      </c>
      <c r="F2270" s="1" t="s">
        <v>1206</v>
      </c>
      <c r="G2270" s="1">
        <v>2</v>
      </c>
      <c r="H2270" s="1" t="s">
        <v>19</v>
      </c>
      <c r="I2270" s="1" t="s">
        <v>426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1202</v>
      </c>
      <c r="D2271" s="1"/>
      <c r="E2271" s="1" t="s">
        <v>101</v>
      </c>
      <c r="F2271" s="1" t="s">
        <v>1207</v>
      </c>
      <c r="G2271" s="1">
        <v>1</v>
      </c>
      <c r="H2271" s="1" t="s">
        <v>19</v>
      </c>
      <c r="I2271" s="1" t="s">
        <v>426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1202</v>
      </c>
      <c r="D2272" s="1"/>
      <c r="E2272" s="1" t="s">
        <v>174</v>
      </c>
      <c r="F2272" s="1" t="s">
        <v>1208</v>
      </c>
      <c r="G2272" s="1">
        <v>3</v>
      </c>
      <c r="H2272" s="1" t="s">
        <v>19</v>
      </c>
      <c r="I2272" s="1" t="s">
        <v>426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1202</v>
      </c>
      <c r="D2273" s="1"/>
      <c r="E2273" s="1" t="s">
        <v>462</v>
      </c>
      <c r="F2273" s="1" t="s">
        <v>1209</v>
      </c>
      <c r="G2273" s="1">
        <v>1</v>
      </c>
      <c r="H2273" s="1" t="s">
        <v>19</v>
      </c>
      <c r="I2273" s="1" t="s">
        <v>426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1215</v>
      </c>
      <c r="D2274" s="1"/>
      <c r="E2274" s="1" t="s">
        <v>2</v>
      </c>
      <c r="F2274" s="1" t="s">
        <v>1216</v>
      </c>
      <c r="G2274" s="1">
        <v>1</v>
      </c>
      <c r="H2274" s="1" t="s">
        <v>19</v>
      </c>
      <c r="I2274" s="1" t="s">
        <v>426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1217</v>
      </c>
      <c r="D2275" s="1"/>
      <c r="E2275" s="1" t="s">
        <v>2</v>
      </c>
      <c r="F2275" s="1" t="s">
        <v>1218</v>
      </c>
      <c r="G2275" s="1">
        <v>1</v>
      </c>
      <c r="H2275" s="1" t="s">
        <v>19</v>
      </c>
      <c r="I2275" s="1" t="s">
        <v>426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1221</v>
      </c>
      <c r="D2276" s="1"/>
      <c r="E2276" s="1" t="s">
        <v>2</v>
      </c>
      <c r="F2276" s="1" t="s">
        <v>1222</v>
      </c>
      <c r="G2276" s="1">
        <v>1</v>
      </c>
      <c r="H2276" s="1" t="s">
        <v>19</v>
      </c>
      <c r="I2276" s="1" t="s">
        <v>425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1238</v>
      </c>
      <c r="D2277" s="1"/>
      <c r="E2277" s="1" t="s">
        <v>2</v>
      </c>
      <c r="F2277" s="1" t="s">
        <v>1239</v>
      </c>
      <c r="G2277" s="1">
        <v>1</v>
      </c>
      <c r="H2277" s="1" t="s">
        <v>19</v>
      </c>
      <c r="I2277" s="1" t="s">
        <v>424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1240</v>
      </c>
      <c r="D2278" s="1"/>
      <c r="E2278" s="1" t="s">
        <v>2</v>
      </c>
      <c r="F2278" s="1" t="s">
        <v>1241</v>
      </c>
      <c r="G2278" s="1">
        <v>1</v>
      </c>
      <c r="H2278" s="1" t="s">
        <v>19</v>
      </c>
      <c r="I2278" s="1" t="s">
        <v>424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1242</v>
      </c>
      <c r="D2279" s="1"/>
      <c r="E2279" s="1" t="s">
        <v>2</v>
      </c>
      <c r="F2279" s="1" t="s">
        <v>1243</v>
      </c>
      <c r="G2279" s="1">
        <v>1</v>
      </c>
      <c r="H2279" s="1" t="s">
        <v>19</v>
      </c>
      <c r="I2279" s="1" t="s">
        <v>424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1309</v>
      </c>
      <c r="D2280" s="1"/>
      <c r="E2280" s="1" t="s">
        <v>2</v>
      </c>
      <c r="F2280" s="1" t="s">
        <v>1310</v>
      </c>
      <c r="G2280" s="1">
        <v>1</v>
      </c>
      <c r="H2280" s="1" t="s">
        <v>19</v>
      </c>
      <c r="I2280" s="1" t="s">
        <v>428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1327</v>
      </c>
      <c r="D2281" s="1"/>
      <c r="E2281" s="1" t="s">
        <v>2</v>
      </c>
      <c r="F2281" s="1" t="s">
        <v>1328</v>
      </c>
      <c r="G2281" s="1">
        <v>1</v>
      </c>
      <c r="H2281" s="1" t="s">
        <v>19</v>
      </c>
      <c r="I2281" s="1" t="s">
        <v>427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1329</v>
      </c>
      <c r="D2282" s="1"/>
      <c r="E2282" s="1" t="s">
        <v>2</v>
      </c>
      <c r="F2282" s="1" t="s">
        <v>1330</v>
      </c>
      <c r="G2282" s="1">
        <v>1</v>
      </c>
      <c r="H2282" s="1" t="s">
        <v>19</v>
      </c>
      <c r="I2282" s="1" t="s">
        <v>427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1331</v>
      </c>
      <c r="D2283" s="1"/>
      <c r="E2283" s="1" t="s">
        <v>2</v>
      </c>
      <c r="F2283" s="1" t="s">
        <v>1332</v>
      </c>
      <c r="G2283" s="1">
        <v>1</v>
      </c>
      <c r="H2283" s="1" t="s">
        <v>19</v>
      </c>
      <c r="I2283" s="1" t="s">
        <v>427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1333</v>
      </c>
      <c r="D2284" s="1"/>
      <c r="E2284" s="1" t="s">
        <v>2</v>
      </c>
      <c r="F2284" s="1" t="s">
        <v>1334</v>
      </c>
      <c r="G2284" s="1">
        <v>1</v>
      </c>
      <c r="H2284" s="1" t="s">
        <v>19</v>
      </c>
      <c r="I2284" s="1" t="s">
        <v>427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2318</v>
      </c>
      <c r="D2285" s="1"/>
      <c r="E2285" s="1"/>
      <c r="F2285" s="1" t="s">
        <v>2319</v>
      </c>
      <c r="G2285" s="1">
        <v>1</v>
      </c>
      <c r="H2285" s="1" t="s">
        <v>19</v>
      </c>
      <c r="I2285" s="1" t="s">
        <v>2318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2320</v>
      </c>
      <c r="D2286" s="1"/>
      <c r="E2286" s="1"/>
      <c r="F2286" s="1" t="s">
        <v>2321</v>
      </c>
      <c r="G2286" s="1">
        <v>1</v>
      </c>
      <c r="H2286" s="1" t="s">
        <v>19</v>
      </c>
      <c r="I2286" s="1" t="s">
        <v>2320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2322</v>
      </c>
      <c r="D2287" s="1"/>
      <c r="E2287" s="1"/>
      <c r="F2287" s="1" t="s">
        <v>2323</v>
      </c>
      <c r="G2287" s="1">
        <v>1</v>
      </c>
      <c r="H2287" s="1" t="s">
        <v>19</v>
      </c>
      <c r="I2287" s="1" t="s">
        <v>2322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2324</v>
      </c>
      <c r="D2288" s="1"/>
      <c r="E2288" s="1"/>
      <c r="F2288" s="1" t="s">
        <v>2325</v>
      </c>
      <c r="G2288" s="1">
        <v>1</v>
      </c>
      <c r="H2288" s="1" t="s">
        <v>19</v>
      </c>
      <c r="I2288" s="1" t="s">
        <v>2324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2326</v>
      </c>
      <c r="D2289" s="1"/>
      <c r="E2289" s="1"/>
      <c r="F2289" s="1" t="s">
        <v>2327</v>
      </c>
      <c r="G2289" s="1">
        <v>1</v>
      </c>
      <c r="H2289" s="1" t="s">
        <v>19</v>
      </c>
      <c r="I2289" s="1" t="s">
        <v>2326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2084</v>
      </c>
      <c r="D2290" s="1"/>
      <c r="E2290" s="1"/>
      <c r="F2290" s="1" t="s">
        <v>2328</v>
      </c>
      <c r="G2290" s="1">
        <v>35</v>
      </c>
      <c r="H2290" s="1" t="s">
        <v>1254</v>
      </c>
      <c r="I2290" s="1" t="s">
        <v>2329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2084</v>
      </c>
      <c r="D2291" s="1"/>
      <c r="E2291" s="1"/>
      <c r="F2291" s="1" t="s">
        <v>2330</v>
      </c>
      <c r="G2291" s="1">
        <v>38</v>
      </c>
      <c r="H2291" s="1" t="s">
        <v>1254</v>
      </c>
      <c r="I2291" s="1" t="s">
        <v>2329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2084</v>
      </c>
      <c r="D2292" s="1"/>
      <c r="E2292" s="1"/>
      <c r="F2292" s="1" t="s">
        <v>2331</v>
      </c>
      <c r="G2292" s="1">
        <v>2</v>
      </c>
      <c r="H2292" s="1" t="s">
        <v>19</v>
      </c>
      <c r="I2292" s="1" t="s">
        <v>2329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2084</v>
      </c>
      <c r="D2293" s="1"/>
      <c r="E2293" s="1"/>
      <c r="F2293" s="1" t="s">
        <v>2332</v>
      </c>
      <c r="G2293" s="1">
        <v>6</v>
      </c>
      <c r="H2293" s="1" t="s">
        <v>1254</v>
      </c>
      <c r="I2293" s="1" t="s">
        <v>2329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2084</v>
      </c>
      <c r="D2294" s="1"/>
      <c r="E2294" s="1"/>
      <c r="F2294" s="1" t="s">
        <v>2333</v>
      </c>
      <c r="G2294" s="1">
        <v>3</v>
      </c>
      <c r="H2294" s="1" t="s">
        <v>1254</v>
      </c>
      <c r="I2294" s="1" t="s">
        <v>2329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2084</v>
      </c>
      <c r="D2295" s="1"/>
      <c r="E2295" s="1"/>
      <c r="F2295" s="1" t="s">
        <v>2334</v>
      </c>
      <c r="G2295" s="1">
        <v>18</v>
      </c>
      <c r="H2295" s="1" t="s">
        <v>19</v>
      </c>
      <c r="I2295" s="1" t="s">
        <v>2329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2084</v>
      </c>
      <c r="D2296" s="1"/>
      <c r="E2296" s="1"/>
      <c r="F2296" s="1" t="s">
        <v>2335</v>
      </c>
      <c r="G2296" s="1">
        <v>10</v>
      </c>
      <c r="H2296" s="1" t="s">
        <v>19</v>
      </c>
      <c r="I2296" s="1" t="s">
        <v>2329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2084</v>
      </c>
      <c r="D2297" s="1"/>
      <c r="E2297" s="1"/>
      <c r="F2297" s="1" t="s">
        <v>2336</v>
      </c>
      <c r="G2297" s="1">
        <v>10</v>
      </c>
      <c r="H2297" s="1" t="s">
        <v>19</v>
      </c>
      <c r="I2297" s="1" t="s">
        <v>2329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2084</v>
      </c>
      <c r="D2298" s="1"/>
      <c r="E2298" s="1"/>
      <c r="F2298" s="1" t="s">
        <v>2337</v>
      </c>
      <c r="G2298" s="1">
        <v>6</v>
      </c>
      <c r="H2298" s="1" t="s">
        <v>1254</v>
      </c>
      <c r="I2298" s="1" t="s">
        <v>2329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2084</v>
      </c>
      <c r="D2299" s="1"/>
      <c r="E2299" s="1"/>
      <c r="F2299" s="1" t="s">
        <v>2338</v>
      </c>
      <c r="G2299" s="1">
        <v>2</v>
      </c>
      <c r="H2299" s="1"/>
      <c r="I2299" s="1" t="s">
        <v>2329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2084</v>
      </c>
      <c r="D2300" s="1"/>
      <c r="E2300" s="1"/>
      <c r="F2300" s="1" t="s">
        <v>2339</v>
      </c>
      <c r="G2300" s="1">
        <v>4</v>
      </c>
      <c r="H2300" s="1"/>
      <c r="I2300" s="1" t="s">
        <v>2329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2084</v>
      </c>
      <c r="D2301" s="1"/>
      <c r="E2301" s="1"/>
      <c r="F2301" s="1" t="s">
        <v>2340</v>
      </c>
      <c r="G2301" s="1">
        <v>2</v>
      </c>
      <c r="H2301" s="1"/>
      <c r="I2301" s="1" t="s">
        <v>2329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2084</v>
      </c>
      <c r="D2302" s="1"/>
      <c r="E2302" s="1"/>
      <c r="F2302" s="1" t="s">
        <v>2341</v>
      </c>
      <c r="G2302" s="1">
        <v>4</v>
      </c>
      <c r="H2302" s="1"/>
      <c r="I2302" s="1" t="s">
        <v>2329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2084</v>
      </c>
      <c r="D2303" s="1"/>
      <c r="E2303" s="1"/>
      <c r="F2303" s="1" t="s">
        <v>2342</v>
      </c>
      <c r="G2303" s="1">
        <v>2</v>
      </c>
      <c r="H2303" s="1"/>
      <c r="I2303" s="1" t="s">
        <v>2329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2084</v>
      </c>
      <c r="D2304" s="1"/>
      <c r="E2304" s="1"/>
      <c r="F2304" s="1" t="s">
        <v>2343</v>
      </c>
      <c r="G2304" s="1">
        <v>2</v>
      </c>
      <c r="H2304" s="1"/>
      <c r="I2304" s="1" t="s">
        <v>2329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2084</v>
      </c>
      <c r="D2305" s="1"/>
      <c r="E2305" s="1"/>
      <c r="F2305" s="1" t="s">
        <v>2344</v>
      </c>
      <c r="G2305" s="1">
        <v>3</v>
      </c>
      <c r="H2305" s="1"/>
      <c r="I2305" s="1" t="s">
        <v>2329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2084</v>
      </c>
      <c r="D2306" s="1"/>
      <c r="E2306" s="1"/>
      <c r="F2306" s="1" t="s">
        <v>2345</v>
      </c>
      <c r="G2306" s="1">
        <v>5</v>
      </c>
      <c r="H2306" s="1"/>
      <c r="I2306" s="1" t="s">
        <v>2329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2084</v>
      </c>
      <c r="D2307" s="1"/>
      <c r="E2307" s="1"/>
      <c r="F2307" s="1" t="s">
        <v>2346</v>
      </c>
      <c r="G2307" s="1">
        <v>5</v>
      </c>
      <c r="H2307" s="1"/>
      <c r="I2307" s="1" t="s">
        <v>2329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2084</v>
      </c>
      <c r="D2308" s="1"/>
      <c r="E2308" s="1"/>
      <c r="F2308" s="1" t="s">
        <v>2347</v>
      </c>
      <c r="G2308" s="1">
        <v>2</v>
      </c>
      <c r="H2308" s="1"/>
      <c r="I2308" s="1" t="s">
        <v>2329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2084</v>
      </c>
      <c r="D2309" s="1"/>
      <c r="E2309" s="1"/>
      <c r="F2309" s="1" t="s">
        <v>2348</v>
      </c>
      <c r="G2309" s="1">
        <v>3</v>
      </c>
      <c r="H2309" s="1"/>
      <c r="I2309" s="1" t="s">
        <v>2329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2084</v>
      </c>
      <c r="D2310" s="1"/>
      <c r="E2310" s="1"/>
      <c r="F2310" s="1" t="s">
        <v>2349</v>
      </c>
      <c r="G2310" s="1">
        <v>6</v>
      </c>
      <c r="H2310" s="1"/>
      <c r="I2310" s="1" t="s">
        <v>2329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2093</v>
      </c>
      <c r="D2311" s="1"/>
      <c r="E2311" s="1"/>
      <c r="F2311" s="1" t="s">
        <v>2350</v>
      </c>
      <c r="G2311" s="1">
        <v>10</v>
      </c>
      <c r="H2311" s="1" t="s">
        <v>19</v>
      </c>
      <c r="I2311" s="1" t="s">
        <v>2125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2093</v>
      </c>
      <c r="D2312" s="1"/>
      <c r="E2312" s="1"/>
      <c r="F2312" s="1" t="s">
        <v>2351</v>
      </c>
      <c r="G2312" s="1">
        <v>12</v>
      </c>
      <c r="H2312" s="1" t="s">
        <v>19</v>
      </c>
      <c r="I2312" s="1" t="s">
        <v>2125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2093</v>
      </c>
      <c r="D2313" s="1"/>
      <c r="E2313" s="1"/>
      <c r="F2313" s="1" t="s">
        <v>2352</v>
      </c>
      <c r="G2313" s="1">
        <v>15</v>
      </c>
      <c r="H2313" s="1" t="s">
        <v>19</v>
      </c>
      <c r="I2313" s="1" t="s">
        <v>2125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2093</v>
      </c>
      <c r="D2314" s="1"/>
      <c r="E2314" s="1"/>
      <c r="F2314" s="1" t="s">
        <v>2353</v>
      </c>
      <c r="G2314" s="1">
        <v>30</v>
      </c>
      <c r="H2314" s="1" t="s">
        <v>1254</v>
      </c>
      <c r="I2314" s="1" t="s">
        <v>2125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2093</v>
      </c>
      <c r="D2315" s="1"/>
      <c r="E2315" s="1"/>
      <c r="F2315" s="1" t="s">
        <v>2354</v>
      </c>
      <c r="G2315" s="1">
        <v>6</v>
      </c>
      <c r="H2315" s="1" t="s">
        <v>19</v>
      </c>
      <c r="I2315" s="1" t="s">
        <v>2125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2093</v>
      </c>
      <c r="D2316" s="1"/>
      <c r="E2316" s="1"/>
      <c r="F2316" s="1" t="s">
        <v>2355</v>
      </c>
      <c r="G2316" s="1">
        <v>34</v>
      </c>
      <c r="H2316" s="1" t="s">
        <v>1254</v>
      </c>
      <c r="I2316" s="1" t="s">
        <v>2125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2093</v>
      </c>
      <c r="D2317" s="1"/>
      <c r="E2317" s="1"/>
      <c r="F2317" s="1" t="s">
        <v>2356</v>
      </c>
      <c r="G2317" s="1">
        <v>5</v>
      </c>
      <c r="H2317" s="1" t="s">
        <v>19</v>
      </c>
      <c r="I2317" s="1" t="s">
        <v>2125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2093</v>
      </c>
      <c r="D2318" s="1"/>
      <c r="E2318" s="1"/>
      <c r="F2318" s="1" t="s">
        <v>2357</v>
      </c>
      <c r="G2318" s="1">
        <v>6</v>
      </c>
      <c r="H2318" s="1" t="s">
        <v>1254</v>
      </c>
      <c r="I2318" s="1" t="s">
        <v>2125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2093</v>
      </c>
      <c r="D2319" s="1"/>
      <c r="E2319" s="1"/>
      <c r="F2319" s="1" t="s">
        <v>2358</v>
      </c>
      <c r="G2319" s="1">
        <v>4</v>
      </c>
      <c r="H2319" s="1" t="s">
        <v>1254</v>
      </c>
      <c r="I2319" s="1" t="s">
        <v>2125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2093</v>
      </c>
      <c r="D2320" s="1"/>
      <c r="E2320" s="1"/>
      <c r="F2320" s="1" t="s">
        <v>2359</v>
      </c>
      <c r="G2320" s="1">
        <v>3</v>
      </c>
      <c r="H2320" s="1" t="s">
        <v>19</v>
      </c>
      <c r="I2320" s="1" t="s">
        <v>2125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2093</v>
      </c>
      <c r="D2321" s="1"/>
      <c r="E2321" s="1"/>
      <c r="F2321" s="1" t="s">
        <v>2360</v>
      </c>
      <c r="G2321" s="1">
        <v>2</v>
      </c>
      <c r="H2321" s="1" t="s">
        <v>19</v>
      </c>
      <c r="I2321" s="1" t="s">
        <v>2125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2093</v>
      </c>
      <c r="D2322" s="1"/>
      <c r="E2322" s="1"/>
      <c r="F2322" s="1" t="s">
        <v>2361</v>
      </c>
      <c r="G2322" s="1">
        <v>6</v>
      </c>
      <c r="H2322" s="1" t="s">
        <v>19</v>
      </c>
      <c r="I2322" s="1" t="s">
        <v>2125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2093</v>
      </c>
      <c r="D2323" s="1"/>
      <c r="E2323" s="1"/>
      <c r="F2323" s="1" t="s">
        <v>2362</v>
      </c>
      <c r="G2323" s="1">
        <v>2</v>
      </c>
      <c r="H2323" s="1" t="s">
        <v>19</v>
      </c>
      <c r="I2323" s="1" t="s">
        <v>2125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2093</v>
      </c>
      <c r="D2324" s="1"/>
      <c r="E2324" s="1"/>
      <c r="F2324" s="1" t="s">
        <v>2363</v>
      </c>
      <c r="G2324" s="1">
        <v>6</v>
      </c>
      <c r="H2324" s="1" t="s">
        <v>19</v>
      </c>
      <c r="I2324" s="1" t="s">
        <v>2125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2093</v>
      </c>
      <c r="D2325" s="1"/>
      <c r="E2325" s="1"/>
      <c r="F2325" s="1" t="s">
        <v>2364</v>
      </c>
      <c r="G2325" s="1">
        <v>3</v>
      </c>
      <c r="H2325" s="1" t="s">
        <v>19</v>
      </c>
      <c r="I2325" s="1" t="s">
        <v>2125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2093</v>
      </c>
      <c r="D2326" s="1"/>
      <c r="E2326" s="1"/>
      <c r="F2326" s="1" t="s">
        <v>2365</v>
      </c>
      <c r="G2326" s="1">
        <v>2</v>
      </c>
      <c r="H2326" s="1" t="s">
        <v>19</v>
      </c>
      <c r="I2326" s="1" t="s">
        <v>2125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2093</v>
      </c>
      <c r="D2327" s="1"/>
      <c r="E2327" s="1"/>
      <c r="F2327" s="1" t="s">
        <v>2366</v>
      </c>
      <c r="G2327" s="1">
        <v>2</v>
      </c>
      <c r="H2327" s="1" t="s">
        <v>19</v>
      </c>
      <c r="I2327" s="1" t="s">
        <v>2125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2093</v>
      </c>
      <c r="D2328" s="1"/>
      <c r="E2328" s="1"/>
      <c r="F2328" s="1" t="s">
        <v>2367</v>
      </c>
      <c r="G2328" s="1">
        <v>6</v>
      </c>
      <c r="H2328" s="1" t="s">
        <v>19</v>
      </c>
      <c r="I2328" s="1" t="s">
        <v>2125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2098</v>
      </c>
      <c r="D2329" s="1"/>
      <c r="E2329" s="1"/>
      <c r="F2329" s="1" t="s">
        <v>2368</v>
      </c>
      <c r="G2329" s="1">
        <v>33</v>
      </c>
      <c r="H2329" s="1" t="s">
        <v>1254</v>
      </c>
      <c r="I2329" s="1" t="s">
        <v>2126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2098</v>
      </c>
      <c r="D2330" s="1"/>
      <c r="E2330" s="1"/>
      <c r="F2330" s="1" t="s">
        <v>2369</v>
      </c>
      <c r="G2330" s="1">
        <v>4</v>
      </c>
      <c r="H2330" s="1" t="s">
        <v>1254</v>
      </c>
      <c r="I2330" s="1" t="s">
        <v>2126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2098</v>
      </c>
      <c r="D2331" s="1"/>
      <c r="E2331" s="1"/>
      <c r="F2331" s="1" t="s">
        <v>2370</v>
      </c>
      <c r="G2331" s="1">
        <v>36</v>
      </c>
      <c r="H2331" s="1" t="s">
        <v>1254</v>
      </c>
      <c r="I2331" s="1" t="s">
        <v>2126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2098</v>
      </c>
      <c r="D2332" s="1"/>
      <c r="E2332" s="1"/>
      <c r="F2332" s="1" t="s">
        <v>2371</v>
      </c>
      <c r="G2332" s="1">
        <v>5</v>
      </c>
      <c r="H2332" s="1" t="s">
        <v>19</v>
      </c>
      <c r="I2332" s="1" t="s">
        <v>2126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2098</v>
      </c>
      <c r="D2333" s="1"/>
      <c r="E2333" s="1"/>
      <c r="F2333" s="1" t="s">
        <v>2372</v>
      </c>
      <c r="G2333" s="1">
        <v>15</v>
      </c>
      <c r="H2333" s="1" t="s">
        <v>19</v>
      </c>
      <c r="I2333" s="1" t="s">
        <v>2126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2098</v>
      </c>
      <c r="D2334" s="1"/>
      <c r="E2334" s="1"/>
      <c r="F2334" s="1" t="s">
        <v>2373</v>
      </c>
      <c r="G2334" s="1">
        <v>10</v>
      </c>
      <c r="H2334" s="1" t="s">
        <v>19</v>
      </c>
      <c r="I2334" s="1" t="s">
        <v>2126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2098</v>
      </c>
      <c r="D2335" s="1"/>
      <c r="E2335" s="1"/>
      <c r="F2335" s="1" t="s">
        <v>2374</v>
      </c>
      <c r="G2335" s="1">
        <v>10</v>
      </c>
      <c r="H2335" s="1" t="s">
        <v>19</v>
      </c>
      <c r="I2335" s="1" t="s">
        <v>2126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2098</v>
      </c>
      <c r="D2336" s="1"/>
      <c r="E2336" s="1"/>
      <c r="F2336" s="1" t="s">
        <v>2375</v>
      </c>
      <c r="G2336" s="1">
        <v>6</v>
      </c>
      <c r="H2336" s="1" t="s">
        <v>1254</v>
      </c>
      <c r="I2336" s="1" t="s">
        <v>2126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2098</v>
      </c>
      <c r="D2337" s="1"/>
      <c r="E2337" s="1"/>
      <c r="F2337" s="1" t="s">
        <v>2376</v>
      </c>
      <c r="G2337" s="1">
        <v>2</v>
      </c>
      <c r="H2337" s="1" t="s">
        <v>19</v>
      </c>
      <c r="I2337" s="1" t="s">
        <v>2126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2098</v>
      </c>
      <c r="D2338" s="1"/>
      <c r="E2338" s="1"/>
      <c r="F2338" s="1" t="s">
        <v>2377</v>
      </c>
      <c r="G2338" s="1">
        <v>6</v>
      </c>
      <c r="H2338" s="1" t="s">
        <v>1254</v>
      </c>
      <c r="I2338" s="1" t="s">
        <v>2126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2098</v>
      </c>
      <c r="D2339" s="1"/>
      <c r="E2339" s="1"/>
      <c r="F2339" s="1" t="s">
        <v>2378</v>
      </c>
      <c r="G2339" s="1">
        <v>3</v>
      </c>
      <c r="H2339" s="1" t="s">
        <v>19</v>
      </c>
      <c r="I2339" s="1" t="s">
        <v>2126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2098</v>
      </c>
      <c r="D2340" s="1"/>
      <c r="E2340" s="1"/>
      <c r="F2340" s="1" t="s">
        <v>2379</v>
      </c>
      <c r="G2340" s="1">
        <v>2</v>
      </c>
      <c r="H2340" s="1" t="s">
        <v>19</v>
      </c>
      <c r="I2340" s="1" t="s">
        <v>2126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2098</v>
      </c>
      <c r="D2341" s="1"/>
      <c r="E2341" s="1"/>
      <c r="F2341" s="1" t="s">
        <v>2380</v>
      </c>
      <c r="G2341" s="1">
        <v>5</v>
      </c>
      <c r="H2341" s="1" t="s">
        <v>19</v>
      </c>
      <c r="I2341" s="1" t="s">
        <v>2126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2098</v>
      </c>
      <c r="D2342" s="1"/>
      <c r="E2342" s="1"/>
      <c r="F2342" s="1" t="s">
        <v>2381</v>
      </c>
      <c r="G2342" s="1">
        <v>2</v>
      </c>
      <c r="H2342" s="1" t="s">
        <v>19</v>
      </c>
      <c r="I2342" s="1" t="s">
        <v>2126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2098</v>
      </c>
      <c r="D2343" s="1"/>
      <c r="E2343" s="1"/>
      <c r="F2343" s="1" t="s">
        <v>2382</v>
      </c>
      <c r="G2343" s="1">
        <v>5</v>
      </c>
      <c r="H2343" s="1" t="s">
        <v>19</v>
      </c>
      <c r="I2343" s="1" t="s">
        <v>2126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2098</v>
      </c>
      <c r="D2344" s="1"/>
      <c r="E2344" s="1"/>
      <c r="F2344" s="1" t="s">
        <v>2383</v>
      </c>
      <c r="G2344" s="1">
        <v>2</v>
      </c>
      <c r="H2344" s="1" t="s">
        <v>19</v>
      </c>
      <c r="I2344" s="1" t="s">
        <v>2126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2098</v>
      </c>
      <c r="D2345" s="1"/>
      <c r="E2345" s="1"/>
      <c r="F2345" s="1" t="s">
        <v>2384</v>
      </c>
      <c r="G2345" s="1">
        <v>2</v>
      </c>
      <c r="H2345" s="1" t="s">
        <v>19</v>
      </c>
      <c r="I2345" s="1" t="s">
        <v>2126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2098</v>
      </c>
      <c r="D2346" s="1"/>
      <c r="E2346" s="1"/>
      <c r="F2346" s="1" t="s">
        <v>2385</v>
      </c>
      <c r="G2346" s="1">
        <v>2</v>
      </c>
      <c r="H2346" s="1" t="s">
        <v>19</v>
      </c>
      <c r="I2346" s="1" t="s">
        <v>2126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2098</v>
      </c>
      <c r="D2347" s="1"/>
      <c r="E2347" s="1"/>
      <c r="F2347" s="1" t="s">
        <v>2386</v>
      </c>
      <c r="G2347" s="1">
        <v>2</v>
      </c>
      <c r="H2347" s="1" t="s">
        <v>19</v>
      </c>
      <c r="I2347" s="1" t="s">
        <v>2126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2098</v>
      </c>
      <c r="D2348" s="1"/>
      <c r="E2348" s="1"/>
      <c r="F2348" s="1" t="s">
        <v>2387</v>
      </c>
      <c r="G2348" s="1">
        <v>4</v>
      </c>
      <c r="H2348" s="1" t="s">
        <v>19</v>
      </c>
      <c r="I2348" s="1" t="s">
        <v>2126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2098</v>
      </c>
      <c r="D2349" s="1"/>
      <c r="E2349" s="1"/>
      <c r="F2349" s="1" t="s">
        <v>2388</v>
      </c>
      <c r="G2349" s="1">
        <v>2</v>
      </c>
      <c r="H2349" s="1" t="s">
        <v>19</v>
      </c>
      <c r="I2349" s="1" t="s">
        <v>2126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2098</v>
      </c>
      <c r="D2350" s="1"/>
      <c r="E2350" s="1"/>
      <c r="F2350" s="1" t="s">
        <v>2389</v>
      </c>
      <c r="G2350" s="1">
        <v>3</v>
      </c>
      <c r="H2350" s="1" t="s">
        <v>19</v>
      </c>
      <c r="I2350" s="1" t="s">
        <v>2126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2104</v>
      </c>
      <c r="D2351" s="1"/>
      <c r="E2351" s="1"/>
      <c r="F2351" s="1" t="s">
        <v>2390</v>
      </c>
      <c r="G2351" s="1">
        <v>3</v>
      </c>
      <c r="H2351" s="1" t="s">
        <v>19</v>
      </c>
      <c r="I2351" s="1" t="s">
        <v>2127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2104</v>
      </c>
      <c r="D2352" s="1"/>
      <c r="E2352" s="1"/>
      <c r="F2352" s="1" t="s">
        <v>2391</v>
      </c>
      <c r="G2352" s="1">
        <v>2</v>
      </c>
      <c r="H2352" s="1" t="s">
        <v>19</v>
      </c>
      <c r="I2352" s="1" t="s">
        <v>2127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2104</v>
      </c>
      <c r="D2353" s="1"/>
      <c r="E2353" s="1"/>
      <c r="F2353" s="1" t="s">
        <v>2392</v>
      </c>
      <c r="G2353" s="1">
        <v>4</v>
      </c>
      <c r="H2353" s="1" t="s">
        <v>19</v>
      </c>
      <c r="I2353" s="1" t="s">
        <v>2127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2104</v>
      </c>
      <c r="D2354" s="1"/>
      <c r="E2354" s="1"/>
      <c r="F2354" s="1" t="s">
        <v>2393</v>
      </c>
      <c r="G2354" s="1">
        <v>2</v>
      </c>
      <c r="H2354" s="1" t="s">
        <v>19</v>
      </c>
      <c r="I2354" s="1" t="s">
        <v>2127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2104</v>
      </c>
      <c r="D2355" s="1"/>
      <c r="E2355" s="1"/>
      <c r="F2355" s="1" t="s">
        <v>2394</v>
      </c>
      <c r="G2355" s="1">
        <v>3</v>
      </c>
      <c r="H2355" s="1" t="s">
        <v>19</v>
      </c>
      <c r="I2355" s="1" t="s">
        <v>2127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2104</v>
      </c>
      <c r="D2356" s="1"/>
      <c r="E2356" s="1"/>
      <c r="F2356" s="1" t="s">
        <v>2395</v>
      </c>
      <c r="G2356" s="1">
        <v>6</v>
      </c>
      <c r="H2356" s="1" t="s">
        <v>19</v>
      </c>
      <c r="I2356" s="1" t="s">
        <v>2127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2104</v>
      </c>
      <c r="D2357" s="1"/>
      <c r="E2357" s="1"/>
      <c r="F2357" s="1" t="s">
        <v>2396</v>
      </c>
      <c r="G2357" s="1">
        <v>2</v>
      </c>
      <c r="H2357" s="1" t="s">
        <v>19</v>
      </c>
      <c r="I2357" s="1" t="s">
        <v>2127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2104</v>
      </c>
      <c r="D2358" s="1"/>
      <c r="E2358" s="1"/>
      <c r="F2358" s="1" t="s">
        <v>2397</v>
      </c>
      <c r="G2358" s="1">
        <v>2</v>
      </c>
      <c r="H2358" s="1" t="s">
        <v>19</v>
      </c>
      <c r="I2358" s="1" t="s">
        <v>2127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2104</v>
      </c>
      <c r="D2359" s="1"/>
      <c r="E2359" s="1"/>
      <c r="F2359" s="1" t="s">
        <v>2398</v>
      </c>
      <c r="G2359" s="1">
        <v>2</v>
      </c>
      <c r="H2359" s="1" t="s">
        <v>19</v>
      </c>
      <c r="I2359" s="1" t="s">
        <v>2127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2104</v>
      </c>
      <c r="D2360" s="1"/>
      <c r="E2360" s="1"/>
      <c r="F2360" s="1" t="s">
        <v>2399</v>
      </c>
      <c r="G2360" s="1">
        <v>2</v>
      </c>
      <c r="H2360" s="1" t="s">
        <v>19</v>
      </c>
      <c r="I2360" s="1" t="s">
        <v>2127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2104</v>
      </c>
      <c r="D2361" s="1"/>
      <c r="E2361" s="1"/>
      <c r="F2361" s="1" t="s">
        <v>2400</v>
      </c>
      <c r="G2361" s="1">
        <v>6</v>
      </c>
      <c r="H2361" s="1" t="s">
        <v>19</v>
      </c>
      <c r="I2361" s="1" t="s">
        <v>2127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2104</v>
      </c>
      <c r="D2362" s="1"/>
      <c r="E2362" s="1"/>
      <c r="F2362" s="1" t="s">
        <v>2401</v>
      </c>
      <c r="G2362" s="1">
        <v>2</v>
      </c>
      <c r="H2362" s="1" t="s">
        <v>19</v>
      </c>
      <c r="I2362" s="1" t="s">
        <v>2127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2104</v>
      </c>
      <c r="D2363" s="1"/>
      <c r="E2363" s="1"/>
      <c r="F2363" s="1" t="s">
        <v>2402</v>
      </c>
      <c r="G2363" s="1">
        <v>2</v>
      </c>
      <c r="H2363" s="1" t="s">
        <v>19</v>
      </c>
      <c r="I2363" s="1" t="s">
        <v>2127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2104</v>
      </c>
      <c r="D2364" s="1"/>
      <c r="E2364" s="1"/>
      <c r="F2364" s="1" t="s">
        <v>2403</v>
      </c>
      <c r="G2364" s="1">
        <v>4</v>
      </c>
      <c r="H2364" s="1" t="s">
        <v>1254</v>
      </c>
      <c r="I2364" s="1" t="s">
        <v>2127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2104</v>
      </c>
      <c r="D2365" s="1"/>
      <c r="E2365" s="1"/>
      <c r="F2365" s="1" t="s">
        <v>2404</v>
      </c>
      <c r="G2365" s="1">
        <v>15</v>
      </c>
      <c r="H2365" s="1" t="s">
        <v>19</v>
      </c>
      <c r="I2365" s="1" t="s">
        <v>2127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2104</v>
      </c>
      <c r="D2366" s="1"/>
      <c r="E2366" s="1"/>
      <c r="F2366" s="1" t="s">
        <v>2405</v>
      </c>
      <c r="G2366" s="1">
        <v>10</v>
      </c>
      <c r="H2366" s="1" t="s">
        <v>19</v>
      </c>
      <c r="I2366" s="1" t="s">
        <v>2127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2104</v>
      </c>
      <c r="D2367" s="1"/>
      <c r="E2367" s="1"/>
      <c r="F2367" s="1" t="s">
        <v>2406</v>
      </c>
      <c r="G2367" s="1">
        <v>18</v>
      </c>
      <c r="H2367" s="1" t="s">
        <v>19</v>
      </c>
      <c r="I2367" s="1" t="s">
        <v>2127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2104</v>
      </c>
      <c r="D2368" s="1"/>
      <c r="E2368" s="1"/>
      <c r="F2368" s="1" t="s">
        <v>2353</v>
      </c>
      <c r="G2368" s="1">
        <v>35</v>
      </c>
      <c r="H2368" s="1" t="s">
        <v>1254</v>
      </c>
      <c r="I2368" s="1" t="s">
        <v>2127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2104</v>
      </c>
      <c r="D2369" s="1"/>
      <c r="E2369" s="1"/>
      <c r="F2369" s="1" t="s">
        <v>2407</v>
      </c>
      <c r="G2369" s="1">
        <v>36</v>
      </c>
      <c r="H2369" s="1" t="s">
        <v>1254</v>
      </c>
      <c r="I2369" s="1" t="s">
        <v>2127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2104</v>
      </c>
      <c r="D2370" s="1"/>
      <c r="E2370" s="1"/>
      <c r="F2370" s="1" t="s">
        <v>2408</v>
      </c>
      <c r="G2370" s="1">
        <v>2</v>
      </c>
      <c r="H2370" s="1" t="s">
        <v>19</v>
      </c>
      <c r="I2370" s="1" t="s">
        <v>2127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2104</v>
      </c>
      <c r="D2371" s="1"/>
      <c r="E2371" s="1"/>
      <c r="F2371" s="1" t="s">
        <v>2409</v>
      </c>
      <c r="G2371" s="1">
        <v>6</v>
      </c>
      <c r="H2371" s="1" t="s">
        <v>1254</v>
      </c>
      <c r="I2371" s="1" t="s">
        <v>2127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2104</v>
      </c>
      <c r="D2372" s="1"/>
      <c r="E2372" s="1"/>
      <c r="F2372" s="1" t="s">
        <v>2410</v>
      </c>
      <c r="G2372" s="1">
        <v>6</v>
      </c>
      <c r="H2372" s="1" t="s">
        <v>1254</v>
      </c>
      <c r="I2372" s="1" t="s">
        <v>2127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2104</v>
      </c>
      <c r="D2373" s="1"/>
      <c r="E2373" s="1"/>
      <c r="F2373" s="1" t="s">
        <v>2411</v>
      </c>
      <c r="G2373" s="1">
        <v>5</v>
      </c>
      <c r="H2373" s="1" t="s">
        <v>1254</v>
      </c>
      <c r="I2373" s="1" t="s">
        <v>2127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2109</v>
      </c>
      <c r="D2374" s="1"/>
      <c r="E2374" s="1"/>
      <c r="F2374" s="1" t="s">
        <v>2412</v>
      </c>
      <c r="G2374" s="1">
        <v>50</v>
      </c>
      <c r="H2374" s="1" t="s">
        <v>1254</v>
      </c>
      <c r="I2374" s="1" t="s">
        <v>2413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2109</v>
      </c>
      <c r="D2375" s="1"/>
      <c r="E2375" s="1"/>
      <c r="F2375" s="1" t="s">
        <v>2414</v>
      </c>
      <c r="G2375" s="1">
        <v>4</v>
      </c>
      <c r="H2375" s="1" t="s">
        <v>1254</v>
      </c>
      <c r="I2375" s="1" t="s">
        <v>2413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2109</v>
      </c>
      <c r="D2376" s="1"/>
      <c r="E2376" s="1"/>
      <c r="F2376" s="1" t="s">
        <v>2415</v>
      </c>
      <c r="G2376" s="1">
        <v>52</v>
      </c>
      <c r="H2376" s="1" t="s">
        <v>1254</v>
      </c>
      <c r="I2376" s="1" t="s">
        <v>2413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2109</v>
      </c>
      <c r="D2377" s="1"/>
      <c r="E2377" s="1"/>
      <c r="F2377" s="1" t="s">
        <v>2416</v>
      </c>
      <c r="G2377" s="1">
        <v>5</v>
      </c>
      <c r="H2377" s="1" t="s">
        <v>19</v>
      </c>
      <c r="I2377" s="1" t="s">
        <v>2413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2109</v>
      </c>
      <c r="D2378" s="1"/>
      <c r="E2378" s="1"/>
      <c r="F2378" s="1" t="s">
        <v>2417</v>
      </c>
      <c r="G2378" s="1">
        <v>20</v>
      </c>
      <c r="H2378" s="1" t="s">
        <v>19</v>
      </c>
      <c r="I2378" s="1" t="s">
        <v>2413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2109</v>
      </c>
      <c r="D2379" s="1"/>
      <c r="E2379" s="1"/>
      <c r="F2379" s="1" t="s">
        <v>2418</v>
      </c>
      <c r="G2379" s="1">
        <v>6</v>
      </c>
      <c r="H2379" s="1" t="s">
        <v>19</v>
      </c>
      <c r="I2379" s="1" t="s">
        <v>2413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2109</v>
      </c>
      <c r="D2380" s="1"/>
      <c r="E2380" s="1"/>
      <c r="F2380" s="1" t="s">
        <v>2419</v>
      </c>
      <c r="G2380" s="1">
        <v>15</v>
      </c>
      <c r="H2380" s="1" t="s">
        <v>19</v>
      </c>
      <c r="I2380" s="1" t="s">
        <v>2413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2109</v>
      </c>
      <c r="D2381" s="1"/>
      <c r="E2381" s="1"/>
      <c r="F2381" s="1" t="s">
        <v>2420</v>
      </c>
      <c r="G2381" s="1">
        <v>6</v>
      </c>
      <c r="H2381" s="1" t="s">
        <v>1254</v>
      </c>
      <c r="I2381" s="1" t="s">
        <v>2413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2109</v>
      </c>
      <c r="D2382" s="1"/>
      <c r="E2382" s="1"/>
      <c r="F2382" s="1" t="s">
        <v>2421</v>
      </c>
      <c r="G2382" s="1">
        <v>2</v>
      </c>
      <c r="H2382" s="1" t="s">
        <v>19</v>
      </c>
      <c r="I2382" s="1" t="s">
        <v>2413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2109</v>
      </c>
      <c r="D2383" s="1"/>
      <c r="E2383" s="1"/>
      <c r="F2383" s="1" t="s">
        <v>2422</v>
      </c>
      <c r="G2383" s="1">
        <v>10</v>
      </c>
      <c r="H2383" s="1" t="s">
        <v>1254</v>
      </c>
      <c r="I2383" s="1" t="s">
        <v>2413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2109</v>
      </c>
      <c r="D2384" s="1"/>
      <c r="E2384" s="1"/>
      <c r="F2384" s="1" t="s">
        <v>2423</v>
      </c>
      <c r="G2384" s="1">
        <v>2</v>
      </c>
      <c r="H2384" s="1" t="s">
        <v>19</v>
      </c>
      <c r="I2384" s="1" t="s">
        <v>2413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2109</v>
      </c>
      <c r="D2385" s="1"/>
      <c r="E2385" s="1"/>
      <c r="F2385" s="1" t="s">
        <v>2424</v>
      </c>
      <c r="G2385" s="1">
        <v>3</v>
      </c>
      <c r="H2385" s="1" t="s">
        <v>19</v>
      </c>
      <c r="I2385" s="1" t="s">
        <v>2413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2109</v>
      </c>
      <c r="D2386" s="1"/>
      <c r="E2386" s="1"/>
      <c r="F2386" s="1" t="s">
        <v>2425</v>
      </c>
      <c r="G2386" s="1">
        <v>2</v>
      </c>
      <c r="H2386" s="1" t="s">
        <v>19</v>
      </c>
      <c r="I2386" s="1" t="s">
        <v>2413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2109</v>
      </c>
      <c r="D2387" s="1"/>
      <c r="E2387" s="1"/>
      <c r="F2387" s="1" t="s">
        <v>2426</v>
      </c>
      <c r="G2387" s="1">
        <v>5</v>
      </c>
      <c r="H2387" s="1" t="s">
        <v>19</v>
      </c>
      <c r="I2387" s="1" t="s">
        <v>2413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2109</v>
      </c>
      <c r="D2388" s="1"/>
      <c r="E2388" s="1"/>
      <c r="F2388" s="1" t="s">
        <v>2427</v>
      </c>
      <c r="G2388" s="1">
        <v>2</v>
      </c>
      <c r="H2388" s="1" t="s">
        <v>19</v>
      </c>
      <c r="I2388" s="1" t="s">
        <v>2413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2109</v>
      </c>
      <c r="D2389" s="1"/>
      <c r="E2389" s="1"/>
      <c r="F2389" s="1" t="s">
        <v>2428</v>
      </c>
      <c r="G2389" s="1">
        <v>5</v>
      </c>
      <c r="H2389" s="1" t="s">
        <v>19</v>
      </c>
      <c r="I2389" s="1" t="s">
        <v>2413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2109</v>
      </c>
      <c r="D2390" s="1"/>
      <c r="E2390" s="1"/>
      <c r="F2390" s="1" t="s">
        <v>2429</v>
      </c>
      <c r="G2390" s="1">
        <v>2</v>
      </c>
      <c r="H2390" s="1" t="s">
        <v>19</v>
      </c>
      <c r="I2390" s="1" t="s">
        <v>2413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2109</v>
      </c>
      <c r="D2391" s="1"/>
      <c r="E2391" s="1"/>
      <c r="F2391" s="1" t="s">
        <v>2430</v>
      </c>
      <c r="G2391" s="1">
        <v>2</v>
      </c>
      <c r="H2391" s="1" t="s">
        <v>19</v>
      </c>
      <c r="I2391" s="1" t="s">
        <v>2413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2109</v>
      </c>
      <c r="D2392" s="1"/>
      <c r="E2392" s="1"/>
      <c r="F2392" s="1" t="s">
        <v>2431</v>
      </c>
      <c r="G2392" s="1">
        <v>2</v>
      </c>
      <c r="H2392" s="1" t="s">
        <v>19</v>
      </c>
      <c r="I2392" s="1" t="s">
        <v>2413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2109</v>
      </c>
      <c r="D2393" s="1"/>
      <c r="E2393" s="1"/>
      <c r="F2393" s="1" t="s">
        <v>2432</v>
      </c>
      <c r="G2393" s="1">
        <v>2</v>
      </c>
      <c r="H2393" s="1" t="s">
        <v>19</v>
      </c>
      <c r="I2393" s="1" t="s">
        <v>2413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2109</v>
      </c>
      <c r="D2394" s="1"/>
      <c r="E2394" s="1"/>
      <c r="F2394" s="1" t="s">
        <v>2433</v>
      </c>
      <c r="G2394" s="1">
        <v>4</v>
      </c>
      <c r="H2394" s="1" t="s">
        <v>19</v>
      </c>
      <c r="I2394" s="1" t="s">
        <v>2413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2109</v>
      </c>
      <c r="D2395" s="1"/>
      <c r="E2395" s="1"/>
      <c r="F2395" s="1" t="s">
        <v>2434</v>
      </c>
      <c r="G2395" s="1">
        <v>2</v>
      </c>
      <c r="H2395" s="1" t="s">
        <v>19</v>
      </c>
      <c r="I2395" s="1" t="s">
        <v>2413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2109</v>
      </c>
      <c r="D2396" s="1"/>
      <c r="E2396" s="1"/>
      <c r="F2396" s="1" t="s">
        <v>2435</v>
      </c>
      <c r="G2396" s="1">
        <v>3</v>
      </c>
      <c r="H2396" s="1" t="s">
        <v>19</v>
      </c>
      <c r="I2396" s="1" t="s">
        <v>2413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1136</v>
      </c>
      <c r="D2397" s="1"/>
      <c r="E2397" s="1" t="s">
        <v>2</v>
      </c>
      <c r="F2397" s="1" t="s">
        <v>1357</v>
      </c>
      <c r="G2397" s="1">
        <v>2</v>
      </c>
      <c r="H2397" s="1" t="s">
        <v>19</v>
      </c>
      <c r="I2397" s="1" t="s">
        <v>424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1136</v>
      </c>
      <c r="D2398" s="1"/>
      <c r="E2398" s="1" t="s">
        <v>44</v>
      </c>
      <c r="F2398" s="1" t="s">
        <v>1358</v>
      </c>
      <c r="G2398" s="1">
        <v>2</v>
      </c>
      <c r="H2398" s="1" t="s">
        <v>19</v>
      </c>
      <c r="I2398" s="1" t="s">
        <v>425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1136</v>
      </c>
      <c r="D2399" s="1"/>
      <c r="E2399" s="1" t="s">
        <v>44</v>
      </c>
      <c r="F2399" s="1" t="s">
        <v>1358</v>
      </c>
      <c r="G2399" s="1">
        <v>2</v>
      </c>
      <c r="H2399" s="1" t="s">
        <v>19</v>
      </c>
      <c r="I2399" s="1" t="s">
        <v>426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1136</v>
      </c>
      <c r="D2400" s="1"/>
      <c r="E2400" s="1" t="s">
        <v>44</v>
      </c>
      <c r="F2400" s="1" t="s">
        <v>1359</v>
      </c>
      <c r="G2400" s="1">
        <v>2</v>
      </c>
      <c r="H2400" s="1" t="s">
        <v>19</v>
      </c>
      <c r="I2400" s="1" t="s">
        <v>427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1136</v>
      </c>
      <c r="D2401" s="1"/>
      <c r="E2401" s="1" t="s">
        <v>747</v>
      </c>
      <c r="F2401" s="1" t="s">
        <v>1360</v>
      </c>
      <c r="G2401" s="1">
        <v>2</v>
      </c>
      <c r="H2401" s="1" t="s">
        <v>19</v>
      </c>
      <c r="I2401" s="1" t="s">
        <v>428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855</v>
      </c>
      <c r="D2402" s="1"/>
      <c r="E2402" s="1" t="s">
        <v>44</v>
      </c>
      <c r="F2402" s="1" t="s">
        <v>827</v>
      </c>
      <c r="G2402" s="1">
        <v>2</v>
      </c>
      <c r="H2402" s="1" t="s">
        <v>19</v>
      </c>
      <c r="I2402" s="1" t="s">
        <v>426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855</v>
      </c>
      <c r="D2403" s="1"/>
      <c r="E2403" s="1" t="s">
        <v>1108</v>
      </c>
      <c r="F2403" s="1" t="s">
        <v>839</v>
      </c>
      <c r="G2403" s="1">
        <v>2</v>
      </c>
      <c r="H2403" s="1" t="s">
        <v>19</v>
      </c>
      <c r="I2403" s="1" t="s">
        <v>424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855</v>
      </c>
      <c r="D2404" s="1"/>
      <c r="E2404" s="1" t="s">
        <v>1108</v>
      </c>
      <c r="F2404" s="1" t="s">
        <v>839</v>
      </c>
      <c r="G2404" s="1">
        <v>2</v>
      </c>
      <c r="H2404" s="1" t="s">
        <v>19</v>
      </c>
      <c r="I2404" s="1" t="s">
        <v>425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855</v>
      </c>
      <c r="D2405" s="1"/>
      <c r="E2405" s="1" t="s">
        <v>1108</v>
      </c>
      <c r="F2405" s="1" t="s">
        <v>839</v>
      </c>
      <c r="G2405" s="1">
        <v>10</v>
      </c>
      <c r="H2405" s="1" t="s">
        <v>19</v>
      </c>
      <c r="I2405" s="1" t="s">
        <v>426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855</v>
      </c>
      <c r="D2406" s="1"/>
      <c r="E2406" s="1" t="s">
        <v>747</v>
      </c>
      <c r="F2406" s="1" t="s">
        <v>828</v>
      </c>
      <c r="G2406" s="1">
        <v>1</v>
      </c>
      <c r="H2406" s="1" t="s">
        <v>19</v>
      </c>
      <c r="I2406" s="1" t="s">
        <v>426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855</v>
      </c>
      <c r="D2407" s="1"/>
      <c r="E2407" s="1" t="s">
        <v>747</v>
      </c>
      <c r="F2407" s="1" t="s">
        <v>828</v>
      </c>
      <c r="G2407" s="1">
        <v>1</v>
      </c>
      <c r="H2407" s="1" t="s">
        <v>19</v>
      </c>
      <c r="I2407" s="1" t="s">
        <v>428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855</v>
      </c>
      <c r="D2408" s="1"/>
      <c r="E2408" s="1" t="s">
        <v>1102</v>
      </c>
      <c r="F2408" s="1" t="s">
        <v>829</v>
      </c>
      <c r="G2408" s="1">
        <v>1</v>
      </c>
      <c r="H2408" s="1" t="s">
        <v>19</v>
      </c>
      <c r="I2408" s="1" t="s">
        <v>426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855</v>
      </c>
      <c r="D2409" s="1"/>
      <c r="E2409" s="1" t="s">
        <v>1109</v>
      </c>
      <c r="F2409" s="1" t="s">
        <v>840</v>
      </c>
      <c r="G2409" s="1">
        <v>2</v>
      </c>
      <c r="H2409" s="1" t="s">
        <v>19</v>
      </c>
      <c r="I2409" s="1" t="s">
        <v>425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855</v>
      </c>
      <c r="D2410" s="1"/>
      <c r="E2410" s="1" t="s">
        <v>1113</v>
      </c>
      <c r="F2410" s="1" t="s">
        <v>844</v>
      </c>
      <c r="G2410" s="1">
        <v>2</v>
      </c>
      <c r="H2410" s="1" t="s">
        <v>19</v>
      </c>
      <c r="I2410" s="1" t="s">
        <v>426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855</v>
      </c>
      <c r="D2411" s="1"/>
      <c r="E2411" s="1" t="s">
        <v>1113</v>
      </c>
      <c r="F2411" s="1" t="s">
        <v>844</v>
      </c>
      <c r="G2411" s="1">
        <v>2</v>
      </c>
      <c r="H2411" s="1" t="s">
        <v>19</v>
      </c>
      <c r="I2411" s="1" t="s">
        <v>428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855</v>
      </c>
      <c r="D2412" s="1"/>
      <c r="E2412" s="1" t="s">
        <v>1114</v>
      </c>
      <c r="F2412" s="1" t="s">
        <v>845</v>
      </c>
      <c r="G2412" s="1">
        <v>2</v>
      </c>
      <c r="H2412" s="1" t="s">
        <v>19</v>
      </c>
      <c r="I2412" s="1" t="s">
        <v>426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855</v>
      </c>
      <c r="D2413" s="1"/>
      <c r="E2413" s="1" t="s">
        <v>1114</v>
      </c>
      <c r="F2413" s="1" t="s">
        <v>845</v>
      </c>
      <c r="G2413" s="1">
        <v>2</v>
      </c>
      <c r="H2413" s="1" t="s">
        <v>19</v>
      </c>
      <c r="I2413" s="1" t="s">
        <v>428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855</v>
      </c>
      <c r="D2414" s="1"/>
      <c r="E2414" s="1" t="s">
        <v>214</v>
      </c>
      <c r="F2414" s="1" t="s">
        <v>846</v>
      </c>
      <c r="G2414" s="1">
        <v>2</v>
      </c>
      <c r="H2414" s="1" t="s">
        <v>19</v>
      </c>
      <c r="I2414" s="1" t="s">
        <v>426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855</v>
      </c>
      <c r="D2415" s="1"/>
      <c r="E2415" s="1" t="s">
        <v>2436</v>
      </c>
      <c r="F2415" s="1" t="s">
        <v>849</v>
      </c>
      <c r="G2415" s="1">
        <v>7</v>
      </c>
      <c r="H2415" s="1" t="s">
        <v>19</v>
      </c>
      <c r="I2415" s="1" t="s">
        <v>424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855</v>
      </c>
      <c r="D2416" s="1"/>
      <c r="E2416" s="1" t="s">
        <v>2436</v>
      </c>
      <c r="F2416" s="1" t="s">
        <v>849</v>
      </c>
      <c r="G2416" s="1">
        <v>3</v>
      </c>
      <c r="H2416" s="1" t="s">
        <v>19</v>
      </c>
      <c r="I2416" s="1" t="s">
        <v>425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855</v>
      </c>
      <c r="D2417" s="1"/>
      <c r="E2417" s="1" t="s">
        <v>2436</v>
      </c>
      <c r="F2417" s="1" t="s">
        <v>849</v>
      </c>
      <c r="G2417" s="1">
        <v>4</v>
      </c>
      <c r="H2417" s="1" t="s">
        <v>19</v>
      </c>
      <c r="I2417" s="1" t="s">
        <v>426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855</v>
      </c>
      <c r="D2418" s="1"/>
      <c r="E2418" s="1" t="s">
        <v>2436</v>
      </c>
      <c r="F2418" s="1" t="s">
        <v>849</v>
      </c>
      <c r="G2418" s="1">
        <v>3</v>
      </c>
      <c r="H2418" s="1" t="s">
        <v>19</v>
      </c>
      <c r="I2418" s="1" t="s">
        <v>427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855</v>
      </c>
      <c r="D2419" s="1"/>
      <c r="E2419" s="1" t="s">
        <v>2436</v>
      </c>
      <c r="F2419" s="1" t="s">
        <v>849</v>
      </c>
      <c r="G2419" s="1">
        <v>6</v>
      </c>
      <c r="H2419" s="1" t="s">
        <v>19</v>
      </c>
      <c r="I2419" s="1" t="s">
        <v>428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855</v>
      </c>
      <c r="D2420" s="1"/>
      <c r="E2420" s="1" t="s">
        <v>2</v>
      </c>
      <c r="F2420" s="1" t="s">
        <v>1055</v>
      </c>
      <c r="G2420" s="1">
        <v>1</v>
      </c>
      <c r="H2420" s="1" t="s">
        <v>19</v>
      </c>
      <c r="I2420" s="1" t="s">
        <v>426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855</v>
      </c>
      <c r="D2421" s="1"/>
      <c r="E2421" s="1" t="s">
        <v>2</v>
      </c>
      <c r="F2421" s="1" t="s">
        <v>1055</v>
      </c>
      <c r="G2421" s="1">
        <v>1</v>
      </c>
      <c r="H2421" s="1" t="s">
        <v>19</v>
      </c>
      <c r="I2421" s="1" t="s">
        <v>428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855</v>
      </c>
      <c r="D2422" s="1"/>
      <c r="E2422" s="1" t="s">
        <v>174</v>
      </c>
      <c r="F2422" s="1" t="s">
        <v>1056</v>
      </c>
      <c r="G2422" s="1">
        <v>2</v>
      </c>
      <c r="H2422" s="1" t="s">
        <v>19</v>
      </c>
      <c r="I2422" s="1" t="s">
        <v>426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855</v>
      </c>
      <c r="D2423" s="1"/>
      <c r="E2423" s="1" t="s">
        <v>174</v>
      </c>
      <c r="F2423" s="1" t="s">
        <v>1056</v>
      </c>
      <c r="G2423" s="1">
        <v>2</v>
      </c>
      <c r="H2423" s="1" t="s">
        <v>19</v>
      </c>
      <c r="I2423" s="1" t="s">
        <v>428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855</v>
      </c>
      <c r="D2424" s="1"/>
      <c r="E2424" s="1" t="s">
        <v>462</v>
      </c>
      <c r="F2424" s="1" t="s">
        <v>1057</v>
      </c>
      <c r="G2424" s="1">
        <v>2</v>
      </c>
      <c r="H2424" s="1" t="s">
        <v>19</v>
      </c>
      <c r="I2424" s="1" t="s">
        <v>426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855</v>
      </c>
      <c r="D2425" s="1"/>
      <c r="E2425" s="1" t="s">
        <v>462</v>
      </c>
      <c r="F2425" s="1" t="s">
        <v>1057</v>
      </c>
      <c r="G2425" s="1">
        <v>2</v>
      </c>
      <c r="H2425" s="1" t="s">
        <v>19</v>
      </c>
      <c r="I2425" s="1" t="s">
        <v>428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855</v>
      </c>
      <c r="D2426" s="1"/>
      <c r="E2426" s="1" t="s">
        <v>1107</v>
      </c>
      <c r="F2426" s="1" t="s">
        <v>1058</v>
      </c>
      <c r="G2426" s="1">
        <v>2</v>
      </c>
      <c r="H2426" s="1" t="s">
        <v>19</v>
      </c>
      <c r="I2426" s="1" t="s">
        <v>426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855</v>
      </c>
      <c r="D2427" s="1"/>
      <c r="E2427" s="1" t="s">
        <v>1107</v>
      </c>
      <c r="F2427" s="1" t="s">
        <v>1058</v>
      </c>
      <c r="G2427" s="1">
        <v>2</v>
      </c>
      <c r="H2427" s="1" t="s">
        <v>19</v>
      </c>
      <c r="I2427" s="1" t="s">
        <v>428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855</v>
      </c>
      <c r="D2428" s="1"/>
      <c r="E2428" s="1" t="s">
        <v>1109</v>
      </c>
      <c r="F2428" s="1" t="s">
        <v>1059</v>
      </c>
      <c r="G2428" s="1">
        <v>2</v>
      </c>
      <c r="H2428" s="1" t="s">
        <v>19</v>
      </c>
      <c r="I2428" s="1" t="s">
        <v>425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855</v>
      </c>
      <c r="D2429" s="1"/>
      <c r="E2429" s="1" t="s">
        <v>1117</v>
      </c>
      <c r="F2429" s="1" t="s">
        <v>1060</v>
      </c>
      <c r="G2429" s="1">
        <v>1</v>
      </c>
      <c r="H2429" s="1" t="s">
        <v>19</v>
      </c>
      <c r="I2429" s="1" t="s">
        <v>426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855</v>
      </c>
      <c r="D2430" s="1"/>
      <c r="E2430" s="1" t="s">
        <v>1120</v>
      </c>
      <c r="F2430" s="1" t="s">
        <v>1061</v>
      </c>
      <c r="G2430" s="1">
        <v>1</v>
      </c>
      <c r="H2430" s="1" t="s">
        <v>19</v>
      </c>
      <c r="I2430" s="1" t="s">
        <v>426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855</v>
      </c>
      <c r="D2431" s="1"/>
      <c r="E2431" s="1" t="s">
        <v>2437</v>
      </c>
      <c r="F2431" s="1" t="s">
        <v>1062</v>
      </c>
      <c r="G2431" s="1">
        <v>1</v>
      </c>
      <c r="H2431" s="1" t="s">
        <v>19</v>
      </c>
      <c r="I2431" s="1" t="s">
        <v>426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855</v>
      </c>
      <c r="D2432" s="1"/>
      <c r="E2432" s="1" t="s">
        <v>2438</v>
      </c>
      <c r="F2432" s="1" t="s">
        <v>1063</v>
      </c>
      <c r="G2432" s="1">
        <v>2</v>
      </c>
      <c r="H2432" s="1" t="s">
        <v>19</v>
      </c>
      <c r="I2432" s="1" t="s">
        <v>426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855</v>
      </c>
      <c r="D2433" s="1"/>
      <c r="E2433" s="1" t="s">
        <v>2439</v>
      </c>
      <c r="F2433" s="1" t="s">
        <v>1064</v>
      </c>
      <c r="G2433" s="1">
        <v>1</v>
      </c>
      <c r="H2433" s="1" t="s">
        <v>19</v>
      </c>
      <c r="I2433" s="1" t="s">
        <v>426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855</v>
      </c>
      <c r="D2434" s="1"/>
      <c r="E2434" s="1" t="s">
        <v>2440</v>
      </c>
      <c r="F2434" s="1" t="s">
        <v>1065</v>
      </c>
      <c r="G2434" s="1">
        <v>1</v>
      </c>
      <c r="H2434" s="1" t="s">
        <v>19</v>
      </c>
      <c r="I2434" s="1" t="s">
        <v>426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855</v>
      </c>
      <c r="D2435" s="1"/>
      <c r="E2435" s="1" t="s">
        <v>2441</v>
      </c>
      <c r="F2435" s="1" t="s">
        <v>1066</v>
      </c>
      <c r="G2435" s="1">
        <v>1</v>
      </c>
      <c r="H2435" s="1" t="s">
        <v>19</v>
      </c>
      <c r="I2435" s="1" t="s">
        <v>426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855</v>
      </c>
      <c r="D2436" s="1"/>
      <c r="E2436" s="1" t="s">
        <v>2442</v>
      </c>
      <c r="F2436" s="1" t="s">
        <v>1067</v>
      </c>
      <c r="G2436" s="1">
        <v>2</v>
      </c>
      <c r="H2436" s="1" t="s">
        <v>19</v>
      </c>
      <c r="I2436" s="1" t="s">
        <v>426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855</v>
      </c>
      <c r="D2437" s="1"/>
      <c r="E2437" s="1" t="s">
        <v>2443</v>
      </c>
      <c r="F2437" s="1" t="s">
        <v>1068</v>
      </c>
      <c r="G2437" s="1">
        <v>2</v>
      </c>
      <c r="H2437" s="1" t="s">
        <v>19</v>
      </c>
      <c r="I2437" s="1" t="s">
        <v>426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855</v>
      </c>
      <c r="D2438" s="1"/>
      <c r="E2438" s="1" t="s">
        <v>2444</v>
      </c>
      <c r="F2438" s="1" t="s">
        <v>1069</v>
      </c>
      <c r="G2438" s="1">
        <v>2</v>
      </c>
      <c r="H2438" s="1" t="s">
        <v>19</v>
      </c>
      <c r="I2438" s="1" t="s">
        <v>426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855</v>
      </c>
      <c r="D2439" s="1"/>
      <c r="E2439" s="1" t="s">
        <v>2445</v>
      </c>
      <c r="F2439" s="1" t="s">
        <v>1070</v>
      </c>
      <c r="G2439" s="1">
        <v>2</v>
      </c>
      <c r="H2439" s="1" t="s">
        <v>19</v>
      </c>
      <c r="I2439" s="1" t="s">
        <v>426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855</v>
      </c>
      <c r="D2440" s="1"/>
      <c r="E2440" s="1" t="s">
        <v>2446</v>
      </c>
      <c r="F2440" s="1" t="s">
        <v>1071</v>
      </c>
      <c r="G2440" s="1">
        <v>7</v>
      </c>
      <c r="H2440" s="1" t="s">
        <v>19</v>
      </c>
      <c r="I2440" s="1" t="s">
        <v>424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855</v>
      </c>
      <c r="D2441" s="1"/>
      <c r="E2441" s="1" t="s">
        <v>2446</v>
      </c>
      <c r="F2441" s="1" t="s">
        <v>1071</v>
      </c>
      <c r="G2441" s="1">
        <v>3</v>
      </c>
      <c r="H2441" s="1" t="s">
        <v>19</v>
      </c>
      <c r="I2441" s="1" t="s">
        <v>425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855</v>
      </c>
      <c r="D2442" s="1"/>
      <c r="E2442" s="1" t="s">
        <v>2446</v>
      </c>
      <c r="F2442" s="1" t="s">
        <v>1071</v>
      </c>
      <c r="G2442" s="1">
        <v>4</v>
      </c>
      <c r="H2442" s="1" t="s">
        <v>19</v>
      </c>
      <c r="I2442" s="1" t="s">
        <v>426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855</v>
      </c>
      <c r="D2443" s="1"/>
      <c r="E2443" s="1" t="s">
        <v>2446</v>
      </c>
      <c r="F2443" s="1" t="s">
        <v>1071</v>
      </c>
      <c r="G2443" s="1">
        <v>3</v>
      </c>
      <c r="H2443" s="1" t="s">
        <v>19</v>
      </c>
      <c r="I2443" s="1" t="s">
        <v>427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855</v>
      </c>
      <c r="D2444" s="1"/>
      <c r="E2444" s="1" t="s">
        <v>2446</v>
      </c>
      <c r="F2444" s="1" t="s">
        <v>1071</v>
      </c>
      <c r="G2444" s="1">
        <v>6</v>
      </c>
      <c r="H2444" s="1" t="s">
        <v>19</v>
      </c>
      <c r="I2444" s="1" t="s">
        <v>428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855</v>
      </c>
      <c r="D2445" s="1"/>
      <c r="E2445" s="1" t="s">
        <v>2447</v>
      </c>
      <c r="F2445" s="1" t="s">
        <v>1073</v>
      </c>
      <c r="G2445" s="1">
        <v>4</v>
      </c>
      <c r="H2445" s="1" t="s">
        <v>19</v>
      </c>
      <c r="I2445" s="1" t="s">
        <v>427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855</v>
      </c>
      <c r="D2446" s="1"/>
      <c r="E2446" s="1" t="s">
        <v>2448</v>
      </c>
      <c r="F2446" s="1" t="s">
        <v>1074</v>
      </c>
      <c r="G2446" s="1">
        <v>2</v>
      </c>
      <c r="H2446" s="1" t="s">
        <v>19</v>
      </c>
      <c r="I2446" s="1" t="s">
        <v>427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855</v>
      </c>
      <c r="D2447" s="1"/>
      <c r="E2447" s="1" t="s">
        <v>2449</v>
      </c>
      <c r="F2447" s="1" t="s">
        <v>1075</v>
      </c>
      <c r="G2447" s="1">
        <v>2</v>
      </c>
      <c r="H2447" s="1" t="s">
        <v>19</v>
      </c>
      <c r="I2447" s="1" t="s">
        <v>428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855</v>
      </c>
      <c r="D2448" s="1"/>
      <c r="E2448" s="1" t="s">
        <v>2450</v>
      </c>
      <c r="F2448" s="1" t="s">
        <v>1076</v>
      </c>
      <c r="G2448" s="1">
        <v>2</v>
      </c>
      <c r="H2448" s="1" t="s">
        <v>19</v>
      </c>
      <c r="I2448" s="1" t="s">
        <v>428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855</v>
      </c>
      <c r="D2449" s="1"/>
      <c r="E2449" s="1" t="s">
        <v>2451</v>
      </c>
      <c r="F2449" s="1" t="s">
        <v>1077</v>
      </c>
      <c r="G2449" s="1">
        <v>2</v>
      </c>
      <c r="H2449" s="1" t="s">
        <v>19</v>
      </c>
      <c r="I2449" s="1" t="s">
        <v>428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855</v>
      </c>
      <c r="D2450" s="1"/>
      <c r="E2450" s="1" t="s">
        <v>2452</v>
      </c>
      <c r="F2450" s="1" t="s">
        <v>1139</v>
      </c>
      <c r="G2450" s="1">
        <v>6</v>
      </c>
      <c r="H2450" s="1" t="s">
        <v>19</v>
      </c>
      <c r="I2450" s="1" t="s">
        <v>424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855</v>
      </c>
      <c r="D2451" s="1"/>
      <c r="E2451" s="1" t="s">
        <v>2452</v>
      </c>
      <c r="F2451" s="1" t="s">
        <v>1139</v>
      </c>
      <c r="G2451" s="1">
        <v>2</v>
      </c>
      <c r="H2451" s="1" t="s">
        <v>19</v>
      </c>
      <c r="I2451" s="1" t="s">
        <v>425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855</v>
      </c>
      <c r="D2452" s="1"/>
      <c r="E2452" s="1" t="s">
        <v>2452</v>
      </c>
      <c r="F2452" s="1" t="s">
        <v>1139</v>
      </c>
      <c r="G2452" s="1">
        <v>2</v>
      </c>
      <c r="H2452" s="1" t="s">
        <v>19</v>
      </c>
      <c r="I2452" s="1" t="s">
        <v>426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855</v>
      </c>
      <c r="D2453" s="1"/>
      <c r="E2453" s="1" t="s">
        <v>2452</v>
      </c>
      <c r="F2453" s="1" t="s">
        <v>1139</v>
      </c>
      <c r="G2453" s="1">
        <v>6</v>
      </c>
      <c r="H2453" s="1" t="s">
        <v>19</v>
      </c>
      <c r="I2453" s="1" t="s">
        <v>427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855</v>
      </c>
      <c r="D2454" s="1"/>
      <c r="E2454" s="1" t="s">
        <v>2453</v>
      </c>
      <c r="F2454" s="1" t="s">
        <v>1140</v>
      </c>
      <c r="G2454" s="1">
        <v>2</v>
      </c>
      <c r="H2454" s="1" t="s">
        <v>19</v>
      </c>
      <c r="I2454" s="1" t="s">
        <v>425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855</v>
      </c>
      <c r="D2455" s="1"/>
      <c r="E2455" s="1" t="s">
        <v>2453</v>
      </c>
      <c r="F2455" s="1" t="s">
        <v>1140</v>
      </c>
      <c r="G2455" s="1">
        <v>2</v>
      </c>
      <c r="H2455" s="1" t="s">
        <v>19</v>
      </c>
      <c r="I2455" s="1" t="s">
        <v>426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855</v>
      </c>
      <c r="D2456" s="1"/>
      <c r="E2456" s="1" t="s">
        <v>2454</v>
      </c>
      <c r="F2456" s="1" t="s">
        <v>1072</v>
      </c>
      <c r="G2456" s="1">
        <v>6</v>
      </c>
      <c r="H2456" s="1" t="s">
        <v>19</v>
      </c>
      <c r="I2456" s="1" t="s">
        <v>424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855</v>
      </c>
      <c r="D2457" s="1"/>
      <c r="E2457" s="1" t="s">
        <v>2454</v>
      </c>
      <c r="F2457" s="1" t="s">
        <v>1072</v>
      </c>
      <c r="G2457" s="1">
        <v>2</v>
      </c>
      <c r="H2457" s="1" t="s">
        <v>19</v>
      </c>
      <c r="I2457" s="1" t="s">
        <v>428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996</v>
      </c>
      <c r="D2458" s="1"/>
      <c r="E2458" s="1" t="s">
        <v>465</v>
      </c>
      <c r="F2458" s="1" t="s">
        <v>997</v>
      </c>
      <c r="G2458" s="1">
        <v>1</v>
      </c>
      <c r="H2458" s="1" t="s">
        <v>19</v>
      </c>
      <c r="I2458" s="1" t="s">
        <v>428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996</v>
      </c>
      <c r="D2459" s="1"/>
      <c r="E2459" s="1" t="s">
        <v>1104</v>
      </c>
      <c r="F2459" s="1" t="s">
        <v>998</v>
      </c>
      <c r="G2459" s="1">
        <v>1</v>
      </c>
      <c r="H2459" s="1" t="s">
        <v>19</v>
      </c>
      <c r="I2459" s="1" t="s">
        <v>428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999</v>
      </c>
      <c r="D2460" s="1"/>
      <c r="E2460" s="1" t="s">
        <v>747</v>
      </c>
      <c r="F2460" s="1" t="s">
        <v>1000</v>
      </c>
      <c r="G2460" s="1">
        <v>1</v>
      </c>
      <c r="H2460" s="1" t="s">
        <v>19</v>
      </c>
      <c r="I2460" s="1" t="s">
        <v>428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999</v>
      </c>
      <c r="D2461" s="1"/>
      <c r="E2461" s="1" t="s">
        <v>1102</v>
      </c>
      <c r="F2461" s="1" t="s">
        <v>1001</v>
      </c>
      <c r="G2461" s="1">
        <v>1</v>
      </c>
      <c r="H2461" s="1" t="s">
        <v>19</v>
      </c>
      <c r="I2461" s="1" t="s">
        <v>428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1004</v>
      </c>
      <c r="D2462" s="1"/>
      <c r="E2462" s="1" t="s">
        <v>2</v>
      </c>
      <c r="F2462" s="1" t="s">
        <v>1005</v>
      </c>
      <c r="G2462" s="1">
        <v>1</v>
      </c>
      <c r="H2462" s="1" t="s">
        <v>19</v>
      </c>
      <c r="I2462" s="1" t="s">
        <v>428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871</v>
      </c>
      <c r="D2463" s="1"/>
      <c r="E2463" s="1" t="s">
        <v>1102</v>
      </c>
      <c r="F2463" s="1" t="s">
        <v>872</v>
      </c>
      <c r="G2463" s="1">
        <v>1</v>
      </c>
      <c r="H2463" s="1" t="s">
        <v>19</v>
      </c>
      <c r="I2463" s="1" t="s">
        <v>426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871</v>
      </c>
      <c r="D2464" s="1"/>
      <c r="E2464" s="1" t="s">
        <v>101</v>
      </c>
      <c r="F2464" s="1" t="s">
        <v>873</v>
      </c>
      <c r="G2464" s="1">
        <v>1</v>
      </c>
      <c r="H2464" s="1" t="s">
        <v>19</v>
      </c>
      <c r="I2464" s="1" t="s">
        <v>426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871</v>
      </c>
      <c r="D2465" s="1"/>
      <c r="E2465" s="1" t="s">
        <v>174</v>
      </c>
      <c r="F2465" s="1" t="s">
        <v>874</v>
      </c>
      <c r="G2465" s="1">
        <v>1</v>
      </c>
      <c r="H2465" s="1" t="s">
        <v>19</v>
      </c>
      <c r="I2465" s="1" t="s">
        <v>426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875</v>
      </c>
      <c r="D2466" s="1"/>
      <c r="E2466" s="1" t="s">
        <v>44</v>
      </c>
      <c r="F2466" s="1" t="s">
        <v>876</v>
      </c>
      <c r="G2466" s="1">
        <v>1</v>
      </c>
      <c r="H2466" s="1" t="s">
        <v>19</v>
      </c>
      <c r="I2466" s="1" t="s">
        <v>426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875</v>
      </c>
      <c r="D2467" s="1"/>
      <c r="E2467" s="1" t="s">
        <v>747</v>
      </c>
      <c r="F2467" s="1" t="s">
        <v>877</v>
      </c>
      <c r="G2467" s="1">
        <v>1</v>
      </c>
      <c r="H2467" s="1" t="s">
        <v>19</v>
      </c>
      <c r="I2467" s="1" t="s">
        <v>426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878</v>
      </c>
      <c r="D2468" s="1"/>
      <c r="E2468" s="1" t="s">
        <v>2</v>
      </c>
      <c r="F2468" s="1" t="s">
        <v>879</v>
      </c>
      <c r="G2468" s="1">
        <v>1</v>
      </c>
      <c r="H2468" s="1" t="s">
        <v>19</v>
      </c>
      <c r="I2468" s="1" t="s">
        <v>426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899</v>
      </c>
      <c r="D2469" s="1"/>
      <c r="E2469" s="1" t="s">
        <v>2</v>
      </c>
      <c r="F2469" s="1" t="s">
        <v>900</v>
      </c>
      <c r="G2469" s="1">
        <v>1</v>
      </c>
      <c r="H2469" s="1" t="s">
        <v>19</v>
      </c>
      <c r="I2469" s="1" t="s">
        <v>427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906</v>
      </c>
      <c r="D2470" s="1"/>
      <c r="E2470" s="1" t="s">
        <v>174</v>
      </c>
      <c r="F2470" s="1" t="s">
        <v>907</v>
      </c>
      <c r="G2470" s="1">
        <v>1</v>
      </c>
      <c r="H2470" s="1" t="s">
        <v>19</v>
      </c>
      <c r="I2470" s="1" t="s">
        <v>427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906</v>
      </c>
      <c r="D2471" s="1"/>
      <c r="E2471" s="1" t="s">
        <v>462</v>
      </c>
      <c r="F2471" s="1" t="s">
        <v>908</v>
      </c>
      <c r="G2471" s="1">
        <v>1</v>
      </c>
      <c r="H2471" s="1" t="s">
        <v>19</v>
      </c>
      <c r="I2471" s="1" t="s">
        <v>427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856</v>
      </c>
      <c r="D2472" s="1"/>
      <c r="E2472" s="1" t="s">
        <v>101</v>
      </c>
      <c r="F2472" s="1" t="s">
        <v>857</v>
      </c>
      <c r="G2472" s="1">
        <v>1</v>
      </c>
      <c r="H2472" s="1" t="s">
        <v>19</v>
      </c>
      <c r="I2472" s="1" t="s">
        <v>424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858</v>
      </c>
      <c r="D2473" s="1"/>
      <c r="E2473" s="1" t="s">
        <v>747</v>
      </c>
      <c r="F2473" s="1" t="s">
        <v>859</v>
      </c>
      <c r="G2473" s="1">
        <v>6</v>
      </c>
      <c r="H2473" s="1" t="s">
        <v>19</v>
      </c>
      <c r="I2473" s="1" t="s">
        <v>424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858</v>
      </c>
      <c r="D2474" s="1"/>
      <c r="E2474" s="1" t="s">
        <v>1102</v>
      </c>
      <c r="F2474" s="1" t="s">
        <v>860</v>
      </c>
      <c r="G2474" s="1">
        <v>3</v>
      </c>
      <c r="H2474" s="1" t="s">
        <v>19</v>
      </c>
      <c r="I2474" s="1" t="s">
        <v>424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861</v>
      </c>
      <c r="D2475" s="1"/>
      <c r="E2475" s="1" t="s">
        <v>2</v>
      </c>
      <c r="F2475" s="1" t="s">
        <v>862</v>
      </c>
      <c r="G2475" s="1">
        <v>1</v>
      </c>
      <c r="H2475" s="1" t="s">
        <v>19</v>
      </c>
      <c r="I2475" s="1" t="s">
        <v>424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861</v>
      </c>
      <c r="D2476" s="1"/>
      <c r="E2476" s="1" t="s">
        <v>44</v>
      </c>
      <c r="F2476" s="1" t="s">
        <v>863</v>
      </c>
      <c r="G2476" s="1">
        <v>1</v>
      </c>
      <c r="H2476" s="1" t="s">
        <v>19</v>
      </c>
      <c r="I2476" s="1" t="s">
        <v>424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1054</v>
      </c>
      <c r="D2477" s="1"/>
      <c r="E2477" s="1" t="s">
        <v>44</v>
      </c>
      <c r="F2477" s="1" t="s">
        <v>866</v>
      </c>
      <c r="G2477" s="1">
        <v>1</v>
      </c>
      <c r="H2477" s="1" t="s">
        <v>19</v>
      </c>
      <c r="I2477" s="1" t="s">
        <v>425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1054</v>
      </c>
      <c r="D2478" s="1"/>
      <c r="E2478" s="1" t="s">
        <v>747</v>
      </c>
      <c r="F2478" s="1" t="s">
        <v>867</v>
      </c>
      <c r="G2478" s="1">
        <v>1</v>
      </c>
      <c r="H2478" s="1" t="s">
        <v>19</v>
      </c>
      <c r="I2478" s="1" t="s">
        <v>425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2455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2456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2457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2458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2459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2315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2460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2461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2462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2463</v>
      </c>
      <c r="D2488" s="1"/>
      <c r="E2488" s="1"/>
      <c r="F2488" s="1" t="s">
        <v>2464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2465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2466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2467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2468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2469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2470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2471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2472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2473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2318</v>
      </c>
      <c r="D2498" s="1"/>
      <c r="E2498" s="1"/>
      <c r="F2498" s="1" t="s">
        <v>2474</v>
      </c>
      <c r="G2498" s="1">
        <v>1</v>
      </c>
      <c r="H2498" s="1" t="s">
        <v>19</v>
      </c>
      <c r="I2498" s="1" t="s">
        <v>2318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2320</v>
      </c>
      <c r="D2499" s="1"/>
      <c r="E2499" s="1"/>
      <c r="F2499" s="1" t="s">
        <v>2475</v>
      </c>
      <c r="G2499" s="1">
        <v>1</v>
      </c>
      <c r="H2499" s="1" t="s">
        <v>19</v>
      </c>
      <c r="I2499" s="1" t="s">
        <v>2320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2322</v>
      </c>
      <c r="D2500" s="1"/>
      <c r="E2500" s="1"/>
      <c r="F2500" s="1" t="s">
        <v>2476</v>
      </c>
      <c r="G2500" s="1">
        <v>1</v>
      </c>
      <c r="H2500" s="1" t="s">
        <v>19</v>
      </c>
      <c r="I2500" s="1" t="s">
        <v>2322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2324</v>
      </c>
      <c r="D2501" s="1"/>
      <c r="E2501" s="1"/>
      <c r="F2501" s="1" t="s">
        <v>2477</v>
      </c>
      <c r="G2501" s="1">
        <v>1</v>
      </c>
      <c r="H2501" s="1" t="s">
        <v>19</v>
      </c>
      <c r="I2501" s="1" t="s">
        <v>2324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2326</v>
      </c>
      <c r="D2502" s="1"/>
      <c r="E2502" s="1"/>
      <c r="F2502" s="1" t="s">
        <v>2478</v>
      </c>
      <c r="G2502" s="1">
        <v>1</v>
      </c>
      <c r="H2502" s="1" t="s">
        <v>19</v>
      </c>
      <c r="I2502" s="1" t="s">
        <v>2326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2073</v>
      </c>
      <c r="D2503" s="1"/>
      <c r="E2503" s="1"/>
      <c r="F2503" s="1" t="s">
        <v>2074</v>
      </c>
      <c r="G2503" s="1">
        <v>44</v>
      </c>
      <c r="H2503" s="1" t="s">
        <v>19</v>
      </c>
      <c r="I2503" s="1" t="s">
        <v>424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1529</v>
      </c>
      <c r="D2504" s="1"/>
      <c r="E2504" s="1"/>
      <c r="F2504" s="1" t="s">
        <v>2075</v>
      </c>
      <c r="G2504" s="1">
        <v>16</v>
      </c>
      <c r="H2504" s="1" t="s">
        <v>19</v>
      </c>
      <c r="I2504" s="1" t="s">
        <v>426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1440</v>
      </c>
      <c r="D2505" s="1"/>
      <c r="E2505" s="1"/>
      <c r="F2505" s="1" t="s">
        <v>2076</v>
      </c>
      <c r="G2505" s="1">
        <v>32</v>
      </c>
      <c r="H2505" s="1" t="s">
        <v>19</v>
      </c>
      <c r="I2505" s="1" t="s">
        <v>427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1442</v>
      </c>
      <c r="D2506" s="1"/>
      <c r="E2506" s="1"/>
      <c r="F2506" s="1" t="s">
        <v>2077</v>
      </c>
      <c r="G2506" s="1">
        <v>24</v>
      </c>
      <c r="H2506" s="1" t="s">
        <v>19</v>
      </c>
      <c r="I2506" s="1" t="s">
        <v>427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1444</v>
      </c>
      <c r="D2507" s="1"/>
      <c r="E2507" s="1"/>
      <c r="F2507" s="1" t="s">
        <v>2078</v>
      </c>
      <c r="G2507" s="1">
        <v>24</v>
      </c>
      <c r="H2507" s="1" t="s">
        <v>19</v>
      </c>
      <c r="I2507" s="1" t="s">
        <v>427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1431</v>
      </c>
      <c r="D2508" s="1"/>
      <c r="E2508" s="1"/>
      <c r="F2508" s="1" t="s">
        <v>2078</v>
      </c>
      <c r="G2508" s="1">
        <v>16</v>
      </c>
      <c r="H2508" s="1" t="s">
        <v>19</v>
      </c>
      <c r="I2508" s="1" t="s">
        <v>425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1448</v>
      </c>
      <c r="D2509" s="1"/>
      <c r="E2509" s="1"/>
      <c r="F2509" s="1" t="s">
        <v>2079</v>
      </c>
      <c r="G2509" s="1">
        <v>28</v>
      </c>
      <c r="H2509" s="1" t="s">
        <v>19</v>
      </c>
      <c r="I2509" s="1" t="s">
        <v>428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1415</v>
      </c>
      <c r="D2510" s="1"/>
      <c r="E2510" s="1"/>
      <c r="F2510" s="1" t="s">
        <v>2080</v>
      </c>
      <c r="G2510" s="1">
        <v>2</v>
      </c>
      <c r="H2510" s="1" t="s">
        <v>19</v>
      </c>
      <c r="I2510" s="1" t="s">
        <v>424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1403</v>
      </c>
      <c r="D2511" s="1"/>
      <c r="E2511" s="1"/>
      <c r="F2511" s="1" t="s">
        <v>2081</v>
      </c>
      <c r="G2511" s="1">
        <v>2</v>
      </c>
      <c r="H2511" s="1" t="s">
        <v>19</v>
      </c>
      <c r="I2511" s="1" t="s">
        <v>1405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1413</v>
      </c>
      <c r="D2512" s="1"/>
      <c r="E2512" s="1"/>
      <c r="F2512" s="1" t="s">
        <v>2082</v>
      </c>
      <c r="G2512" s="1">
        <v>2</v>
      </c>
      <c r="H2512" s="1" t="s">
        <v>19</v>
      </c>
      <c r="I2512" s="1" t="s">
        <v>428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1417</v>
      </c>
      <c r="D2513" s="1"/>
      <c r="E2513" s="1"/>
      <c r="F2513" s="1" t="s">
        <v>2083</v>
      </c>
      <c r="G2513" s="1">
        <v>2</v>
      </c>
      <c r="H2513" s="1" t="s">
        <v>19</v>
      </c>
      <c r="I2513" s="1" t="s">
        <v>427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1164</v>
      </c>
      <c r="D2514" s="1"/>
      <c r="E2514" s="1" t="s">
        <v>174</v>
      </c>
      <c r="F2514" s="1" t="s">
        <v>1171</v>
      </c>
      <c r="G2514" s="1">
        <v>1</v>
      </c>
      <c r="H2514" s="1" t="s">
        <v>19</v>
      </c>
      <c r="I2514" s="1" t="s">
        <v>424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2084</v>
      </c>
      <c r="D2515" s="1"/>
      <c r="E2515" s="1"/>
      <c r="F2515" s="1" t="s">
        <v>2085</v>
      </c>
      <c r="G2515" s="1">
        <v>5</v>
      </c>
      <c r="H2515" s="1" t="s">
        <v>19</v>
      </c>
      <c r="I2515" s="1" t="s">
        <v>424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2084</v>
      </c>
      <c r="D2516" s="1"/>
      <c r="E2516" s="1"/>
      <c r="F2516" s="1" t="s">
        <v>2086</v>
      </c>
      <c r="G2516" s="1">
        <v>3</v>
      </c>
      <c r="H2516" s="1" t="s">
        <v>19</v>
      </c>
      <c r="I2516" s="1" t="s">
        <v>424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2084</v>
      </c>
      <c r="D2517" s="1"/>
      <c r="E2517" s="1"/>
      <c r="F2517" s="1" t="s">
        <v>2087</v>
      </c>
      <c r="G2517" s="1">
        <v>3</v>
      </c>
      <c r="H2517" s="1" t="s">
        <v>19</v>
      </c>
      <c r="I2517" s="1" t="s">
        <v>424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2084</v>
      </c>
      <c r="D2518" s="1"/>
      <c r="E2518" s="1"/>
      <c r="F2518" s="1" t="s">
        <v>2088</v>
      </c>
      <c r="G2518" s="1">
        <v>3</v>
      </c>
      <c r="H2518" s="1" t="s">
        <v>19</v>
      </c>
      <c r="I2518" s="1" t="s">
        <v>424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2084</v>
      </c>
      <c r="D2519" s="1"/>
      <c r="E2519" s="1"/>
      <c r="F2519" s="1" t="s">
        <v>2089</v>
      </c>
      <c r="G2519" s="1">
        <v>6</v>
      </c>
      <c r="H2519" s="1" t="s">
        <v>19</v>
      </c>
      <c r="I2519" s="1" t="s">
        <v>424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1080</v>
      </c>
      <c r="D2520" s="1"/>
      <c r="E2520" s="1" t="s">
        <v>2</v>
      </c>
      <c r="F2520" s="1" t="s">
        <v>1086</v>
      </c>
      <c r="G2520" s="1">
        <v>129</v>
      </c>
      <c r="H2520" s="1" t="s">
        <v>19</v>
      </c>
      <c r="I2520" s="1" t="s">
        <v>424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1080</v>
      </c>
      <c r="D2521" s="1"/>
      <c r="E2521" s="1" t="s">
        <v>2</v>
      </c>
      <c r="F2521" s="1" t="s">
        <v>1086</v>
      </c>
      <c r="G2521" s="1">
        <v>60</v>
      </c>
      <c r="H2521" s="1" t="s">
        <v>19</v>
      </c>
      <c r="I2521" s="1" t="s">
        <v>425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1080</v>
      </c>
      <c r="D2522" s="1"/>
      <c r="E2522" s="1" t="s">
        <v>2</v>
      </c>
      <c r="F2522" s="1" t="s">
        <v>1081</v>
      </c>
      <c r="G2522" s="1">
        <v>82</v>
      </c>
      <c r="H2522" s="1" t="s">
        <v>19</v>
      </c>
      <c r="I2522" s="1" t="s">
        <v>426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1080</v>
      </c>
      <c r="D2523" s="1"/>
      <c r="E2523" s="1" t="s">
        <v>2</v>
      </c>
      <c r="F2523" s="1" t="s">
        <v>1081</v>
      </c>
      <c r="G2523" s="1">
        <v>111</v>
      </c>
      <c r="H2523" s="1" t="s">
        <v>19</v>
      </c>
      <c r="I2523" s="1" t="s">
        <v>427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1080</v>
      </c>
      <c r="D2524" s="1"/>
      <c r="E2524" s="1" t="s">
        <v>2</v>
      </c>
      <c r="F2524" s="1" t="s">
        <v>1081</v>
      </c>
      <c r="G2524" s="1">
        <v>219</v>
      </c>
      <c r="H2524" s="1" t="s">
        <v>19</v>
      </c>
      <c r="I2524" s="1" t="s">
        <v>428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2090</v>
      </c>
      <c r="D2525" s="1"/>
      <c r="E2525" s="1"/>
      <c r="F2525" s="1" t="s">
        <v>2091</v>
      </c>
      <c r="G2525" s="1">
        <v>5</v>
      </c>
      <c r="H2525" s="1" t="s">
        <v>19</v>
      </c>
      <c r="I2525" s="1" t="s">
        <v>2092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2093</v>
      </c>
      <c r="D2526" s="1"/>
      <c r="E2526" s="1"/>
      <c r="F2526" s="1" t="s">
        <v>2094</v>
      </c>
      <c r="G2526" s="1">
        <v>3</v>
      </c>
      <c r="H2526" s="1" t="s">
        <v>19</v>
      </c>
      <c r="I2526" s="1" t="s">
        <v>425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2093</v>
      </c>
      <c r="D2527" s="1"/>
      <c r="E2527" s="1"/>
      <c r="F2527" s="1" t="s">
        <v>2095</v>
      </c>
      <c r="G2527" s="1">
        <v>3</v>
      </c>
      <c r="H2527" s="1" t="s">
        <v>19</v>
      </c>
      <c r="I2527" s="1" t="s">
        <v>425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2093</v>
      </c>
      <c r="D2528" s="1"/>
      <c r="E2528" s="1"/>
      <c r="F2528" s="1" t="s">
        <v>2096</v>
      </c>
      <c r="G2528" s="1">
        <v>7</v>
      </c>
      <c r="H2528" s="1" t="s">
        <v>19</v>
      </c>
      <c r="I2528" s="1" t="s">
        <v>425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2093</v>
      </c>
      <c r="D2529" s="1"/>
      <c r="E2529" s="1"/>
      <c r="F2529" s="1" t="s">
        <v>2097</v>
      </c>
      <c r="G2529" s="1">
        <v>7</v>
      </c>
      <c r="H2529" s="1" t="s">
        <v>19</v>
      </c>
      <c r="I2529" s="1" t="s">
        <v>425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2098</v>
      </c>
      <c r="D2530" s="1"/>
      <c r="E2530" s="1"/>
      <c r="F2530" s="1" t="s">
        <v>2099</v>
      </c>
      <c r="G2530" s="1">
        <v>2</v>
      </c>
      <c r="H2530" s="1" t="s">
        <v>19</v>
      </c>
      <c r="I2530" s="1" t="s">
        <v>426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2098</v>
      </c>
      <c r="D2531" s="1"/>
      <c r="E2531" s="1"/>
      <c r="F2531" s="1" t="s">
        <v>2100</v>
      </c>
      <c r="G2531" s="1">
        <v>3</v>
      </c>
      <c r="H2531" s="1" t="s">
        <v>19</v>
      </c>
      <c r="I2531" s="1" t="s">
        <v>426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2098</v>
      </c>
      <c r="D2532" s="1"/>
      <c r="E2532" s="1"/>
      <c r="F2532" s="1" t="s">
        <v>2101</v>
      </c>
      <c r="G2532" s="1">
        <v>3</v>
      </c>
      <c r="H2532" s="1" t="s">
        <v>19</v>
      </c>
      <c r="I2532" s="1" t="s">
        <v>426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2098</v>
      </c>
      <c r="D2533" s="1"/>
      <c r="E2533" s="1"/>
      <c r="F2533" s="1" t="s">
        <v>2102</v>
      </c>
      <c r="G2533" s="1">
        <v>7</v>
      </c>
      <c r="H2533" s="1" t="s">
        <v>19</v>
      </c>
      <c r="I2533" s="1" t="s">
        <v>426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2098</v>
      </c>
      <c r="D2534" s="1"/>
      <c r="E2534" s="1"/>
      <c r="F2534" s="1" t="s">
        <v>2103</v>
      </c>
      <c r="G2534" s="1">
        <v>7</v>
      </c>
      <c r="H2534" s="1" t="s">
        <v>19</v>
      </c>
      <c r="I2534" s="1" t="s">
        <v>426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2104</v>
      </c>
      <c r="D2535" s="1"/>
      <c r="E2535" s="1"/>
      <c r="F2535" s="1" t="s">
        <v>2105</v>
      </c>
      <c r="G2535" s="1">
        <v>3</v>
      </c>
      <c r="H2535" s="1" t="s">
        <v>19</v>
      </c>
      <c r="I2535" s="1" t="s">
        <v>427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2104</v>
      </c>
      <c r="D2536" s="1"/>
      <c r="E2536" s="1"/>
      <c r="F2536" s="1" t="s">
        <v>2106</v>
      </c>
      <c r="G2536" s="1">
        <v>7</v>
      </c>
      <c r="H2536" s="1" t="s">
        <v>19</v>
      </c>
      <c r="I2536" s="1" t="s">
        <v>427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2104</v>
      </c>
      <c r="D2537" s="1"/>
      <c r="E2537" s="1"/>
      <c r="F2537" s="1" t="s">
        <v>2107</v>
      </c>
      <c r="G2537" s="1">
        <v>3</v>
      </c>
      <c r="H2537" s="1" t="s">
        <v>19</v>
      </c>
      <c r="I2537" s="1" t="s">
        <v>427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2104</v>
      </c>
      <c r="D2538" s="1"/>
      <c r="E2538" s="1"/>
      <c r="F2538" s="1" t="s">
        <v>2108</v>
      </c>
      <c r="G2538" s="1">
        <v>7</v>
      </c>
      <c r="H2538" s="1" t="s">
        <v>19</v>
      </c>
      <c r="I2538" s="1" t="s">
        <v>427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2109</v>
      </c>
      <c r="D2539" s="1"/>
      <c r="E2539" s="1"/>
      <c r="F2539" s="1" t="s">
        <v>2110</v>
      </c>
      <c r="G2539" s="1">
        <v>3</v>
      </c>
      <c r="H2539" s="1" t="s">
        <v>19</v>
      </c>
      <c r="I2539" s="1" t="s">
        <v>428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2109</v>
      </c>
      <c r="D2540" s="1"/>
      <c r="E2540" s="1"/>
      <c r="F2540" s="1" t="s">
        <v>2111</v>
      </c>
      <c r="G2540" s="1">
        <v>3</v>
      </c>
      <c r="H2540" s="1" t="s">
        <v>19</v>
      </c>
      <c r="I2540" s="1" t="s">
        <v>428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2109</v>
      </c>
      <c r="D2541" s="1"/>
      <c r="E2541" s="1"/>
      <c r="F2541" s="1" t="s">
        <v>2112</v>
      </c>
      <c r="G2541" s="1">
        <v>7</v>
      </c>
      <c r="H2541" s="1" t="s">
        <v>19</v>
      </c>
      <c r="I2541" s="1" t="s">
        <v>428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2109</v>
      </c>
      <c r="D2542" s="1"/>
      <c r="E2542" s="1"/>
      <c r="F2542" s="1" t="s">
        <v>2113</v>
      </c>
      <c r="G2542" s="1">
        <v>7</v>
      </c>
      <c r="H2542" s="1" t="s">
        <v>19</v>
      </c>
      <c r="I2542" s="1" t="s">
        <v>428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2114</v>
      </c>
      <c r="D2543" s="1"/>
      <c r="E2543" s="1"/>
      <c r="F2543" s="1" t="s">
        <v>2115</v>
      </c>
      <c r="G2543" s="1">
        <v>408</v>
      </c>
      <c r="H2543" s="1" t="s">
        <v>19</v>
      </c>
      <c r="I2543" s="1" t="s">
        <v>424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1560</v>
      </c>
      <c r="D2544" s="1"/>
      <c r="E2544" s="1"/>
      <c r="F2544" s="1" t="s">
        <v>2116</v>
      </c>
      <c r="G2544" s="1">
        <v>174</v>
      </c>
      <c r="H2544" s="1" t="s">
        <v>19</v>
      </c>
      <c r="I2544" s="1" t="s">
        <v>425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1562</v>
      </c>
      <c r="D2545" s="1"/>
      <c r="E2545" s="1"/>
      <c r="F2545" s="1" t="s">
        <v>1620</v>
      </c>
      <c r="G2545" s="1">
        <v>258</v>
      </c>
      <c r="H2545" s="1" t="s">
        <v>19</v>
      </c>
      <c r="I2545" s="1" t="s">
        <v>426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1566</v>
      </c>
      <c r="D2546" s="1"/>
      <c r="E2546" s="1"/>
      <c r="F2546" s="1" t="s">
        <v>1621</v>
      </c>
      <c r="G2546" s="1">
        <v>362</v>
      </c>
      <c r="H2546" s="1" t="s">
        <v>19</v>
      </c>
      <c r="I2546" s="1" t="s">
        <v>427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1564</v>
      </c>
      <c r="D2547" s="1"/>
      <c r="E2547" s="1"/>
      <c r="F2547" s="1" t="s">
        <v>2117</v>
      </c>
      <c r="G2547" s="1">
        <v>597</v>
      </c>
      <c r="H2547" s="1" t="s">
        <v>19</v>
      </c>
      <c r="I2547" s="1" t="s">
        <v>428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1560</v>
      </c>
      <c r="D2548" s="1"/>
      <c r="E2548" s="1"/>
      <c r="F2548" s="1" t="s">
        <v>1619</v>
      </c>
      <c r="G2548" s="1">
        <v>7</v>
      </c>
      <c r="H2548" s="1" t="s">
        <v>19</v>
      </c>
      <c r="I2548" s="1" t="s">
        <v>425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1560</v>
      </c>
      <c r="D2549" s="1"/>
      <c r="E2549" s="1"/>
      <c r="F2549" s="1" t="s">
        <v>1619</v>
      </c>
      <c r="G2549" s="1">
        <v>48</v>
      </c>
      <c r="H2549" s="1" t="s">
        <v>19</v>
      </c>
      <c r="I2549" s="1" t="s">
        <v>425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1562</v>
      </c>
      <c r="D2550" s="1"/>
      <c r="E2550" s="1"/>
      <c r="F2550" s="1" t="s">
        <v>1620</v>
      </c>
      <c r="G2550" s="1">
        <v>10</v>
      </c>
      <c r="H2550" s="1" t="s">
        <v>19</v>
      </c>
      <c r="I2550" s="1" t="s">
        <v>426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1566</v>
      </c>
      <c r="D2551" s="1"/>
      <c r="E2551" s="1"/>
      <c r="F2551" s="1" t="s">
        <v>1621</v>
      </c>
      <c r="G2551" s="1">
        <v>24</v>
      </c>
      <c r="H2551" s="1" t="s">
        <v>19</v>
      </c>
      <c r="I2551" s="1" t="s">
        <v>427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1564</v>
      </c>
      <c r="D2552" s="1"/>
      <c r="E2552" s="1"/>
      <c r="F2552" s="1" t="s">
        <v>1622</v>
      </c>
      <c r="G2552" s="1">
        <v>146</v>
      </c>
      <c r="H2552" s="1" t="s">
        <v>19</v>
      </c>
      <c r="I2552" s="1" t="s">
        <v>428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1597</v>
      </c>
      <c r="D2553" s="1"/>
      <c r="E2553" s="1"/>
      <c r="F2553" s="1" t="s">
        <v>2118</v>
      </c>
      <c r="G2553" s="1">
        <v>2</v>
      </c>
      <c r="H2553" s="1" t="s">
        <v>19</v>
      </c>
      <c r="I2553" s="1" t="s">
        <v>1599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999</v>
      </c>
      <c r="D2554" s="1"/>
      <c r="E2554" s="1" t="s">
        <v>462</v>
      </c>
      <c r="F2554" s="1" t="s">
        <v>1003</v>
      </c>
      <c r="G2554" s="1">
        <v>1</v>
      </c>
      <c r="H2554" s="1" t="s">
        <v>19</v>
      </c>
      <c r="I2554" s="1" t="s">
        <v>428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899</v>
      </c>
      <c r="D2555" s="1"/>
      <c r="E2555" s="1" t="s">
        <v>2</v>
      </c>
      <c r="F2555" s="1" t="s">
        <v>900</v>
      </c>
      <c r="G2555" s="1">
        <v>1</v>
      </c>
      <c r="H2555" s="1" t="s">
        <v>19</v>
      </c>
      <c r="I2555" s="1" t="s">
        <v>427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901</v>
      </c>
      <c r="D2556" s="1"/>
      <c r="E2556" s="1" t="s">
        <v>44</v>
      </c>
      <c r="F2556" s="1" t="s">
        <v>902</v>
      </c>
      <c r="G2556" s="1">
        <v>4</v>
      </c>
      <c r="H2556" s="1" t="s">
        <v>19</v>
      </c>
      <c r="I2556" s="1" t="s">
        <v>427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901</v>
      </c>
      <c r="D2557" s="1"/>
      <c r="E2557" s="1" t="s">
        <v>747</v>
      </c>
      <c r="F2557" s="1" t="s">
        <v>903</v>
      </c>
      <c r="G2557" s="1">
        <v>1</v>
      </c>
      <c r="H2557" s="1" t="s">
        <v>19</v>
      </c>
      <c r="I2557" s="1" t="s">
        <v>427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901</v>
      </c>
      <c r="D2558" s="1"/>
      <c r="E2558" s="1" t="s">
        <v>1102</v>
      </c>
      <c r="F2558" s="1" t="s">
        <v>904</v>
      </c>
      <c r="G2558" s="1">
        <v>1</v>
      </c>
      <c r="H2558" s="1" t="s">
        <v>19</v>
      </c>
      <c r="I2558" s="1" t="s">
        <v>427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906</v>
      </c>
      <c r="D2559" s="1"/>
      <c r="E2559" s="1" t="s">
        <v>462</v>
      </c>
      <c r="F2559" s="1" t="s">
        <v>908</v>
      </c>
      <c r="G2559" s="1">
        <v>1</v>
      </c>
      <c r="H2559" s="1" t="s">
        <v>19</v>
      </c>
      <c r="I2559" s="1" t="s">
        <v>427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901</v>
      </c>
      <c r="D2560" s="1"/>
      <c r="E2560" s="1" t="s">
        <v>465</v>
      </c>
      <c r="F2560" s="1" t="s">
        <v>1137</v>
      </c>
      <c r="G2560" s="1">
        <v>1</v>
      </c>
      <c r="H2560" s="1" t="s">
        <v>19</v>
      </c>
      <c r="I2560" s="1" t="s">
        <v>427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901</v>
      </c>
      <c r="D2561" s="1"/>
      <c r="E2561" s="1" t="s">
        <v>1104</v>
      </c>
      <c r="F2561" s="1" t="s">
        <v>1138</v>
      </c>
      <c r="G2561" s="1">
        <v>1</v>
      </c>
      <c r="H2561" s="1" t="s">
        <v>19</v>
      </c>
      <c r="I2561" s="1" t="s">
        <v>427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1223</v>
      </c>
      <c r="D2562" s="1"/>
      <c r="E2562" s="1"/>
      <c r="F2562" s="1" t="s">
        <v>2119</v>
      </c>
      <c r="G2562" s="1">
        <v>200</v>
      </c>
      <c r="H2562" s="1" t="s">
        <v>19</v>
      </c>
      <c r="I2562" s="1" t="s">
        <v>424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2120</v>
      </c>
      <c r="D2563" s="1" t="s">
        <v>2121</v>
      </c>
      <c r="E2563" s="1"/>
      <c r="F2563" s="1" t="s">
        <v>2122</v>
      </c>
      <c r="G2563" s="1">
        <v>8</v>
      </c>
      <c r="H2563" s="1" t="s">
        <v>19</v>
      </c>
      <c r="I2563" s="1" t="s">
        <v>424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2120</v>
      </c>
      <c r="D2564" s="1" t="s">
        <v>2121</v>
      </c>
      <c r="E2564" s="1"/>
      <c r="F2564" s="1" t="s">
        <v>2123</v>
      </c>
      <c r="G2564" s="1">
        <v>3</v>
      </c>
      <c r="H2564" s="1" t="s">
        <v>19</v>
      </c>
      <c r="I2564" s="1" t="s">
        <v>424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2124</v>
      </c>
      <c r="D2565" s="1" t="s">
        <v>2125</v>
      </c>
      <c r="E2565" s="1"/>
      <c r="F2565" s="1" t="s">
        <v>2122</v>
      </c>
      <c r="G2565" s="1">
        <v>7</v>
      </c>
      <c r="H2565" s="1" t="s">
        <v>19</v>
      </c>
      <c r="I2565" s="1" t="s">
        <v>425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2124</v>
      </c>
      <c r="D2566" s="1" t="s">
        <v>2125</v>
      </c>
      <c r="E2566" s="1"/>
      <c r="F2566" s="1" t="s">
        <v>2123</v>
      </c>
      <c r="G2566" s="1">
        <v>3</v>
      </c>
      <c r="H2566" s="1" t="s">
        <v>19</v>
      </c>
      <c r="I2566" s="1" t="s">
        <v>425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2098</v>
      </c>
      <c r="D2567" s="1" t="s">
        <v>2126</v>
      </c>
      <c r="E2567" s="1"/>
      <c r="F2567" s="1" t="s">
        <v>2122</v>
      </c>
      <c r="G2567" s="1">
        <v>8</v>
      </c>
      <c r="H2567" s="1" t="s">
        <v>19</v>
      </c>
      <c r="I2567" s="1" t="s">
        <v>426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2098</v>
      </c>
      <c r="D2568" s="1" t="s">
        <v>2126</v>
      </c>
      <c r="E2568" s="1"/>
      <c r="F2568" s="1" t="s">
        <v>2123</v>
      </c>
      <c r="G2568" s="1">
        <v>3</v>
      </c>
      <c r="H2568" s="1" t="s">
        <v>19</v>
      </c>
      <c r="I2568" s="1" t="s">
        <v>426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2104</v>
      </c>
      <c r="D2569" s="1" t="s">
        <v>2127</v>
      </c>
      <c r="E2569" s="1"/>
      <c r="F2569" s="1" t="s">
        <v>2122</v>
      </c>
      <c r="G2569" s="1">
        <v>9</v>
      </c>
      <c r="H2569" s="1" t="s">
        <v>19</v>
      </c>
      <c r="I2569" s="1" t="s">
        <v>427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2104</v>
      </c>
      <c r="D2570" s="1" t="s">
        <v>2127</v>
      </c>
      <c r="E2570" s="1"/>
      <c r="F2570" s="1" t="s">
        <v>2123</v>
      </c>
      <c r="G2570" s="1">
        <v>4</v>
      </c>
      <c r="H2570" s="1" t="s">
        <v>19</v>
      </c>
      <c r="I2570" s="1" t="s">
        <v>427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2109</v>
      </c>
      <c r="D2571" s="1" t="s">
        <v>2128</v>
      </c>
      <c r="E2571" s="1"/>
      <c r="F2571" s="1" t="s">
        <v>2122</v>
      </c>
      <c r="G2571" s="1">
        <v>10</v>
      </c>
      <c r="H2571" s="1" t="s">
        <v>19</v>
      </c>
      <c r="I2571" s="1" t="s">
        <v>428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2109</v>
      </c>
      <c r="D2572" s="1" t="s">
        <v>2128</v>
      </c>
      <c r="E2572" s="1"/>
      <c r="F2572" s="1" t="s">
        <v>2123</v>
      </c>
      <c r="G2572" s="1">
        <v>7</v>
      </c>
      <c r="H2572" s="1" t="s">
        <v>19</v>
      </c>
      <c r="I2572" s="1" t="s">
        <v>428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2129</v>
      </c>
      <c r="E2573" s="1"/>
      <c r="F2573" s="1" t="s">
        <v>2130</v>
      </c>
      <c r="G2573" s="1">
        <v>189</v>
      </c>
      <c r="H2573" s="1" t="s">
        <v>19</v>
      </c>
      <c r="I2573" s="1" t="s">
        <v>2092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2129</v>
      </c>
      <c r="E2574" s="1"/>
      <c r="F2574" s="1" t="s">
        <v>2131</v>
      </c>
      <c r="G2574" s="1">
        <v>189</v>
      </c>
      <c r="H2574" s="1" t="s">
        <v>19</v>
      </c>
      <c r="I2574" s="1" t="s">
        <v>2092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2129</v>
      </c>
      <c r="E2575" s="1"/>
      <c r="F2575" s="1" t="s">
        <v>2132</v>
      </c>
      <c r="G2575" s="1">
        <v>189</v>
      </c>
      <c r="H2575" s="1" t="s">
        <v>19</v>
      </c>
      <c r="I2575" s="1" t="s">
        <v>2092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2133</v>
      </c>
      <c r="D2576" s="1"/>
      <c r="E2576" s="1"/>
      <c r="F2576" s="1" t="s">
        <v>2134</v>
      </c>
      <c r="G2576" s="1">
        <v>60</v>
      </c>
      <c r="H2576" s="1" t="s">
        <v>19</v>
      </c>
      <c r="I2576" s="1" t="s">
        <v>2135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1202</v>
      </c>
      <c r="D2577" s="1"/>
      <c r="E2577" s="1" t="s">
        <v>2</v>
      </c>
      <c r="F2577" s="1" t="s">
        <v>1203</v>
      </c>
      <c r="G2577" s="1">
        <v>1</v>
      </c>
      <c r="H2577" s="1" t="s">
        <v>19</v>
      </c>
      <c r="I2577" s="1" t="s">
        <v>426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1214</v>
      </c>
      <c r="D2578" s="1"/>
      <c r="E2578" s="1" t="s">
        <v>2</v>
      </c>
      <c r="F2578" s="1" t="s">
        <v>1335</v>
      </c>
      <c r="G2578" s="1">
        <v>2</v>
      </c>
      <c r="H2578" s="1" t="s">
        <v>19</v>
      </c>
      <c r="I2578" s="1" t="s">
        <v>426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1214</v>
      </c>
      <c r="D2579" s="1"/>
      <c r="E2579" s="1" t="s">
        <v>44</v>
      </c>
      <c r="F2579" s="1" t="s">
        <v>1336</v>
      </c>
      <c r="G2579" s="1">
        <v>1</v>
      </c>
      <c r="H2579" s="1" t="s">
        <v>19</v>
      </c>
      <c r="I2579" s="1" t="s">
        <v>426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1214</v>
      </c>
      <c r="D2580" s="1"/>
      <c r="E2580" s="1" t="s">
        <v>747</v>
      </c>
      <c r="F2580" s="1" t="s">
        <v>1337</v>
      </c>
      <c r="G2580" s="1">
        <v>1</v>
      </c>
      <c r="H2580" s="1" t="s">
        <v>19</v>
      </c>
      <c r="I2580" s="1" t="s">
        <v>426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1214</v>
      </c>
      <c r="D2581" s="1"/>
      <c r="E2581" s="1" t="s">
        <v>101</v>
      </c>
      <c r="F2581" s="1" t="s">
        <v>1338</v>
      </c>
      <c r="G2581" s="1">
        <v>2</v>
      </c>
      <c r="H2581" s="1" t="s">
        <v>19</v>
      </c>
      <c r="I2581" s="1" t="s">
        <v>426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1214</v>
      </c>
      <c r="D2582" s="1"/>
      <c r="E2582" s="1" t="s">
        <v>174</v>
      </c>
      <c r="F2582" s="1" t="s">
        <v>1339</v>
      </c>
      <c r="G2582" s="1">
        <v>1</v>
      </c>
      <c r="H2582" s="1" t="s">
        <v>19</v>
      </c>
      <c r="I2582" s="1" t="s">
        <v>426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1214</v>
      </c>
      <c r="D2583" s="1"/>
      <c r="E2583" s="1" t="s">
        <v>462</v>
      </c>
      <c r="F2583" s="1" t="s">
        <v>1340</v>
      </c>
      <c r="G2583" s="1">
        <v>1</v>
      </c>
      <c r="H2583" s="1" t="s">
        <v>19</v>
      </c>
      <c r="I2583" s="1" t="s">
        <v>426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1219</v>
      </c>
      <c r="D2584" s="1"/>
      <c r="E2584" s="1" t="s">
        <v>2</v>
      </c>
      <c r="F2584" s="1" t="s">
        <v>1220</v>
      </c>
      <c r="G2584" s="1">
        <v>2</v>
      </c>
      <c r="H2584" s="1" t="s">
        <v>19</v>
      </c>
      <c r="I2584" s="1" t="s">
        <v>425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1219</v>
      </c>
      <c r="D2585" s="1"/>
      <c r="E2585" s="1" t="s">
        <v>44</v>
      </c>
      <c r="F2585" s="1" t="s">
        <v>2309</v>
      </c>
      <c r="G2585" s="1">
        <v>2</v>
      </c>
      <c r="H2585" s="1" t="s">
        <v>19</v>
      </c>
      <c r="I2585" s="1" t="s">
        <v>425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1219</v>
      </c>
      <c r="D2586" s="1"/>
      <c r="E2586" s="1" t="s">
        <v>747</v>
      </c>
      <c r="F2586" s="1" t="s">
        <v>2310</v>
      </c>
      <c r="G2586" s="1">
        <v>4</v>
      </c>
      <c r="H2586" s="1" t="s">
        <v>19</v>
      </c>
      <c r="I2586" s="1" t="s">
        <v>425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1223</v>
      </c>
      <c r="D2587" s="1"/>
      <c r="E2587" s="1" t="s">
        <v>2</v>
      </c>
      <c r="F2587" s="1" t="s">
        <v>1224</v>
      </c>
      <c r="G2587" s="1">
        <v>2</v>
      </c>
      <c r="H2587" s="1" t="s">
        <v>19</v>
      </c>
      <c r="I2587" s="1" t="s">
        <v>424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1223</v>
      </c>
      <c r="D2588" s="1"/>
      <c r="E2588" s="1" t="s">
        <v>44</v>
      </c>
      <c r="F2588" s="1" t="s">
        <v>1225</v>
      </c>
      <c r="G2588" s="1">
        <v>2</v>
      </c>
      <c r="H2588" s="1" t="s">
        <v>19</v>
      </c>
      <c r="I2588" s="1" t="s">
        <v>424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1223</v>
      </c>
      <c r="D2589" s="1"/>
      <c r="E2589" s="1" t="s">
        <v>747</v>
      </c>
      <c r="F2589" s="1" t="s">
        <v>1226</v>
      </c>
      <c r="G2589" s="1">
        <v>2</v>
      </c>
      <c r="H2589" s="1" t="s">
        <v>19</v>
      </c>
      <c r="I2589" s="1" t="s">
        <v>424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1223</v>
      </c>
      <c r="D2590" s="1"/>
      <c r="E2590" s="1" t="s">
        <v>1102</v>
      </c>
      <c r="F2590" s="1" t="s">
        <v>1227</v>
      </c>
      <c r="G2590" s="1">
        <v>1</v>
      </c>
      <c r="H2590" s="1" t="s">
        <v>19</v>
      </c>
      <c r="I2590" s="1" t="s">
        <v>424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1223</v>
      </c>
      <c r="D2591" s="1"/>
      <c r="E2591" s="1" t="s">
        <v>101</v>
      </c>
      <c r="F2591" s="1" t="s">
        <v>1228</v>
      </c>
      <c r="G2591" s="1">
        <v>1</v>
      </c>
      <c r="H2591" s="1" t="s">
        <v>19</v>
      </c>
      <c r="I2591" s="1" t="s">
        <v>424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1223</v>
      </c>
      <c r="D2592" s="1"/>
      <c r="E2592" s="1" t="s">
        <v>174</v>
      </c>
      <c r="F2592" s="1" t="s">
        <v>1229</v>
      </c>
      <c r="G2592" s="1">
        <v>2</v>
      </c>
      <c r="H2592" s="1" t="s">
        <v>19</v>
      </c>
      <c r="I2592" s="1" t="s">
        <v>424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1223</v>
      </c>
      <c r="D2593" s="1"/>
      <c r="E2593" s="1" t="s">
        <v>465</v>
      </c>
      <c r="F2593" s="1" t="s">
        <v>1230</v>
      </c>
      <c r="G2593" s="1">
        <v>2</v>
      </c>
      <c r="H2593" s="1" t="s">
        <v>19</v>
      </c>
      <c r="I2593" s="1" t="s">
        <v>424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1223</v>
      </c>
      <c r="D2594" s="1"/>
      <c r="E2594" s="1" t="s">
        <v>1103</v>
      </c>
      <c r="F2594" s="1" t="s">
        <v>1231</v>
      </c>
      <c r="G2594" s="1">
        <v>2</v>
      </c>
      <c r="H2594" s="1" t="s">
        <v>19</v>
      </c>
      <c r="I2594" s="1" t="s">
        <v>424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1223</v>
      </c>
      <c r="D2595" s="1"/>
      <c r="E2595" s="1" t="s">
        <v>1104</v>
      </c>
      <c r="F2595" s="1" t="s">
        <v>1232</v>
      </c>
      <c r="G2595" s="1">
        <v>1</v>
      </c>
      <c r="H2595" s="1" t="s">
        <v>19</v>
      </c>
      <c r="I2595" s="1" t="s">
        <v>424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1223</v>
      </c>
      <c r="D2596" s="1"/>
      <c r="E2596" s="1" t="s">
        <v>1105</v>
      </c>
      <c r="F2596" s="1" t="s">
        <v>1233</v>
      </c>
      <c r="G2596" s="1">
        <v>1</v>
      </c>
      <c r="H2596" s="1" t="s">
        <v>19</v>
      </c>
      <c r="I2596" s="1" t="s">
        <v>424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1223</v>
      </c>
      <c r="D2597" s="1"/>
      <c r="E2597" s="1" t="s">
        <v>1106</v>
      </c>
      <c r="F2597" s="1" t="s">
        <v>1234</v>
      </c>
      <c r="G2597" s="1">
        <v>2</v>
      </c>
      <c r="H2597" s="1" t="s">
        <v>19</v>
      </c>
      <c r="I2597" s="1" t="s">
        <v>424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1223</v>
      </c>
      <c r="D2598" s="1"/>
      <c r="E2598" s="1" t="s">
        <v>2311</v>
      </c>
      <c r="F2598" s="1" t="s">
        <v>1235</v>
      </c>
      <c r="G2598" s="1">
        <v>2</v>
      </c>
      <c r="H2598" s="1" t="s">
        <v>19</v>
      </c>
      <c r="I2598" s="1" t="s">
        <v>424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1223</v>
      </c>
      <c r="D2599" s="1"/>
      <c r="E2599" s="1" t="s">
        <v>1108</v>
      </c>
      <c r="F2599" s="1" t="s">
        <v>1237</v>
      </c>
      <c r="G2599" s="1">
        <v>1</v>
      </c>
      <c r="H2599" s="1" t="s">
        <v>19</v>
      </c>
      <c r="I2599" s="1" t="s">
        <v>424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1223</v>
      </c>
      <c r="D2600" s="1"/>
      <c r="E2600" s="1" t="s">
        <v>1109</v>
      </c>
      <c r="F2600" s="1" t="s">
        <v>1236</v>
      </c>
      <c r="G2600" s="1">
        <v>1</v>
      </c>
      <c r="H2600" s="1" t="s">
        <v>19</v>
      </c>
      <c r="I2600" s="1" t="s">
        <v>424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1305</v>
      </c>
      <c r="D2601" s="1"/>
      <c r="E2601" s="1" t="s">
        <v>2</v>
      </c>
      <c r="F2601" s="1" t="s">
        <v>1306</v>
      </c>
      <c r="G2601" s="1">
        <v>2</v>
      </c>
      <c r="H2601" s="1" t="s">
        <v>19</v>
      </c>
      <c r="I2601" s="1" t="s">
        <v>428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1305</v>
      </c>
      <c r="D2602" s="1"/>
      <c r="E2602" s="1" t="s">
        <v>44</v>
      </c>
      <c r="F2602" s="1" t="s">
        <v>1307</v>
      </c>
      <c r="G2602" s="1">
        <v>2</v>
      </c>
      <c r="H2602" s="1" t="s">
        <v>19</v>
      </c>
      <c r="I2602" s="1" t="s">
        <v>428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1305</v>
      </c>
      <c r="D2603" s="1"/>
      <c r="E2603" s="1" t="s">
        <v>747</v>
      </c>
      <c r="F2603" s="1" t="s">
        <v>1308</v>
      </c>
      <c r="G2603" s="1">
        <v>2</v>
      </c>
      <c r="H2603" s="1" t="s">
        <v>19</v>
      </c>
      <c r="I2603" s="1" t="s">
        <v>428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1305</v>
      </c>
      <c r="D2604" s="1"/>
      <c r="E2604" s="1" t="s">
        <v>1102</v>
      </c>
      <c r="F2604" s="1" t="s">
        <v>2312</v>
      </c>
      <c r="G2604" s="1">
        <v>1</v>
      </c>
      <c r="H2604" s="1" t="s">
        <v>19</v>
      </c>
      <c r="I2604" s="1" t="s">
        <v>428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1305</v>
      </c>
      <c r="D2605" s="1"/>
      <c r="E2605" s="1" t="s">
        <v>101</v>
      </c>
      <c r="F2605" s="1" t="s">
        <v>2313</v>
      </c>
      <c r="G2605" s="1">
        <v>6</v>
      </c>
      <c r="H2605" s="1" t="s">
        <v>19</v>
      </c>
      <c r="I2605" s="1" t="s">
        <v>428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1305</v>
      </c>
      <c r="D2606" s="1"/>
      <c r="E2606" s="1" t="s">
        <v>174</v>
      </c>
      <c r="F2606" s="1" t="s">
        <v>2314</v>
      </c>
      <c r="G2606" s="1">
        <v>2</v>
      </c>
      <c r="H2606" s="1" t="s">
        <v>19</v>
      </c>
      <c r="I2606" s="1" t="s">
        <v>428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1311</v>
      </c>
      <c r="D2607" s="1"/>
      <c r="E2607" s="1" t="s">
        <v>2</v>
      </c>
      <c r="F2607" s="1" t="s">
        <v>1312</v>
      </c>
      <c r="G2607" s="1">
        <v>9</v>
      </c>
      <c r="H2607" s="1" t="s">
        <v>19</v>
      </c>
      <c r="I2607" s="1" t="s">
        <v>427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1311</v>
      </c>
      <c r="D2608" s="1"/>
      <c r="E2608" s="1" t="s">
        <v>44</v>
      </c>
      <c r="F2608" s="1" t="s">
        <v>1314</v>
      </c>
      <c r="G2608" s="1">
        <v>3</v>
      </c>
      <c r="H2608" s="1" t="s">
        <v>19</v>
      </c>
      <c r="I2608" s="1" t="s">
        <v>427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1313</v>
      </c>
      <c r="D2609" s="1"/>
      <c r="E2609" s="1" t="s">
        <v>2</v>
      </c>
      <c r="F2609" s="1" t="s">
        <v>1315</v>
      </c>
      <c r="G2609" s="1">
        <v>2</v>
      </c>
      <c r="H2609" s="1" t="s">
        <v>19</v>
      </c>
      <c r="I2609" s="1" t="s">
        <v>427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1313</v>
      </c>
      <c r="D2610" s="1"/>
      <c r="E2610" s="1" t="s">
        <v>44</v>
      </c>
      <c r="F2610" s="1" t="s">
        <v>1316</v>
      </c>
      <c r="G2610" s="1">
        <v>2</v>
      </c>
      <c r="H2610" s="1" t="s">
        <v>19</v>
      </c>
      <c r="I2610" s="1" t="s">
        <v>427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1313</v>
      </c>
      <c r="D2611" s="1"/>
      <c r="E2611" s="1" t="s">
        <v>747</v>
      </c>
      <c r="F2611" s="1" t="s">
        <v>1317</v>
      </c>
      <c r="G2611" s="1">
        <v>2</v>
      </c>
      <c r="H2611" s="1" t="s">
        <v>19</v>
      </c>
      <c r="I2611" s="1" t="s">
        <v>427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1313</v>
      </c>
      <c r="D2612" s="1"/>
      <c r="E2612" s="1" t="s">
        <v>1102</v>
      </c>
      <c r="F2612" s="1" t="s">
        <v>1318</v>
      </c>
      <c r="G2612" s="1">
        <v>3</v>
      </c>
      <c r="H2612" s="1" t="s">
        <v>19</v>
      </c>
      <c r="I2612" s="1" t="s">
        <v>427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1313</v>
      </c>
      <c r="D2613" s="1"/>
      <c r="E2613" s="1" t="s">
        <v>101</v>
      </c>
      <c r="F2613" s="1" t="s">
        <v>1319</v>
      </c>
      <c r="G2613" s="1">
        <v>1</v>
      </c>
      <c r="H2613" s="1" t="s">
        <v>19</v>
      </c>
      <c r="I2613" s="1" t="s">
        <v>427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1313</v>
      </c>
      <c r="D2614" s="1"/>
      <c r="E2614" s="1" t="s">
        <v>174</v>
      </c>
      <c r="F2614" s="1" t="s">
        <v>1320</v>
      </c>
      <c r="G2614" s="1">
        <v>1</v>
      </c>
      <c r="H2614" s="1" t="s">
        <v>19</v>
      </c>
      <c r="I2614" s="1" t="s">
        <v>427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1313</v>
      </c>
      <c r="D2615" s="1"/>
      <c r="E2615" s="1" t="s">
        <v>462</v>
      </c>
      <c r="F2615" s="1" t="s">
        <v>1321</v>
      </c>
      <c r="G2615" s="1">
        <v>1</v>
      </c>
      <c r="H2615" s="1" t="s">
        <v>19</v>
      </c>
      <c r="I2615" s="1" t="s">
        <v>427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1322</v>
      </c>
      <c r="D2616" s="1"/>
      <c r="E2616" s="1" t="s">
        <v>2</v>
      </c>
      <c r="F2616" s="1" t="s">
        <v>1323</v>
      </c>
      <c r="G2616" s="1">
        <v>2</v>
      </c>
      <c r="H2616" s="1" t="s">
        <v>19</v>
      </c>
      <c r="I2616" s="1" t="s">
        <v>427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1322</v>
      </c>
      <c r="D2617" s="1"/>
      <c r="E2617" s="1" t="s">
        <v>44</v>
      </c>
      <c r="F2617" s="1" t="s">
        <v>1324</v>
      </c>
      <c r="G2617" s="1">
        <v>2</v>
      </c>
      <c r="H2617" s="1" t="s">
        <v>19</v>
      </c>
      <c r="I2617" s="1" t="s">
        <v>427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1322</v>
      </c>
      <c r="D2618" s="1"/>
      <c r="E2618" s="1" t="s">
        <v>747</v>
      </c>
      <c r="F2618" s="1" t="s">
        <v>1325</v>
      </c>
      <c r="G2618" s="1">
        <v>2</v>
      </c>
      <c r="H2618" s="1" t="s">
        <v>19</v>
      </c>
      <c r="I2618" s="1" t="s">
        <v>427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1322</v>
      </c>
      <c r="D2619" s="1"/>
      <c r="E2619" s="1" t="s">
        <v>1102</v>
      </c>
      <c r="F2619" s="1" t="s">
        <v>1326</v>
      </c>
      <c r="G2619" s="1">
        <v>2</v>
      </c>
      <c r="H2619" s="1" t="s">
        <v>19</v>
      </c>
      <c r="I2619" s="1" t="s">
        <v>427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2315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999</v>
      </c>
      <c r="D2621" s="1"/>
      <c r="E2621" s="1" t="s">
        <v>174</v>
      </c>
      <c r="F2621" s="1" t="s">
        <v>1002</v>
      </c>
      <c r="G2621" s="1">
        <v>1</v>
      </c>
      <c r="H2621" s="1" t="s">
        <v>19</v>
      </c>
      <c r="I2621" s="1" t="s">
        <v>428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1004</v>
      </c>
      <c r="D2622" s="1"/>
      <c r="E2622" s="1" t="s">
        <v>44</v>
      </c>
      <c r="F2622" s="1" t="s">
        <v>1006</v>
      </c>
      <c r="G2622" s="1">
        <v>1</v>
      </c>
      <c r="H2622" s="1" t="s">
        <v>19</v>
      </c>
      <c r="I2622" s="1" t="s">
        <v>428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869</v>
      </c>
      <c r="D2623" s="1"/>
      <c r="E2623" s="1" t="s">
        <v>462</v>
      </c>
      <c r="F2623" s="1" t="s">
        <v>870</v>
      </c>
      <c r="G2623" s="1">
        <v>1</v>
      </c>
      <c r="H2623" s="1" t="s">
        <v>19</v>
      </c>
      <c r="I2623" s="1" t="s">
        <v>426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901</v>
      </c>
      <c r="D2624" s="1"/>
      <c r="E2624" s="1" t="s">
        <v>101</v>
      </c>
      <c r="F2624" s="1" t="s">
        <v>905</v>
      </c>
      <c r="G2624" s="1">
        <v>1</v>
      </c>
      <c r="H2624" s="1" t="s">
        <v>19</v>
      </c>
      <c r="I2624" s="1" t="s">
        <v>427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864</v>
      </c>
      <c r="D2625" s="1"/>
      <c r="E2625" s="1" t="s">
        <v>101</v>
      </c>
      <c r="F2625" s="1" t="s">
        <v>865</v>
      </c>
      <c r="G2625" s="1">
        <v>1</v>
      </c>
      <c r="H2625" s="1" t="s">
        <v>19</v>
      </c>
      <c r="I2625" s="1" t="s">
        <v>425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1054</v>
      </c>
      <c r="D2626" s="1"/>
      <c r="E2626" s="1" t="s">
        <v>1102</v>
      </c>
      <c r="F2626" s="1" t="s">
        <v>868</v>
      </c>
      <c r="G2626" s="1">
        <v>1</v>
      </c>
      <c r="H2626" s="1" t="s">
        <v>19</v>
      </c>
      <c r="I2626" s="1" t="s">
        <v>425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1159</v>
      </c>
      <c r="D2627" s="1"/>
      <c r="E2627" s="1" t="s">
        <v>2</v>
      </c>
      <c r="F2627" s="1" t="s">
        <v>1160</v>
      </c>
      <c r="G2627" s="1">
        <v>2</v>
      </c>
      <c r="H2627" s="1" t="s">
        <v>19</v>
      </c>
      <c r="I2627" s="1" t="s">
        <v>424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1159</v>
      </c>
      <c r="D2628" s="1"/>
      <c r="E2628" s="1" t="s">
        <v>2</v>
      </c>
      <c r="F2628" s="1" t="s">
        <v>1160</v>
      </c>
      <c r="G2628" s="1">
        <v>2</v>
      </c>
      <c r="H2628" s="1" t="s">
        <v>19</v>
      </c>
      <c r="I2628" s="1" t="s">
        <v>425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1159</v>
      </c>
      <c r="D2629" s="1"/>
      <c r="E2629" s="1" t="s">
        <v>2</v>
      </c>
      <c r="F2629" s="1" t="s">
        <v>1160</v>
      </c>
      <c r="G2629" s="1">
        <v>2</v>
      </c>
      <c r="H2629" s="1" t="s">
        <v>19</v>
      </c>
      <c r="I2629" s="1" t="s">
        <v>426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1159</v>
      </c>
      <c r="D2630" s="1"/>
      <c r="E2630" s="1" t="s">
        <v>2</v>
      </c>
      <c r="F2630" s="1" t="s">
        <v>1160</v>
      </c>
      <c r="G2630" s="1">
        <v>2</v>
      </c>
      <c r="H2630" s="1" t="s">
        <v>19</v>
      </c>
      <c r="I2630" s="1" t="s">
        <v>428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1159</v>
      </c>
      <c r="D2631" s="1"/>
      <c r="E2631" s="1" t="s">
        <v>44</v>
      </c>
      <c r="F2631" s="1" t="s">
        <v>1161</v>
      </c>
      <c r="G2631" s="1">
        <v>2</v>
      </c>
      <c r="H2631" s="1" t="s">
        <v>19</v>
      </c>
      <c r="I2631" s="1" t="s">
        <v>427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1159</v>
      </c>
      <c r="D2632" s="1"/>
      <c r="E2632" s="1" t="s">
        <v>1102</v>
      </c>
      <c r="F2632" s="1" t="s">
        <v>1163</v>
      </c>
      <c r="G2632" s="1">
        <v>2</v>
      </c>
      <c r="H2632" s="1" t="s">
        <v>19</v>
      </c>
      <c r="I2632" s="1" t="s">
        <v>424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1159</v>
      </c>
      <c r="D2633" s="1"/>
      <c r="E2633" s="1" t="s">
        <v>1102</v>
      </c>
      <c r="F2633" s="1" t="s">
        <v>1163</v>
      </c>
      <c r="G2633" s="1">
        <v>2</v>
      </c>
      <c r="H2633" s="1" t="s">
        <v>19</v>
      </c>
      <c r="I2633" s="1" t="s">
        <v>425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1159</v>
      </c>
      <c r="D2634" s="1"/>
      <c r="E2634" s="1" t="s">
        <v>1102</v>
      </c>
      <c r="F2634" s="1" t="s">
        <v>1163</v>
      </c>
      <c r="G2634" s="1">
        <v>2</v>
      </c>
      <c r="H2634" s="1" t="s">
        <v>19</v>
      </c>
      <c r="I2634" s="1" t="s">
        <v>426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1159</v>
      </c>
      <c r="D2635" s="1"/>
      <c r="E2635" s="1" t="s">
        <v>1102</v>
      </c>
      <c r="F2635" s="1" t="s">
        <v>1163</v>
      </c>
      <c r="G2635" s="1">
        <v>2</v>
      </c>
      <c r="H2635" s="1" t="s">
        <v>19</v>
      </c>
      <c r="I2635" s="1" t="s">
        <v>427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1159</v>
      </c>
      <c r="D2636" s="1"/>
      <c r="E2636" s="1" t="s">
        <v>1102</v>
      </c>
      <c r="F2636" s="1" t="s">
        <v>1163</v>
      </c>
      <c r="G2636" s="1">
        <v>2</v>
      </c>
      <c r="H2636" s="1" t="s">
        <v>19</v>
      </c>
      <c r="I2636" s="1" t="s">
        <v>428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1159</v>
      </c>
      <c r="D2637" s="1"/>
      <c r="E2637" s="1" t="s">
        <v>101</v>
      </c>
      <c r="F2637" s="1" t="s">
        <v>1162</v>
      </c>
      <c r="G2637" s="1">
        <v>4</v>
      </c>
      <c r="H2637" s="1" t="s">
        <v>19</v>
      </c>
      <c r="I2637" s="1" t="s">
        <v>424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1159</v>
      </c>
      <c r="D2638" s="1"/>
      <c r="E2638" s="1" t="s">
        <v>101</v>
      </c>
      <c r="F2638" s="1" t="s">
        <v>1162</v>
      </c>
      <c r="G2638" s="1">
        <v>4</v>
      </c>
      <c r="H2638" s="1" t="s">
        <v>19</v>
      </c>
      <c r="I2638" s="1" t="s">
        <v>425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1159</v>
      </c>
      <c r="D2639" s="1"/>
      <c r="E2639" s="1" t="s">
        <v>101</v>
      </c>
      <c r="F2639" s="1" t="s">
        <v>1162</v>
      </c>
      <c r="G2639" s="1">
        <v>4</v>
      </c>
      <c r="H2639" s="1" t="s">
        <v>19</v>
      </c>
      <c r="I2639" s="1" t="s">
        <v>426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1159</v>
      </c>
      <c r="D2640" s="1"/>
      <c r="E2640" s="1" t="s">
        <v>101</v>
      </c>
      <c r="F2640" s="1" t="s">
        <v>1162</v>
      </c>
      <c r="G2640" s="1">
        <v>4</v>
      </c>
      <c r="H2640" s="1" t="s">
        <v>19</v>
      </c>
      <c r="I2640" s="1" t="s">
        <v>427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1159</v>
      </c>
      <c r="D2641" s="1"/>
      <c r="E2641" s="1" t="s">
        <v>101</v>
      </c>
      <c r="F2641" s="1" t="s">
        <v>1162</v>
      </c>
      <c r="G2641" s="1">
        <v>4</v>
      </c>
      <c r="H2641" s="1" t="s">
        <v>19</v>
      </c>
      <c r="I2641" s="1" t="s">
        <v>428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1159</v>
      </c>
      <c r="D2642" s="1"/>
      <c r="E2642" s="1" t="s">
        <v>174</v>
      </c>
      <c r="F2642" s="1" t="s">
        <v>2735</v>
      </c>
      <c r="G2642" s="1">
        <v>4</v>
      </c>
      <c r="H2642" s="1" t="s">
        <v>19</v>
      </c>
      <c r="I2642" s="1" t="s">
        <v>424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1159</v>
      </c>
      <c r="D2643" s="1"/>
      <c r="E2643" s="1" t="s">
        <v>174</v>
      </c>
      <c r="F2643" s="1" t="s">
        <v>2735</v>
      </c>
      <c r="G2643" s="1">
        <v>4</v>
      </c>
      <c r="H2643" s="1" t="s">
        <v>19</v>
      </c>
      <c r="I2643" s="1" t="s">
        <v>425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1159</v>
      </c>
      <c r="D2644" s="1"/>
      <c r="E2644" s="1" t="s">
        <v>174</v>
      </c>
      <c r="F2644" s="1" t="s">
        <v>2735</v>
      </c>
      <c r="G2644" s="1">
        <v>4</v>
      </c>
      <c r="H2644" s="1" t="s">
        <v>19</v>
      </c>
      <c r="I2644" s="1" t="s">
        <v>426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1159</v>
      </c>
      <c r="D2645" s="1"/>
      <c r="E2645" s="1" t="s">
        <v>174</v>
      </c>
      <c r="F2645" s="1" t="s">
        <v>2735</v>
      </c>
      <c r="G2645" s="1">
        <v>4</v>
      </c>
      <c r="H2645" s="1" t="s">
        <v>19</v>
      </c>
      <c r="I2645" s="1" t="s">
        <v>427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1159</v>
      </c>
      <c r="D2646" s="1"/>
      <c r="E2646" s="1" t="s">
        <v>174</v>
      </c>
      <c r="F2646" s="1" t="s">
        <v>2735</v>
      </c>
      <c r="G2646" s="1">
        <v>4</v>
      </c>
      <c r="H2646" s="1" t="s">
        <v>19</v>
      </c>
      <c r="I2646" s="1" t="s">
        <v>428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574</v>
      </c>
      <c r="D2647" s="1"/>
      <c r="E2647" s="1"/>
      <c r="F2647" s="1" t="s">
        <v>575</v>
      </c>
      <c r="G2647" s="1">
        <v>15</v>
      </c>
      <c r="H2647" s="1" t="s">
        <v>19</v>
      </c>
      <c r="I2647" s="1" t="s">
        <v>570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574</v>
      </c>
      <c r="D2648" s="1"/>
      <c r="E2648" s="1"/>
      <c r="F2648" s="1" t="s">
        <v>575</v>
      </c>
      <c r="G2648" s="1">
        <v>12</v>
      </c>
      <c r="H2648" s="1" t="s">
        <v>19</v>
      </c>
      <c r="I2648" s="1" t="s">
        <v>571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574</v>
      </c>
      <c r="D2649" s="1"/>
      <c r="E2649" s="1"/>
      <c r="F2649" s="1" t="s">
        <v>575</v>
      </c>
      <c r="G2649" s="1">
        <v>12</v>
      </c>
      <c r="H2649" s="1" t="s">
        <v>19</v>
      </c>
      <c r="I2649" s="1" t="s">
        <v>572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574</v>
      </c>
      <c r="D2650" s="1"/>
      <c r="E2650" s="1"/>
      <c r="F2650" s="1" t="s">
        <v>575</v>
      </c>
      <c r="G2650" s="1">
        <v>7</v>
      </c>
      <c r="H2650" s="1" t="s">
        <v>19</v>
      </c>
      <c r="I2650" s="1" t="s">
        <v>573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887</v>
      </c>
      <c r="D2651" s="1"/>
      <c r="E2651" s="1"/>
      <c r="F2651" s="1" t="s">
        <v>888</v>
      </c>
      <c r="G2651" s="1">
        <v>1</v>
      </c>
      <c r="H2651" s="1" t="s">
        <v>19</v>
      </c>
      <c r="I2651" s="1" t="s">
        <v>570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887</v>
      </c>
      <c r="D2652" s="1"/>
      <c r="E2652" s="1"/>
      <c r="F2652" s="1" t="s">
        <v>889</v>
      </c>
      <c r="G2652" s="1">
        <v>1</v>
      </c>
      <c r="H2652" s="1" t="s">
        <v>19</v>
      </c>
      <c r="I2652" s="1" t="s">
        <v>571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887</v>
      </c>
      <c r="D2653" s="1"/>
      <c r="E2653" s="1"/>
      <c r="F2653" s="1" t="s">
        <v>890</v>
      </c>
      <c r="G2653" s="1">
        <v>1</v>
      </c>
      <c r="H2653" s="1" t="s">
        <v>19</v>
      </c>
      <c r="I2653" s="1" t="s">
        <v>572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887</v>
      </c>
      <c r="D2654" s="1"/>
      <c r="E2654" s="1"/>
      <c r="F2654" s="1" t="s">
        <v>891</v>
      </c>
      <c r="G2654" s="1">
        <v>1</v>
      </c>
      <c r="H2654" s="1" t="s">
        <v>19</v>
      </c>
      <c r="I2654" s="1" t="s">
        <v>573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619</v>
      </c>
      <c r="D2655" s="1"/>
      <c r="E2655" s="1"/>
      <c r="F2655" s="1" t="s">
        <v>620</v>
      </c>
      <c r="G2655" s="1">
        <v>1</v>
      </c>
      <c r="H2655" s="1" t="s">
        <v>19</v>
      </c>
      <c r="I2655" s="1" t="s">
        <v>573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621</v>
      </c>
      <c r="D2656" s="1"/>
      <c r="E2656" s="1"/>
      <c r="F2656" s="1" t="s">
        <v>622</v>
      </c>
      <c r="G2656" s="1">
        <v>1</v>
      </c>
      <c r="H2656" s="1" t="s">
        <v>19</v>
      </c>
      <c r="I2656" s="1" t="s">
        <v>571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621</v>
      </c>
      <c r="D2657" s="1"/>
      <c r="E2657" s="1"/>
      <c r="F2657" s="1" t="s">
        <v>623</v>
      </c>
      <c r="G2657" s="1">
        <v>1</v>
      </c>
      <c r="H2657" s="1" t="s">
        <v>19</v>
      </c>
      <c r="I2657" s="1" t="s">
        <v>572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822</v>
      </c>
      <c r="D2658" s="1"/>
      <c r="E2658" s="1"/>
      <c r="F2658" s="1" t="s">
        <v>1121</v>
      </c>
      <c r="G2658" s="1">
        <v>1</v>
      </c>
      <c r="H2658" s="1" t="s">
        <v>19</v>
      </c>
      <c r="I2658" s="1" t="s">
        <v>570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822</v>
      </c>
      <c r="D2659" s="1"/>
      <c r="E2659" s="1"/>
      <c r="F2659" s="1" t="s">
        <v>1121</v>
      </c>
      <c r="G2659" s="1">
        <v>1</v>
      </c>
      <c r="H2659" s="1" t="s">
        <v>19</v>
      </c>
      <c r="I2659" s="1" t="s">
        <v>571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822</v>
      </c>
      <c r="D2660" s="1"/>
      <c r="E2660" s="1"/>
      <c r="F2660" s="1" t="s">
        <v>1121</v>
      </c>
      <c r="G2660" s="1">
        <v>1</v>
      </c>
      <c r="H2660" s="1" t="s">
        <v>19</v>
      </c>
      <c r="I2660" s="1" t="s">
        <v>572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822</v>
      </c>
      <c r="D2661" s="1"/>
      <c r="E2661" s="1"/>
      <c r="F2661" s="1" t="s">
        <v>1121</v>
      </c>
      <c r="G2661" s="1">
        <v>1</v>
      </c>
      <c r="H2661" s="1" t="s">
        <v>19</v>
      </c>
      <c r="I2661" s="1" t="s">
        <v>573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818</v>
      </c>
      <c r="D2662" s="1"/>
      <c r="E2662" s="1" t="s">
        <v>2</v>
      </c>
      <c r="F2662" s="1" t="s">
        <v>819</v>
      </c>
      <c r="G2662" s="1">
        <v>182</v>
      </c>
      <c r="H2662" s="1" t="s">
        <v>19</v>
      </c>
      <c r="I2662" s="1" t="s">
        <v>570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818</v>
      </c>
      <c r="D2663" s="1"/>
      <c r="E2663" s="1" t="s">
        <v>2</v>
      </c>
      <c r="F2663" s="1" t="s">
        <v>819</v>
      </c>
      <c r="G2663" s="1">
        <v>162</v>
      </c>
      <c r="H2663" s="1" t="s">
        <v>19</v>
      </c>
      <c r="I2663" s="1" t="s">
        <v>571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818</v>
      </c>
      <c r="D2664" s="1"/>
      <c r="E2664" s="1" t="s">
        <v>2</v>
      </c>
      <c r="F2664" s="1" t="s">
        <v>819</v>
      </c>
      <c r="G2664" s="1">
        <v>74</v>
      </c>
      <c r="H2664" s="1" t="s">
        <v>19</v>
      </c>
      <c r="I2664" s="1" t="s">
        <v>572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1252</v>
      </c>
      <c r="D2665" s="1"/>
      <c r="E2665" s="1"/>
      <c r="F2665" s="1" t="s">
        <v>1253</v>
      </c>
      <c r="G2665" s="1">
        <v>1</v>
      </c>
      <c r="H2665" s="1" t="s">
        <v>19</v>
      </c>
      <c r="I2665" s="1" t="s">
        <v>570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1252</v>
      </c>
      <c r="D2666" s="1"/>
      <c r="E2666" s="1"/>
      <c r="F2666" s="1" t="s">
        <v>1253</v>
      </c>
      <c r="G2666" s="1">
        <v>1</v>
      </c>
      <c r="H2666" s="1" t="s">
        <v>19</v>
      </c>
      <c r="I2666" s="1" t="s">
        <v>571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1252</v>
      </c>
      <c r="D2667" s="1"/>
      <c r="E2667" s="1"/>
      <c r="F2667" s="1" t="s">
        <v>1253</v>
      </c>
      <c r="G2667" s="1">
        <v>1</v>
      </c>
      <c r="H2667" s="1" t="s">
        <v>19</v>
      </c>
      <c r="I2667" s="1" t="s">
        <v>572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1252</v>
      </c>
      <c r="D2668" s="1"/>
      <c r="E2668" s="1"/>
      <c r="F2668" s="1" t="s">
        <v>1253</v>
      </c>
      <c r="G2668" s="1">
        <v>1</v>
      </c>
      <c r="H2668" s="1" t="s">
        <v>19</v>
      </c>
      <c r="I2668" s="1" t="s">
        <v>573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818</v>
      </c>
      <c r="D2669" s="1"/>
      <c r="E2669" s="1" t="s">
        <v>2</v>
      </c>
      <c r="F2669" s="1" t="s">
        <v>819</v>
      </c>
      <c r="G2669" s="1">
        <v>88</v>
      </c>
      <c r="H2669" s="1" t="s">
        <v>19</v>
      </c>
      <c r="I2669" s="1" t="s">
        <v>572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818</v>
      </c>
      <c r="D2670" s="1"/>
      <c r="E2670" s="1" t="s">
        <v>2</v>
      </c>
      <c r="F2670" s="1" t="s">
        <v>819</v>
      </c>
      <c r="G2670" s="1">
        <v>110</v>
      </c>
      <c r="H2670" s="1" t="s">
        <v>19</v>
      </c>
      <c r="I2670" s="1" t="s">
        <v>573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1252</v>
      </c>
      <c r="D2671" s="1"/>
      <c r="E2671" s="1"/>
      <c r="F2671" s="1" t="s">
        <v>1253</v>
      </c>
      <c r="G2671" s="1">
        <v>1</v>
      </c>
      <c r="H2671" s="1" t="s">
        <v>19</v>
      </c>
      <c r="I2671" s="1" t="s">
        <v>570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1252</v>
      </c>
      <c r="D2672" s="1"/>
      <c r="E2672" s="1"/>
      <c r="F2672" s="1" t="s">
        <v>1253</v>
      </c>
      <c r="G2672" s="1">
        <v>1</v>
      </c>
      <c r="H2672" s="1" t="s">
        <v>19</v>
      </c>
      <c r="I2672" s="1" t="s">
        <v>571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1252</v>
      </c>
      <c r="D2673" s="1"/>
      <c r="E2673" s="1"/>
      <c r="F2673" s="1" t="s">
        <v>1253</v>
      </c>
      <c r="G2673" s="1">
        <v>1</v>
      </c>
      <c r="H2673" s="1" t="s">
        <v>19</v>
      </c>
      <c r="I2673" s="1" t="s">
        <v>572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1252</v>
      </c>
      <c r="D2674" s="1"/>
      <c r="E2674" s="1"/>
      <c r="F2674" s="1" t="s">
        <v>1253</v>
      </c>
      <c r="G2674" s="1">
        <v>1</v>
      </c>
      <c r="H2674" s="1" t="s">
        <v>19</v>
      </c>
      <c r="I2674" s="1" t="s">
        <v>573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818</v>
      </c>
      <c r="D2675" s="1"/>
      <c r="E2675" s="1" t="s">
        <v>2</v>
      </c>
      <c r="F2675" s="1" t="s">
        <v>819</v>
      </c>
      <c r="G2675" s="1">
        <v>88</v>
      </c>
      <c r="H2675" s="1" t="s">
        <v>19</v>
      </c>
      <c r="I2675" s="1" t="s">
        <v>572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818</v>
      </c>
      <c r="D2676" s="1"/>
      <c r="E2676" s="1" t="s">
        <v>2</v>
      </c>
      <c r="F2676" s="1" t="s">
        <v>819</v>
      </c>
      <c r="G2676" s="1">
        <v>110</v>
      </c>
      <c r="H2676" s="1" t="s">
        <v>19</v>
      </c>
      <c r="I2676" s="1" t="s">
        <v>573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568</v>
      </c>
      <c r="D2677" s="1"/>
      <c r="E2677" s="1" t="s">
        <v>2</v>
      </c>
      <c r="F2677" s="1" t="s">
        <v>569</v>
      </c>
      <c r="G2677" s="1">
        <v>1</v>
      </c>
      <c r="H2677" s="1" t="s">
        <v>19</v>
      </c>
      <c r="I2677" s="1" t="s">
        <v>570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568</v>
      </c>
      <c r="D2678" s="1"/>
      <c r="E2678" s="1" t="s">
        <v>2</v>
      </c>
      <c r="F2678" s="1" t="s">
        <v>569</v>
      </c>
      <c r="G2678" s="1">
        <v>1</v>
      </c>
      <c r="H2678" s="1" t="s">
        <v>19</v>
      </c>
      <c r="I2678" s="1" t="s">
        <v>571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568</v>
      </c>
      <c r="D2679" s="1"/>
      <c r="E2679" s="1"/>
      <c r="F2679" s="1" t="s">
        <v>569</v>
      </c>
      <c r="G2679" s="1">
        <v>1</v>
      </c>
      <c r="H2679" s="1" t="s">
        <v>19</v>
      </c>
      <c r="I2679" s="1" t="s">
        <v>572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568</v>
      </c>
      <c r="D2680" s="1"/>
      <c r="E2680" s="1" t="s">
        <v>2</v>
      </c>
      <c r="F2680" s="1" t="s">
        <v>569</v>
      </c>
      <c r="G2680" s="1">
        <v>1</v>
      </c>
      <c r="H2680" s="1" t="s">
        <v>19</v>
      </c>
      <c r="I2680" s="1" t="s">
        <v>573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624</v>
      </c>
      <c r="D2681" s="1"/>
      <c r="E2681" s="1" t="s">
        <v>2</v>
      </c>
      <c r="F2681" s="1" t="s">
        <v>625</v>
      </c>
      <c r="G2681" s="1">
        <v>1</v>
      </c>
      <c r="H2681" s="1" t="s">
        <v>19</v>
      </c>
      <c r="I2681" s="1" t="s">
        <v>571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624</v>
      </c>
      <c r="D2682" s="1"/>
      <c r="E2682" s="1" t="s">
        <v>2</v>
      </c>
      <c r="F2682" s="1" t="s">
        <v>626</v>
      </c>
      <c r="G2682" s="1">
        <v>1</v>
      </c>
      <c r="H2682" s="1" t="s">
        <v>19</v>
      </c>
      <c r="I2682" s="1" t="s">
        <v>572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629</v>
      </c>
      <c r="D2683" s="1"/>
      <c r="E2683" s="1"/>
      <c r="F2683" s="1" t="s">
        <v>628</v>
      </c>
      <c r="G2683" s="1">
        <v>1</v>
      </c>
      <c r="H2683" s="1" t="s">
        <v>19</v>
      </c>
      <c r="I2683" s="1" t="s">
        <v>570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629</v>
      </c>
      <c r="D2684" s="1"/>
      <c r="E2684" s="1" t="s">
        <v>2</v>
      </c>
      <c r="F2684" s="1" t="s">
        <v>627</v>
      </c>
      <c r="G2684" s="1">
        <v>1</v>
      </c>
      <c r="H2684" s="1" t="s">
        <v>19</v>
      </c>
      <c r="I2684" s="1" t="s">
        <v>573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674</v>
      </c>
      <c r="D2685" s="1"/>
      <c r="E2685" s="1" t="s">
        <v>2</v>
      </c>
      <c r="F2685" s="1" t="s">
        <v>1341</v>
      </c>
      <c r="G2685" s="1">
        <v>1</v>
      </c>
      <c r="H2685" s="1" t="s">
        <v>19</v>
      </c>
      <c r="I2685" s="1" t="s">
        <v>570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674</v>
      </c>
      <c r="D2686" s="1"/>
      <c r="E2686" s="1" t="s">
        <v>2</v>
      </c>
      <c r="F2686" s="1" t="s">
        <v>1341</v>
      </c>
      <c r="G2686" s="1">
        <v>1</v>
      </c>
      <c r="H2686" s="1" t="s">
        <v>19</v>
      </c>
      <c r="I2686" s="1" t="s">
        <v>571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674</v>
      </c>
      <c r="D2687" s="1"/>
      <c r="E2687" s="1" t="s">
        <v>2</v>
      </c>
      <c r="F2687" s="1" t="s">
        <v>1341</v>
      </c>
      <c r="G2687" s="1">
        <v>1</v>
      </c>
      <c r="H2687" s="1" t="s">
        <v>19</v>
      </c>
      <c r="I2687" s="1" t="s">
        <v>572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674</v>
      </c>
      <c r="D2688" s="1"/>
      <c r="E2688" s="1" t="s">
        <v>2</v>
      </c>
      <c r="F2688" s="1" t="s">
        <v>1341</v>
      </c>
      <c r="G2688" s="1">
        <v>1</v>
      </c>
      <c r="H2688" s="1" t="s">
        <v>19</v>
      </c>
      <c r="I2688" s="1" t="s">
        <v>573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675</v>
      </c>
      <c r="D2689" s="1"/>
      <c r="E2689" s="1" t="s">
        <v>2</v>
      </c>
      <c r="F2689" s="1" t="s">
        <v>676</v>
      </c>
      <c r="G2689" s="1">
        <v>1</v>
      </c>
      <c r="H2689" s="1" t="s">
        <v>19</v>
      </c>
      <c r="I2689" s="1" t="s">
        <v>570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675</v>
      </c>
      <c r="D2690" s="1"/>
      <c r="E2690" s="1" t="s">
        <v>2</v>
      </c>
      <c r="F2690" s="1" t="s">
        <v>676</v>
      </c>
      <c r="G2690" s="1">
        <v>1</v>
      </c>
      <c r="H2690" s="1" t="s">
        <v>19</v>
      </c>
      <c r="I2690" s="1" t="s">
        <v>571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675</v>
      </c>
      <c r="D2691" s="1"/>
      <c r="E2691" s="1" t="s">
        <v>2</v>
      </c>
      <c r="F2691" s="1" t="s">
        <v>676</v>
      </c>
      <c r="G2691" s="1">
        <v>1</v>
      </c>
      <c r="H2691" s="1" t="s">
        <v>19</v>
      </c>
      <c r="I2691" s="1" t="s">
        <v>572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675</v>
      </c>
      <c r="D2692" s="1"/>
      <c r="E2692" s="1" t="s">
        <v>2</v>
      </c>
      <c r="F2692" s="1" t="s">
        <v>676</v>
      </c>
      <c r="G2692" s="1">
        <v>1</v>
      </c>
      <c r="H2692" s="1" t="s">
        <v>19</v>
      </c>
      <c r="I2692" s="1" t="s">
        <v>573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675</v>
      </c>
      <c r="D2693" s="1"/>
      <c r="E2693" s="1" t="s">
        <v>44</v>
      </c>
      <c r="F2693" s="1" t="s">
        <v>677</v>
      </c>
      <c r="G2693" s="1">
        <v>1</v>
      </c>
      <c r="H2693" s="1" t="s">
        <v>19</v>
      </c>
      <c r="I2693" s="1" t="s">
        <v>570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675</v>
      </c>
      <c r="D2694" s="1"/>
      <c r="E2694" s="1" t="s">
        <v>44</v>
      </c>
      <c r="F2694" s="1" t="s">
        <v>677</v>
      </c>
      <c r="G2694" s="1">
        <v>1</v>
      </c>
      <c r="H2694" s="1" t="s">
        <v>19</v>
      </c>
      <c r="I2694" s="1" t="s">
        <v>571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675</v>
      </c>
      <c r="D2695" s="1"/>
      <c r="E2695" s="1" t="s">
        <v>44</v>
      </c>
      <c r="F2695" s="1" t="s">
        <v>677</v>
      </c>
      <c r="G2695" s="1">
        <v>1</v>
      </c>
      <c r="H2695" s="1" t="s">
        <v>19</v>
      </c>
      <c r="I2695" s="1" t="s">
        <v>572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675</v>
      </c>
      <c r="D2696" s="1"/>
      <c r="E2696" s="1" t="s">
        <v>44</v>
      </c>
      <c r="F2696" s="1" t="s">
        <v>677</v>
      </c>
      <c r="G2696" s="1">
        <v>1</v>
      </c>
      <c r="H2696" s="1" t="s">
        <v>19</v>
      </c>
      <c r="I2696" s="1" t="s">
        <v>573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694</v>
      </c>
      <c r="D2697" s="1"/>
      <c r="E2697" s="1" t="s">
        <v>2</v>
      </c>
      <c r="F2697" s="1" t="s">
        <v>695</v>
      </c>
      <c r="G2697" s="1">
        <v>2</v>
      </c>
      <c r="H2697" s="1" t="s">
        <v>19</v>
      </c>
      <c r="I2697" s="1" t="s">
        <v>570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694</v>
      </c>
      <c r="D2698" s="1"/>
      <c r="E2698" s="1" t="s">
        <v>2</v>
      </c>
      <c r="F2698" s="1" t="s">
        <v>695</v>
      </c>
      <c r="G2698" s="1">
        <v>2</v>
      </c>
      <c r="H2698" s="1" t="s">
        <v>19</v>
      </c>
      <c r="I2698" s="1" t="s">
        <v>571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694</v>
      </c>
      <c r="D2699" s="1"/>
      <c r="E2699" s="1" t="s">
        <v>2</v>
      </c>
      <c r="F2699" s="1" t="s">
        <v>695</v>
      </c>
      <c r="G2699" s="1">
        <v>2</v>
      </c>
      <c r="H2699" s="1" t="s">
        <v>19</v>
      </c>
      <c r="I2699" s="1" t="s">
        <v>572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694</v>
      </c>
      <c r="D2700" s="1"/>
      <c r="E2700" s="1" t="s">
        <v>2</v>
      </c>
      <c r="F2700" s="1" t="s">
        <v>695</v>
      </c>
      <c r="G2700" s="1">
        <v>2</v>
      </c>
      <c r="H2700" s="1" t="s">
        <v>19</v>
      </c>
      <c r="I2700" s="1" t="s">
        <v>573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699</v>
      </c>
      <c r="D2701" s="1"/>
      <c r="E2701" s="1"/>
      <c r="F2701" s="1" t="s">
        <v>700</v>
      </c>
      <c r="G2701" s="1">
        <v>2</v>
      </c>
      <c r="H2701" s="1" t="s">
        <v>19</v>
      </c>
      <c r="I2701" s="1" t="s">
        <v>570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699</v>
      </c>
      <c r="D2702" s="1"/>
      <c r="E2702" s="1"/>
      <c r="F2702" s="1" t="s">
        <v>700</v>
      </c>
      <c r="G2702" s="1">
        <v>2</v>
      </c>
      <c r="H2702" s="1" t="s">
        <v>19</v>
      </c>
      <c r="I2702" s="1" t="s">
        <v>571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699</v>
      </c>
      <c r="D2703" s="1"/>
      <c r="E2703" s="1"/>
      <c r="F2703" s="1" t="s">
        <v>700</v>
      </c>
      <c r="G2703" s="1">
        <v>2</v>
      </c>
      <c r="H2703" s="1" t="s">
        <v>19</v>
      </c>
      <c r="I2703" s="1" t="s">
        <v>572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699</v>
      </c>
      <c r="D2704" s="1"/>
      <c r="E2704" s="1"/>
      <c r="F2704" s="1" t="s">
        <v>700</v>
      </c>
      <c r="G2704" s="1">
        <v>2</v>
      </c>
      <c r="H2704" s="1" t="s">
        <v>19</v>
      </c>
      <c r="I2704" s="1" t="s">
        <v>573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1342</v>
      </c>
      <c r="D2705" s="1"/>
      <c r="E2705" s="1"/>
      <c r="F2705" s="1" t="s">
        <v>1343</v>
      </c>
      <c r="G2705" s="1">
        <v>1</v>
      </c>
      <c r="H2705" s="1" t="s">
        <v>19</v>
      </c>
      <c r="I2705" s="1" t="s">
        <v>570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1342</v>
      </c>
      <c r="D2706" s="1"/>
      <c r="E2706" s="1"/>
      <c r="F2706" s="1" t="s">
        <v>1343</v>
      </c>
      <c r="G2706" s="1">
        <v>1</v>
      </c>
      <c r="H2706" s="1" t="s">
        <v>19</v>
      </c>
      <c r="I2706" s="1" t="s">
        <v>571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1342</v>
      </c>
      <c r="D2707" s="1"/>
      <c r="E2707" s="1"/>
      <c r="F2707" s="1" t="s">
        <v>1343</v>
      </c>
      <c r="G2707" s="1">
        <v>1</v>
      </c>
      <c r="H2707" s="1" t="s">
        <v>19</v>
      </c>
      <c r="I2707" s="1" t="s">
        <v>572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1342</v>
      </c>
      <c r="D2708" s="1"/>
      <c r="E2708" s="1"/>
      <c r="F2708" s="1" t="s">
        <v>1343</v>
      </c>
      <c r="G2708" s="1">
        <v>1</v>
      </c>
      <c r="H2708" s="1" t="s">
        <v>19</v>
      </c>
      <c r="I2708" s="1" t="s">
        <v>573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818</v>
      </c>
      <c r="D2709" s="1"/>
      <c r="E2709" s="1" t="s">
        <v>1344</v>
      </c>
      <c r="F2709" s="1" t="s">
        <v>1345</v>
      </c>
      <c r="G2709" s="1">
        <v>1264</v>
      </c>
      <c r="H2709" s="1" t="s">
        <v>19</v>
      </c>
      <c r="I2709" s="1" t="s">
        <v>1346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1347</v>
      </c>
      <c r="D2710" s="1"/>
      <c r="E2710" s="1"/>
      <c r="F2710" s="1" t="s">
        <v>1348</v>
      </c>
      <c r="G2710" s="1">
        <v>1</v>
      </c>
      <c r="H2710" s="1" t="s">
        <v>19</v>
      </c>
      <c r="I2710" s="1" t="s">
        <v>570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1347</v>
      </c>
      <c r="D2711" s="1"/>
      <c r="E2711" s="1"/>
      <c r="F2711" s="1" t="s">
        <v>1348</v>
      </c>
      <c r="G2711" s="1">
        <v>1</v>
      </c>
      <c r="H2711" s="1" t="s">
        <v>19</v>
      </c>
      <c r="I2711" s="1" t="s">
        <v>571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1347</v>
      </c>
      <c r="D2712" s="1"/>
      <c r="E2712" s="1"/>
      <c r="F2712" s="1" t="s">
        <v>1348</v>
      </c>
      <c r="G2712" s="1">
        <v>1</v>
      </c>
      <c r="H2712" s="1" t="s">
        <v>19</v>
      </c>
      <c r="I2712" s="1" t="s">
        <v>572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1347</v>
      </c>
      <c r="D2713" s="1"/>
      <c r="E2713" s="1"/>
      <c r="F2713" s="1" t="s">
        <v>1348</v>
      </c>
      <c r="G2713" s="1">
        <v>1</v>
      </c>
      <c r="H2713" s="1" t="s">
        <v>19</v>
      </c>
      <c r="I2713" s="1" t="s">
        <v>573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800</v>
      </c>
      <c r="D2714" s="1"/>
      <c r="E2714" s="1" t="s">
        <v>2</v>
      </c>
      <c r="F2714" s="1" t="s">
        <v>801</v>
      </c>
      <c r="G2714" s="1">
        <v>4</v>
      </c>
      <c r="H2714" s="1" t="s">
        <v>19</v>
      </c>
      <c r="I2714" s="1" t="s">
        <v>570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800</v>
      </c>
      <c r="D2715" s="1"/>
      <c r="E2715" s="1" t="s">
        <v>44</v>
      </c>
      <c r="F2715" s="1" t="s">
        <v>802</v>
      </c>
      <c r="G2715" s="1">
        <v>4</v>
      </c>
      <c r="H2715" s="1" t="s">
        <v>19</v>
      </c>
      <c r="I2715" s="1" t="s">
        <v>570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800</v>
      </c>
      <c r="D2716" s="1"/>
      <c r="E2716" s="1" t="s">
        <v>747</v>
      </c>
      <c r="F2716" s="1" t="s">
        <v>803</v>
      </c>
      <c r="G2716" s="1">
        <v>4</v>
      </c>
      <c r="H2716" s="1" t="s">
        <v>19</v>
      </c>
      <c r="I2716" s="1" t="s">
        <v>570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800</v>
      </c>
      <c r="D2717" s="1"/>
      <c r="E2717" s="1" t="s">
        <v>1102</v>
      </c>
      <c r="F2717" s="1" t="s">
        <v>804</v>
      </c>
      <c r="G2717" s="1">
        <v>8</v>
      </c>
      <c r="H2717" s="1" t="s">
        <v>19</v>
      </c>
      <c r="I2717" s="1" t="s">
        <v>570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800</v>
      </c>
      <c r="D2718" s="1"/>
      <c r="E2718" s="1" t="s">
        <v>2</v>
      </c>
      <c r="F2718" s="1" t="s">
        <v>801</v>
      </c>
      <c r="G2718" s="1">
        <v>4</v>
      </c>
      <c r="H2718" s="1" t="s">
        <v>19</v>
      </c>
      <c r="I2718" s="1" t="s">
        <v>571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800</v>
      </c>
      <c r="D2719" s="1"/>
      <c r="E2719" s="1" t="s">
        <v>44</v>
      </c>
      <c r="F2719" s="1" t="s">
        <v>802</v>
      </c>
      <c r="G2719" s="1">
        <v>4</v>
      </c>
      <c r="H2719" s="1" t="s">
        <v>19</v>
      </c>
      <c r="I2719" s="1" t="s">
        <v>571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800</v>
      </c>
      <c r="D2720" s="1"/>
      <c r="E2720" s="1" t="s">
        <v>747</v>
      </c>
      <c r="F2720" s="1" t="s">
        <v>803</v>
      </c>
      <c r="G2720" s="1">
        <v>4</v>
      </c>
      <c r="H2720" s="1" t="s">
        <v>19</v>
      </c>
      <c r="I2720" s="1" t="s">
        <v>571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800</v>
      </c>
      <c r="D2721" s="1"/>
      <c r="E2721" s="1" t="s">
        <v>1102</v>
      </c>
      <c r="F2721" s="1" t="s">
        <v>804</v>
      </c>
      <c r="G2721" s="1">
        <v>8</v>
      </c>
      <c r="H2721" s="1" t="s">
        <v>19</v>
      </c>
      <c r="I2721" s="1" t="s">
        <v>571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800</v>
      </c>
      <c r="D2722" s="1"/>
      <c r="E2722" s="1" t="s">
        <v>2</v>
      </c>
      <c r="F2722" s="1" t="s">
        <v>801</v>
      </c>
      <c r="G2722" s="1">
        <v>4</v>
      </c>
      <c r="H2722" s="1" t="s">
        <v>19</v>
      </c>
      <c r="I2722" s="1" t="s">
        <v>572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800</v>
      </c>
      <c r="D2723" s="1"/>
      <c r="E2723" s="1" t="s">
        <v>44</v>
      </c>
      <c r="F2723" s="1" t="s">
        <v>802</v>
      </c>
      <c r="G2723" s="1">
        <v>4</v>
      </c>
      <c r="H2723" s="1" t="s">
        <v>19</v>
      </c>
      <c r="I2723" s="1" t="s">
        <v>572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800</v>
      </c>
      <c r="D2724" s="1"/>
      <c r="E2724" s="1" t="s">
        <v>747</v>
      </c>
      <c r="F2724" s="1" t="s">
        <v>803</v>
      </c>
      <c r="G2724" s="1">
        <v>4</v>
      </c>
      <c r="H2724" s="1" t="s">
        <v>19</v>
      </c>
      <c r="I2724" s="1" t="s">
        <v>572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800</v>
      </c>
      <c r="D2725" s="1"/>
      <c r="E2725" s="1" t="s">
        <v>1102</v>
      </c>
      <c r="F2725" s="1" t="s">
        <v>804</v>
      </c>
      <c r="G2725" s="1">
        <v>8</v>
      </c>
      <c r="H2725" s="1" t="s">
        <v>19</v>
      </c>
      <c r="I2725" s="1" t="s">
        <v>572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800</v>
      </c>
      <c r="D2726" s="1"/>
      <c r="E2726" s="1" t="s">
        <v>2</v>
      </c>
      <c r="F2726" s="1" t="s">
        <v>801</v>
      </c>
      <c r="G2726" s="1">
        <v>4</v>
      </c>
      <c r="H2726" s="1" t="s">
        <v>19</v>
      </c>
      <c r="I2726" s="1" t="s">
        <v>573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800</v>
      </c>
      <c r="D2727" s="1"/>
      <c r="E2727" s="1" t="s">
        <v>44</v>
      </c>
      <c r="F2727" s="1" t="s">
        <v>802</v>
      </c>
      <c r="G2727" s="1">
        <v>4</v>
      </c>
      <c r="H2727" s="1" t="s">
        <v>19</v>
      </c>
      <c r="I2727" s="1" t="s">
        <v>573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800</v>
      </c>
      <c r="D2728" s="1"/>
      <c r="E2728" s="1" t="s">
        <v>747</v>
      </c>
      <c r="F2728" s="1" t="s">
        <v>803</v>
      </c>
      <c r="G2728" s="1">
        <v>4</v>
      </c>
      <c r="H2728" s="1" t="s">
        <v>19</v>
      </c>
      <c r="I2728" s="1" t="s">
        <v>573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800</v>
      </c>
      <c r="D2729" s="1"/>
      <c r="E2729" s="1" t="s">
        <v>1102</v>
      </c>
      <c r="F2729" s="1" t="s">
        <v>804</v>
      </c>
      <c r="G2729" s="1">
        <v>8</v>
      </c>
      <c r="H2729" s="1" t="s">
        <v>19</v>
      </c>
      <c r="I2729" s="1" t="s">
        <v>573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658</v>
      </c>
      <c r="D2730" s="1"/>
      <c r="E2730" s="1" t="s">
        <v>2</v>
      </c>
      <c r="F2730" s="1" t="s">
        <v>659</v>
      </c>
      <c r="G2730" s="1">
        <v>3</v>
      </c>
      <c r="H2730" s="1" t="s">
        <v>19</v>
      </c>
      <c r="I2730" s="1" t="s">
        <v>570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658</v>
      </c>
      <c r="D2731" s="1"/>
      <c r="E2731" s="1" t="s">
        <v>2</v>
      </c>
      <c r="F2731" s="1" t="s">
        <v>659</v>
      </c>
      <c r="G2731" s="1">
        <v>3</v>
      </c>
      <c r="H2731" s="1" t="s">
        <v>19</v>
      </c>
      <c r="I2731" s="1" t="s">
        <v>571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658</v>
      </c>
      <c r="D2732" s="1"/>
      <c r="E2732" s="1" t="s">
        <v>2</v>
      </c>
      <c r="F2732" s="1" t="s">
        <v>659</v>
      </c>
      <c r="G2732" s="1">
        <v>3</v>
      </c>
      <c r="H2732" s="1" t="s">
        <v>19</v>
      </c>
      <c r="I2732" s="1" t="s">
        <v>572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658</v>
      </c>
      <c r="D2733" s="1"/>
      <c r="E2733" s="1" t="s">
        <v>2</v>
      </c>
      <c r="F2733" s="1" t="s">
        <v>659</v>
      </c>
      <c r="G2733" s="1">
        <v>3</v>
      </c>
      <c r="H2733" s="1" t="s">
        <v>19</v>
      </c>
      <c r="I2733" s="1" t="s">
        <v>573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1645</v>
      </c>
      <c r="D2734" s="1"/>
      <c r="E2734" s="1"/>
      <c r="F2734" s="1" t="s">
        <v>1646</v>
      </c>
      <c r="G2734" s="1">
        <v>30</v>
      </c>
      <c r="H2734" s="1" t="s">
        <v>19</v>
      </c>
      <c r="I2734" s="1" t="s">
        <v>1647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1648</v>
      </c>
      <c r="D2735" s="1"/>
      <c r="E2735" s="1"/>
      <c r="F2735" s="1" t="s">
        <v>1649</v>
      </c>
      <c r="G2735" s="1">
        <v>15</v>
      </c>
      <c r="H2735" s="1" t="s">
        <v>19</v>
      </c>
      <c r="I2735" s="1" t="s">
        <v>1650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1648</v>
      </c>
      <c r="D2736" s="1"/>
      <c r="E2736" s="1"/>
      <c r="F2736" s="1" t="s">
        <v>1651</v>
      </c>
      <c r="G2736" s="1">
        <v>15</v>
      </c>
      <c r="H2736" s="1" t="s">
        <v>19</v>
      </c>
      <c r="I2736" s="1" t="s">
        <v>1647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1645</v>
      </c>
      <c r="D2737" s="1"/>
      <c r="E2737" s="1"/>
      <c r="F2737" s="1" t="s">
        <v>1652</v>
      </c>
      <c r="G2737" s="1">
        <v>30</v>
      </c>
      <c r="H2737" s="1" t="s">
        <v>19</v>
      </c>
      <c r="I2737" s="1" t="s">
        <v>1647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1645</v>
      </c>
      <c r="D2738" s="1"/>
      <c r="E2738" s="1"/>
      <c r="F2738" s="1" t="s">
        <v>1653</v>
      </c>
      <c r="G2738" s="1">
        <v>10</v>
      </c>
      <c r="H2738" s="1" t="s">
        <v>19</v>
      </c>
      <c r="I2738" s="1" t="s">
        <v>1650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1648</v>
      </c>
      <c r="D2739" s="1"/>
      <c r="E2739" s="1"/>
      <c r="F2739" s="1" t="s">
        <v>1654</v>
      </c>
      <c r="G2739" s="1">
        <v>15</v>
      </c>
      <c r="H2739" s="1" t="s">
        <v>19</v>
      </c>
      <c r="I2739" s="1" t="s">
        <v>1650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1655</v>
      </c>
      <c r="D2740" s="1"/>
      <c r="E2740" s="1"/>
      <c r="F2740" s="1" t="s">
        <v>1656</v>
      </c>
      <c r="G2740" s="1">
        <v>30</v>
      </c>
      <c r="H2740" s="1" t="s">
        <v>19</v>
      </c>
      <c r="I2740" s="1" t="s">
        <v>1657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674</v>
      </c>
      <c r="D2741" s="1"/>
      <c r="E2741" s="1"/>
      <c r="F2741" s="1" t="s">
        <v>1658</v>
      </c>
      <c r="G2741" s="1">
        <v>10</v>
      </c>
      <c r="H2741" s="1" t="s">
        <v>19</v>
      </c>
      <c r="I2741" s="1" t="s">
        <v>1647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674</v>
      </c>
      <c r="D2742" s="1"/>
      <c r="E2742" s="1"/>
      <c r="F2742" s="1" t="s">
        <v>1659</v>
      </c>
      <c r="G2742" s="1">
        <v>6</v>
      </c>
      <c r="H2742" s="1" t="s">
        <v>19</v>
      </c>
      <c r="I2742" s="1" t="s">
        <v>1650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1660</v>
      </c>
      <c r="D2743" s="1"/>
      <c r="E2743" s="1"/>
      <c r="F2743" s="1" t="s">
        <v>1661</v>
      </c>
      <c r="G2743" s="1">
        <v>8</v>
      </c>
      <c r="H2743" s="1" t="s">
        <v>19</v>
      </c>
      <c r="I2743" s="1" t="s">
        <v>1647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1662</v>
      </c>
      <c r="D2744" s="1"/>
      <c r="E2744" s="1"/>
      <c r="F2744" s="1" t="s">
        <v>1663</v>
      </c>
      <c r="G2744" s="1">
        <v>8</v>
      </c>
      <c r="H2744" s="1" t="s">
        <v>19</v>
      </c>
      <c r="I2744" s="1" t="s">
        <v>1647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805</v>
      </c>
      <c r="D2745" s="1"/>
      <c r="E2745" s="1" t="s">
        <v>2</v>
      </c>
      <c r="F2745" s="1" t="s">
        <v>806</v>
      </c>
      <c r="G2745" s="1">
        <v>1</v>
      </c>
      <c r="H2745" s="1" t="s">
        <v>19</v>
      </c>
      <c r="I2745" s="1" t="s">
        <v>570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805</v>
      </c>
      <c r="D2746" s="1"/>
      <c r="E2746" s="1" t="s">
        <v>44</v>
      </c>
      <c r="F2746" s="1" t="s">
        <v>807</v>
      </c>
      <c r="G2746" s="1">
        <v>1</v>
      </c>
      <c r="H2746" s="1" t="s">
        <v>19</v>
      </c>
      <c r="I2746" s="1" t="s">
        <v>570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805</v>
      </c>
      <c r="D2747" s="1"/>
      <c r="E2747" s="1" t="s">
        <v>747</v>
      </c>
      <c r="F2747" s="1" t="s">
        <v>808</v>
      </c>
      <c r="G2747" s="1">
        <v>1</v>
      </c>
      <c r="H2747" s="1" t="s">
        <v>19</v>
      </c>
      <c r="I2747" s="1" t="s">
        <v>570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805</v>
      </c>
      <c r="D2748" s="1"/>
      <c r="E2748" s="1" t="s">
        <v>2</v>
      </c>
      <c r="F2748" s="1" t="s">
        <v>806</v>
      </c>
      <c r="G2748" s="1">
        <v>1</v>
      </c>
      <c r="H2748" s="1" t="s">
        <v>19</v>
      </c>
      <c r="I2748" s="1" t="s">
        <v>571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805</v>
      </c>
      <c r="D2749" s="1"/>
      <c r="E2749" s="1" t="s">
        <v>44</v>
      </c>
      <c r="F2749" s="1" t="s">
        <v>807</v>
      </c>
      <c r="G2749" s="1">
        <v>1</v>
      </c>
      <c r="H2749" s="1" t="s">
        <v>19</v>
      </c>
      <c r="I2749" s="1" t="s">
        <v>571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805</v>
      </c>
      <c r="D2750" s="1"/>
      <c r="E2750" s="1" t="s">
        <v>747</v>
      </c>
      <c r="F2750" s="1" t="s">
        <v>808</v>
      </c>
      <c r="G2750" s="1">
        <v>1</v>
      </c>
      <c r="H2750" s="1" t="s">
        <v>19</v>
      </c>
      <c r="I2750" s="1" t="s">
        <v>571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805</v>
      </c>
      <c r="D2751" s="1"/>
      <c r="E2751" s="1" t="s">
        <v>2</v>
      </c>
      <c r="F2751" s="1" t="s">
        <v>806</v>
      </c>
      <c r="G2751" s="1">
        <v>1</v>
      </c>
      <c r="H2751" s="1" t="s">
        <v>19</v>
      </c>
      <c r="I2751" s="1" t="s">
        <v>572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805</v>
      </c>
      <c r="D2752" s="1"/>
      <c r="E2752" s="1" t="s">
        <v>44</v>
      </c>
      <c r="F2752" s="1" t="s">
        <v>807</v>
      </c>
      <c r="G2752" s="1">
        <v>1</v>
      </c>
      <c r="H2752" s="1" t="s">
        <v>19</v>
      </c>
      <c r="I2752" s="1" t="s">
        <v>572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805</v>
      </c>
      <c r="D2753" s="1"/>
      <c r="E2753" s="1" t="s">
        <v>747</v>
      </c>
      <c r="F2753" s="1" t="s">
        <v>808</v>
      </c>
      <c r="G2753" s="1">
        <v>1</v>
      </c>
      <c r="H2753" s="1" t="s">
        <v>19</v>
      </c>
      <c r="I2753" s="1" t="s">
        <v>572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805</v>
      </c>
      <c r="D2754" s="1"/>
      <c r="E2754" s="1" t="s">
        <v>2</v>
      </c>
      <c r="F2754" s="1" t="s">
        <v>806</v>
      </c>
      <c r="G2754" s="1">
        <v>1</v>
      </c>
      <c r="H2754" s="1" t="s">
        <v>19</v>
      </c>
      <c r="I2754" s="1" t="s">
        <v>573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805</v>
      </c>
      <c r="D2755" s="1"/>
      <c r="E2755" s="1" t="s">
        <v>44</v>
      </c>
      <c r="F2755" s="1" t="s">
        <v>807</v>
      </c>
      <c r="G2755" s="1">
        <v>1</v>
      </c>
      <c r="H2755" s="1" t="s">
        <v>19</v>
      </c>
      <c r="I2755" s="1" t="s">
        <v>573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805</v>
      </c>
      <c r="D2756" s="1"/>
      <c r="E2756" s="1" t="s">
        <v>747</v>
      </c>
      <c r="F2756" s="1" t="s">
        <v>808</v>
      </c>
      <c r="G2756" s="1">
        <v>1</v>
      </c>
      <c r="H2756" s="1" t="s">
        <v>19</v>
      </c>
      <c r="I2756" s="1" t="s">
        <v>573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818</v>
      </c>
      <c r="D2757" s="1"/>
      <c r="E2757" s="1"/>
      <c r="F2757" s="1" t="s">
        <v>1664</v>
      </c>
      <c r="G2757" s="1">
        <v>2600</v>
      </c>
      <c r="H2757" s="1" t="s">
        <v>19</v>
      </c>
      <c r="I2757" s="1" t="s">
        <v>1346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818</v>
      </c>
      <c r="D2758" s="1"/>
      <c r="E2758" s="1"/>
      <c r="F2758" s="1" t="s">
        <v>1665</v>
      </c>
      <c r="G2758" s="1">
        <v>2600</v>
      </c>
      <c r="H2758" s="1" t="s">
        <v>19</v>
      </c>
      <c r="I2758" s="1" t="s">
        <v>1346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818</v>
      </c>
      <c r="D2759" s="1"/>
      <c r="E2759" s="1"/>
      <c r="F2759" s="1" t="s">
        <v>1666</v>
      </c>
      <c r="G2759" s="1">
        <v>2600</v>
      </c>
      <c r="H2759" s="1" t="s">
        <v>19</v>
      </c>
      <c r="I2759" s="1" t="s">
        <v>1346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1667</v>
      </c>
      <c r="D2760" s="1"/>
      <c r="E2760" s="1"/>
      <c r="F2760" s="1" t="s">
        <v>1668</v>
      </c>
      <c r="G2760" s="1">
        <v>136</v>
      </c>
      <c r="H2760" s="1" t="s">
        <v>19</v>
      </c>
      <c r="I2760" s="1" t="s">
        <v>1669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674</v>
      </c>
      <c r="D2761" s="1"/>
      <c r="E2761" s="1"/>
      <c r="F2761" s="1" t="s">
        <v>1670</v>
      </c>
      <c r="G2761" s="1">
        <v>12</v>
      </c>
      <c r="H2761" s="1" t="s">
        <v>19</v>
      </c>
      <c r="I2761" s="1" t="s">
        <v>1671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1667</v>
      </c>
      <c r="D2762" s="1"/>
      <c r="E2762" s="1"/>
      <c r="F2762" s="1" t="s">
        <v>1672</v>
      </c>
      <c r="G2762" s="1">
        <v>136</v>
      </c>
      <c r="H2762" s="1" t="s">
        <v>19</v>
      </c>
      <c r="I2762" s="1" t="s">
        <v>1669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674</v>
      </c>
      <c r="D2763" s="1"/>
      <c r="E2763" s="1"/>
      <c r="F2763" s="1" t="s">
        <v>1673</v>
      </c>
      <c r="G2763" s="1">
        <v>12</v>
      </c>
      <c r="H2763" s="1" t="s">
        <v>19</v>
      </c>
      <c r="I2763" s="1" t="s">
        <v>1671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674</v>
      </c>
      <c r="D2764" s="1"/>
      <c r="E2764" s="1"/>
      <c r="F2764" s="1" t="s">
        <v>1674</v>
      </c>
      <c r="G2764" s="1">
        <v>8</v>
      </c>
      <c r="H2764" s="1" t="s">
        <v>19</v>
      </c>
      <c r="I2764" s="1" t="s">
        <v>1671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1667</v>
      </c>
      <c r="D2765" s="1"/>
      <c r="E2765" s="1"/>
      <c r="F2765" s="1" t="s">
        <v>1675</v>
      </c>
      <c r="G2765" s="1">
        <v>136</v>
      </c>
      <c r="H2765" s="1" t="s">
        <v>19</v>
      </c>
      <c r="I2765" s="1" t="s">
        <v>1669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1676</v>
      </c>
      <c r="D2766" s="1"/>
      <c r="E2766" s="1"/>
      <c r="F2766" s="1" t="s">
        <v>1677</v>
      </c>
      <c r="G2766" s="1">
        <v>8</v>
      </c>
      <c r="H2766" s="1" t="s">
        <v>19</v>
      </c>
      <c r="I2766" s="1" t="s">
        <v>1671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674</v>
      </c>
      <c r="D2767" s="1"/>
      <c r="E2767" s="1"/>
      <c r="F2767" s="1" t="s">
        <v>1678</v>
      </c>
      <c r="G2767" s="1">
        <v>12</v>
      </c>
      <c r="H2767" s="1" t="s">
        <v>19</v>
      </c>
      <c r="I2767" s="1" t="s">
        <v>1671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674</v>
      </c>
      <c r="D2768" s="1"/>
      <c r="E2768" s="1"/>
      <c r="F2768" s="1" t="s">
        <v>1679</v>
      </c>
      <c r="G2768" s="1">
        <v>8</v>
      </c>
      <c r="H2768" s="1" t="s">
        <v>19</v>
      </c>
      <c r="I2768" s="1" t="s">
        <v>1671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674</v>
      </c>
      <c r="D2769" s="1"/>
      <c r="E2769" s="1"/>
      <c r="F2769" s="1" t="s">
        <v>1680</v>
      </c>
      <c r="G2769" s="1">
        <v>4</v>
      </c>
      <c r="H2769" s="1" t="s">
        <v>19</v>
      </c>
      <c r="I2769" s="1" t="s">
        <v>1671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658</v>
      </c>
      <c r="D2770" s="1"/>
      <c r="E2770" s="1" t="s">
        <v>2</v>
      </c>
      <c r="F2770" s="1" t="s">
        <v>659</v>
      </c>
      <c r="G2770" s="1">
        <v>3</v>
      </c>
      <c r="H2770" s="1" t="s">
        <v>19</v>
      </c>
      <c r="I2770" s="1" t="s">
        <v>570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658</v>
      </c>
      <c r="D2771" s="1"/>
      <c r="E2771" s="1" t="s">
        <v>2</v>
      </c>
      <c r="F2771" s="1" t="s">
        <v>659</v>
      </c>
      <c r="G2771" s="1">
        <v>3</v>
      </c>
      <c r="H2771" s="1" t="s">
        <v>19</v>
      </c>
      <c r="I2771" s="1" t="s">
        <v>571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658</v>
      </c>
      <c r="D2772" s="1"/>
      <c r="E2772" s="1" t="s">
        <v>2</v>
      </c>
      <c r="F2772" s="1" t="s">
        <v>659</v>
      </c>
      <c r="G2772" s="1">
        <v>3</v>
      </c>
      <c r="H2772" s="1" t="s">
        <v>19</v>
      </c>
      <c r="I2772" s="1" t="s">
        <v>572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658</v>
      </c>
      <c r="D2773" s="1"/>
      <c r="E2773" s="1" t="s">
        <v>2</v>
      </c>
      <c r="F2773" s="1" t="s">
        <v>659</v>
      </c>
      <c r="G2773" s="1">
        <v>3</v>
      </c>
      <c r="H2773" s="1" t="s">
        <v>19</v>
      </c>
      <c r="I2773" s="1" t="s">
        <v>573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818</v>
      </c>
      <c r="D2774" s="1" t="s">
        <v>820</v>
      </c>
      <c r="E2774" s="1" t="s">
        <v>2</v>
      </c>
      <c r="F2774" s="1" t="s">
        <v>819</v>
      </c>
      <c r="G2774" s="1">
        <v>20</v>
      </c>
      <c r="H2774" s="1" t="s">
        <v>19</v>
      </c>
      <c r="I2774" s="1" t="s">
        <v>573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880</v>
      </c>
      <c r="D2775" s="1"/>
      <c r="E2775" s="1"/>
      <c r="F2775" s="1" t="s">
        <v>881</v>
      </c>
      <c r="G2775" s="1">
        <v>1</v>
      </c>
      <c r="H2775" s="1" t="s">
        <v>19</v>
      </c>
      <c r="I2775" s="1" t="s">
        <v>570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880</v>
      </c>
      <c r="D2776" s="1"/>
      <c r="E2776" s="1"/>
      <c r="F2776" s="1" t="s">
        <v>1173</v>
      </c>
      <c r="G2776" s="1">
        <v>1</v>
      </c>
      <c r="H2776" s="1" t="s">
        <v>19</v>
      </c>
      <c r="I2776" s="1" t="s">
        <v>570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880</v>
      </c>
      <c r="D2777" s="1"/>
      <c r="E2777" s="1"/>
      <c r="F2777" s="1" t="s">
        <v>882</v>
      </c>
      <c r="G2777" s="1">
        <v>1</v>
      </c>
      <c r="H2777" s="1" t="s">
        <v>19</v>
      </c>
      <c r="I2777" s="1" t="s">
        <v>570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880</v>
      </c>
      <c r="D2778" s="1"/>
      <c r="E2778" s="1"/>
      <c r="F2778" s="1" t="s">
        <v>884</v>
      </c>
      <c r="G2778" s="1">
        <v>1</v>
      </c>
      <c r="H2778" s="1" t="s">
        <v>19</v>
      </c>
      <c r="I2778" s="1" t="s">
        <v>570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880</v>
      </c>
      <c r="D2779" s="1"/>
      <c r="E2779" s="1"/>
      <c r="F2779" s="1" t="s">
        <v>883</v>
      </c>
      <c r="G2779" s="1">
        <v>1</v>
      </c>
      <c r="H2779" s="1" t="s">
        <v>19</v>
      </c>
      <c r="I2779" s="1" t="s">
        <v>570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880</v>
      </c>
      <c r="D2780" s="1"/>
      <c r="E2780" s="1"/>
      <c r="F2780" s="1" t="s">
        <v>885</v>
      </c>
      <c r="G2780" s="1">
        <v>1</v>
      </c>
      <c r="H2780" s="1" t="s">
        <v>19</v>
      </c>
      <c r="I2780" s="1" t="s">
        <v>570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880</v>
      </c>
      <c r="D2781" s="1"/>
      <c r="E2781" s="1"/>
      <c r="F2781" s="1" t="s">
        <v>881</v>
      </c>
      <c r="G2781" s="1">
        <v>1</v>
      </c>
      <c r="H2781" s="1" t="s">
        <v>19</v>
      </c>
      <c r="I2781" s="1" t="s">
        <v>571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880</v>
      </c>
      <c r="D2782" s="1"/>
      <c r="E2782" s="1"/>
      <c r="F2782" s="1" t="s">
        <v>1173</v>
      </c>
      <c r="G2782" s="1">
        <v>1</v>
      </c>
      <c r="H2782" s="1" t="s">
        <v>19</v>
      </c>
      <c r="I2782" s="1" t="s">
        <v>571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880</v>
      </c>
      <c r="D2783" s="1"/>
      <c r="E2783" s="1"/>
      <c r="F2783" s="1" t="s">
        <v>882</v>
      </c>
      <c r="G2783" s="1">
        <v>1</v>
      </c>
      <c r="H2783" s="1" t="s">
        <v>19</v>
      </c>
      <c r="I2783" s="1" t="s">
        <v>571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880</v>
      </c>
      <c r="D2784" s="1"/>
      <c r="E2784" s="1"/>
      <c r="F2784" s="1" t="s">
        <v>884</v>
      </c>
      <c r="G2784" s="1">
        <v>1</v>
      </c>
      <c r="H2784" s="1" t="s">
        <v>19</v>
      </c>
      <c r="I2784" s="1" t="s">
        <v>571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880</v>
      </c>
      <c r="D2785" s="1"/>
      <c r="E2785" s="1"/>
      <c r="F2785" s="1" t="s">
        <v>883</v>
      </c>
      <c r="G2785" s="1">
        <v>1</v>
      </c>
      <c r="H2785" s="1" t="s">
        <v>19</v>
      </c>
      <c r="I2785" s="1" t="s">
        <v>571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880</v>
      </c>
      <c r="D2786" s="1"/>
      <c r="E2786" s="1"/>
      <c r="F2786" s="1" t="s">
        <v>885</v>
      </c>
      <c r="G2786" s="1">
        <v>1</v>
      </c>
      <c r="H2786" s="1" t="s">
        <v>19</v>
      </c>
      <c r="I2786" s="1" t="s">
        <v>571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880</v>
      </c>
      <c r="D2787" s="1"/>
      <c r="E2787" s="1"/>
      <c r="F2787" s="1" t="s">
        <v>881</v>
      </c>
      <c r="G2787" s="1">
        <v>1</v>
      </c>
      <c r="H2787" s="1" t="s">
        <v>19</v>
      </c>
      <c r="I2787" s="1" t="s">
        <v>572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880</v>
      </c>
      <c r="D2788" s="1"/>
      <c r="E2788" s="1"/>
      <c r="F2788" s="1" t="s">
        <v>1173</v>
      </c>
      <c r="G2788" s="1">
        <v>1</v>
      </c>
      <c r="H2788" s="1" t="s">
        <v>19</v>
      </c>
      <c r="I2788" s="1" t="s">
        <v>572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880</v>
      </c>
      <c r="D2789" s="1"/>
      <c r="E2789" s="1"/>
      <c r="F2789" s="1" t="s">
        <v>882</v>
      </c>
      <c r="G2789" s="1">
        <v>1</v>
      </c>
      <c r="H2789" s="1" t="s">
        <v>19</v>
      </c>
      <c r="I2789" s="1" t="s">
        <v>572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880</v>
      </c>
      <c r="D2790" s="1"/>
      <c r="E2790" s="1"/>
      <c r="F2790" s="1" t="s">
        <v>884</v>
      </c>
      <c r="G2790" s="1">
        <v>1</v>
      </c>
      <c r="H2790" s="1" t="s">
        <v>19</v>
      </c>
      <c r="I2790" s="1" t="s">
        <v>572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880</v>
      </c>
      <c r="D2791" s="1"/>
      <c r="E2791" s="1"/>
      <c r="F2791" s="1" t="s">
        <v>883</v>
      </c>
      <c r="G2791" s="1">
        <v>1</v>
      </c>
      <c r="H2791" s="1" t="s">
        <v>19</v>
      </c>
      <c r="I2791" s="1" t="s">
        <v>572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880</v>
      </c>
      <c r="D2792" s="1"/>
      <c r="E2792" s="1"/>
      <c r="F2792" s="1" t="s">
        <v>885</v>
      </c>
      <c r="G2792" s="1">
        <v>1</v>
      </c>
      <c r="H2792" s="1" t="s">
        <v>19</v>
      </c>
      <c r="I2792" s="1" t="s">
        <v>572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880</v>
      </c>
      <c r="D2793" s="1"/>
      <c r="E2793" s="1"/>
      <c r="F2793" s="1" t="s">
        <v>881</v>
      </c>
      <c r="G2793" s="1">
        <v>1</v>
      </c>
      <c r="H2793" s="1" t="s">
        <v>19</v>
      </c>
      <c r="I2793" s="1" t="s">
        <v>573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880</v>
      </c>
      <c r="D2794" s="1"/>
      <c r="E2794" s="1"/>
      <c r="F2794" s="1" t="s">
        <v>1173</v>
      </c>
      <c r="G2794" s="1">
        <v>1</v>
      </c>
      <c r="H2794" s="1" t="s">
        <v>19</v>
      </c>
      <c r="I2794" s="1" t="s">
        <v>573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880</v>
      </c>
      <c r="D2795" s="1"/>
      <c r="E2795" s="1"/>
      <c r="F2795" s="1" t="s">
        <v>882</v>
      </c>
      <c r="G2795" s="1">
        <v>1</v>
      </c>
      <c r="H2795" s="1" t="s">
        <v>19</v>
      </c>
      <c r="I2795" s="1" t="s">
        <v>573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880</v>
      </c>
      <c r="D2796" s="1"/>
      <c r="E2796" s="1"/>
      <c r="F2796" s="1" t="s">
        <v>884</v>
      </c>
      <c r="G2796" s="1">
        <v>1</v>
      </c>
      <c r="H2796" s="1" t="s">
        <v>19</v>
      </c>
      <c r="I2796" s="1" t="s">
        <v>573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880</v>
      </c>
      <c r="D2797" s="1"/>
      <c r="E2797" s="1"/>
      <c r="F2797" s="1" t="s">
        <v>883</v>
      </c>
      <c r="G2797" s="1">
        <v>1</v>
      </c>
      <c r="H2797" s="1" t="s">
        <v>19</v>
      </c>
      <c r="I2797" s="1" t="s">
        <v>573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880</v>
      </c>
      <c r="D2798" s="1"/>
      <c r="E2798" s="1"/>
      <c r="F2798" s="1" t="s">
        <v>885</v>
      </c>
      <c r="G2798" s="1">
        <v>1</v>
      </c>
      <c r="H2798" s="1" t="s">
        <v>19</v>
      </c>
      <c r="I2798" s="1" t="s">
        <v>573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1910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1911</v>
      </c>
      <c r="G2800" s="1">
        <v>67</v>
      </c>
      <c r="H2800" s="1" t="s">
        <v>1254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1912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1913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1914</v>
      </c>
      <c r="G2803" s="1">
        <v>12</v>
      </c>
      <c r="H2803" s="1" t="s">
        <v>1254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1915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1916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1917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1918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1919</v>
      </c>
      <c r="G2808" s="1">
        <v>6</v>
      </c>
      <c r="H2808" s="1" t="s">
        <v>1254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1920</v>
      </c>
      <c r="G2809" s="1">
        <v>3</v>
      </c>
      <c r="H2809" s="1" t="s">
        <v>1254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1921</v>
      </c>
      <c r="G2810" s="1">
        <v>55</v>
      </c>
      <c r="H2810" s="1" t="s">
        <v>1254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1913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1914</v>
      </c>
      <c r="G2812" s="1">
        <v>12</v>
      </c>
      <c r="H2812" s="1" t="s">
        <v>1254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1915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1916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1917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1918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1919</v>
      </c>
      <c r="G2817" s="1">
        <v>6</v>
      </c>
      <c r="H2817" s="1" t="s">
        <v>1254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1920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1922</v>
      </c>
      <c r="G2819" s="1">
        <v>72</v>
      </c>
      <c r="H2819" s="1" t="s">
        <v>1254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1923</v>
      </c>
      <c r="G2820" s="1">
        <v>12</v>
      </c>
      <c r="H2820" s="1" t="s">
        <v>1254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1924</v>
      </c>
      <c r="G2821" s="1">
        <v>6</v>
      </c>
      <c r="H2821" s="1" t="s">
        <v>1254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1925</v>
      </c>
      <c r="G2822" s="1">
        <v>3</v>
      </c>
      <c r="H2822" s="1" t="s">
        <v>1254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1913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1926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1927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1928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1929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1911</v>
      </c>
      <c r="G2828" s="1">
        <v>67</v>
      </c>
      <c r="H2828" s="1" t="s">
        <v>1254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1913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1914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1915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1916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1917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1918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1919</v>
      </c>
      <c r="G2835" s="1">
        <v>6</v>
      </c>
      <c r="H2835" s="1" t="s">
        <v>1254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1920</v>
      </c>
      <c r="G2836" s="1">
        <v>3</v>
      </c>
      <c r="H2836" s="1" t="s">
        <v>1254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2479</v>
      </c>
      <c r="D2837" s="1"/>
      <c r="E2837" s="1"/>
      <c r="F2837" s="1" t="s">
        <v>2480</v>
      </c>
      <c r="G2837" s="1">
        <v>2</v>
      </c>
      <c r="H2837" s="1" t="s">
        <v>19</v>
      </c>
      <c r="I2837" s="1" t="s">
        <v>571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2479</v>
      </c>
      <c r="D2838" s="1"/>
      <c r="E2838" s="1"/>
      <c r="F2838" s="1" t="s">
        <v>2481</v>
      </c>
      <c r="G2838" s="1">
        <v>3</v>
      </c>
      <c r="H2838" s="1" t="s">
        <v>19</v>
      </c>
      <c r="I2838" s="1" t="s">
        <v>571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2479</v>
      </c>
      <c r="D2839" s="1"/>
      <c r="E2839" s="1"/>
      <c r="F2839" s="1" t="s">
        <v>2482</v>
      </c>
      <c r="G2839" s="1">
        <v>3</v>
      </c>
      <c r="H2839" s="1" t="s">
        <v>19</v>
      </c>
      <c r="I2839" s="1" t="s">
        <v>571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2483</v>
      </c>
      <c r="D2840" s="1"/>
      <c r="E2840" s="1"/>
      <c r="F2840" s="1" t="s">
        <v>1912</v>
      </c>
      <c r="G2840" s="1">
        <v>2</v>
      </c>
      <c r="H2840" s="1" t="s">
        <v>19</v>
      </c>
      <c r="I2840" s="1" t="s">
        <v>573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2483</v>
      </c>
      <c r="D2841" s="1"/>
      <c r="E2841" s="1"/>
      <c r="F2841" s="1" t="s">
        <v>2480</v>
      </c>
      <c r="G2841" s="1">
        <v>2</v>
      </c>
      <c r="H2841" s="1" t="s">
        <v>19</v>
      </c>
      <c r="I2841" s="1" t="s">
        <v>573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2483</v>
      </c>
      <c r="D2842" s="1"/>
      <c r="E2842" s="1"/>
      <c r="F2842" s="1" t="s">
        <v>2481</v>
      </c>
      <c r="G2842" s="1">
        <v>3</v>
      </c>
      <c r="H2842" s="1" t="s">
        <v>19</v>
      </c>
      <c r="I2842" s="1" t="s">
        <v>573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2483</v>
      </c>
      <c r="D2843" s="1"/>
      <c r="E2843" s="1"/>
      <c r="F2843" s="1" t="s">
        <v>2482</v>
      </c>
      <c r="G2843" s="1">
        <v>3</v>
      </c>
      <c r="H2843" s="1" t="s">
        <v>19</v>
      </c>
      <c r="I2843" s="1" t="s">
        <v>573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2484</v>
      </c>
      <c r="D2844" s="1"/>
      <c r="E2844" s="1"/>
      <c r="F2844" s="1" t="s">
        <v>2485</v>
      </c>
      <c r="G2844" s="1">
        <v>3</v>
      </c>
      <c r="H2844" s="1" t="s">
        <v>19</v>
      </c>
      <c r="I2844" s="1" t="s">
        <v>570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2484</v>
      </c>
      <c r="D2845" s="1"/>
      <c r="E2845" s="1"/>
      <c r="F2845" s="1" t="s">
        <v>2486</v>
      </c>
      <c r="G2845" s="1">
        <v>3</v>
      </c>
      <c r="H2845" s="1" t="s">
        <v>19</v>
      </c>
      <c r="I2845" s="1" t="s">
        <v>570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2484</v>
      </c>
      <c r="D2846" s="1"/>
      <c r="E2846" s="1"/>
      <c r="F2846" s="1" t="s">
        <v>2487</v>
      </c>
      <c r="G2846" s="1">
        <v>2</v>
      </c>
      <c r="H2846" s="1" t="s">
        <v>19</v>
      </c>
      <c r="I2846" s="1" t="s">
        <v>570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2484</v>
      </c>
      <c r="D2847" s="1"/>
      <c r="E2847" s="1"/>
      <c r="F2847" s="1" t="s">
        <v>2488</v>
      </c>
      <c r="G2847" s="1">
        <v>2</v>
      </c>
      <c r="H2847" s="1" t="s">
        <v>19</v>
      </c>
      <c r="I2847" s="1" t="s">
        <v>570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2489</v>
      </c>
      <c r="D2848" s="1"/>
      <c r="E2848" s="1"/>
      <c r="F2848" s="1" t="s">
        <v>1912</v>
      </c>
      <c r="G2848" s="1">
        <v>2</v>
      </c>
      <c r="H2848" s="1" t="s">
        <v>19</v>
      </c>
      <c r="I2848" s="1" t="s">
        <v>572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2489</v>
      </c>
      <c r="D2849" s="1"/>
      <c r="E2849" s="1"/>
      <c r="F2849" s="1" t="s">
        <v>2480</v>
      </c>
      <c r="G2849" s="1">
        <v>2</v>
      </c>
      <c r="H2849" s="1" t="s">
        <v>19</v>
      </c>
      <c r="I2849" s="1" t="s">
        <v>572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2489</v>
      </c>
      <c r="D2850" s="1"/>
      <c r="E2850" s="1"/>
      <c r="F2850" s="1" t="s">
        <v>2481</v>
      </c>
      <c r="G2850" s="1">
        <v>3</v>
      </c>
      <c r="H2850" s="1" t="s">
        <v>19</v>
      </c>
      <c r="I2850" s="1" t="s">
        <v>572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2489</v>
      </c>
      <c r="D2851" s="1"/>
      <c r="E2851" s="1"/>
      <c r="F2851" s="1" t="s">
        <v>2482</v>
      </c>
      <c r="G2851" s="1">
        <v>3</v>
      </c>
      <c r="H2851" s="1" t="s">
        <v>19</v>
      </c>
      <c r="I2851" s="1" t="s">
        <v>572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2489</v>
      </c>
      <c r="D2852" s="1"/>
      <c r="E2852" s="1"/>
      <c r="F2852" s="1" t="s">
        <v>2490</v>
      </c>
      <c r="G2852" s="1">
        <v>1</v>
      </c>
      <c r="H2852" s="1" t="s">
        <v>19</v>
      </c>
      <c r="I2852" s="1" t="s">
        <v>572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2489</v>
      </c>
      <c r="D2853" s="1"/>
      <c r="E2853" s="1"/>
      <c r="F2853" s="1" t="s">
        <v>2491</v>
      </c>
      <c r="G2853" s="1">
        <v>2</v>
      </c>
      <c r="H2853" s="1" t="s">
        <v>19</v>
      </c>
      <c r="I2853" s="1" t="s">
        <v>572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2489</v>
      </c>
      <c r="D2854" s="1"/>
      <c r="E2854" s="1"/>
      <c r="F2854" s="1" t="s">
        <v>2492</v>
      </c>
      <c r="G2854" s="1">
        <v>4</v>
      </c>
      <c r="H2854" s="1" t="s">
        <v>19</v>
      </c>
      <c r="I2854" s="1" t="s">
        <v>572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2489</v>
      </c>
      <c r="D2855" s="1"/>
      <c r="E2855" s="1"/>
      <c r="F2855" s="1" t="s">
        <v>2493</v>
      </c>
      <c r="G2855" s="1">
        <v>2</v>
      </c>
      <c r="H2855" s="1" t="s">
        <v>19</v>
      </c>
      <c r="I2855" s="1" t="s">
        <v>572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2489</v>
      </c>
      <c r="D2856" s="1"/>
      <c r="E2856" s="1"/>
      <c r="F2856" s="1" t="s">
        <v>2494</v>
      </c>
      <c r="G2856" s="1">
        <v>4</v>
      </c>
      <c r="H2856" s="1" t="s">
        <v>19</v>
      </c>
      <c r="I2856" s="1" t="s">
        <v>572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2489</v>
      </c>
      <c r="D2857" s="1"/>
      <c r="E2857" s="1"/>
      <c r="F2857" s="1" t="s">
        <v>2495</v>
      </c>
      <c r="G2857" s="1">
        <v>4</v>
      </c>
      <c r="H2857" s="1" t="s">
        <v>19</v>
      </c>
      <c r="I2857" s="1" t="s">
        <v>572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2489</v>
      </c>
      <c r="D2858" s="1"/>
      <c r="E2858" s="1"/>
      <c r="F2858" s="1" t="s">
        <v>2496</v>
      </c>
      <c r="G2858" s="1">
        <v>2</v>
      </c>
      <c r="H2858" s="1" t="s">
        <v>19</v>
      </c>
      <c r="I2858" s="1" t="s">
        <v>572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2489</v>
      </c>
      <c r="D2859" s="1"/>
      <c r="E2859" s="1"/>
      <c r="F2859" s="1" t="s">
        <v>2497</v>
      </c>
      <c r="G2859" s="1">
        <v>2</v>
      </c>
      <c r="H2859" s="1" t="s">
        <v>19</v>
      </c>
      <c r="I2859" s="1" t="s">
        <v>572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2489</v>
      </c>
      <c r="D2860" s="1"/>
      <c r="E2860" s="1"/>
      <c r="F2860" s="1" t="s">
        <v>2498</v>
      </c>
      <c r="G2860" s="1">
        <v>9</v>
      </c>
      <c r="H2860" s="1" t="s">
        <v>19</v>
      </c>
      <c r="I2860" s="1" t="s">
        <v>572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2479</v>
      </c>
      <c r="D2861" s="1"/>
      <c r="E2861" s="1"/>
      <c r="F2861" s="1" t="s">
        <v>2491</v>
      </c>
      <c r="G2861" s="1">
        <v>2</v>
      </c>
      <c r="H2861" s="1" t="s">
        <v>19</v>
      </c>
      <c r="I2861" s="1" t="s">
        <v>571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2479</v>
      </c>
      <c r="D2862" s="1"/>
      <c r="E2862" s="1"/>
      <c r="F2862" s="1" t="s">
        <v>2492</v>
      </c>
      <c r="G2862" s="1">
        <v>4</v>
      </c>
      <c r="H2862" s="1" t="s">
        <v>19</v>
      </c>
      <c r="I2862" s="1" t="s">
        <v>571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2479</v>
      </c>
      <c r="D2863" s="1"/>
      <c r="E2863" s="1"/>
      <c r="F2863" s="1" t="s">
        <v>2493</v>
      </c>
      <c r="G2863" s="1">
        <v>2</v>
      </c>
      <c r="H2863" s="1" t="s">
        <v>19</v>
      </c>
      <c r="I2863" s="1" t="s">
        <v>571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2479</v>
      </c>
      <c r="D2864" s="1"/>
      <c r="E2864" s="1"/>
      <c r="F2864" s="1" t="s">
        <v>2494</v>
      </c>
      <c r="G2864" s="1">
        <v>4</v>
      </c>
      <c r="H2864" s="1" t="s">
        <v>19</v>
      </c>
      <c r="I2864" s="1" t="s">
        <v>571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2479</v>
      </c>
      <c r="D2865" s="1"/>
      <c r="E2865" s="1"/>
      <c r="F2865" s="1" t="s">
        <v>2495</v>
      </c>
      <c r="G2865" s="1">
        <v>4</v>
      </c>
      <c r="H2865" s="1" t="s">
        <v>19</v>
      </c>
      <c r="I2865" s="1" t="s">
        <v>571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2479</v>
      </c>
      <c r="D2866" s="1"/>
      <c r="E2866" s="1"/>
      <c r="F2866" s="1" t="s">
        <v>2496</v>
      </c>
      <c r="G2866" s="1">
        <v>2</v>
      </c>
      <c r="H2866" s="1" t="s">
        <v>19</v>
      </c>
      <c r="I2866" s="1" t="s">
        <v>571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2479</v>
      </c>
      <c r="D2867" s="1"/>
      <c r="E2867" s="1"/>
      <c r="F2867" s="1" t="s">
        <v>2497</v>
      </c>
      <c r="G2867" s="1">
        <v>2</v>
      </c>
      <c r="H2867" s="1" t="s">
        <v>19</v>
      </c>
      <c r="I2867" s="1" t="s">
        <v>571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2479</v>
      </c>
      <c r="D2868" s="1"/>
      <c r="E2868" s="1"/>
      <c r="F2868" s="1" t="s">
        <v>2499</v>
      </c>
      <c r="G2868" s="1">
        <v>1</v>
      </c>
      <c r="H2868" s="1" t="s">
        <v>19</v>
      </c>
      <c r="I2868" s="1" t="s">
        <v>571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2479</v>
      </c>
      <c r="D2869" s="1"/>
      <c r="E2869" s="1"/>
      <c r="F2869" s="1" t="s">
        <v>2498</v>
      </c>
      <c r="G2869" s="1">
        <v>9</v>
      </c>
      <c r="H2869" s="1"/>
      <c r="I2869" s="1" t="s">
        <v>571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2500</v>
      </c>
      <c r="D2870" s="1"/>
      <c r="E2870" s="1"/>
      <c r="F2870" s="1" t="s">
        <v>2501</v>
      </c>
      <c r="G2870" s="1">
        <v>10</v>
      </c>
      <c r="H2870" s="1"/>
      <c r="I2870" s="1" t="s">
        <v>570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2500</v>
      </c>
      <c r="D2871" s="1"/>
      <c r="E2871" s="1"/>
      <c r="F2871" s="1" t="s">
        <v>2502</v>
      </c>
      <c r="G2871" s="1">
        <v>2</v>
      </c>
      <c r="H2871" s="1" t="s">
        <v>19</v>
      </c>
      <c r="I2871" s="1" t="s">
        <v>570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2500</v>
      </c>
      <c r="D2872" s="1"/>
      <c r="E2872" s="1"/>
      <c r="F2872" s="1" t="s">
        <v>2503</v>
      </c>
      <c r="G2872" s="1">
        <v>4</v>
      </c>
      <c r="H2872" s="1" t="s">
        <v>19</v>
      </c>
      <c r="I2872" s="1" t="s">
        <v>570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2500</v>
      </c>
      <c r="D2873" s="1"/>
      <c r="E2873" s="1"/>
      <c r="F2873" s="1" t="s">
        <v>2504</v>
      </c>
      <c r="G2873" s="1">
        <v>2</v>
      </c>
      <c r="H2873" s="1" t="s">
        <v>19</v>
      </c>
      <c r="I2873" s="1" t="s">
        <v>570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2500</v>
      </c>
      <c r="D2874" s="1"/>
      <c r="E2874" s="1"/>
      <c r="F2874" s="1" t="s">
        <v>2505</v>
      </c>
      <c r="G2874" s="1">
        <v>4</v>
      </c>
      <c r="H2874" s="1" t="s">
        <v>19</v>
      </c>
      <c r="I2874" s="1" t="s">
        <v>570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2500</v>
      </c>
      <c r="D2875" s="1"/>
      <c r="E2875" s="1"/>
      <c r="F2875" s="1" t="s">
        <v>2506</v>
      </c>
      <c r="G2875" s="1">
        <v>4</v>
      </c>
      <c r="H2875" s="1" t="s">
        <v>19</v>
      </c>
      <c r="I2875" s="1" t="s">
        <v>570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2500</v>
      </c>
      <c r="D2876" s="1"/>
      <c r="E2876" s="1"/>
      <c r="F2876" s="1" t="s">
        <v>2507</v>
      </c>
      <c r="G2876" s="1">
        <v>2</v>
      </c>
      <c r="H2876" s="1" t="s">
        <v>19</v>
      </c>
      <c r="I2876" s="1" t="s">
        <v>570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2500</v>
      </c>
      <c r="D2877" s="1"/>
      <c r="E2877" s="1"/>
      <c r="F2877" s="1" t="s">
        <v>2508</v>
      </c>
      <c r="G2877" s="1">
        <v>2</v>
      </c>
      <c r="H2877" s="1" t="s">
        <v>19</v>
      </c>
      <c r="I2877" s="1" t="s">
        <v>570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2500</v>
      </c>
      <c r="D2878" s="1"/>
      <c r="E2878" s="1"/>
      <c r="F2878" s="1" t="s">
        <v>2509</v>
      </c>
      <c r="G2878" s="1">
        <v>1</v>
      </c>
      <c r="H2878" s="1" t="s">
        <v>19</v>
      </c>
      <c r="I2878" s="1" t="s">
        <v>570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2510</v>
      </c>
      <c r="D2879" s="1"/>
      <c r="E2879" s="1"/>
      <c r="F2879" s="1" t="s">
        <v>2511</v>
      </c>
      <c r="G2879" s="1">
        <v>1</v>
      </c>
      <c r="H2879" s="1" t="s">
        <v>19</v>
      </c>
      <c r="I2879" s="1" t="s">
        <v>573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2510</v>
      </c>
      <c r="D2880" s="1"/>
      <c r="E2880" s="1"/>
      <c r="F2880" s="1" t="s">
        <v>2491</v>
      </c>
      <c r="G2880" s="1">
        <v>2</v>
      </c>
      <c r="H2880" s="1" t="s">
        <v>19</v>
      </c>
      <c r="I2880" s="1" t="s">
        <v>573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2510</v>
      </c>
      <c r="D2881" s="1"/>
      <c r="E2881" s="1"/>
      <c r="F2881" s="1" t="s">
        <v>2492</v>
      </c>
      <c r="G2881" s="1">
        <v>4</v>
      </c>
      <c r="H2881" s="1" t="s">
        <v>19</v>
      </c>
      <c r="I2881" s="1" t="s">
        <v>573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2510</v>
      </c>
      <c r="D2882" s="1"/>
      <c r="E2882" s="1"/>
      <c r="F2882" s="1" t="s">
        <v>2493</v>
      </c>
      <c r="G2882" s="1">
        <v>2</v>
      </c>
      <c r="H2882" s="1" t="s">
        <v>19</v>
      </c>
      <c r="I2882" s="1" t="s">
        <v>573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2510</v>
      </c>
      <c r="D2883" s="1"/>
      <c r="E2883" s="1"/>
      <c r="F2883" s="1" t="s">
        <v>2494</v>
      </c>
      <c r="G2883" s="1">
        <v>4</v>
      </c>
      <c r="H2883" s="1" t="s">
        <v>19</v>
      </c>
      <c r="I2883" s="1" t="s">
        <v>573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2510</v>
      </c>
      <c r="D2884" s="1"/>
      <c r="E2884" s="1"/>
      <c r="F2884" s="1" t="s">
        <v>2495</v>
      </c>
      <c r="G2884" s="1">
        <v>4</v>
      </c>
      <c r="H2884" s="1" t="s">
        <v>19</v>
      </c>
      <c r="I2884" s="1" t="s">
        <v>573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2510</v>
      </c>
      <c r="D2885" s="1"/>
      <c r="E2885" s="1"/>
      <c r="F2885" s="1" t="s">
        <v>2496</v>
      </c>
      <c r="G2885" s="1">
        <v>2</v>
      </c>
      <c r="H2885" s="1" t="s">
        <v>19</v>
      </c>
      <c r="I2885" s="1" t="s">
        <v>573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2510</v>
      </c>
      <c r="D2886" s="1"/>
      <c r="E2886" s="1"/>
      <c r="F2886" s="1" t="s">
        <v>2497</v>
      </c>
      <c r="G2886" s="1">
        <v>1</v>
      </c>
      <c r="H2886" s="1" t="s">
        <v>19</v>
      </c>
      <c r="I2886" s="1" t="s">
        <v>573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2510</v>
      </c>
      <c r="D2887" s="1"/>
      <c r="E2887" s="1"/>
      <c r="F2887" s="1" t="s">
        <v>2498</v>
      </c>
      <c r="G2887" s="1">
        <v>7</v>
      </c>
      <c r="H2887" s="1"/>
      <c r="I2887" s="1" t="s">
        <v>573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2136</v>
      </c>
      <c r="E2888" s="1"/>
      <c r="F2888" s="1" t="s">
        <v>2137</v>
      </c>
      <c r="G2888" s="1">
        <v>280</v>
      </c>
      <c r="H2888" s="1" t="s">
        <v>19</v>
      </c>
      <c r="I2888" s="1" t="s">
        <v>570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2136</v>
      </c>
      <c r="E2889" s="1"/>
      <c r="F2889" s="1" t="s">
        <v>2138</v>
      </c>
      <c r="G2889" s="1">
        <v>16</v>
      </c>
      <c r="H2889" s="1" t="s">
        <v>19</v>
      </c>
      <c r="I2889" s="1" t="s">
        <v>570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2136</v>
      </c>
      <c r="E2890" s="1"/>
      <c r="F2890" s="1" t="s">
        <v>2139</v>
      </c>
      <c r="G2890" s="1">
        <v>8</v>
      </c>
      <c r="H2890" s="1" t="s">
        <v>19</v>
      </c>
      <c r="I2890" s="1" t="s">
        <v>570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2136</v>
      </c>
      <c r="E2891" s="1"/>
      <c r="F2891" s="1" t="s">
        <v>2140</v>
      </c>
      <c r="G2891" s="1">
        <v>256</v>
      </c>
      <c r="H2891" s="1" t="s">
        <v>19</v>
      </c>
      <c r="I2891" s="1" t="s">
        <v>570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2136</v>
      </c>
      <c r="E2892" s="1"/>
      <c r="F2892" s="1" t="s">
        <v>2141</v>
      </c>
      <c r="G2892" s="1">
        <v>296</v>
      </c>
      <c r="H2892" s="1" t="s">
        <v>19</v>
      </c>
      <c r="I2892" s="1" t="s">
        <v>570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2142</v>
      </c>
      <c r="E2893" s="1"/>
      <c r="F2893" s="1" t="s">
        <v>2143</v>
      </c>
      <c r="G2893" s="1">
        <v>252</v>
      </c>
      <c r="H2893" s="1" t="s">
        <v>19</v>
      </c>
      <c r="I2893" s="1" t="s">
        <v>571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2142</v>
      </c>
      <c r="E2894" s="1"/>
      <c r="F2894" s="1" t="s">
        <v>2144</v>
      </c>
      <c r="G2894" s="1">
        <v>16</v>
      </c>
      <c r="H2894" s="1" t="s">
        <v>19</v>
      </c>
      <c r="I2894" s="1" t="s">
        <v>571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2142</v>
      </c>
      <c r="E2895" s="1"/>
      <c r="F2895" s="1" t="s">
        <v>2145</v>
      </c>
      <c r="G2895" s="1">
        <v>8</v>
      </c>
      <c r="H2895" s="1" t="s">
        <v>19</v>
      </c>
      <c r="I2895" s="1" t="s">
        <v>571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2142</v>
      </c>
      <c r="E2896" s="1"/>
      <c r="F2896" s="1" t="s">
        <v>2146</v>
      </c>
      <c r="G2896" s="1">
        <v>228</v>
      </c>
      <c r="H2896" s="1" t="s">
        <v>19</v>
      </c>
      <c r="I2896" s="1" t="s">
        <v>571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2142</v>
      </c>
      <c r="E2897" s="1"/>
      <c r="F2897" s="1" t="s">
        <v>2147</v>
      </c>
      <c r="G2897" s="1">
        <v>268</v>
      </c>
      <c r="H2897" s="1" t="s">
        <v>19</v>
      </c>
      <c r="I2897" s="1" t="s">
        <v>571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2148</v>
      </c>
      <c r="E2898" s="1"/>
      <c r="F2898" s="1" t="s">
        <v>2149</v>
      </c>
      <c r="G2898" s="1">
        <v>252</v>
      </c>
      <c r="H2898" s="1" t="s">
        <v>19</v>
      </c>
      <c r="I2898" s="1" t="s">
        <v>572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2148</v>
      </c>
      <c r="E2899" s="1"/>
      <c r="F2899" s="1" t="s">
        <v>2150</v>
      </c>
      <c r="G2899" s="1">
        <v>16</v>
      </c>
      <c r="H2899" s="1" t="s">
        <v>19</v>
      </c>
      <c r="I2899" s="1" t="s">
        <v>572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2148</v>
      </c>
      <c r="E2900" s="1"/>
      <c r="F2900" s="1" t="s">
        <v>2151</v>
      </c>
      <c r="G2900" s="1">
        <v>8</v>
      </c>
      <c r="H2900" s="1" t="s">
        <v>19</v>
      </c>
      <c r="I2900" s="1" t="s">
        <v>572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2148</v>
      </c>
      <c r="E2901" s="1"/>
      <c r="F2901" s="1" t="s">
        <v>2152</v>
      </c>
      <c r="G2901" s="1">
        <v>228</v>
      </c>
      <c r="H2901" s="1" t="s">
        <v>19</v>
      </c>
      <c r="I2901" s="1" t="s">
        <v>572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2148</v>
      </c>
      <c r="E2902" s="1"/>
      <c r="F2902" s="1" t="s">
        <v>2153</v>
      </c>
      <c r="G2902" s="1">
        <v>268</v>
      </c>
      <c r="H2902" s="1" t="s">
        <v>19</v>
      </c>
      <c r="I2902" s="1" t="s">
        <v>572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2154</v>
      </c>
      <c r="E2903" s="1"/>
      <c r="F2903" s="1" t="s">
        <v>2155</v>
      </c>
      <c r="G2903" s="1">
        <v>182</v>
      </c>
      <c r="H2903" s="1" t="s">
        <v>19</v>
      </c>
      <c r="I2903" s="1" t="s">
        <v>573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2154</v>
      </c>
      <c r="E2904" s="1"/>
      <c r="F2904" s="1" t="s">
        <v>2156</v>
      </c>
      <c r="G2904" s="1">
        <v>16</v>
      </c>
      <c r="H2904" s="1" t="s">
        <v>19</v>
      </c>
      <c r="I2904" s="1" t="s">
        <v>573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2154</v>
      </c>
      <c r="E2905" s="1"/>
      <c r="F2905" s="1" t="s">
        <v>2157</v>
      </c>
      <c r="G2905" s="1">
        <v>8</v>
      </c>
      <c r="H2905" s="1" t="s">
        <v>19</v>
      </c>
      <c r="I2905" s="1" t="s">
        <v>573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2154</v>
      </c>
      <c r="E2906" s="1"/>
      <c r="F2906" s="1" t="s">
        <v>2158</v>
      </c>
      <c r="G2906" s="1">
        <v>158</v>
      </c>
      <c r="H2906" s="1" t="s">
        <v>19</v>
      </c>
      <c r="I2906" s="1" t="s">
        <v>573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2154</v>
      </c>
      <c r="E2907" s="1"/>
      <c r="F2907" s="1" t="s">
        <v>2159</v>
      </c>
      <c r="G2907" s="1">
        <v>198</v>
      </c>
      <c r="H2907" s="1" t="s">
        <v>19</v>
      </c>
      <c r="I2907" s="1" t="s">
        <v>573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2160</v>
      </c>
      <c r="E2908" s="1"/>
      <c r="F2908" s="1" t="s">
        <v>2161</v>
      </c>
      <c r="G2908" s="1">
        <v>36</v>
      </c>
      <c r="H2908" s="1" t="s">
        <v>19</v>
      </c>
      <c r="I2908" s="1" t="s">
        <v>425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2160</v>
      </c>
      <c r="E2909" s="1"/>
      <c r="F2909" s="1" t="s">
        <v>2162</v>
      </c>
      <c r="G2909" s="1">
        <v>36</v>
      </c>
      <c r="H2909" s="1" t="s">
        <v>19</v>
      </c>
      <c r="I2909" s="1" t="s">
        <v>425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2160</v>
      </c>
      <c r="E2910" s="1"/>
      <c r="F2910" s="1" t="s">
        <v>2163</v>
      </c>
      <c r="G2910" s="1">
        <v>36</v>
      </c>
      <c r="H2910" s="1" t="s">
        <v>19</v>
      </c>
      <c r="I2910" s="1" t="s">
        <v>425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2160</v>
      </c>
      <c r="E2911" s="1"/>
      <c r="F2911" s="1" t="s">
        <v>2164</v>
      </c>
      <c r="G2911" s="1">
        <v>18</v>
      </c>
      <c r="H2911" s="1" t="s">
        <v>19</v>
      </c>
      <c r="I2911" s="1" t="s">
        <v>425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2160</v>
      </c>
      <c r="E2912" s="1"/>
      <c r="F2912" s="1" t="s">
        <v>2165</v>
      </c>
      <c r="G2912" s="1">
        <v>18</v>
      </c>
      <c r="H2912" s="1" t="s">
        <v>19</v>
      </c>
      <c r="I2912" s="1" t="s">
        <v>425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2160</v>
      </c>
      <c r="E2913" s="1"/>
      <c r="F2913" s="1" t="s">
        <v>2166</v>
      </c>
      <c r="G2913" s="1">
        <v>18</v>
      </c>
      <c r="H2913" s="1" t="s">
        <v>19</v>
      </c>
      <c r="I2913" s="1" t="s">
        <v>425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2167</v>
      </c>
      <c r="E2914" s="1"/>
      <c r="F2914" s="1" t="s">
        <v>2168</v>
      </c>
      <c r="G2914" s="1">
        <v>27</v>
      </c>
      <c r="H2914" s="1" t="s">
        <v>19</v>
      </c>
      <c r="I2914" s="1" t="s">
        <v>426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2167</v>
      </c>
      <c r="E2915" s="1"/>
      <c r="F2915" s="1" t="s">
        <v>2169</v>
      </c>
      <c r="G2915" s="1">
        <v>27</v>
      </c>
      <c r="H2915" s="1" t="s">
        <v>19</v>
      </c>
      <c r="I2915" s="1" t="s">
        <v>426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2167</v>
      </c>
      <c r="E2916" s="1"/>
      <c r="F2916" s="1" t="s">
        <v>2170</v>
      </c>
      <c r="G2916" s="1">
        <v>27</v>
      </c>
      <c r="H2916" s="1" t="s">
        <v>19</v>
      </c>
      <c r="I2916" s="1" t="s">
        <v>426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2171</v>
      </c>
      <c r="E2917" s="1"/>
      <c r="F2917" s="1" t="s">
        <v>2172</v>
      </c>
      <c r="G2917" s="1">
        <v>36</v>
      </c>
      <c r="H2917" s="1" t="s">
        <v>19</v>
      </c>
      <c r="I2917" s="1" t="s">
        <v>427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2171</v>
      </c>
      <c r="E2918" s="1"/>
      <c r="F2918" s="1" t="s">
        <v>2173</v>
      </c>
      <c r="G2918" s="1">
        <v>36</v>
      </c>
      <c r="H2918" s="1" t="s">
        <v>19</v>
      </c>
      <c r="I2918" s="1" t="s">
        <v>427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2171</v>
      </c>
      <c r="E2919" s="1"/>
      <c r="F2919" s="1" t="s">
        <v>2174</v>
      </c>
      <c r="G2919" s="1">
        <v>36</v>
      </c>
      <c r="H2919" s="1" t="s">
        <v>19</v>
      </c>
      <c r="I2919" s="1" t="s">
        <v>427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2175</v>
      </c>
      <c r="E2920" s="1"/>
      <c r="F2920" s="1" t="s">
        <v>2176</v>
      </c>
      <c r="G2920" s="1">
        <v>72</v>
      </c>
      <c r="H2920" s="1" t="s">
        <v>19</v>
      </c>
      <c r="I2920" s="1" t="s">
        <v>428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2175</v>
      </c>
      <c r="E2921" s="1"/>
      <c r="F2921" s="1" t="s">
        <v>2177</v>
      </c>
      <c r="G2921" s="1">
        <v>72</v>
      </c>
      <c r="H2921" s="1" t="s">
        <v>19</v>
      </c>
      <c r="I2921" s="1" t="s">
        <v>428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2175</v>
      </c>
      <c r="E2922" s="1"/>
      <c r="F2922" s="1" t="s">
        <v>2178</v>
      </c>
      <c r="G2922" s="1">
        <v>72</v>
      </c>
      <c r="H2922" s="1" t="s">
        <v>19</v>
      </c>
      <c r="I2922" s="1" t="s">
        <v>428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2484</v>
      </c>
      <c r="D2923" s="1" t="s">
        <v>2512</v>
      </c>
      <c r="E2923" s="1"/>
      <c r="F2923" s="1" t="s">
        <v>2122</v>
      </c>
      <c r="G2923" s="1">
        <v>8</v>
      </c>
      <c r="H2923" s="1" t="s">
        <v>19</v>
      </c>
      <c r="I2923" s="1" t="s">
        <v>570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2484</v>
      </c>
      <c r="D2924" s="1" t="s">
        <v>2512</v>
      </c>
      <c r="E2924" s="1"/>
      <c r="F2924" s="1" t="s">
        <v>2513</v>
      </c>
      <c r="G2924" s="1">
        <v>5</v>
      </c>
      <c r="H2924" s="1" t="s">
        <v>19</v>
      </c>
      <c r="I2924" s="1" t="s">
        <v>570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2479</v>
      </c>
      <c r="D2925" s="1" t="s">
        <v>2514</v>
      </c>
      <c r="E2925" s="1"/>
      <c r="F2925" s="1" t="s">
        <v>2122</v>
      </c>
      <c r="G2925" s="1">
        <v>7</v>
      </c>
      <c r="H2925" s="1" t="s">
        <v>19</v>
      </c>
      <c r="I2925" s="1" t="s">
        <v>571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2479</v>
      </c>
      <c r="D2926" s="1" t="s">
        <v>2514</v>
      </c>
      <c r="E2926" s="1"/>
      <c r="F2926" s="1" t="s">
        <v>2513</v>
      </c>
      <c r="G2926" s="1">
        <v>5</v>
      </c>
      <c r="H2926" s="1" t="s">
        <v>19</v>
      </c>
      <c r="I2926" s="1" t="s">
        <v>571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2489</v>
      </c>
      <c r="D2927" s="1" t="s">
        <v>2515</v>
      </c>
      <c r="E2927" s="1"/>
      <c r="F2927" s="1" t="s">
        <v>2122</v>
      </c>
      <c r="G2927" s="1">
        <v>7</v>
      </c>
      <c r="H2927" s="1" t="s">
        <v>19</v>
      </c>
      <c r="I2927" s="1" t="s">
        <v>572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2489</v>
      </c>
      <c r="D2928" s="1" t="s">
        <v>2515</v>
      </c>
      <c r="E2928" s="1"/>
      <c r="F2928" s="1" t="s">
        <v>2513</v>
      </c>
      <c r="G2928" s="1">
        <v>5</v>
      </c>
      <c r="H2928" s="1" t="s">
        <v>19</v>
      </c>
      <c r="I2928" s="1" t="s">
        <v>572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2483</v>
      </c>
      <c r="D2929" s="1" t="s">
        <v>2516</v>
      </c>
      <c r="E2929" s="1"/>
      <c r="F2929" s="1" t="s">
        <v>2122</v>
      </c>
      <c r="G2929" s="1">
        <v>5</v>
      </c>
      <c r="H2929" s="1" t="s">
        <v>19</v>
      </c>
      <c r="I2929" s="1" t="s">
        <v>573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2483</v>
      </c>
      <c r="D2930" s="1" t="s">
        <v>2516</v>
      </c>
      <c r="E2930" s="1"/>
      <c r="F2930" s="1" t="s">
        <v>2513</v>
      </c>
      <c r="G2930" s="1">
        <v>5</v>
      </c>
      <c r="H2930" s="1" t="s">
        <v>19</v>
      </c>
      <c r="I2930" s="1" t="s">
        <v>573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2483</v>
      </c>
      <c r="D2931" s="1"/>
      <c r="E2931" s="1"/>
      <c r="F2931" s="1" t="s">
        <v>2517</v>
      </c>
      <c r="G2931" s="1">
        <v>1</v>
      </c>
      <c r="H2931" s="1" t="s">
        <v>19</v>
      </c>
      <c r="I2931" s="1" t="s">
        <v>573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2483</v>
      </c>
      <c r="D2932" s="1"/>
      <c r="E2932" s="1"/>
      <c r="F2932" s="1" t="s">
        <v>2517</v>
      </c>
      <c r="G2932" s="1">
        <v>1</v>
      </c>
      <c r="H2932" s="1" t="s">
        <v>19</v>
      </c>
      <c r="I2932" s="1" t="s">
        <v>573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2483</v>
      </c>
      <c r="D2933" s="1"/>
      <c r="E2933" s="1"/>
      <c r="F2933" s="1" t="s">
        <v>2517</v>
      </c>
      <c r="G2933" s="1">
        <v>1</v>
      </c>
      <c r="H2933" s="1" t="s">
        <v>19</v>
      </c>
      <c r="I2933" s="1" t="s">
        <v>573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2483</v>
      </c>
      <c r="D2934" s="1"/>
      <c r="E2934" s="1"/>
      <c r="F2934" s="1" t="s">
        <v>2518</v>
      </c>
      <c r="G2934" s="1">
        <v>1</v>
      </c>
      <c r="H2934" s="1" t="s">
        <v>19</v>
      </c>
      <c r="I2934" s="1" t="s">
        <v>573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2483</v>
      </c>
      <c r="D2935" s="1"/>
      <c r="E2935" s="1"/>
      <c r="F2935" s="1" t="s">
        <v>2519</v>
      </c>
      <c r="G2935" s="1">
        <v>1</v>
      </c>
      <c r="H2935" s="1" t="s">
        <v>19</v>
      </c>
      <c r="I2935" s="1" t="s">
        <v>573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2483</v>
      </c>
      <c r="D2936" s="1"/>
      <c r="E2936" s="1"/>
      <c r="F2936" s="1" t="s">
        <v>2519</v>
      </c>
      <c r="G2936" s="1">
        <v>1</v>
      </c>
      <c r="H2936" s="1" t="s">
        <v>19</v>
      </c>
      <c r="I2936" s="1" t="s">
        <v>573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2188</v>
      </c>
      <c r="D2937" s="1"/>
      <c r="E2937" s="1"/>
      <c r="F2937" s="1" t="s">
        <v>2520</v>
      </c>
      <c r="G2937" s="1">
        <v>4</v>
      </c>
      <c r="H2937" s="1" t="s">
        <v>19</v>
      </c>
      <c r="I2937" s="1" t="s">
        <v>1346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2736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2737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2738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651</v>
      </c>
      <c r="D2941" s="1"/>
      <c r="E2941" s="1"/>
      <c r="F2941" s="1" t="s">
        <v>652</v>
      </c>
      <c r="G2941" s="1">
        <v>40</v>
      </c>
      <c r="H2941" s="1" t="s">
        <v>19</v>
      </c>
      <c r="I2941" s="1" t="s">
        <v>653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654</v>
      </c>
      <c r="D2942" s="1"/>
      <c r="E2942" s="1"/>
      <c r="F2942" s="1" t="s">
        <v>655</v>
      </c>
      <c r="G2942" s="1">
        <v>32</v>
      </c>
      <c r="H2942" s="1" t="s">
        <v>19</v>
      </c>
      <c r="I2942" s="1" t="s">
        <v>653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656</v>
      </c>
      <c r="D2943" s="1"/>
      <c r="E2943" s="1"/>
      <c r="F2943" s="1" t="s">
        <v>657</v>
      </c>
      <c r="G2943" s="1">
        <v>32</v>
      </c>
      <c r="H2943" s="1" t="s">
        <v>19</v>
      </c>
      <c r="I2943" s="1" t="s">
        <v>653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777</v>
      </c>
      <c r="D2944" s="1"/>
      <c r="E2944" s="1" t="s">
        <v>2</v>
      </c>
      <c r="F2944" s="1" t="s">
        <v>778</v>
      </c>
      <c r="G2944" s="1">
        <v>1</v>
      </c>
      <c r="H2944" s="1" t="s">
        <v>1254</v>
      </c>
      <c r="I2944" s="1" t="s">
        <v>653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777</v>
      </c>
      <c r="D2945" s="1"/>
      <c r="E2945" s="1" t="s">
        <v>44</v>
      </c>
      <c r="F2945" s="1" t="s">
        <v>779</v>
      </c>
      <c r="G2945" s="1">
        <v>1</v>
      </c>
      <c r="H2945" s="1" t="s">
        <v>1254</v>
      </c>
      <c r="I2945" s="1" t="s">
        <v>653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777</v>
      </c>
      <c r="D2946" s="1"/>
      <c r="E2946" s="1" t="s">
        <v>747</v>
      </c>
      <c r="F2946" s="1" t="s">
        <v>780</v>
      </c>
      <c r="G2946" s="1">
        <v>1</v>
      </c>
      <c r="H2946" s="1" t="s">
        <v>1254</v>
      </c>
      <c r="I2946" s="1" t="s">
        <v>653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785</v>
      </c>
      <c r="D2947" s="1"/>
      <c r="E2947" s="1" t="s">
        <v>2</v>
      </c>
      <c r="F2947" s="1" t="s">
        <v>786</v>
      </c>
      <c r="G2947" s="1">
        <v>1</v>
      </c>
      <c r="H2947" s="1" t="s">
        <v>19</v>
      </c>
      <c r="I2947" s="1" t="s">
        <v>653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785</v>
      </c>
      <c r="D2948" s="1"/>
      <c r="E2948" s="1" t="s">
        <v>44</v>
      </c>
      <c r="F2948" s="1" t="s">
        <v>787</v>
      </c>
      <c r="G2948" s="1">
        <v>1</v>
      </c>
      <c r="H2948" s="1" t="s">
        <v>19</v>
      </c>
      <c r="I2948" s="1" t="s">
        <v>653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785</v>
      </c>
      <c r="D2949" s="1"/>
      <c r="E2949" s="1" t="s">
        <v>747</v>
      </c>
      <c r="F2949" s="1" t="s">
        <v>788</v>
      </c>
      <c r="G2949" s="1">
        <v>1</v>
      </c>
      <c r="H2949" s="1" t="s">
        <v>19</v>
      </c>
      <c r="I2949" s="1" t="s">
        <v>653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789</v>
      </c>
      <c r="D2950" s="1"/>
      <c r="E2950" s="1" t="s">
        <v>2</v>
      </c>
      <c r="F2950" s="1" t="s">
        <v>791</v>
      </c>
      <c r="G2950" s="1">
        <v>1</v>
      </c>
      <c r="H2950" s="1" t="s">
        <v>19</v>
      </c>
      <c r="I2950" s="1" t="s">
        <v>653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789</v>
      </c>
      <c r="D2951" s="1"/>
      <c r="E2951" s="1" t="s">
        <v>44</v>
      </c>
      <c r="F2951" s="1" t="s">
        <v>792</v>
      </c>
      <c r="G2951" s="1">
        <v>1</v>
      </c>
      <c r="H2951" s="1" t="s">
        <v>19</v>
      </c>
      <c r="I2951" s="1" t="s">
        <v>653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789</v>
      </c>
      <c r="D2952" s="1"/>
      <c r="E2952" s="1" t="s">
        <v>747</v>
      </c>
      <c r="F2952" s="1" t="s">
        <v>793</v>
      </c>
      <c r="G2952" s="1">
        <v>1</v>
      </c>
      <c r="H2952" s="1" t="s">
        <v>19</v>
      </c>
      <c r="I2952" s="1" t="s">
        <v>653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790</v>
      </c>
      <c r="D2953" s="1"/>
      <c r="E2953" s="1" t="s">
        <v>2</v>
      </c>
      <c r="F2953" s="1" t="s">
        <v>794</v>
      </c>
      <c r="G2953" s="1">
        <v>1</v>
      </c>
      <c r="H2953" s="1" t="s">
        <v>19</v>
      </c>
      <c r="I2953" s="1" t="s">
        <v>653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790</v>
      </c>
      <c r="D2954" s="1"/>
      <c r="E2954" s="1" t="s">
        <v>44</v>
      </c>
      <c r="F2954" s="1" t="s">
        <v>795</v>
      </c>
      <c r="G2954" s="1">
        <v>1</v>
      </c>
      <c r="H2954" s="1" t="s">
        <v>19</v>
      </c>
      <c r="I2954" s="1" t="s">
        <v>653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790</v>
      </c>
      <c r="D2955" s="1"/>
      <c r="E2955" s="1" t="s">
        <v>747</v>
      </c>
      <c r="F2955" s="1" t="s">
        <v>796</v>
      </c>
      <c r="G2955" s="1">
        <v>1</v>
      </c>
      <c r="H2955" s="1" t="s">
        <v>19</v>
      </c>
      <c r="I2955" s="1" t="s">
        <v>653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895</v>
      </c>
      <c r="D2956" s="1"/>
      <c r="E2956" s="1" t="s">
        <v>2</v>
      </c>
      <c r="F2956" s="1" t="s">
        <v>896</v>
      </c>
      <c r="G2956" s="1">
        <v>1</v>
      </c>
      <c r="H2956" s="1" t="s">
        <v>19</v>
      </c>
      <c r="I2956" s="1" t="s">
        <v>653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895</v>
      </c>
      <c r="D2957" s="1"/>
      <c r="E2957" s="1" t="s">
        <v>44</v>
      </c>
      <c r="F2957" s="1" t="s">
        <v>897</v>
      </c>
      <c r="G2957" s="1">
        <v>1</v>
      </c>
      <c r="H2957" s="1" t="s">
        <v>19</v>
      </c>
      <c r="I2957" s="1" t="s">
        <v>653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895</v>
      </c>
      <c r="D2958" s="1"/>
      <c r="E2958" s="1" t="s">
        <v>747</v>
      </c>
      <c r="F2958" s="1" t="s">
        <v>898</v>
      </c>
      <c r="G2958" s="1">
        <v>4</v>
      </c>
      <c r="H2958" s="1" t="s">
        <v>19</v>
      </c>
      <c r="I2958" s="1" t="s">
        <v>653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1255</v>
      </c>
      <c r="D2959" s="1"/>
      <c r="E2959" s="1"/>
      <c r="F2959" s="1" t="s">
        <v>1256</v>
      </c>
      <c r="G2959" s="1">
        <v>1</v>
      </c>
      <c r="H2959" s="1" t="s">
        <v>19</v>
      </c>
      <c r="I2959" s="1" t="s">
        <v>653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768</v>
      </c>
      <c r="D2960" s="1"/>
      <c r="E2960" s="1" t="s">
        <v>2</v>
      </c>
      <c r="F2960" s="1" t="s">
        <v>1257</v>
      </c>
      <c r="G2960" s="1">
        <v>1</v>
      </c>
      <c r="H2960" s="1" t="s">
        <v>19</v>
      </c>
      <c r="I2960" s="1" t="s">
        <v>653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769</v>
      </c>
      <c r="D2961" s="1"/>
      <c r="E2961" s="1" t="s">
        <v>2</v>
      </c>
      <c r="F2961" s="1" t="s">
        <v>1258</v>
      </c>
      <c r="G2961" s="1">
        <v>1</v>
      </c>
      <c r="H2961" s="1" t="s">
        <v>19</v>
      </c>
      <c r="I2961" s="1" t="s">
        <v>653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809</v>
      </c>
      <c r="D2962" s="1"/>
      <c r="E2962" s="1"/>
      <c r="F2962" s="1" t="s">
        <v>810</v>
      </c>
      <c r="G2962" s="1">
        <v>2</v>
      </c>
      <c r="H2962" s="1" t="s">
        <v>19</v>
      </c>
      <c r="I2962" s="1" t="s">
        <v>653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986</v>
      </c>
      <c r="D2963" s="1"/>
      <c r="E2963" s="1" t="s">
        <v>2</v>
      </c>
      <c r="F2963" s="1" t="s">
        <v>1259</v>
      </c>
      <c r="G2963" s="1">
        <v>2</v>
      </c>
      <c r="H2963" s="1" t="s">
        <v>19</v>
      </c>
      <c r="I2963" s="1" t="s">
        <v>653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986</v>
      </c>
      <c r="D2964" s="1"/>
      <c r="E2964" s="1" t="s">
        <v>44</v>
      </c>
      <c r="F2964" s="1" t="s">
        <v>1260</v>
      </c>
      <c r="G2964" s="1">
        <v>2</v>
      </c>
      <c r="H2964" s="1" t="s">
        <v>19</v>
      </c>
      <c r="I2964" s="1" t="s">
        <v>653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986</v>
      </c>
      <c r="D2965" s="1"/>
      <c r="E2965" s="1" t="s">
        <v>747</v>
      </c>
      <c r="F2965" s="1" t="s">
        <v>1261</v>
      </c>
      <c r="G2965" s="1">
        <v>2</v>
      </c>
      <c r="H2965" s="1" t="s">
        <v>19</v>
      </c>
      <c r="I2965" s="1" t="s">
        <v>653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986</v>
      </c>
      <c r="D2966" s="1"/>
      <c r="E2966" s="1" t="s">
        <v>1102</v>
      </c>
      <c r="F2966" s="1" t="s">
        <v>1262</v>
      </c>
      <c r="G2966" s="1">
        <v>2</v>
      </c>
      <c r="H2966" s="1" t="s">
        <v>19</v>
      </c>
      <c r="I2966" s="1" t="s">
        <v>653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986</v>
      </c>
      <c r="D2967" s="1"/>
      <c r="E2967" s="1" t="s">
        <v>101</v>
      </c>
      <c r="F2967" s="1" t="s">
        <v>1263</v>
      </c>
      <c r="G2967" s="1">
        <v>2</v>
      </c>
      <c r="H2967" s="1" t="s">
        <v>19</v>
      </c>
      <c r="I2967" s="1" t="s">
        <v>653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986</v>
      </c>
      <c r="D2968" s="1"/>
      <c r="E2968" s="1" t="s">
        <v>174</v>
      </c>
      <c r="F2968" s="1" t="s">
        <v>1264</v>
      </c>
      <c r="G2968" s="1">
        <v>1</v>
      </c>
      <c r="H2968" s="1" t="s">
        <v>19</v>
      </c>
      <c r="I2968" s="1" t="s">
        <v>653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986</v>
      </c>
      <c r="D2969" s="1"/>
      <c r="E2969" s="1" t="s">
        <v>462</v>
      </c>
      <c r="F2969" s="1" t="s">
        <v>1265</v>
      </c>
      <c r="G2969" s="1">
        <v>1</v>
      </c>
      <c r="H2969" s="1" t="s">
        <v>19</v>
      </c>
      <c r="I2969" s="1" t="s">
        <v>653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986</v>
      </c>
      <c r="D2970" s="1"/>
      <c r="E2970" s="1" t="s">
        <v>465</v>
      </c>
      <c r="F2970" s="1" t="s">
        <v>1266</v>
      </c>
      <c r="G2970" s="1">
        <v>1</v>
      </c>
      <c r="H2970" s="1" t="s">
        <v>19</v>
      </c>
      <c r="I2970" s="1" t="s">
        <v>653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986</v>
      </c>
      <c r="D2971" s="1"/>
      <c r="E2971" s="1" t="s">
        <v>1103</v>
      </c>
      <c r="F2971" s="1" t="s">
        <v>1267</v>
      </c>
      <c r="G2971" s="1">
        <v>1</v>
      </c>
      <c r="H2971" s="1" t="s">
        <v>19</v>
      </c>
      <c r="I2971" s="1" t="s">
        <v>653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986</v>
      </c>
      <c r="D2972" s="1"/>
      <c r="E2972" s="1" t="s">
        <v>1104</v>
      </c>
      <c r="F2972" s="1" t="s">
        <v>1268</v>
      </c>
      <c r="G2972" s="1">
        <v>1</v>
      </c>
      <c r="H2972" s="1" t="s">
        <v>19</v>
      </c>
      <c r="I2972" s="1" t="s">
        <v>653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777</v>
      </c>
      <c r="D2973" s="1"/>
      <c r="E2973" s="1" t="s">
        <v>101</v>
      </c>
      <c r="F2973" s="1" t="s">
        <v>782</v>
      </c>
      <c r="G2973" s="1">
        <v>32</v>
      </c>
      <c r="H2973" s="1" t="s">
        <v>19</v>
      </c>
      <c r="I2973" s="1" t="s">
        <v>653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777</v>
      </c>
      <c r="D2974" s="1"/>
      <c r="E2974" s="1" t="s">
        <v>174</v>
      </c>
      <c r="F2974" s="1" t="s">
        <v>783</v>
      </c>
      <c r="G2974" s="1">
        <v>2</v>
      </c>
      <c r="H2974" s="1" t="s">
        <v>19</v>
      </c>
      <c r="I2974" s="1" t="s">
        <v>653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777</v>
      </c>
      <c r="D2975" s="1"/>
      <c r="E2975" s="1" t="s">
        <v>462</v>
      </c>
      <c r="F2975" s="1" t="s">
        <v>784</v>
      </c>
      <c r="G2975" s="1">
        <v>2</v>
      </c>
      <c r="H2975" s="1" t="s">
        <v>19</v>
      </c>
      <c r="I2975" s="1" t="s">
        <v>653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809</v>
      </c>
      <c r="D2976" s="1"/>
      <c r="E2976" s="1" t="s">
        <v>2</v>
      </c>
      <c r="F2976" s="1" t="s">
        <v>1349</v>
      </c>
      <c r="G2976" s="1">
        <v>2</v>
      </c>
      <c r="H2976" s="1" t="s">
        <v>19</v>
      </c>
      <c r="I2976" s="1" t="s">
        <v>653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1350</v>
      </c>
      <c r="D2977" s="1"/>
      <c r="E2977" s="1"/>
      <c r="F2977" s="1" t="s">
        <v>1351</v>
      </c>
      <c r="G2977" s="1">
        <v>1</v>
      </c>
      <c r="H2977" s="1" t="s">
        <v>19</v>
      </c>
      <c r="I2977" s="1" t="s">
        <v>653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797</v>
      </c>
      <c r="D2978" s="1"/>
      <c r="E2978" s="1" t="s">
        <v>747</v>
      </c>
      <c r="F2978" s="1" t="s">
        <v>1681</v>
      </c>
      <c r="G2978" s="1">
        <v>2</v>
      </c>
      <c r="H2978" s="1" t="s">
        <v>19</v>
      </c>
      <c r="I2978" s="1" t="s">
        <v>653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1041</v>
      </c>
      <c r="D2979" s="1" t="s">
        <v>1041</v>
      </c>
      <c r="E2979" s="1" t="s">
        <v>2</v>
      </c>
      <c r="F2979" s="1" t="s">
        <v>1682</v>
      </c>
      <c r="G2979" s="1">
        <v>1</v>
      </c>
      <c r="H2979" s="1" t="s">
        <v>19</v>
      </c>
      <c r="I2979" s="1" t="s">
        <v>653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1049</v>
      </c>
      <c r="D2980" s="1"/>
      <c r="E2980" s="1"/>
      <c r="F2980" s="1" t="s">
        <v>1683</v>
      </c>
      <c r="G2980" s="1">
        <v>9</v>
      </c>
      <c r="H2980" s="1" t="s">
        <v>19</v>
      </c>
      <c r="I2980" s="1" t="s">
        <v>653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1050</v>
      </c>
      <c r="D2981" s="1" t="s">
        <v>1050</v>
      </c>
      <c r="E2981" s="1" t="s">
        <v>1684</v>
      </c>
      <c r="F2981" s="1" t="s">
        <v>1685</v>
      </c>
      <c r="G2981" s="1">
        <v>32</v>
      </c>
      <c r="H2981" s="1" t="s">
        <v>19</v>
      </c>
      <c r="I2981" s="1" t="s">
        <v>653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1050</v>
      </c>
      <c r="D2982" s="1" t="s">
        <v>1050</v>
      </c>
      <c r="E2982" s="1" t="s">
        <v>2</v>
      </c>
      <c r="F2982" s="1" t="s">
        <v>1051</v>
      </c>
      <c r="G2982" s="1">
        <v>8</v>
      </c>
      <c r="H2982" s="1" t="s">
        <v>19</v>
      </c>
      <c r="I2982" s="1" t="s">
        <v>653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1052</v>
      </c>
      <c r="D2983" s="1"/>
      <c r="E2983" s="1" t="s">
        <v>2</v>
      </c>
      <c r="F2983" s="1" t="s">
        <v>1686</v>
      </c>
      <c r="G2983" s="1">
        <v>1</v>
      </c>
      <c r="H2983" s="1" t="s">
        <v>19</v>
      </c>
      <c r="I2983" s="1" t="s">
        <v>653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1053</v>
      </c>
      <c r="D2984" s="1"/>
      <c r="E2984" s="1" t="s">
        <v>2</v>
      </c>
      <c r="F2984" s="1" t="s">
        <v>1687</v>
      </c>
      <c r="G2984" s="1">
        <v>20</v>
      </c>
      <c r="H2984" s="1" t="s">
        <v>19</v>
      </c>
      <c r="I2984" s="1" t="s">
        <v>653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1688</v>
      </c>
      <c r="D2985" s="1" t="s">
        <v>1689</v>
      </c>
      <c r="E2985" s="1"/>
      <c r="F2985" s="1" t="s">
        <v>1690</v>
      </c>
      <c r="G2985" s="1">
        <v>90</v>
      </c>
      <c r="H2985" s="1" t="s">
        <v>19</v>
      </c>
      <c r="I2985" s="1" t="s">
        <v>653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1691</v>
      </c>
      <c r="D2986" s="1" t="s">
        <v>1692</v>
      </c>
      <c r="E2986" s="1"/>
      <c r="F2986" s="1" t="s">
        <v>1693</v>
      </c>
      <c r="G2986" s="1">
        <v>88</v>
      </c>
      <c r="H2986" s="1" t="s">
        <v>19</v>
      </c>
      <c r="I2986" s="1" t="s">
        <v>653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1688</v>
      </c>
      <c r="D2987" s="1" t="s">
        <v>1689</v>
      </c>
      <c r="E2987" s="1"/>
      <c r="F2987" s="1" t="s">
        <v>1694</v>
      </c>
      <c r="G2987" s="1">
        <v>24</v>
      </c>
      <c r="H2987" s="1" t="s">
        <v>19</v>
      </c>
      <c r="I2987" s="1" t="s">
        <v>653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1691</v>
      </c>
      <c r="D2988" s="1" t="s">
        <v>1692</v>
      </c>
      <c r="E2988" s="1"/>
      <c r="F2988" s="1" t="s">
        <v>1695</v>
      </c>
      <c r="G2988" s="1">
        <v>28</v>
      </c>
      <c r="H2988" s="1" t="s">
        <v>19</v>
      </c>
      <c r="I2988" s="1" t="s">
        <v>653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1688</v>
      </c>
      <c r="D2989" s="1" t="s">
        <v>1689</v>
      </c>
      <c r="E2989" s="1"/>
      <c r="F2989" s="1" t="s">
        <v>1696</v>
      </c>
      <c r="G2989" s="1">
        <v>90</v>
      </c>
      <c r="H2989" s="1" t="s">
        <v>19</v>
      </c>
      <c r="I2989" s="1" t="s">
        <v>653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1691</v>
      </c>
      <c r="D2990" s="1" t="s">
        <v>1692</v>
      </c>
      <c r="E2990" s="1"/>
      <c r="F2990" s="1" t="s">
        <v>1697</v>
      </c>
      <c r="G2990" s="1">
        <v>88</v>
      </c>
      <c r="H2990" s="1" t="s">
        <v>19</v>
      </c>
      <c r="I2990" s="1" t="s">
        <v>653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1688</v>
      </c>
      <c r="D2991" s="1" t="s">
        <v>1689</v>
      </c>
      <c r="E2991" s="1"/>
      <c r="F2991" s="1" t="s">
        <v>1698</v>
      </c>
      <c r="G2991" s="1">
        <v>94</v>
      </c>
      <c r="H2991" s="1" t="s">
        <v>19</v>
      </c>
      <c r="I2991" s="1" t="s">
        <v>653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1691</v>
      </c>
      <c r="D2992" s="1" t="s">
        <v>1692</v>
      </c>
      <c r="E2992" s="1"/>
      <c r="F2992" s="1" t="s">
        <v>1699</v>
      </c>
      <c r="G2992" s="1">
        <v>60</v>
      </c>
      <c r="H2992" s="1" t="s">
        <v>19</v>
      </c>
      <c r="I2992" s="1" t="s">
        <v>653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1700</v>
      </c>
      <c r="D2993" s="1" t="s">
        <v>1701</v>
      </c>
      <c r="E2993" s="1"/>
      <c r="F2993" s="1" t="s">
        <v>1702</v>
      </c>
      <c r="G2993" s="1">
        <v>18</v>
      </c>
      <c r="H2993" s="1" t="s">
        <v>19</v>
      </c>
      <c r="I2993" s="1" t="s">
        <v>1703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1704</v>
      </c>
      <c r="D2994" s="1" t="s">
        <v>1705</v>
      </c>
      <c r="E2994" s="1"/>
      <c r="F2994" s="1" t="s">
        <v>1706</v>
      </c>
      <c r="G2994" s="1">
        <v>16</v>
      </c>
      <c r="H2994" s="1" t="s">
        <v>19</v>
      </c>
      <c r="I2994" s="1" t="s">
        <v>653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1688</v>
      </c>
      <c r="D2995" s="1" t="s">
        <v>1689</v>
      </c>
      <c r="E2995" s="1"/>
      <c r="F2995" s="1" t="s">
        <v>1707</v>
      </c>
      <c r="G2995" s="1">
        <v>90</v>
      </c>
      <c r="H2995" s="1" t="s">
        <v>19</v>
      </c>
      <c r="I2995" s="1" t="s">
        <v>653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1691</v>
      </c>
      <c r="D2996" s="1" t="s">
        <v>1692</v>
      </c>
      <c r="E2996" s="1"/>
      <c r="F2996" s="1" t="s">
        <v>1708</v>
      </c>
      <c r="G2996" s="1">
        <v>88</v>
      </c>
      <c r="H2996" s="1" t="s">
        <v>19</v>
      </c>
      <c r="I2996" s="1" t="s">
        <v>653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1691</v>
      </c>
      <c r="D2997" s="1" t="s">
        <v>1692</v>
      </c>
      <c r="E2997" s="1"/>
      <c r="F2997" s="1" t="s">
        <v>1709</v>
      </c>
      <c r="G2997" s="1">
        <v>60</v>
      </c>
      <c r="H2997" s="1" t="s">
        <v>19</v>
      </c>
      <c r="I2997" s="1" t="s">
        <v>653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1688</v>
      </c>
      <c r="D2998" s="1" t="s">
        <v>1689</v>
      </c>
      <c r="E2998" s="1"/>
      <c r="F2998" s="1" t="s">
        <v>1710</v>
      </c>
      <c r="G2998" s="1">
        <v>24</v>
      </c>
      <c r="H2998" s="1" t="s">
        <v>19</v>
      </c>
      <c r="I2998" s="1" t="s">
        <v>653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1691</v>
      </c>
      <c r="D2999" s="1" t="s">
        <v>1692</v>
      </c>
      <c r="E2999" s="1"/>
      <c r="F2999" s="1" t="s">
        <v>1711</v>
      </c>
      <c r="G2999" s="1">
        <v>74</v>
      </c>
      <c r="H2999" s="1" t="s">
        <v>19</v>
      </c>
      <c r="I2999" s="1" t="s">
        <v>653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1712</v>
      </c>
      <c r="D3000" s="1" t="s">
        <v>1713</v>
      </c>
      <c r="E3000" s="1"/>
      <c r="F3000" s="1" t="s">
        <v>1714</v>
      </c>
      <c r="G3000" s="1">
        <v>70</v>
      </c>
      <c r="H3000" s="1" t="s">
        <v>19</v>
      </c>
      <c r="I3000" s="1" t="s">
        <v>1703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1691</v>
      </c>
      <c r="D3001" s="1" t="s">
        <v>1692</v>
      </c>
      <c r="E3001" s="1"/>
      <c r="F3001" s="1" t="s">
        <v>1715</v>
      </c>
      <c r="G3001" s="1">
        <v>63</v>
      </c>
      <c r="H3001" s="1" t="s">
        <v>19</v>
      </c>
      <c r="I3001" s="1" t="s">
        <v>653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1688</v>
      </c>
      <c r="D3002" s="1" t="s">
        <v>1689</v>
      </c>
      <c r="E3002" s="1"/>
      <c r="F3002" s="1" t="s">
        <v>1716</v>
      </c>
      <c r="G3002" s="1">
        <v>44</v>
      </c>
      <c r="H3002" s="1" t="s">
        <v>19</v>
      </c>
      <c r="I3002" s="1" t="s">
        <v>653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1717</v>
      </c>
      <c r="D3003" s="1"/>
      <c r="E3003" s="1"/>
      <c r="F3003" s="1" t="s">
        <v>1718</v>
      </c>
      <c r="G3003" s="1">
        <v>2</v>
      </c>
      <c r="H3003" s="1" t="s">
        <v>19</v>
      </c>
      <c r="I3003" s="1" t="s">
        <v>653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1719</v>
      </c>
      <c r="D3004" s="1"/>
      <c r="E3004" s="1"/>
      <c r="F3004" s="1" t="s">
        <v>1720</v>
      </c>
      <c r="G3004" s="1">
        <v>4</v>
      </c>
      <c r="H3004" s="1" t="s">
        <v>19</v>
      </c>
      <c r="I3004" s="1" t="s">
        <v>653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1721</v>
      </c>
      <c r="D3005" s="1"/>
      <c r="E3005" s="1"/>
      <c r="F3005" s="1" t="s">
        <v>1722</v>
      </c>
      <c r="G3005" s="1">
        <v>200</v>
      </c>
      <c r="H3005" s="1" t="s">
        <v>19</v>
      </c>
      <c r="I3005" s="1" t="s">
        <v>653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1723</v>
      </c>
      <c r="D3006" s="1"/>
      <c r="E3006" s="1"/>
      <c r="F3006" s="1" t="s">
        <v>1724</v>
      </c>
      <c r="G3006" s="1">
        <v>32</v>
      </c>
      <c r="H3006" s="1" t="s">
        <v>19</v>
      </c>
      <c r="I3006" s="1" t="s">
        <v>653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1725</v>
      </c>
      <c r="D3007" s="1"/>
      <c r="E3007" s="1"/>
      <c r="F3007" s="1" t="s">
        <v>1726</v>
      </c>
      <c r="G3007" s="1">
        <v>264</v>
      </c>
      <c r="H3007" s="1" t="s">
        <v>19</v>
      </c>
      <c r="I3007" s="1" t="s">
        <v>653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1096</v>
      </c>
      <c r="D3008" s="1"/>
      <c r="E3008" s="1" t="s">
        <v>2</v>
      </c>
      <c r="F3008" s="1" t="s">
        <v>1097</v>
      </c>
      <c r="G3008" s="1">
        <v>1</v>
      </c>
      <c r="H3008" s="1" t="s">
        <v>19</v>
      </c>
      <c r="I3008" s="1" t="s">
        <v>653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1096</v>
      </c>
      <c r="D3009" s="1"/>
      <c r="E3009" s="1" t="s">
        <v>44</v>
      </c>
      <c r="F3009" s="1" t="s">
        <v>1098</v>
      </c>
      <c r="G3009" s="1">
        <v>1</v>
      </c>
      <c r="H3009" s="1" t="s">
        <v>19</v>
      </c>
      <c r="I3009" s="1" t="s">
        <v>653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1096</v>
      </c>
      <c r="D3010" s="1"/>
      <c r="E3010" s="1" t="s">
        <v>747</v>
      </c>
      <c r="F3010" s="1" t="s">
        <v>1099</v>
      </c>
      <c r="G3010" s="1">
        <v>1</v>
      </c>
      <c r="H3010" s="1" t="s">
        <v>19</v>
      </c>
      <c r="I3010" s="1" t="s">
        <v>653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1096</v>
      </c>
      <c r="D3011" s="1"/>
      <c r="E3011" s="1" t="s">
        <v>1102</v>
      </c>
      <c r="F3011" s="1" t="s">
        <v>1100</v>
      </c>
      <c r="G3011" s="1">
        <v>2</v>
      </c>
      <c r="H3011" s="1" t="s">
        <v>19</v>
      </c>
      <c r="I3011" s="1" t="s">
        <v>653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1096</v>
      </c>
      <c r="D3012" s="1"/>
      <c r="E3012" s="1" t="s">
        <v>101</v>
      </c>
      <c r="F3012" s="1" t="s">
        <v>1101</v>
      </c>
      <c r="G3012" s="1">
        <v>2</v>
      </c>
      <c r="H3012" s="1" t="s">
        <v>19</v>
      </c>
      <c r="I3012" s="1" t="s">
        <v>653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1727</v>
      </c>
      <c r="D3013" s="1"/>
      <c r="E3013" s="1" t="s">
        <v>2</v>
      </c>
      <c r="F3013" s="1" t="s">
        <v>1728</v>
      </c>
      <c r="G3013" s="1">
        <v>1</v>
      </c>
      <c r="H3013" s="1" t="s">
        <v>19</v>
      </c>
      <c r="I3013" s="1" t="s">
        <v>653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1721</v>
      </c>
      <c r="D3014" s="1"/>
      <c r="E3014" s="1"/>
      <c r="F3014" s="1" t="s">
        <v>1729</v>
      </c>
      <c r="G3014" s="1">
        <v>2</v>
      </c>
      <c r="H3014" s="1" t="s">
        <v>19</v>
      </c>
      <c r="I3014" s="1" t="s">
        <v>653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1730</v>
      </c>
      <c r="D3015" s="1"/>
      <c r="E3015" s="1"/>
      <c r="F3015" s="1" t="s">
        <v>1731</v>
      </c>
      <c r="G3015" s="1">
        <v>16</v>
      </c>
      <c r="H3015" s="1" t="s">
        <v>19</v>
      </c>
      <c r="I3015" s="1" t="s">
        <v>653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1732</v>
      </c>
      <c r="D3016" s="1"/>
      <c r="E3016" s="1"/>
      <c r="F3016" s="1" t="s">
        <v>1733</v>
      </c>
      <c r="G3016" s="1">
        <v>16</v>
      </c>
      <c r="H3016" s="1" t="s">
        <v>19</v>
      </c>
      <c r="I3016" s="1" t="s">
        <v>653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1025</v>
      </c>
      <c r="D3017" s="1"/>
      <c r="E3017" s="1"/>
      <c r="F3017" s="1" t="s">
        <v>1734</v>
      </c>
      <c r="G3017" s="1">
        <v>16</v>
      </c>
      <c r="H3017" s="1" t="s">
        <v>19</v>
      </c>
      <c r="I3017" s="1" t="s">
        <v>653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1735</v>
      </c>
      <c r="D3018" s="1"/>
      <c r="E3018" s="1"/>
      <c r="F3018" s="1" t="s">
        <v>1736</v>
      </c>
      <c r="G3018" s="1">
        <v>8</v>
      </c>
      <c r="H3018" s="1" t="s">
        <v>19</v>
      </c>
      <c r="I3018" s="1" t="s">
        <v>653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1737</v>
      </c>
      <c r="D3019" s="1"/>
      <c r="E3019" s="1"/>
      <c r="F3019" s="1" t="s">
        <v>1738</v>
      </c>
      <c r="G3019" s="1">
        <v>4</v>
      </c>
      <c r="H3019" s="1" t="s">
        <v>19</v>
      </c>
      <c r="I3019" s="1" t="s">
        <v>653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1052</v>
      </c>
      <c r="D3020" s="1"/>
      <c r="E3020" s="1"/>
      <c r="F3020" s="1" t="s">
        <v>1739</v>
      </c>
      <c r="G3020" s="1">
        <v>1</v>
      </c>
      <c r="H3020" s="1" t="s">
        <v>19</v>
      </c>
      <c r="I3020" s="1" t="s">
        <v>653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1740</v>
      </c>
      <c r="D3021" s="1"/>
      <c r="E3021" s="1"/>
      <c r="F3021" s="1" t="s">
        <v>1741</v>
      </c>
      <c r="G3021" s="1">
        <v>1</v>
      </c>
      <c r="H3021" s="1" t="s">
        <v>19</v>
      </c>
      <c r="I3021" s="1" t="s">
        <v>653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1742</v>
      </c>
      <c r="D3022" s="1"/>
      <c r="E3022" s="1"/>
      <c r="F3022" s="1" t="s">
        <v>1743</v>
      </c>
      <c r="G3022" s="1">
        <v>4</v>
      </c>
      <c r="H3022" s="1" t="s">
        <v>19</v>
      </c>
      <c r="I3022" s="1" t="s">
        <v>653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1721</v>
      </c>
      <c r="D3023" s="1"/>
      <c r="E3023" s="1"/>
      <c r="F3023" s="1" t="s">
        <v>1744</v>
      </c>
      <c r="G3023" s="1">
        <v>153</v>
      </c>
      <c r="H3023" s="1" t="s">
        <v>19</v>
      </c>
      <c r="I3023" s="1" t="s">
        <v>653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1745</v>
      </c>
      <c r="D3024" s="1"/>
      <c r="E3024" s="1"/>
      <c r="F3024" s="1" t="s">
        <v>1746</v>
      </c>
      <c r="G3024" s="1">
        <v>56</v>
      </c>
      <c r="H3024" s="1" t="s">
        <v>19</v>
      </c>
      <c r="I3024" s="1" t="s">
        <v>653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1747</v>
      </c>
      <c r="D3025" s="1"/>
      <c r="E3025" s="1"/>
      <c r="F3025" s="1" t="s">
        <v>1748</v>
      </c>
      <c r="G3025" s="1">
        <v>137</v>
      </c>
      <c r="H3025" s="1" t="s">
        <v>19</v>
      </c>
      <c r="I3025" s="1" t="s">
        <v>653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1721</v>
      </c>
      <c r="D3026" s="1"/>
      <c r="E3026" s="1"/>
      <c r="F3026" s="1" t="s">
        <v>1749</v>
      </c>
      <c r="G3026" s="1">
        <v>200</v>
      </c>
      <c r="H3026" s="1" t="s">
        <v>19</v>
      </c>
      <c r="I3026" s="1" t="s">
        <v>653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1732</v>
      </c>
      <c r="D3027" s="1"/>
      <c r="E3027" s="1"/>
      <c r="F3027" s="1" t="s">
        <v>1750</v>
      </c>
      <c r="G3027" s="1">
        <v>4</v>
      </c>
      <c r="H3027" s="1" t="s">
        <v>19</v>
      </c>
      <c r="I3027" s="1" t="s">
        <v>653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1025</v>
      </c>
      <c r="D3028" s="1"/>
      <c r="E3028" s="1"/>
      <c r="F3028" s="1" t="s">
        <v>1751</v>
      </c>
      <c r="G3028" s="1">
        <v>4</v>
      </c>
      <c r="H3028" s="1" t="s">
        <v>19</v>
      </c>
      <c r="I3028" s="1" t="s">
        <v>653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1737</v>
      </c>
      <c r="D3029" s="1"/>
      <c r="E3029" s="1"/>
      <c r="F3029" s="1" t="s">
        <v>1752</v>
      </c>
      <c r="G3029" s="1">
        <v>4</v>
      </c>
      <c r="H3029" s="1" t="s">
        <v>19</v>
      </c>
      <c r="I3029" s="1" t="s">
        <v>653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1730</v>
      </c>
      <c r="D3030" s="1"/>
      <c r="E3030" s="1"/>
      <c r="F3030" s="1" t="s">
        <v>1753</v>
      </c>
      <c r="G3030" s="1">
        <v>2</v>
      </c>
      <c r="H3030" s="1" t="s">
        <v>19</v>
      </c>
      <c r="I3030" s="1" t="s">
        <v>653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1745</v>
      </c>
      <c r="D3031" s="1"/>
      <c r="E3031" s="1"/>
      <c r="F3031" s="1" t="s">
        <v>1754</v>
      </c>
      <c r="G3031" s="1">
        <v>18</v>
      </c>
      <c r="H3031" s="1" t="s">
        <v>19</v>
      </c>
      <c r="I3031" s="1" t="s">
        <v>653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1747</v>
      </c>
      <c r="D3032" s="1"/>
      <c r="E3032" s="1"/>
      <c r="F3032" s="1" t="s">
        <v>1755</v>
      </c>
      <c r="G3032" s="1">
        <v>137</v>
      </c>
      <c r="H3032" s="1" t="s">
        <v>19</v>
      </c>
      <c r="I3032" s="1" t="s">
        <v>653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1732</v>
      </c>
      <c r="D3033" s="1"/>
      <c r="E3033" s="1"/>
      <c r="F3033" s="1" t="s">
        <v>1756</v>
      </c>
      <c r="G3033" s="1">
        <v>8</v>
      </c>
      <c r="H3033" s="1" t="s">
        <v>19</v>
      </c>
      <c r="I3033" s="1" t="s">
        <v>653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1730</v>
      </c>
      <c r="D3034" s="1"/>
      <c r="E3034" s="1"/>
      <c r="F3034" s="1" t="s">
        <v>1757</v>
      </c>
      <c r="G3034" s="1">
        <v>8</v>
      </c>
      <c r="H3034" s="1" t="s">
        <v>19</v>
      </c>
      <c r="I3034" s="1" t="s">
        <v>653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1025</v>
      </c>
      <c r="D3035" s="1"/>
      <c r="E3035" s="1"/>
      <c r="F3035" s="1" t="s">
        <v>1758</v>
      </c>
      <c r="G3035" s="1">
        <v>8</v>
      </c>
      <c r="H3035" s="1" t="s">
        <v>19</v>
      </c>
      <c r="I3035" s="1" t="s">
        <v>653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1730</v>
      </c>
      <c r="D3036" s="1"/>
      <c r="E3036" s="1"/>
      <c r="F3036" s="1" t="s">
        <v>1759</v>
      </c>
      <c r="G3036" s="1">
        <v>8</v>
      </c>
      <c r="H3036" s="1" t="s">
        <v>19</v>
      </c>
      <c r="I3036" s="1" t="s">
        <v>653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1732</v>
      </c>
      <c r="D3037" s="1"/>
      <c r="E3037" s="1"/>
      <c r="F3037" s="1" t="s">
        <v>1760</v>
      </c>
      <c r="G3037" s="1">
        <v>8</v>
      </c>
      <c r="H3037" s="1" t="s">
        <v>19</v>
      </c>
      <c r="I3037" s="1" t="s">
        <v>653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1725</v>
      </c>
      <c r="D3038" s="1"/>
      <c r="E3038" s="1"/>
      <c r="F3038" s="1" t="s">
        <v>1761</v>
      </c>
      <c r="G3038" s="1">
        <v>264</v>
      </c>
      <c r="H3038" s="1" t="s">
        <v>19</v>
      </c>
      <c r="I3038" s="1" t="s">
        <v>653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1742</v>
      </c>
      <c r="D3039" s="1"/>
      <c r="E3039" s="1"/>
      <c r="F3039" s="1" t="s">
        <v>1762</v>
      </c>
      <c r="G3039" s="1">
        <v>4</v>
      </c>
      <c r="H3039" s="1" t="s">
        <v>19</v>
      </c>
      <c r="I3039" s="1" t="s">
        <v>653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1735</v>
      </c>
      <c r="D3040" s="1"/>
      <c r="E3040" s="1"/>
      <c r="F3040" s="1" t="s">
        <v>1763</v>
      </c>
      <c r="G3040" s="1">
        <v>8</v>
      </c>
      <c r="H3040" s="1" t="s">
        <v>19</v>
      </c>
      <c r="I3040" s="1" t="s">
        <v>653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1725</v>
      </c>
      <c r="D3041" s="1"/>
      <c r="E3041" s="1"/>
      <c r="F3041" s="1" t="s">
        <v>1764</v>
      </c>
      <c r="G3041" s="1">
        <v>132</v>
      </c>
      <c r="H3041" s="1" t="s">
        <v>19</v>
      </c>
      <c r="I3041" s="1" t="s">
        <v>653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1721</v>
      </c>
      <c r="D3042" s="1"/>
      <c r="E3042" s="1"/>
      <c r="F3042" s="1" t="s">
        <v>1765</v>
      </c>
      <c r="G3042" s="1">
        <v>153</v>
      </c>
      <c r="H3042" s="1" t="s">
        <v>19</v>
      </c>
      <c r="I3042" s="1" t="s">
        <v>653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1747</v>
      </c>
      <c r="D3043" s="1"/>
      <c r="E3043" s="1"/>
      <c r="F3043" s="1" t="s">
        <v>1766</v>
      </c>
      <c r="G3043" s="1">
        <v>44</v>
      </c>
      <c r="H3043" s="1" t="s">
        <v>19</v>
      </c>
      <c r="I3043" s="1" t="s">
        <v>653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1721</v>
      </c>
      <c r="D3044" s="1"/>
      <c r="E3044" s="1"/>
      <c r="F3044" s="1" t="s">
        <v>1767</v>
      </c>
      <c r="G3044" s="1">
        <v>200</v>
      </c>
      <c r="H3044" s="1" t="s">
        <v>19</v>
      </c>
      <c r="I3044" s="1" t="s">
        <v>653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1745</v>
      </c>
      <c r="D3045" s="1"/>
      <c r="E3045" s="1"/>
      <c r="F3045" s="1" t="s">
        <v>1768</v>
      </c>
      <c r="G3045" s="1">
        <v>38</v>
      </c>
      <c r="H3045" s="1" t="s">
        <v>19</v>
      </c>
      <c r="I3045" s="1" t="s">
        <v>653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1747</v>
      </c>
      <c r="D3046" s="1"/>
      <c r="E3046" s="1"/>
      <c r="F3046" s="1" t="s">
        <v>1769</v>
      </c>
      <c r="G3046" s="1">
        <v>137</v>
      </c>
      <c r="H3046" s="1" t="s">
        <v>19</v>
      </c>
      <c r="I3046" s="1" t="s">
        <v>653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1730</v>
      </c>
      <c r="D3047" s="1"/>
      <c r="E3047" s="1"/>
      <c r="F3047" s="1" t="s">
        <v>1770</v>
      </c>
      <c r="G3047" s="1">
        <v>16</v>
      </c>
      <c r="H3047" s="1" t="s">
        <v>19</v>
      </c>
      <c r="I3047" s="1" t="s">
        <v>653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1025</v>
      </c>
      <c r="D3048" s="1"/>
      <c r="E3048" s="1"/>
      <c r="F3048" s="1" t="s">
        <v>1771</v>
      </c>
      <c r="G3048" s="1">
        <v>16</v>
      </c>
      <c r="H3048" s="1" t="s">
        <v>19</v>
      </c>
      <c r="I3048" s="1" t="s">
        <v>653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1732</v>
      </c>
      <c r="D3049" s="1"/>
      <c r="E3049" s="1"/>
      <c r="F3049" s="1" t="s">
        <v>1772</v>
      </c>
      <c r="G3049" s="1">
        <v>16</v>
      </c>
      <c r="H3049" s="1" t="s">
        <v>19</v>
      </c>
      <c r="I3049" s="1" t="s">
        <v>653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1052</v>
      </c>
      <c r="D3050" s="1"/>
      <c r="E3050" s="1"/>
      <c r="F3050" s="1" t="s">
        <v>1773</v>
      </c>
      <c r="G3050" s="1">
        <v>2</v>
      </c>
      <c r="H3050" s="1" t="s">
        <v>19</v>
      </c>
      <c r="I3050" s="1" t="s">
        <v>653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1740</v>
      </c>
      <c r="D3051" s="1"/>
      <c r="E3051" s="1"/>
      <c r="F3051" s="1" t="s">
        <v>1774</v>
      </c>
      <c r="G3051" s="1">
        <v>2</v>
      </c>
      <c r="H3051" s="1" t="s">
        <v>19</v>
      </c>
      <c r="I3051" s="1" t="s">
        <v>653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1730</v>
      </c>
      <c r="D3052" s="1"/>
      <c r="E3052" s="1"/>
      <c r="F3052" s="1" t="s">
        <v>1775</v>
      </c>
      <c r="G3052" s="1">
        <v>4</v>
      </c>
      <c r="H3052" s="1" t="s">
        <v>19</v>
      </c>
      <c r="I3052" s="1" t="s">
        <v>653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1732</v>
      </c>
      <c r="D3053" s="1"/>
      <c r="E3053" s="1"/>
      <c r="F3053" s="1" t="s">
        <v>1776</v>
      </c>
      <c r="G3053" s="1">
        <v>8</v>
      </c>
      <c r="H3053" s="1" t="s">
        <v>19</v>
      </c>
      <c r="I3053" s="1" t="s">
        <v>653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1025</v>
      </c>
      <c r="D3054" s="1"/>
      <c r="E3054" s="1"/>
      <c r="F3054" s="1" t="s">
        <v>1777</v>
      </c>
      <c r="G3054" s="1">
        <v>8</v>
      </c>
      <c r="H3054" s="1" t="s">
        <v>19</v>
      </c>
      <c r="I3054" s="1" t="s">
        <v>653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1725</v>
      </c>
      <c r="D3055" s="1"/>
      <c r="E3055" s="1"/>
      <c r="F3055" s="1" t="s">
        <v>1778</v>
      </c>
      <c r="G3055" s="1">
        <v>264</v>
      </c>
      <c r="H3055" s="1" t="s">
        <v>19</v>
      </c>
      <c r="I3055" s="1" t="s">
        <v>653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1735</v>
      </c>
      <c r="D3056" s="1"/>
      <c r="E3056" s="1"/>
      <c r="F3056" s="1" t="s">
        <v>1779</v>
      </c>
      <c r="G3056" s="1">
        <v>8</v>
      </c>
      <c r="H3056" s="1" t="s">
        <v>19</v>
      </c>
      <c r="I3056" s="1" t="s">
        <v>653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1721</v>
      </c>
      <c r="D3057" s="1"/>
      <c r="E3057" s="1"/>
      <c r="F3057" s="1" t="s">
        <v>1780</v>
      </c>
      <c r="G3057" s="1">
        <v>153</v>
      </c>
      <c r="H3057" s="1" t="s">
        <v>19</v>
      </c>
      <c r="I3057" s="1" t="s">
        <v>653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1747</v>
      </c>
      <c r="D3058" s="1"/>
      <c r="E3058" s="1"/>
      <c r="F3058" s="1" t="s">
        <v>1781</v>
      </c>
      <c r="G3058" s="1">
        <v>44</v>
      </c>
      <c r="H3058" s="1" t="s">
        <v>19</v>
      </c>
      <c r="I3058" s="1" t="s">
        <v>653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1725</v>
      </c>
      <c r="D3059" s="1"/>
      <c r="E3059" s="1"/>
      <c r="F3059" s="1" t="s">
        <v>1782</v>
      </c>
      <c r="G3059" s="1">
        <v>132</v>
      </c>
      <c r="H3059" s="1" t="s">
        <v>19</v>
      </c>
      <c r="I3059" s="1" t="s">
        <v>653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1745</v>
      </c>
      <c r="D3060" s="1"/>
      <c r="E3060" s="1"/>
      <c r="F3060" s="1" t="s">
        <v>1783</v>
      </c>
      <c r="G3060" s="1">
        <v>56</v>
      </c>
      <c r="H3060" s="1" t="s">
        <v>19</v>
      </c>
      <c r="I3060" s="1" t="s">
        <v>653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1721</v>
      </c>
      <c r="D3061" s="1"/>
      <c r="E3061" s="1"/>
      <c r="F3061" s="1" t="s">
        <v>1784</v>
      </c>
      <c r="G3061" s="1">
        <v>200</v>
      </c>
      <c r="H3061" s="1" t="s">
        <v>19</v>
      </c>
      <c r="I3061" s="1" t="s">
        <v>653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1725</v>
      </c>
      <c r="D3062" s="1"/>
      <c r="E3062" s="1"/>
      <c r="F3062" s="1" t="s">
        <v>1785</v>
      </c>
      <c r="G3062" s="1">
        <v>165</v>
      </c>
      <c r="H3062" s="1" t="s">
        <v>19</v>
      </c>
      <c r="I3062" s="1" t="s">
        <v>653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1786</v>
      </c>
      <c r="D3063" s="1"/>
      <c r="E3063" s="1"/>
      <c r="F3063" s="1" t="s">
        <v>1787</v>
      </c>
      <c r="G3063" s="1">
        <v>8</v>
      </c>
      <c r="H3063" s="1" t="s">
        <v>19</v>
      </c>
      <c r="I3063" s="1" t="s">
        <v>653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1786</v>
      </c>
      <c r="D3064" s="1"/>
      <c r="E3064" s="1"/>
      <c r="F3064" s="1" t="s">
        <v>1788</v>
      </c>
      <c r="G3064" s="1">
        <v>4</v>
      </c>
      <c r="H3064" s="1" t="s">
        <v>19</v>
      </c>
      <c r="I3064" s="1" t="s">
        <v>653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1789</v>
      </c>
      <c r="D3065" s="1"/>
      <c r="E3065" s="1"/>
      <c r="F3065" s="1" t="s">
        <v>1790</v>
      </c>
      <c r="G3065" s="1">
        <v>80</v>
      </c>
      <c r="H3065" s="1" t="s">
        <v>19</v>
      </c>
      <c r="I3065" s="1" t="s">
        <v>653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1789</v>
      </c>
      <c r="D3066" s="1"/>
      <c r="E3066" s="1"/>
      <c r="F3066" s="1" t="s">
        <v>1791</v>
      </c>
      <c r="G3066" s="1">
        <v>204</v>
      </c>
      <c r="H3066" s="1" t="s">
        <v>19</v>
      </c>
      <c r="I3066" s="1" t="s">
        <v>653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1792</v>
      </c>
      <c r="D3067" s="1"/>
      <c r="E3067" s="1"/>
      <c r="F3067" s="1" t="s">
        <v>1793</v>
      </c>
      <c r="G3067" s="1">
        <v>16</v>
      </c>
      <c r="H3067" s="1" t="s">
        <v>19</v>
      </c>
      <c r="I3067" s="1" t="s">
        <v>653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1794</v>
      </c>
      <c r="D3068" s="1"/>
      <c r="E3068" s="1"/>
      <c r="F3068" s="1" t="s">
        <v>1795</v>
      </c>
      <c r="G3068" s="1">
        <v>40</v>
      </c>
      <c r="H3068" s="1" t="s">
        <v>19</v>
      </c>
      <c r="I3068" s="1" t="s">
        <v>653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1796</v>
      </c>
      <c r="D3069" s="1"/>
      <c r="E3069" s="1"/>
      <c r="F3069" s="1" t="s">
        <v>1797</v>
      </c>
      <c r="G3069" s="1">
        <v>16</v>
      </c>
      <c r="H3069" s="1" t="s">
        <v>19</v>
      </c>
      <c r="I3069" s="1" t="s">
        <v>653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1798</v>
      </c>
      <c r="D3070" s="1"/>
      <c r="E3070" s="1"/>
      <c r="F3070" s="1" t="s">
        <v>1799</v>
      </c>
      <c r="G3070" s="1">
        <v>8</v>
      </c>
      <c r="H3070" s="1" t="s">
        <v>19</v>
      </c>
      <c r="I3070" s="1" t="s">
        <v>653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1786</v>
      </c>
      <c r="D3071" s="1"/>
      <c r="E3071" s="1"/>
      <c r="F3071" s="1" t="s">
        <v>1800</v>
      </c>
      <c r="G3071" s="1">
        <v>8</v>
      </c>
      <c r="H3071" s="1" t="s">
        <v>19</v>
      </c>
      <c r="I3071" s="1" t="s">
        <v>653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1786</v>
      </c>
      <c r="D3072" s="1"/>
      <c r="E3072" s="1"/>
      <c r="F3072" s="1" t="s">
        <v>1801</v>
      </c>
      <c r="G3072" s="1">
        <v>4</v>
      </c>
      <c r="H3072" s="1" t="s">
        <v>19</v>
      </c>
      <c r="I3072" s="1" t="s">
        <v>653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1798</v>
      </c>
      <c r="D3073" s="1"/>
      <c r="E3073" s="1"/>
      <c r="F3073" s="1" t="s">
        <v>1802</v>
      </c>
      <c r="G3073" s="1">
        <v>4</v>
      </c>
      <c r="H3073" s="1" t="s">
        <v>19</v>
      </c>
      <c r="I3073" s="1" t="s">
        <v>653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1789</v>
      </c>
      <c r="D3074" s="1"/>
      <c r="E3074" s="1"/>
      <c r="F3074" s="1" t="s">
        <v>1803</v>
      </c>
      <c r="G3074" s="1">
        <v>80</v>
      </c>
      <c r="H3074" s="1" t="s">
        <v>19</v>
      </c>
      <c r="I3074" s="1" t="s">
        <v>653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1789</v>
      </c>
      <c r="D3075" s="1"/>
      <c r="E3075" s="1"/>
      <c r="F3075" s="1" t="s">
        <v>1804</v>
      </c>
      <c r="G3075" s="1">
        <v>204</v>
      </c>
      <c r="H3075" s="1" t="s">
        <v>19</v>
      </c>
      <c r="I3075" s="1" t="s">
        <v>653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1792</v>
      </c>
      <c r="D3076" s="1"/>
      <c r="E3076" s="1"/>
      <c r="F3076" s="1" t="s">
        <v>1805</v>
      </c>
      <c r="G3076" s="1">
        <v>16</v>
      </c>
      <c r="H3076" s="1" t="s">
        <v>19</v>
      </c>
      <c r="I3076" s="1" t="s">
        <v>653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1794</v>
      </c>
      <c r="D3077" s="1"/>
      <c r="E3077" s="1"/>
      <c r="F3077" s="1" t="s">
        <v>1806</v>
      </c>
      <c r="G3077" s="1">
        <v>40</v>
      </c>
      <c r="H3077" s="1" t="s">
        <v>19</v>
      </c>
      <c r="I3077" s="1" t="s">
        <v>653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1796</v>
      </c>
      <c r="D3078" s="1"/>
      <c r="E3078" s="1"/>
      <c r="F3078" s="1" t="s">
        <v>1807</v>
      </c>
      <c r="G3078" s="1">
        <v>16</v>
      </c>
      <c r="H3078" s="1" t="s">
        <v>19</v>
      </c>
      <c r="I3078" s="1" t="s">
        <v>653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1786</v>
      </c>
      <c r="D3079" s="1"/>
      <c r="E3079" s="1"/>
      <c r="F3079" s="1" t="s">
        <v>1808</v>
      </c>
      <c r="G3079" s="1">
        <v>8</v>
      </c>
      <c r="H3079" s="1" t="s">
        <v>19</v>
      </c>
      <c r="I3079" s="1" t="s">
        <v>653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1798</v>
      </c>
      <c r="D3080" s="1"/>
      <c r="E3080" s="1"/>
      <c r="F3080" s="1" t="s">
        <v>1809</v>
      </c>
      <c r="G3080" s="1">
        <v>8</v>
      </c>
      <c r="H3080" s="1" t="s">
        <v>19</v>
      </c>
      <c r="I3080" s="1" t="s">
        <v>653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1786</v>
      </c>
      <c r="D3081" s="1"/>
      <c r="E3081" s="1"/>
      <c r="F3081" s="1" t="s">
        <v>1810</v>
      </c>
      <c r="G3081" s="1">
        <v>7</v>
      </c>
      <c r="H3081" s="1" t="s">
        <v>19</v>
      </c>
      <c r="I3081" s="1" t="s">
        <v>653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1798</v>
      </c>
      <c r="D3082" s="1"/>
      <c r="E3082" s="1"/>
      <c r="F3082" s="1" t="s">
        <v>1811</v>
      </c>
      <c r="G3082" s="1">
        <v>7</v>
      </c>
      <c r="H3082" s="1" t="s">
        <v>19</v>
      </c>
      <c r="I3082" s="1" t="s">
        <v>653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1789</v>
      </c>
      <c r="D3083" s="1"/>
      <c r="E3083" s="1"/>
      <c r="F3083" s="1" t="s">
        <v>1812</v>
      </c>
      <c r="G3083" s="1">
        <v>204</v>
      </c>
      <c r="H3083" s="1" t="s">
        <v>19</v>
      </c>
      <c r="I3083" s="1" t="s">
        <v>653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1796</v>
      </c>
      <c r="D3084" s="1"/>
      <c r="E3084" s="1"/>
      <c r="F3084" s="1" t="s">
        <v>1813</v>
      </c>
      <c r="G3084" s="1">
        <v>16</v>
      </c>
      <c r="H3084" s="1" t="s">
        <v>19</v>
      </c>
      <c r="I3084" s="1" t="s">
        <v>653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1794</v>
      </c>
      <c r="D3085" s="1"/>
      <c r="E3085" s="1"/>
      <c r="F3085" s="1" t="s">
        <v>1814</v>
      </c>
      <c r="G3085" s="1">
        <v>40</v>
      </c>
      <c r="H3085" s="1" t="s">
        <v>19</v>
      </c>
      <c r="I3085" s="1" t="s">
        <v>653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1792</v>
      </c>
      <c r="D3086" s="1"/>
      <c r="E3086" s="1"/>
      <c r="F3086" s="1" t="s">
        <v>1815</v>
      </c>
      <c r="G3086" s="1">
        <v>16</v>
      </c>
      <c r="H3086" s="1" t="s">
        <v>19</v>
      </c>
      <c r="I3086" s="1" t="s">
        <v>653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777</v>
      </c>
      <c r="D3087" s="1"/>
      <c r="E3087" s="1" t="s">
        <v>1102</v>
      </c>
      <c r="F3087" s="1" t="s">
        <v>781</v>
      </c>
      <c r="G3087" s="1">
        <v>1</v>
      </c>
      <c r="H3087" s="1" t="s">
        <v>19</v>
      </c>
      <c r="I3087" s="1" t="s">
        <v>653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797</v>
      </c>
      <c r="D3088" s="1"/>
      <c r="E3088" s="1" t="s">
        <v>2</v>
      </c>
      <c r="F3088" s="1" t="s">
        <v>798</v>
      </c>
      <c r="G3088" s="1">
        <v>1</v>
      </c>
      <c r="H3088" s="1" t="s">
        <v>19</v>
      </c>
      <c r="I3088" s="1" t="s">
        <v>653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797</v>
      </c>
      <c r="D3089" s="1"/>
      <c r="E3089" s="1" t="s">
        <v>44</v>
      </c>
      <c r="F3089" s="1" t="s">
        <v>799</v>
      </c>
      <c r="G3089" s="1">
        <v>1</v>
      </c>
      <c r="H3089" s="1" t="s">
        <v>19</v>
      </c>
      <c r="I3089" s="1" t="s">
        <v>653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1041</v>
      </c>
      <c r="D3090" s="1"/>
      <c r="E3090" s="1" t="s">
        <v>2</v>
      </c>
      <c r="F3090" s="1" t="s">
        <v>1042</v>
      </c>
      <c r="G3090" s="1">
        <v>1</v>
      </c>
      <c r="H3090" s="1" t="s">
        <v>19</v>
      </c>
      <c r="I3090" s="1" t="s">
        <v>653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1041</v>
      </c>
      <c r="D3091" s="1"/>
      <c r="E3091" s="1" t="s">
        <v>44</v>
      </c>
      <c r="F3091" s="1" t="s">
        <v>1043</v>
      </c>
      <c r="G3091" s="1">
        <v>4</v>
      </c>
      <c r="H3091" s="1" t="s">
        <v>19</v>
      </c>
      <c r="I3091" s="1" t="s">
        <v>653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1041</v>
      </c>
      <c r="D3092" s="1"/>
      <c r="E3092" s="1" t="s">
        <v>747</v>
      </c>
      <c r="F3092" s="1" t="s">
        <v>1044</v>
      </c>
      <c r="G3092" s="1">
        <v>4</v>
      </c>
      <c r="H3092" s="1" t="s">
        <v>19</v>
      </c>
      <c r="I3092" s="1" t="s">
        <v>653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1041</v>
      </c>
      <c r="D3093" s="1"/>
      <c r="E3093" s="1" t="s">
        <v>1102</v>
      </c>
      <c r="F3093" s="1" t="s">
        <v>1045</v>
      </c>
      <c r="G3093" s="1">
        <v>18</v>
      </c>
      <c r="H3093" s="1" t="s">
        <v>19</v>
      </c>
      <c r="I3093" s="1" t="s">
        <v>653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1050</v>
      </c>
      <c r="D3094" s="1"/>
      <c r="E3094" s="1" t="s">
        <v>1684</v>
      </c>
      <c r="F3094" s="1" t="s">
        <v>1051</v>
      </c>
      <c r="G3094" s="1">
        <v>32</v>
      </c>
      <c r="H3094" s="1" t="s">
        <v>19</v>
      </c>
      <c r="I3094" s="1" t="s">
        <v>653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1050</v>
      </c>
      <c r="D3095" s="1"/>
      <c r="E3095" s="1" t="s">
        <v>2</v>
      </c>
      <c r="F3095" s="1" t="s">
        <v>1051</v>
      </c>
      <c r="G3095" s="1">
        <v>8</v>
      </c>
      <c r="H3095" s="1" t="s">
        <v>19</v>
      </c>
      <c r="I3095" s="1" t="s">
        <v>653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1087</v>
      </c>
      <c r="D3096" s="1"/>
      <c r="E3096" s="1" t="s">
        <v>2</v>
      </c>
      <c r="F3096" s="1" t="s">
        <v>1871</v>
      </c>
      <c r="G3096" s="1">
        <v>1</v>
      </c>
      <c r="H3096" s="1" t="s">
        <v>19</v>
      </c>
      <c r="I3096" s="1" t="s">
        <v>653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1087</v>
      </c>
      <c r="D3097" s="1"/>
      <c r="E3097" s="1" t="s">
        <v>44</v>
      </c>
      <c r="F3097" s="1" t="s">
        <v>1088</v>
      </c>
      <c r="G3097" s="1">
        <v>4</v>
      </c>
      <c r="H3097" s="1" t="s">
        <v>19</v>
      </c>
      <c r="I3097" s="1" t="s">
        <v>653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1087</v>
      </c>
      <c r="D3098" s="1"/>
      <c r="E3098" s="1" t="s">
        <v>747</v>
      </c>
      <c r="F3098" s="1" t="s">
        <v>1089</v>
      </c>
      <c r="G3098" s="1">
        <v>4</v>
      </c>
      <c r="H3098" s="1" t="s">
        <v>19</v>
      </c>
      <c r="I3098" s="1" t="s">
        <v>653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1087</v>
      </c>
      <c r="D3099" s="1"/>
      <c r="E3099" s="1" t="s">
        <v>1102</v>
      </c>
      <c r="F3099" s="1" t="s">
        <v>1090</v>
      </c>
      <c r="G3099" s="1">
        <v>22</v>
      </c>
      <c r="H3099" s="1" t="s">
        <v>19</v>
      </c>
      <c r="I3099" s="1" t="s">
        <v>653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1133</v>
      </c>
      <c r="D3100" s="1"/>
      <c r="E3100" s="1" t="s">
        <v>44</v>
      </c>
      <c r="F3100" s="1" t="s">
        <v>1135</v>
      </c>
      <c r="G3100" s="1">
        <v>1</v>
      </c>
      <c r="H3100" s="1" t="s">
        <v>19</v>
      </c>
      <c r="I3100" s="1" t="s">
        <v>653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770</v>
      </c>
      <c r="D3101" s="1"/>
      <c r="E3101" s="1" t="s">
        <v>2</v>
      </c>
      <c r="F3101" s="1" t="s">
        <v>771</v>
      </c>
      <c r="G3101" s="1">
        <v>2</v>
      </c>
      <c r="H3101" s="1" t="s">
        <v>19</v>
      </c>
      <c r="I3101" s="1" t="s">
        <v>653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770</v>
      </c>
      <c r="D3102" s="1"/>
      <c r="E3102" s="1" t="s">
        <v>44</v>
      </c>
      <c r="F3102" s="1" t="s">
        <v>772</v>
      </c>
      <c r="G3102" s="1">
        <v>2</v>
      </c>
      <c r="H3102" s="1" t="s">
        <v>19</v>
      </c>
      <c r="I3102" s="1" t="s">
        <v>653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774</v>
      </c>
      <c r="D3103" s="1"/>
      <c r="E3103" s="1" t="s">
        <v>2</v>
      </c>
      <c r="F3103" s="1" t="s">
        <v>775</v>
      </c>
      <c r="G3103" s="1">
        <v>1</v>
      </c>
      <c r="H3103" s="1" t="s">
        <v>19</v>
      </c>
      <c r="I3103" s="1" t="s">
        <v>653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774</v>
      </c>
      <c r="D3104" s="1"/>
      <c r="E3104" s="1" t="s">
        <v>44</v>
      </c>
      <c r="F3104" s="1" t="s">
        <v>776</v>
      </c>
      <c r="G3104" s="1">
        <v>2</v>
      </c>
      <c r="H3104" s="1" t="s">
        <v>19</v>
      </c>
      <c r="I3104" s="1" t="s">
        <v>653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774</v>
      </c>
      <c r="D3105" s="1"/>
      <c r="E3105" s="1" t="s">
        <v>747</v>
      </c>
      <c r="F3105" s="1" t="s">
        <v>2739</v>
      </c>
      <c r="G3105" s="1">
        <v>2</v>
      </c>
      <c r="H3105" s="1" t="s">
        <v>19</v>
      </c>
      <c r="I3105" s="1" t="s">
        <v>653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774</v>
      </c>
      <c r="D3106" s="1"/>
      <c r="E3106" s="1" t="s">
        <v>1102</v>
      </c>
      <c r="F3106" s="1" t="s">
        <v>2740</v>
      </c>
      <c r="G3106" s="1">
        <v>2</v>
      </c>
      <c r="H3106" s="1" t="s">
        <v>19</v>
      </c>
      <c r="I3106" s="1" t="s">
        <v>653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777</v>
      </c>
      <c r="D3107" s="1"/>
      <c r="E3107" s="1" t="s">
        <v>1102</v>
      </c>
      <c r="F3107" s="1" t="s">
        <v>781</v>
      </c>
      <c r="G3107" s="1">
        <v>1</v>
      </c>
      <c r="H3107" s="1" t="s">
        <v>19</v>
      </c>
      <c r="I3107" s="1" t="s">
        <v>653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797</v>
      </c>
      <c r="D3108" s="1"/>
      <c r="E3108" s="1" t="s">
        <v>2</v>
      </c>
      <c r="F3108" s="1" t="s">
        <v>798</v>
      </c>
      <c r="G3108" s="1">
        <v>1</v>
      </c>
      <c r="H3108" s="1" t="s">
        <v>19</v>
      </c>
      <c r="I3108" s="1" t="s">
        <v>653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797</v>
      </c>
      <c r="D3109" s="1"/>
      <c r="E3109" s="1" t="s">
        <v>44</v>
      </c>
      <c r="F3109" s="1" t="s">
        <v>799</v>
      </c>
      <c r="G3109" s="1">
        <v>1</v>
      </c>
      <c r="H3109" s="1" t="s">
        <v>19</v>
      </c>
      <c r="I3109" s="1" t="s">
        <v>653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1025</v>
      </c>
      <c r="D3110" s="1"/>
      <c r="E3110" s="1" t="s">
        <v>2</v>
      </c>
      <c r="F3110" s="1" t="s">
        <v>1027</v>
      </c>
      <c r="G3110" s="1">
        <v>2</v>
      </c>
      <c r="H3110" s="1" t="s">
        <v>19</v>
      </c>
      <c r="I3110" s="1" t="s">
        <v>653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1026</v>
      </c>
      <c r="D3111" s="1"/>
      <c r="E3111" s="1" t="s">
        <v>2</v>
      </c>
      <c r="F3111" s="1" t="s">
        <v>1028</v>
      </c>
      <c r="G3111" s="1">
        <v>2</v>
      </c>
      <c r="H3111" s="1" t="s">
        <v>19</v>
      </c>
      <c r="I3111" s="1" t="s">
        <v>653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1029</v>
      </c>
      <c r="D3112" s="1"/>
      <c r="E3112" s="1" t="s">
        <v>2</v>
      </c>
      <c r="F3112" s="1" t="s">
        <v>1030</v>
      </c>
      <c r="G3112" s="1">
        <v>2</v>
      </c>
      <c r="H3112" s="1" t="s">
        <v>19</v>
      </c>
      <c r="I3112" s="1" t="s">
        <v>653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1133</v>
      </c>
      <c r="D3113" s="1"/>
      <c r="E3113" s="1" t="s">
        <v>44</v>
      </c>
      <c r="F3113" s="1" t="s">
        <v>1135</v>
      </c>
      <c r="G3113" s="1">
        <v>1</v>
      </c>
      <c r="H3113" s="1" t="s">
        <v>19</v>
      </c>
      <c r="I3113" s="1" t="s">
        <v>653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983</v>
      </c>
      <c r="D3114" s="1"/>
      <c r="E3114" s="1" t="s">
        <v>2741</v>
      </c>
      <c r="F3114" s="1" t="s">
        <v>984</v>
      </c>
      <c r="G3114" s="1">
        <v>1</v>
      </c>
      <c r="H3114" s="1" t="s">
        <v>19</v>
      </c>
      <c r="I3114" s="1" t="s">
        <v>653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983</v>
      </c>
      <c r="D3115" s="1"/>
      <c r="E3115" s="1" t="s">
        <v>44</v>
      </c>
      <c r="F3115" s="1" t="s">
        <v>985</v>
      </c>
      <c r="G3115" s="1">
        <v>1</v>
      </c>
      <c r="H3115" s="1" t="s">
        <v>19</v>
      </c>
      <c r="I3115" s="1" t="s">
        <v>653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1930</v>
      </c>
      <c r="D3116" s="1"/>
      <c r="E3116" s="1"/>
      <c r="F3116" s="1" t="s">
        <v>1931</v>
      </c>
      <c r="G3116" s="1">
        <v>1</v>
      </c>
      <c r="H3116" s="1" t="s">
        <v>19</v>
      </c>
      <c r="I3116" s="1" t="s">
        <v>653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765</v>
      </c>
      <c r="D3117" s="1"/>
      <c r="E3117" s="1" t="s">
        <v>2</v>
      </c>
      <c r="F3117" s="1" t="s">
        <v>764</v>
      </c>
      <c r="G3117" s="1">
        <v>1</v>
      </c>
      <c r="H3117" s="1" t="s">
        <v>19</v>
      </c>
      <c r="I3117" s="1" t="s">
        <v>653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765</v>
      </c>
      <c r="D3118" s="1"/>
      <c r="E3118" s="1" t="s">
        <v>44</v>
      </c>
      <c r="F3118" s="1" t="s">
        <v>766</v>
      </c>
      <c r="G3118" s="1">
        <v>2</v>
      </c>
      <c r="H3118" s="1" t="s">
        <v>19</v>
      </c>
      <c r="I3118" s="1" t="s">
        <v>653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765</v>
      </c>
      <c r="D3119" s="1"/>
      <c r="E3119" s="1" t="s">
        <v>747</v>
      </c>
      <c r="F3119" s="1" t="s">
        <v>767</v>
      </c>
      <c r="G3119" s="1">
        <v>1</v>
      </c>
      <c r="H3119" s="1" t="s">
        <v>19</v>
      </c>
      <c r="I3119" s="1" t="s">
        <v>653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770</v>
      </c>
      <c r="D3120" s="1"/>
      <c r="E3120" s="1" t="s">
        <v>747</v>
      </c>
      <c r="F3120" s="1" t="s">
        <v>1932</v>
      </c>
      <c r="G3120" s="1">
        <v>4</v>
      </c>
      <c r="H3120" s="1" t="s">
        <v>19</v>
      </c>
      <c r="I3120" s="1" t="s">
        <v>653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770</v>
      </c>
      <c r="D3121" s="1"/>
      <c r="E3121" s="1" t="s">
        <v>1102</v>
      </c>
      <c r="F3121" s="1" t="s">
        <v>773</v>
      </c>
      <c r="G3121" s="1">
        <v>1</v>
      </c>
      <c r="H3121" s="1" t="s">
        <v>19</v>
      </c>
      <c r="I3121" s="1" t="s">
        <v>653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909</v>
      </c>
      <c r="D3122" s="1"/>
      <c r="E3122" s="1" t="s">
        <v>101</v>
      </c>
      <c r="F3122" s="1" t="s">
        <v>910</v>
      </c>
      <c r="G3122" s="1">
        <v>1</v>
      </c>
      <c r="H3122" s="1" t="s">
        <v>19</v>
      </c>
      <c r="I3122" s="1" t="s">
        <v>653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909</v>
      </c>
      <c r="D3123" s="1"/>
      <c r="E3123" s="1" t="s">
        <v>174</v>
      </c>
      <c r="F3123" s="1" t="s">
        <v>911</v>
      </c>
      <c r="G3123" s="1">
        <v>2</v>
      </c>
      <c r="H3123" s="1" t="s">
        <v>19</v>
      </c>
      <c r="I3123" s="1" t="s">
        <v>653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912</v>
      </c>
      <c r="D3124" s="1"/>
      <c r="E3124" s="1" t="s">
        <v>44</v>
      </c>
      <c r="F3124" s="1" t="s">
        <v>913</v>
      </c>
      <c r="G3124" s="1">
        <v>2</v>
      </c>
      <c r="H3124" s="1" t="s">
        <v>19</v>
      </c>
      <c r="I3124" s="1" t="s">
        <v>653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912</v>
      </c>
      <c r="D3125" s="1"/>
      <c r="E3125" s="1" t="s">
        <v>1102</v>
      </c>
      <c r="F3125" s="1" t="s">
        <v>1933</v>
      </c>
      <c r="G3125" s="1">
        <v>2</v>
      </c>
      <c r="H3125" s="1" t="s">
        <v>19</v>
      </c>
      <c r="I3125" s="1" t="s">
        <v>653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912</v>
      </c>
      <c r="D3126" s="1"/>
      <c r="E3126" s="1" t="s">
        <v>101</v>
      </c>
      <c r="F3126" s="1" t="s">
        <v>914</v>
      </c>
      <c r="G3126" s="1">
        <v>2</v>
      </c>
      <c r="H3126" s="1" t="s">
        <v>19</v>
      </c>
      <c r="I3126" s="1" t="s">
        <v>653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912</v>
      </c>
      <c r="D3127" s="1"/>
      <c r="E3127" s="1" t="s">
        <v>465</v>
      </c>
      <c r="F3127" s="1" t="s">
        <v>915</v>
      </c>
      <c r="G3127" s="1">
        <v>1</v>
      </c>
      <c r="H3127" s="1" t="s">
        <v>19</v>
      </c>
      <c r="I3127" s="1" t="s">
        <v>653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912</v>
      </c>
      <c r="D3128" s="1"/>
      <c r="E3128" s="1" t="s">
        <v>1103</v>
      </c>
      <c r="F3128" s="1" t="s">
        <v>916</v>
      </c>
      <c r="G3128" s="1">
        <v>1</v>
      </c>
      <c r="H3128" s="1" t="s">
        <v>19</v>
      </c>
      <c r="I3128" s="1" t="s">
        <v>653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987</v>
      </c>
      <c r="D3129" s="1"/>
      <c r="E3129" s="1" t="s">
        <v>1102</v>
      </c>
      <c r="F3129" s="1" t="s">
        <v>988</v>
      </c>
      <c r="G3129" s="1">
        <v>1</v>
      </c>
      <c r="H3129" s="1" t="s">
        <v>19</v>
      </c>
      <c r="I3129" s="1" t="s">
        <v>653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987</v>
      </c>
      <c r="D3130" s="1"/>
      <c r="E3130" s="1" t="s">
        <v>101</v>
      </c>
      <c r="F3130" s="1" t="s">
        <v>989</v>
      </c>
      <c r="G3130" s="1">
        <v>1</v>
      </c>
      <c r="H3130" s="1" t="s">
        <v>19</v>
      </c>
      <c r="I3130" s="1" t="s">
        <v>653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990</v>
      </c>
      <c r="D3131" s="1"/>
      <c r="E3131" s="1" t="s">
        <v>1102</v>
      </c>
      <c r="F3131" s="1" t="s">
        <v>991</v>
      </c>
      <c r="G3131" s="1">
        <v>2</v>
      </c>
      <c r="H3131" s="1" t="s">
        <v>19</v>
      </c>
      <c r="I3131" s="1" t="s">
        <v>653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990</v>
      </c>
      <c r="D3132" s="1"/>
      <c r="E3132" s="1" t="s">
        <v>101</v>
      </c>
      <c r="F3132" s="1" t="s">
        <v>992</v>
      </c>
      <c r="G3132" s="1">
        <v>1</v>
      </c>
      <c r="H3132" s="1" t="s">
        <v>19</v>
      </c>
      <c r="I3132" s="1" t="s">
        <v>653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990</v>
      </c>
      <c r="D3133" s="1"/>
      <c r="E3133" s="1" t="s">
        <v>174</v>
      </c>
      <c r="F3133" s="1" t="s">
        <v>993</v>
      </c>
      <c r="G3133" s="1">
        <v>1</v>
      </c>
      <c r="H3133" s="1" t="s">
        <v>19</v>
      </c>
      <c r="I3133" s="1" t="s">
        <v>653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994</v>
      </c>
      <c r="D3134" s="1"/>
      <c r="E3134" s="1" t="s">
        <v>1102</v>
      </c>
      <c r="F3134" s="1" t="s">
        <v>995</v>
      </c>
      <c r="G3134" s="1">
        <v>1</v>
      </c>
      <c r="H3134" s="1" t="s">
        <v>19</v>
      </c>
      <c r="I3134" s="1" t="s">
        <v>653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1091</v>
      </c>
      <c r="D3135" s="1"/>
      <c r="E3135" s="1" t="s">
        <v>747</v>
      </c>
      <c r="F3135" s="1" t="s">
        <v>1092</v>
      </c>
      <c r="G3135" s="1">
        <v>1</v>
      </c>
      <c r="H3135" s="1" t="s">
        <v>19</v>
      </c>
      <c r="I3135" s="1" t="s">
        <v>653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1091</v>
      </c>
      <c r="D3136" s="1"/>
      <c r="E3136" s="1" t="s">
        <v>1102</v>
      </c>
      <c r="F3136" s="1" t="s">
        <v>1093</v>
      </c>
      <c r="G3136" s="1">
        <v>2</v>
      </c>
      <c r="H3136" s="1" t="s">
        <v>19</v>
      </c>
      <c r="I3136" s="1" t="s">
        <v>653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1091</v>
      </c>
      <c r="D3137" s="1"/>
      <c r="E3137" s="1" t="s">
        <v>101</v>
      </c>
      <c r="F3137" s="1" t="s">
        <v>1094</v>
      </c>
      <c r="G3137" s="1">
        <v>1</v>
      </c>
      <c r="H3137" s="1" t="s">
        <v>19</v>
      </c>
      <c r="I3137" s="1" t="s">
        <v>653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1091</v>
      </c>
      <c r="D3138" s="1"/>
      <c r="E3138" s="1" t="s">
        <v>174</v>
      </c>
      <c r="F3138" s="1" t="s">
        <v>1095</v>
      </c>
      <c r="G3138" s="1">
        <v>1</v>
      </c>
      <c r="H3138" s="1" t="s">
        <v>19</v>
      </c>
      <c r="I3138" s="1" t="s">
        <v>653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1141</v>
      </c>
      <c r="D3139" s="1"/>
      <c r="E3139" s="1" t="s">
        <v>2</v>
      </c>
      <c r="F3139" s="1" t="s">
        <v>1142</v>
      </c>
      <c r="G3139" s="1">
        <v>2</v>
      </c>
      <c r="H3139" s="1" t="s">
        <v>19</v>
      </c>
      <c r="I3139" s="1" t="s">
        <v>653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1141</v>
      </c>
      <c r="D3140" s="1"/>
      <c r="E3140" s="1" t="s">
        <v>44</v>
      </c>
      <c r="F3140" s="1" t="s">
        <v>1143</v>
      </c>
      <c r="G3140" s="1">
        <v>1</v>
      </c>
      <c r="H3140" s="1" t="s">
        <v>19</v>
      </c>
      <c r="I3140" s="1" t="s">
        <v>653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1141</v>
      </c>
      <c r="D3141" s="1"/>
      <c r="E3141" s="1" t="s">
        <v>1934</v>
      </c>
      <c r="F3141" s="1" t="s">
        <v>1935</v>
      </c>
      <c r="G3141" s="1">
        <v>2</v>
      </c>
      <c r="H3141" s="1" t="s">
        <v>19</v>
      </c>
      <c r="I3141" s="1" t="s">
        <v>653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1141</v>
      </c>
      <c r="D3142" s="1"/>
      <c r="E3142" s="1" t="s">
        <v>1838</v>
      </c>
      <c r="F3142" s="1" t="s">
        <v>1936</v>
      </c>
      <c r="G3142" s="1">
        <v>1</v>
      </c>
      <c r="H3142" s="1" t="s">
        <v>19</v>
      </c>
      <c r="I3142" s="1" t="s">
        <v>653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1141</v>
      </c>
      <c r="D3143" s="1"/>
      <c r="E3143" s="1" t="s">
        <v>1102</v>
      </c>
      <c r="F3143" s="1" t="s">
        <v>1144</v>
      </c>
      <c r="G3143" s="1">
        <v>1</v>
      </c>
      <c r="H3143" s="1" t="s">
        <v>19</v>
      </c>
      <c r="I3143" s="1" t="s">
        <v>653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1145</v>
      </c>
      <c r="D3144" s="1"/>
      <c r="E3144" s="1" t="s">
        <v>2</v>
      </c>
      <c r="F3144" s="1" t="s">
        <v>1146</v>
      </c>
      <c r="G3144" s="1">
        <v>2</v>
      </c>
      <c r="H3144" s="1" t="s">
        <v>19</v>
      </c>
      <c r="I3144" s="1" t="s">
        <v>653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1145</v>
      </c>
      <c r="D3145" s="1"/>
      <c r="E3145" s="1" t="s">
        <v>44</v>
      </c>
      <c r="F3145" s="1" t="s">
        <v>1147</v>
      </c>
      <c r="G3145" s="1">
        <v>1</v>
      </c>
      <c r="H3145" s="1" t="s">
        <v>19</v>
      </c>
      <c r="I3145" s="1" t="s">
        <v>653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1145</v>
      </c>
      <c r="D3146" s="1"/>
      <c r="E3146" s="1" t="s">
        <v>1937</v>
      </c>
      <c r="F3146" s="1" t="s">
        <v>1938</v>
      </c>
      <c r="G3146" s="1">
        <v>2</v>
      </c>
      <c r="H3146" s="1" t="s">
        <v>19</v>
      </c>
      <c r="I3146" s="1" t="s">
        <v>653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1145</v>
      </c>
      <c r="D3147" s="1"/>
      <c r="E3147" s="1" t="s">
        <v>1102</v>
      </c>
      <c r="F3147" s="1" t="s">
        <v>1148</v>
      </c>
      <c r="G3147" s="1">
        <v>1</v>
      </c>
      <c r="H3147" s="1" t="s">
        <v>19</v>
      </c>
      <c r="I3147" s="1" t="s">
        <v>653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1129</v>
      </c>
      <c r="D3148" s="1"/>
      <c r="E3148" s="1" t="s">
        <v>2</v>
      </c>
      <c r="F3148" s="1" t="s">
        <v>1130</v>
      </c>
      <c r="G3148" s="1">
        <v>6</v>
      </c>
      <c r="H3148" s="1" t="s">
        <v>19</v>
      </c>
      <c r="I3148" s="1" t="s">
        <v>653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1129</v>
      </c>
      <c r="D3149" s="1"/>
      <c r="E3149" s="1" t="s">
        <v>44</v>
      </c>
      <c r="F3149" s="1" t="s">
        <v>1131</v>
      </c>
      <c r="G3149" s="1">
        <v>2</v>
      </c>
      <c r="H3149" s="1" t="s">
        <v>19</v>
      </c>
      <c r="I3149" s="1" t="s">
        <v>653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1939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1940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1941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1942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1943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1944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1945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1946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1947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1948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1390</v>
      </c>
      <c r="D3160" s="1"/>
      <c r="E3160" s="1"/>
      <c r="F3160" s="1" t="s">
        <v>1391</v>
      </c>
      <c r="G3160" s="1">
        <v>1</v>
      </c>
      <c r="H3160" s="1" t="s">
        <v>19</v>
      </c>
      <c r="I3160" s="1" t="s">
        <v>653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1949</v>
      </c>
      <c r="G3161" s="1">
        <v>57</v>
      </c>
      <c r="H3161" s="1" t="s">
        <v>1254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1950</v>
      </c>
      <c r="G3162" s="1">
        <v>190</v>
      </c>
      <c r="H3162" s="1" t="s">
        <v>1254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1951</v>
      </c>
      <c r="G3163" s="1">
        <v>6</v>
      </c>
      <c r="H3163" s="1" t="s">
        <v>1254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1952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1953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1954</v>
      </c>
      <c r="G3166" s="1">
        <v>10</v>
      </c>
      <c r="H3166" s="1" t="s">
        <v>1254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1955</v>
      </c>
      <c r="G3167" s="1">
        <v>5</v>
      </c>
      <c r="H3167" s="1" t="s">
        <v>1254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1956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1957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1958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1959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1960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1961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1962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1963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1964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1965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1133</v>
      </c>
      <c r="D3178" s="1"/>
      <c r="E3178" s="1" t="s">
        <v>2</v>
      </c>
      <c r="F3178" s="1" t="s">
        <v>1134</v>
      </c>
      <c r="G3178" s="1">
        <v>1</v>
      </c>
      <c r="H3178" s="1" t="s">
        <v>19</v>
      </c>
      <c r="I3178" s="1" t="s">
        <v>653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1017</v>
      </c>
      <c r="D3179" s="1"/>
      <c r="E3179" s="1"/>
      <c r="F3179" s="1" t="s">
        <v>1018</v>
      </c>
      <c r="G3179" s="1">
        <v>132</v>
      </c>
      <c r="H3179" s="1" t="s">
        <v>19</v>
      </c>
      <c r="I3179" s="1" t="s">
        <v>653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1082</v>
      </c>
      <c r="D3180" s="1"/>
      <c r="E3180" s="1"/>
      <c r="F3180" s="1" t="s">
        <v>1083</v>
      </c>
      <c r="G3180" s="1">
        <v>1</v>
      </c>
      <c r="H3180" s="1" t="s">
        <v>19</v>
      </c>
      <c r="I3180" s="1" t="s">
        <v>653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1082</v>
      </c>
      <c r="D3181" s="1"/>
      <c r="E3181" s="1"/>
      <c r="F3181" s="1" t="s">
        <v>1084</v>
      </c>
      <c r="G3181" s="1">
        <v>9</v>
      </c>
      <c r="H3181" s="1" t="s">
        <v>19</v>
      </c>
      <c r="I3181" s="1" t="s">
        <v>653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1082</v>
      </c>
      <c r="D3182" s="1"/>
      <c r="E3182" s="1"/>
      <c r="F3182" s="1" t="s">
        <v>1085</v>
      </c>
      <c r="G3182" s="1">
        <v>1</v>
      </c>
      <c r="H3182" s="1" t="s">
        <v>19</v>
      </c>
      <c r="I3182" s="1" t="s">
        <v>653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1798</v>
      </c>
      <c r="D3183" s="1"/>
      <c r="E3183" s="1"/>
      <c r="F3183" s="1" t="s">
        <v>2179</v>
      </c>
      <c r="G3183" s="1">
        <v>4</v>
      </c>
      <c r="H3183" s="1" t="s">
        <v>19</v>
      </c>
      <c r="I3183" s="1" t="s">
        <v>653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2180</v>
      </c>
      <c r="E3184" s="1"/>
      <c r="F3184" s="1" t="s">
        <v>2181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2180</v>
      </c>
      <c r="E3185" s="1"/>
      <c r="F3185" s="1" t="s">
        <v>2182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2180</v>
      </c>
      <c r="E3186" s="1"/>
      <c r="F3186" s="1" t="s">
        <v>2183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2180</v>
      </c>
      <c r="E3187" s="1"/>
      <c r="F3187" s="1" t="s">
        <v>2184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2185</v>
      </c>
      <c r="D3188" s="1"/>
      <c r="E3188" s="1" t="s">
        <v>2186</v>
      </c>
      <c r="F3188" s="1" t="s">
        <v>2187</v>
      </c>
      <c r="G3188" s="1">
        <v>22</v>
      </c>
      <c r="H3188" s="1" t="s">
        <v>19</v>
      </c>
      <c r="I3188" s="1" t="s">
        <v>653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2188</v>
      </c>
      <c r="D3189" s="1"/>
      <c r="E3189" s="1"/>
      <c r="F3189" s="1" t="s">
        <v>2189</v>
      </c>
      <c r="G3189" s="1">
        <v>1</v>
      </c>
      <c r="H3189" s="1" t="s">
        <v>19</v>
      </c>
      <c r="I3189" s="1" t="s">
        <v>653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894</v>
      </c>
      <c r="D3190" s="1"/>
      <c r="E3190" s="1" t="s">
        <v>2</v>
      </c>
      <c r="F3190" s="1" t="s">
        <v>2521</v>
      </c>
      <c r="G3190" s="1">
        <v>2</v>
      </c>
      <c r="H3190" s="1" t="s">
        <v>19</v>
      </c>
      <c r="I3190" s="1" t="s">
        <v>653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894</v>
      </c>
      <c r="D3191" s="1"/>
      <c r="E3191" s="1" t="s">
        <v>44</v>
      </c>
      <c r="F3191" s="1" t="s">
        <v>2522</v>
      </c>
      <c r="G3191" s="1">
        <v>2</v>
      </c>
      <c r="H3191" s="1" t="s">
        <v>19</v>
      </c>
      <c r="I3191" s="1" t="s">
        <v>653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894</v>
      </c>
      <c r="D3192" s="1"/>
      <c r="E3192" s="1" t="s">
        <v>747</v>
      </c>
      <c r="F3192" s="1" t="s">
        <v>2523</v>
      </c>
      <c r="G3192" s="1">
        <v>2</v>
      </c>
      <c r="H3192" s="1" t="s">
        <v>19</v>
      </c>
      <c r="I3192" s="1" t="s">
        <v>653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894</v>
      </c>
      <c r="D3193" s="1"/>
      <c r="E3193" s="1" t="s">
        <v>1102</v>
      </c>
      <c r="F3193" s="1" t="s">
        <v>2524</v>
      </c>
      <c r="G3193" s="1">
        <v>2</v>
      </c>
      <c r="H3193" s="1" t="s">
        <v>19</v>
      </c>
      <c r="I3193" s="1" t="s">
        <v>653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894</v>
      </c>
      <c r="D3194" s="1"/>
      <c r="E3194" s="1" t="s">
        <v>101</v>
      </c>
      <c r="F3194" s="1" t="s">
        <v>2525</v>
      </c>
      <c r="G3194" s="1">
        <v>2</v>
      </c>
      <c r="H3194" s="1" t="s">
        <v>19</v>
      </c>
      <c r="I3194" s="1" t="s">
        <v>653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894</v>
      </c>
      <c r="D3195" s="1"/>
      <c r="E3195" s="1" t="s">
        <v>174</v>
      </c>
      <c r="F3195" s="1" t="s">
        <v>2526</v>
      </c>
      <c r="G3195" s="1">
        <v>1</v>
      </c>
      <c r="H3195" s="1" t="s">
        <v>19</v>
      </c>
      <c r="I3195" s="1" t="s">
        <v>653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894</v>
      </c>
      <c r="D3196" s="1"/>
      <c r="E3196" s="1" t="s">
        <v>462</v>
      </c>
      <c r="F3196" s="1" t="s">
        <v>2527</v>
      </c>
      <c r="G3196" s="1">
        <v>2</v>
      </c>
      <c r="H3196" s="1" t="s">
        <v>19</v>
      </c>
      <c r="I3196" s="1" t="s">
        <v>653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894</v>
      </c>
      <c r="D3197" s="1"/>
      <c r="E3197" s="1" t="s">
        <v>465</v>
      </c>
      <c r="F3197" s="1" t="s">
        <v>2528</v>
      </c>
      <c r="G3197" s="1">
        <v>2</v>
      </c>
      <c r="H3197" s="1" t="s">
        <v>19</v>
      </c>
      <c r="I3197" s="1" t="s">
        <v>653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894</v>
      </c>
      <c r="D3198" s="1"/>
      <c r="E3198" s="1" t="s">
        <v>1103</v>
      </c>
      <c r="F3198" s="1" t="s">
        <v>2529</v>
      </c>
      <c r="G3198" s="1">
        <v>2</v>
      </c>
      <c r="H3198" s="1" t="s">
        <v>19</v>
      </c>
      <c r="I3198" s="1" t="s">
        <v>653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894</v>
      </c>
      <c r="D3199" s="1"/>
      <c r="E3199" s="1" t="s">
        <v>1104</v>
      </c>
      <c r="F3199" s="1" t="s">
        <v>2530</v>
      </c>
      <c r="G3199" s="1">
        <v>1</v>
      </c>
      <c r="H3199" s="1" t="s">
        <v>19</v>
      </c>
      <c r="I3199" s="1" t="s">
        <v>653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894</v>
      </c>
      <c r="D3200" s="1"/>
      <c r="E3200" s="1" t="s">
        <v>1105</v>
      </c>
      <c r="F3200" s="1" t="s">
        <v>2531</v>
      </c>
      <c r="G3200" s="1">
        <v>2</v>
      </c>
      <c r="H3200" s="1" t="s">
        <v>19</v>
      </c>
      <c r="I3200" s="1" t="s">
        <v>653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894</v>
      </c>
      <c r="D3201" s="1"/>
      <c r="E3201" s="1" t="s">
        <v>1106</v>
      </c>
      <c r="F3201" s="1" t="s">
        <v>2532</v>
      </c>
      <c r="G3201" s="1">
        <v>2</v>
      </c>
      <c r="H3201" s="1" t="s">
        <v>19</v>
      </c>
      <c r="I3201" s="1" t="s">
        <v>653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894</v>
      </c>
      <c r="D3202" s="1"/>
      <c r="E3202" s="1" t="s">
        <v>1107</v>
      </c>
      <c r="F3202" s="1" t="s">
        <v>2533</v>
      </c>
      <c r="G3202" s="1">
        <v>1</v>
      </c>
      <c r="H3202" s="1" t="s">
        <v>19</v>
      </c>
      <c r="I3202" s="1" t="s">
        <v>653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894</v>
      </c>
      <c r="D3203" s="1"/>
      <c r="E3203" s="1" t="s">
        <v>1108</v>
      </c>
      <c r="F3203" s="1" t="s">
        <v>2534</v>
      </c>
      <c r="G3203" s="1">
        <v>2</v>
      </c>
      <c r="H3203" s="1" t="s">
        <v>19</v>
      </c>
      <c r="I3203" s="1" t="s">
        <v>653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1050</v>
      </c>
      <c r="D3204" s="1"/>
      <c r="E3204" s="1"/>
      <c r="F3204" s="1" t="s">
        <v>1736</v>
      </c>
      <c r="G3204" s="1">
        <v>66</v>
      </c>
      <c r="H3204" s="1" t="s">
        <v>19</v>
      </c>
      <c r="I3204" s="1" t="s">
        <v>653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1050</v>
      </c>
      <c r="D3205" s="1"/>
      <c r="E3205" s="1"/>
      <c r="F3205" s="1" t="s">
        <v>1763</v>
      </c>
      <c r="G3205" s="1">
        <v>66</v>
      </c>
      <c r="H3205" s="1" t="s">
        <v>19</v>
      </c>
      <c r="I3205" s="1" t="s">
        <v>653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1050</v>
      </c>
      <c r="D3206" s="1"/>
      <c r="E3206" s="1"/>
      <c r="F3206" s="1" t="s">
        <v>1779</v>
      </c>
      <c r="G3206" s="1">
        <v>66</v>
      </c>
      <c r="H3206" s="1" t="s">
        <v>19</v>
      </c>
      <c r="I3206" s="1" t="s">
        <v>653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2742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1087</v>
      </c>
      <c r="D3208" s="1"/>
      <c r="E3208" s="1" t="s">
        <v>1102</v>
      </c>
      <c r="F3208" s="1" t="s">
        <v>1090</v>
      </c>
      <c r="G3208" s="1">
        <v>31</v>
      </c>
      <c r="H3208" s="1" t="s">
        <v>19</v>
      </c>
      <c r="I3208" s="1" t="s">
        <v>653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797</v>
      </c>
      <c r="D3209" s="1"/>
      <c r="E3209" s="1" t="s">
        <v>44</v>
      </c>
      <c r="F3209" s="1" t="s">
        <v>799</v>
      </c>
      <c r="G3209" s="1">
        <v>2</v>
      </c>
      <c r="H3209" s="1" t="s">
        <v>19</v>
      </c>
      <c r="I3209" s="1" t="s">
        <v>653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148</v>
      </c>
      <c r="D3210" s="1"/>
      <c r="E3210" s="1" t="s">
        <v>1816</v>
      </c>
      <c r="F3210" s="1" t="s">
        <v>1817</v>
      </c>
      <c r="G3210" s="1">
        <v>8</v>
      </c>
      <c r="H3210" s="1" t="s">
        <v>19</v>
      </c>
      <c r="I3210" s="1" t="s">
        <v>630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930</v>
      </c>
      <c r="D3211" s="1"/>
      <c r="E3211" s="1" t="s">
        <v>2</v>
      </c>
      <c r="F3211" s="1" t="s">
        <v>932</v>
      </c>
      <c r="G3211" s="1">
        <v>1</v>
      </c>
      <c r="H3211" s="1" t="s">
        <v>19</v>
      </c>
      <c r="I3211" s="1" t="s">
        <v>630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937</v>
      </c>
      <c r="D3212" s="1"/>
      <c r="E3212" s="1" t="s">
        <v>44</v>
      </c>
      <c r="F3212" s="1" t="s">
        <v>938</v>
      </c>
      <c r="G3212" s="1">
        <v>4</v>
      </c>
      <c r="H3212" s="1" t="s">
        <v>19</v>
      </c>
      <c r="I3212" s="1" t="s">
        <v>630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939</v>
      </c>
      <c r="D3213" s="1"/>
      <c r="E3213" s="1" t="s">
        <v>2</v>
      </c>
      <c r="F3213" s="1" t="s">
        <v>940</v>
      </c>
      <c r="G3213" s="1">
        <v>3</v>
      </c>
      <c r="H3213" s="1" t="s">
        <v>19</v>
      </c>
      <c r="I3213" s="1" t="s">
        <v>630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939</v>
      </c>
      <c r="D3214" s="1"/>
      <c r="E3214" s="1" t="s">
        <v>44</v>
      </c>
      <c r="F3214" s="1" t="s">
        <v>941</v>
      </c>
      <c r="G3214" s="1">
        <v>3</v>
      </c>
      <c r="H3214" s="1" t="s">
        <v>19</v>
      </c>
      <c r="I3214" s="1" t="s">
        <v>630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939</v>
      </c>
      <c r="D3215" s="1"/>
      <c r="E3215" s="1" t="s">
        <v>747</v>
      </c>
      <c r="F3215" s="1" t="s">
        <v>942</v>
      </c>
      <c r="G3215" s="1">
        <v>14</v>
      </c>
      <c r="H3215" s="1"/>
      <c r="I3215" s="1" t="s">
        <v>630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939</v>
      </c>
      <c r="D3216" s="1"/>
      <c r="E3216" s="1" t="s">
        <v>1102</v>
      </c>
      <c r="F3216" s="1" t="s">
        <v>943</v>
      </c>
      <c r="G3216" s="1">
        <v>14</v>
      </c>
      <c r="H3216" s="1"/>
      <c r="I3216" s="1" t="s">
        <v>630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939</v>
      </c>
      <c r="D3217" s="1"/>
      <c r="E3217" s="1" t="s">
        <v>174</v>
      </c>
      <c r="F3217" s="1" t="s">
        <v>945</v>
      </c>
      <c r="G3217" s="1">
        <v>28</v>
      </c>
      <c r="H3217" s="1"/>
      <c r="I3217" s="1" t="s">
        <v>630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939</v>
      </c>
      <c r="D3218" s="1"/>
      <c r="E3218" s="1" t="s">
        <v>462</v>
      </c>
      <c r="F3218" s="1" t="s">
        <v>946</v>
      </c>
      <c r="G3218" s="1">
        <v>1</v>
      </c>
      <c r="H3218" s="1"/>
      <c r="I3218" s="1" t="s">
        <v>630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951</v>
      </c>
      <c r="D3219" s="1"/>
      <c r="E3219" s="1"/>
      <c r="F3219" s="1" t="s">
        <v>954</v>
      </c>
      <c r="G3219" s="1">
        <v>2</v>
      </c>
      <c r="H3219" s="1"/>
      <c r="I3219" s="1" t="s">
        <v>635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963</v>
      </c>
      <c r="D3220" s="1"/>
      <c r="E3220" s="1" t="s">
        <v>101</v>
      </c>
      <c r="F3220" s="1" t="s">
        <v>968</v>
      </c>
      <c r="G3220" s="1">
        <v>3</v>
      </c>
      <c r="H3220" s="1" t="s">
        <v>19</v>
      </c>
      <c r="I3220" s="1" t="s">
        <v>590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963</v>
      </c>
      <c r="D3221" s="1"/>
      <c r="E3221" s="1" t="s">
        <v>174</v>
      </c>
      <c r="F3221" s="1" t="s">
        <v>969</v>
      </c>
      <c r="G3221" s="1">
        <v>3</v>
      </c>
      <c r="H3221" s="1" t="s">
        <v>19</v>
      </c>
      <c r="I3221" s="1" t="s">
        <v>590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963</v>
      </c>
      <c r="D3222" s="1"/>
      <c r="E3222" s="1" t="s">
        <v>101</v>
      </c>
      <c r="F3222" s="1" t="s">
        <v>968</v>
      </c>
      <c r="G3222" s="1">
        <v>4</v>
      </c>
      <c r="H3222" s="1" t="s">
        <v>19</v>
      </c>
      <c r="I3222" s="1" t="s">
        <v>736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963</v>
      </c>
      <c r="D3223" s="1"/>
      <c r="E3223" s="1" t="s">
        <v>174</v>
      </c>
      <c r="F3223" s="1" t="s">
        <v>969</v>
      </c>
      <c r="G3223" s="1">
        <v>4</v>
      </c>
      <c r="H3223" s="1" t="s">
        <v>19</v>
      </c>
      <c r="I3223" s="1" t="s">
        <v>736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978</v>
      </c>
      <c r="D3224" s="1"/>
      <c r="E3224" s="1"/>
      <c r="F3224" s="1" t="s">
        <v>980</v>
      </c>
      <c r="G3224" s="1">
        <v>4</v>
      </c>
      <c r="H3224" s="1"/>
      <c r="I3224" s="1" t="s">
        <v>590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1818</v>
      </c>
      <c r="D3225" s="1"/>
      <c r="E3225" s="1" t="s">
        <v>747</v>
      </c>
      <c r="F3225" s="1" t="s">
        <v>1019</v>
      </c>
      <c r="G3225" s="1">
        <v>6</v>
      </c>
      <c r="H3225" s="1"/>
      <c r="I3225" s="1" t="s">
        <v>635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1818</v>
      </c>
      <c r="D3226" s="1"/>
      <c r="E3226" s="1" t="s">
        <v>1102</v>
      </c>
      <c r="F3226" s="1" t="s">
        <v>1020</v>
      </c>
      <c r="G3226" s="1">
        <v>6</v>
      </c>
      <c r="H3226" s="1"/>
      <c r="I3226" s="1" t="s">
        <v>635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1818</v>
      </c>
      <c r="D3227" s="1"/>
      <c r="E3227" s="1" t="s">
        <v>462</v>
      </c>
      <c r="F3227" s="1" t="s">
        <v>1078</v>
      </c>
      <c r="G3227" s="1">
        <v>6</v>
      </c>
      <c r="H3227" s="1"/>
      <c r="I3227" s="1" t="s">
        <v>635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1818</v>
      </c>
      <c r="D3228" s="1"/>
      <c r="E3228" s="1" t="s">
        <v>174</v>
      </c>
      <c r="F3228" s="1" t="s">
        <v>1079</v>
      </c>
      <c r="G3228" s="1">
        <v>6</v>
      </c>
      <c r="H3228" s="1"/>
      <c r="I3228" s="1" t="s">
        <v>635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1037</v>
      </c>
      <c r="D3229" s="1"/>
      <c r="E3229" s="1" t="s">
        <v>2</v>
      </c>
      <c r="F3229" s="1" t="s">
        <v>1038</v>
      </c>
      <c r="G3229" s="1">
        <v>1</v>
      </c>
      <c r="H3229" s="1" t="s">
        <v>19</v>
      </c>
      <c r="I3229" s="1" t="s">
        <v>586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1037</v>
      </c>
      <c r="D3230" s="1"/>
      <c r="E3230" s="1" t="s">
        <v>44</v>
      </c>
      <c r="F3230" s="1" t="s">
        <v>1039</v>
      </c>
      <c r="G3230" s="1">
        <v>1</v>
      </c>
      <c r="H3230" s="1" t="s">
        <v>19</v>
      </c>
      <c r="I3230" s="1" t="s">
        <v>586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1037</v>
      </c>
      <c r="D3231" s="1"/>
      <c r="E3231" s="1"/>
      <c r="F3231" s="1" t="s">
        <v>1040</v>
      </c>
      <c r="G3231" s="1">
        <v>2</v>
      </c>
      <c r="H3231" s="1" t="s">
        <v>19</v>
      </c>
      <c r="I3231" s="1" t="s">
        <v>586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2743</v>
      </c>
      <c r="D3232" s="1"/>
      <c r="E3232" s="1"/>
      <c r="F3232" s="1" t="s">
        <v>2744</v>
      </c>
      <c r="G3232" s="1">
        <v>8</v>
      </c>
      <c r="H3232" s="1" t="s">
        <v>19</v>
      </c>
      <c r="I3232" s="1" t="s">
        <v>590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143</v>
      </c>
      <c r="D3233" s="1"/>
      <c r="E3233" s="1"/>
      <c r="F3233" s="1" t="s">
        <v>2745</v>
      </c>
      <c r="G3233" s="1">
        <v>6</v>
      </c>
      <c r="H3233" s="1" t="s">
        <v>19</v>
      </c>
      <c r="I3233" s="1" t="s">
        <v>590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144</v>
      </c>
      <c r="D3234" s="1"/>
      <c r="E3234" s="1"/>
      <c r="F3234" s="1" t="s">
        <v>2746</v>
      </c>
      <c r="G3234" s="1">
        <v>110</v>
      </c>
      <c r="H3234" s="1" t="s">
        <v>19</v>
      </c>
      <c r="I3234" s="1" t="s">
        <v>590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2747</v>
      </c>
      <c r="D3235" s="1"/>
      <c r="E3235" s="1"/>
      <c r="F3235" s="1" t="s">
        <v>2748</v>
      </c>
      <c r="G3235" s="1">
        <v>40</v>
      </c>
      <c r="H3235" s="1" t="s">
        <v>19</v>
      </c>
      <c r="I3235" s="1" t="s">
        <v>590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2743</v>
      </c>
      <c r="D3236" s="1"/>
      <c r="E3236" s="1"/>
      <c r="F3236" s="1" t="s">
        <v>2749</v>
      </c>
      <c r="G3236" s="1">
        <v>8</v>
      </c>
      <c r="H3236" s="1" t="s">
        <v>19</v>
      </c>
      <c r="I3236" s="1" t="s">
        <v>590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144</v>
      </c>
      <c r="D3237" s="1"/>
      <c r="E3237" s="1"/>
      <c r="F3237" s="1" t="s">
        <v>2750</v>
      </c>
      <c r="G3237" s="1">
        <v>110</v>
      </c>
      <c r="H3237" s="1" t="s">
        <v>19</v>
      </c>
      <c r="I3237" s="1" t="s">
        <v>590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2747</v>
      </c>
      <c r="D3238" s="1"/>
      <c r="E3238" s="1"/>
      <c r="F3238" s="1" t="s">
        <v>2750</v>
      </c>
      <c r="G3238" s="1">
        <v>40</v>
      </c>
      <c r="H3238" s="1" t="s">
        <v>19</v>
      </c>
      <c r="I3238" s="1" t="s">
        <v>590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2743</v>
      </c>
      <c r="D3239" s="1"/>
      <c r="E3239" s="1"/>
      <c r="F3239" s="1" t="s">
        <v>2751</v>
      </c>
      <c r="G3239" s="1">
        <v>12</v>
      </c>
      <c r="H3239" s="1" t="s">
        <v>19</v>
      </c>
      <c r="I3239" s="1" t="s">
        <v>590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2743</v>
      </c>
      <c r="D3240" s="1"/>
      <c r="E3240" s="1"/>
      <c r="F3240" s="1" t="s">
        <v>2752</v>
      </c>
      <c r="G3240" s="1">
        <v>8</v>
      </c>
      <c r="H3240" s="1" t="s">
        <v>19</v>
      </c>
      <c r="I3240" s="1" t="s">
        <v>590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2753</v>
      </c>
      <c r="D3241" s="1"/>
      <c r="E3241" s="1"/>
      <c r="F3241" s="1" t="s">
        <v>2754</v>
      </c>
      <c r="G3241" s="1">
        <v>25</v>
      </c>
      <c r="H3241" s="1" t="s">
        <v>19</v>
      </c>
      <c r="I3241" s="1" t="s">
        <v>2755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2753</v>
      </c>
      <c r="D3242" s="1"/>
      <c r="E3242" s="1"/>
      <c r="F3242" s="1" t="s">
        <v>2756</v>
      </c>
      <c r="G3242" s="1">
        <v>50</v>
      </c>
      <c r="H3242" s="1" t="s">
        <v>19</v>
      </c>
      <c r="I3242" s="1" t="s">
        <v>2755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2753</v>
      </c>
      <c r="D3243" s="1"/>
      <c r="E3243" s="1"/>
      <c r="F3243" s="1" t="s">
        <v>2757</v>
      </c>
      <c r="G3243" s="1">
        <v>10</v>
      </c>
      <c r="H3243" s="1" t="s">
        <v>19</v>
      </c>
      <c r="I3243" s="1" t="s">
        <v>2755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2753</v>
      </c>
      <c r="D3244" s="1"/>
      <c r="E3244" s="1"/>
      <c r="F3244" s="1" t="s">
        <v>2758</v>
      </c>
      <c r="G3244" s="1">
        <v>20</v>
      </c>
      <c r="H3244" s="1" t="s">
        <v>19</v>
      </c>
      <c r="I3244" s="1" t="s">
        <v>2755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2753</v>
      </c>
      <c r="D3245" s="1"/>
      <c r="E3245" s="1"/>
      <c r="F3245" s="1" t="s">
        <v>2759</v>
      </c>
      <c r="G3245" s="1">
        <v>25</v>
      </c>
      <c r="H3245" s="1" t="s">
        <v>19</v>
      </c>
      <c r="I3245" s="1" t="s">
        <v>2755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2760</v>
      </c>
      <c r="D3246" s="1"/>
      <c r="E3246" s="1"/>
      <c r="F3246" s="1" t="s">
        <v>2761</v>
      </c>
      <c r="G3246" s="1">
        <v>10</v>
      </c>
      <c r="H3246" s="1" t="s">
        <v>19</v>
      </c>
      <c r="I3246" s="1" t="s">
        <v>2762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2753</v>
      </c>
      <c r="D3247" s="1"/>
      <c r="E3247" s="1"/>
      <c r="F3247" s="1" t="s">
        <v>2763</v>
      </c>
      <c r="G3247" s="1">
        <v>25</v>
      </c>
      <c r="H3247" s="1" t="s">
        <v>19</v>
      </c>
      <c r="I3247" s="1" t="s">
        <v>2755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2753</v>
      </c>
      <c r="D3248" s="1"/>
      <c r="E3248" s="1"/>
      <c r="F3248" s="1" t="s">
        <v>2764</v>
      </c>
      <c r="G3248" s="1">
        <v>20</v>
      </c>
      <c r="H3248" s="1" t="s">
        <v>19</v>
      </c>
      <c r="I3248" s="1" t="s">
        <v>2755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2760</v>
      </c>
      <c r="D3249" s="1"/>
      <c r="E3249" s="1"/>
      <c r="F3249" s="1" t="s">
        <v>2765</v>
      </c>
      <c r="G3249" s="1">
        <v>10</v>
      </c>
      <c r="H3249" s="1" t="s">
        <v>19</v>
      </c>
      <c r="I3249" s="1" t="s">
        <v>2762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2753</v>
      </c>
      <c r="D3250" s="1"/>
      <c r="E3250" s="1"/>
      <c r="F3250" s="1" t="s">
        <v>2765</v>
      </c>
      <c r="G3250" s="1">
        <v>50</v>
      </c>
      <c r="H3250" s="1" t="s">
        <v>19</v>
      </c>
      <c r="I3250" s="1" t="s">
        <v>2755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148</v>
      </c>
      <c r="D3251" s="1"/>
      <c r="E3251" s="1"/>
      <c r="F3251" s="1" t="s">
        <v>2766</v>
      </c>
      <c r="G3251" s="1">
        <v>30</v>
      </c>
      <c r="H3251" s="1" t="s">
        <v>19</v>
      </c>
      <c r="I3251" s="1" t="s">
        <v>630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133</v>
      </c>
      <c r="D3252" s="1"/>
      <c r="E3252" s="1"/>
      <c r="F3252" s="1" t="s">
        <v>2767</v>
      </c>
      <c r="G3252" s="1">
        <v>80</v>
      </c>
      <c r="H3252" s="1" t="s">
        <v>19</v>
      </c>
      <c r="I3252" s="1" t="s">
        <v>635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2768</v>
      </c>
      <c r="D3253" s="1"/>
      <c r="E3253" s="1"/>
      <c r="F3253" s="1" t="s">
        <v>2769</v>
      </c>
      <c r="G3253" s="1">
        <v>30</v>
      </c>
      <c r="H3253" s="1" t="s">
        <v>19</v>
      </c>
      <c r="I3253" s="1" t="s">
        <v>2770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148</v>
      </c>
      <c r="D3254" s="1"/>
      <c r="E3254" s="1"/>
      <c r="F3254" s="1" t="s">
        <v>2771</v>
      </c>
      <c r="G3254" s="1">
        <v>30</v>
      </c>
      <c r="H3254" s="1" t="s">
        <v>19</v>
      </c>
      <c r="I3254" s="1" t="s">
        <v>630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133</v>
      </c>
      <c r="D3255" s="1"/>
      <c r="E3255" s="1"/>
      <c r="F3255" s="1" t="s">
        <v>2772</v>
      </c>
      <c r="G3255" s="1">
        <v>80</v>
      </c>
      <c r="H3255" s="1" t="s">
        <v>19</v>
      </c>
      <c r="I3255" s="1" t="s">
        <v>635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148</v>
      </c>
      <c r="D3256" s="1"/>
      <c r="E3256" s="1"/>
      <c r="F3256" s="1" t="s">
        <v>2773</v>
      </c>
      <c r="G3256" s="1">
        <v>30</v>
      </c>
      <c r="H3256" s="1" t="s">
        <v>19</v>
      </c>
      <c r="I3256" s="1" t="s">
        <v>630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2774</v>
      </c>
      <c r="D3257" s="1"/>
      <c r="E3257" s="1"/>
      <c r="F3257" s="1" t="s">
        <v>2775</v>
      </c>
      <c r="G3257" s="1">
        <v>15</v>
      </c>
      <c r="H3257" s="1" t="s">
        <v>19</v>
      </c>
      <c r="I3257" s="1" t="s">
        <v>2776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728</v>
      </c>
      <c r="D3258" s="1"/>
      <c r="E3258" s="1"/>
      <c r="F3258" s="1" t="s">
        <v>2777</v>
      </c>
      <c r="G3258" s="1">
        <v>30</v>
      </c>
      <c r="H3258" s="1" t="s">
        <v>19</v>
      </c>
      <c r="I3258" s="1" t="s">
        <v>635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148</v>
      </c>
      <c r="D3259" s="1"/>
      <c r="E3259" s="1"/>
      <c r="F3259" s="1" t="s">
        <v>2778</v>
      </c>
      <c r="G3259" s="1">
        <v>30</v>
      </c>
      <c r="H3259" s="1" t="s">
        <v>19</v>
      </c>
      <c r="I3259" s="1" t="s">
        <v>630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133</v>
      </c>
      <c r="D3260" s="1"/>
      <c r="E3260" s="1"/>
      <c r="F3260" s="1" t="s">
        <v>2779</v>
      </c>
      <c r="G3260" s="1">
        <v>80</v>
      </c>
      <c r="H3260" s="1" t="s">
        <v>19</v>
      </c>
      <c r="I3260" s="1" t="s">
        <v>635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2780</v>
      </c>
      <c r="D3261" s="1"/>
      <c r="E3261" s="1"/>
      <c r="F3261" s="1" t="s">
        <v>2781</v>
      </c>
      <c r="G3261" s="1">
        <v>2</v>
      </c>
      <c r="H3261" s="1" t="s">
        <v>19</v>
      </c>
      <c r="I3261" s="1" t="s">
        <v>2782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2783</v>
      </c>
      <c r="D3262" s="1"/>
      <c r="E3262" s="1"/>
      <c r="F3262" s="1" t="s">
        <v>2784</v>
      </c>
      <c r="G3262" s="1">
        <v>6</v>
      </c>
      <c r="H3262" s="1" t="s">
        <v>19</v>
      </c>
      <c r="I3262" s="1" t="s">
        <v>2785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1999</v>
      </c>
      <c r="D3263" s="1"/>
      <c r="E3263" s="1"/>
      <c r="F3263" s="1" t="s">
        <v>2786</v>
      </c>
      <c r="G3263" s="1">
        <v>14</v>
      </c>
      <c r="H3263" s="1" t="s">
        <v>19</v>
      </c>
      <c r="I3263" s="1" t="s">
        <v>630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1999</v>
      </c>
      <c r="D3264" s="1"/>
      <c r="E3264" s="1"/>
      <c r="F3264" s="1" t="s">
        <v>2786</v>
      </c>
      <c r="G3264" s="1">
        <v>12</v>
      </c>
      <c r="H3264" s="1" t="s">
        <v>19</v>
      </c>
      <c r="I3264" s="1" t="s">
        <v>630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1999</v>
      </c>
      <c r="D3265" s="1"/>
      <c r="E3265" s="1"/>
      <c r="F3265" s="1" t="s">
        <v>2786</v>
      </c>
      <c r="G3265" s="1">
        <v>12</v>
      </c>
      <c r="H3265" s="1" t="s">
        <v>19</v>
      </c>
      <c r="I3265" s="1" t="s">
        <v>630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1999</v>
      </c>
      <c r="D3266" s="1"/>
      <c r="E3266" s="1"/>
      <c r="F3266" s="1" t="s">
        <v>2787</v>
      </c>
      <c r="G3266" s="1">
        <v>18</v>
      </c>
      <c r="H3266" s="1" t="s">
        <v>19</v>
      </c>
      <c r="I3266" s="1" t="s">
        <v>630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2783</v>
      </c>
      <c r="D3267" s="1"/>
      <c r="E3267" s="1"/>
      <c r="F3267" s="1" t="s">
        <v>2788</v>
      </c>
      <c r="G3267" s="1">
        <v>9</v>
      </c>
      <c r="H3267" s="1" t="s">
        <v>19</v>
      </c>
      <c r="I3267" s="1" t="s">
        <v>630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1999</v>
      </c>
      <c r="D3268" s="1"/>
      <c r="E3268" s="1"/>
      <c r="F3268" s="1" t="s">
        <v>2789</v>
      </c>
      <c r="G3268" s="1">
        <v>14</v>
      </c>
      <c r="H3268" s="1" t="s">
        <v>19</v>
      </c>
      <c r="I3268" s="1" t="s">
        <v>630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2790</v>
      </c>
      <c r="D3269" s="1"/>
      <c r="E3269" s="1"/>
      <c r="F3269" s="1" t="s">
        <v>2791</v>
      </c>
      <c r="G3269" s="1">
        <v>4</v>
      </c>
      <c r="H3269" s="1" t="s">
        <v>19</v>
      </c>
      <c r="I3269" s="1" t="s">
        <v>630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2792</v>
      </c>
      <c r="D3270" s="1"/>
      <c r="E3270" s="1"/>
      <c r="F3270" s="1" t="s">
        <v>2793</v>
      </c>
      <c r="G3270" s="1">
        <v>80</v>
      </c>
      <c r="H3270" s="1" t="s">
        <v>19</v>
      </c>
      <c r="I3270" s="1" t="s">
        <v>630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2794</v>
      </c>
      <c r="D3271" s="1"/>
      <c r="E3271" s="1"/>
      <c r="F3271" s="1" t="s">
        <v>2795</v>
      </c>
      <c r="G3271" s="1">
        <v>8</v>
      </c>
      <c r="H3271" s="1" t="s">
        <v>19</v>
      </c>
      <c r="I3271" s="1" t="s">
        <v>630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2796</v>
      </c>
      <c r="D3272" s="1"/>
      <c r="E3272" s="1"/>
      <c r="F3272" s="1" t="s">
        <v>2797</v>
      </c>
      <c r="G3272" s="1">
        <v>4</v>
      </c>
      <c r="H3272" s="1" t="s">
        <v>19</v>
      </c>
      <c r="I3272" s="1" t="s">
        <v>2798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2799</v>
      </c>
      <c r="D3273" s="1"/>
      <c r="E3273" s="1"/>
      <c r="F3273" s="1" t="s">
        <v>2800</v>
      </c>
      <c r="G3273" s="1">
        <v>21</v>
      </c>
      <c r="H3273" s="1" t="s">
        <v>19</v>
      </c>
      <c r="I3273" s="1" t="s">
        <v>630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2780</v>
      </c>
      <c r="D3274" s="1"/>
      <c r="E3274" s="1"/>
      <c r="F3274" s="1" t="s">
        <v>2801</v>
      </c>
      <c r="G3274" s="1">
        <v>2</v>
      </c>
      <c r="H3274" s="1" t="s">
        <v>19</v>
      </c>
      <c r="I3274" s="1" t="s">
        <v>630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1282</v>
      </c>
      <c r="D3275" s="1"/>
      <c r="E3275" s="1"/>
      <c r="F3275" s="1" t="s">
        <v>2802</v>
      </c>
      <c r="G3275" s="1">
        <v>96</v>
      </c>
      <c r="H3275" s="1" t="s">
        <v>19</v>
      </c>
      <c r="I3275" s="1" t="s">
        <v>2803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1999</v>
      </c>
      <c r="D3276" s="1"/>
      <c r="E3276" s="1"/>
      <c r="F3276" s="1" t="s">
        <v>2804</v>
      </c>
      <c r="G3276" s="1">
        <v>14</v>
      </c>
      <c r="H3276" s="1" t="s">
        <v>19</v>
      </c>
      <c r="I3276" s="1" t="s">
        <v>630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2783</v>
      </c>
      <c r="D3277" s="1"/>
      <c r="E3277" s="1"/>
      <c r="F3277" s="1" t="s">
        <v>2805</v>
      </c>
      <c r="G3277" s="1">
        <v>10</v>
      </c>
      <c r="H3277" s="1" t="s">
        <v>19</v>
      </c>
      <c r="I3277" s="1" t="s">
        <v>630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1999</v>
      </c>
      <c r="D3278" s="1"/>
      <c r="E3278" s="1"/>
      <c r="F3278" s="1" t="s">
        <v>2806</v>
      </c>
      <c r="G3278" s="1">
        <v>12</v>
      </c>
      <c r="H3278" s="1" t="s">
        <v>19</v>
      </c>
      <c r="I3278" s="1" t="s">
        <v>630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1999</v>
      </c>
      <c r="D3279" s="1"/>
      <c r="E3279" s="1"/>
      <c r="F3279" s="1" t="s">
        <v>2807</v>
      </c>
      <c r="G3279" s="1">
        <v>18</v>
      </c>
      <c r="H3279" s="1" t="s">
        <v>19</v>
      </c>
      <c r="I3279" s="1" t="s">
        <v>630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2799</v>
      </c>
      <c r="D3280" s="1"/>
      <c r="E3280" s="1"/>
      <c r="F3280" s="1" t="s">
        <v>2808</v>
      </c>
      <c r="G3280" s="1">
        <v>21</v>
      </c>
      <c r="H3280" s="1" t="s">
        <v>19</v>
      </c>
      <c r="I3280" s="1" t="s">
        <v>630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2796</v>
      </c>
      <c r="D3281" s="1"/>
      <c r="E3281" s="1"/>
      <c r="F3281" s="1" t="s">
        <v>2809</v>
      </c>
      <c r="G3281" s="1">
        <v>4</v>
      </c>
      <c r="H3281" s="1" t="s">
        <v>19</v>
      </c>
      <c r="I3281" s="1" t="s">
        <v>2798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2792</v>
      </c>
      <c r="D3282" s="1"/>
      <c r="E3282" s="1"/>
      <c r="F3282" s="1" t="s">
        <v>2810</v>
      </c>
      <c r="G3282" s="1">
        <v>48</v>
      </c>
      <c r="H3282" s="1" t="s">
        <v>19</v>
      </c>
      <c r="I3282" s="1" t="s">
        <v>630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2783</v>
      </c>
      <c r="D3283" s="1"/>
      <c r="E3283" s="1"/>
      <c r="F3283" s="1" t="s">
        <v>2811</v>
      </c>
      <c r="G3283" s="1">
        <v>9</v>
      </c>
      <c r="H3283" s="1" t="s">
        <v>19</v>
      </c>
      <c r="I3283" s="1" t="s">
        <v>630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2790</v>
      </c>
      <c r="D3284" s="1"/>
      <c r="E3284" s="1"/>
      <c r="F3284" s="1" t="s">
        <v>2812</v>
      </c>
      <c r="G3284" s="1">
        <v>4</v>
      </c>
      <c r="H3284" s="1" t="s">
        <v>19</v>
      </c>
      <c r="I3284" s="1" t="s">
        <v>630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2813</v>
      </c>
      <c r="D3285" s="1"/>
      <c r="E3285" s="1"/>
      <c r="F3285" s="1" t="s">
        <v>2814</v>
      </c>
      <c r="G3285" s="1">
        <v>2</v>
      </c>
      <c r="H3285" s="1" t="s">
        <v>19</v>
      </c>
      <c r="I3285" s="1" t="s">
        <v>2815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1277</v>
      </c>
      <c r="D3286" s="1"/>
      <c r="E3286" s="1"/>
      <c r="F3286" s="1" t="s">
        <v>2816</v>
      </c>
      <c r="G3286" s="1">
        <v>15</v>
      </c>
      <c r="H3286" s="1" t="s">
        <v>19</v>
      </c>
      <c r="I3286" s="1" t="s">
        <v>630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2780</v>
      </c>
      <c r="D3287" s="1"/>
      <c r="E3287" s="1"/>
      <c r="F3287" s="1" t="s">
        <v>2817</v>
      </c>
      <c r="G3287" s="1">
        <v>4</v>
      </c>
      <c r="H3287" s="1" t="s">
        <v>19</v>
      </c>
      <c r="I3287" s="1" t="s">
        <v>630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1999</v>
      </c>
      <c r="D3288" s="1"/>
      <c r="E3288" s="1"/>
      <c r="F3288" s="1" t="s">
        <v>2818</v>
      </c>
      <c r="G3288" s="1">
        <v>14</v>
      </c>
      <c r="H3288" s="1" t="s">
        <v>19</v>
      </c>
      <c r="I3288" s="1" t="s">
        <v>630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2819</v>
      </c>
      <c r="D3289" s="1"/>
      <c r="E3289" s="1"/>
      <c r="F3289" s="1" t="s">
        <v>2820</v>
      </c>
      <c r="G3289" s="1">
        <v>96</v>
      </c>
      <c r="H3289" s="1" t="s">
        <v>19</v>
      </c>
      <c r="I3289" s="1" t="s">
        <v>2803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1999</v>
      </c>
      <c r="D3290" s="1"/>
      <c r="E3290" s="1"/>
      <c r="F3290" s="1" t="s">
        <v>2821</v>
      </c>
      <c r="G3290" s="1">
        <v>14</v>
      </c>
      <c r="H3290" s="1" t="s">
        <v>19</v>
      </c>
      <c r="I3290" s="1" t="s">
        <v>630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2783</v>
      </c>
      <c r="D3291" s="1"/>
      <c r="E3291" s="1"/>
      <c r="F3291" s="1" t="s">
        <v>2822</v>
      </c>
      <c r="G3291" s="1">
        <v>10</v>
      </c>
      <c r="H3291" s="1" t="s">
        <v>19</v>
      </c>
      <c r="I3291" s="1" t="s">
        <v>630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1999</v>
      </c>
      <c r="D3292" s="1"/>
      <c r="E3292" s="1"/>
      <c r="F3292" s="1" t="s">
        <v>2823</v>
      </c>
      <c r="G3292" s="1">
        <v>12</v>
      </c>
      <c r="H3292" s="1" t="s">
        <v>19</v>
      </c>
      <c r="I3292" s="1" t="s">
        <v>630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1999</v>
      </c>
      <c r="D3293" s="1"/>
      <c r="E3293" s="1"/>
      <c r="F3293" s="1" t="s">
        <v>2824</v>
      </c>
      <c r="G3293" s="1">
        <v>18</v>
      </c>
      <c r="H3293" s="1" t="s">
        <v>19</v>
      </c>
      <c r="I3293" s="1" t="s">
        <v>630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2780</v>
      </c>
      <c r="D3294" s="1"/>
      <c r="E3294" s="1"/>
      <c r="F3294" s="1" t="s">
        <v>2825</v>
      </c>
      <c r="G3294" s="1">
        <v>8</v>
      </c>
      <c r="H3294" s="1" t="s">
        <v>19</v>
      </c>
      <c r="I3294" s="1" t="s">
        <v>630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2783</v>
      </c>
      <c r="D3295" s="1"/>
      <c r="E3295" s="1"/>
      <c r="F3295" s="1" t="s">
        <v>2826</v>
      </c>
      <c r="G3295" s="1">
        <v>21</v>
      </c>
      <c r="H3295" s="1" t="s">
        <v>19</v>
      </c>
      <c r="I3295" s="1" t="s">
        <v>630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934</v>
      </c>
      <c r="D3296" s="1"/>
      <c r="E3296" s="1"/>
      <c r="F3296" s="1" t="s">
        <v>2827</v>
      </c>
      <c r="G3296" s="1">
        <v>4</v>
      </c>
      <c r="H3296" s="1" t="s">
        <v>19</v>
      </c>
      <c r="I3296" s="1" t="s">
        <v>630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2828</v>
      </c>
      <c r="D3297" s="1"/>
      <c r="E3297" s="1"/>
      <c r="F3297" s="1" t="s">
        <v>2829</v>
      </c>
      <c r="G3297" s="1">
        <v>14</v>
      </c>
      <c r="H3297" s="1" t="s">
        <v>19</v>
      </c>
      <c r="I3297" s="1" t="s">
        <v>2815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2796</v>
      </c>
      <c r="D3298" s="1"/>
      <c r="E3298" s="1"/>
      <c r="F3298" s="1" t="s">
        <v>2830</v>
      </c>
      <c r="G3298" s="1">
        <v>4</v>
      </c>
      <c r="H3298" s="1" t="s">
        <v>19</v>
      </c>
      <c r="I3298" s="1" t="s">
        <v>630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2799</v>
      </c>
      <c r="D3299" s="1"/>
      <c r="E3299" s="1"/>
      <c r="F3299" s="1" t="s">
        <v>2831</v>
      </c>
      <c r="G3299" s="1">
        <v>21</v>
      </c>
      <c r="H3299" s="1" t="s">
        <v>19</v>
      </c>
      <c r="I3299" s="1" t="s">
        <v>630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2792</v>
      </c>
      <c r="D3300" s="1"/>
      <c r="E3300" s="1"/>
      <c r="F3300" s="1" t="s">
        <v>2832</v>
      </c>
      <c r="G3300" s="1">
        <v>80</v>
      </c>
      <c r="H3300" s="1" t="s">
        <v>19</v>
      </c>
      <c r="I3300" s="1" t="s">
        <v>630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2833</v>
      </c>
      <c r="D3301" s="1"/>
      <c r="E3301" s="1"/>
      <c r="F3301" s="1" t="s">
        <v>2834</v>
      </c>
      <c r="G3301" s="1">
        <v>8</v>
      </c>
      <c r="H3301" s="1" t="s">
        <v>19</v>
      </c>
      <c r="I3301" s="1" t="s">
        <v>2815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961</v>
      </c>
      <c r="D3302" s="1"/>
      <c r="E3302" s="1"/>
      <c r="F3302" s="1" t="s">
        <v>2835</v>
      </c>
      <c r="G3302" s="1">
        <v>2</v>
      </c>
      <c r="H3302" s="1" t="s">
        <v>19</v>
      </c>
      <c r="I3302" s="1" t="s">
        <v>2836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1287</v>
      </c>
      <c r="D3303" s="1"/>
      <c r="E3303" s="1"/>
      <c r="F3303" s="1" t="s">
        <v>2837</v>
      </c>
      <c r="G3303" s="1">
        <v>4</v>
      </c>
      <c r="H3303" s="1" t="s">
        <v>19</v>
      </c>
      <c r="I3303" s="1" t="s">
        <v>630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2838</v>
      </c>
      <c r="D3304" s="1"/>
      <c r="E3304" s="1"/>
      <c r="F3304" s="1" t="s">
        <v>2839</v>
      </c>
      <c r="G3304" s="1">
        <v>4</v>
      </c>
      <c r="H3304" s="1" t="s">
        <v>19</v>
      </c>
      <c r="I3304" s="1" t="s">
        <v>586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2840</v>
      </c>
      <c r="D3305" s="1"/>
      <c r="E3305" s="1"/>
      <c r="F3305" s="1" t="s">
        <v>2841</v>
      </c>
      <c r="G3305" s="1">
        <v>4</v>
      </c>
      <c r="H3305" s="1" t="s">
        <v>19</v>
      </c>
      <c r="I3305" s="1" t="s">
        <v>2755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2842</v>
      </c>
      <c r="D3306" s="1"/>
      <c r="E3306" s="1"/>
      <c r="F3306" s="1" t="s">
        <v>2843</v>
      </c>
      <c r="G3306" s="1">
        <v>24</v>
      </c>
      <c r="H3306" s="1" t="s">
        <v>19</v>
      </c>
      <c r="I3306" s="1" t="s">
        <v>590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2844</v>
      </c>
      <c r="D3307" s="1"/>
      <c r="E3307" s="1"/>
      <c r="F3307" s="1" t="s">
        <v>2845</v>
      </c>
      <c r="G3307" s="1">
        <v>28</v>
      </c>
      <c r="H3307" s="1" t="s">
        <v>19</v>
      </c>
      <c r="I3307" s="1" t="s">
        <v>2846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2847</v>
      </c>
      <c r="D3308" s="1"/>
      <c r="E3308" s="1"/>
      <c r="F3308" s="1" t="s">
        <v>2848</v>
      </c>
      <c r="G3308" s="1">
        <v>8</v>
      </c>
      <c r="H3308" s="1" t="s">
        <v>19</v>
      </c>
      <c r="I3308" s="1" t="s">
        <v>635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2849</v>
      </c>
      <c r="D3309" s="1"/>
      <c r="E3309" s="1"/>
      <c r="F3309" s="1" t="s">
        <v>2850</v>
      </c>
      <c r="G3309" s="1">
        <v>2</v>
      </c>
      <c r="H3309" s="1" t="s">
        <v>19</v>
      </c>
      <c r="I3309" s="1" t="s">
        <v>586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1997</v>
      </c>
      <c r="D3310" s="1"/>
      <c r="E3310" s="1"/>
      <c r="F3310" s="1" t="s">
        <v>2851</v>
      </c>
      <c r="G3310" s="1">
        <v>9</v>
      </c>
      <c r="H3310" s="1" t="s">
        <v>19</v>
      </c>
      <c r="I3310" s="1" t="s">
        <v>2852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951</v>
      </c>
      <c r="D3311" s="1"/>
      <c r="E3311" s="1"/>
      <c r="F3311" s="1" t="s">
        <v>2853</v>
      </c>
      <c r="G3311" s="1">
        <v>9</v>
      </c>
      <c r="H3311" s="1" t="s">
        <v>19</v>
      </c>
      <c r="I3311" s="1" t="s">
        <v>2755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2854</v>
      </c>
      <c r="D3312" s="1"/>
      <c r="E3312" s="1"/>
      <c r="F3312" s="1" t="s">
        <v>2855</v>
      </c>
      <c r="G3312" s="1">
        <v>12</v>
      </c>
      <c r="H3312" s="1" t="s">
        <v>19</v>
      </c>
      <c r="I3312" s="1" t="s">
        <v>2856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2857</v>
      </c>
      <c r="D3313" s="1"/>
      <c r="E3313" s="1"/>
      <c r="F3313" s="1" t="s">
        <v>2858</v>
      </c>
      <c r="G3313" s="1">
        <v>44</v>
      </c>
      <c r="H3313" s="1" t="s">
        <v>19</v>
      </c>
      <c r="I3313" s="1" t="s">
        <v>2859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1287</v>
      </c>
      <c r="D3314" s="1"/>
      <c r="E3314" s="1"/>
      <c r="F3314" s="1" t="s">
        <v>2860</v>
      </c>
      <c r="G3314" s="1">
        <v>68</v>
      </c>
      <c r="H3314" s="1" t="s">
        <v>19</v>
      </c>
      <c r="I3314" s="1" t="s">
        <v>630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2861</v>
      </c>
      <c r="D3315" s="1"/>
      <c r="E3315" s="1"/>
      <c r="F3315" s="1" t="s">
        <v>2862</v>
      </c>
      <c r="G3315" s="1">
        <v>34</v>
      </c>
      <c r="H3315" s="1" t="s">
        <v>19</v>
      </c>
      <c r="I3315" s="1" t="s">
        <v>2863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2838</v>
      </c>
      <c r="D3316" s="1"/>
      <c r="E3316" s="1"/>
      <c r="F3316" s="1" t="s">
        <v>2864</v>
      </c>
      <c r="G3316" s="1">
        <v>46</v>
      </c>
      <c r="H3316" s="1" t="s">
        <v>19</v>
      </c>
      <c r="I3316" s="1" t="s">
        <v>586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2865</v>
      </c>
      <c r="D3317" s="1"/>
      <c r="E3317" s="1"/>
      <c r="F3317" s="1" t="s">
        <v>2866</v>
      </c>
      <c r="G3317" s="1">
        <v>49</v>
      </c>
      <c r="H3317" s="1" t="s">
        <v>19</v>
      </c>
      <c r="I3317" s="1" t="s">
        <v>586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1997</v>
      </c>
      <c r="D3318" s="1"/>
      <c r="E3318" s="1"/>
      <c r="F3318" s="1" t="s">
        <v>2867</v>
      </c>
      <c r="G3318" s="1">
        <v>9</v>
      </c>
      <c r="H3318" s="1" t="s">
        <v>19</v>
      </c>
      <c r="I3318" s="1" t="s">
        <v>2852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2868</v>
      </c>
      <c r="D3319" s="1"/>
      <c r="E3319" s="1"/>
      <c r="F3319" s="1" t="s">
        <v>2869</v>
      </c>
      <c r="G3319" s="1">
        <v>8</v>
      </c>
      <c r="H3319" s="1" t="s">
        <v>19</v>
      </c>
      <c r="I3319" s="1" t="s">
        <v>635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1287</v>
      </c>
      <c r="D3320" s="1"/>
      <c r="E3320" s="1"/>
      <c r="F3320" s="1" t="s">
        <v>2870</v>
      </c>
      <c r="G3320" s="1">
        <v>22</v>
      </c>
      <c r="H3320" s="1" t="s">
        <v>19</v>
      </c>
      <c r="I3320" s="1" t="s">
        <v>630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2840</v>
      </c>
      <c r="D3321" s="1"/>
      <c r="E3321" s="1"/>
      <c r="F3321" s="1" t="s">
        <v>2871</v>
      </c>
      <c r="G3321" s="1">
        <v>22</v>
      </c>
      <c r="H3321" s="1" t="s">
        <v>19</v>
      </c>
      <c r="I3321" s="1" t="s">
        <v>2755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951</v>
      </c>
      <c r="D3322" s="1"/>
      <c r="E3322" s="1"/>
      <c r="F3322" s="1" t="s">
        <v>2872</v>
      </c>
      <c r="G3322" s="1">
        <v>9</v>
      </c>
      <c r="H3322" s="1" t="s">
        <v>19</v>
      </c>
      <c r="I3322" s="1" t="s">
        <v>2755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2873</v>
      </c>
      <c r="D3323" s="1"/>
      <c r="E3323" s="1"/>
      <c r="F3323" s="1" t="s">
        <v>2874</v>
      </c>
      <c r="G3323" s="1">
        <v>4</v>
      </c>
      <c r="H3323" s="1" t="s">
        <v>19</v>
      </c>
      <c r="I3323" s="1" t="s">
        <v>2863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2875</v>
      </c>
      <c r="D3324" s="1"/>
      <c r="E3324" s="1"/>
      <c r="F3324" s="1" t="s">
        <v>2876</v>
      </c>
      <c r="G3324" s="1">
        <v>4</v>
      </c>
      <c r="H3324" s="1" t="s">
        <v>19</v>
      </c>
      <c r="I3324" s="1" t="s">
        <v>2755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2877</v>
      </c>
      <c r="D3325" s="1"/>
      <c r="E3325" s="1"/>
      <c r="F3325" s="1" t="s">
        <v>2878</v>
      </c>
      <c r="G3325" s="1">
        <v>4</v>
      </c>
      <c r="H3325" s="1" t="s">
        <v>19</v>
      </c>
      <c r="I3325" s="1" t="s">
        <v>586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2849</v>
      </c>
      <c r="D3326" s="1"/>
      <c r="E3326" s="1"/>
      <c r="F3326" s="1" t="s">
        <v>2879</v>
      </c>
      <c r="G3326" s="1">
        <v>8</v>
      </c>
      <c r="H3326" s="1" t="s">
        <v>19</v>
      </c>
      <c r="I3326" s="1" t="s">
        <v>586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960</v>
      </c>
      <c r="D3327" s="1"/>
      <c r="E3327" s="1"/>
      <c r="F3327" s="1" t="s">
        <v>2880</v>
      </c>
      <c r="G3327" s="1">
        <v>2</v>
      </c>
      <c r="H3327" s="1" t="s">
        <v>19</v>
      </c>
      <c r="I3327" s="1" t="s">
        <v>2856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2881</v>
      </c>
      <c r="D3328" s="1"/>
      <c r="E3328" s="1"/>
      <c r="F3328" s="1" t="s">
        <v>2882</v>
      </c>
      <c r="G3328" s="1">
        <v>49</v>
      </c>
      <c r="H3328" s="1" t="s">
        <v>19</v>
      </c>
      <c r="I3328" s="1" t="s">
        <v>590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2883</v>
      </c>
      <c r="D3329" s="1"/>
      <c r="E3329" s="1"/>
      <c r="F3329" s="1" t="s">
        <v>2884</v>
      </c>
      <c r="G3329" s="1">
        <v>80</v>
      </c>
      <c r="H3329" s="1" t="s">
        <v>19</v>
      </c>
      <c r="I3329" s="1" t="s">
        <v>635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2840</v>
      </c>
      <c r="D3330" s="1"/>
      <c r="E3330" s="1"/>
      <c r="F3330" s="1" t="s">
        <v>2885</v>
      </c>
      <c r="G3330" s="1">
        <v>24</v>
      </c>
      <c r="H3330" s="1" t="s">
        <v>19</v>
      </c>
      <c r="I3330" s="1" t="s">
        <v>2755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2861</v>
      </c>
      <c r="D3331" s="1"/>
      <c r="E3331" s="1"/>
      <c r="F3331" s="1" t="s">
        <v>2886</v>
      </c>
      <c r="G3331" s="1">
        <v>8</v>
      </c>
      <c r="H3331" s="1" t="s">
        <v>19</v>
      </c>
      <c r="I3331" s="1" t="s">
        <v>2863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2838</v>
      </c>
      <c r="D3332" s="1"/>
      <c r="E3332" s="1"/>
      <c r="F3332" s="1" t="s">
        <v>2887</v>
      </c>
      <c r="G3332" s="1">
        <v>8</v>
      </c>
      <c r="H3332" s="1" t="s">
        <v>19</v>
      </c>
      <c r="I3332" s="1" t="s">
        <v>586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2849</v>
      </c>
      <c r="D3333" s="1"/>
      <c r="E3333" s="1"/>
      <c r="F3333" s="1" t="s">
        <v>2888</v>
      </c>
      <c r="G3333" s="1">
        <v>2</v>
      </c>
      <c r="H3333" s="1" t="s">
        <v>19</v>
      </c>
      <c r="I3333" s="1" t="s">
        <v>586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2838</v>
      </c>
      <c r="D3334" s="1"/>
      <c r="E3334" s="1"/>
      <c r="F3334" s="1" t="s">
        <v>2889</v>
      </c>
      <c r="G3334" s="1">
        <v>8</v>
      </c>
      <c r="H3334" s="1" t="s">
        <v>19</v>
      </c>
      <c r="I3334" s="1" t="s">
        <v>586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2861</v>
      </c>
      <c r="D3335" s="1"/>
      <c r="E3335" s="1"/>
      <c r="F3335" s="1" t="s">
        <v>2890</v>
      </c>
      <c r="G3335" s="1">
        <v>8</v>
      </c>
      <c r="H3335" s="1" t="s">
        <v>19</v>
      </c>
      <c r="I3335" s="1" t="s">
        <v>2863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1287</v>
      </c>
      <c r="D3336" s="1"/>
      <c r="E3336" s="1"/>
      <c r="F3336" s="1" t="s">
        <v>2891</v>
      </c>
      <c r="G3336" s="1">
        <v>40</v>
      </c>
      <c r="H3336" s="1" t="s">
        <v>19</v>
      </c>
      <c r="I3336" s="1" t="s">
        <v>630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2868</v>
      </c>
      <c r="D3337" s="1"/>
      <c r="E3337" s="1"/>
      <c r="F3337" s="1" t="s">
        <v>2892</v>
      </c>
      <c r="G3337" s="1">
        <v>2</v>
      </c>
      <c r="H3337" s="1" t="s">
        <v>19</v>
      </c>
      <c r="I3337" s="1" t="s">
        <v>635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2840</v>
      </c>
      <c r="D3338" s="1"/>
      <c r="E3338" s="1"/>
      <c r="F3338" s="1" t="s">
        <v>2893</v>
      </c>
      <c r="G3338" s="1">
        <v>8</v>
      </c>
      <c r="H3338" s="1" t="s">
        <v>19</v>
      </c>
      <c r="I3338" s="1" t="s">
        <v>2755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2842</v>
      </c>
      <c r="D3339" s="1"/>
      <c r="E3339" s="1"/>
      <c r="F3339" s="1" t="s">
        <v>2894</v>
      </c>
      <c r="G3339" s="1">
        <v>24</v>
      </c>
      <c r="H3339" s="1" t="s">
        <v>19</v>
      </c>
      <c r="I3339" s="1" t="s">
        <v>590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2857</v>
      </c>
      <c r="D3340" s="1"/>
      <c r="E3340" s="1"/>
      <c r="F3340" s="1" t="s">
        <v>2895</v>
      </c>
      <c r="G3340" s="1">
        <v>44</v>
      </c>
      <c r="H3340" s="1" t="s">
        <v>19</v>
      </c>
      <c r="I3340" s="1" t="s">
        <v>2859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2844</v>
      </c>
      <c r="D3341" s="1"/>
      <c r="E3341" s="1"/>
      <c r="F3341" s="1" t="s">
        <v>2896</v>
      </c>
      <c r="G3341" s="1">
        <v>28</v>
      </c>
      <c r="H3341" s="1" t="s">
        <v>19</v>
      </c>
      <c r="I3341" s="1" t="s">
        <v>2846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184</v>
      </c>
      <c r="D3342" s="1"/>
      <c r="E3342" s="1"/>
      <c r="F3342" s="1" t="s">
        <v>2897</v>
      </c>
      <c r="G3342" s="1">
        <v>2</v>
      </c>
      <c r="H3342" s="1" t="s">
        <v>19</v>
      </c>
      <c r="I3342" s="1" t="s">
        <v>2836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2854</v>
      </c>
      <c r="D3343" s="1"/>
      <c r="E3343" s="1"/>
      <c r="F3343" s="1" t="s">
        <v>2898</v>
      </c>
      <c r="G3343" s="1">
        <v>12</v>
      </c>
      <c r="H3343" s="1" t="s">
        <v>19</v>
      </c>
      <c r="I3343" s="1" t="s">
        <v>2856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951</v>
      </c>
      <c r="D3344" s="1"/>
      <c r="E3344" s="1"/>
      <c r="F3344" s="1" t="s">
        <v>2899</v>
      </c>
      <c r="G3344" s="1">
        <v>9</v>
      </c>
      <c r="H3344" s="1" t="s">
        <v>19</v>
      </c>
      <c r="I3344" s="1" t="s">
        <v>2755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1997</v>
      </c>
      <c r="D3345" s="1"/>
      <c r="E3345" s="1"/>
      <c r="F3345" s="1" t="s">
        <v>2900</v>
      </c>
      <c r="G3345" s="1">
        <v>9</v>
      </c>
      <c r="H3345" s="1" t="s">
        <v>19</v>
      </c>
      <c r="I3345" s="1" t="s">
        <v>2852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1991</v>
      </c>
      <c r="D3346" s="1"/>
      <c r="E3346" s="1"/>
      <c r="F3346" s="1" t="s">
        <v>2901</v>
      </c>
      <c r="G3346" s="1">
        <v>9</v>
      </c>
      <c r="H3346" s="1" t="s">
        <v>19</v>
      </c>
      <c r="I3346" s="1" t="s">
        <v>586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2838</v>
      </c>
      <c r="D3347" s="1"/>
      <c r="E3347" s="1"/>
      <c r="F3347" s="1" t="s">
        <v>2902</v>
      </c>
      <c r="G3347" s="1">
        <v>4</v>
      </c>
      <c r="H3347" s="1" t="s">
        <v>19</v>
      </c>
      <c r="I3347" s="1" t="s">
        <v>586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1287</v>
      </c>
      <c r="D3348" s="1"/>
      <c r="E3348" s="1"/>
      <c r="F3348" s="1" t="s">
        <v>2903</v>
      </c>
      <c r="G3348" s="1">
        <v>4</v>
      </c>
      <c r="H3348" s="1" t="s">
        <v>19</v>
      </c>
      <c r="I3348" s="1" t="s">
        <v>630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2840</v>
      </c>
      <c r="D3349" s="1"/>
      <c r="E3349" s="1"/>
      <c r="F3349" s="1" t="s">
        <v>2904</v>
      </c>
      <c r="G3349" s="1">
        <v>16</v>
      </c>
      <c r="H3349" s="1" t="s">
        <v>19</v>
      </c>
      <c r="I3349" s="1" t="s">
        <v>2840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1287</v>
      </c>
      <c r="D3350" s="1"/>
      <c r="E3350" s="1"/>
      <c r="F3350" s="1" t="s">
        <v>2905</v>
      </c>
      <c r="G3350" s="1">
        <v>40</v>
      </c>
      <c r="H3350" s="1" t="s">
        <v>19</v>
      </c>
      <c r="I3350" s="1" t="s">
        <v>630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2840</v>
      </c>
      <c r="D3351" s="1"/>
      <c r="E3351" s="1"/>
      <c r="F3351" s="1" t="s">
        <v>2906</v>
      </c>
      <c r="G3351" s="1">
        <v>8</v>
      </c>
      <c r="H3351" s="1" t="s">
        <v>19</v>
      </c>
      <c r="I3351" s="1" t="s">
        <v>2755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2861</v>
      </c>
      <c r="D3352" s="1"/>
      <c r="E3352" s="1"/>
      <c r="F3352" s="1" t="s">
        <v>2907</v>
      </c>
      <c r="G3352" s="1">
        <v>18</v>
      </c>
      <c r="H3352" s="1" t="s">
        <v>19</v>
      </c>
      <c r="I3352" s="1" t="s">
        <v>2863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2838</v>
      </c>
      <c r="D3353" s="1"/>
      <c r="E3353" s="1"/>
      <c r="F3353" s="1" t="s">
        <v>2908</v>
      </c>
      <c r="G3353" s="1">
        <v>8</v>
      </c>
      <c r="H3353" s="1" t="s">
        <v>19</v>
      </c>
      <c r="I3353" s="1" t="s">
        <v>586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2838</v>
      </c>
      <c r="D3354" s="1"/>
      <c r="E3354" s="1"/>
      <c r="F3354" s="1" t="s">
        <v>2909</v>
      </c>
      <c r="G3354" s="1">
        <v>38</v>
      </c>
      <c r="H3354" s="1" t="s">
        <v>19</v>
      </c>
      <c r="I3354" s="1" t="s">
        <v>586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2840</v>
      </c>
      <c r="D3355" s="1"/>
      <c r="E3355" s="1"/>
      <c r="F3355" s="1" t="s">
        <v>2910</v>
      </c>
      <c r="G3355" s="1">
        <v>10</v>
      </c>
      <c r="H3355" s="1" t="s">
        <v>19</v>
      </c>
      <c r="I3355" s="1" t="s">
        <v>2755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2873</v>
      </c>
      <c r="D3356" s="1"/>
      <c r="E3356" s="1"/>
      <c r="F3356" s="1" t="s">
        <v>2911</v>
      </c>
      <c r="G3356" s="1">
        <v>4</v>
      </c>
      <c r="H3356" s="1" t="s">
        <v>19</v>
      </c>
      <c r="I3356" s="1" t="s">
        <v>2863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1991</v>
      </c>
      <c r="D3357" s="1"/>
      <c r="E3357" s="1"/>
      <c r="F3357" s="1" t="s">
        <v>2912</v>
      </c>
      <c r="G3357" s="1">
        <v>9</v>
      </c>
      <c r="H3357" s="1" t="s">
        <v>19</v>
      </c>
      <c r="I3357" s="1" t="s">
        <v>586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2881</v>
      </c>
      <c r="D3358" s="1"/>
      <c r="E3358" s="1"/>
      <c r="F3358" s="1" t="s">
        <v>2913</v>
      </c>
      <c r="G3358" s="1">
        <v>32</v>
      </c>
      <c r="H3358" s="1" t="s">
        <v>19</v>
      </c>
      <c r="I3358" s="1" t="s">
        <v>590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2877</v>
      </c>
      <c r="D3359" s="1"/>
      <c r="E3359" s="1"/>
      <c r="F3359" s="1" t="s">
        <v>2914</v>
      </c>
      <c r="G3359" s="1">
        <v>4</v>
      </c>
      <c r="H3359" s="1" t="s">
        <v>19</v>
      </c>
      <c r="I3359" s="1" t="s">
        <v>586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2865</v>
      </c>
      <c r="D3360" s="1"/>
      <c r="E3360" s="1"/>
      <c r="F3360" s="1" t="s">
        <v>2915</v>
      </c>
      <c r="G3360" s="1">
        <v>32</v>
      </c>
      <c r="H3360" s="1" t="s">
        <v>19</v>
      </c>
      <c r="I3360" s="1" t="s">
        <v>586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184</v>
      </c>
      <c r="D3361" s="1"/>
      <c r="E3361" s="1"/>
      <c r="F3361" s="1" t="s">
        <v>2916</v>
      </c>
      <c r="G3361" s="1">
        <v>2</v>
      </c>
      <c r="H3361" s="1" t="s">
        <v>19</v>
      </c>
      <c r="I3361" s="1" t="s">
        <v>2856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960</v>
      </c>
      <c r="D3362" s="1"/>
      <c r="E3362" s="1"/>
      <c r="F3362" s="1" t="s">
        <v>2917</v>
      </c>
      <c r="G3362" s="1">
        <v>2</v>
      </c>
      <c r="H3362" s="1" t="s">
        <v>19</v>
      </c>
      <c r="I3362" s="1" t="s">
        <v>2856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2868</v>
      </c>
      <c r="D3363" s="1"/>
      <c r="E3363" s="1"/>
      <c r="F3363" s="1" t="s">
        <v>2918</v>
      </c>
      <c r="G3363" s="1">
        <v>2</v>
      </c>
      <c r="H3363" s="1" t="s">
        <v>19</v>
      </c>
      <c r="I3363" s="1" t="s">
        <v>635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2919</v>
      </c>
      <c r="D3364" s="1"/>
      <c r="E3364" s="1"/>
      <c r="F3364" s="1" t="s">
        <v>2920</v>
      </c>
      <c r="G3364" s="1">
        <v>2</v>
      </c>
      <c r="H3364" s="1" t="s">
        <v>19</v>
      </c>
      <c r="I3364" s="1" t="s">
        <v>590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2919</v>
      </c>
      <c r="D3365" s="1"/>
      <c r="E3365" s="1"/>
      <c r="F3365" s="1" t="s">
        <v>2921</v>
      </c>
      <c r="G3365" s="1">
        <v>4</v>
      </c>
      <c r="H3365" s="1" t="s">
        <v>19</v>
      </c>
      <c r="I3365" s="1" t="s">
        <v>590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2868</v>
      </c>
      <c r="D3366" s="1"/>
      <c r="E3366" s="1"/>
      <c r="F3366" s="1" t="s">
        <v>2922</v>
      </c>
      <c r="G3366" s="1">
        <v>4</v>
      </c>
      <c r="H3366" s="1" t="s">
        <v>19</v>
      </c>
      <c r="I3366" s="1" t="s">
        <v>635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2849</v>
      </c>
      <c r="D3367" s="1"/>
      <c r="E3367" s="1"/>
      <c r="F3367" s="1" t="s">
        <v>2923</v>
      </c>
      <c r="G3367" s="1">
        <v>4</v>
      </c>
      <c r="H3367" s="1" t="s">
        <v>19</v>
      </c>
      <c r="I3367" s="1" t="s">
        <v>586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2849</v>
      </c>
      <c r="D3368" s="1"/>
      <c r="E3368" s="1"/>
      <c r="F3368" s="1" t="s">
        <v>2924</v>
      </c>
      <c r="G3368" s="1">
        <v>2</v>
      </c>
      <c r="H3368" s="1" t="s">
        <v>19</v>
      </c>
      <c r="I3368" s="1" t="s">
        <v>586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1997</v>
      </c>
      <c r="D3369" s="1"/>
      <c r="E3369" s="1"/>
      <c r="F3369" s="1" t="s">
        <v>2925</v>
      </c>
      <c r="G3369" s="1">
        <v>9</v>
      </c>
      <c r="H3369" s="1" t="s">
        <v>19</v>
      </c>
      <c r="I3369" s="1" t="s">
        <v>2852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2883</v>
      </c>
      <c r="D3370" s="1"/>
      <c r="E3370" s="1"/>
      <c r="F3370" s="1" t="s">
        <v>2926</v>
      </c>
      <c r="G3370" s="1">
        <v>48</v>
      </c>
      <c r="H3370" s="1" t="s">
        <v>19</v>
      </c>
      <c r="I3370" s="1" t="s">
        <v>635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1287</v>
      </c>
      <c r="D3371" s="1"/>
      <c r="E3371" s="1"/>
      <c r="F3371" s="1" t="s">
        <v>2927</v>
      </c>
      <c r="G3371" s="1">
        <v>28</v>
      </c>
      <c r="H3371" s="1" t="s">
        <v>19</v>
      </c>
      <c r="I3371" s="1" t="s">
        <v>630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1287</v>
      </c>
      <c r="D3372" s="1"/>
      <c r="E3372" s="1"/>
      <c r="F3372" s="1" t="s">
        <v>2928</v>
      </c>
      <c r="G3372" s="1">
        <v>10</v>
      </c>
      <c r="H3372" s="1" t="s">
        <v>19</v>
      </c>
      <c r="I3372" s="1" t="s">
        <v>630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2854</v>
      </c>
      <c r="D3373" s="1"/>
      <c r="E3373" s="1"/>
      <c r="F3373" s="1" t="s">
        <v>2929</v>
      </c>
      <c r="G3373" s="1">
        <v>70</v>
      </c>
      <c r="H3373" s="1" t="s">
        <v>19</v>
      </c>
      <c r="I3373" s="1" t="s">
        <v>2856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2861</v>
      </c>
      <c r="D3374" s="1"/>
      <c r="E3374" s="1"/>
      <c r="F3374" s="1" t="s">
        <v>2930</v>
      </c>
      <c r="G3374" s="1">
        <v>16</v>
      </c>
      <c r="H3374" s="1" t="s">
        <v>19</v>
      </c>
      <c r="I3374" s="1" t="s">
        <v>2863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951</v>
      </c>
      <c r="D3375" s="1"/>
      <c r="E3375" s="1"/>
      <c r="F3375" s="1" t="s">
        <v>2931</v>
      </c>
      <c r="G3375" s="1">
        <v>9</v>
      </c>
      <c r="H3375" s="1" t="s">
        <v>19</v>
      </c>
      <c r="I3375" s="1" t="s">
        <v>2755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2840</v>
      </c>
      <c r="D3376" s="1"/>
      <c r="E3376" s="1"/>
      <c r="F3376" s="1" t="s">
        <v>2932</v>
      </c>
      <c r="G3376" s="1">
        <v>4</v>
      </c>
      <c r="H3376" s="1" t="s">
        <v>19</v>
      </c>
      <c r="I3376" s="1" t="s">
        <v>2755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2875</v>
      </c>
      <c r="D3377" s="1"/>
      <c r="E3377" s="1"/>
      <c r="F3377" s="1" t="s">
        <v>2933</v>
      </c>
      <c r="G3377" s="1">
        <v>4</v>
      </c>
      <c r="H3377" s="1" t="s">
        <v>19</v>
      </c>
      <c r="I3377" s="1" t="s">
        <v>2755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2842</v>
      </c>
      <c r="D3378" s="1"/>
      <c r="E3378" s="1"/>
      <c r="F3378" s="1" t="s">
        <v>2934</v>
      </c>
      <c r="G3378" s="1">
        <v>24</v>
      </c>
      <c r="H3378" s="1" t="s">
        <v>19</v>
      </c>
      <c r="I3378" s="1" t="s">
        <v>590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2857</v>
      </c>
      <c r="D3379" s="1"/>
      <c r="E3379" s="1"/>
      <c r="F3379" s="1" t="s">
        <v>2935</v>
      </c>
      <c r="G3379" s="1">
        <v>44</v>
      </c>
      <c r="H3379" s="1" t="s">
        <v>19</v>
      </c>
      <c r="I3379" s="1" t="s">
        <v>2859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2844</v>
      </c>
      <c r="D3380" s="1"/>
      <c r="E3380" s="1"/>
      <c r="F3380" s="1" t="s">
        <v>2936</v>
      </c>
      <c r="G3380" s="1">
        <v>28</v>
      </c>
      <c r="H3380" s="1" t="s">
        <v>19</v>
      </c>
      <c r="I3380" s="1" t="s">
        <v>2846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184</v>
      </c>
      <c r="D3381" s="1"/>
      <c r="E3381" s="1"/>
      <c r="F3381" s="1" t="s">
        <v>2937</v>
      </c>
      <c r="G3381" s="1">
        <v>2</v>
      </c>
      <c r="H3381" s="1" t="s">
        <v>19</v>
      </c>
      <c r="I3381" s="1" t="s">
        <v>2836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2854</v>
      </c>
      <c r="D3382" s="1"/>
      <c r="E3382" s="1"/>
      <c r="F3382" s="1" t="s">
        <v>2938</v>
      </c>
      <c r="G3382" s="1">
        <v>12</v>
      </c>
      <c r="H3382" s="1" t="s">
        <v>19</v>
      </c>
      <c r="I3382" s="1" t="s">
        <v>2856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1997</v>
      </c>
      <c r="D3383" s="1"/>
      <c r="E3383" s="1"/>
      <c r="F3383" s="1" t="s">
        <v>2939</v>
      </c>
      <c r="G3383" s="1">
        <v>9</v>
      </c>
      <c r="H3383" s="1" t="s">
        <v>19</v>
      </c>
      <c r="I3383" s="1" t="s">
        <v>2852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951</v>
      </c>
      <c r="D3384" s="1"/>
      <c r="E3384" s="1"/>
      <c r="F3384" s="1" t="s">
        <v>2940</v>
      </c>
      <c r="G3384" s="1">
        <v>13</v>
      </c>
      <c r="H3384" s="1" t="s">
        <v>19</v>
      </c>
      <c r="I3384" s="1" t="s">
        <v>2755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1287</v>
      </c>
      <c r="D3385" s="1"/>
      <c r="E3385" s="1"/>
      <c r="F3385" s="1" t="s">
        <v>2941</v>
      </c>
      <c r="G3385" s="1">
        <v>68</v>
      </c>
      <c r="H3385" s="1" t="s">
        <v>19</v>
      </c>
      <c r="I3385" s="1" t="s">
        <v>630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2861</v>
      </c>
      <c r="D3386" s="1"/>
      <c r="E3386" s="1"/>
      <c r="F3386" s="1" t="s">
        <v>2942</v>
      </c>
      <c r="G3386" s="1">
        <v>34</v>
      </c>
      <c r="H3386" s="1" t="s">
        <v>19</v>
      </c>
      <c r="I3386" s="1" t="s">
        <v>2863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2838</v>
      </c>
      <c r="D3387" s="1"/>
      <c r="E3387" s="1"/>
      <c r="F3387" s="1" t="s">
        <v>2943</v>
      </c>
      <c r="G3387" s="1">
        <v>46</v>
      </c>
      <c r="H3387" s="1" t="s">
        <v>19</v>
      </c>
      <c r="I3387" s="1" t="s">
        <v>586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2840</v>
      </c>
      <c r="D3388" s="1"/>
      <c r="E3388" s="1"/>
      <c r="F3388" s="1" t="s">
        <v>2944</v>
      </c>
      <c r="G3388" s="1">
        <v>24</v>
      </c>
      <c r="H3388" s="1" t="s">
        <v>19</v>
      </c>
      <c r="I3388" s="1" t="s">
        <v>2755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960</v>
      </c>
      <c r="D3389" s="1"/>
      <c r="E3389" s="1"/>
      <c r="F3389" s="1" t="s">
        <v>2945</v>
      </c>
      <c r="G3389" s="1">
        <v>2</v>
      </c>
      <c r="H3389" s="1" t="s">
        <v>19</v>
      </c>
      <c r="I3389" s="1" t="s">
        <v>2856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2865</v>
      </c>
      <c r="D3390" s="1"/>
      <c r="E3390" s="1"/>
      <c r="F3390" s="1" t="s">
        <v>2946</v>
      </c>
      <c r="G3390" s="1">
        <v>49</v>
      </c>
      <c r="H3390" s="1" t="s">
        <v>19</v>
      </c>
      <c r="I3390" s="1" t="s">
        <v>586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951</v>
      </c>
      <c r="D3391" s="1"/>
      <c r="E3391" s="1"/>
      <c r="F3391" s="1" t="s">
        <v>2947</v>
      </c>
      <c r="G3391" s="1">
        <v>15</v>
      </c>
      <c r="H3391" s="1" t="s">
        <v>19</v>
      </c>
      <c r="I3391" s="1" t="s">
        <v>2755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1997</v>
      </c>
      <c r="D3392" s="1"/>
      <c r="E3392" s="1"/>
      <c r="F3392" s="1" t="s">
        <v>2948</v>
      </c>
      <c r="G3392" s="1">
        <v>9</v>
      </c>
      <c r="H3392" s="1" t="s">
        <v>19</v>
      </c>
      <c r="I3392" s="1" t="s">
        <v>2852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1991</v>
      </c>
      <c r="D3393" s="1"/>
      <c r="E3393" s="1"/>
      <c r="F3393" s="1" t="s">
        <v>2949</v>
      </c>
      <c r="G3393" s="1">
        <v>21</v>
      </c>
      <c r="H3393" s="1" t="s">
        <v>19</v>
      </c>
      <c r="I3393" s="1" t="s">
        <v>586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184</v>
      </c>
      <c r="D3394" s="1"/>
      <c r="E3394" s="1"/>
      <c r="F3394" s="1" t="s">
        <v>2950</v>
      </c>
      <c r="G3394" s="1">
        <v>2</v>
      </c>
      <c r="H3394" s="1" t="s">
        <v>19</v>
      </c>
      <c r="I3394" s="1" t="s">
        <v>2856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2881</v>
      </c>
      <c r="D3395" s="1"/>
      <c r="E3395" s="1"/>
      <c r="F3395" s="1" t="s">
        <v>2951</v>
      </c>
      <c r="G3395" s="1">
        <v>49</v>
      </c>
      <c r="H3395" s="1" t="s">
        <v>19</v>
      </c>
      <c r="I3395" s="1" t="s">
        <v>590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1991</v>
      </c>
      <c r="D3396" s="1"/>
      <c r="E3396" s="1"/>
      <c r="F3396" s="1" t="s">
        <v>2952</v>
      </c>
      <c r="G3396" s="1">
        <v>13</v>
      </c>
      <c r="H3396" s="1" t="s">
        <v>19</v>
      </c>
      <c r="I3396" s="1" t="s">
        <v>586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2953</v>
      </c>
      <c r="D3397" s="1"/>
      <c r="E3397" s="1"/>
      <c r="F3397" s="1" t="s">
        <v>2954</v>
      </c>
      <c r="G3397" s="1">
        <v>22</v>
      </c>
      <c r="H3397" s="1" t="s">
        <v>19</v>
      </c>
      <c r="I3397" s="1" t="s">
        <v>630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2873</v>
      </c>
      <c r="D3398" s="1"/>
      <c r="E3398" s="1"/>
      <c r="F3398" s="1" t="s">
        <v>2955</v>
      </c>
      <c r="G3398" s="1">
        <v>4</v>
      </c>
      <c r="H3398" s="1" t="s">
        <v>19</v>
      </c>
      <c r="I3398" s="1" t="s">
        <v>2863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2868</v>
      </c>
      <c r="D3399" s="1"/>
      <c r="E3399" s="1"/>
      <c r="F3399" s="1" t="s">
        <v>2956</v>
      </c>
      <c r="G3399" s="1">
        <v>8</v>
      </c>
      <c r="H3399" s="1" t="s">
        <v>19</v>
      </c>
      <c r="I3399" s="1" t="s">
        <v>635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2875</v>
      </c>
      <c r="D3400" s="1"/>
      <c r="E3400" s="1"/>
      <c r="F3400" s="1" t="s">
        <v>2957</v>
      </c>
      <c r="G3400" s="1">
        <v>4</v>
      </c>
      <c r="H3400" s="1" t="s">
        <v>19</v>
      </c>
      <c r="I3400" s="1" t="s">
        <v>2755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2919</v>
      </c>
      <c r="D3401" s="1"/>
      <c r="E3401" s="1"/>
      <c r="F3401" s="1" t="s">
        <v>2958</v>
      </c>
      <c r="G3401" s="1">
        <v>8</v>
      </c>
      <c r="H3401" s="1" t="s">
        <v>19</v>
      </c>
      <c r="I3401" s="1" t="s">
        <v>590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2877</v>
      </c>
      <c r="D3402" s="1"/>
      <c r="E3402" s="1"/>
      <c r="F3402" s="1" t="s">
        <v>2959</v>
      </c>
      <c r="G3402" s="1">
        <v>4</v>
      </c>
      <c r="H3402" s="1" t="s">
        <v>19</v>
      </c>
      <c r="I3402" s="1" t="s">
        <v>586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2849</v>
      </c>
      <c r="D3403" s="1"/>
      <c r="E3403" s="1"/>
      <c r="F3403" s="1" t="s">
        <v>2960</v>
      </c>
      <c r="G3403" s="1">
        <v>8</v>
      </c>
      <c r="H3403" s="1" t="s">
        <v>19</v>
      </c>
      <c r="I3403" s="1" t="s">
        <v>586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2840</v>
      </c>
      <c r="D3404" s="1"/>
      <c r="E3404" s="1"/>
      <c r="F3404" s="1" t="s">
        <v>2961</v>
      </c>
      <c r="G3404" s="1">
        <v>22</v>
      </c>
      <c r="H3404" s="1" t="s">
        <v>19</v>
      </c>
      <c r="I3404" s="1" t="s">
        <v>2755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2883</v>
      </c>
      <c r="D3405" s="1"/>
      <c r="E3405" s="1"/>
      <c r="F3405" s="1" t="s">
        <v>2962</v>
      </c>
      <c r="G3405" s="1">
        <v>80</v>
      </c>
      <c r="H3405" s="1" t="s">
        <v>19</v>
      </c>
      <c r="I3405" s="1" t="s">
        <v>635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2833</v>
      </c>
      <c r="D3406" s="1"/>
      <c r="E3406" s="1"/>
      <c r="F3406" s="1" t="s">
        <v>2963</v>
      </c>
      <c r="G3406" s="1">
        <v>8</v>
      </c>
      <c r="H3406" s="1" t="s">
        <v>19</v>
      </c>
      <c r="I3406" s="1" t="s">
        <v>2815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157</v>
      </c>
      <c r="D3407" s="1"/>
      <c r="E3407" s="1" t="s">
        <v>2</v>
      </c>
      <c r="F3407" s="1" t="s">
        <v>638</v>
      </c>
      <c r="G3407" s="1">
        <v>2</v>
      </c>
      <c r="H3407" s="1" t="s">
        <v>19</v>
      </c>
      <c r="I3407" s="1" t="s">
        <v>586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142</v>
      </c>
      <c r="D3408" s="1"/>
      <c r="E3408" s="1" t="s">
        <v>1102</v>
      </c>
      <c r="F3408" s="1" t="s">
        <v>1819</v>
      </c>
      <c r="G3408" s="1">
        <v>1</v>
      </c>
      <c r="H3408" s="1" t="s">
        <v>19</v>
      </c>
      <c r="I3408" s="1" t="s">
        <v>586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587</v>
      </c>
      <c r="D3409" s="1"/>
      <c r="E3409" s="1" t="s">
        <v>2</v>
      </c>
      <c r="F3409" s="1" t="s">
        <v>588</v>
      </c>
      <c r="G3409" s="1">
        <v>2</v>
      </c>
      <c r="H3409" s="1" t="s">
        <v>19</v>
      </c>
      <c r="I3409" s="1" t="s">
        <v>586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142</v>
      </c>
      <c r="D3410" s="1"/>
      <c r="E3410" s="1" t="s">
        <v>1102</v>
      </c>
      <c r="F3410" s="1" t="s">
        <v>1820</v>
      </c>
      <c r="G3410" s="1">
        <v>1</v>
      </c>
      <c r="H3410" s="1" t="s">
        <v>19</v>
      </c>
      <c r="I3410" s="1" t="s">
        <v>590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157</v>
      </c>
      <c r="D3411" s="1"/>
      <c r="E3411" s="1" t="s">
        <v>2</v>
      </c>
      <c r="F3411" s="1" t="s">
        <v>638</v>
      </c>
      <c r="G3411" s="1">
        <v>2</v>
      </c>
      <c r="H3411" s="1" t="s">
        <v>19</v>
      </c>
      <c r="I3411" s="1" t="s">
        <v>590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634</v>
      </c>
      <c r="D3412" s="1"/>
      <c r="E3412" s="1" t="s">
        <v>44</v>
      </c>
      <c r="F3412" s="1" t="s">
        <v>1821</v>
      </c>
      <c r="G3412" s="1">
        <v>1</v>
      </c>
      <c r="H3412" s="1" t="s">
        <v>19</v>
      </c>
      <c r="I3412" s="1" t="s">
        <v>630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134</v>
      </c>
      <c r="D3413" s="1"/>
      <c r="E3413" s="1" t="s">
        <v>1102</v>
      </c>
      <c r="F3413" s="1" t="s">
        <v>1822</v>
      </c>
      <c r="G3413" s="1">
        <v>1</v>
      </c>
      <c r="H3413" s="1" t="s">
        <v>19</v>
      </c>
      <c r="I3413" s="1" t="s">
        <v>635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157</v>
      </c>
      <c r="D3414" s="1"/>
      <c r="E3414" s="1" t="s">
        <v>2</v>
      </c>
      <c r="F3414" s="1" t="s">
        <v>638</v>
      </c>
      <c r="G3414" s="1">
        <v>2</v>
      </c>
      <c r="H3414" s="1" t="s">
        <v>19</v>
      </c>
      <c r="I3414" s="1" t="s">
        <v>635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142</v>
      </c>
      <c r="D3415" s="1"/>
      <c r="E3415" s="1" t="s">
        <v>1102</v>
      </c>
      <c r="F3415" s="1" t="s">
        <v>1823</v>
      </c>
      <c r="G3415" s="1">
        <v>1</v>
      </c>
      <c r="H3415" s="1" t="s">
        <v>19</v>
      </c>
      <c r="I3415" s="1" t="s">
        <v>635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144</v>
      </c>
      <c r="D3416" s="1"/>
      <c r="E3416" s="1" t="s">
        <v>462</v>
      </c>
      <c r="F3416" s="1" t="s">
        <v>666</v>
      </c>
      <c r="G3416" s="1">
        <v>29</v>
      </c>
      <c r="H3416" s="1" t="s">
        <v>19</v>
      </c>
      <c r="I3416" s="1" t="s">
        <v>630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144</v>
      </c>
      <c r="D3417" s="1"/>
      <c r="E3417" s="1" t="s">
        <v>462</v>
      </c>
      <c r="F3417" s="1" t="s">
        <v>667</v>
      </c>
      <c r="G3417" s="1">
        <v>9</v>
      </c>
      <c r="H3417" s="1" t="s">
        <v>19</v>
      </c>
      <c r="I3417" s="1" t="s">
        <v>630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144</v>
      </c>
      <c r="D3418" s="1"/>
      <c r="E3418" s="1" t="s">
        <v>462</v>
      </c>
      <c r="F3418" s="1" t="s">
        <v>668</v>
      </c>
      <c r="G3418" s="1">
        <v>6</v>
      </c>
      <c r="H3418" s="1" t="s">
        <v>19</v>
      </c>
      <c r="I3418" s="1" t="s">
        <v>630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144</v>
      </c>
      <c r="D3419" s="1"/>
      <c r="E3419" s="1" t="s">
        <v>174</v>
      </c>
      <c r="F3419" s="1" t="s">
        <v>669</v>
      </c>
      <c r="G3419" s="1">
        <v>10</v>
      </c>
      <c r="H3419" s="1" t="s">
        <v>19</v>
      </c>
      <c r="I3419" s="1" t="s">
        <v>630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144</v>
      </c>
      <c r="D3420" s="1"/>
      <c r="E3420" s="1" t="s">
        <v>462</v>
      </c>
      <c r="F3420" s="1" t="s">
        <v>1824</v>
      </c>
      <c r="G3420" s="1">
        <v>58</v>
      </c>
      <c r="H3420" s="1" t="s">
        <v>19</v>
      </c>
      <c r="I3420" s="1" t="s">
        <v>630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144</v>
      </c>
      <c r="D3421" s="1"/>
      <c r="E3421" s="1" t="s">
        <v>462</v>
      </c>
      <c r="F3421" s="1" t="s">
        <v>1825</v>
      </c>
      <c r="G3421" s="1">
        <v>18</v>
      </c>
      <c r="H3421" s="1" t="s">
        <v>19</v>
      </c>
      <c r="I3421" s="1" t="s">
        <v>630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144</v>
      </c>
      <c r="D3422" s="1"/>
      <c r="E3422" s="1" t="s">
        <v>462</v>
      </c>
      <c r="F3422" s="1" t="s">
        <v>1826</v>
      </c>
      <c r="G3422" s="1">
        <v>12</v>
      </c>
      <c r="H3422" s="1" t="s">
        <v>19</v>
      </c>
      <c r="I3422" s="1" t="s">
        <v>630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144</v>
      </c>
      <c r="D3423" s="1"/>
      <c r="E3423" s="1" t="s">
        <v>174</v>
      </c>
      <c r="F3423" s="1" t="s">
        <v>1827</v>
      </c>
      <c r="G3423" s="1">
        <v>10</v>
      </c>
      <c r="H3423" s="1" t="s">
        <v>19</v>
      </c>
      <c r="I3423" s="1" t="s">
        <v>630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144</v>
      </c>
      <c r="D3424" s="1"/>
      <c r="E3424" s="1" t="s">
        <v>465</v>
      </c>
      <c r="F3424" s="1" t="s">
        <v>1828</v>
      </c>
      <c r="G3424" s="1">
        <v>12</v>
      </c>
      <c r="H3424" s="1" t="s">
        <v>19</v>
      </c>
      <c r="I3424" s="1" t="s">
        <v>630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701</v>
      </c>
      <c r="D3425" s="1"/>
      <c r="E3425" s="1" t="s">
        <v>2</v>
      </c>
      <c r="F3425" s="1" t="s">
        <v>702</v>
      </c>
      <c r="G3425" s="1">
        <v>1</v>
      </c>
      <c r="H3425" s="1" t="s">
        <v>19</v>
      </c>
      <c r="I3425" s="1" t="s">
        <v>630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701</v>
      </c>
      <c r="D3426" s="1"/>
      <c r="E3426" s="1" t="s">
        <v>44</v>
      </c>
      <c r="F3426" s="1" t="s">
        <v>703</v>
      </c>
      <c r="G3426" s="1">
        <v>1</v>
      </c>
      <c r="H3426" s="1" t="s">
        <v>19</v>
      </c>
      <c r="I3426" s="1" t="s">
        <v>630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704</v>
      </c>
      <c r="D3427" s="1"/>
      <c r="E3427" s="1" t="s">
        <v>2</v>
      </c>
      <c r="F3427" s="1" t="s">
        <v>705</v>
      </c>
      <c r="G3427" s="1">
        <v>1</v>
      </c>
      <c r="H3427" s="1" t="s">
        <v>19</v>
      </c>
      <c r="I3427" s="1" t="s">
        <v>630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704</v>
      </c>
      <c r="D3428" s="1"/>
      <c r="E3428" s="1" t="s">
        <v>44</v>
      </c>
      <c r="F3428" s="1" t="s">
        <v>706</v>
      </c>
      <c r="G3428" s="1">
        <v>1</v>
      </c>
      <c r="H3428" s="1" t="s">
        <v>19</v>
      </c>
      <c r="I3428" s="1" t="s">
        <v>630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707</v>
      </c>
      <c r="D3429" s="1"/>
      <c r="E3429" s="1" t="s">
        <v>2</v>
      </c>
      <c r="F3429" s="1" t="s">
        <v>708</v>
      </c>
      <c r="G3429" s="1">
        <v>1</v>
      </c>
      <c r="H3429" s="1" t="s">
        <v>19</v>
      </c>
      <c r="I3429" s="1" t="s">
        <v>630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707</v>
      </c>
      <c r="D3430" s="1"/>
      <c r="E3430" s="1" t="s">
        <v>1102</v>
      </c>
      <c r="F3430" s="1" t="s">
        <v>711</v>
      </c>
      <c r="G3430" s="1">
        <v>1</v>
      </c>
      <c r="H3430" s="1" t="s">
        <v>19</v>
      </c>
      <c r="I3430" s="1" t="s">
        <v>630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713</v>
      </c>
      <c r="D3431" s="1"/>
      <c r="E3431" s="1" t="s">
        <v>44</v>
      </c>
      <c r="F3431" s="1" t="s">
        <v>714</v>
      </c>
      <c r="G3431" s="1">
        <v>1</v>
      </c>
      <c r="H3431" s="1" t="s">
        <v>19</v>
      </c>
      <c r="I3431" s="1" t="s">
        <v>630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713</v>
      </c>
      <c r="D3432" s="1"/>
      <c r="E3432" s="1" t="s">
        <v>747</v>
      </c>
      <c r="F3432" s="1" t="s">
        <v>715</v>
      </c>
      <c r="G3432" s="1">
        <v>1</v>
      </c>
      <c r="H3432" s="1" t="s">
        <v>19</v>
      </c>
      <c r="I3432" s="1" t="s">
        <v>630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713</v>
      </c>
      <c r="D3433" s="1"/>
      <c r="E3433" s="1" t="s">
        <v>1102</v>
      </c>
      <c r="F3433" s="1" t="s">
        <v>716</v>
      </c>
      <c r="G3433" s="1">
        <v>1</v>
      </c>
      <c r="H3433" s="1" t="s">
        <v>19</v>
      </c>
      <c r="I3433" s="1" t="s">
        <v>630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717</v>
      </c>
      <c r="D3434" s="1"/>
      <c r="E3434" s="1" t="s">
        <v>2</v>
      </c>
      <c r="F3434" s="1" t="s">
        <v>718</v>
      </c>
      <c r="G3434" s="1">
        <v>1</v>
      </c>
      <c r="H3434" s="1" t="s">
        <v>19</v>
      </c>
      <c r="I3434" s="1" t="s">
        <v>630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717</v>
      </c>
      <c r="D3435" s="1"/>
      <c r="E3435" s="1" t="s">
        <v>44</v>
      </c>
      <c r="F3435" s="1" t="s">
        <v>719</v>
      </c>
      <c r="G3435" s="1">
        <v>1</v>
      </c>
      <c r="H3435" s="1" t="s">
        <v>19</v>
      </c>
      <c r="I3435" s="1" t="s">
        <v>630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886</v>
      </c>
      <c r="D3436" s="1"/>
      <c r="E3436" s="1" t="s">
        <v>2</v>
      </c>
      <c r="F3436" s="1" t="s">
        <v>1829</v>
      </c>
      <c r="G3436" s="1">
        <v>1</v>
      </c>
      <c r="H3436" s="1" t="s">
        <v>19</v>
      </c>
      <c r="I3436" s="1" t="s">
        <v>630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886</v>
      </c>
      <c r="D3437" s="1"/>
      <c r="E3437" s="1" t="s">
        <v>44</v>
      </c>
      <c r="F3437" s="1" t="s">
        <v>1830</v>
      </c>
      <c r="G3437" s="1">
        <v>1</v>
      </c>
      <c r="H3437" s="1" t="s">
        <v>19</v>
      </c>
      <c r="I3437" s="1" t="s">
        <v>630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886</v>
      </c>
      <c r="D3438" s="1"/>
      <c r="E3438" s="1" t="s">
        <v>747</v>
      </c>
      <c r="F3438" s="1" t="s">
        <v>1831</v>
      </c>
      <c r="G3438" s="1">
        <v>1</v>
      </c>
      <c r="H3438" s="1" t="s">
        <v>19</v>
      </c>
      <c r="I3438" s="1" t="s">
        <v>630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886</v>
      </c>
      <c r="D3439" s="1"/>
      <c r="E3439" s="1" t="s">
        <v>1102</v>
      </c>
      <c r="F3439" s="1" t="s">
        <v>1832</v>
      </c>
      <c r="G3439" s="1">
        <v>1</v>
      </c>
      <c r="H3439" s="1" t="s">
        <v>19</v>
      </c>
      <c r="I3439" s="1" t="s">
        <v>630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720</v>
      </c>
      <c r="D3440" s="1"/>
      <c r="E3440" s="1" t="s">
        <v>2</v>
      </c>
      <c r="F3440" s="1" t="s">
        <v>721</v>
      </c>
      <c r="G3440" s="1">
        <v>1</v>
      </c>
      <c r="H3440" s="1" t="s">
        <v>19</v>
      </c>
      <c r="I3440" s="1" t="s">
        <v>590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720</v>
      </c>
      <c r="D3441" s="1"/>
      <c r="E3441" s="1" t="s">
        <v>44</v>
      </c>
      <c r="F3441" s="1" t="s">
        <v>722</v>
      </c>
      <c r="G3441" s="1">
        <v>1</v>
      </c>
      <c r="H3441" s="1" t="s">
        <v>19</v>
      </c>
      <c r="I3441" s="1" t="s">
        <v>590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720</v>
      </c>
      <c r="D3442" s="1"/>
      <c r="E3442" s="1" t="s">
        <v>747</v>
      </c>
      <c r="F3442" s="1" t="s">
        <v>723</v>
      </c>
      <c r="G3442" s="1">
        <v>1</v>
      </c>
      <c r="H3442" s="1" t="s">
        <v>19</v>
      </c>
      <c r="I3442" s="1" t="s">
        <v>590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724</v>
      </c>
      <c r="D3443" s="1"/>
      <c r="E3443" s="1" t="s">
        <v>2</v>
      </c>
      <c r="F3443" s="1" t="s">
        <v>725</v>
      </c>
      <c r="G3443" s="1">
        <v>1</v>
      </c>
      <c r="H3443" s="1" t="s">
        <v>19</v>
      </c>
      <c r="I3443" s="1" t="s">
        <v>586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724</v>
      </c>
      <c r="D3444" s="1"/>
      <c r="E3444" s="1" t="s">
        <v>44</v>
      </c>
      <c r="F3444" s="1" t="s">
        <v>726</v>
      </c>
      <c r="G3444" s="1">
        <v>1</v>
      </c>
      <c r="H3444" s="1" t="s">
        <v>19</v>
      </c>
      <c r="I3444" s="1" t="s">
        <v>586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724</v>
      </c>
      <c r="D3445" s="1"/>
      <c r="E3445" s="1" t="s">
        <v>747</v>
      </c>
      <c r="F3445" s="1" t="s">
        <v>727</v>
      </c>
      <c r="G3445" s="1">
        <v>1</v>
      </c>
      <c r="H3445" s="1" t="s">
        <v>19</v>
      </c>
      <c r="I3445" s="1" t="s">
        <v>586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728</v>
      </c>
      <c r="D3446" s="1"/>
      <c r="E3446" s="1" t="s">
        <v>2</v>
      </c>
      <c r="F3446" s="1" t="s">
        <v>729</v>
      </c>
      <c r="G3446" s="1">
        <v>1</v>
      </c>
      <c r="H3446" s="1" t="s">
        <v>19</v>
      </c>
      <c r="I3446" s="1" t="s">
        <v>635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728</v>
      </c>
      <c r="D3447" s="1"/>
      <c r="E3447" s="1" t="s">
        <v>44</v>
      </c>
      <c r="F3447" s="1" t="s">
        <v>730</v>
      </c>
      <c r="G3447" s="1">
        <v>1</v>
      </c>
      <c r="H3447" s="1" t="s">
        <v>19</v>
      </c>
      <c r="I3447" s="1" t="s">
        <v>635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728</v>
      </c>
      <c r="D3448" s="1"/>
      <c r="E3448" s="1" t="s">
        <v>747</v>
      </c>
      <c r="F3448" s="1" t="s">
        <v>731</v>
      </c>
      <c r="G3448" s="1">
        <v>1</v>
      </c>
      <c r="H3448" s="1" t="s">
        <v>19</v>
      </c>
      <c r="I3448" s="1" t="s">
        <v>635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740</v>
      </c>
      <c r="D3449" s="1"/>
      <c r="E3449" s="1" t="s">
        <v>2</v>
      </c>
      <c r="F3449" s="1" t="s">
        <v>1833</v>
      </c>
      <c r="G3449" s="1">
        <v>2</v>
      </c>
      <c r="H3449" s="1" t="s">
        <v>19</v>
      </c>
      <c r="I3449" s="1" t="s">
        <v>630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149</v>
      </c>
      <c r="D3450" s="1"/>
      <c r="E3450" s="1" t="s">
        <v>101</v>
      </c>
      <c r="F3450" s="1" t="s">
        <v>742</v>
      </c>
      <c r="G3450" s="1">
        <v>10</v>
      </c>
      <c r="H3450" s="1" t="s">
        <v>19</v>
      </c>
      <c r="I3450" s="1" t="s">
        <v>635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149</v>
      </c>
      <c r="D3451" s="1"/>
      <c r="E3451" s="1" t="s">
        <v>101</v>
      </c>
      <c r="F3451" s="1" t="s">
        <v>1834</v>
      </c>
      <c r="G3451" s="1">
        <v>20</v>
      </c>
      <c r="H3451" s="1" t="s">
        <v>19</v>
      </c>
      <c r="I3451" s="1" t="s">
        <v>635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149</v>
      </c>
      <c r="D3452" s="1"/>
      <c r="E3452" s="1" t="s">
        <v>44</v>
      </c>
      <c r="F3452" s="1" t="s">
        <v>1835</v>
      </c>
      <c r="G3452" s="1">
        <v>12</v>
      </c>
      <c r="H3452" s="1" t="s">
        <v>19</v>
      </c>
      <c r="I3452" s="1" t="s">
        <v>635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917</v>
      </c>
      <c r="D3453" s="1"/>
      <c r="E3453" s="1" t="s">
        <v>747</v>
      </c>
      <c r="F3453" s="1" t="s">
        <v>920</v>
      </c>
      <c r="G3453" s="1">
        <v>6</v>
      </c>
      <c r="H3453" s="1" t="s">
        <v>19</v>
      </c>
      <c r="I3453" s="1" t="s">
        <v>630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921</v>
      </c>
      <c r="D3454" s="1"/>
      <c r="E3454" s="1" t="s">
        <v>44</v>
      </c>
      <c r="F3454" s="1" t="s">
        <v>923</v>
      </c>
      <c r="G3454" s="1">
        <v>2</v>
      </c>
      <c r="H3454" s="1"/>
      <c r="I3454" s="1" t="s">
        <v>630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921</v>
      </c>
      <c r="D3455" s="1"/>
      <c r="E3455" s="1" t="s">
        <v>747</v>
      </c>
      <c r="F3455" s="1" t="s">
        <v>924</v>
      </c>
      <c r="G3455" s="1">
        <v>2</v>
      </c>
      <c r="H3455" s="1"/>
      <c r="I3455" s="1" t="s">
        <v>630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928</v>
      </c>
      <c r="D3456" s="1"/>
      <c r="E3456" s="1" t="s">
        <v>1836</v>
      </c>
      <c r="F3456" s="1" t="s">
        <v>1837</v>
      </c>
      <c r="G3456" s="1">
        <v>2</v>
      </c>
      <c r="H3456" s="1" t="s">
        <v>19</v>
      </c>
      <c r="I3456" s="1" t="s">
        <v>630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928</v>
      </c>
      <c r="D3457" s="1"/>
      <c r="E3457" s="1" t="s">
        <v>1838</v>
      </c>
      <c r="F3457" s="1" t="s">
        <v>1839</v>
      </c>
      <c r="G3457" s="1">
        <v>2</v>
      </c>
      <c r="H3457" s="1" t="s">
        <v>19</v>
      </c>
      <c r="I3457" s="1" t="s">
        <v>630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928</v>
      </c>
      <c r="D3458" s="1"/>
      <c r="E3458" s="1" t="s">
        <v>44</v>
      </c>
      <c r="F3458" s="1" t="s">
        <v>931</v>
      </c>
      <c r="G3458" s="1">
        <v>1</v>
      </c>
      <c r="H3458" s="1" t="s">
        <v>19</v>
      </c>
      <c r="I3458" s="1" t="s">
        <v>630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930</v>
      </c>
      <c r="D3459" s="1"/>
      <c r="E3459" s="1" t="s">
        <v>2</v>
      </c>
      <c r="F3459" s="1" t="s">
        <v>932</v>
      </c>
      <c r="G3459" s="1">
        <v>1</v>
      </c>
      <c r="H3459" s="1" t="s">
        <v>19</v>
      </c>
      <c r="I3459" s="1" t="s">
        <v>630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930</v>
      </c>
      <c r="D3460" s="1"/>
      <c r="E3460" s="1" t="s">
        <v>44</v>
      </c>
      <c r="F3460" s="1" t="s">
        <v>1840</v>
      </c>
      <c r="G3460" s="1">
        <v>1</v>
      </c>
      <c r="H3460" s="1" t="s">
        <v>19</v>
      </c>
      <c r="I3460" s="1" t="s">
        <v>630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930</v>
      </c>
      <c r="D3461" s="1"/>
      <c r="E3461" s="1" t="s">
        <v>747</v>
      </c>
      <c r="F3461" s="1" t="s">
        <v>933</v>
      </c>
      <c r="G3461" s="1">
        <v>2</v>
      </c>
      <c r="H3461" s="1"/>
      <c r="I3461" s="1" t="s">
        <v>630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939</v>
      </c>
      <c r="D3462" s="1"/>
      <c r="E3462" s="1" t="s">
        <v>2</v>
      </c>
      <c r="F3462" s="1" t="s">
        <v>940</v>
      </c>
      <c r="G3462" s="1">
        <v>7</v>
      </c>
      <c r="H3462" s="1" t="s">
        <v>19</v>
      </c>
      <c r="I3462" s="1" t="s">
        <v>630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939</v>
      </c>
      <c r="D3463" s="1"/>
      <c r="E3463" s="1" t="s">
        <v>44</v>
      </c>
      <c r="F3463" s="1" t="s">
        <v>941</v>
      </c>
      <c r="G3463" s="1">
        <v>7</v>
      </c>
      <c r="H3463" s="1" t="s">
        <v>19</v>
      </c>
      <c r="I3463" s="1" t="s">
        <v>630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939</v>
      </c>
      <c r="D3464" s="1"/>
      <c r="E3464" s="1" t="s">
        <v>101</v>
      </c>
      <c r="F3464" s="1" t="s">
        <v>944</v>
      </c>
      <c r="G3464" s="1">
        <v>1</v>
      </c>
      <c r="H3464" s="1"/>
      <c r="I3464" s="1" t="s">
        <v>630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951</v>
      </c>
      <c r="D3465" s="1"/>
      <c r="E3465" s="1" t="s">
        <v>2</v>
      </c>
      <c r="F3465" s="1" t="s">
        <v>952</v>
      </c>
      <c r="G3465" s="1">
        <v>1</v>
      </c>
      <c r="H3465" s="1" t="s">
        <v>19</v>
      </c>
      <c r="I3465" s="1" t="s">
        <v>635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951</v>
      </c>
      <c r="D3466" s="1"/>
      <c r="E3466" s="1" t="s">
        <v>44</v>
      </c>
      <c r="F3466" s="1" t="s">
        <v>953</v>
      </c>
      <c r="G3466" s="1">
        <v>1</v>
      </c>
      <c r="H3466" s="1"/>
      <c r="I3466" s="1" t="s">
        <v>635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951</v>
      </c>
      <c r="D3467" s="1"/>
      <c r="E3467" s="1" t="s">
        <v>747</v>
      </c>
      <c r="F3467" s="1" t="s">
        <v>954</v>
      </c>
      <c r="G3467" s="1">
        <v>2</v>
      </c>
      <c r="H3467" s="1"/>
      <c r="I3467" s="1" t="s">
        <v>635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955</v>
      </c>
      <c r="D3468" s="1"/>
      <c r="E3468" s="1" t="s">
        <v>747</v>
      </c>
      <c r="F3468" s="1" t="s">
        <v>958</v>
      </c>
      <c r="G3468" s="1">
        <v>4</v>
      </c>
      <c r="H3468" s="1"/>
      <c r="I3468" s="1" t="s">
        <v>635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961</v>
      </c>
      <c r="D3469" s="1"/>
      <c r="E3469" s="1" t="s">
        <v>2</v>
      </c>
      <c r="F3469" s="1" t="s">
        <v>962</v>
      </c>
      <c r="G3469" s="1">
        <v>10</v>
      </c>
      <c r="H3469" s="1" t="s">
        <v>19</v>
      </c>
      <c r="I3469" s="1" t="s">
        <v>586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961</v>
      </c>
      <c r="D3470" s="1"/>
      <c r="E3470" s="1" t="s">
        <v>2</v>
      </c>
      <c r="F3470" s="1" t="s">
        <v>962</v>
      </c>
      <c r="G3470" s="1">
        <v>8</v>
      </c>
      <c r="H3470" s="1" t="s">
        <v>19</v>
      </c>
      <c r="I3470" s="1" t="s">
        <v>736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963</v>
      </c>
      <c r="D3471" s="1"/>
      <c r="E3471" s="1" t="s">
        <v>2</v>
      </c>
      <c r="F3471" s="1" t="s">
        <v>964</v>
      </c>
      <c r="G3471" s="1">
        <v>1</v>
      </c>
      <c r="H3471" s="1" t="s">
        <v>19</v>
      </c>
      <c r="I3471" s="1" t="s">
        <v>586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963</v>
      </c>
      <c r="D3472" s="1"/>
      <c r="E3472" s="1" t="s">
        <v>44</v>
      </c>
      <c r="F3472" s="1" t="s">
        <v>965</v>
      </c>
      <c r="G3472" s="1">
        <v>1</v>
      </c>
      <c r="H3472" s="1" t="s">
        <v>19</v>
      </c>
      <c r="I3472" s="1" t="s">
        <v>586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963</v>
      </c>
      <c r="D3473" s="1"/>
      <c r="E3473" s="1" t="s">
        <v>2</v>
      </c>
      <c r="F3473" s="1" t="s">
        <v>964</v>
      </c>
      <c r="G3473" s="1">
        <v>1</v>
      </c>
      <c r="H3473" s="1" t="s">
        <v>19</v>
      </c>
      <c r="I3473" s="1" t="s">
        <v>590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963</v>
      </c>
      <c r="D3474" s="1"/>
      <c r="E3474" s="1" t="s">
        <v>44</v>
      </c>
      <c r="F3474" s="1" t="s">
        <v>965</v>
      </c>
      <c r="G3474" s="1">
        <v>1</v>
      </c>
      <c r="H3474" s="1" t="s">
        <v>19</v>
      </c>
      <c r="I3474" s="1" t="s">
        <v>590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963</v>
      </c>
      <c r="D3475" s="1"/>
      <c r="E3475" s="1" t="s">
        <v>747</v>
      </c>
      <c r="F3475" s="1" t="s">
        <v>966</v>
      </c>
      <c r="G3475" s="1">
        <v>1</v>
      </c>
      <c r="H3475" s="1" t="s">
        <v>19</v>
      </c>
      <c r="I3475" s="1" t="s">
        <v>590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963</v>
      </c>
      <c r="D3476" s="1"/>
      <c r="E3476" s="1" t="s">
        <v>1102</v>
      </c>
      <c r="F3476" s="1" t="s">
        <v>967</v>
      </c>
      <c r="G3476" s="1">
        <v>1</v>
      </c>
      <c r="H3476" s="1" t="s">
        <v>19</v>
      </c>
      <c r="I3476" s="1" t="s">
        <v>590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963</v>
      </c>
      <c r="D3477" s="1"/>
      <c r="E3477" s="1" t="s">
        <v>462</v>
      </c>
      <c r="F3477" s="1" t="s">
        <v>970</v>
      </c>
      <c r="G3477" s="1">
        <v>1</v>
      </c>
      <c r="H3477" s="1" t="s">
        <v>19</v>
      </c>
      <c r="I3477" s="1" t="s">
        <v>590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963</v>
      </c>
      <c r="D3478" s="1"/>
      <c r="E3478" s="1" t="s">
        <v>1110</v>
      </c>
      <c r="F3478" s="1" t="s">
        <v>974</v>
      </c>
      <c r="G3478" s="1">
        <v>1</v>
      </c>
      <c r="H3478" s="1" t="s">
        <v>19</v>
      </c>
      <c r="I3478" s="1" t="s">
        <v>586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963</v>
      </c>
      <c r="D3479" s="1"/>
      <c r="E3479" s="1" t="s">
        <v>1111</v>
      </c>
      <c r="F3479" s="1" t="s">
        <v>975</v>
      </c>
      <c r="G3479" s="1">
        <v>1</v>
      </c>
      <c r="H3479" s="1" t="s">
        <v>19</v>
      </c>
      <c r="I3479" s="1" t="s">
        <v>586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976</v>
      </c>
      <c r="D3480" s="1"/>
      <c r="E3480" s="1" t="s">
        <v>2</v>
      </c>
      <c r="F3480" s="1" t="s">
        <v>977</v>
      </c>
      <c r="G3480" s="1">
        <v>1</v>
      </c>
      <c r="H3480" s="1" t="s">
        <v>19</v>
      </c>
      <c r="I3480" s="1" t="s">
        <v>590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978</v>
      </c>
      <c r="D3481" s="1"/>
      <c r="E3481" s="1" t="s">
        <v>44</v>
      </c>
      <c r="F3481" s="1" t="s">
        <v>980</v>
      </c>
      <c r="G3481" s="1">
        <v>4</v>
      </c>
      <c r="H3481" s="1"/>
      <c r="I3481" s="1" t="s">
        <v>590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978</v>
      </c>
      <c r="D3482" s="1"/>
      <c r="E3482" s="1" t="s">
        <v>747</v>
      </c>
      <c r="F3482" s="1" t="s">
        <v>981</v>
      </c>
      <c r="G3482" s="1">
        <v>4</v>
      </c>
      <c r="H3482" s="1" t="s">
        <v>19</v>
      </c>
      <c r="I3482" s="1" t="s">
        <v>590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1818</v>
      </c>
      <c r="D3483" s="1"/>
      <c r="E3483" s="1" t="s">
        <v>101</v>
      </c>
      <c r="F3483" s="1" t="s">
        <v>1021</v>
      </c>
      <c r="G3483" s="1">
        <v>1</v>
      </c>
      <c r="H3483" s="1"/>
      <c r="I3483" s="1" t="s">
        <v>635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1037</v>
      </c>
      <c r="D3484" s="1"/>
      <c r="E3484" s="1" t="s">
        <v>747</v>
      </c>
      <c r="F3484" s="1" t="s">
        <v>1040</v>
      </c>
      <c r="G3484" s="1">
        <v>2</v>
      </c>
      <c r="H3484" s="1"/>
      <c r="I3484" s="1" t="s">
        <v>586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587</v>
      </c>
      <c r="D3485" s="1"/>
      <c r="E3485" s="1" t="s">
        <v>2</v>
      </c>
      <c r="F3485" s="1" t="s">
        <v>1872</v>
      </c>
      <c r="G3485" s="1">
        <v>2</v>
      </c>
      <c r="H3485" s="1" t="s">
        <v>19</v>
      </c>
      <c r="I3485" s="1" t="s">
        <v>590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587</v>
      </c>
      <c r="D3486" s="1"/>
      <c r="E3486" s="1" t="s">
        <v>2</v>
      </c>
      <c r="F3486" s="1" t="s">
        <v>1872</v>
      </c>
      <c r="G3486" s="1">
        <v>2</v>
      </c>
      <c r="H3486" s="1" t="s">
        <v>19</v>
      </c>
      <c r="I3486" s="1" t="s">
        <v>635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917</v>
      </c>
      <c r="D3487" s="1"/>
      <c r="E3487" s="1" t="s">
        <v>2</v>
      </c>
      <c r="F3487" s="1" t="s">
        <v>918</v>
      </c>
      <c r="G3487" s="1">
        <v>1</v>
      </c>
      <c r="H3487" s="1" t="s">
        <v>19</v>
      </c>
      <c r="I3487" s="1" t="s">
        <v>630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917</v>
      </c>
      <c r="D3488" s="1"/>
      <c r="E3488" s="1" t="s">
        <v>44</v>
      </c>
      <c r="F3488" s="1" t="s">
        <v>919</v>
      </c>
      <c r="G3488" s="1">
        <v>1</v>
      </c>
      <c r="H3488" s="1" t="s">
        <v>19</v>
      </c>
      <c r="I3488" s="1" t="s">
        <v>630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930</v>
      </c>
      <c r="D3489" s="1"/>
      <c r="E3489" s="1" t="s">
        <v>2</v>
      </c>
      <c r="F3489" s="1" t="s">
        <v>932</v>
      </c>
      <c r="G3489" s="1">
        <v>1</v>
      </c>
      <c r="H3489" s="1" t="s">
        <v>19</v>
      </c>
      <c r="I3489" s="1" t="s">
        <v>630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930</v>
      </c>
      <c r="D3490" s="1"/>
      <c r="E3490" s="1" t="s">
        <v>1873</v>
      </c>
      <c r="F3490" s="1" t="s">
        <v>1874</v>
      </c>
      <c r="G3490" s="1">
        <v>1</v>
      </c>
      <c r="H3490" s="1" t="s">
        <v>19</v>
      </c>
      <c r="I3490" s="1" t="s">
        <v>630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168</v>
      </c>
      <c r="D3491" s="1"/>
      <c r="E3491" s="1" t="s">
        <v>2</v>
      </c>
      <c r="F3491" s="1" t="s">
        <v>947</v>
      </c>
      <c r="G3491" s="1">
        <v>2</v>
      </c>
      <c r="H3491" s="1"/>
      <c r="I3491" s="1" t="s">
        <v>630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168</v>
      </c>
      <c r="D3492" s="1"/>
      <c r="E3492" s="1" t="s">
        <v>44</v>
      </c>
      <c r="F3492" s="1" t="s">
        <v>948</v>
      </c>
      <c r="G3492" s="1">
        <v>3</v>
      </c>
      <c r="H3492" s="1"/>
      <c r="I3492" s="1" t="s">
        <v>630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186</v>
      </c>
      <c r="D3493" s="1"/>
      <c r="E3493" s="1" t="s">
        <v>1873</v>
      </c>
      <c r="F3493" s="1" t="s">
        <v>1011</v>
      </c>
      <c r="G3493" s="1">
        <v>17</v>
      </c>
      <c r="H3493" s="1" t="s">
        <v>19</v>
      </c>
      <c r="I3493" s="1" t="s">
        <v>630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186</v>
      </c>
      <c r="D3494" s="1"/>
      <c r="E3494" s="1" t="s">
        <v>1875</v>
      </c>
      <c r="F3494" s="1" t="s">
        <v>1011</v>
      </c>
      <c r="G3494" s="1">
        <v>1</v>
      </c>
      <c r="H3494" s="1" t="s">
        <v>19</v>
      </c>
      <c r="I3494" s="1" t="s">
        <v>630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143</v>
      </c>
      <c r="D3495" s="1"/>
      <c r="E3495" s="1" t="s">
        <v>1102</v>
      </c>
      <c r="F3495" s="1" t="s">
        <v>1966</v>
      </c>
      <c r="G3495" s="1">
        <v>1</v>
      </c>
      <c r="H3495" s="1" t="s">
        <v>19</v>
      </c>
      <c r="I3495" s="1" t="s">
        <v>586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143</v>
      </c>
      <c r="D3496" s="1"/>
      <c r="E3496" s="1" t="s">
        <v>1102</v>
      </c>
      <c r="F3496" s="1" t="s">
        <v>1966</v>
      </c>
      <c r="G3496" s="1">
        <v>1</v>
      </c>
      <c r="H3496" s="1" t="s">
        <v>19</v>
      </c>
      <c r="I3496" s="1" t="s">
        <v>590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631</v>
      </c>
      <c r="D3497" s="1"/>
      <c r="E3497" s="1" t="s">
        <v>174</v>
      </c>
      <c r="F3497" s="1" t="s">
        <v>632</v>
      </c>
      <c r="G3497" s="1">
        <v>2</v>
      </c>
      <c r="H3497" s="1" t="s">
        <v>19</v>
      </c>
      <c r="I3497" s="1" t="s">
        <v>630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143</v>
      </c>
      <c r="D3498" s="1"/>
      <c r="E3498" s="1" t="s">
        <v>44</v>
      </c>
      <c r="F3498" s="1" t="s">
        <v>633</v>
      </c>
      <c r="G3498" s="1">
        <v>1</v>
      </c>
      <c r="H3498" s="1" t="s">
        <v>19</v>
      </c>
      <c r="I3498" s="1" t="s">
        <v>630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143</v>
      </c>
      <c r="D3499" s="1"/>
      <c r="E3499" s="1" t="s">
        <v>2</v>
      </c>
      <c r="F3499" s="1" t="s">
        <v>636</v>
      </c>
      <c r="G3499" s="1">
        <v>1</v>
      </c>
      <c r="H3499" s="1" t="s">
        <v>19</v>
      </c>
      <c r="I3499" s="1" t="s">
        <v>635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707</v>
      </c>
      <c r="D3500" s="1"/>
      <c r="E3500" s="1" t="s">
        <v>1967</v>
      </c>
      <c r="F3500" s="1" t="s">
        <v>1968</v>
      </c>
      <c r="G3500" s="1">
        <v>10</v>
      </c>
      <c r="H3500" s="1" t="s">
        <v>19</v>
      </c>
      <c r="I3500" s="1" t="s">
        <v>630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713</v>
      </c>
      <c r="D3501" s="1"/>
      <c r="E3501" s="1" t="s">
        <v>1969</v>
      </c>
      <c r="F3501" s="1" t="s">
        <v>1970</v>
      </c>
      <c r="G3501" s="1">
        <v>6</v>
      </c>
      <c r="H3501" s="1" t="s">
        <v>19</v>
      </c>
      <c r="I3501" s="1" t="s">
        <v>630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148</v>
      </c>
      <c r="D3502" s="1"/>
      <c r="E3502" s="1"/>
      <c r="F3502" s="1" t="s">
        <v>1971</v>
      </c>
      <c r="G3502" s="1">
        <v>16</v>
      </c>
      <c r="H3502" s="1" t="s">
        <v>19</v>
      </c>
      <c r="I3502" s="1" t="s">
        <v>630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937</v>
      </c>
      <c r="D3503" s="1"/>
      <c r="E3503" s="1" t="s">
        <v>1972</v>
      </c>
      <c r="F3503" s="1" t="s">
        <v>1973</v>
      </c>
      <c r="G3503" s="1">
        <v>8</v>
      </c>
      <c r="H3503" s="1" t="s">
        <v>19</v>
      </c>
      <c r="I3503" s="1" t="s">
        <v>630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732</v>
      </c>
      <c r="D3504" s="1"/>
      <c r="E3504" s="1" t="s">
        <v>2</v>
      </c>
      <c r="F3504" s="1" t="s">
        <v>733</v>
      </c>
      <c r="G3504" s="1">
        <v>1</v>
      </c>
      <c r="H3504" s="1" t="s">
        <v>19</v>
      </c>
      <c r="I3504" s="1" t="s">
        <v>590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934</v>
      </c>
      <c r="D3505" s="1"/>
      <c r="E3505" s="1" t="s">
        <v>2</v>
      </c>
      <c r="F3505" s="1" t="s">
        <v>935</v>
      </c>
      <c r="G3505" s="1">
        <v>1</v>
      </c>
      <c r="H3505" s="1" t="s">
        <v>19</v>
      </c>
      <c r="I3505" s="1" t="s">
        <v>630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934</v>
      </c>
      <c r="D3506" s="1"/>
      <c r="E3506" s="1" t="s">
        <v>44</v>
      </c>
      <c r="F3506" s="1" t="s">
        <v>936</v>
      </c>
      <c r="G3506" s="1">
        <v>1</v>
      </c>
      <c r="H3506" s="1" t="s">
        <v>19</v>
      </c>
      <c r="I3506" s="1" t="s">
        <v>630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963</v>
      </c>
      <c r="D3507" s="1"/>
      <c r="E3507" s="1" t="s">
        <v>465</v>
      </c>
      <c r="F3507" s="1" t="s">
        <v>971</v>
      </c>
      <c r="G3507" s="1">
        <v>4</v>
      </c>
      <c r="H3507" s="1" t="s">
        <v>19</v>
      </c>
      <c r="I3507" s="1" t="s">
        <v>590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963</v>
      </c>
      <c r="D3508" s="1"/>
      <c r="E3508" s="1" t="s">
        <v>465</v>
      </c>
      <c r="F3508" s="1" t="s">
        <v>971</v>
      </c>
      <c r="G3508" s="1">
        <v>6</v>
      </c>
      <c r="H3508" s="1" t="s">
        <v>19</v>
      </c>
      <c r="I3508" s="1" t="s">
        <v>586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963</v>
      </c>
      <c r="D3509" s="1"/>
      <c r="E3509" s="1" t="s">
        <v>1103</v>
      </c>
      <c r="F3509" s="1" t="s">
        <v>972</v>
      </c>
      <c r="G3509" s="1">
        <v>2</v>
      </c>
      <c r="H3509" s="1" t="s">
        <v>19</v>
      </c>
      <c r="I3509" s="1" t="s">
        <v>590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963</v>
      </c>
      <c r="D3510" s="1"/>
      <c r="E3510" s="1" t="s">
        <v>1103</v>
      </c>
      <c r="F3510" s="1" t="s">
        <v>972</v>
      </c>
      <c r="G3510" s="1">
        <v>2</v>
      </c>
      <c r="H3510" s="1" t="s">
        <v>19</v>
      </c>
      <c r="I3510" s="1" t="s">
        <v>586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963</v>
      </c>
      <c r="D3511" s="1"/>
      <c r="E3511" s="1" t="s">
        <v>1104</v>
      </c>
      <c r="F3511" s="1" t="s">
        <v>973</v>
      </c>
      <c r="G3511" s="1">
        <v>1</v>
      </c>
      <c r="H3511" s="1" t="s">
        <v>19</v>
      </c>
      <c r="I3511" s="1" t="s">
        <v>590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963</v>
      </c>
      <c r="D3512" s="1"/>
      <c r="E3512" s="1" t="s">
        <v>1104</v>
      </c>
      <c r="F3512" s="1" t="s">
        <v>973</v>
      </c>
      <c r="G3512" s="1">
        <v>1</v>
      </c>
      <c r="H3512" s="1" t="s">
        <v>19</v>
      </c>
      <c r="I3512" s="1" t="s">
        <v>586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978</v>
      </c>
      <c r="D3513" s="1"/>
      <c r="E3513" s="1" t="s">
        <v>2</v>
      </c>
      <c r="F3513" s="1" t="s">
        <v>979</v>
      </c>
      <c r="G3513" s="1">
        <v>1</v>
      </c>
      <c r="H3513" s="1"/>
      <c r="I3513" s="1" t="s">
        <v>590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978</v>
      </c>
      <c r="D3514" s="1"/>
      <c r="E3514" s="1" t="s">
        <v>1102</v>
      </c>
      <c r="F3514" s="1" t="s">
        <v>982</v>
      </c>
      <c r="G3514" s="1">
        <v>2</v>
      </c>
      <c r="H3514" s="1"/>
      <c r="I3514" s="1" t="s">
        <v>590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960</v>
      </c>
      <c r="D3515" s="1"/>
      <c r="E3515" s="1" t="s">
        <v>2</v>
      </c>
      <c r="F3515" s="1" t="s">
        <v>1014</v>
      </c>
      <c r="G3515" s="1">
        <v>1</v>
      </c>
      <c r="H3515" s="1"/>
      <c r="I3515" s="1" t="s">
        <v>630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960</v>
      </c>
      <c r="D3516" s="1"/>
      <c r="E3516" s="1" t="s">
        <v>1974</v>
      </c>
      <c r="F3516" s="1" t="s">
        <v>1975</v>
      </c>
      <c r="G3516" s="1">
        <v>2</v>
      </c>
      <c r="H3516" s="1"/>
      <c r="I3516" s="1" t="s">
        <v>630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1976</v>
      </c>
      <c r="D3517" s="1" t="s">
        <v>1977</v>
      </c>
      <c r="E3517" s="1"/>
      <c r="F3517" s="1" t="s">
        <v>1978</v>
      </c>
      <c r="G3517" s="1">
        <v>1</v>
      </c>
      <c r="H3517" s="1" t="s">
        <v>19</v>
      </c>
      <c r="I3517" s="1" t="s">
        <v>590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1976</v>
      </c>
      <c r="D3518" s="1" t="s">
        <v>1977</v>
      </c>
      <c r="E3518" s="1"/>
      <c r="F3518" s="1" t="s">
        <v>1979</v>
      </c>
      <c r="G3518" s="1">
        <v>1</v>
      </c>
      <c r="H3518" s="1" t="s">
        <v>19</v>
      </c>
      <c r="I3518" s="1" t="s">
        <v>590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1976</v>
      </c>
      <c r="D3519" s="1" t="s">
        <v>1977</v>
      </c>
      <c r="E3519" s="1"/>
      <c r="F3519" s="1" t="s">
        <v>1980</v>
      </c>
      <c r="G3519" s="1">
        <v>1</v>
      </c>
      <c r="H3519" s="1" t="s">
        <v>19</v>
      </c>
      <c r="I3519" s="1" t="s">
        <v>590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1976</v>
      </c>
      <c r="D3520" s="1" t="s">
        <v>1977</v>
      </c>
      <c r="E3520" s="1"/>
      <c r="F3520" s="1" t="s">
        <v>1980</v>
      </c>
      <c r="G3520" s="1">
        <v>1</v>
      </c>
      <c r="H3520" s="1" t="s">
        <v>19</v>
      </c>
      <c r="I3520" s="1" t="s">
        <v>586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1976</v>
      </c>
      <c r="D3521" s="1" t="s">
        <v>1977</v>
      </c>
      <c r="E3521" s="1"/>
      <c r="F3521" s="1" t="s">
        <v>1981</v>
      </c>
      <c r="G3521" s="1">
        <v>1</v>
      </c>
      <c r="H3521" s="1" t="s">
        <v>19</v>
      </c>
      <c r="I3521" s="1" t="s">
        <v>586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1982</v>
      </c>
      <c r="D3522" s="1" t="s">
        <v>1977</v>
      </c>
      <c r="E3522" s="1"/>
      <c r="F3522" s="1" t="s">
        <v>1983</v>
      </c>
      <c r="G3522" s="1">
        <v>1</v>
      </c>
      <c r="H3522" s="1" t="s">
        <v>19</v>
      </c>
      <c r="I3522" s="1" t="s">
        <v>635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1976</v>
      </c>
      <c r="D3523" s="1" t="s">
        <v>1984</v>
      </c>
      <c r="E3523" s="1"/>
      <c r="F3523" s="1" t="s">
        <v>1985</v>
      </c>
      <c r="G3523" s="1">
        <v>1</v>
      </c>
      <c r="H3523" s="1" t="s">
        <v>19</v>
      </c>
      <c r="I3523" s="1" t="s">
        <v>586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1976</v>
      </c>
      <c r="D3524" s="1" t="s">
        <v>1984</v>
      </c>
      <c r="E3524" s="1"/>
      <c r="F3524" s="1" t="s">
        <v>1986</v>
      </c>
      <c r="G3524" s="1">
        <v>1</v>
      </c>
      <c r="H3524" s="1" t="s">
        <v>19</v>
      </c>
      <c r="I3524" s="1" t="s">
        <v>590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1976</v>
      </c>
      <c r="D3525" s="1" t="s">
        <v>1977</v>
      </c>
      <c r="E3525" s="1"/>
      <c r="F3525" s="1" t="s">
        <v>1987</v>
      </c>
      <c r="G3525" s="1">
        <v>1</v>
      </c>
      <c r="H3525" s="1" t="s">
        <v>19</v>
      </c>
      <c r="I3525" s="1" t="s">
        <v>586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1988</v>
      </c>
      <c r="D3526" s="1" t="s">
        <v>1977</v>
      </c>
      <c r="E3526" s="1"/>
      <c r="F3526" s="1" t="s">
        <v>1989</v>
      </c>
      <c r="G3526" s="1">
        <v>1</v>
      </c>
      <c r="H3526" s="1" t="s">
        <v>19</v>
      </c>
      <c r="I3526" s="1" t="s">
        <v>635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1982</v>
      </c>
      <c r="D3527" s="1" t="s">
        <v>1977</v>
      </c>
      <c r="E3527" s="1"/>
      <c r="F3527" s="1" t="s">
        <v>1990</v>
      </c>
      <c r="G3527" s="1">
        <v>1</v>
      </c>
      <c r="H3527" s="1" t="s">
        <v>19</v>
      </c>
      <c r="I3527" s="1" t="s">
        <v>635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1991</v>
      </c>
      <c r="D3528" s="1" t="s">
        <v>1977</v>
      </c>
      <c r="E3528" s="1"/>
      <c r="F3528" s="1" t="s">
        <v>1992</v>
      </c>
      <c r="G3528" s="1">
        <v>1</v>
      </c>
      <c r="H3528" s="1" t="s">
        <v>19</v>
      </c>
      <c r="I3528" s="1" t="s">
        <v>586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1993</v>
      </c>
      <c r="D3529" s="1" t="s">
        <v>1977</v>
      </c>
      <c r="E3529" s="1"/>
      <c r="F3529" s="1" t="s">
        <v>1994</v>
      </c>
      <c r="G3529" s="1">
        <v>1</v>
      </c>
      <c r="H3529" s="1" t="s">
        <v>19</v>
      </c>
      <c r="I3529" s="1" t="s">
        <v>630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1995</v>
      </c>
      <c r="D3530" s="1" t="s">
        <v>1977</v>
      </c>
      <c r="E3530" s="1"/>
      <c r="F3530" s="1" t="s">
        <v>1996</v>
      </c>
      <c r="G3530" s="1">
        <v>1</v>
      </c>
      <c r="H3530" s="1" t="s">
        <v>19</v>
      </c>
      <c r="I3530" s="1" t="s">
        <v>630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1995</v>
      </c>
      <c r="D3531" s="1" t="s">
        <v>1977</v>
      </c>
      <c r="E3531" s="1"/>
      <c r="F3531" s="1" t="s">
        <v>1996</v>
      </c>
      <c r="G3531" s="1">
        <v>1</v>
      </c>
      <c r="H3531" s="1" t="s">
        <v>19</v>
      </c>
      <c r="I3531" s="1" t="s">
        <v>630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1995</v>
      </c>
      <c r="D3532" s="1" t="s">
        <v>1977</v>
      </c>
      <c r="E3532" s="1"/>
      <c r="F3532" s="1" t="s">
        <v>1996</v>
      </c>
      <c r="G3532" s="1">
        <v>1</v>
      </c>
      <c r="H3532" s="1" t="s">
        <v>19</v>
      </c>
      <c r="I3532" s="1" t="s">
        <v>630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1997</v>
      </c>
      <c r="D3533" s="1" t="s">
        <v>1977</v>
      </c>
      <c r="E3533" s="1"/>
      <c r="F3533" s="1" t="s">
        <v>1998</v>
      </c>
      <c r="G3533" s="1">
        <v>1</v>
      </c>
      <c r="H3533" s="1" t="s">
        <v>19</v>
      </c>
      <c r="I3533" s="1" t="s">
        <v>590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1999</v>
      </c>
      <c r="D3534" s="1" t="s">
        <v>1977</v>
      </c>
      <c r="E3534" s="1"/>
      <c r="F3534" s="1" t="s">
        <v>2000</v>
      </c>
      <c r="G3534" s="1">
        <v>1</v>
      </c>
      <c r="H3534" s="1" t="s">
        <v>19</v>
      </c>
      <c r="I3534" s="1" t="s">
        <v>630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1999</v>
      </c>
      <c r="D3535" s="1" t="s">
        <v>1977</v>
      </c>
      <c r="E3535" s="1"/>
      <c r="F3535" s="1" t="s">
        <v>2001</v>
      </c>
      <c r="G3535" s="1">
        <v>1</v>
      </c>
      <c r="H3535" s="1" t="s">
        <v>19</v>
      </c>
      <c r="I3535" s="1" t="s">
        <v>630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1999</v>
      </c>
      <c r="D3536" s="1" t="s">
        <v>1977</v>
      </c>
      <c r="E3536" s="1"/>
      <c r="F3536" s="1" t="s">
        <v>2002</v>
      </c>
      <c r="G3536" s="1">
        <v>1</v>
      </c>
      <c r="H3536" s="1" t="s">
        <v>19</v>
      </c>
      <c r="I3536" s="1" t="s">
        <v>630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2003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2004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2005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2006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2007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2008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2009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2010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2011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2012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2013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2014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2015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2016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2017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2018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2019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2020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2021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2022</v>
      </c>
      <c r="G3556" s="1">
        <v>21</v>
      </c>
      <c r="H3556" s="1" t="s">
        <v>1254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2023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2024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2025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2026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2027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2028</v>
      </c>
      <c r="G3562" s="1">
        <v>5</v>
      </c>
      <c r="H3562" s="1" t="s">
        <v>1254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2029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2030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2031</v>
      </c>
      <c r="G3565" s="1">
        <v>21</v>
      </c>
      <c r="H3565" s="1" t="s">
        <v>1254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2032</v>
      </c>
      <c r="G3566" s="1">
        <v>81</v>
      </c>
      <c r="H3566" s="1" t="s">
        <v>1254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2033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2034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2035</v>
      </c>
      <c r="G3569" s="1">
        <v>6</v>
      </c>
      <c r="H3569" s="1" t="s">
        <v>1254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2036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2037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2038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2039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2040</v>
      </c>
      <c r="G3574" s="1">
        <v>5</v>
      </c>
      <c r="H3574" s="1" t="s">
        <v>1254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2041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2042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2043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2044</v>
      </c>
      <c r="G3578" s="1">
        <v>38</v>
      </c>
      <c r="H3578" s="1" t="s">
        <v>1254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2045</v>
      </c>
      <c r="G3579" s="1">
        <v>78</v>
      </c>
      <c r="H3579" s="1" t="s">
        <v>1254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2046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2047</v>
      </c>
      <c r="G3581" s="1">
        <v>6</v>
      </c>
      <c r="H3581" s="1" t="s">
        <v>1254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2048</v>
      </c>
      <c r="D3582" s="1"/>
      <c r="E3582" s="1"/>
      <c r="F3582" s="1" t="s">
        <v>2049</v>
      </c>
      <c r="G3582" s="1">
        <v>5</v>
      </c>
      <c r="H3582" s="1" t="s">
        <v>19</v>
      </c>
      <c r="I3582" s="1" t="s">
        <v>2050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2048</v>
      </c>
      <c r="D3583" s="1"/>
      <c r="E3583" s="1"/>
      <c r="F3583" s="1" t="s">
        <v>2051</v>
      </c>
      <c r="G3583" s="1">
        <v>10</v>
      </c>
      <c r="H3583" s="1" t="s">
        <v>19</v>
      </c>
      <c r="I3583" s="1" t="s">
        <v>2050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2048</v>
      </c>
      <c r="D3584" s="1"/>
      <c r="E3584" s="1"/>
      <c r="F3584" s="1" t="s">
        <v>2052</v>
      </c>
      <c r="G3584" s="1">
        <v>14</v>
      </c>
      <c r="H3584" s="1" t="s">
        <v>19</v>
      </c>
      <c r="I3584" s="1" t="s">
        <v>2050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2048</v>
      </c>
      <c r="D3585" s="1"/>
      <c r="E3585" s="1"/>
      <c r="F3585" s="1" t="s">
        <v>2053</v>
      </c>
      <c r="G3585" s="1">
        <v>3</v>
      </c>
      <c r="H3585" s="1" t="s">
        <v>19</v>
      </c>
      <c r="I3585" s="1" t="s">
        <v>2050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2048</v>
      </c>
      <c r="D3586" s="1"/>
      <c r="E3586" s="1"/>
      <c r="F3586" s="1" t="s">
        <v>2054</v>
      </c>
      <c r="G3586" s="1">
        <v>5</v>
      </c>
      <c r="H3586" s="1" t="s">
        <v>1254</v>
      </c>
      <c r="I3586" s="1" t="s">
        <v>2050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2048</v>
      </c>
      <c r="D3587" s="1"/>
      <c r="E3587" s="1"/>
      <c r="F3587" s="1" t="s">
        <v>2055</v>
      </c>
      <c r="G3587" s="1">
        <v>20</v>
      </c>
      <c r="H3587" s="1" t="s">
        <v>19</v>
      </c>
      <c r="I3587" s="1" t="s">
        <v>2050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2048</v>
      </c>
      <c r="D3588" s="1"/>
      <c r="E3588" s="1"/>
      <c r="F3588" s="1" t="s">
        <v>2056</v>
      </c>
      <c r="G3588" s="1">
        <v>10</v>
      </c>
      <c r="H3588" s="1" t="s">
        <v>19</v>
      </c>
      <c r="I3588" s="1" t="s">
        <v>2050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2048</v>
      </c>
      <c r="D3589" s="1"/>
      <c r="E3589" s="1"/>
      <c r="F3589" s="1" t="s">
        <v>2057</v>
      </c>
      <c r="G3589" s="1">
        <v>170</v>
      </c>
      <c r="H3589" s="1" t="s">
        <v>1254</v>
      </c>
      <c r="I3589" s="1" t="s">
        <v>2050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2048</v>
      </c>
      <c r="D3590" s="1"/>
      <c r="E3590" s="1"/>
      <c r="F3590" s="1" t="s">
        <v>2058</v>
      </c>
      <c r="G3590" s="1">
        <v>6</v>
      </c>
      <c r="H3590" s="1" t="s">
        <v>19</v>
      </c>
      <c r="I3590" s="1" t="s">
        <v>2050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2048</v>
      </c>
      <c r="D3591" s="1"/>
      <c r="E3591" s="1"/>
      <c r="F3591" s="1" t="s">
        <v>2059</v>
      </c>
      <c r="G3591" s="1">
        <v>4</v>
      </c>
      <c r="H3591" s="1" t="s">
        <v>1254</v>
      </c>
      <c r="I3591" s="1" t="s">
        <v>2050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589</v>
      </c>
      <c r="D3592" s="1"/>
      <c r="E3592" s="1" t="s">
        <v>1104</v>
      </c>
      <c r="F3592" s="1" t="s">
        <v>2190</v>
      </c>
      <c r="G3592" s="1">
        <v>2</v>
      </c>
      <c r="H3592" s="1" t="s">
        <v>19</v>
      </c>
      <c r="I3592" s="1" t="s">
        <v>586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707</v>
      </c>
      <c r="D3593" s="1"/>
      <c r="E3593" s="1" t="s">
        <v>44</v>
      </c>
      <c r="F3593" s="1" t="s">
        <v>709</v>
      </c>
      <c r="G3593" s="1">
        <v>1</v>
      </c>
      <c r="H3593" s="1" t="s">
        <v>19</v>
      </c>
      <c r="I3593" s="1" t="s">
        <v>630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707</v>
      </c>
      <c r="D3594" s="1"/>
      <c r="E3594" s="1" t="s">
        <v>747</v>
      </c>
      <c r="F3594" s="1" t="s">
        <v>710</v>
      </c>
      <c r="G3594" s="1">
        <v>1</v>
      </c>
      <c r="H3594" s="1" t="s">
        <v>19</v>
      </c>
      <c r="I3594" s="1" t="s">
        <v>630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707</v>
      </c>
      <c r="D3595" s="1"/>
      <c r="E3595" s="1" t="s">
        <v>101</v>
      </c>
      <c r="F3595" s="1" t="s">
        <v>712</v>
      </c>
      <c r="G3595" s="1">
        <v>4</v>
      </c>
      <c r="H3595" s="1" t="s">
        <v>19</v>
      </c>
      <c r="I3595" s="1" t="s">
        <v>630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186</v>
      </c>
      <c r="D3596" s="1"/>
      <c r="E3596" s="1" t="s">
        <v>2191</v>
      </c>
      <c r="F3596" s="1" t="s">
        <v>2187</v>
      </c>
      <c r="G3596" s="1">
        <v>6</v>
      </c>
      <c r="H3596" s="1" t="s">
        <v>19</v>
      </c>
      <c r="I3596" s="1" t="s">
        <v>630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184</v>
      </c>
      <c r="D3597" s="1"/>
      <c r="E3597" s="1" t="s">
        <v>44</v>
      </c>
      <c r="F3597" s="1" t="s">
        <v>2192</v>
      </c>
      <c r="G3597" s="1">
        <v>34</v>
      </c>
      <c r="H3597" s="1" t="s">
        <v>19</v>
      </c>
      <c r="I3597" s="1" t="s">
        <v>630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184</v>
      </c>
      <c r="D3598" s="1"/>
      <c r="E3598" s="1" t="s">
        <v>2</v>
      </c>
      <c r="F3598" s="1" t="s">
        <v>1012</v>
      </c>
      <c r="G3598" s="1">
        <v>17</v>
      </c>
      <c r="H3598" s="1" t="s">
        <v>19</v>
      </c>
      <c r="I3598" s="1" t="s">
        <v>630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185</v>
      </c>
      <c r="D3599" s="1"/>
      <c r="E3599" s="1" t="s">
        <v>101</v>
      </c>
      <c r="F3599" s="1" t="s">
        <v>2193</v>
      </c>
      <c r="G3599" s="1">
        <v>2</v>
      </c>
      <c r="H3599" s="1" t="s">
        <v>19</v>
      </c>
      <c r="I3599" s="1" t="s">
        <v>630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185</v>
      </c>
      <c r="D3600" s="1"/>
      <c r="E3600" s="1" t="s">
        <v>44</v>
      </c>
      <c r="F3600" s="1" t="s">
        <v>1013</v>
      </c>
      <c r="G3600" s="1">
        <v>1</v>
      </c>
      <c r="H3600" s="1" t="s">
        <v>19</v>
      </c>
      <c r="I3600" s="1" t="s">
        <v>630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960</v>
      </c>
      <c r="D3601" s="1"/>
      <c r="E3601" s="1" t="s">
        <v>2194</v>
      </c>
      <c r="F3601" s="1" t="s">
        <v>2195</v>
      </c>
      <c r="G3601" s="1">
        <v>2</v>
      </c>
      <c r="H3601" s="1" t="s">
        <v>19</v>
      </c>
      <c r="I3601" s="1" t="s">
        <v>630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960</v>
      </c>
      <c r="D3602" s="1"/>
      <c r="E3602" s="1" t="s">
        <v>747</v>
      </c>
      <c r="F3602" s="1" t="s">
        <v>1015</v>
      </c>
      <c r="G3602" s="1">
        <v>1</v>
      </c>
      <c r="H3602" s="1" t="s">
        <v>19</v>
      </c>
      <c r="I3602" s="1" t="s">
        <v>630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960</v>
      </c>
      <c r="D3603" s="1"/>
      <c r="E3603" s="1" t="s">
        <v>2196</v>
      </c>
      <c r="F3603" s="1" t="s">
        <v>2187</v>
      </c>
      <c r="G3603" s="1">
        <v>1</v>
      </c>
      <c r="H3603" s="1" t="s">
        <v>19</v>
      </c>
      <c r="I3603" s="1" t="s">
        <v>630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1034</v>
      </c>
      <c r="D3604" s="1"/>
      <c r="E3604" s="1" t="s">
        <v>2</v>
      </c>
      <c r="F3604" s="1" t="s">
        <v>1035</v>
      </c>
      <c r="G3604" s="1">
        <v>2</v>
      </c>
      <c r="H3604" s="1" t="s">
        <v>19</v>
      </c>
      <c r="I3604" s="1" t="s">
        <v>586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1034</v>
      </c>
      <c r="D3605" s="1"/>
      <c r="E3605" s="1" t="s">
        <v>44</v>
      </c>
      <c r="F3605" s="1" t="s">
        <v>1036</v>
      </c>
      <c r="G3605" s="1">
        <v>4</v>
      </c>
      <c r="H3605" s="1" t="s">
        <v>19</v>
      </c>
      <c r="I3605" s="1" t="s">
        <v>586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2197</v>
      </c>
      <c r="E3606" s="1"/>
      <c r="F3606" s="1" t="s">
        <v>2198</v>
      </c>
      <c r="G3606" s="1">
        <v>12</v>
      </c>
      <c r="H3606" s="1" t="s">
        <v>19</v>
      </c>
      <c r="I3606" s="1" t="s">
        <v>590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2197</v>
      </c>
      <c r="E3607" s="1"/>
      <c r="F3607" s="1" t="s">
        <v>2199</v>
      </c>
      <c r="G3607" s="1">
        <v>3</v>
      </c>
      <c r="H3607" s="1" t="s">
        <v>19</v>
      </c>
      <c r="I3607" s="1" t="s">
        <v>590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2197</v>
      </c>
      <c r="E3608" s="1"/>
      <c r="F3608" s="1" t="s">
        <v>2200</v>
      </c>
      <c r="G3608" s="1">
        <v>12</v>
      </c>
      <c r="H3608" s="1" t="s">
        <v>19</v>
      </c>
      <c r="I3608" s="1" t="s">
        <v>590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2197</v>
      </c>
      <c r="E3609" s="1"/>
      <c r="F3609" s="1" t="s">
        <v>2201</v>
      </c>
      <c r="G3609" s="1">
        <v>3</v>
      </c>
      <c r="H3609" s="1" t="s">
        <v>19</v>
      </c>
      <c r="I3609" s="1" t="s">
        <v>590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2202</v>
      </c>
      <c r="D3610" s="1"/>
      <c r="E3610" s="1"/>
      <c r="F3610" s="1" t="s">
        <v>2203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2202</v>
      </c>
      <c r="D3611" s="1"/>
      <c r="E3611" s="1"/>
      <c r="F3611" s="1" t="s">
        <v>2204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2202</v>
      </c>
      <c r="D3612" s="1"/>
      <c r="E3612" s="1"/>
      <c r="F3612" s="1" t="s">
        <v>2205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2202</v>
      </c>
      <c r="D3613" s="1"/>
      <c r="E3613" s="1"/>
      <c r="F3613" s="1" t="s">
        <v>2206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2207</v>
      </c>
      <c r="D3614" s="1"/>
      <c r="E3614" s="1"/>
      <c r="F3614" s="1" t="s">
        <v>2208</v>
      </c>
      <c r="G3614" s="1">
        <v>3</v>
      </c>
      <c r="H3614" s="1" t="s">
        <v>19</v>
      </c>
      <c r="I3614" s="1" t="s">
        <v>635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2207</v>
      </c>
      <c r="D3615" s="1"/>
      <c r="E3615" s="1"/>
      <c r="F3615" s="1" t="s">
        <v>2209</v>
      </c>
      <c r="G3615" s="1">
        <v>12</v>
      </c>
      <c r="H3615" s="1" t="s">
        <v>19</v>
      </c>
      <c r="I3615" s="1" t="s">
        <v>635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2207</v>
      </c>
      <c r="D3616" s="1"/>
      <c r="E3616" s="1"/>
      <c r="F3616" s="1" t="s">
        <v>2210</v>
      </c>
      <c r="G3616" s="1">
        <v>12</v>
      </c>
      <c r="H3616" s="1" t="s">
        <v>19</v>
      </c>
      <c r="I3616" s="1" t="s">
        <v>635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2048</v>
      </c>
      <c r="D3617" s="1"/>
      <c r="E3617" s="1"/>
      <c r="F3617" s="1" t="s">
        <v>2211</v>
      </c>
      <c r="G3617" s="1">
        <v>3</v>
      </c>
      <c r="H3617" s="1" t="s">
        <v>19</v>
      </c>
      <c r="I3617" s="1" t="s">
        <v>630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2048</v>
      </c>
      <c r="D3618" s="1"/>
      <c r="E3618" s="1"/>
      <c r="F3618" s="1" t="s">
        <v>2212</v>
      </c>
      <c r="G3618" s="1">
        <v>12</v>
      </c>
      <c r="H3618" s="1" t="s">
        <v>19</v>
      </c>
      <c r="I3618" s="1" t="s">
        <v>630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2048</v>
      </c>
      <c r="D3619" s="1"/>
      <c r="E3619" s="1"/>
      <c r="F3619" s="1" t="s">
        <v>2213</v>
      </c>
      <c r="G3619" s="1">
        <v>3</v>
      </c>
      <c r="H3619" s="1" t="s">
        <v>19</v>
      </c>
      <c r="I3619" s="1" t="s">
        <v>630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2048</v>
      </c>
      <c r="D3620" s="1"/>
      <c r="E3620" s="1"/>
      <c r="F3620" s="1" t="s">
        <v>2214</v>
      </c>
      <c r="G3620" s="1">
        <v>12</v>
      </c>
      <c r="H3620" s="1" t="s">
        <v>19</v>
      </c>
      <c r="I3620" s="1" t="s">
        <v>630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2215</v>
      </c>
      <c r="D3621" s="1"/>
      <c r="E3621" s="1"/>
      <c r="F3621" s="1" t="s">
        <v>2216</v>
      </c>
      <c r="G3621" s="1">
        <v>1</v>
      </c>
      <c r="H3621" s="1" t="s">
        <v>19</v>
      </c>
      <c r="I3621" s="1" t="s">
        <v>635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2215</v>
      </c>
      <c r="D3622" s="1"/>
      <c r="E3622" s="1"/>
      <c r="F3622" s="1" t="s">
        <v>2217</v>
      </c>
      <c r="G3622" s="1">
        <v>2</v>
      </c>
      <c r="H3622" s="1" t="s">
        <v>19</v>
      </c>
      <c r="I3622" s="1" t="s">
        <v>635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2215</v>
      </c>
      <c r="D3623" s="1"/>
      <c r="E3623" s="1"/>
      <c r="F3623" s="1" t="s">
        <v>2218</v>
      </c>
      <c r="G3623" s="1">
        <v>30</v>
      </c>
      <c r="H3623" s="1" t="s">
        <v>19</v>
      </c>
      <c r="I3623" s="1" t="s">
        <v>635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2215</v>
      </c>
      <c r="D3624" s="1"/>
      <c r="E3624" s="1"/>
      <c r="F3624" s="1" t="s">
        <v>2219</v>
      </c>
      <c r="G3624" s="1">
        <v>3</v>
      </c>
      <c r="H3624" s="1" t="s">
        <v>19</v>
      </c>
      <c r="I3624" s="1" t="s">
        <v>635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2215</v>
      </c>
      <c r="D3625" s="1"/>
      <c r="E3625" s="1"/>
      <c r="F3625" s="1" t="s">
        <v>2220</v>
      </c>
      <c r="G3625" s="1">
        <v>6</v>
      </c>
      <c r="H3625" s="1" t="s">
        <v>1106</v>
      </c>
      <c r="I3625" s="1" t="s">
        <v>635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2215</v>
      </c>
      <c r="D3626" s="1"/>
      <c r="E3626" s="1"/>
      <c r="F3626" s="1" t="s">
        <v>2221</v>
      </c>
      <c r="G3626" s="1">
        <v>8</v>
      </c>
      <c r="H3626" s="1" t="s">
        <v>19</v>
      </c>
      <c r="I3626" s="1" t="s">
        <v>635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2215</v>
      </c>
      <c r="D3627" s="1"/>
      <c r="E3627" s="1"/>
      <c r="F3627" s="1" t="s">
        <v>2222</v>
      </c>
      <c r="G3627" s="1">
        <v>2</v>
      </c>
      <c r="H3627" s="1" t="s">
        <v>19</v>
      </c>
      <c r="I3627" s="1" t="s">
        <v>635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2215</v>
      </c>
      <c r="D3628" s="1"/>
      <c r="E3628" s="1"/>
      <c r="F3628" s="1" t="s">
        <v>2223</v>
      </c>
      <c r="G3628" s="1">
        <v>2</v>
      </c>
      <c r="H3628" s="1" t="s">
        <v>19</v>
      </c>
      <c r="I3628" s="1" t="s">
        <v>635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2215</v>
      </c>
      <c r="D3629" s="1"/>
      <c r="E3629" s="1"/>
      <c r="F3629" s="1" t="s">
        <v>2224</v>
      </c>
      <c r="G3629" s="1">
        <v>8</v>
      </c>
      <c r="H3629" s="1" t="s">
        <v>19</v>
      </c>
      <c r="I3629" s="1" t="s">
        <v>635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2215</v>
      </c>
      <c r="D3630" s="1"/>
      <c r="E3630" s="1"/>
      <c r="F3630" s="1" t="s">
        <v>2225</v>
      </c>
      <c r="G3630" s="1">
        <v>2</v>
      </c>
      <c r="H3630" s="1" t="s">
        <v>19</v>
      </c>
      <c r="I3630" s="1" t="s">
        <v>635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2215</v>
      </c>
      <c r="D3631" s="1"/>
      <c r="E3631" s="1"/>
      <c r="F3631" s="1" t="s">
        <v>2226</v>
      </c>
      <c r="G3631" s="1">
        <v>2</v>
      </c>
      <c r="H3631" s="1" t="s">
        <v>19</v>
      </c>
      <c r="I3631" s="1" t="s">
        <v>635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2215</v>
      </c>
      <c r="D3632" s="1"/>
      <c r="E3632" s="1"/>
      <c r="F3632" s="1" t="s">
        <v>2227</v>
      </c>
      <c r="G3632" s="1">
        <v>3</v>
      </c>
      <c r="H3632" s="1" t="s">
        <v>19</v>
      </c>
      <c r="I3632" s="1" t="s">
        <v>635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2215</v>
      </c>
      <c r="D3633" s="1"/>
      <c r="E3633" s="1"/>
      <c r="F3633" s="1" t="s">
        <v>2228</v>
      </c>
      <c r="G3633" s="1">
        <v>3</v>
      </c>
      <c r="H3633" s="1" t="s">
        <v>19</v>
      </c>
      <c r="I3633" s="1" t="s">
        <v>635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2215</v>
      </c>
      <c r="D3634" s="1"/>
      <c r="E3634" s="1"/>
      <c r="F3634" s="1" t="s">
        <v>2229</v>
      </c>
      <c r="G3634" s="1">
        <v>2</v>
      </c>
      <c r="H3634" s="1" t="s">
        <v>19</v>
      </c>
      <c r="I3634" s="1" t="s">
        <v>635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2215</v>
      </c>
      <c r="D3635" s="1"/>
      <c r="E3635" s="1"/>
      <c r="F3635" s="1" t="s">
        <v>2230</v>
      </c>
      <c r="G3635" s="1">
        <v>8</v>
      </c>
      <c r="H3635" s="1" t="s">
        <v>19</v>
      </c>
      <c r="I3635" s="1" t="s">
        <v>635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2215</v>
      </c>
      <c r="D3636" s="1"/>
      <c r="E3636" s="1"/>
      <c r="F3636" s="1" t="s">
        <v>2231</v>
      </c>
      <c r="G3636" s="1">
        <v>2</v>
      </c>
      <c r="H3636" s="1" t="s">
        <v>19</v>
      </c>
      <c r="I3636" s="1" t="s">
        <v>635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2215</v>
      </c>
      <c r="D3637" s="1"/>
      <c r="E3637" s="1"/>
      <c r="F3637" s="1" t="s">
        <v>2232</v>
      </c>
      <c r="G3637" s="1">
        <v>3</v>
      </c>
      <c r="H3637" s="1" t="s">
        <v>19</v>
      </c>
      <c r="I3637" s="1" t="s">
        <v>635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2197</v>
      </c>
      <c r="D3638" s="1"/>
      <c r="E3638" s="1"/>
      <c r="F3638" s="1" t="s">
        <v>2233</v>
      </c>
      <c r="G3638" s="1">
        <v>1</v>
      </c>
      <c r="H3638" s="1" t="s">
        <v>19</v>
      </c>
      <c r="I3638" s="1" t="s">
        <v>590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2197</v>
      </c>
      <c r="D3639" s="1"/>
      <c r="E3639" s="1"/>
      <c r="F3639" s="1" t="s">
        <v>2234</v>
      </c>
      <c r="G3639" s="1">
        <v>2</v>
      </c>
      <c r="H3639" s="1" t="s">
        <v>19</v>
      </c>
      <c r="I3639" s="1" t="s">
        <v>590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2197</v>
      </c>
      <c r="D3640" s="1"/>
      <c r="E3640" s="1"/>
      <c r="F3640" s="1" t="s">
        <v>2235</v>
      </c>
      <c r="G3640" s="1">
        <v>3</v>
      </c>
      <c r="H3640" s="1" t="s">
        <v>19</v>
      </c>
      <c r="I3640" s="1" t="s">
        <v>590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2197</v>
      </c>
      <c r="D3641" s="1"/>
      <c r="E3641" s="1"/>
      <c r="F3641" s="1" t="s">
        <v>2236</v>
      </c>
      <c r="G3641" s="1">
        <v>6</v>
      </c>
      <c r="H3641" s="1" t="s">
        <v>1106</v>
      </c>
      <c r="I3641" s="1" t="s">
        <v>590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2197</v>
      </c>
      <c r="D3642" s="1"/>
      <c r="E3642" s="1"/>
      <c r="F3642" s="1" t="s">
        <v>2237</v>
      </c>
      <c r="G3642" s="1">
        <v>1</v>
      </c>
      <c r="H3642" s="1" t="s">
        <v>19</v>
      </c>
      <c r="I3642" s="1" t="s">
        <v>590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2197</v>
      </c>
      <c r="D3643" s="1"/>
      <c r="E3643" s="1"/>
      <c r="F3643" s="1" t="s">
        <v>2238</v>
      </c>
      <c r="G3643" s="1">
        <v>8</v>
      </c>
      <c r="H3643" s="1" t="s">
        <v>19</v>
      </c>
      <c r="I3643" s="1" t="s">
        <v>590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2197</v>
      </c>
      <c r="D3644" s="1"/>
      <c r="E3644" s="1"/>
      <c r="F3644" s="1" t="s">
        <v>2239</v>
      </c>
      <c r="G3644" s="1">
        <v>2</v>
      </c>
      <c r="H3644" s="1" t="s">
        <v>19</v>
      </c>
      <c r="I3644" s="1" t="s">
        <v>590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2197</v>
      </c>
      <c r="D3645" s="1"/>
      <c r="E3645" s="1"/>
      <c r="F3645" s="1" t="s">
        <v>2240</v>
      </c>
      <c r="G3645" s="1">
        <v>2</v>
      </c>
      <c r="H3645" s="1" t="s">
        <v>19</v>
      </c>
      <c r="I3645" s="1" t="s">
        <v>590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2197</v>
      </c>
      <c r="D3646" s="1"/>
      <c r="E3646" s="1"/>
      <c r="F3646" s="1" t="s">
        <v>2241</v>
      </c>
      <c r="G3646" s="1">
        <v>2</v>
      </c>
      <c r="H3646" s="1" t="s">
        <v>19</v>
      </c>
      <c r="I3646" s="1" t="s">
        <v>590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2197</v>
      </c>
      <c r="D3647" s="1"/>
      <c r="E3647" s="1"/>
      <c r="F3647" s="1" t="s">
        <v>2242</v>
      </c>
      <c r="G3647" s="1">
        <v>2</v>
      </c>
      <c r="H3647" s="1" t="s">
        <v>19</v>
      </c>
      <c r="I3647" s="1" t="s">
        <v>590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2197</v>
      </c>
      <c r="D3648" s="1"/>
      <c r="E3648" s="1"/>
      <c r="F3648" s="1" t="s">
        <v>2243</v>
      </c>
      <c r="G3648" s="1">
        <v>3</v>
      </c>
      <c r="H3648" s="1" t="s">
        <v>19</v>
      </c>
      <c r="I3648" s="1" t="s">
        <v>590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2197</v>
      </c>
      <c r="D3649" s="1"/>
      <c r="E3649" s="1"/>
      <c r="F3649" s="1" t="s">
        <v>2244</v>
      </c>
      <c r="G3649" s="1">
        <v>3</v>
      </c>
      <c r="H3649" s="1" t="s">
        <v>19</v>
      </c>
      <c r="I3649" s="1" t="s">
        <v>590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2197</v>
      </c>
      <c r="D3650" s="1"/>
      <c r="E3650" s="1"/>
      <c r="F3650" s="1" t="s">
        <v>2245</v>
      </c>
      <c r="G3650" s="1">
        <v>8</v>
      </c>
      <c r="H3650" s="1" t="s">
        <v>19</v>
      </c>
      <c r="I3650" s="1" t="s">
        <v>590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2197</v>
      </c>
      <c r="D3651" s="1"/>
      <c r="E3651" s="1"/>
      <c r="F3651" s="1" t="s">
        <v>2246</v>
      </c>
      <c r="G3651" s="1">
        <v>2</v>
      </c>
      <c r="H3651" s="1" t="s">
        <v>19</v>
      </c>
      <c r="I3651" s="1" t="s">
        <v>590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2197</v>
      </c>
      <c r="D3652" s="1"/>
      <c r="E3652" s="1"/>
      <c r="F3652" s="1" t="s">
        <v>2247</v>
      </c>
      <c r="G3652" s="1">
        <v>8</v>
      </c>
      <c r="H3652" s="1" t="s">
        <v>19</v>
      </c>
      <c r="I3652" s="1" t="s">
        <v>590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2197</v>
      </c>
      <c r="D3653" s="1"/>
      <c r="E3653" s="1"/>
      <c r="F3653" s="1" t="s">
        <v>2248</v>
      </c>
      <c r="G3653" s="1">
        <v>2</v>
      </c>
      <c r="H3653" s="1" t="s">
        <v>19</v>
      </c>
      <c r="I3653" s="1" t="s">
        <v>590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2197</v>
      </c>
      <c r="D3654" s="1"/>
      <c r="E3654" s="1"/>
      <c r="F3654" s="1" t="s">
        <v>2249</v>
      </c>
      <c r="G3654" s="1">
        <v>3</v>
      </c>
      <c r="H3654" s="1" t="s">
        <v>19</v>
      </c>
      <c r="I3654" s="1" t="s">
        <v>590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2197</v>
      </c>
      <c r="D3655" s="1"/>
      <c r="E3655" s="1"/>
      <c r="F3655" s="1" t="s">
        <v>2233</v>
      </c>
      <c r="G3655" s="1">
        <v>1</v>
      </c>
      <c r="H3655" s="1" t="s">
        <v>19</v>
      </c>
      <c r="I3655" s="1" t="s">
        <v>590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2197</v>
      </c>
      <c r="D3656" s="1"/>
      <c r="E3656" s="1"/>
      <c r="F3656" s="1" t="s">
        <v>2234</v>
      </c>
      <c r="G3656" s="1">
        <v>2</v>
      </c>
      <c r="H3656" s="1" t="s">
        <v>19</v>
      </c>
      <c r="I3656" s="1" t="s">
        <v>590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2197</v>
      </c>
      <c r="D3657" s="1"/>
      <c r="E3657" s="1"/>
      <c r="F3657" s="1" t="s">
        <v>2235</v>
      </c>
      <c r="G3657" s="1">
        <v>3</v>
      </c>
      <c r="H3657" s="1" t="s">
        <v>19</v>
      </c>
      <c r="I3657" s="1" t="s">
        <v>590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2197</v>
      </c>
      <c r="D3658" s="1"/>
      <c r="E3658" s="1"/>
      <c r="F3658" s="1" t="s">
        <v>2236</v>
      </c>
      <c r="G3658" s="1">
        <v>6</v>
      </c>
      <c r="H3658" s="1" t="s">
        <v>1106</v>
      </c>
      <c r="I3658" s="1" t="s">
        <v>590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2197</v>
      </c>
      <c r="D3659" s="1"/>
      <c r="E3659" s="1"/>
      <c r="F3659" s="1" t="s">
        <v>2237</v>
      </c>
      <c r="G3659" s="1">
        <v>1</v>
      </c>
      <c r="H3659" s="1" t="s">
        <v>19</v>
      </c>
      <c r="I3659" s="1" t="s">
        <v>590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2197</v>
      </c>
      <c r="D3660" s="1"/>
      <c r="E3660" s="1"/>
      <c r="F3660" s="1" t="s">
        <v>2238</v>
      </c>
      <c r="G3660" s="1">
        <v>8</v>
      </c>
      <c r="H3660" s="1" t="s">
        <v>19</v>
      </c>
      <c r="I3660" s="1" t="s">
        <v>590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2197</v>
      </c>
      <c r="D3661" s="1"/>
      <c r="E3661" s="1"/>
      <c r="F3661" s="1" t="s">
        <v>2239</v>
      </c>
      <c r="G3661" s="1">
        <v>2</v>
      </c>
      <c r="H3661" s="1" t="s">
        <v>19</v>
      </c>
      <c r="I3661" s="1" t="s">
        <v>590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2197</v>
      </c>
      <c r="D3662" s="1"/>
      <c r="E3662" s="1"/>
      <c r="F3662" s="1" t="s">
        <v>2240</v>
      </c>
      <c r="G3662" s="1">
        <v>2</v>
      </c>
      <c r="H3662" s="1" t="s">
        <v>19</v>
      </c>
      <c r="I3662" s="1" t="s">
        <v>590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2197</v>
      </c>
      <c r="D3663" s="1"/>
      <c r="E3663" s="1"/>
      <c r="F3663" s="1" t="s">
        <v>2241</v>
      </c>
      <c r="G3663" s="1">
        <v>2</v>
      </c>
      <c r="H3663" s="1" t="s">
        <v>19</v>
      </c>
      <c r="I3663" s="1" t="s">
        <v>590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2197</v>
      </c>
      <c r="D3664" s="1"/>
      <c r="E3664" s="1"/>
      <c r="F3664" s="1" t="s">
        <v>2242</v>
      </c>
      <c r="G3664" s="1">
        <v>2</v>
      </c>
      <c r="H3664" s="1" t="s">
        <v>19</v>
      </c>
      <c r="I3664" s="1" t="s">
        <v>590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2197</v>
      </c>
      <c r="D3665" s="1"/>
      <c r="E3665" s="1"/>
      <c r="F3665" s="1" t="s">
        <v>2243</v>
      </c>
      <c r="G3665" s="1">
        <v>3</v>
      </c>
      <c r="H3665" s="1" t="s">
        <v>19</v>
      </c>
      <c r="I3665" s="1" t="s">
        <v>590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2197</v>
      </c>
      <c r="D3666" s="1"/>
      <c r="E3666" s="1"/>
      <c r="F3666" s="1" t="s">
        <v>2244</v>
      </c>
      <c r="G3666" s="1">
        <v>3</v>
      </c>
      <c r="H3666" s="1" t="s">
        <v>19</v>
      </c>
      <c r="I3666" s="1" t="s">
        <v>590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2197</v>
      </c>
      <c r="D3667" s="1"/>
      <c r="E3667" s="1"/>
      <c r="F3667" s="1" t="s">
        <v>2245</v>
      </c>
      <c r="G3667" s="1">
        <v>8</v>
      </c>
      <c r="H3667" s="1" t="s">
        <v>19</v>
      </c>
      <c r="I3667" s="1" t="s">
        <v>590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2197</v>
      </c>
      <c r="D3668" s="1"/>
      <c r="E3668" s="1"/>
      <c r="F3668" s="1" t="s">
        <v>2250</v>
      </c>
      <c r="G3668" s="1">
        <v>2</v>
      </c>
      <c r="H3668" s="1" t="s">
        <v>19</v>
      </c>
      <c r="I3668" s="1" t="s">
        <v>590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2197</v>
      </c>
      <c r="D3669" s="1"/>
      <c r="E3669" s="1"/>
      <c r="F3669" s="1" t="s">
        <v>2247</v>
      </c>
      <c r="G3669" s="1">
        <v>8</v>
      </c>
      <c r="H3669" s="1" t="s">
        <v>19</v>
      </c>
      <c r="I3669" s="1" t="s">
        <v>590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2197</v>
      </c>
      <c r="D3670" s="1"/>
      <c r="E3670" s="1"/>
      <c r="F3670" s="1" t="s">
        <v>2248</v>
      </c>
      <c r="G3670" s="1">
        <v>2</v>
      </c>
      <c r="H3670" s="1" t="s">
        <v>19</v>
      </c>
      <c r="I3670" s="1" t="s">
        <v>590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2197</v>
      </c>
      <c r="D3671" s="1"/>
      <c r="E3671" s="1"/>
      <c r="F3671" s="1" t="s">
        <v>2249</v>
      </c>
      <c r="G3671" s="1">
        <v>3</v>
      </c>
      <c r="H3671" s="1" t="s">
        <v>19</v>
      </c>
      <c r="I3671" s="1" t="s">
        <v>590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2251</v>
      </c>
      <c r="D3672" s="1"/>
      <c r="E3672" s="1"/>
      <c r="F3672" s="1" t="s">
        <v>2252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2251</v>
      </c>
      <c r="D3673" s="1"/>
      <c r="E3673" s="1"/>
      <c r="F3673" s="1" t="s">
        <v>2253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2251</v>
      </c>
      <c r="D3674" s="1"/>
      <c r="E3674" s="1"/>
      <c r="F3674" s="1" t="s">
        <v>2254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2251</v>
      </c>
      <c r="D3675" s="1"/>
      <c r="E3675" s="1"/>
      <c r="F3675" s="1" t="s">
        <v>2255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2251</v>
      </c>
      <c r="D3676" s="1"/>
      <c r="E3676" s="1"/>
      <c r="F3676" s="1" t="s">
        <v>2256</v>
      </c>
      <c r="G3676" s="1">
        <v>6</v>
      </c>
      <c r="H3676" s="1" t="s">
        <v>1106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2251</v>
      </c>
      <c r="D3677" s="1"/>
      <c r="E3677" s="1"/>
      <c r="F3677" s="1" t="s">
        <v>2257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2251</v>
      </c>
      <c r="D3678" s="1"/>
      <c r="E3678" s="1"/>
      <c r="F3678" s="1" t="s">
        <v>2258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2251</v>
      </c>
      <c r="D3679" s="1"/>
      <c r="E3679" s="1"/>
      <c r="F3679" s="1" t="s">
        <v>2259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2251</v>
      </c>
      <c r="D3680" s="1"/>
      <c r="E3680" s="1"/>
      <c r="F3680" s="1" t="s">
        <v>2260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2251</v>
      </c>
      <c r="D3681" s="1"/>
      <c r="E3681" s="1"/>
      <c r="F3681" s="1" t="s">
        <v>2261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2251</v>
      </c>
      <c r="D3682" s="1"/>
      <c r="E3682" s="1"/>
      <c r="F3682" s="1" t="s">
        <v>2262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2251</v>
      </c>
      <c r="D3683" s="1"/>
      <c r="E3683" s="1"/>
      <c r="F3683" s="1" t="s">
        <v>2263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2251</v>
      </c>
      <c r="D3684" s="1"/>
      <c r="E3684" s="1"/>
      <c r="F3684" s="1" t="s">
        <v>2264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2251</v>
      </c>
      <c r="D3685" s="1"/>
      <c r="E3685" s="1"/>
      <c r="F3685" s="1" t="s">
        <v>2265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2251</v>
      </c>
      <c r="D3686" s="1"/>
      <c r="E3686" s="1"/>
      <c r="F3686" s="1" t="s">
        <v>2266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2251</v>
      </c>
      <c r="D3687" s="1"/>
      <c r="E3687" s="1"/>
      <c r="F3687" s="1" t="s">
        <v>2267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939</v>
      </c>
      <c r="D3688" s="1"/>
      <c r="E3688" s="1"/>
      <c r="F3688" s="1" t="s">
        <v>2268</v>
      </c>
      <c r="G3688" s="1">
        <v>1</v>
      </c>
      <c r="H3688" s="1" t="s">
        <v>19</v>
      </c>
      <c r="I3688" s="1" t="s">
        <v>630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939</v>
      </c>
      <c r="D3689" s="1"/>
      <c r="E3689" s="1"/>
      <c r="F3689" s="1" t="s">
        <v>2269</v>
      </c>
      <c r="G3689" s="1">
        <v>1</v>
      </c>
      <c r="H3689" s="1" t="s">
        <v>19</v>
      </c>
      <c r="I3689" s="1" t="s">
        <v>630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939</v>
      </c>
      <c r="D3690" s="1"/>
      <c r="E3690" s="1"/>
      <c r="F3690" s="1" t="s">
        <v>2270</v>
      </c>
      <c r="G3690" s="1">
        <v>1</v>
      </c>
      <c r="H3690" s="1" t="s">
        <v>19</v>
      </c>
      <c r="I3690" s="1" t="s">
        <v>630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2188</v>
      </c>
      <c r="D3691" s="1"/>
      <c r="E3691" s="1"/>
      <c r="F3691" s="1" t="s">
        <v>2271</v>
      </c>
      <c r="G3691" s="1">
        <v>4</v>
      </c>
      <c r="H3691" s="1" t="s">
        <v>19</v>
      </c>
      <c r="I3691" s="1" t="s">
        <v>2272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963</v>
      </c>
      <c r="D3692" s="1"/>
      <c r="E3692" s="1" t="s">
        <v>1108</v>
      </c>
      <c r="F3692" s="1" t="s">
        <v>2964</v>
      </c>
      <c r="G3692" s="1">
        <v>17</v>
      </c>
      <c r="H3692" s="1" t="s">
        <v>19</v>
      </c>
      <c r="I3692" s="1" t="s">
        <v>590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963</v>
      </c>
      <c r="D3693" s="1"/>
      <c r="E3693" s="1" t="s">
        <v>1108</v>
      </c>
      <c r="F3693" s="1" t="s">
        <v>2964</v>
      </c>
      <c r="G3693" s="1">
        <v>23</v>
      </c>
      <c r="H3693" s="1" t="s">
        <v>19</v>
      </c>
      <c r="I3693" s="1" t="s">
        <v>586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1277</v>
      </c>
      <c r="D3694" s="1"/>
      <c r="E3694" s="1" t="s">
        <v>1104</v>
      </c>
      <c r="F3694" s="1" t="s">
        <v>2965</v>
      </c>
      <c r="G3694" s="1">
        <v>1</v>
      </c>
      <c r="H3694" s="1" t="s">
        <v>19</v>
      </c>
      <c r="I3694" s="1" t="s">
        <v>630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1277</v>
      </c>
      <c r="D3695" s="1"/>
      <c r="E3695" s="1" t="s">
        <v>1105</v>
      </c>
      <c r="F3695" s="1" t="s">
        <v>2966</v>
      </c>
      <c r="G3695" s="1">
        <v>84</v>
      </c>
      <c r="H3695" s="1" t="s">
        <v>19</v>
      </c>
      <c r="I3695" s="1" t="s">
        <v>630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2967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2968</v>
      </c>
      <c r="D3697" s="1" t="s">
        <v>2969</v>
      </c>
      <c r="E3697" s="1" t="s">
        <v>101</v>
      </c>
      <c r="F3697" s="1" t="s">
        <v>2970</v>
      </c>
      <c r="G3697" s="1">
        <v>4</v>
      </c>
      <c r="H3697" s="1" t="s">
        <v>19</v>
      </c>
      <c r="I3697" s="1" t="s">
        <v>590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2048</v>
      </c>
      <c r="D3698" s="1"/>
      <c r="E3698" s="1"/>
      <c r="F3698" s="1" t="s">
        <v>2971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2972</v>
      </c>
      <c r="D3699" s="1"/>
      <c r="E3699" s="1"/>
      <c r="F3699" s="1" t="s">
        <v>2973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2197</v>
      </c>
      <c r="E3700" s="1"/>
      <c r="F3700" s="1" t="s">
        <v>2974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2202</v>
      </c>
      <c r="D3701" s="1"/>
      <c r="E3701" s="1"/>
      <c r="F3701" s="1" t="s">
        <v>2975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1007</v>
      </c>
      <c r="D3702" s="1"/>
      <c r="E3702" s="1" t="s">
        <v>2</v>
      </c>
      <c r="F3702" s="1" t="s">
        <v>1008</v>
      </c>
      <c r="G3702" s="1">
        <v>4</v>
      </c>
      <c r="H3702" s="1" t="s">
        <v>19</v>
      </c>
      <c r="I3702" s="1" t="s">
        <v>590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1007</v>
      </c>
      <c r="D3703" s="1"/>
      <c r="E3703" s="1" t="s">
        <v>44</v>
      </c>
      <c r="F3703" s="1" t="s">
        <v>1009</v>
      </c>
      <c r="G3703" s="1">
        <v>2</v>
      </c>
      <c r="H3703" s="1" t="s">
        <v>19</v>
      </c>
      <c r="I3703" s="1" t="s">
        <v>590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1007</v>
      </c>
      <c r="D3704" s="1"/>
      <c r="E3704" s="1" t="s">
        <v>44</v>
      </c>
      <c r="F3704" s="1" t="s">
        <v>1010</v>
      </c>
      <c r="G3704" s="1">
        <v>1</v>
      </c>
      <c r="H3704" s="1" t="s">
        <v>19</v>
      </c>
      <c r="I3704" s="1" t="s">
        <v>590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1031</v>
      </c>
      <c r="D3705" s="1"/>
      <c r="E3705" s="1" t="s">
        <v>2</v>
      </c>
      <c r="F3705" s="1" t="s">
        <v>1032</v>
      </c>
      <c r="G3705" s="1">
        <v>4</v>
      </c>
      <c r="H3705" s="1" t="s">
        <v>19</v>
      </c>
      <c r="I3705" s="1" t="s">
        <v>586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1031</v>
      </c>
      <c r="D3706" s="1"/>
      <c r="E3706" s="1" t="s">
        <v>44</v>
      </c>
      <c r="F3706" s="1" t="s">
        <v>1033</v>
      </c>
      <c r="G3706" s="1">
        <v>2</v>
      </c>
      <c r="H3706" s="1" t="s">
        <v>19</v>
      </c>
      <c r="I3706" s="1" t="s">
        <v>586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1046</v>
      </c>
      <c r="D3707" s="1"/>
      <c r="E3707" s="1" t="s">
        <v>2</v>
      </c>
      <c r="F3707" s="1" t="s">
        <v>1047</v>
      </c>
      <c r="G3707" s="1">
        <v>4</v>
      </c>
      <c r="H3707" s="1" t="s">
        <v>19</v>
      </c>
      <c r="I3707" s="1" t="s">
        <v>635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1046</v>
      </c>
      <c r="D3708" s="1"/>
      <c r="E3708" s="1" t="s">
        <v>44</v>
      </c>
      <c r="F3708" s="1" t="s">
        <v>1048</v>
      </c>
      <c r="G3708" s="1">
        <v>2</v>
      </c>
      <c r="H3708" s="1" t="s">
        <v>19</v>
      </c>
      <c r="I3708" s="1" t="s">
        <v>635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1282</v>
      </c>
      <c r="D3709" s="1"/>
      <c r="E3709" s="1" t="s">
        <v>2</v>
      </c>
      <c r="F3709" s="1" t="s">
        <v>2976</v>
      </c>
      <c r="G3709" s="1">
        <v>1</v>
      </c>
      <c r="H3709" s="1" t="s">
        <v>19</v>
      </c>
      <c r="I3709" s="1" t="s">
        <v>630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1282</v>
      </c>
      <c r="D3710" s="1"/>
      <c r="E3710" s="1" t="s">
        <v>2</v>
      </c>
      <c r="F3710" s="1" t="s">
        <v>2977</v>
      </c>
      <c r="G3710" s="1">
        <v>4</v>
      </c>
      <c r="H3710" s="1" t="s">
        <v>19</v>
      </c>
      <c r="I3710" s="1" t="s">
        <v>630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928</v>
      </c>
      <c r="D3711" s="1"/>
      <c r="E3711" s="1" t="s">
        <v>1974</v>
      </c>
      <c r="F3711" s="1" t="s">
        <v>2978</v>
      </c>
      <c r="G3711" s="1">
        <v>1</v>
      </c>
      <c r="H3711" s="1" t="s">
        <v>19</v>
      </c>
      <c r="I3711" s="1" t="s">
        <v>630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928</v>
      </c>
      <c r="D3712" s="1"/>
      <c r="E3712" s="1" t="s">
        <v>2575</v>
      </c>
      <c r="F3712" s="1" t="s">
        <v>2979</v>
      </c>
      <c r="G3712" s="1">
        <v>1</v>
      </c>
      <c r="H3712" s="1" t="s">
        <v>19</v>
      </c>
      <c r="I3712" s="1" t="s">
        <v>630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183</v>
      </c>
      <c r="D3713" s="1"/>
      <c r="E3713" s="1" t="s">
        <v>2</v>
      </c>
      <c r="F3713" s="1" t="s">
        <v>2980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183</v>
      </c>
      <c r="D3714" s="1"/>
      <c r="E3714" s="1" t="s">
        <v>44</v>
      </c>
      <c r="F3714" s="1" t="s">
        <v>2981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2273</v>
      </c>
      <c r="D3715" s="1"/>
      <c r="E3715" s="1" t="s">
        <v>2</v>
      </c>
      <c r="F3715" s="1" t="s">
        <v>2274</v>
      </c>
      <c r="G3715" s="1">
        <v>38</v>
      </c>
      <c r="H3715" s="1" t="s">
        <v>19</v>
      </c>
      <c r="I3715" s="1" t="s">
        <v>2275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2273</v>
      </c>
      <c r="D3716" s="1"/>
      <c r="E3716" s="1" t="s">
        <v>44</v>
      </c>
      <c r="F3716" s="1" t="s">
        <v>3291</v>
      </c>
      <c r="G3716" s="1"/>
      <c r="H3716" s="1" t="s">
        <v>19</v>
      </c>
      <c r="I3716" s="1" t="s">
        <v>2275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2273</v>
      </c>
      <c r="D3717" s="1"/>
      <c r="E3717" s="1" t="s">
        <v>2</v>
      </c>
      <c r="F3717" s="1" t="s">
        <v>2274</v>
      </c>
      <c r="G3717" s="1">
        <v>38</v>
      </c>
      <c r="H3717" s="1" t="s">
        <v>19</v>
      </c>
      <c r="I3717" s="1" t="s">
        <v>2277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2273</v>
      </c>
      <c r="D3718" s="1"/>
      <c r="E3718" s="1" t="s">
        <v>44</v>
      </c>
      <c r="F3718" s="1" t="s">
        <v>3291</v>
      </c>
      <c r="G3718" s="1"/>
      <c r="H3718" s="1" t="s">
        <v>19</v>
      </c>
      <c r="I3718" s="1" t="s">
        <v>2277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2276</v>
      </c>
      <c r="D3719" s="1"/>
      <c r="E3719" s="1" t="s">
        <v>2</v>
      </c>
      <c r="F3719" s="1" t="s">
        <v>2279</v>
      </c>
      <c r="G3719" s="1">
        <v>1</v>
      </c>
      <c r="H3719" s="1" t="s">
        <v>19</v>
      </c>
      <c r="I3719" s="1" t="s">
        <v>2275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2276</v>
      </c>
      <c r="D3720" s="1"/>
      <c r="E3720" s="1" t="s">
        <v>2</v>
      </c>
      <c r="F3720" s="1" t="s">
        <v>2279</v>
      </c>
      <c r="G3720" s="1">
        <v>1</v>
      </c>
      <c r="H3720" s="1" t="s">
        <v>19</v>
      </c>
      <c r="I3720" s="1" t="s">
        <v>2277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2278</v>
      </c>
      <c r="D3721" s="1"/>
      <c r="E3721" s="1" t="s">
        <v>2</v>
      </c>
      <c r="F3721" s="1" t="s">
        <v>2280</v>
      </c>
      <c r="G3721" s="1">
        <v>4</v>
      </c>
      <c r="H3721" s="1" t="s">
        <v>19</v>
      </c>
      <c r="I3721" s="1" t="s">
        <v>2275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2278</v>
      </c>
      <c r="D3722" s="1"/>
      <c r="E3722" s="1" t="s">
        <v>2</v>
      </c>
      <c r="F3722" s="1" t="s">
        <v>2280</v>
      </c>
      <c r="G3722" s="1">
        <v>4</v>
      </c>
      <c r="H3722" s="1" t="s">
        <v>19</v>
      </c>
      <c r="I3722" s="1" t="s">
        <v>2277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83</v>
      </c>
      <c r="D3723" s="1"/>
      <c r="E3723" s="1"/>
      <c r="F3723" s="1" t="s">
        <v>2291</v>
      </c>
      <c r="G3723" s="1">
        <v>10</v>
      </c>
      <c r="H3723" s="1" t="s">
        <v>19</v>
      </c>
      <c r="I3723" s="1" t="s">
        <v>2275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83</v>
      </c>
      <c r="D3724" s="1"/>
      <c r="E3724" s="1"/>
      <c r="F3724" s="1" t="s">
        <v>2291</v>
      </c>
      <c r="G3724" s="1">
        <v>10</v>
      </c>
      <c r="H3724" s="1" t="s">
        <v>19</v>
      </c>
      <c r="I3724" s="1" t="s">
        <v>2277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2283</v>
      </c>
      <c r="D3725" s="1"/>
      <c r="E3725" s="1" t="s">
        <v>2</v>
      </c>
      <c r="F3725" s="1" t="s">
        <v>2284</v>
      </c>
      <c r="G3725" s="1">
        <v>9</v>
      </c>
      <c r="H3725" s="1" t="s">
        <v>19</v>
      </c>
      <c r="I3725" s="1" t="s">
        <v>2275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2283</v>
      </c>
      <c r="D3726" s="1"/>
      <c r="E3726" s="1" t="s">
        <v>2</v>
      </c>
      <c r="F3726" s="1" t="s">
        <v>2284</v>
      </c>
      <c r="G3726" s="1">
        <v>9</v>
      </c>
      <c r="H3726" s="1" t="s">
        <v>19</v>
      </c>
      <c r="I3726" s="1" t="s">
        <v>2277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2285</v>
      </c>
      <c r="D3727" s="1"/>
      <c r="E3727" s="1" t="s">
        <v>2</v>
      </c>
      <c r="F3727" s="1" t="s">
        <v>2286</v>
      </c>
      <c r="G3727" s="1">
        <v>11</v>
      </c>
      <c r="H3727" s="1" t="s">
        <v>19</v>
      </c>
      <c r="I3727" s="1" t="s">
        <v>2275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2285</v>
      </c>
      <c r="D3728" s="1"/>
      <c r="E3728" s="1" t="s">
        <v>2</v>
      </c>
      <c r="F3728" s="1" t="s">
        <v>2286</v>
      </c>
      <c r="G3728" s="1">
        <v>11</v>
      </c>
      <c r="H3728" s="1" t="s">
        <v>19</v>
      </c>
      <c r="I3728" s="1" t="s">
        <v>2277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2287</v>
      </c>
      <c r="D3729" s="1"/>
      <c r="E3729" s="1" t="s">
        <v>2</v>
      </c>
      <c r="F3729" s="1" t="s">
        <v>2288</v>
      </c>
      <c r="G3729" s="1">
        <v>2</v>
      </c>
      <c r="H3729" s="1" t="s">
        <v>19</v>
      </c>
      <c r="I3729" s="1" t="s">
        <v>2275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2287</v>
      </c>
      <c r="D3730" s="1"/>
      <c r="E3730" s="1" t="s">
        <v>2</v>
      </c>
      <c r="F3730" s="1" t="s">
        <v>2288</v>
      </c>
      <c r="G3730" s="1">
        <v>2</v>
      </c>
      <c r="H3730" s="1" t="s">
        <v>19</v>
      </c>
      <c r="I3730" s="1" t="s">
        <v>2277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140</v>
      </c>
      <c r="D3731" s="1"/>
      <c r="E3731" s="1"/>
      <c r="F3731" s="1" t="s">
        <v>189</v>
      </c>
      <c r="G3731" s="1">
        <v>96</v>
      </c>
      <c r="H3731" s="1" t="s">
        <v>19</v>
      </c>
      <c r="I3731" s="1" t="s">
        <v>2275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140</v>
      </c>
      <c r="D3732" s="1"/>
      <c r="E3732" s="1"/>
      <c r="F3732" s="1" t="s">
        <v>189</v>
      </c>
      <c r="G3732" s="1">
        <v>96</v>
      </c>
      <c r="H3732" s="1" t="s">
        <v>19</v>
      </c>
      <c r="I3732" s="1" t="s">
        <v>2277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141</v>
      </c>
      <c r="D3733" s="1"/>
      <c r="E3733" s="1"/>
      <c r="F3733" s="1" t="s">
        <v>1191</v>
      </c>
      <c r="G3733" s="1">
        <v>39</v>
      </c>
      <c r="H3733" s="1" t="s">
        <v>19</v>
      </c>
      <c r="I3733" s="1" t="s">
        <v>2275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141</v>
      </c>
      <c r="D3734" s="1"/>
      <c r="E3734" s="1"/>
      <c r="F3734" s="1" t="s">
        <v>1191</v>
      </c>
      <c r="G3734" s="1">
        <v>39</v>
      </c>
      <c r="H3734" s="1" t="s">
        <v>19</v>
      </c>
      <c r="I3734" s="1" t="s">
        <v>2277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102</v>
      </c>
      <c r="D3735" s="1"/>
      <c r="E3735" s="1"/>
      <c r="F3735" s="1" t="s">
        <v>147</v>
      </c>
      <c r="G3735" s="1">
        <v>2</v>
      </c>
      <c r="H3735" s="1" t="s">
        <v>19</v>
      </c>
      <c r="I3735" s="1" t="s">
        <v>2275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102</v>
      </c>
      <c r="D3736" s="1"/>
      <c r="E3736" s="1"/>
      <c r="F3736" s="1" t="s">
        <v>147</v>
      </c>
      <c r="G3736" s="1">
        <v>2</v>
      </c>
      <c r="H3736" s="1" t="s">
        <v>19</v>
      </c>
      <c r="I3736" s="1" t="s">
        <v>2277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104</v>
      </c>
      <c r="D3737" s="1"/>
      <c r="E3737" s="1"/>
      <c r="F3737" s="1" t="s">
        <v>125</v>
      </c>
      <c r="G3737" s="1">
        <v>4</v>
      </c>
      <c r="H3737" s="1" t="s">
        <v>19</v>
      </c>
      <c r="I3737" s="1" t="s">
        <v>2275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104</v>
      </c>
      <c r="D3738" s="1"/>
      <c r="E3738" s="1"/>
      <c r="F3738" s="1" t="s">
        <v>125</v>
      </c>
      <c r="G3738" s="1">
        <v>4</v>
      </c>
      <c r="H3738" s="1" t="s">
        <v>19</v>
      </c>
      <c r="I3738" s="1" t="s">
        <v>2277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3036</v>
      </c>
      <c r="D3739" s="1"/>
      <c r="E3739" s="1"/>
      <c r="F3739" s="1" t="s">
        <v>3037</v>
      </c>
      <c r="G3739" s="1">
        <v>78</v>
      </c>
      <c r="H3739" s="1" t="s">
        <v>19</v>
      </c>
      <c r="I3739" s="1" t="s">
        <v>3035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3038</v>
      </c>
      <c r="D3740" s="1"/>
      <c r="E3740" s="1"/>
      <c r="F3740" s="1" t="s">
        <v>3039</v>
      </c>
      <c r="G3740" s="1">
        <v>45</v>
      </c>
      <c r="H3740" s="1" t="s">
        <v>19</v>
      </c>
      <c r="I3740" s="1" t="s">
        <v>3035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3042</v>
      </c>
      <c r="D3741" s="1"/>
      <c r="E3741" s="1"/>
      <c r="F3741" s="1" t="s">
        <v>3043</v>
      </c>
      <c r="G3741" s="1">
        <v>10</v>
      </c>
      <c r="H3741" s="1" t="s">
        <v>19</v>
      </c>
      <c r="I3741" s="1" t="s">
        <v>3035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3049</v>
      </c>
      <c r="D3742" s="1"/>
      <c r="E3742" s="1"/>
      <c r="F3742" s="1" t="s">
        <v>3050</v>
      </c>
      <c r="G3742" s="1">
        <v>6</v>
      </c>
      <c r="H3742" s="1" t="s">
        <v>19</v>
      </c>
      <c r="I3742" s="1" t="s">
        <v>3046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3051</v>
      </c>
      <c r="D3743" s="1"/>
      <c r="E3743" s="1"/>
      <c r="F3743" s="1" t="s">
        <v>3052</v>
      </c>
      <c r="G3743" s="1">
        <v>21</v>
      </c>
      <c r="H3743" s="1" t="s">
        <v>19</v>
      </c>
      <c r="I3743" s="1" t="s">
        <v>3046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123</v>
      </c>
      <c r="D3744" s="1"/>
      <c r="E3744" s="1"/>
      <c r="F3744" s="1" t="s">
        <v>3053</v>
      </c>
      <c r="G3744" s="1">
        <v>13</v>
      </c>
      <c r="H3744" s="1" t="s">
        <v>19</v>
      </c>
      <c r="I3744" s="1" t="s">
        <v>3046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3143</v>
      </c>
      <c r="D3745" s="1"/>
      <c r="E3745" s="1"/>
      <c r="F3745" s="1" t="s">
        <v>3144</v>
      </c>
      <c r="G3745" s="1">
        <v>6</v>
      </c>
      <c r="H3745" s="1" t="s">
        <v>19</v>
      </c>
      <c r="I3745" s="1" t="s">
        <v>3141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3103</v>
      </c>
      <c r="D3746" s="1"/>
      <c r="E3746" s="1"/>
      <c r="F3746" s="1" t="s">
        <v>3104</v>
      </c>
      <c r="G3746" s="1">
        <v>72</v>
      </c>
      <c r="H3746" s="1" t="s">
        <v>19</v>
      </c>
      <c r="I3746" s="1" t="s">
        <v>3094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3071</v>
      </c>
      <c r="D3747" s="1"/>
      <c r="E3747" s="1"/>
      <c r="F3747" s="1" t="s">
        <v>3073</v>
      </c>
      <c r="G3747" s="1">
        <v>45</v>
      </c>
      <c r="H3747" s="1" t="s">
        <v>19</v>
      </c>
      <c r="I3747" s="1" t="s">
        <v>3046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3076</v>
      </c>
      <c r="D3748" s="1"/>
      <c r="E3748" s="1"/>
      <c r="F3748" s="1" t="s">
        <v>3077</v>
      </c>
      <c r="G3748" s="1">
        <v>15</v>
      </c>
      <c r="H3748" s="1" t="s">
        <v>19</v>
      </c>
      <c r="I3748" s="1" t="s">
        <v>3046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3082</v>
      </c>
      <c r="D3749" s="1"/>
      <c r="E3749" s="1" t="s">
        <v>2</v>
      </c>
      <c r="F3749" s="1" t="s">
        <v>3083</v>
      </c>
      <c r="G3749" s="1">
        <v>38</v>
      </c>
      <c r="H3749" s="1" t="s">
        <v>19</v>
      </c>
      <c r="I3749" s="1" t="s">
        <v>3035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3082</v>
      </c>
      <c r="D3750" s="1"/>
      <c r="E3750" s="1" t="s">
        <v>44</v>
      </c>
      <c r="F3750" s="1" t="s">
        <v>3307</v>
      </c>
      <c r="G3750" s="1">
        <v>76</v>
      </c>
      <c r="H3750" s="1" t="s">
        <v>19</v>
      </c>
      <c r="I3750" s="1" t="s">
        <v>3035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3087</v>
      </c>
      <c r="D3751" s="1"/>
      <c r="E3751" s="1"/>
      <c r="F3751" s="1" t="s">
        <v>3086</v>
      </c>
      <c r="G3751" s="1">
        <v>8</v>
      </c>
      <c r="H3751" s="1" t="s">
        <v>19</v>
      </c>
      <c r="I3751" s="1" t="s">
        <v>3035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3098</v>
      </c>
      <c r="D3752" s="1"/>
      <c r="E3752" s="1"/>
      <c r="F3752" s="1" t="s">
        <v>3097</v>
      </c>
      <c r="G3752" s="1">
        <v>4</v>
      </c>
      <c r="H3752" s="1" t="s">
        <v>19</v>
      </c>
      <c r="I3752" s="1" t="s">
        <v>3094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3064</v>
      </c>
      <c r="D3753" s="1"/>
      <c r="E3753" s="1"/>
      <c r="F3753" s="1" t="s">
        <v>3092</v>
      </c>
      <c r="G3753" s="1">
        <v>4</v>
      </c>
      <c r="H3753" s="1" t="s">
        <v>19</v>
      </c>
      <c r="I3753" s="1" t="s">
        <v>3035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3064</v>
      </c>
      <c r="D3754" s="1"/>
      <c r="E3754" s="1"/>
      <c r="F3754" s="1" t="s">
        <v>3093</v>
      </c>
      <c r="G3754" s="1">
        <v>4</v>
      </c>
      <c r="H3754" s="1" t="s">
        <v>19</v>
      </c>
      <c r="I3754" s="1" t="s">
        <v>3094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3064</v>
      </c>
      <c r="D3755" s="1"/>
      <c r="E3755" s="1"/>
      <c r="F3755" s="1" t="s">
        <v>3065</v>
      </c>
      <c r="G3755" s="1">
        <v>4</v>
      </c>
      <c r="H3755" s="1" t="s">
        <v>19</v>
      </c>
      <c r="I3755" s="1" t="s">
        <v>3046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3095</v>
      </c>
      <c r="D3756" s="1"/>
      <c r="E3756" s="1" t="s">
        <v>2</v>
      </c>
      <c r="F3756" s="1" t="s">
        <v>3096</v>
      </c>
      <c r="G3756" s="1">
        <v>23</v>
      </c>
      <c r="H3756" s="1" t="s">
        <v>19</v>
      </c>
      <c r="I3756" s="1" t="s">
        <v>3094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3099</v>
      </c>
      <c r="D3757" s="1"/>
      <c r="E3757" s="1"/>
      <c r="F3757" s="1" t="s">
        <v>3100</v>
      </c>
      <c r="G3757" s="1">
        <v>2</v>
      </c>
      <c r="H3757" s="1" t="s">
        <v>19</v>
      </c>
      <c r="I3757" s="1" t="s">
        <v>3094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3064</v>
      </c>
      <c r="D3758" s="1"/>
      <c r="E3758" s="1"/>
      <c r="F3758" s="1" t="s">
        <v>3161</v>
      </c>
      <c r="G3758" s="1">
        <v>4</v>
      </c>
      <c r="H3758" s="1" t="s">
        <v>19</v>
      </c>
      <c r="I3758" s="1" t="s">
        <v>3141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3074</v>
      </c>
      <c r="D3759" s="1"/>
      <c r="E3759" s="1"/>
      <c r="F3759" s="1" t="s">
        <v>3308</v>
      </c>
      <c r="G3759" s="1">
        <v>11</v>
      </c>
      <c r="H3759" s="1" t="s">
        <v>19</v>
      </c>
      <c r="I3759" s="1" t="s">
        <v>3046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3069</v>
      </c>
      <c r="D3760" s="1"/>
      <c r="E3760" s="1"/>
      <c r="F3760" s="1" t="s">
        <v>3070</v>
      </c>
      <c r="G3760" s="1">
        <v>2</v>
      </c>
      <c r="H3760" s="1" t="s">
        <v>19</v>
      </c>
      <c r="I3760" s="1" t="s">
        <v>3046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3157</v>
      </c>
      <c r="D3761" s="1"/>
      <c r="E3761" s="1"/>
      <c r="F3761" s="1" t="s">
        <v>3160</v>
      </c>
      <c r="G3761" s="1">
        <v>14</v>
      </c>
      <c r="H3761" s="1" t="s">
        <v>19</v>
      </c>
      <c r="I3761" s="1" t="s">
        <v>3141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139</v>
      </c>
      <c r="D3762" s="1"/>
      <c r="E3762" s="1"/>
      <c r="F3762" s="1" t="s">
        <v>3024</v>
      </c>
      <c r="G3762" s="1">
        <v>71</v>
      </c>
      <c r="H3762" s="1" t="s">
        <v>19</v>
      </c>
      <c r="I3762" s="1" t="s">
        <v>3309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855</v>
      </c>
      <c r="D3763" s="1"/>
      <c r="E3763" s="1" t="s">
        <v>2</v>
      </c>
      <c r="F3763" s="1" t="s">
        <v>826</v>
      </c>
      <c r="G3763" s="1">
        <v>1</v>
      </c>
      <c r="H3763" s="1" t="s">
        <v>19</v>
      </c>
      <c r="I3763" s="1" t="s">
        <v>425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855</v>
      </c>
      <c r="D3764" s="1"/>
      <c r="E3764" s="1" t="s">
        <v>44</v>
      </c>
      <c r="F3764" s="1" t="s">
        <v>827</v>
      </c>
      <c r="G3764" s="1">
        <v>1</v>
      </c>
      <c r="H3764" s="1" t="s">
        <v>19</v>
      </c>
      <c r="I3764" s="1" t="s">
        <v>428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855</v>
      </c>
      <c r="D3765" s="1"/>
      <c r="E3765" s="1" t="s">
        <v>747</v>
      </c>
      <c r="F3765" s="1" t="s">
        <v>828</v>
      </c>
      <c r="G3765" s="1">
        <v>1</v>
      </c>
      <c r="H3765" s="1" t="s">
        <v>19</v>
      </c>
      <c r="I3765" s="1" t="s">
        <v>424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855</v>
      </c>
      <c r="D3766" s="1"/>
      <c r="E3766" s="1" t="s">
        <v>747</v>
      </c>
      <c r="F3766" s="1" t="s">
        <v>828</v>
      </c>
      <c r="G3766" s="1">
        <v>1</v>
      </c>
      <c r="H3766" s="1" t="s">
        <v>19</v>
      </c>
      <c r="I3766" s="1" t="s">
        <v>425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855</v>
      </c>
      <c r="D3767" s="1"/>
      <c r="E3767" s="1" t="s">
        <v>747</v>
      </c>
      <c r="F3767" s="1" t="s">
        <v>828</v>
      </c>
      <c r="G3767" s="1">
        <v>1</v>
      </c>
      <c r="H3767" s="1" t="s">
        <v>19</v>
      </c>
      <c r="I3767" s="1" t="s">
        <v>426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855</v>
      </c>
      <c r="D3768" s="1"/>
      <c r="E3768" s="1" t="s">
        <v>1102</v>
      </c>
      <c r="F3768" s="1" t="s">
        <v>829</v>
      </c>
      <c r="G3768" s="1">
        <v>2</v>
      </c>
      <c r="H3768" s="1" t="s">
        <v>19</v>
      </c>
      <c r="I3768" s="1" t="s">
        <v>424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855</v>
      </c>
      <c r="D3769" s="1"/>
      <c r="E3769" s="1" t="s">
        <v>101</v>
      </c>
      <c r="F3769" s="1" t="s">
        <v>830</v>
      </c>
      <c r="G3769" s="1">
        <v>1</v>
      </c>
      <c r="H3769" s="1" t="s">
        <v>19</v>
      </c>
      <c r="I3769" s="1" t="s">
        <v>424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855</v>
      </c>
      <c r="D3770" s="1"/>
      <c r="E3770" s="1" t="s">
        <v>174</v>
      </c>
      <c r="F3770" s="1" t="s">
        <v>831</v>
      </c>
      <c r="G3770" s="1">
        <v>1</v>
      </c>
      <c r="H3770" s="1" t="s">
        <v>19</v>
      </c>
      <c r="I3770" s="1" t="s">
        <v>424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855</v>
      </c>
      <c r="D3771" s="1"/>
      <c r="E3771" s="1" t="s">
        <v>462</v>
      </c>
      <c r="F3771" s="1" t="s">
        <v>832</v>
      </c>
      <c r="G3771" s="1">
        <v>1</v>
      </c>
      <c r="H3771" s="1" t="s">
        <v>19</v>
      </c>
      <c r="I3771" s="1" t="s">
        <v>424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855</v>
      </c>
      <c r="D3772" s="1"/>
      <c r="E3772" s="1" t="s">
        <v>1105</v>
      </c>
      <c r="F3772" s="1" t="s">
        <v>836</v>
      </c>
      <c r="G3772" s="1">
        <v>1</v>
      </c>
      <c r="H3772" s="1" t="s">
        <v>19</v>
      </c>
      <c r="I3772" s="1" t="s">
        <v>424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855</v>
      </c>
      <c r="D3773" s="1"/>
      <c r="E3773" s="1" t="s">
        <v>1105</v>
      </c>
      <c r="F3773" s="1" t="s">
        <v>836</v>
      </c>
      <c r="G3773" s="1">
        <v>1</v>
      </c>
      <c r="H3773" s="1" t="s">
        <v>19</v>
      </c>
      <c r="I3773" s="1" t="s">
        <v>425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855</v>
      </c>
      <c r="D3774" s="1"/>
      <c r="E3774" s="1" t="s">
        <v>1106</v>
      </c>
      <c r="F3774" s="1" t="s">
        <v>837</v>
      </c>
      <c r="G3774" s="1">
        <v>1</v>
      </c>
      <c r="H3774" s="1" t="s">
        <v>19</v>
      </c>
      <c r="I3774" s="1" t="s">
        <v>424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855</v>
      </c>
      <c r="D3775" s="1"/>
      <c r="E3775" s="1" t="s">
        <v>1106</v>
      </c>
      <c r="F3775" s="1" t="s">
        <v>837</v>
      </c>
      <c r="G3775" s="1">
        <v>1</v>
      </c>
      <c r="H3775" s="1" t="s">
        <v>19</v>
      </c>
      <c r="I3775" s="1" t="s">
        <v>425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855</v>
      </c>
      <c r="D3776" s="1"/>
      <c r="E3776" s="1" t="s">
        <v>1108</v>
      </c>
      <c r="F3776" s="1" t="s">
        <v>839</v>
      </c>
      <c r="G3776" s="1">
        <v>4</v>
      </c>
      <c r="H3776" s="1" t="s">
        <v>19</v>
      </c>
      <c r="I3776" s="1" t="s">
        <v>426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855</v>
      </c>
      <c r="D3777" s="1"/>
      <c r="E3777" s="1" t="s">
        <v>1113</v>
      </c>
      <c r="F3777" s="1" t="s">
        <v>844</v>
      </c>
      <c r="G3777" s="1">
        <v>3</v>
      </c>
      <c r="H3777" s="1" t="s">
        <v>19</v>
      </c>
      <c r="I3777" s="1" t="s">
        <v>424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855</v>
      </c>
      <c r="D3778" s="1"/>
      <c r="E3778" s="1" t="s">
        <v>1113</v>
      </c>
      <c r="F3778" s="1" t="s">
        <v>844</v>
      </c>
      <c r="G3778" s="1">
        <v>3</v>
      </c>
      <c r="H3778" s="1" t="s">
        <v>19</v>
      </c>
      <c r="I3778" s="1" t="s">
        <v>425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855</v>
      </c>
      <c r="D3779" s="1"/>
      <c r="E3779" s="1" t="s">
        <v>1114</v>
      </c>
      <c r="F3779" s="1" t="s">
        <v>845</v>
      </c>
      <c r="G3779" s="1">
        <v>4</v>
      </c>
      <c r="H3779" s="1" t="s">
        <v>19</v>
      </c>
      <c r="I3779" s="1" t="s">
        <v>426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855</v>
      </c>
      <c r="D3780" s="1"/>
      <c r="E3780" s="1" t="s">
        <v>1115</v>
      </c>
      <c r="F3780" s="1" t="s">
        <v>847</v>
      </c>
      <c r="G3780" s="1">
        <v>2</v>
      </c>
      <c r="H3780" s="1" t="s">
        <v>19</v>
      </c>
      <c r="I3780" s="1" t="s">
        <v>424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855</v>
      </c>
      <c r="D3781" s="1"/>
      <c r="E3781" s="1" t="s">
        <v>1115</v>
      </c>
      <c r="F3781" s="1" t="s">
        <v>847</v>
      </c>
      <c r="G3781" s="1">
        <v>2</v>
      </c>
      <c r="H3781" s="1" t="s">
        <v>19</v>
      </c>
      <c r="I3781" s="1" t="s">
        <v>425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855</v>
      </c>
      <c r="D3782" s="1"/>
      <c r="E3782" s="1" t="s">
        <v>11</v>
      </c>
      <c r="F3782" s="1" t="s">
        <v>850</v>
      </c>
      <c r="G3782" s="1">
        <v>2</v>
      </c>
      <c r="H3782" s="1" t="s">
        <v>19</v>
      </c>
      <c r="I3782" s="1" t="s">
        <v>424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855</v>
      </c>
      <c r="D3783" s="1"/>
      <c r="E3783" s="1" t="s">
        <v>1118</v>
      </c>
      <c r="F3783" s="1" t="s">
        <v>852</v>
      </c>
      <c r="G3783" s="1">
        <v>1</v>
      </c>
      <c r="H3783" s="1" t="s">
        <v>19</v>
      </c>
      <c r="I3783" s="1" t="s">
        <v>425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855</v>
      </c>
      <c r="D3784" s="1"/>
      <c r="E3784" s="1" t="s">
        <v>1118</v>
      </c>
      <c r="F3784" s="1" t="s">
        <v>853</v>
      </c>
      <c r="G3784" s="1">
        <v>1</v>
      </c>
      <c r="H3784" s="1" t="s">
        <v>19</v>
      </c>
      <c r="I3784" s="1" t="s">
        <v>425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855</v>
      </c>
      <c r="D3785" s="1"/>
      <c r="E3785" s="1" t="s">
        <v>3335</v>
      </c>
      <c r="F3785" s="1" t="s">
        <v>3202</v>
      </c>
      <c r="G3785" s="1">
        <v>2</v>
      </c>
      <c r="H3785" s="1" t="s">
        <v>19</v>
      </c>
      <c r="I3785" s="1" t="s">
        <v>425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855</v>
      </c>
      <c r="D3786" s="1"/>
      <c r="E3786" s="1" t="s">
        <v>3336</v>
      </c>
      <c r="F3786" s="1" t="s">
        <v>3198</v>
      </c>
      <c r="G3786" s="1">
        <v>2</v>
      </c>
      <c r="H3786" s="1" t="s">
        <v>19</v>
      </c>
      <c r="I3786" s="1" t="s">
        <v>424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855</v>
      </c>
      <c r="D3787" s="1"/>
      <c r="E3787" s="1" t="s">
        <v>3336</v>
      </c>
      <c r="F3787" s="1" t="s">
        <v>3198</v>
      </c>
      <c r="G3787" s="1">
        <v>2</v>
      </c>
      <c r="H3787" s="1" t="s">
        <v>19</v>
      </c>
      <c r="I3787" s="1" t="s">
        <v>425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855</v>
      </c>
      <c r="D3788" s="1"/>
      <c r="E3788" s="1" t="s">
        <v>3337</v>
      </c>
      <c r="F3788" s="1" t="s">
        <v>3199</v>
      </c>
      <c r="G3788" s="1">
        <v>2</v>
      </c>
      <c r="H3788" s="1" t="s">
        <v>19</v>
      </c>
      <c r="I3788" s="1" t="s">
        <v>424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855</v>
      </c>
      <c r="D3789" s="1"/>
      <c r="E3789" s="1" t="s">
        <v>3337</v>
      </c>
      <c r="F3789" s="1" t="s">
        <v>3199</v>
      </c>
      <c r="G3789" s="1">
        <v>2</v>
      </c>
      <c r="H3789" s="1" t="s">
        <v>19</v>
      </c>
      <c r="I3789" s="1" t="s">
        <v>425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855</v>
      </c>
      <c r="D3790" s="1"/>
      <c r="E3790" s="1" t="s">
        <v>3338</v>
      </c>
      <c r="F3790" s="1" t="s">
        <v>3200</v>
      </c>
      <c r="G3790" s="1">
        <v>1</v>
      </c>
      <c r="H3790" s="1" t="s">
        <v>19</v>
      </c>
      <c r="I3790" s="1" t="s">
        <v>424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855</v>
      </c>
      <c r="D3791" s="1"/>
      <c r="E3791" s="1" t="s">
        <v>3339</v>
      </c>
      <c r="F3791" s="1" t="s">
        <v>3201</v>
      </c>
      <c r="G3791" s="1">
        <v>1</v>
      </c>
      <c r="H3791" s="1" t="s">
        <v>19</v>
      </c>
      <c r="I3791" s="1" t="s">
        <v>424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855</v>
      </c>
      <c r="D3792" s="1"/>
      <c r="E3792" s="1" t="s">
        <v>3340</v>
      </c>
      <c r="F3792" s="1" t="s">
        <v>3244</v>
      </c>
      <c r="G3792" s="1">
        <v>2</v>
      </c>
      <c r="H3792" s="1" t="s">
        <v>19</v>
      </c>
      <c r="I3792" s="1" t="s">
        <v>426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855</v>
      </c>
      <c r="D3793" s="1"/>
      <c r="E3793" s="1" t="s">
        <v>2439</v>
      </c>
      <c r="F3793" s="1" t="s">
        <v>1064</v>
      </c>
      <c r="G3793" s="1">
        <v>2</v>
      </c>
      <c r="H3793" s="1" t="s">
        <v>19</v>
      </c>
      <c r="I3793" s="1" t="s">
        <v>426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855</v>
      </c>
      <c r="D3794" s="1"/>
      <c r="E3794" s="1" t="s">
        <v>3341</v>
      </c>
      <c r="F3794" s="1" t="s">
        <v>3245</v>
      </c>
      <c r="G3794" s="1">
        <v>1</v>
      </c>
      <c r="H3794" s="1" t="s">
        <v>19</v>
      </c>
      <c r="I3794" s="1" t="s">
        <v>426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855</v>
      </c>
      <c r="D3795" s="1"/>
      <c r="E3795" s="1" t="s">
        <v>3342</v>
      </c>
      <c r="F3795" s="1" t="s">
        <v>3246</v>
      </c>
      <c r="G3795" s="1">
        <v>6</v>
      </c>
      <c r="H3795" s="1" t="s">
        <v>19</v>
      </c>
      <c r="I3795" s="1" t="s">
        <v>427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855</v>
      </c>
      <c r="D3796" s="1"/>
      <c r="E3796" s="1" t="s">
        <v>3343</v>
      </c>
      <c r="F3796" s="1" t="s">
        <v>3247</v>
      </c>
      <c r="G3796" s="1">
        <v>2</v>
      </c>
      <c r="H3796" s="1" t="s">
        <v>19</v>
      </c>
      <c r="I3796" s="1" t="s">
        <v>427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855</v>
      </c>
      <c r="D3797" s="1"/>
      <c r="E3797" s="1" t="s">
        <v>3344</v>
      </c>
      <c r="F3797" s="1" t="s">
        <v>3248</v>
      </c>
      <c r="G3797" s="1">
        <v>1</v>
      </c>
      <c r="H3797" s="1" t="s">
        <v>19</v>
      </c>
      <c r="I3797" s="1" t="s">
        <v>427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855</v>
      </c>
      <c r="D3798" s="1"/>
      <c r="E3798" s="1" t="s">
        <v>3345</v>
      </c>
      <c r="F3798" s="1" t="s">
        <v>3249</v>
      </c>
      <c r="G3798" s="1">
        <v>1</v>
      </c>
      <c r="H3798" s="1" t="s">
        <v>19</v>
      </c>
      <c r="I3798" s="1" t="s">
        <v>427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855</v>
      </c>
      <c r="D3799" s="1"/>
      <c r="E3799" s="1" t="s">
        <v>3346</v>
      </c>
      <c r="F3799" s="1" t="s">
        <v>3250</v>
      </c>
      <c r="G3799" s="1">
        <v>1</v>
      </c>
      <c r="H3799" s="1" t="s">
        <v>19</v>
      </c>
      <c r="I3799" s="1" t="s">
        <v>427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855</v>
      </c>
      <c r="D3800" s="1"/>
      <c r="E3800" s="1" t="s">
        <v>3347</v>
      </c>
      <c r="F3800" s="1" t="s">
        <v>3251</v>
      </c>
      <c r="G3800" s="1">
        <v>1</v>
      </c>
      <c r="H3800" s="1" t="s">
        <v>19</v>
      </c>
      <c r="I3800" s="1" t="s">
        <v>427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855</v>
      </c>
      <c r="D3801" s="1"/>
      <c r="E3801" s="1" t="s">
        <v>3348</v>
      </c>
      <c r="F3801" s="1" t="s">
        <v>3252</v>
      </c>
      <c r="G3801" s="1">
        <v>1</v>
      </c>
      <c r="H3801" s="1" t="s">
        <v>19</v>
      </c>
      <c r="I3801" s="1" t="s">
        <v>427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855</v>
      </c>
      <c r="D3802" s="1"/>
      <c r="E3802" s="1" t="s">
        <v>3349</v>
      </c>
      <c r="F3802" s="1" t="s">
        <v>3253</v>
      </c>
      <c r="G3802" s="1">
        <v>1</v>
      </c>
      <c r="H3802" s="1" t="s">
        <v>19</v>
      </c>
      <c r="I3802" s="1" t="s">
        <v>427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855</v>
      </c>
      <c r="D3803" s="1"/>
      <c r="E3803" s="1" t="s">
        <v>2454</v>
      </c>
      <c r="F3803" s="1" t="s">
        <v>1072</v>
      </c>
      <c r="G3803" s="1">
        <v>1</v>
      </c>
      <c r="H3803" s="1" t="s">
        <v>19</v>
      </c>
      <c r="I3803" s="1" t="s">
        <v>427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855</v>
      </c>
      <c r="D3804" s="1"/>
      <c r="E3804" s="1" t="s">
        <v>3350</v>
      </c>
      <c r="F3804" s="1" t="s">
        <v>3254</v>
      </c>
      <c r="G3804" s="1">
        <v>1</v>
      </c>
      <c r="H3804" s="1" t="s">
        <v>19</v>
      </c>
      <c r="I3804" s="1" t="s">
        <v>427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855</v>
      </c>
      <c r="D3805" s="1"/>
      <c r="E3805" s="1" t="s">
        <v>3351</v>
      </c>
      <c r="F3805" s="1" t="s">
        <v>3255</v>
      </c>
      <c r="G3805" s="1">
        <v>1</v>
      </c>
      <c r="H3805" s="1" t="s">
        <v>19</v>
      </c>
      <c r="I3805" s="1" t="s">
        <v>427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855</v>
      </c>
      <c r="D3806" s="1"/>
      <c r="E3806" s="1" t="s">
        <v>3352</v>
      </c>
      <c r="F3806" s="1" t="s">
        <v>3256</v>
      </c>
      <c r="G3806" s="1">
        <v>1</v>
      </c>
      <c r="H3806" s="1" t="s">
        <v>19</v>
      </c>
      <c r="I3806" s="1" t="s">
        <v>427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855</v>
      </c>
      <c r="D3807" s="1"/>
      <c r="E3807" s="1" t="s">
        <v>3353</v>
      </c>
      <c r="F3807" s="1" t="s">
        <v>3257</v>
      </c>
      <c r="G3807" s="1">
        <v>1</v>
      </c>
      <c r="H3807" s="1" t="s">
        <v>19</v>
      </c>
      <c r="I3807" s="1" t="s">
        <v>427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855</v>
      </c>
      <c r="D3808" s="1"/>
      <c r="E3808" s="1" t="s">
        <v>3354</v>
      </c>
      <c r="F3808" s="1" t="s">
        <v>3258</v>
      </c>
      <c r="G3808" s="1">
        <v>1</v>
      </c>
      <c r="H3808" s="1" t="s">
        <v>19</v>
      </c>
      <c r="I3808" s="1" t="s">
        <v>428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855</v>
      </c>
      <c r="D3809" s="1"/>
      <c r="E3809" s="1" t="s">
        <v>3355</v>
      </c>
      <c r="F3809" s="1" t="s">
        <v>3259</v>
      </c>
      <c r="G3809" s="1">
        <v>2</v>
      </c>
      <c r="H3809" s="1" t="s">
        <v>19</v>
      </c>
      <c r="I3809" s="1" t="s">
        <v>428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855</v>
      </c>
      <c r="D3810" s="1"/>
      <c r="E3810" s="1" t="s">
        <v>3356</v>
      </c>
      <c r="F3810" s="1" t="s">
        <v>3260</v>
      </c>
      <c r="G3810" s="1">
        <v>2</v>
      </c>
      <c r="H3810" s="1" t="s">
        <v>19</v>
      </c>
      <c r="I3810" s="1" t="s">
        <v>428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855</v>
      </c>
      <c r="D3811" s="1"/>
      <c r="E3811" s="1" t="s">
        <v>3357</v>
      </c>
      <c r="F3811" s="1" t="s">
        <v>3261</v>
      </c>
      <c r="G3811" s="1">
        <v>2</v>
      </c>
      <c r="H3811" s="1" t="s">
        <v>19</v>
      </c>
      <c r="I3811" s="1" t="s">
        <v>428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855</v>
      </c>
      <c r="D3812" s="1"/>
      <c r="E3812" s="1" t="s">
        <v>3358</v>
      </c>
      <c r="F3812" s="1" t="s">
        <v>3263</v>
      </c>
      <c r="G3812" s="1">
        <v>1</v>
      </c>
      <c r="H3812" s="1" t="s">
        <v>19</v>
      </c>
      <c r="I3812" s="1" t="s">
        <v>428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855</v>
      </c>
      <c r="D3813" s="1"/>
      <c r="E3813" s="1" t="s">
        <v>2449</v>
      </c>
      <c r="F3813" s="1" t="s">
        <v>1075</v>
      </c>
      <c r="G3813" s="1">
        <v>1</v>
      </c>
      <c r="H3813" s="1" t="s">
        <v>19</v>
      </c>
      <c r="I3813" s="1" t="s">
        <v>428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855</v>
      </c>
      <c r="D3814" s="1"/>
      <c r="E3814" s="1" t="s">
        <v>3359</v>
      </c>
      <c r="F3814" s="1" t="s">
        <v>3264</v>
      </c>
      <c r="G3814" s="1">
        <v>1</v>
      </c>
      <c r="H3814" s="1" t="s">
        <v>19</v>
      </c>
      <c r="I3814" s="1" t="s">
        <v>428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855</v>
      </c>
      <c r="D3815" s="1"/>
      <c r="E3815" s="1" t="s">
        <v>3360</v>
      </c>
      <c r="F3815" s="1" t="s">
        <v>3265</v>
      </c>
      <c r="G3815" s="1">
        <v>1</v>
      </c>
      <c r="H3815" s="1" t="s">
        <v>19</v>
      </c>
      <c r="I3815" s="1" t="s">
        <v>428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855</v>
      </c>
      <c r="D3816" s="1"/>
      <c r="E3816" s="1" t="s">
        <v>3361</v>
      </c>
      <c r="F3816" s="1" t="s">
        <v>3266</v>
      </c>
      <c r="G3816" s="1">
        <v>1</v>
      </c>
      <c r="H3816" s="1" t="s">
        <v>19</v>
      </c>
      <c r="I3816" s="1" t="s">
        <v>428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855</v>
      </c>
      <c r="D3817" s="1"/>
      <c r="E3817" s="1" t="s">
        <v>2452</v>
      </c>
      <c r="F3817" s="1" t="s">
        <v>1139</v>
      </c>
      <c r="G3817" s="1">
        <v>12</v>
      </c>
      <c r="H3817" s="1" t="s">
        <v>19</v>
      </c>
      <c r="I3817" s="1" t="s">
        <v>428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3231</v>
      </c>
      <c r="D3818" s="1"/>
      <c r="E3818" s="1" t="s">
        <v>1105</v>
      </c>
      <c r="F3818" s="1" t="s">
        <v>3232</v>
      </c>
      <c r="G3818" s="1">
        <v>1</v>
      </c>
      <c r="H3818" s="1" t="s">
        <v>19</v>
      </c>
      <c r="I3818" s="1" t="s">
        <v>428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999</v>
      </c>
      <c r="D3819" s="1"/>
      <c r="E3819" s="1" t="s">
        <v>747</v>
      </c>
      <c r="F3819" s="1" t="s">
        <v>1000</v>
      </c>
      <c r="G3819" s="1">
        <v>8</v>
      </c>
      <c r="H3819" s="1" t="s">
        <v>19</v>
      </c>
      <c r="I3819" s="1" t="s">
        <v>428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999</v>
      </c>
      <c r="D3820" s="1"/>
      <c r="E3820" s="1" t="s">
        <v>1102</v>
      </c>
      <c r="F3820" s="1" t="s">
        <v>1001</v>
      </c>
      <c r="G3820" s="1">
        <v>3</v>
      </c>
      <c r="H3820" s="1" t="s">
        <v>19</v>
      </c>
      <c r="I3820" s="1" t="s">
        <v>428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999</v>
      </c>
      <c r="D3821" s="1"/>
      <c r="E3821" s="1" t="s">
        <v>101</v>
      </c>
      <c r="F3821" s="1" t="s">
        <v>3233</v>
      </c>
      <c r="G3821" s="1">
        <v>1</v>
      </c>
      <c r="H3821" s="1" t="s">
        <v>19</v>
      </c>
      <c r="I3821" s="1" t="s">
        <v>428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901</v>
      </c>
      <c r="D3822" s="1"/>
      <c r="E3822" s="1" t="s">
        <v>1102</v>
      </c>
      <c r="F3822" s="1" t="s">
        <v>904</v>
      </c>
      <c r="G3822" s="1">
        <v>1</v>
      </c>
      <c r="H3822" s="1" t="s">
        <v>19</v>
      </c>
      <c r="I3822" s="1" t="s">
        <v>427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901</v>
      </c>
      <c r="D3823" s="1"/>
      <c r="E3823" s="1" t="s">
        <v>101</v>
      </c>
      <c r="F3823" s="1" t="s">
        <v>905</v>
      </c>
      <c r="G3823" s="1">
        <v>1</v>
      </c>
      <c r="H3823" s="1" t="s">
        <v>19</v>
      </c>
      <c r="I3823" s="1" t="s">
        <v>427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3203</v>
      </c>
      <c r="D3824" s="1"/>
      <c r="E3824" s="1" t="s">
        <v>2</v>
      </c>
      <c r="F3824" s="1" t="s">
        <v>3204</v>
      </c>
      <c r="G3824" s="1">
        <v>1</v>
      </c>
      <c r="H3824" s="1" t="s">
        <v>19</v>
      </c>
      <c r="I3824" s="1" t="s">
        <v>425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855</v>
      </c>
      <c r="D3825" s="1"/>
      <c r="E3825" s="1" t="s">
        <v>2</v>
      </c>
      <c r="F3825" s="1" t="s">
        <v>826</v>
      </c>
      <c r="G3825" s="1">
        <v>1</v>
      </c>
      <c r="H3825" s="1" t="s">
        <v>19</v>
      </c>
      <c r="I3825" s="1" t="s">
        <v>425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855</v>
      </c>
      <c r="D3826" s="1"/>
      <c r="E3826" s="1" t="s">
        <v>1114</v>
      </c>
      <c r="F3826" s="1" t="s">
        <v>845</v>
      </c>
      <c r="G3826" s="1">
        <v>4</v>
      </c>
      <c r="H3826" s="1" t="s">
        <v>19</v>
      </c>
      <c r="I3826" s="1" t="s">
        <v>426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855</v>
      </c>
      <c r="D3827" s="1"/>
      <c r="E3827" s="1" t="s">
        <v>3338</v>
      </c>
      <c r="F3827" s="1" t="s">
        <v>3200</v>
      </c>
      <c r="G3827" s="1">
        <v>1</v>
      </c>
      <c r="H3827" s="1" t="s">
        <v>19</v>
      </c>
      <c r="I3827" s="1" t="s">
        <v>425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855</v>
      </c>
      <c r="D3828" s="1"/>
      <c r="E3828" s="1" t="s">
        <v>3335</v>
      </c>
      <c r="F3828" s="1" t="s">
        <v>3202</v>
      </c>
      <c r="G3828" s="1">
        <v>4</v>
      </c>
      <c r="H3828" s="1" t="s">
        <v>19</v>
      </c>
      <c r="I3828" s="1" t="s">
        <v>425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3277</v>
      </c>
      <c r="D3829" s="1"/>
      <c r="E3829" s="1" t="s">
        <v>2</v>
      </c>
      <c r="F3829" s="1" t="s">
        <v>3278</v>
      </c>
      <c r="G3829" s="1">
        <v>1</v>
      </c>
      <c r="H3829" s="1" t="s">
        <v>19</v>
      </c>
      <c r="I3829" s="1" t="s">
        <v>424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3277</v>
      </c>
      <c r="D3830" s="1"/>
      <c r="E3830" s="1" t="s">
        <v>44</v>
      </c>
      <c r="F3830" s="1" t="s">
        <v>3279</v>
      </c>
      <c r="G3830" s="1">
        <v>1</v>
      </c>
      <c r="H3830" s="1" t="s">
        <v>19</v>
      </c>
      <c r="I3830" s="1" t="s">
        <v>425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3277</v>
      </c>
      <c r="D3831" s="1"/>
      <c r="E3831" s="1" t="s">
        <v>747</v>
      </c>
      <c r="F3831" s="1" t="s">
        <v>3280</v>
      </c>
      <c r="G3831" s="1">
        <v>10</v>
      </c>
      <c r="H3831" s="1" t="s">
        <v>19</v>
      </c>
      <c r="I3831" s="1" t="s">
        <v>426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3277</v>
      </c>
      <c r="D3832" s="1"/>
      <c r="E3832" s="1" t="s">
        <v>1102</v>
      </c>
      <c r="F3832" s="1" t="s">
        <v>3281</v>
      </c>
      <c r="G3832" s="1">
        <v>3</v>
      </c>
      <c r="H3832" s="1" t="s">
        <v>19</v>
      </c>
      <c r="I3832" s="1" t="s">
        <v>427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3277</v>
      </c>
      <c r="D3833" s="1"/>
      <c r="E3833" s="1" t="s">
        <v>2</v>
      </c>
      <c r="F3833" s="1" t="s">
        <v>3278</v>
      </c>
      <c r="G3833" s="1">
        <v>1</v>
      </c>
      <c r="H3833" s="1" t="s">
        <v>19</v>
      </c>
      <c r="I3833" s="1" t="s">
        <v>428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3277</v>
      </c>
      <c r="D3834" s="1"/>
      <c r="E3834" s="1" t="s">
        <v>44</v>
      </c>
      <c r="F3834" s="1" t="s">
        <v>3279</v>
      </c>
      <c r="G3834" s="1">
        <v>1</v>
      </c>
      <c r="H3834" s="1" t="s">
        <v>19</v>
      </c>
      <c r="I3834" s="1" t="s">
        <v>424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3277</v>
      </c>
      <c r="D3835" s="1"/>
      <c r="E3835" s="1" t="s">
        <v>747</v>
      </c>
      <c r="F3835" s="1" t="s">
        <v>3280</v>
      </c>
      <c r="G3835" s="1">
        <v>10</v>
      </c>
      <c r="H3835" s="1" t="s">
        <v>19</v>
      </c>
      <c r="I3835" s="1" t="s">
        <v>425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3277</v>
      </c>
      <c r="D3836" s="1"/>
      <c r="E3836" s="1" t="s">
        <v>1102</v>
      </c>
      <c r="F3836" s="1" t="s">
        <v>3281</v>
      </c>
      <c r="G3836" s="1">
        <v>4</v>
      </c>
      <c r="H3836" s="1" t="s">
        <v>19</v>
      </c>
      <c r="I3836" s="1" t="s">
        <v>426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3277</v>
      </c>
      <c r="D3837" s="1"/>
      <c r="E3837" s="1" t="s">
        <v>44</v>
      </c>
      <c r="F3837" s="1" t="s">
        <v>3279</v>
      </c>
      <c r="G3837" s="1">
        <v>1</v>
      </c>
      <c r="H3837" s="1" t="s">
        <v>19</v>
      </c>
      <c r="I3837" s="1" t="s">
        <v>428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3277</v>
      </c>
      <c r="D3838" s="1"/>
      <c r="E3838" s="1" t="s">
        <v>747</v>
      </c>
      <c r="F3838" s="1" t="s">
        <v>3280</v>
      </c>
      <c r="G3838" s="1">
        <v>10</v>
      </c>
      <c r="H3838" s="1" t="s">
        <v>19</v>
      </c>
      <c r="I3838" s="1" t="s">
        <v>424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3277</v>
      </c>
      <c r="D3839" s="1"/>
      <c r="E3839" s="1" t="s">
        <v>1102</v>
      </c>
      <c r="F3839" s="1" t="s">
        <v>3281</v>
      </c>
      <c r="G3839" s="1">
        <v>4</v>
      </c>
      <c r="H3839" s="1" t="s">
        <v>19</v>
      </c>
      <c r="I3839" s="1" t="s">
        <v>425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3277</v>
      </c>
      <c r="D3840" s="1"/>
      <c r="E3840" s="1" t="s">
        <v>101</v>
      </c>
      <c r="F3840" s="1" t="s">
        <v>3362</v>
      </c>
      <c r="G3840" s="1">
        <v>4</v>
      </c>
      <c r="H3840" s="1" t="s">
        <v>19</v>
      </c>
      <c r="I3840" s="1" t="s">
        <v>427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3277</v>
      </c>
      <c r="D3841" s="1"/>
      <c r="E3841" s="1" t="s">
        <v>174</v>
      </c>
      <c r="F3841" s="1" t="s">
        <v>3363</v>
      </c>
      <c r="G3841" s="1">
        <v>1</v>
      </c>
      <c r="H3841" s="1" t="s">
        <v>19</v>
      </c>
      <c r="I3841" s="1" t="s">
        <v>427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3277</v>
      </c>
      <c r="D3842" s="1"/>
      <c r="E3842" s="1" t="s">
        <v>462</v>
      </c>
      <c r="F3842" s="1" t="s">
        <v>3364</v>
      </c>
      <c r="G3842" s="1">
        <v>1</v>
      </c>
      <c r="H3842" s="1" t="s">
        <v>19</v>
      </c>
      <c r="I3842" s="1" t="s">
        <v>427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3277</v>
      </c>
      <c r="D3843" s="1"/>
      <c r="E3843" s="1" t="s">
        <v>465</v>
      </c>
      <c r="F3843" s="1" t="s">
        <v>3365</v>
      </c>
      <c r="G3843" s="1">
        <v>1</v>
      </c>
      <c r="H3843" s="1" t="s">
        <v>19</v>
      </c>
      <c r="I3843" s="1" t="s">
        <v>427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3277</v>
      </c>
      <c r="D3844" s="1"/>
      <c r="E3844" s="1" t="s">
        <v>2</v>
      </c>
      <c r="F3844" s="1" t="s">
        <v>3278</v>
      </c>
      <c r="G3844" s="1">
        <v>1</v>
      </c>
      <c r="H3844" s="1" t="s">
        <v>19</v>
      </c>
      <c r="I3844" s="1" t="s">
        <v>426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3277</v>
      </c>
      <c r="D3845" s="1"/>
      <c r="E3845" s="1" t="s">
        <v>44</v>
      </c>
      <c r="F3845" s="1" t="s">
        <v>3279</v>
      </c>
      <c r="G3845" s="1">
        <v>1</v>
      </c>
      <c r="H3845" s="1" t="s">
        <v>19</v>
      </c>
      <c r="I3845" s="1" t="s">
        <v>427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3277</v>
      </c>
      <c r="D3846" s="1"/>
      <c r="E3846" s="1" t="s">
        <v>747</v>
      </c>
      <c r="F3846" s="1" t="s">
        <v>3280</v>
      </c>
      <c r="G3846" s="1">
        <v>10</v>
      </c>
      <c r="H3846" s="1" t="s">
        <v>19</v>
      </c>
      <c r="I3846" s="1" t="s">
        <v>428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3277</v>
      </c>
      <c r="D3847" s="1"/>
      <c r="E3847" s="1" t="s">
        <v>1102</v>
      </c>
      <c r="F3847" s="1" t="s">
        <v>3281</v>
      </c>
      <c r="G3847" s="1">
        <v>4</v>
      </c>
      <c r="H3847" s="1" t="s">
        <v>19</v>
      </c>
      <c r="I3847" s="1" t="s">
        <v>424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3277</v>
      </c>
      <c r="D3848" s="1"/>
      <c r="E3848" s="1" t="s">
        <v>2</v>
      </c>
      <c r="F3848" s="1" t="s">
        <v>3278</v>
      </c>
      <c r="G3848" s="1">
        <v>1</v>
      </c>
      <c r="H3848" s="1" t="s">
        <v>19</v>
      </c>
      <c r="I3848" s="1" t="s">
        <v>425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3277</v>
      </c>
      <c r="D3849" s="1"/>
      <c r="E3849" s="1" t="s">
        <v>44</v>
      </c>
      <c r="F3849" s="1" t="s">
        <v>3279</v>
      </c>
      <c r="G3849" s="1">
        <v>1</v>
      </c>
      <c r="H3849" s="1" t="s">
        <v>19</v>
      </c>
      <c r="I3849" s="1" t="s">
        <v>426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3277</v>
      </c>
      <c r="D3850" s="1"/>
      <c r="E3850" s="1" t="s">
        <v>747</v>
      </c>
      <c r="F3850" s="1" t="s">
        <v>3280</v>
      </c>
      <c r="G3850" s="1">
        <v>8</v>
      </c>
      <c r="H3850" s="1" t="s">
        <v>19</v>
      </c>
      <c r="I3850" s="1" t="s">
        <v>427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3277</v>
      </c>
      <c r="D3851" s="1"/>
      <c r="E3851" s="1" t="s">
        <v>1102</v>
      </c>
      <c r="F3851" s="1" t="s">
        <v>3281</v>
      </c>
      <c r="G3851" s="1">
        <v>4</v>
      </c>
      <c r="H3851" s="1" t="s">
        <v>19</v>
      </c>
      <c r="I3851" s="1" t="s">
        <v>428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1159</v>
      </c>
      <c r="D3852" s="1"/>
      <c r="E3852" s="1" t="s">
        <v>174</v>
      </c>
      <c r="F3852" s="1" t="s">
        <v>2735</v>
      </c>
      <c r="G3852" s="1">
        <v>4</v>
      </c>
      <c r="H3852" s="1" t="s">
        <v>19</v>
      </c>
      <c r="I3852" s="1" t="s">
        <v>425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1159</v>
      </c>
      <c r="D3853" s="1"/>
      <c r="E3853" s="1" t="s">
        <v>174</v>
      </c>
      <c r="F3853" s="1" t="s">
        <v>2735</v>
      </c>
      <c r="G3853" s="1">
        <v>4</v>
      </c>
      <c r="H3853" s="1" t="s">
        <v>19</v>
      </c>
      <c r="I3853" s="1" t="s">
        <v>426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1159</v>
      </c>
      <c r="D3854" s="1"/>
      <c r="E3854" s="1" t="s">
        <v>174</v>
      </c>
      <c r="F3854" s="1" t="s">
        <v>2735</v>
      </c>
      <c r="G3854" s="1">
        <v>4</v>
      </c>
      <c r="H3854" s="1" t="s">
        <v>19</v>
      </c>
      <c r="I3854" s="1" t="s">
        <v>427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1159</v>
      </c>
      <c r="D3855" s="1"/>
      <c r="E3855" s="1" t="s">
        <v>174</v>
      </c>
      <c r="F3855" s="1" t="s">
        <v>2735</v>
      </c>
      <c r="G3855" s="1">
        <v>4</v>
      </c>
      <c r="H3855" s="1" t="s">
        <v>19</v>
      </c>
      <c r="I3855" s="1" t="s">
        <v>428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1159</v>
      </c>
      <c r="D3856" s="1"/>
      <c r="E3856" s="1" t="s">
        <v>747</v>
      </c>
      <c r="F3856" s="1" t="s">
        <v>3366</v>
      </c>
      <c r="G3856" s="1">
        <v>4</v>
      </c>
      <c r="H3856" s="1" t="s">
        <v>19</v>
      </c>
      <c r="I3856" s="1" t="s">
        <v>425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1159</v>
      </c>
      <c r="D3857" s="1"/>
      <c r="E3857" s="1" t="s">
        <v>747</v>
      </c>
      <c r="F3857" s="1" t="s">
        <v>3366</v>
      </c>
      <c r="G3857" s="1">
        <v>4</v>
      </c>
      <c r="H3857" s="1" t="s">
        <v>19</v>
      </c>
      <c r="I3857" s="1" t="s">
        <v>426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1159</v>
      </c>
      <c r="D3858" s="1"/>
      <c r="E3858" s="1" t="s">
        <v>747</v>
      </c>
      <c r="F3858" s="1" t="s">
        <v>3366</v>
      </c>
      <c r="G3858" s="1">
        <v>4</v>
      </c>
      <c r="H3858" s="1" t="s">
        <v>19</v>
      </c>
      <c r="I3858" s="1" t="s">
        <v>427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1159</v>
      </c>
      <c r="D3859" s="1"/>
      <c r="E3859" s="1" t="s">
        <v>747</v>
      </c>
      <c r="F3859" s="1" t="s">
        <v>3366</v>
      </c>
      <c r="G3859" s="1">
        <v>4</v>
      </c>
      <c r="H3859" s="1" t="s">
        <v>19</v>
      </c>
      <c r="I3859" s="1" t="s">
        <v>428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855</v>
      </c>
      <c r="D3860" s="1"/>
      <c r="E3860" s="1"/>
      <c r="F3860" s="1" t="s">
        <v>832</v>
      </c>
      <c r="G3860" s="1">
        <v>1</v>
      </c>
      <c r="H3860" s="1" t="s">
        <v>19</v>
      </c>
      <c r="I3860" s="1" t="s">
        <v>424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855</v>
      </c>
      <c r="D3861" s="1"/>
      <c r="E3861" s="1" t="s">
        <v>2454</v>
      </c>
      <c r="F3861" s="1" t="s">
        <v>1072</v>
      </c>
      <c r="G3861" s="1">
        <v>1</v>
      </c>
      <c r="H3861" s="1" t="s">
        <v>19</v>
      </c>
      <c r="I3861" s="1" t="s">
        <v>427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855</v>
      </c>
      <c r="D3862" s="1"/>
      <c r="E3862" s="1" t="s">
        <v>3350</v>
      </c>
      <c r="F3862" s="1" t="s">
        <v>3254</v>
      </c>
      <c r="G3862" s="1">
        <v>2</v>
      </c>
      <c r="H3862" s="1" t="s">
        <v>19</v>
      </c>
      <c r="I3862" s="1" t="s">
        <v>427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855</v>
      </c>
      <c r="D3863" s="1"/>
      <c r="E3863" s="1" t="s">
        <v>3351</v>
      </c>
      <c r="F3863" s="1" t="s">
        <v>3255</v>
      </c>
      <c r="G3863" s="1">
        <v>1</v>
      </c>
      <c r="H3863" s="1" t="s">
        <v>19</v>
      </c>
      <c r="I3863" s="1" t="s">
        <v>427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855</v>
      </c>
      <c r="D3864" s="1"/>
      <c r="E3864" s="1"/>
      <c r="F3864" s="1" t="s">
        <v>3262</v>
      </c>
      <c r="G3864" s="1">
        <v>1</v>
      </c>
      <c r="H3864" s="1" t="s">
        <v>19</v>
      </c>
      <c r="I3864" s="1" t="s">
        <v>428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1080</v>
      </c>
      <c r="D3865" s="1"/>
      <c r="E3865" s="1"/>
      <c r="F3865" s="1" t="s">
        <v>3367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1080</v>
      </c>
      <c r="D3866" s="1"/>
      <c r="E3866" s="1"/>
      <c r="F3866" s="1" t="s">
        <v>3368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1080</v>
      </c>
      <c r="D3867" s="1"/>
      <c r="E3867" s="1"/>
      <c r="F3867" s="1" t="s">
        <v>3369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2479</v>
      </c>
      <c r="D3868" s="1"/>
      <c r="E3868" s="1"/>
      <c r="F3868" s="1" t="s">
        <v>2480</v>
      </c>
      <c r="G3868" s="1">
        <v>2</v>
      </c>
      <c r="H3868" s="1" t="s">
        <v>19</v>
      </c>
      <c r="I3868" s="1" t="s">
        <v>571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2479</v>
      </c>
      <c r="D3869" s="1"/>
      <c r="E3869" s="1"/>
      <c r="F3869" s="1" t="s">
        <v>2481</v>
      </c>
      <c r="G3869" s="1">
        <v>3</v>
      </c>
      <c r="H3869" s="1" t="s">
        <v>19</v>
      </c>
      <c r="I3869" s="1" t="s">
        <v>571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2479</v>
      </c>
      <c r="D3870" s="1"/>
      <c r="E3870" s="1"/>
      <c r="F3870" s="1" t="s">
        <v>2482</v>
      </c>
      <c r="G3870" s="1">
        <v>3</v>
      </c>
      <c r="H3870" s="1" t="s">
        <v>19</v>
      </c>
      <c r="I3870" s="1" t="s">
        <v>571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2483</v>
      </c>
      <c r="D3871" s="1"/>
      <c r="E3871" s="1"/>
      <c r="F3871" s="1" t="s">
        <v>1912</v>
      </c>
      <c r="G3871" s="1">
        <v>2</v>
      </c>
      <c r="H3871" s="1" t="s">
        <v>19</v>
      </c>
      <c r="I3871" s="1" t="s">
        <v>573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2483</v>
      </c>
      <c r="D3872" s="1"/>
      <c r="E3872" s="1"/>
      <c r="F3872" s="1" t="s">
        <v>2480</v>
      </c>
      <c r="G3872" s="1">
        <v>2</v>
      </c>
      <c r="H3872" s="1" t="s">
        <v>19</v>
      </c>
      <c r="I3872" s="1" t="s">
        <v>573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2483</v>
      </c>
      <c r="D3873" s="1"/>
      <c r="E3873" s="1"/>
      <c r="F3873" s="1" t="s">
        <v>2481</v>
      </c>
      <c r="G3873" s="1">
        <v>3</v>
      </c>
      <c r="H3873" s="1" t="s">
        <v>19</v>
      </c>
      <c r="I3873" s="1" t="s">
        <v>573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2483</v>
      </c>
      <c r="D3874" s="1"/>
      <c r="E3874" s="1"/>
      <c r="F3874" s="1" t="s">
        <v>2482</v>
      </c>
      <c r="G3874" s="1">
        <v>3</v>
      </c>
      <c r="H3874" s="1" t="s">
        <v>19</v>
      </c>
      <c r="I3874" s="1" t="s">
        <v>573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2484</v>
      </c>
      <c r="D3875" s="1"/>
      <c r="E3875" s="1"/>
      <c r="F3875" s="1" t="s">
        <v>2485</v>
      </c>
      <c r="G3875" s="1">
        <v>3</v>
      </c>
      <c r="H3875" s="1" t="s">
        <v>19</v>
      </c>
      <c r="I3875" s="1" t="s">
        <v>570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2484</v>
      </c>
      <c r="D3876" s="1"/>
      <c r="E3876" s="1"/>
      <c r="F3876" s="1" t="s">
        <v>2486</v>
      </c>
      <c r="G3876" s="1">
        <v>3</v>
      </c>
      <c r="H3876" s="1" t="s">
        <v>19</v>
      </c>
      <c r="I3876" s="1" t="s">
        <v>570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2484</v>
      </c>
      <c r="D3877" s="1"/>
      <c r="E3877" s="1"/>
      <c r="F3877" s="1" t="s">
        <v>2487</v>
      </c>
      <c r="G3877" s="1">
        <v>2</v>
      </c>
      <c r="H3877" s="1" t="s">
        <v>19</v>
      </c>
      <c r="I3877" s="1" t="s">
        <v>570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2484</v>
      </c>
      <c r="D3878" s="1"/>
      <c r="E3878" s="1"/>
      <c r="F3878" s="1" t="s">
        <v>2488</v>
      </c>
      <c r="G3878" s="1">
        <v>2</v>
      </c>
      <c r="H3878" s="1" t="s">
        <v>19</v>
      </c>
      <c r="I3878" s="1" t="s">
        <v>570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2489</v>
      </c>
      <c r="D3879" s="1"/>
      <c r="E3879" s="1"/>
      <c r="F3879" s="1" t="s">
        <v>1912</v>
      </c>
      <c r="G3879" s="1">
        <v>2</v>
      </c>
      <c r="H3879" s="1" t="s">
        <v>19</v>
      </c>
      <c r="I3879" s="1" t="s">
        <v>572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2489</v>
      </c>
      <c r="D3880" s="1"/>
      <c r="E3880" s="1"/>
      <c r="F3880" s="1" t="s">
        <v>2480</v>
      </c>
      <c r="G3880" s="1">
        <v>2</v>
      </c>
      <c r="H3880" s="1" t="s">
        <v>19</v>
      </c>
      <c r="I3880" s="1" t="s">
        <v>572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2489</v>
      </c>
      <c r="D3881" s="1"/>
      <c r="E3881" s="1"/>
      <c r="F3881" s="1" t="s">
        <v>2481</v>
      </c>
      <c r="G3881" s="1">
        <v>3</v>
      </c>
      <c r="H3881" s="1" t="s">
        <v>19</v>
      </c>
      <c r="I3881" s="1" t="s">
        <v>572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2489</v>
      </c>
      <c r="D3882" s="1"/>
      <c r="E3882" s="1"/>
      <c r="F3882" s="1" t="s">
        <v>2482</v>
      </c>
      <c r="G3882" s="1">
        <v>3</v>
      </c>
      <c r="H3882" s="1" t="s">
        <v>19</v>
      </c>
      <c r="I3882" s="1" t="s">
        <v>572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2489</v>
      </c>
      <c r="D3883" s="1"/>
      <c r="E3883" s="1"/>
      <c r="F3883" s="1" t="s">
        <v>2490</v>
      </c>
      <c r="G3883" s="1">
        <v>1</v>
      </c>
      <c r="H3883" s="1" t="s">
        <v>19</v>
      </c>
      <c r="I3883" s="1" t="s">
        <v>572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2489</v>
      </c>
      <c r="D3884" s="1"/>
      <c r="E3884" s="1"/>
      <c r="F3884" s="1" t="s">
        <v>2491</v>
      </c>
      <c r="G3884" s="1">
        <v>2</v>
      </c>
      <c r="H3884" s="1" t="s">
        <v>19</v>
      </c>
      <c r="I3884" s="1" t="s">
        <v>572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2489</v>
      </c>
      <c r="D3885" s="1"/>
      <c r="E3885" s="1"/>
      <c r="F3885" s="1" t="s">
        <v>2492</v>
      </c>
      <c r="G3885" s="1">
        <v>4</v>
      </c>
      <c r="H3885" s="1" t="s">
        <v>19</v>
      </c>
      <c r="I3885" s="1" t="s">
        <v>572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2489</v>
      </c>
      <c r="D3886" s="1"/>
      <c r="E3886" s="1"/>
      <c r="F3886" s="1" t="s">
        <v>2493</v>
      </c>
      <c r="G3886" s="1">
        <v>2</v>
      </c>
      <c r="H3886" s="1" t="s">
        <v>19</v>
      </c>
      <c r="I3886" s="1" t="s">
        <v>572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2489</v>
      </c>
      <c r="D3887" s="1"/>
      <c r="E3887" s="1"/>
      <c r="F3887" s="1" t="s">
        <v>2494</v>
      </c>
      <c r="G3887" s="1">
        <v>4</v>
      </c>
      <c r="H3887" s="1" t="s">
        <v>19</v>
      </c>
      <c r="I3887" s="1" t="s">
        <v>572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2489</v>
      </c>
      <c r="D3888" s="1"/>
      <c r="E3888" s="1"/>
      <c r="F3888" s="1" t="s">
        <v>2495</v>
      </c>
      <c r="G3888" s="1">
        <v>4</v>
      </c>
      <c r="H3888" s="1" t="s">
        <v>19</v>
      </c>
      <c r="I3888" s="1" t="s">
        <v>572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2489</v>
      </c>
      <c r="D3889" s="1"/>
      <c r="E3889" s="1"/>
      <c r="F3889" s="1" t="s">
        <v>2496</v>
      </c>
      <c r="G3889" s="1">
        <v>2</v>
      </c>
      <c r="H3889" s="1" t="s">
        <v>19</v>
      </c>
      <c r="I3889" s="1" t="s">
        <v>572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2489</v>
      </c>
      <c r="D3890" s="1"/>
      <c r="E3890" s="1"/>
      <c r="F3890" s="1" t="s">
        <v>2497</v>
      </c>
      <c r="G3890" s="1">
        <v>2</v>
      </c>
      <c r="H3890" s="1" t="s">
        <v>19</v>
      </c>
      <c r="I3890" s="1" t="s">
        <v>572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2489</v>
      </c>
      <c r="D3891" s="1"/>
      <c r="E3891" s="1"/>
      <c r="F3891" s="1" t="s">
        <v>2498</v>
      </c>
      <c r="G3891" s="1">
        <v>9</v>
      </c>
      <c r="H3891" s="1" t="s">
        <v>19</v>
      </c>
      <c r="I3891" s="1" t="s">
        <v>572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2479</v>
      </c>
      <c r="D3892" s="1"/>
      <c r="E3892" s="1"/>
      <c r="F3892" s="1" t="s">
        <v>2491</v>
      </c>
      <c r="G3892" s="1">
        <v>2</v>
      </c>
      <c r="H3892" s="1" t="s">
        <v>19</v>
      </c>
      <c r="I3892" s="1" t="s">
        <v>571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2479</v>
      </c>
      <c r="D3893" s="1"/>
      <c r="E3893" s="1"/>
      <c r="F3893" s="1" t="s">
        <v>2492</v>
      </c>
      <c r="G3893" s="1">
        <v>4</v>
      </c>
      <c r="H3893" s="1" t="s">
        <v>19</v>
      </c>
      <c r="I3893" s="1" t="s">
        <v>571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2479</v>
      </c>
      <c r="D3894" s="1"/>
      <c r="E3894" s="1"/>
      <c r="F3894" s="1" t="s">
        <v>2493</v>
      </c>
      <c r="G3894" s="1">
        <v>2</v>
      </c>
      <c r="H3894" s="1" t="s">
        <v>19</v>
      </c>
      <c r="I3894" s="1" t="s">
        <v>571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2479</v>
      </c>
      <c r="D3895" s="1"/>
      <c r="E3895" s="1"/>
      <c r="F3895" s="1" t="s">
        <v>2494</v>
      </c>
      <c r="G3895" s="1">
        <v>4</v>
      </c>
      <c r="H3895" s="1" t="s">
        <v>19</v>
      </c>
      <c r="I3895" s="1" t="s">
        <v>571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2479</v>
      </c>
      <c r="D3896" s="1"/>
      <c r="E3896" s="1"/>
      <c r="F3896" s="1" t="s">
        <v>2495</v>
      </c>
      <c r="G3896" s="1">
        <v>4</v>
      </c>
      <c r="H3896" s="1" t="s">
        <v>19</v>
      </c>
      <c r="I3896" s="1" t="s">
        <v>571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2479</v>
      </c>
      <c r="D3897" s="1"/>
      <c r="E3897" s="1"/>
      <c r="F3897" s="1" t="s">
        <v>2496</v>
      </c>
      <c r="G3897" s="1">
        <v>2</v>
      </c>
      <c r="H3897" s="1" t="s">
        <v>19</v>
      </c>
      <c r="I3897" s="1" t="s">
        <v>571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2479</v>
      </c>
      <c r="D3898" s="1"/>
      <c r="E3898" s="1"/>
      <c r="F3898" s="1" t="s">
        <v>2497</v>
      </c>
      <c r="G3898" s="1">
        <v>2</v>
      </c>
      <c r="H3898" s="1" t="s">
        <v>19</v>
      </c>
      <c r="I3898" s="1" t="s">
        <v>571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2479</v>
      </c>
      <c r="D3899" s="1"/>
      <c r="E3899" s="1"/>
      <c r="F3899" s="1" t="s">
        <v>2499</v>
      </c>
      <c r="G3899" s="1">
        <v>1</v>
      </c>
      <c r="H3899" s="1" t="s">
        <v>19</v>
      </c>
      <c r="I3899" s="1" t="s">
        <v>571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2479</v>
      </c>
      <c r="D3900" s="1"/>
      <c r="E3900" s="1"/>
      <c r="F3900" s="1" t="s">
        <v>2498</v>
      </c>
      <c r="G3900" s="1">
        <v>9</v>
      </c>
      <c r="H3900" s="1"/>
      <c r="I3900" s="1" t="s">
        <v>571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2500</v>
      </c>
      <c r="D3901" s="1"/>
      <c r="E3901" s="1"/>
      <c r="F3901" s="1" t="s">
        <v>2501</v>
      </c>
      <c r="G3901" s="1">
        <v>10</v>
      </c>
      <c r="H3901" s="1"/>
      <c r="I3901" s="1" t="s">
        <v>570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2500</v>
      </c>
      <c r="D3902" s="1"/>
      <c r="E3902" s="1"/>
      <c r="F3902" s="1" t="s">
        <v>2502</v>
      </c>
      <c r="G3902" s="1">
        <v>2</v>
      </c>
      <c r="H3902" s="1" t="s">
        <v>19</v>
      </c>
      <c r="I3902" s="1" t="s">
        <v>570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2500</v>
      </c>
      <c r="D3903" s="1"/>
      <c r="E3903" s="1"/>
      <c r="F3903" s="1" t="s">
        <v>2503</v>
      </c>
      <c r="G3903" s="1">
        <v>4</v>
      </c>
      <c r="H3903" s="1" t="s">
        <v>19</v>
      </c>
      <c r="I3903" s="1" t="s">
        <v>570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2500</v>
      </c>
      <c r="D3904" s="1"/>
      <c r="E3904" s="1"/>
      <c r="F3904" s="1" t="s">
        <v>2504</v>
      </c>
      <c r="G3904" s="1">
        <v>2</v>
      </c>
      <c r="H3904" s="1" t="s">
        <v>19</v>
      </c>
      <c r="I3904" s="1" t="s">
        <v>570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2500</v>
      </c>
      <c r="D3905" s="1"/>
      <c r="E3905" s="1"/>
      <c r="F3905" s="1" t="s">
        <v>2505</v>
      </c>
      <c r="G3905" s="1">
        <v>4</v>
      </c>
      <c r="H3905" s="1" t="s">
        <v>19</v>
      </c>
      <c r="I3905" s="1" t="s">
        <v>570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2500</v>
      </c>
      <c r="D3906" s="1"/>
      <c r="E3906" s="1"/>
      <c r="F3906" s="1" t="s">
        <v>2506</v>
      </c>
      <c r="G3906" s="1">
        <v>4</v>
      </c>
      <c r="H3906" s="1" t="s">
        <v>19</v>
      </c>
      <c r="I3906" s="1" t="s">
        <v>570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2500</v>
      </c>
      <c r="D3907" s="1"/>
      <c r="E3907" s="1"/>
      <c r="F3907" s="1" t="s">
        <v>2507</v>
      </c>
      <c r="G3907" s="1">
        <v>2</v>
      </c>
      <c r="H3907" s="1" t="s">
        <v>19</v>
      </c>
      <c r="I3907" s="1" t="s">
        <v>570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2500</v>
      </c>
      <c r="D3908" s="1"/>
      <c r="E3908" s="1"/>
      <c r="F3908" s="1" t="s">
        <v>2508</v>
      </c>
      <c r="G3908" s="1">
        <v>2</v>
      </c>
      <c r="H3908" s="1" t="s">
        <v>19</v>
      </c>
      <c r="I3908" s="1" t="s">
        <v>570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2500</v>
      </c>
      <c r="D3909" s="1"/>
      <c r="E3909" s="1"/>
      <c r="F3909" s="1" t="s">
        <v>2509</v>
      </c>
      <c r="G3909" s="1">
        <v>1</v>
      </c>
      <c r="H3909" s="1" t="s">
        <v>19</v>
      </c>
      <c r="I3909" s="1" t="s">
        <v>570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2510</v>
      </c>
      <c r="D3910" s="1"/>
      <c r="E3910" s="1"/>
      <c r="F3910" s="1" t="s">
        <v>2511</v>
      </c>
      <c r="G3910" s="1">
        <v>1</v>
      </c>
      <c r="H3910" s="1" t="s">
        <v>19</v>
      </c>
      <c r="I3910" s="1" t="s">
        <v>573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2510</v>
      </c>
      <c r="D3911" s="1"/>
      <c r="E3911" s="1"/>
      <c r="F3911" s="1" t="s">
        <v>2491</v>
      </c>
      <c r="G3911" s="1">
        <v>2</v>
      </c>
      <c r="H3911" s="1" t="s">
        <v>19</v>
      </c>
      <c r="I3911" s="1" t="s">
        <v>573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2510</v>
      </c>
      <c r="D3912" s="1"/>
      <c r="E3912" s="1"/>
      <c r="F3912" s="1" t="s">
        <v>2492</v>
      </c>
      <c r="G3912" s="1">
        <v>4</v>
      </c>
      <c r="H3912" s="1" t="s">
        <v>19</v>
      </c>
      <c r="I3912" s="1" t="s">
        <v>573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2510</v>
      </c>
      <c r="D3913" s="1"/>
      <c r="E3913" s="1"/>
      <c r="F3913" s="1" t="s">
        <v>2493</v>
      </c>
      <c r="G3913" s="1">
        <v>2</v>
      </c>
      <c r="H3913" s="1" t="s">
        <v>19</v>
      </c>
      <c r="I3913" s="1" t="s">
        <v>573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2510</v>
      </c>
      <c r="D3914" s="1"/>
      <c r="E3914" s="1"/>
      <c r="F3914" s="1" t="s">
        <v>2494</v>
      </c>
      <c r="G3914" s="1">
        <v>4</v>
      </c>
      <c r="H3914" s="1" t="s">
        <v>19</v>
      </c>
      <c r="I3914" s="1" t="s">
        <v>573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2510</v>
      </c>
      <c r="D3915" s="1"/>
      <c r="E3915" s="1"/>
      <c r="F3915" s="1" t="s">
        <v>2495</v>
      </c>
      <c r="G3915" s="1">
        <v>4</v>
      </c>
      <c r="H3915" s="1" t="s">
        <v>19</v>
      </c>
      <c r="I3915" s="1" t="s">
        <v>573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2510</v>
      </c>
      <c r="D3916" s="1"/>
      <c r="E3916" s="1"/>
      <c r="F3916" s="1" t="s">
        <v>2496</v>
      </c>
      <c r="G3916" s="1">
        <v>2</v>
      </c>
      <c r="H3916" s="1" t="s">
        <v>19</v>
      </c>
      <c r="I3916" s="1" t="s">
        <v>573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2510</v>
      </c>
      <c r="D3917" s="1"/>
      <c r="E3917" s="1"/>
      <c r="F3917" s="1" t="s">
        <v>2497</v>
      </c>
      <c r="G3917" s="1">
        <v>1</v>
      </c>
      <c r="H3917" s="1" t="s">
        <v>19</v>
      </c>
      <c r="I3917" s="1" t="s">
        <v>573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2510</v>
      </c>
      <c r="D3918" s="1"/>
      <c r="E3918" s="1"/>
      <c r="F3918" s="1" t="s">
        <v>2498</v>
      </c>
      <c r="G3918" s="1">
        <v>7</v>
      </c>
      <c r="H3918" s="1"/>
      <c r="I3918" s="1" t="s">
        <v>573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2136</v>
      </c>
      <c r="E3919" s="1"/>
      <c r="F3919" s="1" t="s">
        <v>2137</v>
      </c>
      <c r="G3919" s="1">
        <v>280</v>
      </c>
      <c r="H3919" s="1" t="s">
        <v>19</v>
      </c>
      <c r="I3919" s="1" t="s">
        <v>570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2136</v>
      </c>
      <c r="E3920" s="1"/>
      <c r="F3920" s="1" t="s">
        <v>2138</v>
      </c>
      <c r="G3920" s="1">
        <v>16</v>
      </c>
      <c r="H3920" s="1" t="s">
        <v>19</v>
      </c>
      <c r="I3920" s="1" t="s">
        <v>570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2136</v>
      </c>
      <c r="E3921" s="1"/>
      <c r="F3921" s="1" t="s">
        <v>2139</v>
      </c>
      <c r="G3921" s="1">
        <v>8</v>
      </c>
      <c r="H3921" s="1" t="s">
        <v>19</v>
      </c>
      <c r="I3921" s="1" t="s">
        <v>570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2136</v>
      </c>
      <c r="E3922" s="1"/>
      <c r="F3922" s="1" t="s">
        <v>2140</v>
      </c>
      <c r="G3922" s="1">
        <v>256</v>
      </c>
      <c r="H3922" s="1" t="s">
        <v>19</v>
      </c>
      <c r="I3922" s="1" t="s">
        <v>570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2136</v>
      </c>
      <c r="E3923" s="1"/>
      <c r="F3923" s="1" t="s">
        <v>2141</v>
      </c>
      <c r="G3923" s="1">
        <v>296</v>
      </c>
      <c r="H3923" s="1" t="s">
        <v>19</v>
      </c>
      <c r="I3923" s="1" t="s">
        <v>570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2142</v>
      </c>
      <c r="E3924" s="1"/>
      <c r="F3924" s="1" t="s">
        <v>2143</v>
      </c>
      <c r="G3924" s="1">
        <v>252</v>
      </c>
      <c r="H3924" s="1" t="s">
        <v>19</v>
      </c>
      <c r="I3924" s="1" t="s">
        <v>571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2142</v>
      </c>
      <c r="E3925" s="1"/>
      <c r="F3925" s="1" t="s">
        <v>2144</v>
      </c>
      <c r="G3925" s="1">
        <v>16</v>
      </c>
      <c r="H3925" s="1" t="s">
        <v>19</v>
      </c>
      <c r="I3925" s="1" t="s">
        <v>571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2142</v>
      </c>
      <c r="E3926" s="1"/>
      <c r="F3926" s="1" t="s">
        <v>2145</v>
      </c>
      <c r="G3926" s="1">
        <v>8</v>
      </c>
      <c r="H3926" s="1" t="s">
        <v>19</v>
      </c>
      <c r="I3926" s="1" t="s">
        <v>571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2142</v>
      </c>
      <c r="E3927" s="1"/>
      <c r="F3927" s="1" t="s">
        <v>2146</v>
      </c>
      <c r="G3927" s="1">
        <v>228</v>
      </c>
      <c r="H3927" s="1" t="s">
        <v>19</v>
      </c>
      <c r="I3927" s="1" t="s">
        <v>571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2142</v>
      </c>
      <c r="E3928" s="1"/>
      <c r="F3928" s="1" t="s">
        <v>2147</v>
      </c>
      <c r="G3928" s="1">
        <v>268</v>
      </c>
      <c r="H3928" s="1" t="s">
        <v>19</v>
      </c>
      <c r="I3928" s="1" t="s">
        <v>571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2148</v>
      </c>
      <c r="E3929" s="1"/>
      <c r="F3929" s="1" t="s">
        <v>2149</v>
      </c>
      <c r="G3929" s="1">
        <v>252</v>
      </c>
      <c r="H3929" s="1" t="s">
        <v>19</v>
      </c>
      <c r="I3929" s="1" t="s">
        <v>572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2148</v>
      </c>
      <c r="E3930" s="1"/>
      <c r="F3930" s="1" t="s">
        <v>2150</v>
      </c>
      <c r="G3930" s="1">
        <v>16</v>
      </c>
      <c r="H3930" s="1" t="s">
        <v>19</v>
      </c>
      <c r="I3930" s="1" t="s">
        <v>572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2148</v>
      </c>
      <c r="E3931" s="1"/>
      <c r="F3931" s="1" t="s">
        <v>2151</v>
      </c>
      <c r="G3931" s="1">
        <v>8</v>
      </c>
      <c r="H3931" s="1" t="s">
        <v>19</v>
      </c>
      <c r="I3931" s="1" t="s">
        <v>572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2148</v>
      </c>
      <c r="E3932" s="1"/>
      <c r="F3932" s="1" t="s">
        <v>2152</v>
      </c>
      <c r="G3932" s="1">
        <v>228</v>
      </c>
      <c r="H3932" s="1" t="s">
        <v>19</v>
      </c>
      <c r="I3932" s="1" t="s">
        <v>572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2148</v>
      </c>
      <c r="E3933" s="1"/>
      <c r="F3933" s="1" t="s">
        <v>2153</v>
      </c>
      <c r="G3933" s="1">
        <v>268</v>
      </c>
      <c r="H3933" s="1" t="s">
        <v>19</v>
      </c>
      <c r="I3933" s="1" t="s">
        <v>572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2154</v>
      </c>
      <c r="E3934" s="1"/>
      <c r="F3934" s="1" t="s">
        <v>2155</v>
      </c>
      <c r="G3934" s="1">
        <v>182</v>
      </c>
      <c r="H3934" s="1" t="s">
        <v>19</v>
      </c>
      <c r="I3934" s="1" t="s">
        <v>573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2154</v>
      </c>
      <c r="E3935" s="1"/>
      <c r="F3935" s="1" t="s">
        <v>2156</v>
      </c>
      <c r="G3935" s="1">
        <v>16</v>
      </c>
      <c r="H3935" s="1" t="s">
        <v>19</v>
      </c>
      <c r="I3935" s="1" t="s">
        <v>573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2154</v>
      </c>
      <c r="E3936" s="1"/>
      <c r="F3936" s="1" t="s">
        <v>2157</v>
      </c>
      <c r="G3936" s="1">
        <v>8</v>
      </c>
      <c r="H3936" s="1" t="s">
        <v>19</v>
      </c>
      <c r="I3936" s="1" t="s">
        <v>573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2154</v>
      </c>
      <c r="E3937" s="1"/>
      <c r="F3937" s="1" t="s">
        <v>2158</v>
      </c>
      <c r="G3937" s="1">
        <v>158</v>
      </c>
      <c r="H3937" s="1" t="s">
        <v>19</v>
      </c>
      <c r="I3937" s="1" t="s">
        <v>573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2154</v>
      </c>
      <c r="E3938" s="1"/>
      <c r="F3938" s="1" t="s">
        <v>2159</v>
      </c>
      <c r="G3938" s="1">
        <v>198</v>
      </c>
      <c r="H3938" s="1" t="s">
        <v>19</v>
      </c>
      <c r="I3938" s="1" t="s">
        <v>573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2160</v>
      </c>
      <c r="E3939" s="1"/>
      <c r="F3939" s="1" t="s">
        <v>2161</v>
      </c>
      <c r="G3939" s="1">
        <v>36</v>
      </c>
      <c r="H3939" s="1" t="s">
        <v>19</v>
      </c>
      <c r="I3939" s="1" t="s">
        <v>425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2160</v>
      </c>
      <c r="E3940" s="1"/>
      <c r="F3940" s="1" t="s">
        <v>2162</v>
      </c>
      <c r="G3940" s="1">
        <v>36</v>
      </c>
      <c r="H3940" s="1" t="s">
        <v>19</v>
      </c>
      <c r="I3940" s="1" t="s">
        <v>425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2160</v>
      </c>
      <c r="E3941" s="1"/>
      <c r="F3941" s="1" t="s">
        <v>2163</v>
      </c>
      <c r="G3941" s="1">
        <v>36</v>
      </c>
      <c r="H3941" s="1" t="s">
        <v>19</v>
      </c>
      <c r="I3941" s="1" t="s">
        <v>425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2160</v>
      </c>
      <c r="E3942" s="1"/>
      <c r="F3942" s="1" t="s">
        <v>2164</v>
      </c>
      <c r="G3942" s="1">
        <v>18</v>
      </c>
      <c r="H3942" s="1" t="s">
        <v>19</v>
      </c>
      <c r="I3942" s="1" t="s">
        <v>425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2160</v>
      </c>
      <c r="E3943" s="1"/>
      <c r="F3943" s="1" t="s">
        <v>2165</v>
      </c>
      <c r="G3943" s="1">
        <v>18</v>
      </c>
      <c r="H3943" s="1" t="s">
        <v>19</v>
      </c>
      <c r="I3943" s="1" t="s">
        <v>425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2160</v>
      </c>
      <c r="E3944" s="1"/>
      <c r="F3944" s="1" t="s">
        <v>2166</v>
      </c>
      <c r="G3944" s="1">
        <v>18</v>
      </c>
      <c r="H3944" s="1" t="s">
        <v>19</v>
      </c>
      <c r="I3944" s="1" t="s">
        <v>425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2167</v>
      </c>
      <c r="E3945" s="1"/>
      <c r="F3945" s="1" t="s">
        <v>2168</v>
      </c>
      <c r="G3945" s="1">
        <v>27</v>
      </c>
      <c r="H3945" s="1" t="s">
        <v>19</v>
      </c>
      <c r="I3945" s="1" t="s">
        <v>426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2167</v>
      </c>
      <c r="E3946" s="1"/>
      <c r="F3946" s="1" t="s">
        <v>2169</v>
      </c>
      <c r="G3946" s="1">
        <v>27</v>
      </c>
      <c r="H3946" s="1" t="s">
        <v>19</v>
      </c>
      <c r="I3946" s="1" t="s">
        <v>426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2167</v>
      </c>
      <c r="E3947" s="1"/>
      <c r="F3947" s="1" t="s">
        <v>2170</v>
      </c>
      <c r="G3947" s="1">
        <v>27</v>
      </c>
      <c r="H3947" s="1" t="s">
        <v>19</v>
      </c>
      <c r="I3947" s="1" t="s">
        <v>426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2171</v>
      </c>
      <c r="E3948" s="1"/>
      <c r="F3948" s="1" t="s">
        <v>2172</v>
      </c>
      <c r="G3948" s="1">
        <v>36</v>
      </c>
      <c r="H3948" s="1" t="s">
        <v>19</v>
      </c>
      <c r="I3948" s="1" t="s">
        <v>427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2171</v>
      </c>
      <c r="E3949" s="1"/>
      <c r="F3949" s="1" t="s">
        <v>2173</v>
      </c>
      <c r="G3949" s="1">
        <v>36</v>
      </c>
      <c r="H3949" s="1" t="s">
        <v>19</v>
      </c>
      <c r="I3949" s="1" t="s">
        <v>427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2171</v>
      </c>
      <c r="E3950" s="1"/>
      <c r="F3950" s="1" t="s">
        <v>2174</v>
      </c>
      <c r="G3950" s="1">
        <v>36</v>
      </c>
      <c r="H3950" s="1" t="s">
        <v>19</v>
      </c>
      <c r="I3950" s="1" t="s">
        <v>427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2175</v>
      </c>
      <c r="E3951" s="1"/>
      <c r="F3951" s="1" t="s">
        <v>2176</v>
      </c>
      <c r="G3951" s="1">
        <v>72</v>
      </c>
      <c r="H3951" s="1" t="s">
        <v>19</v>
      </c>
      <c r="I3951" s="1" t="s">
        <v>428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2175</v>
      </c>
      <c r="E3952" s="1"/>
      <c r="F3952" s="1" t="s">
        <v>2177</v>
      </c>
      <c r="G3952" s="1">
        <v>72</v>
      </c>
      <c r="H3952" s="1" t="s">
        <v>19</v>
      </c>
      <c r="I3952" s="1" t="s">
        <v>428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2175</v>
      </c>
      <c r="E3953" s="1"/>
      <c r="F3953" s="1" t="s">
        <v>2178</v>
      </c>
      <c r="G3953" s="1">
        <v>72</v>
      </c>
      <c r="H3953" s="1" t="s">
        <v>19</v>
      </c>
      <c r="I3953" s="1" t="s">
        <v>428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2484</v>
      </c>
      <c r="D3954" s="1" t="s">
        <v>2512</v>
      </c>
      <c r="E3954" s="1"/>
      <c r="F3954" s="1" t="s">
        <v>2122</v>
      </c>
      <c r="G3954" s="1">
        <v>8</v>
      </c>
      <c r="H3954" s="1" t="s">
        <v>19</v>
      </c>
      <c r="I3954" s="1" t="s">
        <v>570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2484</v>
      </c>
      <c r="D3955" s="1" t="s">
        <v>2512</v>
      </c>
      <c r="E3955" s="1"/>
      <c r="F3955" s="1" t="s">
        <v>2513</v>
      </c>
      <c r="G3955" s="1">
        <v>5</v>
      </c>
      <c r="H3955" s="1" t="s">
        <v>19</v>
      </c>
      <c r="I3955" s="1" t="s">
        <v>570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2479</v>
      </c>
      <c r="D3956" s="1" t="s">
        <v>2514</v>
      </c>
      <c r="E3956" s="1"/>
      <c r="F3956" s="1" t="s">
        <v>2122</v>
      </c>
      <c r="G3956" s="1">
        <v>7</v>
      </c>
      <c r="H3956" s="1" t="s">
        <v>19</v>
      </c>
      <c r="I3956" s="1" t="s">
        <v>571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2479</v>
      </c>
      <c r="D3957" s="1" t="s">
        <v>2514</v>
      </c>
      <c r="E3957" s="1"/>
      <c r="F3957" s="1" t="s">
        <v>2513</v>
      </c>
      <c r="G3957" s="1">
        <v>5</v>
      </c>
      <c r="H3957" s="1" t="s">
        <v>19</v>
      </c>
      <c r="I3957" s="1" t="s">
        <v>571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2489</v>
      </c>
      <c r="D3958" s="1" t="s">
        <v>2515</v>
      </c>
      <c r="E3958" s="1"/>
      <c r="F3958" s="1" t="s">
        <v>2122</v>
      </c>
      <c r="G3958" s="1">
        <v>7</v>
      </c>
      <c r="H3958" s="1" t="s">
        <v>19</v>
      </c>
      <c r="I3958" s="1" t="s">
        <v>572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2489</v>
      </c>
      <c r="D3959" s="1" t="s">
        <v>2515</v>
      </c>
      <c r="E3959" s="1"/>
      <c r="F3959" s="1" t="s">
        <v>2513</v>
      </c>
      <c r="G3959" s="1">
        <v>5</v>
      </c>
      <c r="H3959" s="1" t="s">
        <v>19</v>
      </c>
      <c r="I3959" s="1" t="s">
        <v>572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2483</v>
      </c>
      <c r="D3960" s="1" t="s">
        <v>2516</v>
      </c>
      <c r="E3960" s="1"/>
      <c r="F3960" s="1" t="s">
        <v>2122</v>
      </c>
      <c r="G3960" s="1">
        <v>5</v>
      </c>
      <c r="H3960" s="1" t="s">
        <v>19</v>
      </c>
      <c r="I3960" s="1" t="s">
        <v>573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2483</v>
      </c>
      <c r="D3961" s="1" t="s">
        <v>2516</v>
      </c>
      <c r="E3961" s="1"/>
      <c r="F3961" s="1" t="s">
        <v>2513</v>
      </c>
      <c r="G3961" s="1">
        <v>5</v>
      </c>
      <c r="H3961" s="1" t="s">
        <v>19</v>
      </c>
      <c r="I3961" s="1" t="s">
        <v>573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2483</v>
      </c>
      <c r="D3962" s="1"/>
      <c r="E3962" s="1"/>
      <c r="F3962" s="1" t="s">
        <v>2517</v>
      </c>
      <c r="G3962" s="1">
        <v>1</v>
      </c>
      <c r="H3962" s="1" t="s">
        <v>19</v>
      </c>
      <c r="I3962" s="1" t="s">
        <v>573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2483</v>
      </c>
      <c r="D3963" s="1"/>
      <c r="E3963" s="1"/>
      <c r="F3963" s="1" t="s">
        <v>2517</v>
      </c>
      <c r="G3963" s="1">
        <v>1</v>
      </c>
      <c r="H3963" s="1" t="s">
        <v>19</v>
      </c>
      <c r="I3963" s="1" t="s">
        <v>573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2483</v>
      </c>
      <c r="D3964" s="1"/>
      <c r="E3964" s="1"/>
      <c r="F3964" s="1" t="s">
        <v>2517</v>
      </c>
      <c r="G3964" s="1">
        <v>1</v>
      </c>
      <c r="H3964" s="1" t="s">
        <v>19</v>
      </c>
      <c r="I3964" s="1" t="s">
        <v>573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2483</v>
      </c>
      <c r="D3965" s="1"/>
      <c r="E3965" s="1"/>
      <c r="F3965" s="1" t="s">
        <v>2518</v>
      </c>
      <c r="G3965" s="1">
        <v>1</v>
      </c>
      <c r="H3965" s="1" t="s">
        <v>19</v>
      </c>
      <c r="I3965" s="1" t="s">
        <v>573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2483</v>
      </c>
      <c r="D3966" s="1"/>
      <c r="E3966" s="1"/>
      <c r="F3966" s="1" t="s">
        <v>2519</v>
      </c>
      <c r="G3966" s="1">
        <v>1</v>
      </c>
      <c r="H3966" s="1" t="s">
        <v>19</v>
      </c>
      <c r="I3966" s="1" t="s">
        <v>573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2483</v>
      </c>
      <c r="D3967" s="1"/>
      <c r="E3967" s="1"/>
      <c r="F3967" s="1" t="s">
        <v>2519</v>
      </c>
      <c r="G3967" s="1">
        <v>1</v>
      </c>
      <c r="H3967" s="1" t="s">
        <v>19</v>
      </c>
      <c r="I3967" s="1" t="s">
        <v>573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2188</v>
      </c>
      <c r="D3968" s="1"/>
      <c r="E3968" s="1"/>
      <c r="F3968" s="1" t="s">
        <v>2520</v>
      </c>
      <c r="G3968" s="1">
        <v>4</v>
      </c>
      <c r="H3968" s="1" t="s">
        <v>19</v>
      </c>
      <c r="I3968" s="1" t="s">
        <v>1346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2736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2737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2738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3370</v>
      </c>
      <c r="D3972" s="1"/>
      <c r="E3972" s="1" t="s">
        <v>747</v>
      </c>
      <c r="F3972" s="1" t="s">
        <v>3371</v>
      </c>
      <c r="G3972" s="1">
        <v>4</v>
      </c>
      <c r="H3972" s="1"/>
      <c r="I3972" s="1" t="s">
        <v>653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3372</v>
      </c>
      <c r="D3973" s="1"/>
      <c r="E3973" s="1" t="s">
        <v>747</v>
      </c>
      <c r="F3973" s="1" t="s">
        <v>3371</v>
      </c>
      <c r="G3973" s="1">
        <v>4</v>
      </c>
      <c r="H3973" s="1"/>
      <c r="I3973" s="1" t="s">
        <v>653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770</v>
      </c>
      <c r="D3974" s="1"/>
      <c r="E3974" s="1" t="s">
        <v>747</v>
      </c>
      <c r="F3974" s="1" t="s">
        <v>1932</v>
      </c>
      <c r="G3974" s="1">
        <v>4</v>
      </c>
      <c r="H3974" s="1" t="s">
        <v>19</v>
      </c>
      <c r="I3974" s="1" t="s">
        <v>653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770</v>
      </c>
      <c r="D3975" s="1"/>
      <c r="E3975" s="1" t="s">
        <v>1102</v>
      </c>
      <c r="F3975" s="1" t="s">
        <v>773</v>
      </c>
      <c r="G3975" s="1">
        <v>4</v>
      </c>
      <c r="H3975" s="1" t="s">
        <v>19</v>
      </c>
      <c r="I3975" s="1" t="s">
        <v>653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1017</v>
      </c>
      <c r="D3976" s="1"/>
      <c r="E3976" s="1" t="s">
        <v>2</v>
      </c>
      <c r="F3976" s="1" t="s">
        <v>3234</v>
      </c>
      <c r="G3976" s="1">
        <v>20</v>
      </c>
      <c r="H3976" s="1" t="s">
        <v>19</v>
      </c>
      <c r="I3976" s="1" t="s">
        <v>653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1017</v>
      </c>
      <c r="D3977" s="1"/>
      <c r="E3977" s="1" t="s">
        <v>101</v>
      </c>
      <c r="F3977" s="1" t="s">
        <v>3238</v>
      </c>
      <c r="G3977" s="1">
        <v>20</v>
      </c>
      <c r="H3977" s="1" t="s">
        <v>19</v>
      </c>
      <c r="I3977" s="1" t="s">
        <v>653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909</v>
      </c>
      <c r="D3978" s="1"/>
      <c r="E3978" s="1" t="s">
        <v>2</v>
      </c>
      <c r="F3978" s="1" t="s">
        <v>3205</v>
      </c>
      <c r="G3978" s="1">
        <v>1</v>
      </c>
      <c r="H3978" s="1" t="s">
        <v>19</v>
      </c>
      <c r="I3978" s="1" t="s">
        <v>653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909</v>
      </c>
      <c r="D3979" s="1"/>
      <c r="E3979" s="1" t="s">
        <v>44</v>
      </c>
      <c r="F3979" s="1" t="s">
        <v>3206</v>
      </c>
      <c r="G3979" s="1">
        <v>1</v>
      </c>
      <c r="H3979" s="1" t="s">
        <v>19</v>
      </c>
      <c r="I3979" s="1" t="s">
        <v>653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909</v>
      </c>
      <c r="D3980" s="1"/>
      <c r="E3980" s="1" t="s">
        <v>1102</v>
      </c>
      <c r="F3980" s="1" t="s">
        <v>3208</v>
      </c>
      <c r="G3980" s="1">
        <v>1</v>
      </c>
      <c r="H3980" s="1" t="s">
        <v>19</v>
      </c>
      <c r="I3980" s="1" t="s">
        <v>653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909</v>
      </c>
      <c r="D3981" s="1"/>
      <c r="E3981" s="1" t="s">
        <v>101</v>
      </c>
      <c r="F3981" s="1" t="s">
        <v>910</v>
      </c>
      <c r="G3981" s="1">
        <v>1</v>
      </c>
      <c r="H3981" s="1" t="s">
        <v>19</v>
      </c>
      <c r="I3981" s="1" t="s">
        <v>653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3209</v>
      </c>
      <c r="D3982" s="1"/>
      <c r="E3982" s="1" t="s">
        <v>2</v>
      </c>
      <c r="F3982" s="1" t="s">
        <v>3210</v>
      </c>
      <c r="G3982" s="1">
        <v>2</v>
      </c>
      <c r="H3982" s="1" t="s">
        <v>19</v>
      </c>
      <c r="I3982" s="1" t="s">
        <v>653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3209</v>
      </c>
      <c r="D3983" s="1"/>
      <c r="E3983" s="1" t="s">
        <v>44</v>
      </c>
      <c r="F3983" s="1" t="s">
        <v>3211</v>
      </c>
      <c r="G3983" s="1">
        <v>1</v>
      </c>
      <c r="H3983" s="1" t="s">
        <v>19</v>
      </c>
      <c r="I3983" s="1" t="s">
        <v>653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3209</v>
      </c>
      <c r="D3984" s="1"/>
      <c r="E3984" s="1" t="s">
        <v>747</v>
      </c>
      <c r="F3984" s="1" t="s">
        <v>3212</v>
      </c>
      <c r="G3984" s="1">
        <v>2</v>
      </c>
      <c r="H3984" s="1" t="s">
        <v>19</v>
      </c>
      <c r="I3984" s="1" t="s">
        <v>653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3209</v>
      </c>
      <c r="D3985" s="1"/>
      <c r="E3985" s="1" t="s">
        <v>1102</v>
      </c>
      <c r="F3985" s="1" t="s">
        <v>3213</v>
      </c>
      <c r="G3985" s="1">
        <v>1</v>
      </c>
      <c r="H3985" s="1" t="s">
        <v>19</v>
      </c>
      <c r="I3985" s="1" t="s">
        <v>653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912</v>
      </c>
      <c r="D3986" s="1"/>
      <c r="E3986" s="1" t="s">
        <v>2</v>
      </c>
      <c r="F3986" s="1" t="s">
        <v>3214</v>
      </c>
      <c r="G3986" s="1">
        <v>2</v>
      </c>
      <c r="H3986" s="1" t="s">
        <v>19</v>
      </c>
      <c r="I3986" s="1" t="s">
        <v>653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912</v>
      </c>
      <c r="D3987" s="1"/>
      <c r="E3987" s="1" t="s">
        <v>44</v>
      </c>
      <c r="F3987" s="1" t="s">
        <v>913</v>
      </c>
      <c r="G3987" s="1">
        <v>2</v>
      </c>
      <c r="H3987" s="1" t="s">
        <v>19</v>
      </c>
      <c r="I3987" s="1" t="s">
        <v>653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912</v>
      </c>
      <c r="D3988" s="1"/>
      <c r="E3988" s="1" t="s">
        <v>747</v>
      </c>
      <c r="F3988" s="1" t="s">
        <v>3215</v>
      </c>
      <c r="G3988" s="1">
        <v>1</v>
      </c>
      <c r="H3988" s="1" t="s">
        <v>19</v>
      </c>
      <c r="I3988" s="1" t="s">
        <v>653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912</v>
      </c>
      <c r="D3989" s="1"/>
      <c r="E3989" s="1" t="s">
        <v>1102</v>
      </c>
      <c r="F3989" s="1" t="s">
        <v>1933</v>
      </c>
      <c r="G3989" s="1">
        <v>2</v>
      </c>
      <c r="H3989" s="1" t="s">
        <v>19</v>
      </c>
      <c r="I3989" s="1" t="s">
        <v>653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912</v>
      </c>
      <c r="D3990" s="1"/>
      <c r="E3990" s="1" t="s">
        <v>101</v>
      </c>
      <c r="F3990" s="1" t="s">
        <v>914</v>
      </c>
      <c r="G3990" s="1">
        <v>2</v>
      </c>
      <c r="H3990" s="1" t="s">
        <v>19</v>
      </c>
      <c r="I3990" s="1" t="s">
        <v>653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912</v>
      </c>
      <c r="D3991" s="1"/>
      <c r="E3991" s="1" t="s">
        <v>174</v>
      </c>
      <c r="F3991" s="1" t="s">
        <v>3216</v>
      </c>
      <c r="G3991" s="1">
        <v>1</v>
      </c>
      <c r="H3991" s="1" t="s">
        <v>19</v>
      </c>
      <c r="I3991" s="1" t="s">
        <v>653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912</v>
      </c>
      <c r="D3992" s="1"/>
      <c r="E3992" s="1" t="s">
        <v>462</v>
      </c>
      <c r="F3992" s="1" t="s">
        <v>3373</v>
      </c>
      <c r="G3992" s="1">
        <v>2</v>
      </c>
      <c r="H3992" s="1" t="s">
        <v>19</v>
      </c>
      <c r="I3992" s="1" t="s">
        <v>653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912</v>
      </c>
      <c r="D3993" s="1"/>
      <c r="E3993" s="1" t="s">
        <v>465</v>
      </c>
      <c r="F3993" s="1" t="s">
        <v>3374</v>
      </c>
      <c r="G3993" s="1">
        <v>2</v>
      </c>
      <c r="H3993" s="1" t="s">
        <v>19</v>
      </c>
      <c r="I3993" s="1" t="s">
        <v>653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912</v>
      </c>
      <c r="D3994" s="1"/>
      <c r="E3994" s="1" t="s">
        <v>1103</v>
      </c>
      <c r="F3994" s="1" t="s">
        <v>916</v>
      </c>
      <c r="G3994" s="1">
        <v>1</v>
      </c>
      <c r="H3994" s="1" t="s">
        <v>19</v>
      </c>
      <c r="I3994" s="1" t="s">
        <v>653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987</v>
      </c>
      <c r="D3995" s="1"/>
      <c r="E3995" s="1" t="s">
        <v>2</v>
      </c>
      <c r="F3995" s="1" t="s">
        <v>3221</v>
      </c>
      <c r="G3995" s="1">
        <v>4</v>
      </c>
      <c r="H3995" s="1" t="s">
        <v>19</v>
      </c>
      <c r="I3995" s="1" t="s">
        <v>653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987</v>
      </c>
      <c r="D3996" s="1"/>
      <c r="E3996" s="1" t="s">
        <v>44</v>
      </c>
      <c r="F3996" s="1" t="s">
        <v>3222</v>
      </c>
      <c r="G3996" s="1">
        <v>1</v>
      </c>
      <c r="H3996" s="1" t="s">
        <v>19</v>
      </c>
      <c r="I3996" s="1" t="s">
        <v>653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987</v>
      </c>
      <c r="D3997" s="1"/>
      <c r="E3997" s="1" t="s">
        <v>1102</v>
      </c>
      <c r="F3997" s="1" t="s">
        <v>988</v>
      </c>
      <c r="G3997" s="1">
        <v>4</v>
      </c>
      <c r="H3997" s="1" t="s">
        <v>19</v>
      </c>
      <c r="I3997" s="1" t="s">
        <v>653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987</v>
      </c>
      <c r="D3998" s="1"/>
      <c r="E3998" s="1" t="s">
        <v>101</v>
      </c>
      <c r="F3998" s="1" t="s">
        <v>989</v>
      </c>
      <c r="G3998" s="1">
        <v>1</v>
      </c>
      <c r="H3998" s="1" t="s">
        <v>19</v>
      </c>
      <c r="I3998" s="1" t="s">
        <v>653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990</v>
      </c>
      <c r="D3999" s="1"/>
      <c r="E3999" s="1" t="s">
        <v>2</v>
      </c>
      <c r="F3999" s="1" t="s">
        <v>3223</v>
      </c>
      <c r="G3999" s="1">
        <v>2</v>
      </c>
      <c r="H3999" s="1" t="s">
        <v>19</v>
      </c>
      <c r="I3999" s="1" t="s">
        <v>653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990</v>
      </c>
      <c r="D4000" s="1"/>
      <c r="E4000" s="1" t="s">
        <v>44</v>
      </c>
      <c r="F4000" s="1" t="s">
        <v>3224</v>
      </c>
      <c r="G4000" s="1">
        <v>1</v>
      </c>
      <c r="H4000" s="1" t="s">
        <v>19</v>
      </c>
      <c r="I4000" s="1" t="s">
        <v>653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990</v>
      </c>
      <c r="D4001" s="1"/>
      <c r="E4001" s="1" t="s">
        <v>1102</v>
      </c>
      <c r="F4001" s="1" t="s">
        <v>991</v>
      </c>
      <c r="G4001" s="1">
        <v>2</v>
      </c>
      <c r="H4001" s="1" t="s">
        <v>19</v>
      </c>
      <c r="I4001" s="1" t="s">
        <v>653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990</v>
      </c>
      <c r="D4002" s="1"/>
      <c r="E4002" s="1" t="s">
        <v>101</v>
      </c>
      <c r="F4002" s="1" t="s">
        <v>992</v>
      </c>
      <c r="G4002" s="1">
        <v>1</v>
      </c>
      <c r="H4002" s="1" t="s">
        <v>19</v>
      </c>
      <c r="I4002" s="1" t="s">
        <v>653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990</v>
      </c>
      <c r="D4003" s="1"/>
      <c r="E4003" s="1" t="s">
        <v>174</v>
      </c>
      <c r="F4003" s="1" t="s">
        <v>3375</v>
      </c>
      <c r="G4003" s="1">
        <v>1</v>
      </c>
      <c r="H4003" s="1" t="s">
        <v>19</v>
      </c>
      <c r="I4003" s="1" t="s">
        <v>653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994</v>
      </c>
      <c r="D4004" s="1"/>
      <c r="E4004" s="1" t="s">
        <v>2</v>
      </c>
      <c r="F4004" s="1" t="s">
        <v>3226</v>
      </c>
      <c r="G4004" s="1">
        <v>1</v>
      </c>
      <c r="H4004" s="1" t="s">
        <v>19</v>
      </c>
      <c r="I4004" s="1" t="s">
        <v>653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994</v>
      </c>
      <c r="D4005" s="1"/>
      <c r="E4005" s="1" t="s">
        <v>44</v>
      </c>
      <c r="F4005" s="1" t="s">
        <v>3227</v>
      </c>
      <c r="G4005" s="1">
        <v>2</v>
      </c>
      <c r="H4005" s="1" t="s">
        <v>19</v>
      </c>
      <c r="I4005" s="1" t="s">
        <v>653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994</v>
      </c>
      <c r="D4006" s="1"/>
      <c r="E4006" s="1" t="s">
        <v>747</v>
      </c>
      <c r="F4006" s="1" t="s">
        <v>3228</v>
      </c>
      <c r="G4006" s="1">
        <v>1</v>
      </c>
      <c r="H4006" s="1" t="s">
        <v>19</v>
      </c>
      <c r="I4006" s="1" t="s">
        <v>653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994</v>
      </c>
      <c r="D4007" s="1"/>
      <c r="E4007" s="1" t="s">
        <v>1102</v>
      </c>
      <c r="F4007" s="1" t="s">
        <v>995</v>
      </c>
      <c r="G4007" s="1">
        <v>1</v>
      </c>
      <c r="H4007" s="1" t="s">
        <v>19</v>
      </c>
      <c r="I4007" s="1" t="s">
        <v>653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994</v>
      </c>
      <c r="D4008" s="1"/>
      <c r="E4008" s="1" t="s">
        <v>101</v>
      </c>
      <c r="F4008" s="1" t="s">
        <v>3229</v>
      </c>
      <c r="G4008" s="1">
        <v>2</v>
      </c>
      <c r="H4008" s="1" t="s">
        <v>19</v>
      </c>
      <c r="I4008" s="1" t="s">
        <v>653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994</v>
      </c>
      <c r="D4009" s="1"/>
      <c r="E4009" s="1" t="s">
        <v>174</v>
      </c>
      <c r="F4009" s="1" t="s">
        <v>3230</v>
      </c>
      <c r="G4009" s="1">
        <v>1</v>
      </c>
      <c r="H4009" s="1" t="s">
        <v>19</v>
      </c>
      <c r="I4009" s="1" t="s">
        <v>653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1091</v>
      </c>
      <c r="D4010" s="1"/>
      <c r="E4010" s="1" t="s">
        <v>2</v>
      </c>
      <c r="F4010" s="1" t="s">
        <v>3272</v>
      </c>
      <c r="G4010" s="1">
        <v>2</v>
      </c>
      <c r="H4010" s="1" t="s">
        <v>19</v>
      </c>
      <c r="I4010" s="1" t="s">
        <v>653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1091</v>
      </c>
      <c r="D4011" s="1"/>
      <c r="E4011" s="1" t="s">
        <v>747</v>
      </c>
      <c r="F4011" s="1" t="s">
        <v>1092</v>
      </c>
      <c r="G4011" s="1">
        <v>1</v>
      </c>
      <c r="H4011" s="1" t="s">
        <v>19</v>
      </c>
      <c r="I4011" s="1" t="s">
        <v>653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1091</v>
      </c>
      <c r="D4012" s="1"/>
      <c r="E4012" s="1" t="s">
        <v>1102</v>
      </c>
      <c r="F4012" s="1" t="s">
        <v>1093</v>
      </c>
      <c r="G4012" s="1">
        <v>2</v>
      </c>
      <c r="H4012" s="1" t="s">
        <v>19</v>
      </c>
      <c r="I4012" s="1" t="s">
        <v>653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1091</v>
      </c>
      <c r="D4013" s="1"/>
      <c r="E4013" s="1" t="s">
        <v>101</v>
      </c>
      <c r="F4013" s="1" t="s">
        <v>1094</v>
      </c>
      <c r="G4013" s="1">
        <v>1</v>
      </c>
      <c r="H4013" s="1" t="s">
        <v>19</v>
      </c>
      <c r="I4013" s="1" t="s">
        <v>653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1091</v>
      </c>
      <c r="D4014" s="1"/>
      <c r="E4014" s="1" t="s">
        <v>174</v>
      </c>
      <c r="F4014" s="1" t="s">
        <v>1095</v>
      </c>
      <c r="G4014" s="1">
        <v>2</v>
      </c>
      <c r="H4014" s="1" t="s">
        <v>19</v>
      </c>
      <c r="I4014" s="1" t="s">
        <v>653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1091</v>
      </c>
      <c r="D4015" s="1"/>
      <c r="E4015" s="1" t="s">
        <v>462</v>
      </c>
      <c r="F4015" s="1" t="s">
        <v>3274</v>
      </c>
      <c r="G4015" s="1">
        <v>1</v>
      </c>
      <c r="H4015" s="1" t="s">
        <v>19</v>
      </c>
      <c r="I4015" s="1" t="s">
        <v>653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1017</v>
      </c>
      <c r="D4016" s="1"/>
      <c r="E4016" s="1" t="s">
        <v>462</v>
      </c>
      <c r="F4016" s="1" t="s">
        <v>3235</v>
      </c>
      <c r="G4016" s="1">
        <v>10</v>
      </c>
      <c r="H4016" s="1" t="s">
        <v>19</v>
      </c>
      <c r="I4016" s="1" t="s">
        <v>653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1017</v>
      </c>
      <c r="D4017" s="1"/>
      <c r="E4017" s="1" t="s">
        <v>747</v>
      </c>
      <c r="F4017" s="1" t="s">
        <v>3236</v>
      </c>
      <c r="G4017" s="1">
        <v>2</v>
      </c>
      <c r="H4017" s="1" t="s">
        <v>19</v>
      </c>
      <c r="I4017" s="1" t="s">
        <v>653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1017</v>
      </c>
      <c r="D4018" s="1"/>
      <c r="E4018" s="1" t="s">
        <v>1102</v>
      </c>
      <c r="F4018" s="1" t="s">
        <v>3237</v>
      </c>
      <c r="G4018" s="1">
        <v>1</v>
      </c>
      <c r="H4018" s="1" t="s">
        <v>19</v>
      </c>
      <c r="I4018" s="1" t="s">
        <v>653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1017</v>
      </c>
      <c r="D4019" s="1"/>
      <c r="E4019" s="1" t="s">
        <v>174</v>
      </c>
      <c r="F4019" s="1" t="s">
        <v>3239</v>
      </c>
      <c r="G4019" s="1">
        <v>10</v>
      </c>
      <c r="H4019" s="1" t="s">
        <v>19</v>
      </c>
      <c r="I4019" s="1" t="s">
        <v>653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1017</v>
      </c>
      <c r="D4020" s="1"/>
      <c r="E4020" s="1" t="s">
        <v>462</v>
      </c>
      <c r="F4020" s="1" t="s">
        <v>3240</v>
      </c>
      <c r="G4020" s="1">
        <v>2</v>
      </c>
      <c r="H4020" s="1" t="s">
        <v>19</v>
      </c>
      <c r="I4020" s="1" t="s">
        <v>653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1017</v>
      </c>
      <c r="D4021" s="1"/>
      <c r="E4021" s="1" t="s">
        <v>465</v>
      </c>
      <c r="F4021" s="1" t="s">
        <v>3241</v>
      </c>
      <c r="G4021" s="1">
        <v>1</v>
      </c>
      <c r="H4021" s="1" t="s">
        <v>19</v>
      </c>
      <c r="I4021" s="1" t="s">
        <v>653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1082</v>
      </c>
      <c r="D4022" s="1"/>
      <c r="E4022" s="1" t="s">
        <v>1102</v>
      </c>
      <c r="F4022" s="1" t="s">
        <v>3267</v>
      </c>
      <c r="G4022" s="1">
        <v>1</v>
      </c>
      <c r="H4022" s="1" t="s">
        <v>19</v>
      </c>
      <c r="I4022" s="1" t="s">
        <v>653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1082</v>
      </c>
      <c r="D4023" s="1"/>
      <c r="E4023" s="1" t="s">
        <v>101</v>
      </c>
      <c r="F4023" s="1" t="s">
        <v>3268</v>
      </c>
      <c r="G4023" s="1">
        <v>18</v>
      </c>
      <c r="H4023" s="1" t="s">
        <v>19</v>
      </c>
      <c r="I4023" s="1" t="s">
        <v>653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1082</v>
      </c>
      <c r="D4024" s="1"/>
      <c r="E4024" s="1" t="s">
        <v>174</v>
      </c>
      <c r="F4024" s="1" t="s">
        <v>3269</v>
      </c>
      <c r="G4024" s="1">
        <v>1</v>
      </c>
      <c r="H4024" s="1" t="s">
        <v>19</v>
      </c>
      <c r="I4024" s="1" t="s">
        <v>653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1082</v>
      </c>
      <c r="D4025" s="1"/>
      <c r="E4025" s="1" t="s">
        <v>462</v>
      </c>
      <c r="F4025" s="1" t="s">
        <v>3270</v>
      </c>
      <c r="G4025" s="1">
        <v>2</v>
      </c>
      <c r="H4025" s="1" t="s">
        <v>19</v>
      </c>
      <c r="I4025" s="1" t="s">
        <v>653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1082</v>
      </c>
      <c r="D4026" s="1"/>
      <c r="E4026" s="1" t="s">
        <v>465</v>
      </c>
      <c r="F4026" s="1" t="s">
        <v>3271</v>
      </c>
      <c r="G4026" s="1">
        <v>1</v>
      </c>
      <c r="H4026" s="1" t="s">
        <v>19</v>
      </c>
      <c r="I4026" s="1" t="s">
        <v>653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1096</v>
      </c>
      <c r="D4027" s="1"/>
      <c r="E4027" s="1" t="s">
        <v>174</v>
      </c>
      <c r="F4027" s="1" t="s">
        <v>3275</v>
      </c>
      <c r="G4027" s="1">
        <v>1</v>
      </c>
      <c r="H4027" s="1" t="s">
        <v>19</v>
      </c>
      <c r="I4027" s="1" t="s">
        <v>653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1096</v>
      </c>
      <c r="D4028" s="1"/>
      <c r="E4028" s="1" t="s">
        <v>462</v>
      </c>
      <c r="F4028" s="1" t="s">
        <v>3276</v>
      </c>
      <c r="G4028" s="1">
        <v>2</v>
      </c>
      <c r="H4028" s="1" t="s">
        <v>19</v>
      </c>
      <c r="I4028" s="1" t="s">
        <v>653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3376</v>
      </c>
      <c r="D4029" s="1"/>
      <c r="E4029" s="1"/>
      <c r="F4029" s="1" t="s">
        <v>3377</v>
      </c>
      <c r="G4029" s="1">
        <v>119</v>
      </c>
      <c r="H4029" s="1" t="s">
        <v>19</v>
      </c>
      <c r="I4029" s="1" t="s">
        <v>653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3376</v>
      </c>
      <c r="D4030" s="1"/>
      <c r="E4030" s="1"/>
      <c r="F4030" s="1" t="s">
        <v>3378</v>
      </c>
      <c r="G4030" s="1">
        <v>119</v>
      </c>
      <c r="H4030" s="1" t="s">
        <v>19</v>
      </c>
      <c r="I4030" s="1" t="s">
        <v>653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3376</v>
      </c>
      <c r="D4031" s="1"/>
      <c r="E4031" s="1"/>
      <c r="F4031" s="1" t="s">
        <v>3379</v>
      </c>
      <c r="G4031" s="1">
        <v>119</v>
      </c>
      <c r="H4031" s="1" t="s">
        <v>19</v>
      </c>
      <c r="I4031" s="1" t="s">
        <v>653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3380</v>
      </c>
      <c r="D4032" s="1"/>
      <c r="E4032" s="1" t="s">
        <v>2</v>
      </c>
      <c r="F4032" s="1" t="s">
        <v>3381</v>
      </c>
      <c r="G4032" s="1">
        <v>2</v>
      </c>
      <c r="H4032" s="1" t="s">
        <v>19</v>
      </c>
      <c r="I4032" s="1" t="s">
        <v>653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3380</v>
      </c>
      <c r="D4033" s="1"/>
      <c r="E4033" s="1" t="s">
        <v>44</v>
      </c>
      <c r="F4033" s="1" t="s">
        <v>3382</v>
      </c>
      <c r="G4033" s="1">
        <v>4</v>
      </c>
      <c r="H4033" s="1" t="s">
        <v>19</v>
      </c>
      <c r="I4033" s="1" t="s">
        <v>653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3380</v>
      </c>
      <c r="D4034" s="1"/>
      <c r="E4034" s="1" t="s">
        <v>747</v>
      </c>
      <c r="F4034" s="1" t="s">
        <v>3383</v>
      </c>
      <c r="G4034" s="1">
        <v>1</v>
      </c>
      <c r="H4034" s="1" t="s">
        <v>19</v>
      </c>
      <c r="I4034" s="1" t="s">
        <v>653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990</v>
      </c>
      <c r="D4035" s="1"/>
      <c r="E4035" s="1" t="s">
        <v>747</v>
      </c>
      <c r="F4035" s="1" t="s">
        <v>3225</v>
      </c>
      <c r="G4035" s="1">
        <v>1</v>
      </c>
      <c r="H4035" s="1" t="s">
        <v>19</v>
      </c>
      <c r="I4035" s="1" t="s">
        <v>653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1091</v>
      </c>
      <c r="D4036" s="1"/>
      <c r="E4036" s="1" t="s">
        <v>44</v>
      </c>
      <c r="F4036" s="1" t="s">
        <v>3273</v>
      </c>
      <c r="G4036" s="1">
        <v>1</v>
      </c>
      <c r="H4036" s="1" t="s">
        <v>19</v>
      </c>
      <c r="I4036" s="1" t="s">
        <v>653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909</v>
      </c>
      <c r="D4037" s="1"/>
      <c r="E4037" s="1" t="s">
        <v>174</v>
      </c>
      <c r="F4037" s="1" t="s">
        <v>911</v>
      </c>
      <c r="G4037" s="1">
        <v>2</v>
      </c>
      <c r="H4037" s="1" t="s">
        <v>19</v>
      </c>
      <c r="I4037" s="1" t="s">
        <v>653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909</v>
      </c>
      <c r="D4038" s="1"/>
      <c r="E4038" s="1" t="s">
        <v>747</v>
      </c>
      <c r="F4038" s="1" t="s">
        <v>3207</v>
      </c>
      <c r="G4038" s="1">
        <v>2</v>
      </c>
      <c r="H4038" s="1" t="s">
        <v>19</v>
      </c>
      <c r="I4038" s="1" t="s">
        <v>653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978</v>
      </c>
      <c r="D4039" s="1"/>
      <c r="E4039" s="1" t="s">
        <v>101</v>
      </c>
      <c r="F4039" s="1" t="s">
        <v>3371</v>
      </c>
      <c r="G4039" s="1">
        <v>4</v>
      </c>
      <c r="H4039" s="1" t="s">
        <v>19</v>
      </c>
      <c r="I4039" s="1" t="s">
        <v>590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1034</v>
      </c>
      <c r="D4040" s="1"/>
      <c r="E4040" s="1" t="s">
        <v>747</v>
      </c>
      <c r="F4040" s="1" t="s">
        <v>3371</v>
      </c>
      <c r="G4040" s="1">
        <v>4</v>
      </c>
      <c r="H4040" s="1" t="s">
        <v>19</v>
      </c>
      <c r="I4040" s="1" t="s">
        <v>586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720</v>
      </c>
      <c r="D4041" s="1"/>
      <c r="E4041" s="1" t="s">
        <v>747</v>
      </c>
      <c r="F4041" s="1" t="s">
        <v>3371</v>
      </c>
      <c r="G4041" s="1">
        <v>1</v>
      </c>
      <c r="H4041" s="1" t="s">
        <v>19</v>
      </c>
      <c r="I4041" s="1" t="s">
        <v>590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724</v>
      </c>
      <c r="D4042" s="1"/>
      <c r="E4042" s="1" t="s">
        <v>747</v>
      </c>
      <c r="F4042" s="1" t="s">
        <v>3371</v>
      </c>
      <c r="G4042" s="1">
        <v>1</v>
      </c>
      <c r="H4042" s="1" t="s">
        <v>19</v>
      </c>
      <c r="I4042" s="1" t="s">
        <v>586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3384</v>
      </c>
      <c r="D4043" s="1"/>
      <c r="E4043" s="1"/>
      <c r="F4043" s="1" t="s">
        <v>3385</v>
      </c>
      <c r="G4043" s="1">
        <v>48</v>
      </c>
      <c r="H4043" s="1" t="s">
        <v>19</v>
      </c>
      <c r="I4043" s="1" t="s">
        <v>630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3384</v>
      </c>
      <c r="D4044" s="1"/>
      <c r="E4044" s="1"/>
      <c r="F4044" s="1" t="s">
        <v>3386</v>
      </c>
      <c r="G4044" s="1">
        <v>80</v>
      </c>
      <c r="H4044" s="1" t="s">
        <v>19</v>
      </c>
      <c r="I4044" s="1" t="s">
        <v>630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3384</v>
      </c>
      <c r="D4045" s="1"/>
      <c r="E4045" s="1"/>
      <c r="F4045" s="1" t="s">
        <v>3387</v>
      </c>
      <c r="G4045" s="1">
        <v>80</v>
      </c>
      <c r="H4045" s="1" t="s">
        <v>19</v>
      </c>
      <c r="I4045" s="1" t="s">
        <v>630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939</v>
      </c>
      <c r="D4046" s="1"/>
      <c r="E4046" s="1"/>
      <c r="F4046" s="1" t="s">
        <v>3388</v>
      </c>
      <c r="G4046" s="1">
        <v>13</v>
      </c>
      <c r="H4046" s="1" t="s">
        <v>19</v>
      </c>
      <c r="I4046" s="1" t="s">
        <v>630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3389</v>
      </c>
      <c r="D4047" s="1"/>
      <c r="E4047" s="1"/>
      <c r="F4047" s="1" t="s">
        <v>3390</v>
      </c>
      <c r="G4047" s="1">
        <v>32</v>
      </c>
      <c r="H4047" s="1" t="s">
        <v>19</v>
      </c>
      <c r="I4047" s="1" t="s">
        <v>590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3389</v>
      </c>
      <c r="D4048" s="1"/>
      <c r="E4048" s="1"/>
      <c r="F4048" s="1" t="s">
        <v>3391</v>
      </c>
      <c r="G4048" s="1">
        <v>85</v>
      </c>
      <c r="H4048" s="1" t="s">
        <v>19</v>
      </c>
      <c r="I4048" s="1" t="s">
        <v>590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3389</v>
      </c>
      <c r="D4049" s="1"/>
      <c r="E4049" s="1"/>
      <c r="F4049" s="1" t="s">
        <v>3392</v>
      </c>
      <c r="G4049" s="1">
        <v>85</v>
      </c>
      <c r="H4049" s="1" t="s">
        <v>19</v>
      </c>
      <c r="I4049" s="1" t="s">
        <v>590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3389</v>
      </c>
      <c r="D4050" s="1"/>
      <c r="E4050" s="1"/>
      <c r="F4050" s="1" t="s">
        <v>3393</v>
      </c>
      <c r="G4050" s="1">
        <v>36</v>
      </c>
      <c r="H4050" s="1" t="s">
        <v>19</v>
      </c>
      <c r="I4050" s="1" t="s">
        <v>590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963</v>
      </c>
      <c r="D4051" s="1"/>
      <c r="E4051" s="1"/>
      <c r="F4051" s="1" t="s">
        <v>3394</v>
      </c>
      <c r="G4051" s="1">
        <v>27</v>
      </c>
      <c r="H4051" s="1" t="s">
        <v>19</v>
      </c>
      <c r="I4051" s="1" t="s">
        <v>590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3242</v>
      </c>
      <c r="D4052" s="1"/>
      <c r="E4052" s="1"/>
      <c r="F4052" s="1" t="s">
        <v>3395</v>
      </c>
      <c r="G4052" s="1">
        <v>60</v>
      </c>
      <c r="H4052" s="1" t="s">
        <v>19</v>
      </c>
      <c r="I4052" s="1" t="s">
        <v>635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3242</v>
      </c>
      <c r="D4053" s="1"/>
      <c r="E4053" s="1"/>
      <c r="F4053" s="1" t="s">
        <v>3396</v>
      </c>
      <c r="G4053" s="1">
        <v>156</v>
      </c>
      <c r="H4053" s="1" t="s">
        <v>19</v>
      </c>
      <c r="I4053" s="1" t="s">
        <v>635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3242</v>
      </c>
      <c r="D4054" s="1"/>
      <c r="E4054" s="1"/>
      <c r="F4054" s="1" t="s">
        <v>3397</v>
      </c>
      <c r="G4054" s="1">
        <v>156</v>
      </c>
      <c r="H4054" s="1" t="s">
        <v>19</v>
      </c>
      <c r="I4054" s="1" t="s">
        <v>635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3242</v>
      </c>
      <c r="D4055" s="1"/>
      <c r="E4055" s="1"/>
      <c r="F4055" s="1" t="s">
        <v>3398</v>
      </c>
      <c r="G4055" s="1">
        <v>64</v>
      </c>
      <c r="H4055" s="1" t="s">
        <v>19</v>
      </c>
      <c r="I4055" s="1" t="s">
        <v>635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1818</v>
      </c>
      <c r="D4056" s="1"/>
      <c r="E4056" s="1"/>
      <c r="F4056" s="1" t="s">
        <v>3399</v>
      </c>
      <c r="G4056" s="1">
        <v>12</v>
      </c>
      <c r="H4056" s="1" t="s">
        <v>19</v>
      </c>
      <c r="I4056" s="1" t="s">
        <v>635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3243</v>
      </c>
      <c r="D4057" s="1"/>
      <c r="E4057" s="1"/>
      <c r="F4057" s="1" t="s">
        <v>3400</v>
      </c>
      <c r="G4057" s="1">
        <v>40</v>
      </c>
      <c r="H4057" s="1" t="s">
        <v>19</v>
      </c>
      <c r="I4057" s="1" t="s">
        <v>586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3243</v>
      </c>
      <c r="D4058" s="1"/>
      <c r="E4058" s="1"/>
      <c r="F4058" s="1" t="s">
        <v>3401</v>
      </c>
      <c r="G4058" s="1">
        <v>111</v>
      </c>
      <c r="H4058" s="1" t="s">
        <v>19</v>
      </c>
      <c r="I4058" s="1" t="s">
        <v>586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3243</v>
      </c>
      <c r="D4059" s="1"/>
      <c r="E4059" s="1"/>
      <c r="F4059" s="1" t="s">
        <v>3402</v>
      </c>
      <c r="G4059" s="1">
        <v>111</v>
      </c>
      <c r="H4059" s="1" t="s">
        <v>19</v>
      </c>
      <c r="I4059" s="1" t="s">
        <v>586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3243</v>
      </c>
      <c r="D4060" s="1"/>
      <c r="E4060" s="1"/>
      <c r="F4060" s="1" t="s">
        <v>3403</v>
      </c>
      <c r="G4060" s="1">
        <v>48</v>
      </c>
      <c r="H4060" s="1" t="s">
        <v>19</v>
      </c>
      <c r="I4060" s="1" t="s">
        <v>586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1976</v>
      </c>
      <c r="D4061" s="1"/>
      <c r="E4061" s="1"/>
      <c r="F4061" s="1" t="s">
        <v>3404</v>
      </c>
      <c r="G4061" s="1">
        <v>17</v>
      </c>
      <c r="H4061" s="1" t="s">
        <v>19</v>
      </c>
      <c r="I4061" s="1" t="s">
        <v>586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707</v>
      </c>
      <c r="D4062" s="1"/>
      <c r="E4062" s="1" t="s">
        <v>174</v>
      </c>
      <c r="F4062" s="1" t="s">
        <v>3405</v>
      </c>
      <c r="G4062" s="1">
        <v>1</v>
      </c>
      <c r="H4062" s="1" t="s">
        <v>19</v>
      </c>
      <c r="I4062" s="1" t="s">
        <v>630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713</v>
      </c>
      <c r="D4063" s="1"/>
      <c r="E4063" s="1" t="s">
        <v>2</v>
      </c>
      <c r="F4063" s="1" t="s">
        <v>3197</v>
      </c>
      <c r="G4063" s="1">
        <v>1</v>
      </c>
      <c r="H4063" s="1" t="s">
        <v>19</v>
      </c>
      <c r="I4063" s="1" t="s">
        <v>630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3217</v>
      </c>
      <c r="D4064" s="1"/>
      <c r="E4064" s="1" t="s">
        <v>2</v>
      </c>
      <c r="F4064" s="1" t="s">
        <v>3218</v>
      </c>
      <c r="G4064" s="1">
        <v>1</v>
      </c>
      <c r="H4064" s="1" t="s">
        <v>19</v>
      </c>
      <c r="I4064" s="1" t="s">
        <v>630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3219</v>
      </c>
      <c r="D4065" s="1"/>
      <c r="E4065" s="1" t="s">
        <v>2</v>
      </c>
      <c r="F4065" s="1" t="s">
        <v>3220</v>
      </c>
      <c r="G4065" s="1">
        <v>1</v>
      </c>
      <c r="H4065" s="1" t="s">
        <v>19</v>
      </c>
      <c r="I4065" s="1" t="s">
        <v>590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3219</v>
      </c>
      <c r="D4066" s="1"/>
      <c r="E4066" s="1" t="s">
        <v>2</v>
      </c>
      <c r="F4066" s="1" t="s">
        <v>3220</v>
      </c>
      <c r="G4066" s="1">
        <v>1</v>
      </c>
      <c r="H4066" s="1" t="s">
        <v>19</v>
      </c>
      <c r="I4066" s="1" t="s">
        <v>635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3219</v>
      </c>
      <c r="D4067" s="1"/>
      <c r="E4067" s="1" t="s">
        <v>2</v>
      </c>
      <c r="F4067" s="1" t="s">
        <v>3220</v>
      </c>
      <c r="G4067" s="1">
        <v>1</v>
      </c>
      <c r="H4067" s="1" t="s">
        <v>19</v>
      </c>
      <c r="I4067" s="1" t="s">
        <v>586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1818</v>
      </c>
      <c r="D4068" s="1"/>
      <c r="E4068" s="1" t="s">
        <v>1106</v>
      </c>
      <c r="F4068" s="1" t="s">
        <v>3406</v>
      </c>
      <c r="G4068" s="1">
        <v>1</v>
      </c>
      <c r="H4068" s="1" t="s">
        <v>19</v>
      </c>
      <c r="I4068" s="1" t="s">
        <v>635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1818</v>
      </c>
      <c r="D4069" s="1"/>
      <c r="E4069" s="1" t="s">
        <v>1107</v>
      </c>
      <c r="F4069" s="1" t="s">
        <v>3407</v>
      </c>
      <c r="G4069" s="1">
        <v>1</v>
      </c>
      <c r="H4069" s="1" t="s">
        <v>19</v>
      </c>
      <c r="I4069" s="1" t="s">
        <v>635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3282</v>
      </c>
      <c r="D4070" s="1"/>
      <c r="E4070" s="1" t="s">
        <v>2</v>
      </c>
      <c r="F4070" s="1" t="s">
        <v>3283</v>
      </c>
      <c r="G4070" s="1">
        <v>1</v>
      </c>
      <c r="H4070" s="1" t="s">
        <v>19</v>
      </c>
      <c r="I4070" s="1" t="s">
        <v>630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3282</v>
      </c>
      <c r="D4071" s="1"/>
      <c r="E4071" s="1" t="s">
        <v>44</v>
      </c>
      <c r="F4071" s="1" t="s">
        <v>3284</v>
      </c>
      <c r="G4071" s="1">
        <v>4</v>
      </c>
      <c r="H4071" s="1" t="s">
        <v>19</v>
      </c>
      <c r="I4071" s="1" t="s">
        <v>630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3282</v>
      </c>
      <c r="D4072" s="1"/>
      <c r="E4072" s="1" t="s">
        <v>1102</v>
      </c>
      <c r="F4072" s="1" t="s">
        <v>3285</v>
      </c>
      <c r="G4072" s="1">
        <v>2</v>
      </c>
      <c r="H4072" s="1" t="s">
        <v>19</v>
      </c>
      <c r="I4072" s="1" t="s">
        <v>630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3282</v>
      </c>
      <c r="D4073" s="1"/>
      <c r="E4073" s="1" t="s">
        <v>101</v>
      </c>
      <c r="F4073" s="1" t="s">
        <v>3286</v>
      </c>
      <c r="G4073" s="1">
        <v>1</v>
      </c>
      <c r="H4073" s="1" t="s">
        <v>19</v>
      </c>
      <c r="I4073" s="1" t="s">
        <v>630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3282</v>
      </c>
      <c r="D4074" s="1"/>
      <c r="E4074" s="1" t="s">
        <v>174</v>
      </c>
      <c r="F4074" s="1" t="s">
        <v>3287</v>
      </c>
      <c r="G4074" s="1">
        <v>1</v>
      </c>
      <c r="H4074" s="1" t="s">
        <v>19</v>
      </c>
      <c r="I4074" s="1" t="s">
        <v>630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3282</v>
      </c>
      <c r="D4075" s="1"/>
      <c r="E4075" s="1" t="s">
        <v>2</v>
      </c>
      <c r="F4075" s="1" t="s">
        <v>3283</v>
      </c>
      <c r="G4075" s="1">
        <v>1</v>
      </c>
      <c r="H4075" s="1" t="s">
        <v>19</v>
      </c>
      <c r="I4075" s="1" t="s">
        <v>635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3282</v>
      </c>
      <c r="D4076" s="1"/>
      <c r="E4076" s="1" t="s">
        <v>44</v>
      </c>
      <c r="F4076" s="1" t="s">
        <v>3284</v>
      </c>
      <c r="G4076" s="1">
        <v>4</v>
      </c>
      <c r="H4076" s="1" t="s">
        <v>19</v>
      </c>
      <c r="I4076" s="1" t="s">
        <v>635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3282</v>
      </c>
      <c r="D4077" s="1"/>
      <c r="E4077" s="1" t="s">
        <v>747</v>
      </c>
      <c r="F4077" s="1" t="s">
        <v>3288</v>
      </c>
      <c r="G4077" s="1">
        <v>2</v>
      </c>
      <c r="H4077" s="1" t="s">
        <v>19</v>
      </c>
      <c r="I4077" s="1" t="s">
        <v>635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3282</v>
      </c>
      <c r="D4078" s="1"/>
      <c r="E4078" s="1" t="s">
        <v>101</v>
      </c>
      <c r="F4078" s="1" t="s">
        <v>3286</v>
      </c>
      <c r="G4078" s="1">
        <v>1</v>
      </c>
      <c r="H4078" s="1" t="s">
        <v>19</v>
      </c>
      <c r="I4078" s="1" t="s">
        <v>635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3282</v>
      </c>
      <c r="D4079" s="1"/>
      <c r="E4079" s="1" t="s">
        <v>174</v>
      </c>
      <c r="F4079" s="1" t="s">
        <v>3287</v>
      </c>
      <c r="G4079" s="1">
        <v>1</v>
      </c>
      <c r="H4079" s="1" t="s">
        <v>19</v>
      </c>
      <c r="I4079" s="1" t="s">
        <v>635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3282</v>
      </c>
      <c r="D4080" s="1"/>
      <c r="E4080" s="1" t="s">
        <v>44</v>
      </c>
      <c r="F4080" s="1" t="s">
        <v>3284</v>
      </c>
      <c r="G4080" s="1">
        <v>4</v>
      </c>
      <c r="H4080" s="1" t="s">
        <v>19</v>
      </c>
      <c r="I4080" s="1" t="s">
        <v>590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3282</v>
      </c>
      <c r="D4081" s="1"/>
      <c r="E4081" s="1" t="s">
        <v>747</v>
      </c>
      <c r="F4081" s="1" t="s">
        <v>3288</v>
      </c>
      <c r="G4081" s="1">
        <v>2</v>
      </c>
      <c r="H4081" s="1" t="s">
        <v>19</v>
      </c>
      <c r="I4081" s="1" t="s">
        <v>590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3282</v>
      </c>
      <c r="D4082" s="1"/>
      <c r="E4082" s="1" t="s">
        <v>101</v>
      </c>
      <c r="F4082" s="1" t="s">
        <v>3286</v>
      </c>
      <c r="G4082" s="1">
        <v>1</v>
      </c>
      <c r="H4082" s="1" t="s">
        <v>19</v>
      </c>
      <c r="I4082" s="1" t="s">
        <v>590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3282</v>
      </c>
      <c r="D4083" s="1"/>
      <c r="E4083" s="1" t="s">
        <v>174</v>
      </c>
      <c r="F4083" s="1" t="s">
        <v>3287</v>
      </c>
      <c r="G4083" s="1">
        <v>1</v>
      </c>
      <c r="H4083" s="1" t="s">
        <v>19</v>
      </c>
      <c r="I4083" s="1" t="s">
        <v>590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3282</v>
      </c>
      <c r="D4084" s="1"/>
      <c r="E4084" s="1" t="s">
        <v>44</v>
      </c>
      <c r="F4084" s="1" t="s">
        <v>3284</v>
      </c>
      <c r="G4084" s="1">
        <v>4</v>
      </c>
      <c r="H4084" s="1" t="s">
        <v>19</v>
      </c>
      <c r="I4084" s="1" t="s">
        <v>586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3282</v>
      </c>
      <c r="D4085" s="1"/>
      <c r="E4085" s="1" t="s">
        <v>747</v>
      </c>
      <c r="F4085" s="1" t="s">
        <v>3288</v>
      </c>
      <c r="G4085" s="1">
        <v>2</v>
      </c>
      <c r="H4085" s="1" t="s">
        <v>19</v>
      </c>
      <c r="I4085" s="1" t="s">
        <v>586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3282</v>
      </c>
      <c r="D4086" s="1"/>
      <c r="E4086" s="1" t="s">
        <v>101</v>
      </c>
      <c r="F4086" s="1" t="s">
        <v>3286</v>
      </c>
      <c r="G4086" s="1">
        <v>1</v>
      </c>
      <c r="H4086" s="1" t="s">
        <v>19</v>
      </c>
      <c r="I4086" s="1" t="s">
        <v>586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3282</v>
      </c>
      <c r="D4087" s="1"/>
      <c r="E4087" s="1" t="s">
        <v>174</v>
      </c>
      <c r="F4087" s="1" t="s">
        <v>3287</v>
      </c>
      <c r="G4087" s="1">
        <v>1</v>
      </c>
      <c r="H4087" s="1" t="s">
        <v>19</v>
      </c>
      <c r="I4087" s="1" t="s">
        <v>586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3282</v>
      </c>
      <c r="D4088" s="1"/>
      <c r="E4088" s="1" t="s">
        <v>462</v>
      </c>
      <c r="F4088" s="1" t="s">
        <v>3289</v>
      </c>
      <c r="G4088" s="1">
        <v>4</v>
      </c>
      <c r="H4088" s="1" t="s">
        <v>19</v>
      </c>
      <c r="I4088" s="1" t="s">
        <v>590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3282</v>
      </c>
      <c r="D4089" s="1"/>
      <c r="E4089" s="1" t="s">
        <v>462</v>
      </c>
      <c r="F4089" s="1" t="s">
        <v>3289</v>
      </c>
      <c r="G4089" s="1">
        <v>4</v>
      </c>
      <c r="H4089" s="1" t="s">
        <v>19</v>
      </c>
      <c r="I4089" s="1" t="s">
        <v>586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2003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2004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2005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2006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1902</v>
      </c>
      <c r="D4094" s="1"/>
      <c r="E4094" s="1" t="s">
        <v>3408</v>
      </c>
      <c r="F4094" s="1" t="s">
        <v>3409</v>
      </c>
      <c r="G4094" s="1">
        <v>1</v>
      </c>
      <c r="H4094" s="1" t="s">
        <v>19</v>
      </c>
      <c r="I4094" s="1" t="s">
        <v>1302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1890</v>
      </c>
      <c r="D4095" s="1"/>
      <c r="E4095" s="1" t="s">
        <v>3411</v>
      </c>
      <c r="F4095" s="1" t="s">
        <v>3412</v>
      </c>
      <c r="G4095" s="1">
        <v>1</v>
      </c>
      <c r="H4095" s="1" t="s">
        <v>19</v>
      </c>
      <c r="I4095" s="1" t="s">
        <v>1301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1890</v>
      </c>
      <c r="D4096" s="1"/>
      <c r="E4096" s="1" t="s">
        <v>3414</v>
      </c>
      <c r="F4096" s="1" t="s">
        <v>3415</v>
      </c>
      <c r="G4096" s="1">
        <v>1</v>
      </c>
      <c r="H4096" s="1" t="s">
        <v>19</v>
      </c>
      <c r="I4096" s="1" t="s">
        <v>1301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1890</v>
      </c>
      <c r="D4097" s="1"/>
      <c r="E4097" s="1" t="s">
        <v>3416</v>
      </c>
      <c r="F4097" s="1" t="s">
        <v>3417</v>
      </c>
      <c r="G4097" s="1">
        <v>3</v>
      </c>
      <c r="H4097" s="1" t="s">
        <v>19</v>
      </c>
      <c r="I4097" s="1" t="s">
        <v>1301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1901</v>
      </c>
      <c r="D4098" s="1"/>
      <c r="E4098" s="1" t="s">
        <v>3411</v>
      </c>
      <c r="F4098" s="1" t="s">
        <v>3412</v>
      </c>
      <c r="G4098" s="1">
        <v>1</v>
      </c>
      <c r="H4098" s="1" t="s">
        <v>19</v>
      </c>
      <c r="I4098" s="1" t="s">
        <v>1302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1901</v>
      </c>
      <c r="D4099" s="1"/>
      <c r="E4099" s="1" t="s">
        <v>3414</v>
      </c>
      <c r="F4099" s="1" t="s">
        <v>3418</v>
      </c>
      <c r="G4099" s="1">
        <v>1</v>
      </c>
      <c r="H4099" s="1" t="s">
        <v>19</v>
      </c>
      <c r="I4099" s="1" t="s">
        <v>1302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1901</v>
      </c>
      <c r="D4100" s="1"/>
      <c r="E4100" s="1" t="s">
        <v>3416</v>
      </c>
      <c r="F4100" s="1" t="s">
        <v>3415</v>
      </c>
      <c r="G4100" s="1">
        <v>1</v>
      </c>
      <c r="H4100" s="1" t="s">
        <v>19</v>
      </c>
      <c r="I4100" s="1" t="s">
        <v>1302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1905</v>
      </c>
      <c r="D4101" s="1"/>
      <c r="E4101" s="1" t="s">
        <v>3419</v>
      </c>
      <c r="F4101" s="1" t="s">
        <v>3420</v>
      </c>
      <c r="G4101" s="1">
        <v>1</v>
      </c>
      <c r="H4101" s="1" t="s">
        <v>19</v>
      </c>
      <c r="I4101" s="1" t="s">
        <v>1302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1909</v>
      </c>
      <c r="D4102" s="1"/>
      <c r="E4102" s="1" t="s">
        <v>3421</v>
      </c>
      <c r="F4102" s="1" t="s">
        <v>3422</v>
      </c>
      <c r="G4102" s="1">
        <v>1</v>
      </c>
      <c r="H4102" s="1" t="s">
        <v>19</v>
      </c>
      <c r="I4102" s="1" t="s">
        <v>1291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1909</v>
      </c>
      <c r="D4103" s="1"/>
      <c r="E4103" s="1" t="s">
        <v>3423</v>
      </c>
      <c r="F4103" s="1" t="s">
        <v>3415</v>
      </c>
      <c r="G4103" s="1">
        <v>1</v>
      </c>
      <c r="H4103" s="1" t="s">
        <v>19</v>
      </c>
      <c r="I4103" s="1" t="s">
        <v>1291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1903</v>
      </c>
      <c r="D4104" s="1"/>
      <c r="E4104" s="1" t="s">
        <v>3424</v>
      </c>
      <c r="F4104" s="1" t="s">
        <v>3425</v>
      </c>
      <c r="G4104" s="1">
        <v>1</v>
      </c>
      <c r="H4104" s="1" t="s">
        <v>19</v>
      </c>
      <c r="I4104" s="1" t="s">
        <v>1291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1903</v>
      </c>
      <c r="D4105" s="1"/>
      <c r="E4105" s="1" t="s">
        <v>3426</v>
      </c>
      <c r="F4105" s="1" t="s">
        <v>3427</v>
      </c>
      <c r="G4105" s="1">
        <v>1</v>
      </c>
      <c r="H4105" s="1" t="s">
        <v>19</v>
      </c>
      <c r="I4105" s="1" t="s">
        <v>1291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1903</v>
      </c>
      <c r="D4106" s="1"/>
      <c r="E4106" s="1" t="s">
        <v>3428</v>
      </c>
      <c r="F4106" s="1" t="s">
        <v>3429</v>
      </c>
      <c r="G4106" s="1">
        <v>1</v>
      </c>
      <c r="H4106" s="1" t="s">
        <v>19</v>
      </c>
      <c r="I4106" s="1" t="s">
        <v>1291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1903</v>
      </c>
      <c r="D4107" s="1"/>
      <c r="E4107" s="1" t="s">
        <v>3430</v>
      </c>
      <c r="F4107" s="1" t="s">
        <v>3431</v>
      </c>
      <c r="G4107" s="1">
        <v>1</v>
      </c>
      <c r="H4107" s="1" t="s">
        <v>19</v>
      </c>
      <c r="I4107" s="1" t="s">
        <v>1291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1903</v>
      </c>
      <c r="D4108" s="1"/>
      <c r="E4108" s="1" t="s">
        <v>3432</v>
      </c>
      <c r="F4108" s="1" t="s">
        <v>3433</v>
      </c>
      <c r="G4108" s="1">
        <v>1</v>
      </c>
      <c r="H4108" s="1" t="s">
        <v>19</v>
      </c>
      <c r="I4108" s="1" t="s">
        <v>1291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1903</v>
      </c>
      <c r="D4109" s="1"/>
      <c r="E4109" s="1" t="s">
        <v>3434</v>
      </c>
      <c r="F4109" s="1" t="s">
        <v>3435</v>
      </c>
      <c r="G4109" s="1">
        <v>1</v>
      </c>
      <c r="H4109" s="1" t="s">
        <v>19</v>
      </c>
      <c r="I4109" s="1" t="s">
        <v>1291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1903</v>
      </c>
      <c r="D4110" s="1"/>
      <c r="E4110" s="1" t="s">
        <v>3436</v>
      </c>
      <c r="F4110" s="1" t="s">
        <v>3437</v>
      </c>
      <c r="G4110" s="1">
        <v>1</v>
      </c>
      <c r="H4110" s="1" t="s">
        <v>19</v>
      </c>
      <c r="I4110" s="1" t="s">
        <v>1291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1884</v>
      </c>
      <c r="D4111" s="1"/>
      <c r="E4111" s="1" t="s">
        <v>3438</v>
      </c>
      <c r="F4111" s="1" t="s">
        <v>3412</v>
      </c>
      <c r="G4111" s="1">
        <v>1</v>
      </c>
      <c r="H4111" s="1" t="s">
        <v>19</v>
      </c>
      <c r="I4111" s="1" t="s">
        <v>1296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1884</v>
      </c>
      <c r="D4112" s="1"/>
      <c r="E4112" s="1" t="s">
        <v>3439</v>
      </c>
      <c r="F4112" s="1" t="s">
        <v>3415</v>
      </c>
      <c r="G4112" s="1">
        <v>1</v>
      </c>
      <c r="H4112" s="1" t="s">
        <v>19</v>
      </c>
      <c r="I4112" s="1" t="s">
        <v>1296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1884</v>
      </c>
      <c r="D4113" s="1"/>
      <c r="E4113" s="1" t="s">
        <v>3468</v>
      </c>
      <c r="F4113" s="1" t="s">
        <v>3469</v>
      </c>
      <c r="G4113" s="1">
        <v>1</v>
      </c>
      <c r="H4113" s="1" t="s">
        <v>19</v>
      </c>
      <c r="I4113" s="1" t="s">
        <v>1296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1884</v>
      </c>
      <c r="D4114" s="1"/>
      <c r="E4114" s="1" t="s">
        <v>3470</v>
      </c>
      <c r="F4114" s="1" t="s">
        <v>3471</v>
      </c>
      <c r="G4114" s="1">
        <v>1</v>
      </c>
      <c r="H4114" s="1"/>
      <c r="I4114" s="1" t="s">
        <v>1296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1884</v>
      </c>
      <c r="D4115" s="1"/>
      <c r="E4115" s="1" t="s">
        <v>3446</v>
      </c>
      <c r="F4115" s="1" t="s">
        <v>3472</v>
      </c>
      <c r="G4115" s="1">
        <v>1</v>
      </c>
      <c r="H4115" s="1"/>
      <c r="I4115" s="1" t="s">
        <v>1296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1884</v>
      </c>
      <c r="D4116" s="1"/>
      <c r="E4116" s="1" t="s">
        <v>3448</v>
      </c>
      <c r="F4116" s="1" t="s">
        <v>3473</v>
      </c>
      <c r="G4116" s="1">
        <v>1</v>
      </c>
      <c r="H4116" s="1"/>
      <c r="I4116" s="1" t="s">
        <v>1296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1884</v>
      </c>
      <c r="D4117" s="1"/>
      <c r="E4117" s="1" t="s">
        <v>3450</v>
      </c>
      <c r="F4117" s="1" t="s">
        <v>3474</v>
      </c>
      <c r="G4117" s="1">
        <v>1</v>
      </c>
      <c r="H4117" s="1"/>
      <c r="I4117" s="1" t="s">
        <v>1296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1884</v>
      </c>
      <c r="D4118" s="1"/>
      <c r="E4118" s="1" t="s">
        <v>3475</v>
      </c>
      <c r="F4118" s="1" t="s">
        <v>3476</v>
      </c>
      <c r="G4118" s="1">
        <v>2</v>
      </c>
      <c r="H4118" s="1"/>
      <c r="I4118" s="1" t="s">
        <v>1296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1900</v>
      </c>
      <c r="D4119" s="1"/>
      <c r="E4119" s="1" t="s">
        <v>3477</v>
      </c>
      <c r="F4119" s="1" t="s">
        <v>3478</v>
      </c>
      <c r="G4119" s="1">
        <v>5</v>
      </c>
      <c r="H4119" s="1" t="s">
        <v>19</v>
      </c>
      <c r="I4119" s="1" t="s">
        <v>1900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1900</v>
      </c>
      <c r="D4120" s="1"/>
      <c r="E4120" s="1" t="s">
        <v>3479</v>
      </c>
      <c r="F4120" s="1" t="s">
        <v>3480</v>
      </c>
      <c r="G4120" s="1">
        <v>2</v>
      </c>
      <c r="H4120" s="1" t="s">
        <v>19</v>
      </c>
      <c r="I4120" s="1" t="s">
        <v>1900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1900</v>
      </c>
      <c r="D4121" s="1"/>
      <c r="E4121" s="1" t="s">
        <v>3481</v>
      </c>
      <c r="F4121" s="1" t="s">
        <v>3482</v>
      </c>
      <c r="G4121" s="1">
        <v>1</v>
      </c>
      <c r="H4121" s="1" t="s">
        <v>19</v>
      </c>
      <c r="I4121" s="1" t="s">
        <v>1900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1900</v>
      </c>
      <c r="D4122" s="1"/>
      <c r="E4122" s="1" t="s">
        <v>3483</v>
      </c>
      <c r="F4122" s="1" t="s">
        <v>3484</v>
      </c>
      <c r="G4122" s="1">
        <v>1</v>
      </c>
      <c r="H4122" s="1" t="s">
        <v>19</v>
      </c>
      <c r="I4122" s="1" t="s">
        <v>1900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2064</v>
      </c>
      <c r="D4123" s="1"/>
      <c r="E4123" s="1" t="s">
        <v>3485</v>
      </c>
      <c r="F4123" s="1" t="s">
        <v>3486</v>
      </c>
      <c r="G4123" s="1">
        <v>7</v>
      </c>
      <c r="H4123" s="1" t="s">
        <v>19</v>
      </c>
      <c r="I4123" s="1" t="s">
        <v>2064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2064</v>
      </c>
      <c r="D4124" s="1"/>
      <c r="E4124" s="1" t="s">
        <v>3487</v>
      </c>
      <c r="F4124" s="1" t="s">
        <v>3486</v>
      </c>
      <c r="G4124" s="1">
        <v>1</v>
      </c>
      <c r="H4124" s="1" t="s">
        <v>19</v>
      </c>
      <c r="I4124" s="1" t="s">
        <v>2064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2064</v>
      </c>
      <c r="D4125" s="1"/>
      <c r="E4125" s="1" t="s">
        <v>3488</v>
      </c>
      <c r="F4125" s="1" t="s">
        <v>3486</v>
      </c>
      <c r="G4125" s="1">
        <v>1</v>
      </c>
      <c r="H4125" s="1" t="s">
        <v>19</v>
      </c>
      <c r="I4125" s="1" t="s">
        <v>2064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2063</v>
      </c>
      <c r="D4126" s="1"/>
      <c r="E4126" s="1" t="s">
        <v>3489</v>
      </c>
      <c r="F4126" s="1" t="s">
        <v>3490</v>
      </c>
      <c r="G4126" s="1">
        <v>2</v>
      </c>
      <c r="H4126" s="1" t="s">
        <v>19</v>
      </c>
      <c r="I4126" s="1" t="s">
        <v>2063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2063</v>
      </c>
      <c r="D4127" s="1"/>
      <c r="E4127" s="1" t="s">
        <v>3491</v>
      </c>
      <c r="F4127" s="1" t="s">
        <v>3490</v>
      </c>
      <c r="G4127" s="1">
        <v>2</v>
      </c>
      <c r="H4127" s="1" t="s">
        <v>19</v>
      </c>
      <c r="I4127" s="1" t="s">
        <v>2063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2062</v>
      </c>
      <c r="D4128" s="1"/>
      <c r="E4128" s="1" t="s">
        <v>3492</v>
      </c>
      <c r="F4128" s="1" t="s">
        <v>3490</v>
      </c>
      <c r="G4128" s="1">
        <v>1</v>
      </c>
      <c r="H4128" s="1" t="s">
        <v>19</v>
      </c>
      <c r="I4128" s="1" t="s">
        <v>2062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1900</v>
      </c>
      <c r="D4129" s="1"/>
      <c r="E4129" s="1" t="s">
        <v>3498</v>
      </c>
      <c r="F4129" s="1" t="s">
        <v>3499</v>
      </c>
      <c r="G4129" s="1">
        <v>36</v>
      </c>
      <c r="H4129" s="1" t="s">
        <v>19</v>
      </c>
      <c r="I4129" s="1" t="s">
        <v>1900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1900</v>
      </c>
      <c r="D4130" s="1"/>
      <c r="E4130" s="1" t="s">
        <v>3500</v>
      </c>
      <c r="F4130" s="1" t="s">
        <v>3501</v>
      </c>
      <c r="G4130" s="1">
        <v>1</v>
      </c>
      <c r="H4130" s="1" t="s">
        <v>19</v>
      </c>
      <c r="I4130" s="1" t="s">
        <v>1900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2064</v>
      </c>
      <c r="D4131" s="1"/>
      <c r="E4131" s="1" t="s">
        <v>3502</v>
      </c>
      <c r="F4131" s="1" t="s">
        <v>3499</v>
      </c>
      <c r="G4131" s="1">
        <v>36</v>
      </c>
      <c r="H4131" s="1" t="s">
        <v>19</v>
      </c>
      <c r="I4131" s="1" t="s">
        <v>2064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2064</v>
      </c>
      <c r="D4132" s="1"/>
      <c r="E4132" s="1" t="s">
        <v>3503</v>
      </c>
      <c r="F4132" s="1" t="s">
        <v>3486</v>
      </c>
      <c r="G4132" s="1">
        <v>1</v>
      </c>
      <c r="H4132" s="1" t="s">
        <v>19</v>
      </c>
      <c r="I4132" s="1" t="s">
        <v>2064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1893</v>
      </c>
      <c r="D4133" s="1"/>
      <c r="E4133" s="1" t="s">
        <v>3504</v>
      </c>
      <c r="F4133" s="1" t="s">
        <v>1894</v>
      </c>
      <c r="G4133" s="1">
        <v>1</v>
      </c>
      <c r="H4133" s="1" t="s">
        <v>19</v>
      </c>
      <c r="I4133" s="1" t="s">
        <v>1893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1893</v>
      </c>
      <c r="D4134" s="1"/>
      <c r="E4134" s="1" t="s">
        <v>3505</v>
      </c>
      <c r="F4134" s="1" t="s">
        <v>1895</v>
      </c>
      <c r="G4134" s="1">
        <v>1</v>
      </c>
      <c r="H4134" s="1" t="s">
        <v>19</v>
      </c>
      <c r="I4134" s="1" t="s">
        <v>1893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1893</v>
      </c>
      <c r="D4135" s="1"/>
      <c r="E4135" s="1" t="s">
        <v>3506</v>
      </c>
      <c r="F4135" s="1" t="s">
        <v>1896</v>
      </c>
      <c r="G4135" s="1">
        <v>1</v>
      </c>
      <c r="H4135" s="1" t="s">
        <v>19</v>
      </c>
      <c r="I4135" s="1" t="s">
        <v>1893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1897</v>
      </c>
      <c r="D4136" s="1"/>
      <c r="E4136" s="1" t="s">
        <v>3507</v>
      </c>
      <c r="F4136" s="1" t="s">
        <v>1898</v>
      </c>
      <c r="G4136" s="1">
        <v>1</v>
      </c>
      <c r="H4136" s="1" t="s">
        <v>19</v>
      </c>
      <c r="I4136" s="1" t="s">
        <v>1897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1897</v>
      </c>
      <c r="D4137" s="1"/>
      <c r="E4137" s="1" t="s">
        <v>3508</v>
      </c>
      <c r="F4137" s="1" t="s">
        <v>1899</v>
      </c>
      <c r="G4137" s="1">
        <v>1</v>
      </c>
      <c r="H4137" s="1" t="s">
        <v>19</v>
      </c>
      <c r="I4137" s="1" t="s">
        <v>1897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1903</v>
      </c>
      <c r="D4138" s="1"/>
      <c r="E4138" s="1" t="s">
        <v>3514</v>
      </c>
      <c r="F4138" s="1" t="s">
        <v>3417</v>
      </c>
      <c r="G4138" s="1">
        <v>1</v>
      </c>
      <c r="H4138" s="1" t="s">
        <v>19</v>
      </c>
      <c r="I4138" s="1" t="s">
        <v>1903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2063</v>
      </c>
      <c r="D4139" s="1"/>
      <c r="E4139" s="1" t="s">
        <v>3543</v>
      </c>
      <c r="F4139" s="1" t="s">
        <v>3490</v>
      </c>
      <c r="G4139" s="1">
        <v>2</v>
      </c>
      <c r="H4139" s="1" t="s">
        <v>19</v>
      </c>
      <c r="I4139" s="1" t="s">
        <v>2063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2063</v>
      </c>
      <c r="D4140" s="1"/>
      <c r="E4140" s="1" t="s">
        <v>3544</v>
      </c>
      <c r="F4140" s="1" t="s">
        <v>3490</v>
      </c>
      <c r="G4140" s="1">
        <v>2</v>
      </c>
      <c r="H4140" s="1" t="s">
        <v>19</v>
      </c>
      <c r="I4140" s="1" t="s">
        <v>2063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2063</v>
      </c>
      <c r="D4141" s="1"/>
      <c r="E4141" s="1" t="s">
        <v>3545</v>
      </c>
      <c r="F4141" s="1" t="s">
        <v>3490</v>
      </c>
      <c r="G4141" s="1">
        <v>2</v>
      </c>
      <c r="H4141" s="1" t="s">
        <v>19</v>
      </c>
      <c r="I4141" s="1" t="s">
        <v>2063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2063</v>
      </c>
      <c r="D4142" s="1"/>
      <c r="E4142" s="1" t="s">
        <v>3546</v>
      </c>
      <c r="F4142" s="1" t="s">
        <v>3490</v>
      </c>
      <c r="G4142" s="1">
        <v>2</v>
      </c>
      <c r="H4142" s="1" t="s">
        <v>19</v>
      </c>
      <c r="I4142" s="1" t="s">
        <v>2063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2063</v>
      </c>
      <c r="D4143" s="1"/>
      <c r="E4143" s="1" t="s">
        <v>3547</v>
      </c>
      <c r="F4143" s="1" t="s">
        <v>3490</v>
      </c>
      <c r="G4143" s="1">
        <v>2</v>
      </c>
      <c r="H4143" s="1" t="s">
        <v>19</v>
      </c>
      <c r="I4143" s="1" t="s">
        <v>2063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2063</v>
      </c>
      <c r="D4144" s="1"/>
      <c r="E4144" s="1" t="s">
        <v>3548</v>
      </c>
      <c r="F4144" s="1" t="s">
        <v>3490</v>
      </c>
      <c r="G4144" s="1">
        <v>2</v>
      </c>
      <c r="H4144" s="1" t="s">
        <v>19</v>
      </c>
      <c r="I4144" s="1" t="s">
        <v>2063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2063</v>
      </c>
      <c r="D4145" s="1"/>
      <c r="E4145" s="1" t="s">
        <v>3549</v>
      </c>
      <c r="F4145" s="1" t="s">
        <v>3490</v>
      </c>
      <c r="G4145" s="1">
        <v>2</v>
      </c>
      <c r="H4145" s="1" t="s">
        <v>19</v>
      </c>
      <c r="I4145" s="1" t="s">
        <v>2063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2062</v>
      </c>
      <c r="D4146" s="1"/>
      <c r="E4146" s="1" t="s">
        <v>3550</v>
      </c>
      <c r="F4146" s="1" t="s">
        <v>3490</v>
      </c>
      <c r="G4146" s="1">
        <v>2</v>
      </c>
      <c r="H4146" s="1" t="s">
        <v>19</v>
      </c>
      <c r="I4146" s="1" t="s">
        <v>2062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2062</v>
      </c>
      <c r="D4147" s="1"/>
      <c r="E4147" s="1" t="s">
        <v>3551</v>
      </c>
      <c r="F4147" s="1" t="s">
        <v>3490</v>
      </c>
      <c r="G4147" s="1">
        <v>2</v>
      </c>
      <c r="H4147" s="1" t="s">
        <v>19</v>
      </c>
      <c r="I4147" s="1" t="s">
        <v>2062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2062</v>
      </c>
      <c r="D4148" s="1"/>
      <c r="E4148" s="1" t="s">
        <v>3552</v>
      </c>
      <c r="F4148" s="1" t="s">
        <v>3490</v>
      </c>
      <c r="G4148" s="1">
        <v>2</v>
      </c>
      <c r="H4148" s="1" t="s">
        <v>19</v>
      </c>
      <c r="I4148" s="1" t="s">
        <v>2062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2062</v>
      </c>
      <c r="D4149" s="1"/>
      <c r="E4149" s="1" t="s">
        <v>3553</v>
      </c>
      <c r="F4149" s="1" t="s">
        <v>3490</v>
      </c>
      <c r="G4149" s="1">
        <v>1</v>
      </c>
      <c r="H4149" s="1" t="s">
        <v>19</v>
      </c>
      <c r="I4149" s="1" t="s">
        <v>2062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1399</v>
      </c>
      <c r="D4150" s="1"/>
      <c r="E4150" s="1" t="s">
        <v>3554</v>
      </c>
      <c r="F4150" s="1" t="s">
        <v>3420</v>
      </c>
      <c r="G4150" s="1">
        <v>1</v>
      </c>
      <c r="H4150" s="1" t="s">
        <v>19</v>
      </c>
      <c r="I4150" s="1" t="s">
        <v>1399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1904</v>
      </c>
      <c r="D4151" s="1"/>
      <c r="E4151" s="1" t="s">
        <v>3555</v>
      </c>
      <c r="F4151" s="1" t="s">
        <v>3420</v>
      </c>
      <c r="G4151" s="1">
        <v>1</v>
      </c>
      <c r="H4151" s="1" t="s">
        <v>19</v>
      </c>
      <c r="I4151" s="1" t="s">
        <v>1904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1289</v>
      </c>
      <c r="D4152" s="1"/>
      <c r="E4152" s="1" t="s">
        <v>2</v>
      </c>
      <c r="F4152" s="1" t="s">
        <v>1290</v>
      </c>
      <c r="G4152" s="1">
        <v>32</v>
      </c>
      <c r="H4152" s="1" t="s">
        <v>19</v>
      </c>
      <c r="I4152" s="1" t="s">
        <v>1291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1289</v>
      </c>
      <c r="D4153" s="1"/>
      <c r="E4153" s="1" t="s">
        <v>2</v>
      </c>
      <c r="F4153" s="1" t="s">
        <v>1290</v>
      </c>
      <c r="G4153" s="1">
        <v>32</v>
      </c>
      <c r="H4153" s="1" t="s">
        <v>19</v>
      </c>
      <c r="I4153" s="1" t="s">
        <v>1291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1289</v>
      </c>
      <c r="D4154" s="1"/>
      <c r="E4154" s="1" t="s">
        <v>2</v>
      </c>
      <c r="F4154" s="1" t="s">
        <v>1290</v>
      </c>
      <c r="G4154" s="1">
        <v>32</v>
      </c>
      <c r="H4154" s="1" t="s">
        <v>19</v>
      </c>
      <c r="I4154" s="1" t="s">
        <v>1291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1289</v>
      </c>
      <c r="D4155" s="1"/>
      <c r="E4155" s="1" t="s">
        <v>2</v>
      </c>
      <c r="F4155" s="1" t="s">
        <v>1290</v>
      </c>
      <c r="G4155" s="1">
        <v>9</v>
      </c>
      <c r="H4155" s="1" t="s">
        <v>19</v>
      </c>
      <c r="I4155" s="1" t="s">
        <v>1291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1292</v>
      </c>
      <c r="D4156" s="1"/>
      <c r="E4156" s="1" t="s">
        <v>2</v>
      </c>
      <c r="F4156" s="1" t="s">
        <v>1293</v>
      </c>
      <c r="G4156" s="1">
        <v>27</v>
      </c>
      <c r="H4156" s="1" t="s">
        <v>19</v>
      </c>
      <c r="I4156" s="1" t="s">
        <v>1291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1297</v>
      </c>
      <c r="D4157" s="1"/>
      <c r="E4157" s="1" t="s">
        <v>2</v>
      </c>
      <c r="F4157" s="1" t="s">
        <v>1298</v>
      </c>
      <c r="G4157" s="1">
        <v>13</v>
      </c>
      <c r="H4157" s="1" t="s">
        <v>19</v>
      </c>
      <c r="I4157" s="1" t="s">
        <v>1296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1299</v>
      </c>
      <c r="D4158" s="1"/>
      <c r="E4158" s="1" t="s">
        <v>2</v>
      </c>
      <c r="F4158" s="1" t="s">
        <v>1300</v>
      </c>
      <c r="G4158" s="1">
        <v>25</v>
      </c>
      <c r="H4158" s="1" t="s">
        <v>19</v>
      </c>
      <c r="I4158" s="1" t="s">
        <v>1301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1303</v>
      </c>
      <c r="D4159" s="1"/>
      <c r="E4159" s="1" t="s">
        <v>2</v>
      </c>
      <c r="F4159" s="1" t="s">
        <v>1304</v>
      </c>
      <c r="G4159" s="1">
        <v>27</v>
      </c>
      <c r="H4159" s="1" t="s">
        <v>19</v>
      </c>
      <c r="I4159" s="1" t="s">
        <v>1302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1383</v>
      </c>
      <c r="D4160" s="1"/>
      <c r="E4160" s="1" t="s">
        <v>2</v>
      </c>
      <c r="F4160" s="1" t="s">
        <v>1384</v>
      </c>
      <c r="G4160" s="1">
        <v>2</v>
      </c>
      <c r="H4160" s="1" t="s">
        <v>19</v>
      </c>
      <c r="I4160" s="1" t="s">
        <v>1301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1383</v>
      </c>
      <c r="D4161" s="1"/>
      <c r="E4161" s="1" t="s">
        <v>44</v>
      </c>
      <c r="F4161" s="1" t="s">
        <v>1385</v>
      </c>
      <c r="G4161" s="1">
        <v>8</v>
      </c>
      <c r="H4161" s="1" t="s">
        <v>19</v>
      </c>
      <c r="I4161" s="1" t="s">
        <v>1301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1387</v>
      </c>
      <c r="D4162" s="1"/>
      <c r="E4162" s="1" t="s">
        <v>2</v>
      </c>
      <c r="F4162" s="1" t="s">
        <v>1388</v>
      </c>
      <c r="G4162" s="1">
        <v>1</v>
      </c>
      <c r="H4162" s="1" t="s">
        <v>19</v>
      </c>
      <c r="I4162" s="1" t="s">
        <v>1301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1387</v>
      </c>
      <c r="D4163" s="1"/>
      <c r="E4163" s="1" t="s">
        <v>44</v>
      </c>
      <c r="F4163" s="1" t="s">
        <v>1389</v>
      </c>
      <c r="G4163" s="1">
        <v>4</v>
      </c>
      <c r="H4163" s="1" t="s">
        <v>19</v>
      </c>
      <c r="I4163" s="1" t="s">
        <v>1301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1891</v>
      </c>
      <c r="D4164" s="1"/>
      <c r="E4164" s="1" t="s">
        <v>2</v>
      </c>
      <c r="F4164" s="1" t="s">
        <v>1892</v>
      </c>
      <c r="G4164" s="1">
        <v>1</v>
      </c>
      <c r="H4164" s="1" t="s">
        <v>19</v>
      </c>
      <c r="I4164" s="1" t="s">
        <v>1302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2065</v>
      </c>
      <c r="D4165" s="1"/>
      <c r="E4165" s="1" t="s">
        <v>2</v>
      </c>
      <c r="F4165" s="1" t="s">
        <v>2066</v>
      </c>
      <c r="G4165" s="1">
        <v>1</v>
      </c>
      <c r="H4165" s="1" t="s">
        <v>19</v>
      </c>
      <c r="I4165" s="1" t="s">
        <v>1296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1882</v>
      </c>
      <c r="D4166" s="1"/>
      <c r="E4166" s="1" t="s">
        <v>2</v>
      </c>
      <c r="F4166" s="1" t="s">
        <v>1883</v>
      </c>
      <c r="G4166" s="1">
        <v>1</v>
      </c>
      <c r="H4166" s="1" t="s">
        <v>19</v>
      </c>
      <c r="I4166" s="1" t="s">
        <v>1291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2067</v>
      </c>
      <c r="D4167" s="1"/>
      <c r="E4167" s="1" t="s">
        <v>2</v>
      </c>
      <c r="F4167" s="1" t="s">
        <v>2068</v>
      </c>
      <c r="G4167" s="1">
        <v>1</v>
      </c>
      <c r="H4167" s="1" t="s">
        <v>19</v>
      </c>
      <c r="I4167" s="1" t="s">
        <v>1301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1906</v>
      </c>
      <c r="D4168" s="1"/>
      <c r="E4168" s="1" t="s">
        <v>2</v>
      </c>
      <c r="F4168" s="1" t="s">
        <v>1907</v>
      </c>
      <c r="G4168" s="1">
        <v>2</v>
      </c>
      <c r="H4168" s="1" t="s">
        <v>19</v>
      </c>
      <c r="I4168" s="1" t="s">
        <v>1302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1906</v>
      </c>
      <c r="D4169" s="1"/>
      <c r="E4169" s="1" t="s">
        <v>44</v>
      </c>
      <c r="F4169" s="1" t="s">
        <v>1908</v>
      </c>
      <c r="G4169" s="1">
        <v>2</v>
      </c>
      <c r="H4169" s="1" t="s">
        <v>19</v>
      </c>
      <c r="I4169" s="1" t="s">
        <v>1302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1303</v>
      </c>
      <c r="D4170" s="1"/>
      <c r="E4170" s="1" t="s">
        <v>2</v>
      </c>
      <c r="F4170" s="1" t="s">
        <v>1304</v>
      </c>
      <c r="G4170" s="1">
        <v>39</v>
      </c>
      <c r="H4170" s="1" t="s">
        <v>19</v>
      </c>
      <c r="I4170" s="1" t="s">
        <v>1301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1361</v>
      </c>
      <c r="D4171" s="1"/>
      <c r="E4171" s="1" t="s">
        <v>2</v>
      </c>
      <c r="F4171" s="1" t="s">
        <v>2545</v>
      </c>
      <c r="G4171" s="1">
        <v>2</v>
      </c>
      <c r="H4171" s="1" t="s">
        <v>19</v>
      </c>
      <c r="I4171" s="1" t="s">
        <v>1302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1383</v>
      </c>
      <c r="D4172" s="1"/>
      <c r="E4172" s="1" t="s">
        <v>747</v>
      </c>
      <c r="F4172" s="1" t="s">
        <v>1386</v>
      </c>
      <c r="G4172" s="1">
        <v>1</v>
      </c>
      <c r="H4172" s="1" t="s">
        <v>19</v>
      </c>
      <c r="I4172" s="1" t="s">
        <v>1301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2062</v>
      </c>
      <c r="D4173" s="1"/>
      <c r="E4173" s="1" t="s">
        <v>3492</v>
      </c>
      <c r="F4173" s="1" t="s">
        <v>3490</v>
      </c>
      <c r="G4173" s="1">
        <v>1</v>
      </c>
      <c r="H4173" s="1" t="s">
        <v>19</v>
      </c>
      <c r="I4173" s="1" t="s">
        <v>1301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2062</v>
      </c>
      <c r="D4174" s="1"/>
      <c r="E4174" s="1" t="s">
        <v>3626</v>
      </c>
      <c r="F4174" s="1" t="s">
        <v>3490</v>
      </c>
      <c r="G4174" s="1">
        <v>1</v>
      </c>
      <c r="H4174" s="1" t="s">
        <v>19</v>
      </c>
      <c r="I4174" s="1" t="s">
        <v>1301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2062</v>
      </c>
      <c r="D4175" s="1"/>
      <c r="E4175" s="1" t="s">
        <v>3627</v>
      </c>
      <c r="F4175" s="1" t="s">
        <v>3417</v>
      </c>
      <c r="G4175" s="1">
        <v>4</v>
      </c>
      <c r="H4175" s="1" t="s">
        <v>19</v>
      </c>
      <c r="I4175" s="1" t="s">
        <v>1301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2062</v>
      </c>
      <c r="D4176" s="1"/>
      <c r="E4176" s="1" t="s">
        <v>3628</v>
      </c>
      <c r="F4176" s="1" t="s">
        <v>3417</v>
      </c>
      <c r="G4176" s="1">
        <v>12</v>
      </c>
      <c r="H4176" s="1" t="s">
        <v>19</v>
      </c>
      <c r="I4176" s="1" t="s">
        <v>1301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2062</v>
      </c>
      <c r="D4177" s="1"/>
      <c r="E4177" s="1" t="s">
        <v>3629</v>
      </c>
      <c r="F4177" s="1" t="s">
        <v>3417</v>
      </c>
      <c r="G4177" s="1">
        <v>6</v>
      </c>
      <c r="H4177" s="1" t="s">
        <v>19</v>
      </c>
      <c r="I4177" s="1" t="s">
        <v>1301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2062</v>
      </c>
      <c r="D4178" s="1"/>
      <c r="E4178" s="1" t="s">
        <v>3630</v>
      </c>
      <c r="F4178" s="1" t="s">
        <v>3417</v>
      </c>
      <c r="G4178" s="1">
        <v>16</v>
      </c>
      <c r="H4178" s="1" t="s">
        <v>19</v>
      </c>
      <c r="I4178" s="1" t="s">
        <v>1301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2062</v>
      </c>
      <c r="D4179" s="1"/>
      <c r="E4179" s="1" t="s">
        <v>3631</v>
      </c>
      <c r="F4179" s="1" t="s">
        <v>3417</v>
      </c>
      <c r="G4179" s="1">
        <v>4</v>
      </c>
      <c r="H4179" s="1" t="s">
        <v>19</v>
      </c>
      <c r="I4179" s="1" t="s">
        <v>1301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2062</v>
      </c>
      <c r="D4180" s="1"/>
      <c r="E4180" s="1" t="s">
        <v>3632</v>
      </c>
      <c r="F4180" s="1" t="s">
        <v>3417</v>
      </c>
      <c r="G4180" s="1">
        <v>12</v>
      </c>
      <c r="H4180" s="1" t="s">
        <v>19</v>
      </c>
      <c r="I4180" s="1" t="s">
        <v>1301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2062</v>
      </c>
      <c r="D4181" s="1"/>
      <c r="E4181" s="1" t="s">
        <v>3633</v>
      </c>
      <c r="F4181" s="1" t="s">
        <v>3417</v>
      </c>
      <c r="G4181" s="1">
        <v>4</v>
      </c>
      <c r="H4181" s="1" t="s">
        <v>19</v>
      </c>
      <c r="I4181" s="1" t="s">
        <v>1301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2062</v>
      </c>
      <c r="D4182" s="1"/>
      <c r="E4182" s="1" t="s">
        <v>3634</v>
      </c>
      <c r="F4182" s="1" t="s">
        <v>3417</v>
      </c>
      <c r="G4182" s="1">
        <v>2</v>
      </c>
      <c r="H4182" s="1" t="s">
        <v>19</v>
      </c>
      <c r="I4182" s="1" t="s">
        <v>1301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1902</v>
      </c>
      <c r="D4183" s="1"/>
      <c r="E4183" s="1" t="s">
        <v>3408</v>
      </c>
      <c r="F4183" s="1" t="s">
        <v>3409</v>
      </c>
      <c r="G4183" s="1">
        <v>1</v>
      </c>
      <c r="H4183" s="1" t="s">
        <v>19</v>
      </c>
      <c r="I4183" s="1" t="s">
        <v>1302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1377</v>
      </c>
      <c r="D4184" s="1"/>
      <c r="E4184" s="1" t="s">
        <v>3635</v>
      </c>
      <c r="F4184" s="1" t="s">
        <v>3636</v>
      </c>
      <c r="G4184" s="1">
        <v>2</v>
      </c>
      <c r="H4184" s="1" t="s">
        <v>19</v>
      </c>
      <c r="I4184" s="1" t="s">
        <v>1296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1377</v>
      </c>
      <c r="D4185" s="1"/>
      <c r="E4185" s="1" t="s">
        <v>3637</v>
      </c>
      <c r="F4185" s="1" t="s">
        <v>3638</v>
      </c>
      <c r="G4185" s="1">
        <v>2</v>
      </c>
      <c r="H4185" s="1" t="s">
        <v>19</v>
      </c>
      <c r="I4185" s="1" t="s">
        <v>1296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1377</v>
      </c>
      <c r="D4186" s="1"/>
      <c r="E4186" s="1" t="s">
        <v>3635</v>
      </c>
      <c r="F4186" s="1" t="s">
        <v>3636</v>
      </c>
      <c r="G4186" s="1">
        <v>2</v>
      </c>
      <c r="H4186" s="1" t="s">
        <v>19</v>
      </c>
      <c r="I4186" s="1" t="s">
        <v>1302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1377</v>
      </c>
      <c r="D4187" s="1"/>
      <c r="E4187" s="1" t="s">
        <v>3637</v>
      </c>
      <c r="F4187" s="1" t="s">
        <v>3638</v>
      </c>
      <c r="G4187" s="1">
        <v>2</v>
      </c>
      <c r="H4187" s="1" t="s">
        <v>19</v>
      </c>
      <c r="I4187" s="1" t="s">
        <v>1302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1909</v>
      </c>
      <c r="D4188" s="1"/>
      <c r="E4188" s="1" t="s">
        <v>3639</v>
      </c>
      <c r="F4188" s="1" t="s">
        <v>3640</v>
      </c>
      <c r="G4188" s="1">
        <v>1</v>
      </c>
      <c r="H4188" s="1" t="s">
        <v>19</v>
      </c>
      <c r="I4188" s="1" t="s">
        <v>1291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1903</v>
      </c>
      <c r="D4189" s="1"/>
      <c r="E4189" s="1" t="s">
        <v>3514</v>
      </c>
      <c r="F4189" s="1" t="s">
        <v>3417</v>
      </c>
      <c r="G4189" s="1">
        <v>1</v>
      </c>
      <c r="H4189" s="1" t="s">
        <v>19</v>
      </c>
      <c r="I4189" s="1" t="s">
        <v>1291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1376</v>
      </c>
      <c r="D4190" s="1"/>
      <c r="E4190" s="1" t="s">
        <v>3641</v>
      </c>
      <c r="F4190" s="1" t="s">
        <v>3642</v>
      </c>
      <c r="G4190" s="1">
        <v>2</v>
      </c>
      <c r="H4190" s="1" t="s">
        <v>19</v>
      </c>
      <c r="I4190" s="1" t="s">
        <v>1296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1376</v>
      </c>
      <c r="D4191" s="1"/>
      <c r="E4191" s="1" t="s">
        <v>3643</v>
      </c>
      <c r="F4191" s="1" t="s">
        <v>3644</v>
      </c>
      <c r="G4191" s="1">
        <v>2</v>
      </c>
      <c r="H4191" s="1" t="s">
        <v>19</v>
      </c>
      <c r="I4191" s="1" t="s">
        <v>1296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1376</v>
      </c>
      <c r="D4192" s="1"/>
      <c r="E4192" s="1" t="s">
        <v>3641</v>
      </c>
      <c r="F4192" s="1" t="s">
        <v>3642</v>
      </c>
      <c r="G4192" s="1">
        <v>2</v>
      </c>
      <c r="H4192" s="1" t="s">
        <v>19</v>
      </c>
      <c r="I4192" s="1" t="s">
        <v>1302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1376</v>
      </c>
      <c r="D4193" s="1"/>
      <c r="E4193" s="1" t="s">
        <v>3643</v>
      </c>
      <c r="F4193" s="1" t="s">
        <v>3644</v>
      </c>
      <c r="G4193" s="1">
        <v>2</v>
      </c>
      <c r="H4193" s="1" t="s">
        <v>19</v>
      </c>
      <c r="I4193" s="1" t="s">
        <v>1302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1902</v>
      </c>
      <c r="D4194" s="1"/>
      <c r="E4194" s="1" t="s">
        <v>2997</v>
      </c>
      <c r="F4194" s="1" t="s">
        <v>3410</v>
      </c>
      <c r="G4194" s="1">
        <v>1</v>
      </c>
      <c r="H4194" s="1" t="s">
        <v>19</v>
      </c>
      <c r="I4194" s="1" t="s">
        <v>1302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1890</v>
      </c>
      <c r="D4195" s="1"/>
      <c r="E4195" s="1" t="s">
        <v>3408</v>
      </c>
      <c r="F4195" s="1" t="s">
        <v>3409</v>
      </c>
      <c r="G4195" s="1">
        <v>1</v>
      </c>
      <c r="H4195" s="1" t="s">
        <v>19</v>
      </c>
      <c r="I4195" s="1" t="s">
        <v>1302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1890</v>
      </c>
      <c r="D4196" s="1"/>
      <c r="E4196" s="1" t="s">
        <v>3408</v>
      </c>
      <c r="F4196" s="1" t="s">
        <v>3413</v>
      </c>
      <c r="G4196" s="1">
        <v>1</v>
      </c>
      <c r="H4196" s="1" t="s">
        <v>19</v>
      </c>
      <c r="I4196" s="1" t="s">
        <v>1302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1901</v>
      </c>
      <c r="D4197" s="1"/>
      <c r="E4197" s="1" t="s">
        <v>3408</v>
      </c>
      <c r="F4197" s="1" t="s">
        <v>3409</v>
      </c>
      <c r="G4197" s="1">
        <v>1</v>
      </c>
      <c r="H4197" s="1" t="s">
        <v>19</v>
      </c>
      <c r="I4197" s="1" t="s">
        <v>1302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1901</v>
      </c>
      <c r="D4198" s="1"/>
      <c r="E4198" s="1" t="s">
        <v>3408</v>
      </c>
      <c r="F4198" s="1" t="s">
        <v>3413</v>
      </c>
      <c r="G4198" s="1">
        <v>1</v>
      </c>
      <c r="H4198" s="1" t="s">
        <v>19</v>
      </c>
      <c r="I4198" s="1" t="s">
        <v>1302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1909</v>
      </c>
      <c r="D4199" s="1"/>
      <c r="E4199" s="1" t="s">
        <v>3408</v>
      </c>
      <c r="F4199" s="1" t="s">
        <v>3409</v>
      </c>
      <c r="G4199" s="1">
        <v>1</v>
      </c>
      <c r="H4199" s="1" t="s">
        <v>19</v>
      </c>
      <c r="I4199" s="1" t="s">
        <v>1291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1909</v>
      </c>
      <c r="D4200" s="1"/>
      <c r="E4200" s="1" t="s">
        <v>3408</v>
      </c>
      <c r="F4200" s="1" t="s">
        <v>3413</v>
      </c>
      <c r="G4200" s="1">
        <v>1</v>
      </c>
      <c r="H4200" s="1" t="s">
        <v>19</v>
      </c>
      <c r="I4200" s="1" t="s">
        <v>1291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3440</v>
      </c>
      <c r="D4201" s="1"/>
      <c r="E4201" s="1"/>
      <c r="F4201" s="1" t="s">
        <v>3441</v>
      </c>
      <c r="G4201" s="1">
        <v>1</v>
      </c>
      <c r="H4201" s="1" t="s">
        <v>19</v>
      </c>
      <c r="I4201" s="1" t="s">
        <v>1296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3440</v>
      </c>
      <c r="D4202" s="1"/>
      <c r="E4202" s="1"/>
      <c r="F4202" s="1" t="s">
        <v>3442</v>
      </c>
      <c r="G4202" s="1">
        <v>1</v>
      </c>
      <c r="H4202" s="1" t="s">
        <v>19</v>
      </c>
      <c r="I4202" s="1" t="s">
        <v>1302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3440</v>
      </c>
      <c r="D4203" s="1"/>
      <c r="E4203" s="1"/>
      <c r="F4203" s="1" t="s">
        <v>3443</v>
      </c>
      <c r="G4203" s="1">
        <v>1</v>
      </c>
      <c r="H4203" s="1" t="s">
        <v>19</v>
      </c>
      <c r="I4203" s="1" t="s">
        <v>3444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3440</v>
      </c>
      <c r="D4204" s="1"/>
      <c r="E4204" s="1"/>
      <c r="F4204" s="1" t="s">
        <v>3445</v>
      </c>
      <c r="G4204" s="1">
        <v>1</v>
      </c>
      <c r="H4204" s="1" t="s">
        <v>19</v>
      </c>
      <c r="I4204" s="1" t="s">
        <v>1301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1901</v>
      </c>
      <c r="D4205" s="1"/>
      <c r="E4205" s="1" t="s">
        <v>3446</v>
      </c>
      <c r="F4205" s="1" t="s">
        <v>3447</v>
      </c>
      <c r="G4205" s="1">
        <v>2</v>
      </c>
      <c r="H4205" s="1" t="s">
        <v>19</v>
      </c>
      <c r="I4205" s="1" t="s">
        <v>1302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1901</v>
      </c>
      <c r="D4206" s="1"/>
      <c r="E4206" s="1" t="s">
        <v>3448</v>
      </c>
      <c r="F4206" s="1" t="s">
        <v>3449</v>
      </c>
      <c r="G4206" s="1">
        <v>1</v>
      </c>
      <c r="H4206" s="1" t="s">
        <v>19</v>
      </c>
      <c r="I4206" s="1" t="s">
        <v>1302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1901</v>
      </c>
      <c r="D4207" s="1"/>
      <c r="E4207" s="1" t="s">
        <v>3450</v>
      </c>
      <c r="F4207" s="1" t="s">
        <v>3451</v>
      </c>
      <c r="G4207" s="1">
        <v>1</v>
      </c>
      <c r="H4207" s="1" t="s">
        <v>19</v>
      </c>
      <c r="I4207" s="1" t="s">
        <v>1302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1901</v>
      </c>
      <c r="D4208" s="1"/>
      <c r="E4208" s="1" t="s">
        <v>3452</v>
      </c>
      <c r="F4208" s="1" t="s">
        <v>3453</v>
      </c>
      <c r="G4208" s="1">
        <v>1</v>
      </c>
      <c r="H4208" s="1" t="s">
        <v>19</v>
      </c>
      <c r="I4208" s="1" t="s">
        <v>1302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1901</v>
      </c>
      <c r="D4209" s="1"/>
      <c r="E4209" s="1" t="s">
        <v>3454</v>
      </c>
      <c r="F4209" s="1" t="s">
        <v>3455</v>
      </c>
      <c r="G4209" s="1">
        <v>2</v>
      </c>
      <c r="H4209" s="1" t="s">
        <v>19</v>
      </c>
      <c r="I4209" s="1" t="s">
        <v>1302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1901</v>
      </c>
      <c r="D4210" s="1"/>
      <c r="E4210" s="1" t="s">
        <v>3456</v>
      </c>
      <c r="F4210" s="1" t="s">
        <v>3457</v>
      </c>
      <c r="G4210" s="1">
        <v>1</v>
      </c>
      <c r="H4210" s="1" t="s">
        <v>19</v>
      </c>
      <c r="I4210" s="1" t="s">
        <v>1302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1901</v>
      </c>
      <c r="D4211" s="1"/>
      <c r="E4211" s="1" t="s">
        <v>3458</v>
      </c>
      <c r="F4211" s="1" t="s">
        <v>3459</v>
      </c>
      <c r="G4211" s="1">
        <v>2</v>
      </c>
      <c r="H4211" s="1" t="s">
        <v>19</v>
      </c>
      <c r="I4211" s="1" t="s">
        <v>1302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1901</v>
      </c>
      <c r="D4212" s="1"/>
      <c r="E4212" s="1" t="s">
        <v>3460</v>
      </c>
      <c r="F4212" s="1" t="s">
        <v>3461</v>
      </c>
      <c r="G4212" s="1">
        <v>1</v>
      </c>
      <c r="H4212" s="1" t="s">
        <v>19</v>
      </c>
      <c r="I4212" s="1" t="s">
        <v>1302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1901</v>
      </c>
      <c r="D4213" s="1"/>
      <c r="E4213" s="1" t="s">
        <v>3462</v>
      </c>
      <c r="F4213" s="1" t="s">
        <v>3463</v>
      </c>
      <c r="G4213" s="1">
        <v>1</v>
      </c>
      <c r="H4213" s="1" t="s">
        <v>19</v>
      </c>
      <c r="I4213" s="1" t="s">
        <v>1302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1901</v>
      </c>
      <c r="D4214" s="1"/>
      <c r="E4214" s="1" t="s">
        <v>3464</v>
      </c>
      <c r="F4214" s="1" t="s">
        <v>3465</v>
      </c>
      <c r="G4214" s="1">
        <v>2</v>
      </c>
      <c r="H4214" s="1" t="s">
        <v>19</v>
      </c>
      <c r="I4214" s="1" t="s">
        <v>1302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1901</v>
      </c>
      <c r="D4215" s="1"/>
      <c r="E4215" s="1" t="s">
        <v>3466</v>
      </c>
      <c r="F4215" s="1" t="s">
        <v>3467</v>
      </c>
      <c r="G4215" s="1">
        <v>1</v>
      </c>
      <c r="H4215" s="1" t="s">
        <v>19</v>
      </c>
      <c r="I4215" s="1" t="s">
        <v>1302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2623</v>
      </c>
      <c r="D4216" s="1"/>
      <c r="E4216" s="1" t="s">
        <v>3493</v>
      </c>
      <c r="F4216" s="1" t="s">
        <v>3494</v>
      </c>
      <c r="G4216" s="1">
        <v>1</v>
      </c>
      <c r="H4216" s="1" t="s">
        <v>19</v>
      </c>
      <c r="I4216" s="1" t="s">
        <v>2623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2623</v>
      </c>
      <c r="D4217" s="1"/>
      <c r="E4217" s="1" t="s">
        <v>3495</v>
      </c>
      <c r="F4217" s="1" t="s">
        <v>3494</v>
      </c>
      <c r="G4217" s="1">
        <v>2</v>
      </c>
      <c r="H4217" s="1" t="s">
        <v>19</v>
      </c>
      <c r="I4217" s="1" t="s">
        <v>2623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2623</v>
      </c>
      <c r="D4218" s="1"/>
      <c r="E4218" s="1" t="s">
        <v>3496</v>
      </c>
      <c r="F4218" s="1" t="s">
        <v>3494</v>
      </c>
      <c r="G4218" s="1">
        <v>4</v>
      </c>
      <c r="H4218" s="1" t="s">
        <v>19</v>
      </c>
      <c r="I4218" s="1" t="s">
        <v>2623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2623</v>
      </c>
      <c r="D4219" s="1"/>
      <c r="E4219" s="1" t="s">
        <v>3497</v>
      </c>
      <c r="F4219" s="1" t="s">
        <v>3494</v>
      </c>
      <c r="G4219" s="1">
        <v>16</v>
      </c>
      <c r="H4219" s="1" t="s">
        <v>19</v>
      </c>
      <c r="I4219" s="1" t="s">
        <v>2623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3509</v>
      </c>
      <c r="D4220" s="1"/>
      <c r="E4220" s="1" t="s">
        <v>3510</v>
      </c>
      <c r="F4220" s="1" t="s">
        <v>3511</v>
      </c>
      <c r="G4220" s="1">
        <v>1</v>
      </c>
      <c r="H4220" s="1" t="s">
        <v>19</v>
      </c>
      <c r="I4220" s="1" t="s">
        <v>3509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3509</v>
      </c>
      <c r="D4221" s="1"/>
      <c r="E4221" s="1" t="s">
        <v>3512</v>
      </c>
      <c r="F4221" s="1" t="s">
        <v>3513</v>
      </c>
      <c r="G4221" s="1">
        <v>1</v>
      </c>
      <c r="H4221" s="1" t="s">
        <v>19</v>
      </c>
      <c r="I4221" s="1" t="s">
        <v>3509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3515</v>
      </c>
      <c r="D4222" s="1"/>
      <c r="E4222" s="1" t="s">
        <v>3516</v>
      </c>
      <c r="F4222" s="1" t="s">
        <v>3517</v>
      </c>
      <c r="G4222" s="1">
        <v>1</v>
      </c>
      <c r="H4222" s="1" t="s">
        <v>19</v>
      </c>
      <c r="I4222" s="1" t="s">
        <v>3515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3515</v>
      </c>
      <c r="D4223" s="1"/>
      <c r="E4223" s="1" t="s">
        <v>3518</v>
      </c>
      <c r="F4223" s="1" t="s">
        <v>3519</v>
      </c>
      <c r="G4223" s="1">
        <v>1</v>
      </c>
      <c r="H4223" s="1" t="s">
        <v>19</v>
      </c>
      <c r="I4223" s="1" t="s">
        <v>3515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3515</v>
      </c>
      <c r="D4224" s="1"/>
      <c r="E4224" s="1" t="s">
        <v>3520</v>
      </c>
      <c r="F4224" s="1" t="s">
        <v>3521</v>
      </c>
      <c r="G4224" s="1">
        <v>1</v>
      </c>
      <c r="H4224" s="1" t="s">
        <v>19</v>
      </c>
      <c r="I4224" s="1" t="s">
        <v>3515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3522</v>
      </c>
      <c r="D4225" s="1"/>
      <c r="E4225" s="1" t="s">
        <v>3523</v>
      </c>
      <c r="F4225" s="1" t="s">
        <v>3521</v>
      </c>
      <c r="G4225" s="1">
        <v>1</v>
      </c>
      <c r="H4225" s="1" t="s">
        <v>19</v>
      </c>
      <c r="I4225" s="1" t="s">
        <v>3522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3522</v>
      </c>
      <c r="D4226" s="1"/>
      <c r="E4226" s="1" t="s">
        <v>3524</v>
      </c>
      <c r="F4226" s="1" t="s">
        <v>3525</v>
      </c>
      <c r="G4226" s="1">
        <v>1</v>
      </c>
      <c r="H4226" s="1" t="s">
        <v>19</v>
      </c>
      <c r="I4226" s="1" t="s">
        <v>3522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3522</v>
      </c>
      <c r="D4227" s="1"/>
      <c r="E4227" s="1" t="s">
        <v>3526</v>
      </c>
      <c r="F4227" s="1" t="s">
        <v>3525</v>
      </c>
      <c r="G4227" s="1">
        <v>1</v>
      </c>
      <c r="H4227" s="1" t="s">
        <v>19</v>
      </c>
      <c r="I4227" s="1" t="s">
        <v>3522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3527</v>
      </c>
      <c r="D4228" s="1"/>
      <c r="E4228" s="1" t="s">
        <v>3528</v>
      </c>
      <c r="F4228" s="1" t="s">
        <v>3529</v>
      </c>
      <c r="G4228" s="1">
        <v>1</v>
      </c>
      <c r="H4228" s="1" t="s">
        <v>19</v>
      </c>
      <c r="I4228" s="1" t="s">
        <v>3527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3530</v>
      </c>
      <c r="D4229" s="1"/>
      <c r="E4229" s="1" t="s">
        <v>3531</v>
      </c>
      <c r="F4229" s="1" t="s">
        <v>3525</v>
      </c>
      <c r="G4229" s="1">
        <v>1</v>
      </c>
      <c r="H4229" s="1" t="s">
        <v>19</v>
      </c>
      <c r="I4229" s="1" t="s">
        <v>3530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3530</v>
      </c>
      <c r="D4230" s="1"/>
      <c r="E4230" s="1" t="s">
        <v>3532</v>
      </c>
      <c r="F4230" s="1" t="s">
        <v>3525</v>
      </c>
      <c r="G4230" s="1">
        <v>1</v>
      </c>
      <c r="H4230" s="1" t="s">
        <v>19</v>
      </c>
      <c r="I4230" s="1" t="s">
        <v>3530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3533</v>
      </c>
      <c r="D4231" s="1"/>
      <c r="E4231" s="1" t="s">
        <v>3534</v>
      </c>
      <c r="F4231" s="1" t="s">
        <v>3535</v>
      </c>
      <c r="G4231" s="1">
        <v>1</v>
      </c>
      <c r="H4231" s="1" t="s">
        <v>19</v>
      </c>
      <c r="I4231" s="1" t="s">
        <v>3533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3533</v>
      </c>
      <c r="D4232" s="1"/>
      <c r="E4232" s="1" t="s">
        <v>3536</v>
      </c>
      <c r="F4232" s="1" t="s">
        <v>3537</v>
      </c>
      <c r="G4232" s="1">
        <v>1</v>
      </c>
      <c r="H4232" s="1" t="s">
        <v>19</v>
      </c>
      <c r="I4232" s="1" t="s">
        <v>3533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3533</v>
      </c>
      <c r="D4233" s="1"/>
      <c r="E4233" s="1" t="s">
        <v>3538</v>
      </c>
      <c r="F4233" s="1" t="s">
        <v>3539</v>
      </c>
      <c r="G4233" s="1">
        <v>1</v>
      </c>
      <c r="H4233" s="1" t="s">
        <v>19</v>
      </c>
      <c r="I4233" s="1" t="s">
        <v>3533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3533</v>
      </c>
      <c r="D4234" s="1"/>
      <c r="E4234" s="1" t="s">
        <v>3540</v>
      </c>
      <c r="F4234" s="1" t="s">
        <v>3537</v>
      </c>
      <c r="G4234" s="1">
        <v>1</v>
      </c>
      <c r="H4234" s="1" t="s">
        <v>19</v>
      </c>
      <c r="I4234" s="1" t="s">
        <v>3533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3533</v>
      </c>
      <c r="D4235" s="1"/>
      <c r="E4235" s="1" t="s">
        <v>3541</v>
      </c>
      <c r="F4235" s="1" t="s">
        <v>3537</v>
      </c>
      <c r="G4235" s="1">
        <v>1</v>
      </c>
      <c r="H4235" s="1" t="s">
        <v>19</v>
      </c>
      <c r="I4235" s="1" t="s">
        <v>3533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3509</v>
      </c>
      <c r="D4236" s="1"/>
      <c r="E4236" s="1" t="s">
        <v>3542</v>
      </c>
      <c r="F4236" s="1" t="s">
        <v>3525</v>
      </c>
      <c r="G4236" s="1">
        <v>1</v>
      </c>
      <c r="H4236" s="1" t="s">
        <v>19</v>
      </c>
      <c r="I4236" s="1" t="s">
        <v>3509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2623</v>
      </c>
      <c r="D4237" s="1"/>
      <c r="E4237" s="1" t="s">
        <v>3556</v>
      </c>
      <c r="F4237" s="1" t="s">
        <v>3494</v>
      </c>
      <c r="G4237" s="1">
        <v>2</v>
      </c>
      <c r="H4237" s="1" t="s">
        <v>19</v>
      </c>
      <c r="I4237" s="1" t="s">
        <v>2623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3557</v>
      </c>
      <c r="D4238" s="1" t="s">
        <v>3558</v>
      </c>
      <c r="E4238" s="1" t="s">
        <v>3559</v>
      </c>
      <c r="F4238" s="1" t="s">
        <v>3560</v>
      </c>
      <c r="G4238" s="1">
        <v>64</v>
      </c>
      <c r="H4238" s="1" t="s">
        <v>19</v>
      </c>
      <c r="I4238" s="1" t="s">
        <v>1296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3561</v>
      </c>
      <c r="D4239" s="1" t="s">
        <v>3562</v>
      </c>
      <c r="E4239" s="1" t="s">
        <v>3559</v>
      </c>
      <c r="F4239" s="1" t="s">
        <v>3560</v>
      </c>
      <c r="G4239" s="1">
        <v>140</v>
      </c>
      <c r="H4239" s="1" t="s">
        <v>19</v>
      </c>
      <c r="I4239" s="1" t="s">
        <v>1302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3522</v>
      </c>
      <c r="D4240" s="1"/>
      <c r="E4240" s="1" t="s">
        <v>1108</v>
      </c>
      <c r="F4240" s="1" t="s">
        <v>3563</v>
      </c>
      <c r="G4240" s="1">
        <v>1</v>
      </c>
      <c r="H4240" s="1" t="s">
        <v>19</v>
      </c>
      <c r="I4240" s="1" t="s">
        <v>1302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3522</v>
      </c>
      <c r="D4241" s="1"/>
      <c r="E4241" s="1" t="s">
        <v>1109</v>
      </c>
      <c r="F4241" s="1" t="s">
        <v>3564</v>
      </c>
      <c r="G4241" s="1">
        <v>1</v>
      </c>
      <c r="H4241" s="1">
        <v>0.6</v>
      </c>
      <c r="I4241" s="1" t="s">
        <v>1302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3522</v>
      </c>
      <c r="D4242" s="1"/>
      <c r="E4242" s="1" t="s">
        <v>1110</v>
      </c>
      <c r="F4242" s="1" t="s">
        <v>3565</v>
      </c>
      <c r="G4242" s="1">
        <v>1</v>
      </c>
      <c r="H4242" s="1" t="s">
        <v>19</v>
      </c>
      <c r="I4242" s="1" t="s">
        <v>1302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3522</v>
      </c>
      <c r="D4243" s="1"/>
      <c r="E4243" s="1" t="s">
        <v>1111</v>
      </c>
      <c r="F4243" s="1" t="s">
        <v>3566</v>
      </c>
      <c r="G4243" s="1">
        <v>1</v>
      </c>
      <c r="H4243" s="1" t="s">
        <v>19</v>
      </c>
      <c r="I4243" s="1" t="s">
        <v>1302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3522</v>
      </c>
      <c r="D4244" s="1"/>
      <c r="E4244" s="1" t="s">
        <v>1112</v>
      </c>
      <c r="F4244" s="1" t="s">
        <v>3567</v>
      </c>
      <c r="G4244" s="1">
        <v>1</v>
      </c>
      <c r="H4244" s="1" t="s">
        <v>19</v>
      </c>
      <c r="I4244" s="1" t="s">
        <v>1302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3522</v>
      </c>
      <c r="D4245" s="1"/>
      <c r="E4245" s="1" t="s">
        <v>1114</v>
      </c>
      <c r="F4245" s="1" t="s">
        <v>3568</v>
      </c>
      <c r="G4245" s="1">
        <v>1</v>
      </c>
      <c r="H4245" s="1" t="s">
        <v>19</v>
      </c>
      <c r="I4245" s="1" t="s">
        <v>1302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3522</v>
      </c>
      <c r="D4246" s="1"/>
      <c r="E4246" s="1" t="s">
        <v>1116</v>
      </c>
      <c r="F4246" s="1" t="s">
        <v>3569</v>
      </c>
      <c r="G4246" s="1">
        <v>1</v>
      </c>
      <c r="H4246" s="1" t="s">
        <v>19</v>
      </c>
      <c r="I4246" s="1" t="s">
        <v>1302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3522</v>
      </c>
      <c r="D4247" s="1"/>
      <c r="E4247" s="1" t="s">
        <v>2436</v>
      </c>
      <c r="F4247" s="1" t="s">
        <v>3570</v>
      </c>
      <c r="G4247" s="1">
        <v>1</v>
      </c>
      <c r="H4247" s="1" t="s">
        <v>19</v>
      </c>
      <c r="I4247" s="1" t="s">
        <v>1302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3522</v>
      </c>
      <c r="D4248" s="1"/>
      <c r="E4248" s="1" t="s">
        <v>11</v>
      </c>
      <c r="F4248" s="1" t="s">
        <v>3571</v>
      </c>
      <c r="G4248" s="1">
        <v>1</v>
      </c>
      <c r="H4248" s="1" t="s">
        <v>19</v>
      </c>
      <c r="I4248" s="1" t="s">
        <v>1302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3522</v>
      </c>
      <c r="D4249" s="1"/>
      <c r="E4249" s="1" t="s">
        <v>2186</v>
      </c>
      <c r="F4249" s="1" t="s">
        <v>3572</v>
      </c>
      <c r="G4249" s="1">
        <v>1</v>
      </c>
      <c r="H4249" s="1" t="s">
        <v>19</v>
      </c>
      <c r="I4249" s="1" t="s">
        <v>1302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3522</v>
      </c>
      <c r="D4250" s="1"/>
      <c r="E4250" s="1" t="s">
        <v>1836</v>
      </c>
      <c r="F4250" s="1" t="s">
        <v>3573</v>
      </c>
      <c r="G4250" s="1">
        <v>1</v>
      </c>
      <c r="H4250" s="1" t="s">
        <v>19</v>
      </c>
      <c r="I4250" s="1" t="s">
        <v>1302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3522</v>
      </c>
      <c r="D4251" s="1"/>
      <c r="E4251" s="1" t="s">
        <v>1838</v>
      </c>
      <c r="F4251" s="1" t="s">
        <v>3574</v>
      </c>
      <c r="G4251" s="1">
        <v>2</v>
      </c>
      <c r="H4251" s="1" t="s">
        <v>19</v>
      </c>
      <c r="I4251" s="1" t="s">
        <v>1302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3522</v>
      </c>
      <c r="D4252" s="1"/>
      <c r="E4252" s="1" t="s">
        <v>2575</v>
      </c>
      <c r="F4252" s="1" t="s">
        <v>3575</v>
      </c>
      <c r="G4252" s="1">
        <v>2</v>
      </c>
      <c r="H4252" s="1" t="s">
        <v>19</v>
      </c>
      <c r="I4252" s="1" t="s">
        <v>1302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3527</v>
      </c>
      <c r="D4253" s="1"/>
      <c r="E4253" s="1" t="s">
        <v>747</v>
      </c>
      <c r="F4253" s="1" t="s">
        <v>3576</v>
      </c>
      <c r="G4253" s="1">
        <v>1</v>
      </c>
      <c r="H4253" s="1" t="s">
        <v>19</v>
      </c>
      <c r="I4253" s="1" t="s">
        <v>1302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3527</v>
      </c>
      <c r="D4254" s="1"/>
      <c r="E4254" s="1" t="s">
        <v>1102</v>
      </c>
      <c r="F4254" s="1" t="s">
        <v>3577</v>
      </c>
      <c r="G4254" s="1">
        <v>1</v>
      </c>
      <c r="H4254" s="1" t="s">
        <v>19</v>
      </c>
      <c r="I4254" s="1" t="s">
        <v>1302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3527</v>
      </c>
      <c r="D4255" s="1"/>
      <c r="E4255" s="1" t="s">
        <v>101</v>
      </c>
      <c r="F4255" s="1" t="s">
        <v>3578</v>
      </c>
      <c r="G4255" s="1">
        <v>1</v>
      </c>
      <c r="H4255" s="1" t="s">
        <v>19</v>
      </c>
      <c r="I4255" s="1" t="s">
        <v>1302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3527</v>
      </c>
      <c r="D4256" s="1"/>
      <c r="E4256" s="1" t="s">
        <v>174</v>
      </c>
      <c r="F4256" s="1" t="s">
        <v>3579</v>
      </c>
      <c r="G4256" s="1">
        <v>1</v>
      </c>
      <c r="H4256" s="1" t="s">
        <v>19</v>
      </c>
      <c r="I4256" s="1" t="s">
        <v>1302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3527</v>
      </c>
      <c r="D4257" s="1"/>
      <c r="E4257" s="1" t="s">
        <v>462</v>
      </c>
      <c r="F4257" s="1" t="s">
        <v>3580</v>
      </c>
      <c r="G4257" s="1">
        <v>1</v>
      </c>
      <c r="H4257" s="1" t="s">
        <v>19</v>
      </c>
      <c r="I4257" s="1" t="s">
        <v>1302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3527</v>
      </c>
      <c r="D4258" s="1"/>
      <c r="E4258" s="1" t="s">
        <v>465</v>
      </c>
      <c r="F4258" s="1" t="s">
        <v>3581</v>
      </c>
      <c r="G4258" s="1">
        <v>1</v>
      </c>
      <c r="H4258" s="1" t="s">
        <v>19</v>
      </c>
      <c r="I4258" s="1" t="s">
        <v>1302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3527</v>
      </c>
      <c r="D4259" s="1"/>
      <c r="E4259" s="1" t="s">
        <v>1104</v>
      </c>
      <c r="F4259" s="1" t="s">
        <v>3582</v>
      </c>
      <c r="G4259" s="1">
        <v>1</v>
      </c>
      <c r="H4259" s="1" t="s">
        <v>19</v>
      </c>
      <c r="I4259" s="1" t="s">
        <v>1302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3527</v>
      </c>
      <c r="D4260" s="1"/>
      <c r="E4260" s="1" t="s">
        <v>1105</v>
      </c>
      <c r="F4260" s="1" t="s">
        <v>3583</v>
      </c>
      <c r="G4260" s="1">
        <v>1</v>
      </c>
      <c r="H4260" s="1" t="s">
        <v>19</v>
      </c>
      <c r="I4260" s="1" t="s">
        <v>1302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3530</v>
      </c>
      <c r="D4261" s="1"/>
      <c r="E4261" s="1" t="s">
        <v>1108</v>
      </c>
      <c r="F4261" s="1" t="s">
        <v>3584</v>
      </c>
      <c r="G4261" s="1">
        <v>1</v>
      </c>
      <c r="H4261" s="1" t="s">
        <v>19</v>
      </c>
      <c r="I4261" s="1" t="s">
        <v>1302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3530</v>
      </c>
      <c r="D4262" s="1"/>
      <c r="E4262" s="1" t="s">
        <v>1109</v>
      </c>
      <c r="F4262" s="1" t="s">
        <v>3564</v>
      </c>
      <c r="G4262" s="1">
        <v>1</v>
      </c>
      <c r="H4262" s="1" t="s">
        <v>19</v>
      </c>
      <c r="I4262" s="1" t="s">
        <v>1302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3530</v>
      </c>
      <c r="D4263" s="1"/>
      <c r="E4263" s="1" t="s">
        <v>1110</v>
      </c>
      <c r="F4263" s="1" t="s">
        <v>3565</v>
      </c>
      <c r="G4263" s="1">
        <v>1</v>
      </c>
      <c r="H4263" s="1" t="s">
        <v>19</v>
      </c>
      <c r="I4263" s="1" t="s">
        <v>1302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3530</v>
      </c>
      <c r="D4264" s="1"/>
      <c r="E4264" s="1" t="s">
        <v>1111</v>
      </c>
      <c r="F4264" s="1" t="s">
        <v>3566</v>
      </c>
      <c r="G4264" s="1">
        <v>1</v>
      </c>
      <c r="H4264" s="1" t="s">
        <v>19</v>
      </c>
      <c r="I4264" s="1" t="s">
        <v>1302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3530</v>
      </c>
      <c r="D4265" s="1"/>
      <c r="E4265" s="1" t="s">
        <v>1112</v>
      </c>
      <c r="F4265" s="1" t="s">
        <v>3567</v>
      </c>
      <c r="G4265" s="1">
        <v>1</v>
      </c>
      <c r="H4265" s="1" t="s">
        <v>19</v>
      </c>
      <c r="I4265" s="1" t="s">
        <v>1302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3530</v>
      </c>
      <c r="D4266" s="1"/>
      <c r="E4266" s="1" t="s">
        <v>1114</v>
      </c>
      <c r="F4266" s="1" t="s">
        <v>3568</v>
      </c>
      <c r="G4266" s="1">
        <v>1</v>
      </c>
      <c r="H4266" s="1" t="s">
        <v>19</v>
      </c>
      <c r="I4266" s="1" t="s">
        <v>1302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3530</v>
      </c>
      <c r="D4267" s="1"/>
      <c r="E4267" s="1" t="s">
        <v>1116</v>
      </c>
      <c r="F4267" s="1" t="s">
        <v>3569</v>
      </c>
      <c r="G4267" s="1">
        <v>1</v>
      </c>
      <c r="H4267" s="1" t="s">
        <v>19</v>
      </c>
      <c r="I4267" s="1" t="s">
        <v>1302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3530</v>
      </c>
      <c r="D4268" s="1"/>
      <c r="E4268" s="1" t="s">
        <v>214</v>
      </c>
      <c r="F4268" s="1" t="s">
        <v>3578</v>
      </c>
      <c r="G4268" s="1">
        <v>1</v>
      </c>
      <c r="H4268" s="1" t="s">
        <v>19</v>
      </c>
      <c r="I4268" s="1" t="s">
        <v>1302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3530</v>
      </c>
      <c r="D4269" s="1"/>
      <c r="E4269" s="1" t="s">
        <v>1115</v>
      </c>
      <c r="F4269" s="1" t="s">
        <v>3585</v>
      </c>
      <c r="G4269" s="1">
        <v>1</v>
      </c>
      <c r="H4269" s="1" t="s">
        <v>19</v>
      </c>
      <c r="I4269" s="1" t="s">
        <v>1302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3530</v>
      </c>
      <c r="D4270" s="1"/>
      <c r="E4270" s="1" t="s">
        <v>3336</v>
      </c>
      <c r="F4270" s="1" t="s">
        <v>3586</v>
      </c>
      <c r="G4270" s="1">
        <v>1</v>
      </c>
      <c r="H4270" s="1" t="s">
        <v>19</v>
      </c>
      <c r="I4270" s="1" t="s">
        <v>1302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3530</v>
      </c>
      <c r="D4271" s="1"/>
      <c r="E4271" s="1" t="s">
        <v>1107</v>
      </c>
      <c r="F4271" s="1" t="s">
        <v>3587</v>
      </c>
      <c r="G4271" s="1">
        <v>1</v>
      </c>
      <c r="H4271" s="1" t="s">
        <v>19</v>
      </c>
      <c r="I4271" s="1" t="s">
        <v>1302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3530</v>
      </c>
      <c r="D4272" s="1"/>
      <c r="E4272" s="1" t="s">
        <v>1113</v>
      </c>
      <c r="F4272" s="1" t="s">
        <v>3580</v>
      </c>
      <c r="G4272" s="1">
        <v>1</v>
      </c>
      <c r="H4272" s="1" t="s">
        <v>19</v>
      </c>
      <c r="I4272" s="1" t="s">
        <v>1302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3588</v>
      </c>
      <c r="E4273" s="1"/>
      <c r="F4273" s="1" t="s">
        <v>3589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3588</v>
      </c>
      <c r="E4274" s="1"/>
      <c r="F4274" s="1" t="s">
        <v>3590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3588</v>
      </c>
      <c r="E4275" s="1"/>
      <c r="F4275" s="1" t="s">
        <v>3591</v>
      </c>
      <c r="G4275" s="1">
        <v>4</v>
      </c>
      <c r="H4275" s="1" t="s">
        <v>1254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3588</v>
      </c>
      <c r="E4276" s="1"/>
      <c r="F4276" s="1" t="s">
        <v>3592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3588</v>
      </c>
      <c r="E4277" s="1"/>
      <c r="F4277" s="1" t="s">
        <v>3593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3588</v>
      </c>
      <c r="E4278" s="1"/>
      <c r="F4278" s="1" t="s">
        <v>3594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3588</v>
      </c>
      <c r="E4279" s="1"/>
      <c r="F4279" s="1" t="s">
        <v>3595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3588</v>
      </c>
      <c r="E4280" s="1"/>
      <c r="F4280" s="1" t="s">
        <v>3596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3588</v>
      </c>
      <c r="E4281" s="1"/>
      <c r="F4281" s="1" t="s">
        <v>3597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3598</v>
      </c>
      <c r="D4282" s="1" t="s">
        <v>3599</v>
      </c>
      <c r="E4282" s="1"/>
      <c r="F4282" s="1" t="s">
        <v>3600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3598</v>
      </c>
      <c r="D4283" s="1" t="s">
        <v>3599</v>
      </c>
      <c r="E4283" s="1"/>
      <c r="F4283" s="1" t="s">
        <v>3601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3598</v>
      </c>
      <c r="D4284" s="1" t="s">
        <v>3599</v>
      </c>
      <c r="E4284" s="1"/>
      <c r="F4284" s="1" t="s">
        <v>3602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3598</v>
      </c>
      <c r="D4285" s="1" t="s">
        <v>3599</v>
      </c>
      <c r="E4285" s="1"/>
      <c r="F4285" s="1" t="s">
        <v>3603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3598</v>
      </c>
      <c r="D4286" s="1" t="s">
        <v>3599</v>
      </c>
      <c r="E4286" s="1"/>
      <c r="F4286" s="1" t="s">
        <v>3604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3598</v>
      </c>
      <c r="D4287" s="1" t="s">
        <v>3599</v>
      </c>
      <c r="E4287" s="1"/>
      <c r="F4287" s="1" t="s">
        <v>3605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3598</v>
      </c>
      <c r="D4288" s="1" t="s">
        <v>3599</v>
      </c>
      <c r="E4288" s="1"/>
      <c r="F4288" s="1" t="s">
        <v>3606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3598</v>
      </c>
      <c r="D4289" s="1" t="s">
        <v>3599</v>
      </c>
      <c r="E4289" s="1"/>
      <c r="F4289" s="1" t="s">
        <v>3607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3598</v>
      </c>
      <c r="D4290" s="1" t="s">
        <v>3599</v>
      </c>
      <c r="E4290" s="1"/>
      <c r="F4290" s="1" t="s">
        <v>3608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3598</v>
      </c>
      <c r="D4291" s="1" t="s">
        <v>3599</v>
      </c>
      <c r="E4291" s="1"/>
      <c r="F4291" s="1" t="s">
        <v>3609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3610</v>
      </c>
      <c r="E4292" s="1"/>
      <c r="F4292" s="1" t="s">
        <v>3611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3610</v>
      </c>
      <c r="E4293" s="1"/>
      <c r="F4293" s="1" t="s">
        <v>3612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3610</v>
      </c>
      <c r="E4294" s="1"/>
      <c r="F4294" s="1" t="s">
        <v>3613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3610</v>
      </c>
      <c r="E4295" s="1"/>
      <c r="F4295" s="1" t="s">
        <v>3614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3610</v>
      </c>
      <c r="E4296" s="1"/>
      <c r="F4296" s="1" t="s">
        <v>3615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3610</v>
      </c>
      <c r="E4297" s="1"/>
      <c r="F4297" s="1" t="s">
        <v>3616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3610</v>
      </c>
      <c r="E4298" s="1"/>
      <c r="F4298" s="1" t="s">
        <v>3617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3618</v>
      </c>
      <c r="D4299" s="1" t="s">
        <v>3619</v>
      </c>
      <c r="E4299" s="1"/>
      <c r="F4299" s="1" t="s">
        <v>3620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3618</v>
      </c>
      <c r="D4300" s="1" t="s">
        <v>3619</v>
      </c>
      <c r="E4300" s="1"/>
      <c r="F4300" s="1" t="s">
        <v>3621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3618</v>
      </c>
      <c r="D4301" s="1" t="s">
        <v>3619</v>
      </c>
      <c r="E4301" s="1"/>
      <c r="F4301" s="1" t="s">
        <v>3622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3618</v>
      </c>
      <c r="D4302" s="1" t="s">
        <v>3619</v>
      </c>
      <c r="E4302" s="1"/>
      <c r="F4302" s="1" t="s">
        <v>3623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3618</v>
      </c>
      <c r="D4303" s="1" t="s">
        <v>3619</v>
      </c>
      <c r="E4303" s="1"/>
      <c r="F4303" s="1" t="s">
        <v>3624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3618</v>
      </c>
      <c r="D4304" s="1" t="s">
        <v>3619</v>
      </c>
      <c r="E4304" s="1"/>
      <c r="F4304" s="1" t="s">
        <v>3625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1902</v>
      </c>
      <c r="D4305" s="1"/>
      <c r="E4305" s="1" t="s">
        <v>2997</v>
      </c>
      <c r="F4305" s="1" t="s">
        <v>3410</v>
      </c>
      <c r="G4305" s="1">
        <v>1</v>
      </c>
      <c r="H4305" s="1" t="s">
        <v>19</v>
      </c>
      <c r="I4305" s="1" t="s">
        <v>1302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1376</v>
      </c>
      <c r="D4306" s="1"/>
      <c r="E4306" s="1" t="s">
        <v>2998</v>
      </c>
      <c r="F4306" s="1" t="s">
        <v>3642</v>
      </c>
      <c r="G4306" s="1">
        <v>2</v>
      </c>
      <c r="H4306" s="1" t="s">
        <v>19</v>
      </c>
      <c r="I4306" s="1" t="s">
        <v>1296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1376</v>
      </c>
      <c r="D4307" s="1"/>
      <c r="E4307" s="1" t="s">
        <v>3645</v>
      </c>
      <c r="F4307" s="1" t="s">
        <v>3644</v>
      </c>
      <c r="G4307" s="1">
        <v>2</v>
      </c>
      <c r="H4307" s="1" t="s">
        <v>19</v>
      </c>
      <c r="I4307" s="1" t="s">
        <v>1296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1376</v>
      </c>
      <c r="D4308" s="1"/>
      <c r="E4308" s="1" t="s">
        <v>2998</v>
      </c>
      <c r="F4308" s="1" t="s">
        <v>3642</v>
      </c>
      <c r="G4308" s="1">
        <v>2</v>
      </c>
      <c r="H4308" s="1" t="s">
        <v>19</v>
      </c>
      <c r="I4308" s="1" t="s">
        <v>1302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1376</v>
      </c>
      <c r="D4309" s="1"/>
      <c r="E4309" s="1" t="s">
        <v>3645</v>
      </c>
      <c r="F4309" s="1" t="s">
        <v>3644</v>
      </c>
      <c r="G4309" s="1">
        <v>2</v>
      </c>
      <c r="H4309" s="1" t="s">
        <v>19</v>
      </c>
      <c r="I4309" s="1" t="s">
        <v>1302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2623</v>
      </c>
      <c r="D4310" s="1"/>
      <c r="E4310" s="1" t="s">
        <v>3646</v>
      </c>
      <c r="F4310" s="1" t="s">
        <v>3417</v>
      </c>
      <c r="G4310" s="1">
        <v>2</v>
      </c>
      <c r="H4310" s="1" t="s">
        <v>19</v>
      </c>
      <c r="I4310" s="1" t="s">
        <v>1291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2623</v>
      </c>
      <c r="D4311" s="1"/>
      <c r="E4311" s="1" t="s">
        <v>3647</v>
      </c>
      <c r="F4311" s="1" t="s">
        <v>3417</v>
      </c>
      <c r="G4311" s="1">
        <v>2</v>
      </c>
      <c r="H4311" s="1" t="s">
        <v>19</v>
      </c>
      <c r="I4311" s="1" t="s">
        <v>1291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2623</v>
      </c>
      <c r="D4312" s="1"/>
      <c r="E4312" s="1" t="s">
        <v>3648</v>
      </c>
      <c r="F4312" s="1" t="s">
        <v>3417</v>
      </c>
      <c r="G4312" s="1">
        <v>2</v>
      </c>
      <c r="H4312" s="1" t="s">
        <v>19</v>
      </c>
      <c r="I4312" s="1" t="s">
        <v>1291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2623</v>
      </c>
      <c r="D4313" s="1"/>
      <c r="E4313" s="1" t="s">
        <v>3649</v>
      </c>
      <c r="F4313" s="1" t="s">
        <v>3417</v>
      </c>
      <c r="G4313" s="1">
        <v>22</v>
      </c>
      <c r="H4313" s="1" t="s">
        <v>19</v>
      </c>
      <c r="I4313" s="1" t="s">
        <v>1291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2623</v>
      </c>
      <c r="D4314" s="1"/>
      <c r="E4314" s="1" t="s">
        <v>3650</v>
      </c>
      <c r="F4314" s="1" t="s">
        <v>3417</v>
      </c>
      <c r="G4314" s="1">
        <v>4</v>
      </c>
      <c r="H4314" s="1" t="s">
        <v>19</v>
      </c>
      <c r="I4314" s="1" t="s">
        <v>1291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2623</v>
      </c>
      <c r="D4315" s="1"/>
      <c r="E4315" s="1" t="s">
        <v>3651</v>
      </c>
      <c r="F4315" s="1" t="s">
        <v>3417</v>
      </c>
      <c r="G4315" s="1">
        <v>8</v>
      </c>
      <c r="H4315" s="1" t="s">
        <v>19</v>
      </c>
      <c r="I4315" s="1" t="s">
        <v>1291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2623</v>
      </c>
      <c r="D4316" s="1"/>
      <c r="E4316" s="1" t="s">
        <v>3652</v>
      </c>
      <c r="F4316" s="1" t="s">
        <v>3417</v>
      </c>
      <c r="G4316" s="1">
        <v>6</v>
      </c>
      <c r="H4316" s="1" t="s">
        <v>19</v>
      </c>
      <c r="I4316" s="1" t="s">
        <v>1291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2623</v>
      </c>
      <c r="D4317" s="1"/>
      <c r="E4317" s="1" t="s">
        <v>3653</v>
      </c>
      <c r="F4317" s="1" t="s">
        <v>3417</v>
      </c>
      <c r="G4317" s="1">
        <v>6</v>
      </c>
      <c r="H4317" s="1" t="s">
        <v>19</v>
      </c>
      <c r="I4317" s="1" t="s">
        <v>1291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2623</v>
      </c>
      <c r="D4318" s="1"/>
      <c r="E4318" s="1" t="s">
        <v>3654</v>
      </c>
      <c r="F4318" s="1" t="s">
        <v>3417</v>
      </c>
      <c r="G4318" s="1">
        <v>4</v>
      </c>
      <c r="H4318" s="1" t="s">
        <v>19</v>
      </c>
      <c r="I4318" s="1" t="s">
        <v>1291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3515</v>
      </c>
      <c r="D4319" s="1"/>
      <c r="E4319" s="1" t="s">
        <v>3655</v>
      </c>
      <c r="F4319" s="1" t="s">
        <v>3656</v>
      </c>
      <c r="G4319" s="1">
        <v>1</v>
      </c>
      <c r="H4319" s="1" t="s">
        <v>19</v>
      </c>
      <c r="I4319" s="1" t="s">
        <v>1296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3522</v>
      </c>
      <c r="D4320" s="1"/>
      <c r="E4320" s="1" t="s">
        <v>3657</v>
      </c>
      <c r="F4320" s="1" t="s">
        <v>3658</v>
      </c>
      <c r="G4320" s="1">
        <v>1</v>
      </c>
      <c r="H4320" s="1" t="s">
        <v>19</v>
      </c>
      <c r="I4320" s="1" t="s">
        <v>1302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3522</v>
      </c>
      <c r="D4321" s="1"/>
      <c r="E4321" s="1" t="s">
        <v>3659</v>
      </c>
      <c r="F4321" s="1" t="s">
        <v>3658</v>
      </c>
      <c r="G4321" s="1">
        <v>1</v>
      </c>
      <c r="H4321" s="1" t="s">
        <v>19</v>
      </c>
      <c r="I4321" s="1" t="s">
        <v>1302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3522</v>
      </c>
      <c r="D4322" s="1"/>
      <c r="E4322" s="1" t="s">
        <v>3660</v>
      </c>
      <c r="F4322" s="1" t="s">
        <v>3658</v>
      </c>
      <c r="G4322" s="1">
        <v>1</v>
      </c>
      <c r="H4322" s="1" t="s">
        <v>19</v>
      </c>
      <c r="I4322" s="1" t="s">
        <v>1302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3522</v>
      </c>
      <c r="D4323" s="1"/>
      <c r="E4323" s="1" t="s">
        <v>3661</v>
      </c>
      <c r="F4323" s="1" t="s">
        <v>3658</v>
      </c>
      <c r="G4323" s="1">
        <v>1</v>
      </c>
      <c r="H4323" s="1" t="s">
        <v>19</v>
      </c>
      <c r="I4323" s="1" t="s">
        <v>1302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3522</v>
      </c>
      <c r="D4324" s="1"/>
      <c r="E4324" s="1" t="s">
        <v>3662</v>
      </c>
      <c r="F4324" s="1" t="s">
        <v>3658</v>
      </c>
      <c r="G4324" s="1">
        <v>1</v>
      </c>
      <c r="H4324" s="1" t="s">
        <v>19</v>
      </c>
      <c r="I4324" s="1" t="s">
        <v>1302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3522</v>
      </c>
      <c r="D4325" s="1"/>
      <c r="E4325" s="1" t="s">
        <v>3663</v>
      </c>
      <c r="F4325" s="1" t="s">
        <v>3658</v>
      </c>
      <c r="G4325" s="1">
        <v>1</v>
      </c>
      <c r="H4325" s="1" t="s">
        <v>19</v>
      </c>
      <c r="I4325" s="1" t="s">
        <v>1302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3522</v>
      </c>
      <c r="D4326" s="1"/>
      <c r="E4326" s="1" t="s">
        <v>3664</v>
      </c>
      <c r="F4326" s="1" t="s">
        <v>3658</v>
      </c>
      <c r="G4326" s="1">
        <v>1</v>
      </c>
      <c r="H4326" s="1" t="s">
        <v>19</v>
      </c>
      <c r="I4326" s="1" t="s">
        <v>1302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3522</v>
      </c>
      <c r="D4327" s="1"/>
      <c r="E4327" s="1" t="s">
        <v>3665</v>
      </c>
      <c r="F4327" s="1" t="s">
        <v>3658</v>
      </c>
      <c r="G4327" s="1">
        <v>1</v>
      </c>
      <c r="H4327" s="1" t="s">
        <v>19</v>
      </c>
      <c r="I4327" s="1" t="s">
        <v>1302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3522</v>
      </c>
      <c r="D4328" s="1"/>
      <c r="E4328" s="1" t="s">
        <v>3666</v>
      </c>
      <c r="F4328" s="1" t="s">
        <v>3658</v>
      </c>
      <c r="G4328" s="1">
        <v>1</v>
      </c>
      <c r="H4328" s="1" t="s">
        <v>19</v>
      </c>
      <c r="I4328" s="1" t="s">
        <v>1302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3522</v>
      </c>
      <c r="D4329" s="1"/>
      <c r="E4329" s="1" t="s">
        <v>3667</v>
      </c>
      <c r="F4329" s="1" t="s">
        <v>3525</v>
      </c>
      <c r="G4329" s="1">
        <v>2</v>
      </c>
      <c r="H4329" s="1" t="s">
        <v>19</v>
      </c>
      <c r="I4329" s="1" t="s">
        <v>1302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3522</v>
      </c>
      <c r="D4330" s="1"/>
      <c r="E4330" s="1" t="s">
        <v>3668</v>
      </c>
      <c r="F4330" s="1" t="s">
        <v>3525</v>
      </c>
      <c r="G4330" s="1">
        <v>3</v>
      </c>
      <c r="H4330" s="1" t="s">
        <v>19</v>
      </c>
      <c r="I4330" s="1" t="s">
        <v>1302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3522</v>
      </c>
      <c r="D4331" s="1"/>
      <c r="E4331" s="1" t="s">
        <v>3669</v>
      </c>
      <c r="F4331" s="1" t="s">
        <v>3525</v>
      </c>
      <c r="G4331" s="1">
        <v>2</v>
      </c>
      <c r="H4331" s="1" t="s">
        <v>19</v>
      </c>
      <c r="I4331" s="1" t="s">
        <v>1302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3527</v>
      </c>
      <c r="D4332" s="1"/>
      <c r="E4332" s="1" t="s">
        <v>3670</v>
      </c>
      <c r="F4332" s="1" t="s">
        <v>3529</v>
      </c>
      <c r="G4332" s="1">
        <v>1</v>
      </c>
      <c r="H4332" s="1" t="s">
        <v>19</v>
      </c>
      <c r="I4332" s="1" t="s">
        <v>1302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3530</v>
      </c>
      <c r="D4333" s="1"/>
      <c r="E4333" s="1" t="s">
        <v>3671</v>
      </c>
      <c r="F4333" s="1" t="s">
        <v>3658</v>
      </c>
      <c r="G4333" s="1">
        <v>1</v>
      </c>
      <c r="H4333" s="1" t="s">
        <v>19</v>
      </c>
      <c r="I4333" s="1" t="s">
        <v>1302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3530</v>
      </c>
      <c r="D4334" s="1"/>
      <c r="E4334" s="1" t="s">
        <v>3672</v>
      </c>
      <c r="F4334" s="1" t="s">
        <v>3658</v>
      </c>
      <c r="G4334" s="1">
        <v>1</v>
      </c>
      <c r="H4334" s="1" t="s">
        <v>19</v>
      </c>
      <c r="I4334" s="1" t="s">
        <v>1302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3530</v>
      </c>
      <c r="D4335" s="1"/>
      <c r="E4335" s="1" t="s">
        <v>3673</v>
      </c>
      <c r="F4335" s="1" t="s">
        <v>3658</v>
      </c>
      <c r="G4335" s="1">
        <v>1</v>
      </c>
      <c r="H4335" s="1" t="s">
        <v>19</v>
      </c>
      <c r="I4335" s="1" t="s">
        <v>1302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3530</v>
      </c>
      <c r="D4336" s="1"/>
      <c r="E4336" s="1" t="s">
        <v>3674</v>
      </c>
      <c r="F4336" s="1" t="s">
        <v>3658</v>
      </c>
      <c r="G4336" s="1">
        <v>1</v>
      </c>
      <c r="H4336" s="1" t="s">
        <v>19</v>
      </c>
      <c r="I4336" s="1" t="s">
        <v>1302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3530</v>
      </c>
      <c r="D4337" s="1"/>
      <c r="E4337" s="1" t="s">
        <v>3675</v>
      </c>
      <c r="F4337" s="1" t="s">
        <v>3658</v>
      </c>
      <c r="G4337" s="1">
        <v>1</v>
      </c>
      <c r="H4337" s="1" t="s">
        <v>19</v>
      </c>
      <c r="I4337" s="1" t="s">
        <v>1302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3530</v>
      </c>
      <c r="D4338" s="1"/>
      <c r="E4338" s="1" t="s">
        <v>3676</v>
      </c>
      <c r="F4338" s="1" t="s">
        <v>3658</v>
      </c>
      <c r="G4338" s="1">
        <v>1</v>
      </c>
      <c r="H4338" s="1" t="s">
        <v>19</v>
      </c>
      <c r="I4338" s="1" t="s">
        <v>1302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3530</v>
      </c>
      <c r="D4339" s="1"/>
      <c r="E4339" s="1" t="s">
        <v>3677</v>
      </c>
      <c r="F4339" s="1" t="s">
        <v>3658</v>
      </c>
      <c r="G4339" s="1">
        <v>1</v>
      </c>
      <c r="H4339" s="1" t="s">
        <v>19</v>
      </c>
      <c r="I4339" s="1" t="s">
        <v>1302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3530</v>
      </c>
      <c r="D4340" s="1"/>
      <c r="E4340" s="1" t="s">
        <v>3678</v>
      </c>
      <c r="F4340" s="1" t="s">
        <v>3658</v>
      </c>
      <c r="G4340" s="1">
        <v>1</v>
      </c>
      <c r="H4340" s="1" t="s">
        <v>19</v>
      </c>
      <c r="I4340" s="1" t="s">
        <v>1302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3530</v>
      </c>
      <c r="D4341" s="1"/>
      <c r="E4341" s="1" t="s">
        <v>3679</v>
      </c>
      <c r="F4341" s="1" t="s">
        <v>3680</v>
      </c>
      <c r="G4341" s="1">
        <v>1</v>
      </c>
      <c r="H4341" s="1" t="s">
        <v>19</v>
      </c>
      <c r="I4341" s="1" t="s">
        <v>1302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3533</v>
      </c>
      <c r="D4342" s="1"/>
      <c r="E4342" s="1" t="s">
        <v>3681</v>
      </c>
      <c r="F4342" s="1" t="s">
        <v>3517</v>
      </c>
      <c r="G4342" s="1">
        <v>1</v>
      </c>
      <c r="H4342" s="1" t="s">
        <v>19</v>
      </c>
      <c r="I4342" s="1" t="s">
        <v>1296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3509</v>
      </c>
      <c r="D4343" s="1"/>
      <c r="E4343" s="1" t="s">
        <v>3682</v>
      </c>
      <c r="F4343" s="1" t="s">
        <v>3656</v>
      </c>
      <c r="G4343" s="1">
        <v>1</v>
      </c>
      <c r="H4343" s="1" t="s">
        <v>19</v>
      </c>
      <c r="I4343" s="1" t="s">
        <v>1296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3683</v>
      </c>
      <c r="D4344" s="1"/>
      <c r="E4344" s="1" t="s">
        <v>3684</v>
      </c>
      <c r="F4344" s="1" t="s">
        <v>3685</v>
      </c>
      <c r="G4344" s="1">
        <v>2</v>
      </c>
      <c r="H4344" s="1" t="s">
        <v>19</v>
      </c>
      <c r="I4344" s="1" t="s">
        <v>1301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3683</v>
      </c>
      <c r="D4345" s="1"/>
      <c r="E4345" s="1" t="s">
        <v>3686</v>
      </c>
      <c r="F4345" s="1" t="s">
        <v>3687</v>
      </c>
      <c r="G4345" s="1">
        <v>1</v>
      </c>
      <c r="H4345" s="1" t="s">
        <v>19</v>
      </c>
      <c r="I4345" s="1" t="s">
        <v>1301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3683</v>
      </c>
      <c r="D4346" s="1"/>
      <c r="E4346" s="1" t="s">
        <v>3686</v>
      </c>
      <c r="F4346" s="1" t="s">
        <v>3688</v>
      </c>
      <c r="G4346" s="1">
        <v>1</v>
      </c>
      <c r="H4346" s="1" t="s">
        <v>19</v>
      </c>
      <c r="I4346" s="1" t="s">
        <v>1301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3683</v>
      </c>
      <c r="D4347" s="1"/>
      <c r="E4347" s="1" t="s">
        <v>3689</v>
      </c>
      <c r="F4347" s="1" t="s">
        <v>3690</v>
      </c>
      <c r="G4347" s="1">
        <v>1</v>
      </c>
      <c r="H4347" s="1" t="s">
        <v>19</v>
      </c>
      <c r="I4347" s="1" t="s">
        <v>1301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3683</v>
      </c>
      <c r="D4348" s="1"/>
      <c r="E4348" s="1" t="s">
        <v>3691</v>
      </c>
      <c r="F4348" s="1" t="s">
        <v>3685</v>
      </c>
      <c r="G4348" s="1">
        <v>2</v>
      </c>
      <c r="H4348" s="1" t="s">
        <v>19</v>
      </c>
      <c r="I4348" s="1" t="s">
        <v>1291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3683</v>
      </c>
      <c r="D4349" s="1"/>
      <c r="E4349" s="1" t="s">
        <v>3686</v>
      </c>
      <c r="F4349" s="1" t="s">
        <v>3687</v>
      </c>
      <c r="G4349" s="1">
        <v>1</v>
      </c>
      <c r="H4349" s="1" t="s">
        <v>19</v>
      </c>
      <c r="I4349" s="1" t="s">
        <v>1291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3683</v>
      </c>
      <c r="D4350" s="1"/>
      <c r="E4350" s="1" t="s">
        <v>3686</v>
      </c>
      <c r="F4350" s="1" t="s">
        <v>3688</v>
      </c>
      <c r="G4350" s="1">
        <v>1</v>
      </c>
      <c r="H4350" s="1" t="s">
        <v>19</v>
      </c>
      <c r="I4350" s="1" t="s">
        <v>1291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3683</v>
      </c>
      <c r="D4351" s="1"/>
      <c r="E4351" s="1" t="s">
        <v>3689</v>
      </c>
      <c r="F4351" s="1" t="s">
        <v>3690</v>
      </c>
      <c r="G4351" s="1">
        <v>1</v>
      </c>
      <c r="H4351" s="1" t="s">
        <v>19</v>
      </c>
      <c r="I4351" s="1" t="s">
        <v>1291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3692</v>
      </c>
      <c r="D4352" s="1"/>
      <c r="E4352" s="1" t="s">
        <v>3693</v>
      </c>
      <c r="F4352" s="1" t="s">
        <v>3687</v>
      </c>
      <c r="G4352" s="1">
        <v>1</v>
      </c>
      <c r="H4352" s="1" t="s">
        <v>19</v>
      </c>
      <c r="I4352" s="1" t="s">
        <v>1296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3692</v>
      </c>
      <c r="D4353" s="1"/>
      <c r="E4353" s="1" t="s">
        <v>3693</v>
      </c>
      <c r="F4353" s="1" t="s">
        <v>3694</v>
      </c>
      <c r="G4353" s="1">
        <v>1</v>
      </c>
      <c r="H4353" s="1" t="s">
        <v>19</v>
      </c>
      <c r="I4353" s="1" t="s">
        <v>1296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3692</v>
      </c>
      <c r="D4354" s="1"/>
      <c r="E4354" s="1" t="s">
        <v>3695</v>
      </c>
      <c r="F4354" s="1" t="s">
        <v>3690</v>
      </c>
      <c r="G4354" s="1">
        <v>1</v>
      </c>
      <c r="H4354" s="1" t="s">
        <v>19</v>
      </c>
      <c r="I4354" s="1" t="s">
        <v>1296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3692</v>
      </c>
      <c r="D4355" s="1"/>
      <c r="E4355" s="1" t="s">
        <v>3696</v>
      </c>
      <c r="F4355" s="1" t="s">
        <v>3687</v>
      </c>
      <c r="G4355" s="1">
        <v>1</v>
      </c>
      <c r="H4355" s="1" t="s">
        <v>19</v>
      </c>
      <c r="I4355" s="1" t="s">
        <v>1302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3692</v>
      </c>
      <c r="D4356" s="1"/>
      <c r="E4356" s="1" t="s">
        <v>3696</v>
      </c>
      <c r="F4356" s="1" t="s">
        <v>3694</v>
      </c>
      <c r="G4356" s="1">
        <v>1</v>
      </c>
      <c r="H4356" s="1" t="s">
        <v>19</v>
      </c>
      <c r="I4356" s="1" t="s">
        <v>1302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3692</v>
      </c>
      <c r="D4357" s="1"/>
      <c r="E4357" s="1" t="s">
        <v>3695</v>
      </c>
      <c r="F4357" s="1" t="s">
        <v>3690</v>
      </c>
      <c r="G4357" s="1">
        <v>1</v>
      </c>
      <c r="H4357" s="1" t="s">
        <v>19</v>
      </c>
      <c r="I4357" s="1" t="s">
        <v>1302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3697</v>
      </c>
      <c r="G4358" s="1">
        <v>2</v>
      </c>
      <c r="H4358" s="1" t="s">
        <v>19</v>
      </c>
      <c r="I4358" s="1" t="s">
        <v>3698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3699</v>
      </c>
      <c r="G4359" s="1">
        <v>2</v>
      </c>
      <c r="H4359" s="1" t="s">
        <v>19</v>
      </c>
      <c r="I4359" s="1" t="s">
        <v>3698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3700</v>
      </c>
      <c r="G4360" s="1">
        <v>1</v>
      </c>
      <c r="H4360" s="1" t="s">
        <v>19</v>
      </c>
      <c r="I4360" s="1" t="s">
        <v>3701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3702</v>
      </c>
      <c r="G4361" s="1">
        <v>1</v>
      </c>
      <c r="H4361" s="1" t="s">
        <v>19</v>
      </c>
      <c r="I4361" s="1" t="s">
        <v>3701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3703</v>
      </c>
      <c r="G4362" s="1">
        <v>2</v>
      </c>
      <c r="H4362" s="1" t="s">
        <v>19</v>
      </c>
      <c r="I4362" s="1" t="s">
        <v>3701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3704</v>
      </c>
      <c r="G4363" s="1">
        <v>4</v>
      </c>
      <c r="H4363" s="1" t="s">
        <v>19</v>
      </c>
      <c r="I4363" s="1" t="s">
        <v>3701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3705</v>
      </c>
      <c r="G4364" s="1">
        <v>1</v>
      </c>
      <c r="H4364" s="1" t="s">
        <v>19</v>
      </c>
      <c r="I4364" s="1" t="s">
        <v>3701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3702</v>
      </c>
      <c r="G4365" s="1">
        <v>1</v>
      </c>
      <c r="H4365" s="1" t="s">
        <v>19</v>
      </c>
      <c r="I4365" s="1" t="s">
        <v>3701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3706</v>
      </c>
      <c r="G4366" s="1">
        <v>2</v>
      </c>
      <c r="H4366" s="1" t="s">
        <v>19</v>
      </c>
      <c r="I4366" s="1" t="s">
        <v>3701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3707</v>
      </c>
      <c r="G4367" s="1">
        <v>4</v>
      </c>
      <c r="H4367" s="1" t="s">
        <v>19</v>
      </c>
      <c r="I4367" s="1" t="s">
        <v>3701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3618</v>
      </c>
      <c r="D4368" s="1" t="s">
        <v>3708</v>
      </c>
      <c r="E4368" s="1"/>
      <c r="F4368" s="1" t="s">
        <v>3709</v>
      </c>
      <c r="G4368" s="1">
        <v>1</v>
      </c>
      <c r="H4368" s="1" t="s">
        <v>19</v>
      </c>
      <c r="I4368" s="1" t="s">
        <v>3710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3618</v>
      </c>
      <c r="D4369" s="1" t="s">
        <v>3711</v>
      </c>
      <c r="E4369" s="1"/>
      <c r="F4369" s="1" t="s">
        <v>3712</v>
      </c>
      <c r="G4369" s="1">
        <v>2</v>
      </c>
      <c r="H4369" s="1" t="s">
        <v>19</v>
      </c>
      <c r="I4369" s="1" t="s">
        <v>3710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3618</v>
      </c>
      <c r="D4370" s="1" t="s">
        <v>3713</v>
      </c>
      <c r="E4370" s="1"/>
      <c r="F4370" s="1" t="s">
        <v>3714</v>
      </c>
      <c r="G4370" s="1">
        <v>1</v>
      </c>
      <c r="H4370" s="1" t="s">
        <v>19</v>
      </c>
      <c r="I4370" s="1" t="s">
        <v>3710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3618</v>
      </c>
      <c r="D4371" s="1" t="s">
        <v>3713</v>
      </c>
      <c r="E4371" s="1"/>
      <c r="F4371" s="1" t="s">
        <v>3715</v>
      </c>
      <c r="G4371" s="1">
        <v>2</v>
      </c>
      <c r="H4371" s="1" t="s">
        <v>19</v>
      </c>
      <c r="I4371" s="1" t="s">
        <v>3710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3716</v>
      </c>
      <c r="E4372" s="1"/>
      <c r="F4372" s="1" t="s">
        <v>3717</v>
      </c>
      <c r="G4372" s="1">
        <v>1</v>
      </c>
      <c r="H4372" s="1" t="s">
        <v>19</v>
      </c>
      <c r="I4372" s="1" t="s">
        <v>3716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3716</v>
      </c>
      <c r="E4373" s="1"/>
      <c r="F4373" s="1" t="s">
        <v>3718</v>
      </c>
      <c r="G4373" s="1">
        <v>1</v>
      </c>
      <c r="H4373" s="1" t="s">
        <v>19</v>
      </c>
      <c r="I4373" s="1" t="s">
        <v>3716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3719</v>
      </c>
      <c r="D4374" s="1" t="s">
        <v>3720</v>
      </c>
      <c r="E4374" s="1"/>
      <c r="F4374" s="1" t="s">
        <v>3721</v>
      </c>
      <c r="G4374" s="1">
        <v>1</v>
      </c>
      <c r="H4374" s="1" t="s">
        <v>19</v>
      </c>
      <c r="I4374" s="1" t="s">
        <v>3720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3719</v>
      </c>
      <c r="D4375" s="1" t="s">
        <v>3720</v>
      </c>
      <c r="E4375" s="1"/>
      <c r="F4375" s="1" t="s">
        <v>3722</v>
      </c>
      <c r="G4375" s="1">
        <v>1</v>
      </c>
      <c r="H4375" s="1" t="s">
        <v>19</v>
      </c>
      <c r="I4375" s="1" t="s">
        <v>3720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3723</v>
      </c>
      <c r="G4376" s="1">
        <v>1</v>
      </c>
      <c r="H4376" s="1" t="s">
        <v>19</v>
      </c>
      <c r="I4376" s="1" t="s">
        <v>3698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3724</v>
      </c>
      <c r="G4377" s="1">
        <v>1</v>
      </c>
      <c r="H4377" s="1" t="s">
        <v>19</v>
      </c>
      <c r="I4377" s="1" t="s">
        <v>3710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3598</v>
      </c>
      <c r="D4378" s="1"/>
      <c r="E4378" s="1"/>
      <c r="F4378" s="1" t="s">
        <v>3725</v>
      </c>
      <c r="G4378" s="1">
        <v>1</v>
      </c>
      <c r="H4378" s="1" t="s">
        <v>19</v>
      </c>
      <c r="I4378" s="1" t="s">
        <v>3726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3618</v>
      </c>
      <c r="D4379" s="1"/>
      <c r="E4379" s="1"/>
      <c r="F4379" s="1" t="s">
        <v>3727</v>
      </c>
      <c r="G4379" s="1">
        <v>1</v>
      </c>
      <c r="H4379" s="1" t="s">
        <v>19</v>
      </c>
      <c r="I4379" s="1" t="s">
        <v>3728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955</v>
      </c>
      <c r="D4380" s="1"/>
      <c r="E4380" s="1" t="s">
        <v>101</v>
      </c>
      <c r="F4380" s="1" t="s">
        <v>3729</v>
      </c>
      <c r="G4380" s="1">
        <v>12</v>
      </c>
      <c r="H4380" s="1" t="s">
        <v>19</v>
      </c>
      <c r="I4380" s="1" t="s">
        <v>635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1906</v>
      </c>
      <c r="D4381" s="1"/>
      <c r="E4381" s="1" t="s">
        <v>2</v>
      </c>
      <c r="F4381" s="1" t="s">
        <v>3730</v>
      </c>
      <c r="G4381" s="1">
        <v>18</v>
      </c>
      <c r="H4381" s="1" t="s">
        <v>19</v>
      </c>
      <c r="I4381" s="1" t="s">
        <v>1302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 t="s">
        <v>4451</v>
      </c>
      <c r="C4382" s="1" t="s">
        <v>2553</v>
      </c>
      <c r="D4382" s="1"/>
      <c r="E4382" s="1"/>
      <c r="F4382" s="1" t="s">
        <v>3738</v>
      </c>
      <c r="G4382" s="1">
        <v>47</v>
      </c>
      <c r="H4382" s="1" t="s">
        <v>19</v>
      </c>
      <c r="I4382" s="1" t="s">
        <v>3739</v>
      </c>
      <c r="J4382" s="1">
        <v>121.38</v>
      </c>
      <c r="K4382" s="1">
        <v>5704.86</v>
      </c>
      <c r="L4382" s="42">
        <v>1</v>
      </c>
      <c r="M4382" s="43">
        <v>46146</v>
      </c>
      <c r="N4382" s="1" t="str">
        <f>VLOOKUP(B4382,MICRO!E:L,8,0)</f>
        <v>P-190</v>
      </c>
    </row>
    <row r="4383" spans="1:14" ht="20.25" x14ac:dyDescent="0.25">
      <c r="A4383" s="1">
        <v>1</v>
      </c>
      <c r="B4383" s="159">
        <v>3482</v>
      </c>
      <c r="C4383" s="1" t="s">
        <v>2559</v>
      </c>
      <c r="D4383" s="1"/>
      <c r="E4383" s="1"/>
      <c r="F4383" s="1" t="s">
        <v>2560</v>
      </c>
      <c r="G4383" s="1">
        <v>2</v>
      </c>
      <c r="H4383" s="1" t="s">
        <v>19</v>
      </c>
      <c r="I4383" s="1" t="s">
        <v>3739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2561</v>
      </c>
      <c r="D4384" s="1"/>
      <c r="E4384" s="1"/>
      <c r="F4384" s="1" t="s">
        <v>2562</v>
      </c>
      <c r="G4384" s="1">
        <v>2</v>
      </c>
      <c r="H4384" s="1" t="s">
        <v>19</v>
      </c>
      <c r="I4384" s="1" t="s">
        <v>3739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2563</v>
      </c>
      <c r="D4385" s="1"/>
      <c r="E4385" s="1"/>
      <c r="F4385" s="1" t="s">
        <v>2564</v>
      </c>
      <c r="G4385" s="1">
        <v>2</v>
      </c>
      <c r="H4385" s="1" t="s">
        <v>19</v>
      </c>
      <c r="I4385" s="1" t="s">
        <v>3739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2565</v>
      </c>
      <c r="D4386" s="1"/>
      <c r="E4386" s="1"/>
      <c r="F4386" s="1" t="s">
        <v>2566</v>
      </c>
      <c r="G4386" s="1">
        <v>1</v>
      </c>
      <c r="H4386" s="1" t="s">
        <v>19</v>
      </c>
      <c r="I4386" s="1" t="s">
        <v>3739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2573</v>
      </c>
      <c r="D4387" s="1"/>
      <c r="E4387" s="1"/>
      <c r="F4387" s="1" t="s">
        <v>2574</v>
      </c>
      <c r="G4387" s="1">
        <v>1</v>
      </c>
      <c r="H4387" s="1" t="s">
        <v>19</v>
      </c>
      <c r="I4387" s="1" t="s">
        <v>3739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3740</v>
      </c>
      <c r="D4388" s="1"/>
      <c r="E4388" s="1"/>
      <c r="F4388" s="1" t="s">
        <v>3741</v>
      </c>
      <c r="G4388" s="1">
        <v>2</v>
      </c>
      <c r="H4388" s="1" t="s">
        <v>19</v>
      </c>
      <c r="I4388" s="1" t="s">
        <v>3742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2553</v>
      </c>
      <c r="D4389" s="1"/>
      <c r="E4389" s="1"/>
      <c r="F4389" s="1" t="s">
        <v>3743</v>
      </c>
      <c r="G4389" s="1">
        <v>4</v>
      </c>
      <c r="H4389" s="1" t="s">
        <v>19</v>
      </c>
      <c r="I4389" s="1" t="s">
        <v>3739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2554</v>
      </c>
      <c r="D4390" s="1"/>
      <c r="E4390" s="1"/>
      <c r="F4390" s="1" t="s">
        <v>2555</v>
      </c>
      <c r="G4390" s="1">
        <v>19</v>
      </c>
      <c r="H4390" s="1" t="s">
        <v>19</v>
      </c>
      <c r="I4390" s="1" t="s">
        <v>3739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2571</v>
      </c>
      <c r="D4391" s="1"/>
      <c r="E4391" s="1"/>
      <c r="F4391" s="1" t="s">
        <v>2572</v>
      </c>
      <c r="G4391" s="1">
        <v>1</v>
      </c>
      <c r="H4391" s="1" t="s">
        <v>19</v>
      </c>
      <c r="I4391" s="1" t="s">
        <v>3739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2573</v>
      </c>
      <c r="D4392" s="1"/>
      <c r="E4392" s="1"/>
      <c r="F4392" s="1" t="s">
        <v>2574</v>
      </c>
      <c r="G4392" s="1">
        <v>1</v>
      </c>
      <c r="H4392" s="1" t="s">
        <v>19</v>
      </c>
      <c r="I4392" s="1" t="s">
        <v>3739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3744</v>
      </c>
      <c r="D4393" s="1"/>
      <c r="E4393" s="1"/>
      <c r="F4393" s="1" t="s">
        <v>3745</v>
      </c>
      <c r="G4393" s="1">
        <v>1</v>
      </c>
      <c r="H4393" s="1" t="s">
        <v>19</v>
      </c>
      <c r="I4393" s="1" t="s">
        <v>3739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3744</v>
      </c>
      <c r="D4394" s="1"/>
      <c r="E4394" s="1"/>
      <c r="F4394" s="1" t="s">
        <v>3746</v>
      </c>
      <c r="G4394" s="1">
        <v>18</v>
      </c>
      <c r="H4394" s="1" t="s">
        <v>19</v>
      </c>
      <c r="I4394" s="1" t="s">
        <v>3739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3744</v>
      </c>
      <c r="D4395" s="1"/>
      <c r="E4395" s="1"/>
      <c r="F4395" s="1" t="s">
        <v>3747</v>
      </c>
      <c r="G4395" s="1">
        <v>1</v>
      </c>
      <c r="H4395" s="1" t="s">
        <v>19</v>
      </c>
      <c r="I4395" s="1" t="s">
        <v>3739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3744</v>
      </c>
      <c r="D4396" s="1"/>
      <c r="E4396" s="1"/>
      <c r="F4396" s="1" t="s">
        <v>3748</v>
      </c>
      <c r="G4396" s="1">
        <v>1</v>
      </c>
      <c r="H4396" s="1" t="s">
        <v>19</v>
      </c>
      <c r="I4396" s="1" t="s">
        <v>3739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3744</v>
      </c>
      <c r="D4397" s="1"/>
      <c r="E4397" s="1"/>
      <c r="F4397" s="1" t="s">
        <v>3749</v>
      </c>
      <c r="G4397" s="1">
        <v>1</v>
      </c>
      <c r="H4397" s="1" t="s">
        <v>19</v>
      </c>
      <c r="I4397" s="1" t="s">
        <v>3739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3744</v>
      </c>
      <c r="D4398" s="1"/>
      <c r="E4398" s="1"/>
      <c r="F4398" s="1" t="s">
        <v>3750</v>
      </c>
      <c r="G4398" s="1">
        <v>1</v>
      </c>
      <c r="H4398" s="1" t="s">
        <v>19</v>
      </c>
      <c r="I4398" s="1" t="s">
        <v>3739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3744</v>
      </c>
      <c r="D4399" s="1"/>
      <c r="E4399" s="1"/>
      <c r="F4399" s="1" t="s">
        <v>3751</v>
      </c>
      <c r="G4399" s="1">
        <v>1</v>
      </c>
      <c r="H4399" s="1" t="s">
        <v>19</v>
      </c>
      <c r="I4399" s="1" t="s">
        <v>3739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3752</v>
      </c>
      <c r="D4400" s="1"/>
      <c r="E4400" s="1"/>
      <c r="F4400" s="1" t="s">
        <v>3753</v>
      </c>
      <c r="G4400" s="1">
        <v>1</v>
      </c>
      <c r="H4400" s="1" t="s">
        <v>19</v>
      </c>
      <c r="I4400" s="1" t="s">
        <v>3739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3752</v>
      </c>
      <c r="D4401" s="1"/>
      <c r="E4401" s="1"/>
      <c r="F4401" s="1" t="s">
        <v>3754</v>
      </c>
      <c r="G4401" s="1">
        <v>1</v>
      </c>
      <c r="H4401" s="1" t="s">
        <v>19</v>
      </c>
      <c r="I4401" s="1" t="s">
        <v>3739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3752</v>
      </c>
      <c r="D4402" s="1"/>
      <c r="E4402" s="1"/>
      <c r="F4402" s="1" t="s">
        <v>3755</v>
      </c>
      <c r="G4402" s="1">
        <v>8</v>
      </c>
      <c r="H4402" s="1" t="s">
        <v>19</v>
      </c>
      <c r="I4402" s="1" t="s">
        <v>3739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3752</v>
      </c>
      <c r="D4403" s="1"/>
      <c r="E4403" s="1"/>
      <c r="F4403" s="1" t="s">
        <v>3756</v>
      </c>
      <c r="G4403" s="1">
        <v>1</v>
      </c>
      <c r="H4403" s="1" t="s">
        <v>19</v>
      </c>
      <c r="I4403" s="1" t="s">
        <v>3739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3752</v>
      </c>
      <c r="D4404" s="1"/>
      <c r="E4404" s="1"/>
      <c r="F4404" s="1" t="s">
        <v>3757</v>
      </c>
      <c r="G4404" s="1">
        <v>1</v>
      </c>
      <c r="H4404" s="1" t="s">
        <v>19</v>
      </c>
      <c r="I4404" s="1" t="s">
        <v>3739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3752</v>
      </c>
      <c r="D4405" s="1"/>
      <c r="E4405" s="1"/>
      <c r="F4405" s="1" t="s">
        <v>3758</v>
      </c>
      <c r="G4405" s="1">
        <v>1</v>
      </c>
      <c r="H4405" s="1" t="s">
        <v>19</v>
      </c>
      <c r="I4405" s="1" t="s">
        <v>3739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3752</v>
      </c>
      <c r="D4406" s="1"/>
      <c r="E4406" s="1"/>
      <c r="F4406" s="1" t="s">
        <v>3759</v>
      </c>
      <c r="G4406" s="1">
        <v>1</v>
      </c>
      <c r="H4406" s="1" t="s">
        <v>19</v>
      </c>
      <c r="I4406" s="1" t="s">
        <v>3739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5">
        <v>4039</v>
      </c>
      <c r="C4407" s="1" t="s">
        <v>3760</v>
      </c>
      <c r="D4407" s="1"/>
      <c r="E4407" s="1" t="s">
        <v>2</v>
      </c>
      <c r="F4407" s="1" t="s">
        <v>3762</v>
      </c>
      <c r="G4407" s="1">
        <v>1</v>
      </c>
      <c r="H4407" s="1" t="s">
        <v>19</v>
      </c>
      <c r="I4407" s="1" t="s">
        <v>2275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2070</v>
      </c>
      <c r="O4407" s="197"/>
    </row>
    <row r="4408" spans="1:15" ht="20.25" x14ac:dyDescent="0.25">
      <c r="A4408" s="1">
        <v>2</v>
      </c>
      <c r="B4408" s="159">
        <v>4040</v>
      </c>
      <c r="C4408" s="1" t="s">
        <v>3760</v>
      </c>
      <c r="D4408" s="1"/>
      <c r="E4408" s="1" t="s">
        <v>2</v>
      </c>
      <c r="F4408" s="1" t="s">
        <v>3762</v>
      </c>
      <c r="G4408" s="1">
        <v>1</v>
      </c>
      <c r="H4408" s="1" t="s">
        <v>19</v>
      </c>
      <c r="I4408" s="1" t="s">
        <v>2277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2070</v>
      </c>
    </row>
    <row r="4409" spans="1:15" ht="20.25" x14ac:dyDescent="0.25">
      <c r="A4409" s="1">
        <v>3</v>
      </c>
      <c r="B4409" s="159">
        <v>4053</v>
      </c>
      <c r="C4409" s="1" t="s">
        <v>3775</v>
      </c>
      <c r="D4409" s="1"/>
      <c r="E4409" s="1" t="s">
        <v>2</v>
      </c>
      <c r="F4409" s="1" t="s">
        <v>3762</v>
      </c>
      <c r="G4409" s="1">
        <v>1</v>
      </c>
      <c r="H4409" s="1" t="s">
        <v>19</v>
      </c>
      <c r="I4409" s="1" t="s">
        <v>2275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2070</v>
      </c>
    </row>
    <row r="4410" spans="1:15" ht="20.25" x14ac:dyDescent="0.25">
      <c r="A4410" s="1">
        <v>4</v>
      </c>
      <c r="B4410" s="159">
        <v>4053</v>
      </c>
      <c r="C4410" s="1" t="s">
        <v>3775</v>
      </c>
      <c r="D4410" s="1"/>
      <c r="E4410" s="1" t="s">
        <v>2</v>
      </c>
      <c r="F4410" s="1" t="s">
        <v>3762</v>
      </c>
      <c r="G4410" s="1">
        <v>1</v>
      </c>
      <c r="H4410" s="1" t="s">
        <v>19</v>
      </c>
      <c r="I4410" s="1" t="s">
        <v>2277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2070</v>
      </c>
    </row>
    <row r="4411" spans="1:15" ht="20.25" x14ac:dyDescent="0.25">
      <c r="A4411" s="1">
        <v>5</v>
      </c>
      <c r="B4411" s="159"/>
      <c r="C4411" s="1" t="s">
        <v>3766</v>
      </c>
      <c r="D4411" s="1"/>
      <c r="E4411" s="1" t="s">
        <v>747</v>
      </c>
      <c r="F4411" s="1" t="s">
        <v>4075</v>
      </c>
      <c r="G4411" s="1">
        <v>4</v>
      </c>
      <c r="H4411" s="1" t="s">
        <v>19</v>
      </c>
      <c r="I4411" s="1" t="s">
        <v>2275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2070</v>
      </c>
    </row>
    <row r="4412" spans="1:15" ht="20.25" x14ac:dyDescent="0.25">
      <c r="A4412" s="1">
        <v>6</v>
      </c>
      <c r="B4412" s="159"/>
      <c r="C4412" s="1" t="s">
        <v>3766</v>
      </c>
      <c r="D4412" s="1"/>
      <c r="E4412" s="1" t="s">
        <v>747</v>
      </c>
      <c r="F4412" s="1" t="s">
        <v>4075</v>
      </c>
      <c r="G4412" s="1">
        <v>4</v>
      </c>
      <c r="H4412" s="1" t="s">
        <v>19</v>
      </c>
      <c r="I4412" s="1" t="s">
        <v>2277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2070</v>
      </c>
    </row>
    <row r="4413" spans="1:15" ht="20.25" x14ac:dyDescent="0.25">
      <c r="A4413" s="1">
        <v>1</v>
      </c>
      <c r="B4413" s="159"/>
      <c r="C4413" s="1" t="s">
        <v>4076</v>
      </c>
      <c r="D4413" s="1"/>
      <c r="E4413" s="1"/>
      <c r="F4413" s="1" t="s">
        <v>4077</v>
      </c>
      <c r="G4413" s="1">
        <v>76</v>
      </c>
      <c r="H4413" s="1" t="s">
        <v>1254</v>
      </c>
      <c r="I4413" s="1" t="s">
        <v>2275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2070</v>
      </c>
    </row>
    <row r="4414" spans="1:15" ht="20.25" x14ac:dyDescent="0.25">
      <c r="A4414" s="1">
        <v>2</v>
      </c>
      <c r="B4414" s="159"/>
      <c r="C4414" s="1" t="s">
        <v>4076</v>
      </c>
      <c r="D4414" s="1"/>
      <c r="E4414" s="1"/>
      <c r="F4414" s="1" t="s">
        <v>4078</v>
      </c>
      <c r="G4414" s="1">
        <v>76</v>
      </c>
      <c r="H4414" s="1" t="s">
        <v>1254</v>
      </c>
      <c r="I4414" s="1" t="s">
        <v>2277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2070</v>
      </c>
    </row>
    <row r="4415" spans="1:15" ht="20.25" x14ac:dyDescent="0.25">
      <c r="A4415" s="1">
        <v>1</v>
      </c>
      <c r="B4415" s="159">
        <v>3398</v>
      </c>
      <c r="C4415" s="1" t="s">
        <v>2281</v>
      </c>
      <c r="D4415" s="1"/>
      <c r="E4415" s="1" t="s">
        <v>2</v>
      </c>
      <c r="F4415" s="1" t="s">
        <v>2282</v>
      </c>
      <c r="G4415" s="1">
        <v>1</v>
      </c>
      <c r="H4415" s="1" t="s">
        <v>19</v>
      </c>
      <c r="I4415" s="1" t="s">
        <v>2275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2070</v>
      </c>
    </row>
    <row r="4416" spans="1:15" ht="20.25" x14ac:dyDescent="0.25">
      <c r="A4416" s="1">
        <v>2</v>
      </c>
      <c r="B4416" s="159">
        <v>3399</v>
      </c>
      <c r="C4416" s="1" t="s">
        <v>2281</v>
      </c>
      <c r="D4416" s="1"/>
      <c r="E4416" s="1" t="s">
        <v>2</v>
      </c>
      <c r="F4416" s="1" t="s">
        <v>2282</v>
      </c>
      <c r="G4416" s="1">
        <v>1</v>
      </c>
      <c r="H4416" s="1" t="s">
        <v>19</v>
      </c>
      <c r="I4416" s="1" t="s">
        <v>2277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2070</v>
      </c>
    </row>
    <row r="4417" spans="1:14" ht="20.25" x14ac:dyDescent="0.25">
      <c r="A4417" s="1">
        <v>3</v>
      </c>
      <c r="B4417" s="159">
        <v>3414</v>
      </c>
      <c r="C4417" s="1" t="s">
        <v>2289</v>
      </c>
      <c r="D4417" s="1"/>
      <c r="E4417" s="1"/>
      <c r="F4417" s="1" t="s">
        <v>2290</v>
      </c>
      <c r="G4417" s="1">
        <v>14</v>
      </c>
      <c r="H4417" s="1" t="s">
        <v>19</v>
      </c>
      <c r="I4417" s="1" t="s">
        <v>2275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2070</v>
      </c>
    </row>
    <row r="4418" spans="1:14" ht="20.25" x14ac:dyDescent="0.25">
      <c r="A4418" s="1">
        <v>4</v>
      </c>
      <c r="B4418" s="159">
        <v>3415</v>
      </c>
      <c r="C4418" s="1" t="s">
        <v>2289</v>
      </c>
      <c r="D4418" s="1"/>
      <c r="E4418" s="1"/>
      <c r="F4418" s="1" t="s">
        <v>2290</v>
      </c>
      <c r="G4418" s="1">
        <v>14</v>
      </c>
      <c r="H4418" s="1" t="s">
        <v>19</v>
      </c>
      <c r="I4418" s="1" t="s">
        <v>2277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2070</v>
      </c>
    </row>
    <row r="4419" spans="1:14" ht="20.25" x14ac:dyDescent="0.25">
      <c r="A4419" s="1">
        <v>5</v>
      </c>
      <c r="B4419" s="159"/>
      <c r="C4419" s="1" t="s">
        <v>4079</v>
      </c>
      <c r="D4419" s="1"/>
      <c r="E4419" s="1" t="s">
        <v>2</v>
      </c>
      <c r="F4419" s="1" t="s">
        <v>4080</v>
      </c>
      <c r="G4419" s="1">
        <v>1</v>
      </c>
      <c r="H4419" s="1" t="s">
        <v>19</v>
      </c>
      <c r="I4419" s="1" t="s">
        <v>2275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2070</v>
      </c>
    </row>
    <row r="4420" spans="1:14" ht="20.25" x14ac:dyDescent="0.25">
      <c r="A4420" s="1">
        <v>6</v>
      </c>
      <c r="B4420" s="159"/>
      <c r="C4420" s="1" t="s">
        <v>4079</v>
      </c>
      <c r="D4420" s="1"/>
      <c r="E4420" s="1" t="s">
        <v>2</v>
      </c>
      <c r="F4420" s="1" t="s">
        <v>4080</v>
      </c>
      <c r="G4420" s="1">
        <v>1</v>
      </c>
      <c r="H4420" s="1" t="s">
        <v>19</v>
      </c>
      <c r="I4420" s="1" t="s">
        <v>2277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2070</v>
      </c>
    </row>
    <row r="4421" spans="1:14" ht="20.25" x14ac:dyDescent="0.25">
      <c r="A4421" s="1">
        <v>7</v>
      </c>
      <c r="B4421" s="159"/>
      <c r="C4421" s="1" t="s">
        <v>4081</v>
      </c>
      <c r="D4421" s="1"/>
      <c r="E4421" s="1" t="s">
        <v>2</v>
      </c>
      <c r="F4421" s="1" t="s">
        <v>4082</v>
      </c>
      <c r="G4421" s="1">
        <v>1</v>
      </c>
      <c r="H4421" s="1" t="s">
        <v>19</v>
      </c>
      <c r="I4421" s="1" t="s">
        <v>2275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2070</v>
      </c>
    </row>
    <row r="4422" spans="1:14" ht="20.25" x14ac:dyDescent="0.25">
      <c r="A4422" s="1">
        <v>8</v>
      </c>
      <c r="B4422" s="159"/>
      <c r="C4422" s="1" t="s">
        <v>4081</v>
      </c>
      <c r="D4422" s="1"/>
      <c r="E4422" s="1" t="s">
        <v>2</v>
      </c>
      <c r="F4422" s="1" t="s">
        <v>4082</v>
      </c>
      <c r="G4422" s="1">
        <v>1</v>
      </c>
      <c r="H4422" s="1" t="s">
        <v>19</v>
      </c>
      <c r="I4422" s="1" t="s">
        <v>2277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2070</v>
      </c>
    </row>
    <row r="4423" spans="1:14" ht="20.25" x14ac:dyDescent="0.25">
      <c r="A4423" s="1">
        <v>9</v>
      </c>
      <c r="B4423" s="159"/>
      <c r="C4423" s="1" t="s">
        <v>4083</v>
      </c>
      <c r="D4423" s="1"/>
      <c r="E4423" s="1"/>
      <c r="F4423" s="1" t="s">
        <v>4084</v>
      </c>
      <c r="G4423" s="1">
        <v>1</v>
      </c>
      <c r="H4423" s="1" t="s">
        <v>19</v>
      </c>
      <c r="I4423" s="1" t="s">
        <v>2275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2070</v>
      </c>
    </row>
    <row r="4424" spans="1:14" ht="20.25" x14ac:dyDescent="0.25">
      <c r="A4424" s="1">
        <v>10</v>
      </c>
      <c r="B4424" s="159"/>
      <c r="C4424" s="1" t="s">
        <v>4083</v>
      </c>
      <c r="D4424" s="1"/>
      <c r="E4424" s="1"/>
      <c r="F4424" s="1" t="s">
        <v>4084</v>
      </c>
      <c r="G4424" s="1">
        <v>1</v>
      </c>
      <c r="H4424" s="1" t="s">
        <v>19</v>
      </c>
      <c r="I4424" s="1" t="s">
        <v>2277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2070</v>
      </c>
    </row>
    <row r="4425" spans="1:14" ht="20.25" x14ac:dyDescent="0.25">
      <c r="A4425" s="1">
        <v>11</v>
      </c>
      <c r="B4425" s="159"/>
      <c r="C4425" s="1" t="s">
        <v>4083</v>
      </c>
      <c r="D4425" s="1"/>
      <c r="E4425" s="1"/>
      <c r="F4425" s="1" t="s">
        <v>4085</v>
      </c>
      <c r="G4425" s="1">
        <v>1</v>
      </c>
      <c r="H4425" s="1" t="s">
        <v>19</v>
      </c>
      <c r="I4425" s="1" t="s">
        <v>2275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2070</v>
      </c>
    </row>
    <row r="4426" spans="1:14" ht="20.25" x14ac:dyDescent="0.25">
      <c r="A4426" s="1">
        <v>12</v>
      </c>
      <c r="B4426" s="159"/>
      <c r="C4426" s="1" t="s">
        <v>4083</v>
      </c>
      <c r="D4426" s="1"/>
      <c r="E4426" s="1"/>
      <c r="F4426" s="1" t="s">
        <v>4085</v>
      </c>
      <c r="G4426" s="1">
        <v>1</v>
      </c>
      <c r="H4426" s="1" t="s">
        <v>19</v>
      </c>
      <c r="I4426" s="1" t="s">
        <v>2277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2070</v>
      </c>
    </row>
    <row r="4427" spans="1:14" ht="20.25" x14ac:dyDescent="0.25">
      <c r="A4427" s="1">
        <v>13</v>
      </c>
      <c r="B4427" s="159"/>
      <c r="C4427" s="1" t="s">
        <v>4086</v>
      </c>
      <c r="D4427" s="1"/>
      <c r="E4427" s="1"/>
      <c r="F4427" s="1" t="s">
        <v>4087</v>
      </c>
      <c r="G4427" s="1">
        <v>8</v>
      </c>
      <c r="H4427" s="1" t="s">
        <v>19</v>
      </c>
      <c r="I4427" s="1" t="s">
        <v>4088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2070</v>
      </c>
    </row>
    <row r="4428" spans="1:14" ht="20.25" x14ac:dyDescent="0.25">
      <c r="A4428" s="1">
        <v>14</v>
      </c>
      <c r="B4428" s="159"/>
      <c r="C4428" s="1" t="s">
        <v>4086</v>
      </c>
      <c r="D4428" s="1"/>
      <c r="E4428" s="1"/>
      <c r="F4428" s="1" t="s">
        <v>4089</v>
      </c>
      <c r="G4428" s="1">
        <v>24</v>
      </c>
      <c r="H4428" s="1" t="s">
        <v>19</v>
      </c>
      <c r="I4428" s="1" t="s">
        <v>4088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2070</v>
      </c>
    </row>
    <row r="4429" spans="1:14" ht="20.25" x14ac:dyDescent="0.25">
      <c r="A4429" s="1">
        <v>15</v>
      </c>
      <c r="B4429" s="159"/>
      <c r="C4429" s="1" t="s">
        <v>4086</v>
      </c>
      <c r="D4429" s="1"/>
      <c r="E4429" s="1"/>
      <c r="F4429" s="1" t="s">
        <v>4090</v>
      </c>
      <c r="G4429" s="1">
        <v>32</v>
      </c>
      <c r="H4429" s="1" t="s">
        <v>19</v>
      </c>
      <c r="I4429" s="1" t="s">
        <v>4088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2070</v>
      </c>
    </row>
    <row r="4430" spans="1:14" ht="20.25" x14ac:dyDescent="0.25">
      <c r="A4430" s="1">
        <v>16</v>
      </c>
      <c r="B4430" s="159"/>
      <c r="C4430" s="1" t="s">
        <v>4086</v>
      </c>
      <c r="D4430" s="1"/>
      <c r="E4430" s="1"/>
      <c r="F4430" s="1" t="s">
        <v>4091</v>
      </c>
      <c r="G4430" s="1">
        <v>4</v>
      </c>
      <c r="H4430" s="1" t="s">
        <v>19</v>
      </c>
      <c r="I4430" s="1" t="s">
        <v>4088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2070</v>
      </c>
    </row>
    <row r="4431" spans="1:14" ht="20.25" x14ac:dyDescent="0.25">
      <c r="A4431" s="1">
        <v>17</v>
      </c>
      <c r="B4431" s="159"/>
      <c r="C4431" s="1" t="s">
        <v>4086</v>
      </c>
      <c r="D4431" s="1"/>
      <c r="E4431" s="1"/>
      <c r="F4431" s="1" t="s">
        <v>4092</v>
      </c>
      <c r="G4431" s="1">
        <v>8</v>
      </c>
      <c r="H4431" s="1" t="s">
        <v>19</v>
      </c>
      <c r="I4431" s="1" t="s">
        <v>4088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2070</v>
      </c>
    </row>
    <row r="4432" spans="1:14" ht="20.25" x14ac:dyDescent="0.25">
      <c r="A4432" s="1">
        <v>18</v>
      </c>
      <c r="B4432" s="159"/>
      <c r="C4432" s="1" t="s">
        <v>4086</v>
      </c>
      <c r="D4432" s="1"/>
      <c r="E4432" s="1"/>
      <c r="F4432" s="1" t="s">
        <v>4087</v>
      </c>
      <c r="G4432" s="1">
        <v>4</v>
      </c>
      <c r="H4432" s="1" t="s">
        <v>19</v>
      </c>
      <c r="I4432" s="1" t="s">
        <v>4088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2070</v>
      </c>
    </row>
    <row r="4433" spans="1:14" ht="20.25" x14ac:dyDescent="0.25">
      <c r="A4433" s="1">
        <v>19</v>
      </c>
      <c r="B4433" s="159"/>
      <c r="C4433" s="1" t="s">
        <v>4086</v>
      </c>
      <c r="D4433" s="1"/>
      <c r="E4433" s="1"/>
      <c r="F4433" s="1" t="s">
        <v>4093</v>
      </c>
      <c r="G4433" s="1">
        <v>4</v>
      </c>
      <c r="H4433" s="1" t="s">
        <v>19</v>
      </c>
      <c r="I4433" s="1" t="s">
        <v>4088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2070</v>
      </c>
    </row>
    <row r="4434" spans="1:14" ht="20.25" x14ac:dyDescent="0.25">
      <c r="A4434" s="1">
        <v>20</v>
      </c>
      <c r="B4434" s="159"/>
      <c r="C4434" s="1" t="s">
        <v>4094</v>
      </c>
      <c r="D4434" s="1"/>
      <c r="E4434" s="1"/>
      <c r="F4434" s="1" t="s">
        <v>4095</v>
      </c>
      <c r="G4434" s="1">
        <v>100</v>
      </c>
      <c r="H4434" s="1" t="s">
        <v>19</v>
      </c>
      <c r="I4434" s="1" t="s">
        <v>4088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2070</v>
      </c>
    </row>
    <row r="4435" spans="1:14" ht="20.25" x14ac:dyDescent="0.25">
      <c r="A4435" s="1">
        <v>21</v>
      </c>
      <c r="B4435" s="159"/>
      <c r="C4435" s="1" t="s">
        <v>4094</v>
      </c>
      <c r="D4435" s="1"/>
      <c r="E4435" s="1"/>
      <c r="F4435" s="1" t="s">
        <v>4096</v>
      </c>
      <c r="G4435" s="1">
        <v>100</v>
      </c>
      <c r="H4435" s="1" t="s">
        <v>19</v>
      </c>
      <c r="I4435" s="1" t="s">
        <v>4088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2070</v>
      </c>
    </row>
    <row r="4436" spans="1:14" ht="20.25" x14ac:dyDescent="0.25">
      <c r="A4436" s="1">
        <v>22</v>
      </c>
      <c r="B4436" s="159"/>
      <c r="C4436" s="1" t="s">
        <v>3995</v>
      </c>
      <c r="D4436" s="1"/>
      <c r="E4436" s="1"/>
      <c r="F4436" s="1" t="s">
        <v>4097</v>
      </c>
      <c r="G4436" s="1">
        <v>64</v>
      </c>
      <c r="H4436" s="1" t="s">
        <v>19</v>
      </c>
      <c r="I4436" s="1" t="s">
        <v>4088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2070</v>
      </c>
    </row>
    <row r="4437" spans="1:14" ht="20.25" x14ac:dyDescent="0.25">
      <c r="A4437" s="1">
        <v>23</v>
      </c>
      <c r="B4437" s="159"/>
      <c r="C4437" s="1" t="s">
        <v>4032</v>
      </c>
      <c r="D4437" s="1"/>
      <c r="E4437" s="1"/>
      <c r="F4437" s="1" t="s">
        <v>4098</v>
      </c>
      <c r="G4437" s="1">
        <v>20</v>
      </c>
      <c r="H4437" s="1" t="s">
        <v>19</v>
      </c>
      <c r="I4437" s="1" t="s">
        <v>4088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2070</v>
      </c>
    </row>
    <row r="4438" spans="1:14" ht="20.25" x14ac:dyDescent="0.25">
      <c r="A4438" s="1">
        <v>24</v>
      </c>
      <c r="B4438" s="159"/>
      <c r="C4438" s="1" t="s">
        <v>4099</v>
      </c>
      <c r="D4438" s="1"/>
      <c r="E4438" s="1"/>
      <c r="F4438" s="1" t="s">
        <v>4100</v>
      </c>
      <c r="G4438" s="1">
        <v>8</v>
      </c>
      <c r="H4438" s="1" t="s">
        <v>19</v>
      </c>
      <c r="I4438" s="1" t="s">
        <v>4088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2070</v>
      </c>
    </row>
    <row r="4439" spans="1:14" ht="20.25" x14ac:dyDescent="0.25">
      <c r="A4439" s="1">
        <v>25</v>
      </c>
      <c r="B4439" s="159"/>
      <c r="C4439" s="1" t="s">
        <v>4099</v>
      </c>
      <c r="D4439" s="1"/>
      <c r="E4439" s="1"/>
      <c r="F4439" s="1" t="s">
        <v>4101</v>
      </c>
      <c r="G4439" s="1">
        <v>8</v>
      </c>
      <c r="H4439" s="1" t="s">
        <v>19</v>
      </c>
      <c r="I4439" s="1" t="s">
        <v>4088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2070</v>
      </c>
    </row>
    <row r="4440" spans="1:14" ht="20.25" x14ac:dyDescent="0.25">
      <c r="A4440" s="1">
        <v>26</v>
      </c>
      <c r="B4440" s="159"/>
      <c r="C4440" s="1" t="s">
        <v>4099</v>
      </c>
      <c r="D4440" s="1"/>
      <c r="E4440" s="1"/>
      <c r="F4440" s="1" t="s">
        <v>4102</v>
      </c>
      <c r="G4440" s="1">
        <v>8</v>
      </c>
      <c r="H4440" s="1" t="s">
        <v>19</v>
      </c>
      <c r="I4440" s="1" t="s">
        <v>4088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2070</v>
      </c>
    </row>
    <row r="4441" spans="1:14" ht="20.25" x14ac:dyDescent="0.25">
      <c r="A4441" s="1">
        <v>27</v>
      </c>
      <c r="B4441" s="159"/>
      <c r="C4441" s="1" t="s">
        <v>4103</v>
      </c>
      <c r="D4441" s="1"/>
      <c r="E4441" s="1"/>
      <c r="F4441" s="1" t="s">
        <v>4104</v>
      </c>
      <c r="G4441" s="1">
        <v>2</v>
      </c>
      <c r="H4441" s="1" t="s">
        <v>19</v>
      </c>
      <c r="I4441" s="1" t="s">
        <v>4088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2070</v>
      </c>
    </row>
    <row r="4442" spans="1:14" ht="20.25" x14ac:dyDescent="0.25">
      <c r="A4442" s="1">
        <v>28</v>
      </c>
      <c r="B4442" s="159"/>
      <c r="C4442" s="1" t="s">
        <v>4105</v>
      </c>
      <c r="D4442" s="1"/>
      <c r="E4442" s="1"/>
      <c r="F4442" s="1" t="s">
        <v>4106</v>
      </c>
      <c r="G4442" s="1">
        <v>112</v>
      </c>
      <c r="H4442" s="1" t="s">
        <v>19</v>
      </c>
      <c r="I4442" s="1" t="s">
        <v>4088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2070</v>
      </c>
    </row>
    <row r="4443" spans="1:14" ht="20.25" x14ac:dyDescent="0.25">
      <c r="A4443" s="1">
        <v>29</v>
      </c>
      <c r="B4443" s="159"/>
      <c r="C4443" s="1" t="s">
        <v>4105</v>
      </c>
      <c r="D4443" s="1"/>
      <c r="E4443" s="1"/>
      <c r="F4443" s="1" t="s">
        <v>4107</v>
      </c>
      <c r="G4443" s="1">
        <v>112</v>
      </c>
      <c r="H4443" s="1" t="s">
        <v>19</v>
      </c>
      <c r="I4443" s="1" t="s">
        <v>4088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2070</v>
      </c>
    </row>
    <row r="4444" spans="1:14" ht="20.25" x14ac:dyDescent="0.25">
      <c r="A4444" s="1">
        <v>30</v>
      </c>
      <c r="B4444" s="159"/>
      <c r="C4444" s="1" t="s">
        <v>4105</v>
      </c>
      <c r="D4444" s="1"/>
      <c r="E4444" s="1"/>
      <c r="F4444" s="1" t="s">
        <v>4108</v>
      </c>
      <c r="G4444" s="1">
        <v>112</v>
      </c>
      <c r="H4444" s="1" t="s">
        <v>19</v>
      </c>
      <c r="I4444" s="1" t="s">
        <v>4088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2070</v>
      </c>
    </row>
    <row r="4445" spans="1:14" ht="20.25" x14ac:dyDescent="0.25">
      <c r="A4445" s="1">
        <v>31</v>
      </c>
      <c r="B4445" s="159"/>
      <c r="C4445" s="1" t="s">
        <v>4105</v>
      </c>
      <c r="D4445" s="1"/>
      <c r="E4445" s="1"/>
      <c r="F4445" s="1" t="s">
        <v>4109</v>
      </c>
      <c r="G4445" s="1">
        <v>38</v>
      </c>
      <c r="H4445" s="1" t="s">
        <v>19</v>
      </c>
      <c r="I4445" s="1" t="s">
        <v>4088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2070</v>
      </c>
    </row>
    <row r="4446" spans="1:14" ht="20.25" x14ac:dyDescent="0.25">
      <c r="A4446" s="1">
        <v>32</v>
      </c>
      <c r="B4446" s="159"/>
      <c r="C4446" s="1" t="s">
        <v>4105</v>
      </c>
      <c r="D4446" s="1"/>
      <c r="E4446" s="1"/>
      <c r="F4446" s="1" t="s">
        <v>4110</v>
      </c>
      <c r="G4446" s="1">
        <v>32</v>
      </c>
      <c r="H4446" s="1" t="s">
        <v>19</v>
      </c>
      <c r="I4446" s="1" t="s">
        <v>4088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2070</v>
      </c>
    </row>
    <row r="4447" spans="1:14" ht="20.25" x14ac:dyDescent="0.25">
      <c r="A4447" s="1">
        <v>33</v>
      </c>
      <c r="B4447" s="159"/>
      <c r="C4447" s="1" t="s">
        <v>4105</v>
      </c>
      <c r="D4447" s="1"/>
      <c r="E4447" s="1"/>
      <c r="F4447" s="1" t="s">
        <v>4111</v>
      </c>
      <c r="G4447" s="1">
        <v>32</v>
      </c>
      <c r="H4447" s="1" t="s">
        <v>19</v>
      </c>
      <c r="I4447" s="1" t="s">
        <v>4088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2070</v>
      </c>
    </row>
    <row r="4448" spans="1:14" ht="20.25" x14ac:dyDescent="0.25">
      <c r="A4448" s="1">
        <v>34</v>
      </c>
      <c r="B4448" s="159"/>
      <c r="C4448" s="1" t="s">
        <v>4112</v>
      </c>
      <c r="D4448" s="1"/>
      <c r="E4448" s="1"/>
      <c r="F4448" s="1" t="s">
        <v>4113</v>
      </c>
      <c r="G4448" s="1">
        <v>572</v>
      </c>
      <c r="H4448" s="1" t="s">
        <v>19</v>
      </c>
      <c r="I4448" s="1" t="s">
        <v>4088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2070</v>
      </c>
    </row>
    <row r="4449" spans="1:14" ht="20.25" x14ac:dyDescent="0.25">
      <c r="A4449" s="1">
        <v>35</v>
      </c>
      <c r="B4449" s="159"/>
      <c r="C4449" s="1" t="s">
        <v>3950</v>
      </c>
      <c r="D4449" s="1"/>
      <c r="E4449" s="1"/>
      <c r="F4449" s="1" t="s">
        <v>4114</v>
      </c>
      <c r="G4449" s="1">
        <v>304</v>
      </c>
      <c r="H4449" s="1" t="s">
        <v>19</v>
      </c>
      <c r="I4449" s="1" t="s">
        <v>4088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2070</v>
      </c>
    </row>
    <row r="4450" spans="1:14" ht="20.25" x14ac:dyDescent="0.25">
      <c r="A4450" s="1">
        <v>36</v>
      </c>
      <c r="B4450" s="159"/>
      <c r="C4450" s="1" t="s">
        <v>3950</v>
      </c>
      <c r="D4450" s="1"/>
      <c r="E4450" s="1"/>
      <c r="F4450" s="1" t="s">
        <v>4115</v>
      </c>
      <c r="G4450" s="1">
        <v>304</v>
      </c>
      <c r="H4450" s="1" t="s">
        <v>19</v>
      </c>
      <c r="I4450" s="1" t="s">
        <v>4088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2070</v>
      </c>
    </row>
    <row r="4451" spans="1:14" ht="20.25" x14ac:dyDescent="0.25">
      <c r="A4451" s="1">
        <v>37</v>
      </c>
      <c r="B4451" s="159"/>
      <c r="C4451" s="1" t="s">
        <v>3950</v>
      </c>
      <c r="D4451" s="1"/>
      <c r="E4451" s="1"/>
      <c r="F4451" s="1" t="s">
        <v>4116</v>
      </c>
      <c r="G4451" s="1">
        <v>304</v>
      </c>
      <c r="H4451" s="1" t="s">
        <v>19</v>
      </c>
      <c r="I4451" s="1" t="s">
        <v>4088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2070</v>
      </c>
    </row>
    <row r="4452" spans="1:14" ht="20.25" x14ac:dyDescent="0.25">
      <c r="A4452" s="1">
        <v>38</v>
      </c>
      <c r="B4452" s="159"/>
      <c r="C4452" s="1" t="s">
        <v>3950</v>
      </c>
      <c r="D4452" s="1"/>
      <c r="E4452" s="1"/>
      <c r="F4452" s="1" t="s">
        <v>4117</v>
      </c>
      <c r="G4452" s="1">
        <v>64</v>
      </c>
      <c r="H4452" s="1" t="s">
        <v>19</v>
      </c>
      <c r="I4452" s="1" t="s">
        <v>4088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2070</v>
      </c>
    </row>
    <row r="4453" spans="1:14" ht="20.25" x14ac:dyDescent="0.25">
      <c r="A4453" s="1">
        <v>39</v>
      </c>
      <c r="B4453" s="159"/>
      <c r="C4453" s="1" t="s">
        <v>3950</v>
      </c>
      <c r="D4453" s="1"/>
      <c r="E4453" s="1"/>
      <c r="F4453" s="1" t="s">
        <v>4118</v>
      </c>
      <c r="G4453" s="1">
        <v>64</v>
      </c>
      <c r="H4453" s="1" t="s">
        <v>19</v>
      </c>
      <c r="I4453" s="1" t="s">
        <v>4088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2070</v>
      </c>
    </row>
    <row r="4454" spans="1:14" ht="20.25" x14ac:dyDescent="0.25">
      <c r="A4454" s="1">
        <v>40</v>
      </c>
      <c r="B4454" s="159"/>
      <c r="C4454" s="1" t="s">
        <v>4119</v>
      </c>
      <c r="D4454" s="1"/>
      <c r="E4454" s="1"/>
      <c r="F4454" s="1" t="s">
        <v>4120</v>
      </c>
      <c r="G4454" s="1">
        <v>8</v>
      </c>
      <c r="H4454" s="1" t="s">
        <v>19</v>
      </c>
      <c r="I4454" s="1" t="s">
        <v>4088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2070</v>
      </c>
    </row>
    <row r="4455" spans="1:14" ht="20.25" x14ac:dyDescent="0.25">
      <c r="A4455" s="1">
        <v>41</v>
      </c>
      <c r="B4455" s="159"/>
      <c r="C4455" s="1" t="s">
        <v>4119</v>
      </c>
      <c r="D4455" s="1"/>
      <c r="E4455" s="1"/>
      <c r="F4455" s="1" t="s">
        <v>4121</v>
      </c>
      <c r="G4455" s="1">
        <v>32</v>
      </c>
      <c r="H4455" s="1" t="s">
        <v>19</v>
      </c>
      <c r="I4455" s="1" t="s">
        <v>4088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2070</v>
      </c>
    </row>
    <row r="4456" spans="1:14" ht="20.25" x14ac:dyDescent="0.25">
      <c r="A4456" s="1">
        <v>42</v>
      </c>
      <c r="B4456" s="159"/>
      <c r="C4456" s="1" t="s">
        <v>4119</v>
      </c>
      <c r="D4456" s="1"/>
      <c r="E4456" s="1"/>
      <c r="F4456" s="1" t="s">
        <v>4122</v>
      </c>
      <c r="G4456" s="1">
        <v>32</v>
      </c>
      <c r="H4456" s="1" t="s">
        <v>19</v>
      </c>
      <c r="I4456" s="1" t="s">
        <v>4088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2070</v>
      </c>
    </row>
    <row r="4457" spans="1:14" ht="20.25" x14ac:dyDescent="0.25">
      <c r="A4457" s="1">
        <v>43</v>
      </c>
      <c r="B4457" s="159"/>
      <c r="C4457" s="1" t="s">
        <v>4119</v>
      </c>
      <c r="D4457" s="1"/>
      <c r="E4457" s="1"/>
      <c r="F4457" s="1" t="s">
        <v>4123</v>
      </c>
      <c r="G4457" s="1">
        <v>32</v>
      </c>
      <c r="H4457" s="1" t="s">
        <v>19</v>
      </c>
      <c r="I4457" s="1" t="s">
        <v>4088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2070</v>
      </c>
    </row>
    <row r="4458" spans="1:14" ht="20.25" x14ac:dyDescent="0.25">
      <c r="A4458" s="1">
        <v>44</v>
      </c>
      <c r="B4458" s="159"/>
      <c r="C4458" s="1" t="s">
        <v>4119</v>
      </c>
      <c r="D4458" s="1"/>
      <c r="E4458" s="1"/>
      <c r="F4458" s="1" t="s">
        <v>4124</v>
      </c>
      <c r="G4458" s="1">
        <v>16</v>
      </c>
      <c r="H4458" s="1" t="s">
        <v>19</v>
      </c>
      <c r="I4458" s="1" t="s">
        <v>4088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2070</v>
      </c>
    </row>
    <row r="4459" spans="1:14" ht="20.25" x14ac:dyDescent="0.25">
      <c r="A4459" s="1">
        <v>45</v>
      </c>
      <c r="B4459" s="159"/>
      <c r="C4459" s="1" t="s">
        <v>4119</v>
      </c>
      <c r="D4459" s="1"/>
      <c r="E4459" s="1"/>
      <c r="F4459" s="1" t="s">
        <v>4125</v>
      </c>
      <c r="G4459" s="1">
        <v>16</v>
      </c>
      <c r="H4459" s="1" t="s">
        <v>19</v>
      </c>
      <c r="I4459" s="1" t="s">
        <v>4088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2070</v>
      </c>
    </row>
    <row r="4460" spans="1:14" ht="20.25" x14ac:dyDescent="0.25">
      <c r="A4460" s="1">
        <v>46</v>
      </c>
      <c r="B4460" s="159"/>
      <c r="C4460" s="1" t="s">
        <v>4119</v>
      </c>
      <c r="D4460" s="1"/>
      <c r="E4460" s="1"/>
      <c r="F4460" s="1" t="s">
        <v>4126</v>
      </c>
      <c r="G4460" s="1">
        <v>16</v>
      </c>
      <c r="H4460" s="1" t="s">
        <v>19</v>
      </c>
      <c r="I4460" s="1" t="s">
        <v>4088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2070</v>
      </c>
    </row>
    <row r="4461" spans="1:14" ht="20.25" x14ac:dyDescent="0.25">
      <c r="A4461" s="1">
        <v>47</v>
      </c>
      <c r="B4461" s="159"/>
      <c r="C4461" s="1" t="s">
        <v>4127</v>
      </c>
      <c r="D4461" s="1"/>
      <c r="E4461" s="1"/>
      <c r="F4461" s="1" t="s">
        <v>4128</v>
      </c>
      <c r="G4461" s="1">
        <v>48</v>
      </c>
      <c r="H4461" s="1" t="s">
        <v>19</v>
      </c>
      <c r="I4461" s="1" t="s">
        <v>4088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2070</v>
      </c>
    </row>
    <row r="4462" spans="1:14" ht="20.25" x14ac:dyDescent="0.25">
      <c r="A4462" s="1">
        <v>48</v>
      </c>
      <c r="B4462" s="159"/>
      <c r="C4462" s="1" t="s">
        <v>4127</v>
      </c>
      <c r="D4462" s="1"/>
      <c r="E4462" s="1"/>
      <c r="F4462" s="1" t="s">
        <v>4129</v>
      </c>
      <c r="G4462" s="1">
        <v>48</v>
      </c>
      <c r="H4462" s="1" t="s">
        <v>19</v>
      </c>
      <c r="I4462" s="1" t="s">
        <v>4088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2070</v>
      </c>
    </row>
    <row r="4463" spans="1:14" ht="20.25" x14ac:dyDescent="0.25">
      <c r="A4463" s="1">
        <v>49</v>
      </c>
      <c r="B4463" s="159"/>
      <c r="C4463" s="1" t="s">
        <v>4127</v>
      </c>
      <c r="D4463" s="1"/>
      <c r="E4463" s="1"/>
      <c r="F4463" s="1" t="s">
        <v>4130</v>
      </c>
      <c r="G4463" s="1">
        <v>48</v>
      </c>
      <c r="H4463" s="1" t="s">
        <v>19</v>
      </c>
      <c r="I4463" s="1" t="s">
        <v>4088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2070</v>
      </c>
    </row>
    <row r="4464" spans="1:14" ht="20.25" x14ac:dyDescent="0.25">
      <c r="A4464" s="1">
        <v>50</v>
      </c>
      <c r="B4464" s="159"/>
      <c r="C4464" s="1" t="s">
        <v>4127</v>
      </c>
      <c r="D4464" s="1"/>
      <c r="E4464" s="1"/>
      <c r="F4464" s="1" t="s">
        <v>4131</v>
      </c>
      <c r="G4464" s="1">
        <v>144</v>
      </c>
      <c r="H4464" s="1" t="s">
        <v>19</v>
      </c>
      <c r="I4464" s="1" t="s">
        <v>4088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2070</v>
      </c>
    </row>
    <row r="4465" spans="1:14" ht="20.25" x14ac:dyDescent="0.25">
      <c r="A4465" s="1">
        <v>51</v>
      </c>
      <c r="B4465" s="159"/>
      <c r="C4465" s="1" t="s">
        <v>4127</v>
      </c>
      <c r="D4465" s="1"/>
      <c r="E4465" s="1"/>
      <c r="F4465" s="1" t="s">
        <v>4132</v>
      </c>
      <c r="G4465" s="1">
        <v>44</v>
      </c>
      <c r="H4465" s="1" t="s">
        <v>19</v>
      </c>
      <c r="I4465" s="1" t="s">
        <v>4088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2070</v>
      </c>
    </row>
    <row r="4466" spans="1:14" ht="20.25" x14ac:dyDescent="0.25">
      <c r="A4466" s="1">
        <v>52</v>
      </c>
      <c r="B4466" s="159"/>
      <c r="C4466" s="1" t="s">
        <v>4127</v>
      </c>
      <c r="D4466" s="1"/>
      <c r="E4466" s="1"/>
      <c r="F4466" s="1" t="s">
        <v>4133</v>
      </c>
      <c r="G4466" s="1">
        <v>20</v>
      </c>
      <c r="H4466" s="1" t="s">
        <v>1254</v>
      </c>
      <c r="I4466" s="1" t="s">
        <v>4088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2070</v>
      </c>
    </row>
    <row r="4467" spans="1:14" ht="20.25" x14ac:dyDescent="0.25">
      <c r="A4467" s="1">
        <v>53</v>
      </c>
      <c r="B4467" s="159"/>
      <c r="C4467" s="1" t="s">
        <v>3960</v>
      </c>
      <c r="D4467" s="1"/>
      <c r="E4467" s="1"/>
      <c r="F4467" s="1" t="s">
        <v>4134</v>
      </c>
      <c r="G4467" s="1">
        <v>12</v>
      </c>
      <c r="H4467" s="1" t="s">
        <v>19</v>
      </c>
      <c r="I4467" s="1" t="s">
        <v>4088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2070</v>
      </c>
    </row>
    <row r="4468" spans="1:14" ht="20.25" x14ac:dyDescent="0.25">
      <c r="A4468" s="1">
        <v>54</v>
      </c>
      <c r="B4468" s="159"/>
      <c r="C4468" s="1" t="s">
        <v>3960</v>
      </c>
      <c r="D4468" s="1"/>
      <c r="E4468" s="1"/>
      <c r="F4468" s="1" t="s">
        <v>4135</v>
      </c>
      <c r="G4468" s="1">
        <v>6</v>
      </c>
      <c r="H4468" s="1" t="s">
        <v>19</v>
      </c>
      <c r="I4468" s="1" t="s">
        <v>4088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2070</v>
      </c>
    </row>
    <row r="4469" spans="1:14" ht="20.25" x14ac:dyDescent="0.25">
      <c r="A4469" s="1">
        <v>55</v>
      </c>
      <c r="B4469" s="159"/>
      <c r="C4469" s="1" t="s">
        <v>3960</v>
      </c>
      <c r="D4469" s="1"/>
      <c r="E4469" s="1"/>
      <c r="F4469" s="1" t="s">
        <v>4136</v>
      </c>
      <c r="G4469" s="1">
        <v>6</v>
      </c>
      <c r="H4469" s="1" t="s">
        <v>19</v>
      </c>
      <c r="I4469" s="1" t="s">
        <v>4088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2070</v>
      </c>
    </row>
    <row r="4470" spans="1:14" ht="20.25" x14ac:dyDescent="0.25">
      <c r="A4470" s="1">
        <v>56</v>
      </c>
      <c r="B4470" s="159"/>
      <c r="C4470" s="1" t="s">
        <v>3960</v>
      </c>
      <c r="D4470" s="1"/>
      <c r="E4470" s="1"/>
      <c r="F4470" s="1" t="s">
        <v>4137</v>
      </c>
      <c r="G4470" s="1">
        <v>12</v>
      </c>
      <c r="H4470" s="1" t="s">
        <v>19</v>
      </c>
      <c r="I4470" s="1" t="s">
        <v>4088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2070</v>
      </c>
    </row>
    <row r="4471" spans="1:14" ht="20.25" x14ac:dyDescent="0.25">
      <c r="A4471" s="1">
        <v>57</v>
      </c>
      <c r="B4471" s="159"/>
      <c r="C4471" s="1" t="s">
        <v>3960</v>
      </c>
      <c r="D4471" s="1"/>
      <c r="E4471" s="1"/>
      <c r="F4471" s="1" t="s">
        <v>4138</v>
      </c>
      <c r="G4471" s="1">
        <v>132</v>
      </c>
      <c r="H4471" s="1" t="s">
        <v>19</v>
      </c>
      <c r="I4471" s="1" t="s">
        <v>4088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2070</v>
      </c>
    </row>
    <row r="4472" spans="1:14" ht="20.25" x14ac:dyDescent="0.25">
      <c r="A4472" s="1">
        <v>58</v>
      </c>
      <c r="B4472" s="159"/>
      <c r="C4472" s="1" t="s">
        <v>3960</v>
      </c>
      <c r="D4472" s="1"/>
      <c r="E4472" s="1"/>
      <c r="F4472" s="1" t="s">
        <v>4139</v>
      </c>
      <c r="G4472" s="1">
        <v>12</v>
      </c>
      <c r="H4472" s="1" t="s">
        <v>19</v>
      </c>
      <c r="I4472" s="1" t="s">
        <v>4088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2070</v>
      </c>
    </row>
    <row r="4473" spans="1:14" ht="20.25" x14ac:dyDescent="0.25">
      <c r="A4473" s="1">
        <v>59</v>
      </c>
      <c r="B4473" s="159"/>
      <c r="C4473" s="1" t="s">
        <v>3960</v>
      </c>
      <c r="D4473" s="1"/>
      <c r="E4473" s="1"/>
      <c r="F4473" s="1" t="s">
        <v>4140</v>
      </c>
      <c r="G4473" s="1">
        <v>72</v>
      </c>
      <c r="H4473" s="1" t="s">
        <v>19</v>
      </c>
      <c r="I4473" s="1" t="s">
        <v>4088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2070</v>
      </c>
    </row>
    <row r="4474" spans="1:14" ht="20.25" x14ac:dyDescent="0.25">
      <c r="A4474" s="1">
        <v>60</v>
      </c>
      <c r="B4474" s="159"/>
      <c r="C4474" s="1" t="s">
        <v>3960</v>
      </c>
      <c r="D4474" s="1"/>
      <c r="E4474" s="1"/>
      <c r="F4474" s="1" t="s">
        <v>4139</v>
      </c>
      <c r="G4474" s="1">
        <v>72</v>
      </c>
      <c r="H4474" s="1" t="s">
        <v>19</v>
      </c>
      <c r="I4474" s="1" t="s">
        <v>4088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2070</v>
      </c>
    </row>
    <row r="4475" spans="1:14" ht="20.25" x14ac:dyDescent="0.25">
      <c r="A4475" s="1">
        <v>61</v>
      </c>
      <c r="B4475" s="159"/>
      <c r="C4475" s="1" t="s">
        <v>3960</v>
      </c>
      <c r="D4475" s="1"/>
      <c r="E4475" s="1"/>
      <c r="F4475" s="1" t="s">
        <v>4138</v>
      </c>
      <c r="G4475" s="1">
        <v>72</v>
      </c>
      <c r="H4475" s="1" t="s">
        <v>19</v>
      </c>
      <c r="I4475" s="1" t="s">
        <v>4088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2070</v>
      </c>
    </row>
    <row r="4476" spans="1:14" ht="20.25" x14ac:dyDescent="0.25">
      <c r="A4476" s="1">
        <v>62</v>
      </c>
      <c r="B4476" s="159"/>
      <c r="C4476" s="1" t="s">
        <v>4141</v>
      </c>
      <c r="D4476" s="1"/>
      <c r="E4476" s="1"/>
      <c r="F4476" s="1" t="s">
        <v>4142</v>
      </c>
      <c r="G4476" s="1">
        <v>16</v>
      </c>
      <c r="H4476" s="1" t="s">
        <v>19</v>
      </c>
      <c r="I4476" s="1" t="s">
        <v>2275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2070</v>
      </c>
    </row>
    <row r="4477" spans="1:14" ht="20.25" x14ac:dyDescent="0.25">
      <c r="A4477" s="1">
        <v>63</v>
      </c>
      <c r="B4477" s="159"/>
      <c r="C4477" s="1" t="s">
        <v>4141</v>
      </c>
      <c r="D4477" s="1"/>
      <c r="E4477" s="1"/>
      <c r="F4477" s="1" t="s">
        <v>4143</v>
      </c>
      <c r="G4477" s="1">
        <v>64</v>
      </c>
      <c r="H4477" s="1" t="s">
        <v>19</v>
      </c>
      <c r="I4477" s="1" t="s">
        <v>2275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2070</v>
      </c>
    </row>
    <row r="4478" spans="1:14" ht="20.25" x14ac:dyDescent="0.25">
      <c r="A4478" s="1">
        <v>64</v>
      </c>
      <c r="B4478" s="159"/>
      <c r="C4478" s="1" t="s">
        <v>4141</v>
      </c>
      <c r="D4478" s="1"/>
      <c r="E4478" s="1"/>
      <c r="F4478" s="1" t="s">
        <v>4144</v>
      </c>
      <c r="G4478" s="1">
        <v>32</v>
      </c>
      <c r="H4478" s="1" t="s">
        <v>19</v>
      </c>
      <c r="I4478" s="1" t="s">
        <v>2275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2070</v>
      </c>
    </row>
    <row r="4479" spans="1:14" ht="20.25" x14ac:dyDescent="0.25">
      <c r="A4479" s="1">
        <v>65</v>
      </c>
      <c r="B4479" s="159"/>
      <c r="C4479" s="1" t="s">
        <v>4141</v>
      </c>
      <c r="D4479" s="1"/>
      <c r="E4479" s="1"/>
      <c r="F4479" s="1" t="s">
        <v>4145</v>
      </c>
      <c r="G4479" s="1">
        <v>64</v>
      </c>
      <c r="H4479" s="1" t="s">
        <v>19</v>
      </c>
      <c r="I4479" s="1" t="s">
        <v>2277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2070</v>
      </c>
    </row>
    <row r="4480" spans="1:14" ht="20.25" x14ac:dyDescent="0.25">
      <c r="A4480" s="1">
        <v>66</v>
      </c>
      <c r="B4480" s="159"/>
      <c r="C4480" s="1" t="s">
        <v>4146</v>
      </c>
      <c r="D4480" s="1"/>
      <c r="E4480" s="1"/>
      <c r="F4480" s="1" t="s">
        <v>4147</v>
      </c>
      <c r="G4480" s="1">
        <v>8</v>
      </c>
      <c r="H4480" s="1" t="s">
        <v>19</v>
      </c>
      <c r="I4480" s="1" t="s">
        <v>2275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2070</v>
      </c>
    </row>
    <row r="4481" spans="1:14" ht="20.25" x14ac:dyDescent="0.25">
      <c r="A4481" s="1">
        <v>67</v>
      </c>
      <c r="B4481" s="159"/>
      <c r="C4481" s="1" t="s">
        <v>4146</v>
      </c>
      <c r="D4481" s="1"/>
      <c r="E4481" s="1"/>
      <c r="F4481" s="1" t="s">
        <v>4148</v>
      </c>
      <c r="G4481" s="1">
        <v>8</v>
      </c>
      <c r="H4481" s="1" t="s">
        <v>19</v>
      </c>
      <c r="I4481" s="1" t="s">
        <v>2277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2070</v>
      </c>
    </row>
    <row r="4482" spans="1:14" ht="20.25" x14ac:dyDescent="0.25">
      <c r="A4482" s="1">
        <v>68</v>
      </c>
      <c r="B4482" s="159"/>
      <c r="C4482" s="1" t="s">
        <v>4146</v>
      </c>
      <c r="D4482" s="1"/>
      <c r="E4482" s="1"/>
      <c r="F4482" s="1" t="s">
        <v>4149</v>
      </c>
      <c r="G4482" s="1">
        <v>8</v>
      </c>
      <c r="H4482" s="1" t="s">
        <v>19</v>
      </c>
      <c r="I4482" s="1" t="s">
        <v>2275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2070</v>
      </c>
    </row>
    <row r="4483" spans="1:14" ht="20.25" x14ac:dyDescent="0.25">
      <c r="A4483" s="1">
        <v>69</v>
      </c>
      <c r="B4483" s="159"/>
      <c r="C4483" s="1" t="s">
        <v>4146</v>
      </c>
      <c r="D4483" s="1"/>
      <c r="E4483" s="1"/>
      <c r="F4483" s="1" t="s">
        <v>4150</v>
      </c>
      <c r="G4483" s="1">
        <v>8</v>
      </c>
      <c r="H4483" s="1" t="s">
        <v>19</v>
      </c>
      <c r="I4483" s="1" t="s">
        <v>2277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2070</v>
      </c>
    </row>
    <row r="4484" spans="1:14" ht="20.25" x14ac:dyDescent="0.25">
      <c r="A4484" s="1">
        <v>70</v>
      </c>
      <c r="B4484" s="159"/>
      <c r="C4484" s="1" t="s">
        <v>4151</v>
      </c>
      <c r="D4484" s="1"/>
      <c r="E4484" s="1"/>
      <c r="F4484" s="1" t="s">
        <v>4152</v>
      </c>
      <c r="G4484" s="1">
        <v>4</v>
      </c>
      <c r="H4484" s="1" t="s">
        <v>19</v>
      </c>
      <c r="I4484" s="1" t="s">
        <v>2275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2070</v>
      </c>
    </row>
    <row r="4485" spans="1:14" ht="20.25" x14ac:dyDescent="0.25">
      <c r="A4485" s="1">
        <v>71</v>
      </c>
      <c r="B4485" s="159"/>
      <c r="C4485" s="1" t="s">
        <v>4151</v>
      </c>
      <c r="D4485" s="1"/>
      <c r="E4485" s="1"/>
      <c r="F4485" s="1" t="s">
        <v>4153</v>
      </c>
      <c r="G4485" s="1">
        <v>4</v>
      </c>
      <c r="H4485" s="1" t="s">
        <v>19</v>
      </c>
      <c r="I4485" s="1" t="s">
        <v>2277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2070</v>
      </c>
    </row>
    <row r="4486" spans="1:14" ht="20.25" x14ac:dyDescent="0.25">
      <c r="A4486" s="1">
        <v>72</v>
      </c>
      <c r="B4486" s="159"/>
      <c r="C4486" s="1" t="s">
        <v>4151</v>
      </c>
      <c r="D4486" s="1"/>
      <c r="E4486" s="1"/>
      <c r="F4486" s="1" t="s">
        <v>4154</v>
      </c>
      <c r="G4486" s="1">
        <v>4</v>
      </c>
      <c r="H4486" s="1" t="s">
        <v>19</v>
      </c>
      <c r="I4486" s="1" t="s">
        <v>2275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2070</v>
      </c>
    </row>
    <row r="4487" spans="1:14" ht="20.25" x14ac:dyDescent="0.25">
      <c r="A4487" s="1">
        <v>73</v>
      </c>
      <c r="B4487" s="159"/>
      <c r="C4487" s="1" t="s">
        <v>4151</v>
      </c>
      <c r="D4487" s="1"/>
      <c r="E4487" s="1"/>
      <c r="F4487" s="1" t="s">
        <v>4155</v>
      </c>
      <c r="G4487" s="1">
        <v>4</v>
      </c>
      <c r="H4487" s="1" t="s">
        <v>19</v>
      </c>
      <c r="I4487" s="1" t="s">
        <v>2277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2070</v>
      </c>
    </row>
    <row r="4488" spans="1:14" ht="20.25" x14ac:dyDescent="0.25">
      <c r="A4488" s="1">
        <v>74</v>
      </c>
      <c r="B4488" s="159"/>
      <c r="C4488" s="1" t="s">
        <v>4156</v>
      </c>
      <c r="D4488" s="1"/>
      <c r="E4488" s="1"/>
      <c r="F4488" s="1" t="s">
        <v>4157</v>
      </c>
      <c r="G4488" s="1">
        <v>16</v>
      </c>
      <c r="H4488" s="1" t="s">
        <v>19</v>
      </c>
      <c r="I4488" s="1" t="s">
        <v>2275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2070</v>
      </c>
    </row>
    <row r="4489" spans="1:14" ht="20.25" x14ac:dyDescent="0.25">
      <c r="A4489" s="1">
        <v>75</v>
      </c>
      <c r="B4489" s="159"/>
      <c r="C4489" s="1" t="s">
        <v>4158</v>
      </c>
      <c r="D4489" s="1"/>
      <c r="E4489" s="1"/>
      <c r="F4489" s="1" t="s">
        <v>4159</v>
      </c>
      <c r="G4489" s="1">
        <v>4</v>
      </c>
      <c r="H4489" s="1" t="s">
        <v>19</v>
      </c>
      <c r="I4489" s="1" t="s">
        <v>2275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2070</v>
      </c>
    </row>
    <row r="4490" spans="1:14" ht="20.25" x14ac:dyDescent="0.25">
      <c r="A4490" s="1">
        <v>76</v>
      </c>
      <c r="B4490" s="159"/>
      <c r="C4490" s="1" t="s">
        <v>4158</v>
      </c>
      <c r="D4490" s="1"/>
      <c r="E4490" s="1"/>
      <c r="F4490" s="1" t="s">
        <v>4160</v>
      </c>
      <c r="G4490" s="1">
        <v>4</v>
      </c>
      <c r="H4490" s="1" t="s">
        <v>19</v>
      </c>
      <c r="I4490" s="1" t="s">
        <v>2277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2070</v>
      </c>
    </row>
    <row r="4491" spans="1:14" ht="20.25" x14ac:dyDescent="0.25">
      <c r="A4491" s="1">
        <v>77</v>
      </c>
      <c r="B4491" s="159"/>
      <c r="C4491" s="1" t="s">
        <v>4158</v>
      </c>
      <c r="D4491" s="1"/>
      <c r="E4491" s="1"/>
      <c r="F4491" s="1" t="s">
        <v>4161</v>
      </c>
      <c r="G4491" s="1">
        <v>4</v>
      </c>
      <c r="H4491" s="1" t="s">
        <v>19</v>
      </c>
      <c r="I4491" s="1" t="s">
        <v>2275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2070</v>
      </c>
    </row>
    <row r="4492" spans="1:14" ht="20.25" x14ac:dyDescent="0.25">
      <c r="A4492" s="1">
        <v>78</v>
      </c>
      <c r="B4492" s="159"/>
      <c r="C4492" s="1" t="s">
        <v>4158</v>
      </c>
      <c r="D4492" s="1"/>
      <c r="E4492" s="1"/>
      <c r="F4492" s="1" t="s">
        <v>4162</v>
      </c>
      <c r="G4492" s="1">
        <v>4</v>
      </c>
      <c r="H4492" s="1" t="s">
        <v>19</v>
      </c>
      <c r="I4492" s="1" t="s">
        <v>2277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2070</v>
      </c>
    </row>
    <row r="4493" spans="1:14" ht="20.25" x14ac:dyDescent="0.25">
      <c r="A4493" s="1">
        <v>79</v>
      </c>
      <c r="B4493" s="159"/>
      <c r="C4493" s="1" t="s">
        <v>4163</v>
      </c>
      <c r="D4493" s="1"/>
      <c r="E4493" s="1"/>
      <c r="F4493" s="1" t="s">
        <v>4164</v>
      </c>
      <c r="G4493" s="1">
        <v>720</v>
      </c>
      <c r="H4493" s="1" t="s">
        <v>19</v>
      </c>
      <c r="I4493" s="1" t="s">
        <v>4088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2070</v>
      </c>
    </row>
    <row r="4494" spans="1:14" ht="20.25" x14ac:dyDescent="0.25">
      <c r="A4494" s="1">
        <v>80</v>
      </c>
      <c r="B4494" s="159"/>
      <c r="C4494" s="1" t="s">
        <v>4163</v>
      </c>
      <c r="D4494" s="1"/>
      <c r="E4494" s="1"/>
      <c r="F4494" s="1" t="s">
        <v>4165</v>
      </c>
      <c r="G4494" s="1">
        <v>360</v>
      </c>
      <c r="H4494" s="1" t="s">
        <v>19</v>
      </c>
      <c r="I4494" s="1" t="s">
        <v>4166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2070</v>
      </c>
    </row>
    <row r="4495" spans="1:14" ht="20.25" x14ac:dyDescent="0.25">
      <c r="A4495" s="1">
        <v>81</v>
      </c>
      <c r="B4495" s="159"/>
      <c r="C4495" s="1" t="s">
        <v>4163</v>
      </c>
      <c r="D4495" s="1"/>
      <c r="E4495" s="1"/>
      <c r="F4495" s="1" t="s">
        <v>4167</v>
      </c>
      <c r="G4495" s="1">
        <v>360</v>
      </c>
      <c r="H4495" s="1" t="s">
        <v>19</v>
      </c>
      <c r="I4495" s="1" t="s">
        <v>4166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2070</v>
      </c>
    </row>
    <row r="4496" spans="1:14" ht="20.25" x14ac:dyDescent="0.25">
      <c r="A4496" s="1">
        <v>82</v>
      </c>
      <c r="B4496" s="159"/>
      <c r="C4496" s="1" t="s">
        <v>4168</v>
      </c>
      <c r="D4496" s="1"/>
      <c r="E4496" s="1"/>
      <c r="F4496" s="1" t="s">
        <v>4169</v>
      </c>
      <c r="G4496" s="1">
        <v>432</v>
      </c>
      <c r="H4496" s="1" t="s">
        <v>19</v>
      </c>
      <c r="I4496" s="1" t="s">
        <v>4088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2070</v>
      </c>
    </row>
    <row r="4497" spans="1:14" ht="20.25" x14ac:dyDescent="0.25">
      <c r="A4497" s="1">
        <v>83</v>
      </c>
      <c r="B4497" s="159"/>
      <c r="C4497" s="1" t="s">
        <v>4168</v>
      </c>
      <c r="D4497" s="1"/>
      <c r="E4497" s="1"/>
      <c r="F4497" s="1" t="s">
        <v>4170</v>
      </c>
      <c r="G4497" s="1">
        <v>216</v>
      </c>
      <c r="H4497" s="1" t="s">
        <v>19</v>
      </c>
      <c r="I4497" s="1" t="s">
        <v>4088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2070</v>
      </c>
    </row>
    <row r="4498" spans="1:14" ht="20.25" x14ac:dyDescent="0.25">
      <c r="A4498" s="1">
        <v>84</v>
      </c>
      <c r="B4498" s="159"/>
      <c r="C4498" s="1" t="s">
        <v>4168</v>
      </c>
      <c r="D4498" s="1"/>
      <c r="E4498" s="1"/>
      <c r="F4498" s="1" t="s">
        <v>4171</v>
      </c>
      <c r="G4498" s="1">
        <v>216</v>
      </c>
      <c r="H4498" s="1" t="s">
        <v>19</v>
      </c>
      <c r="I4498" s="1" t="s">
        <v>4088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2070</v>
      </c>
    </row>
    <row r="4499" spans="1:14" ht="20.25" x14ac:dyDescent="0.25">
      <c r="A4499" s="1">
        <v>85</v>
      </c>
      <c r="B4499" s="159"/>
      <c r="C4499" s="1" t="s">
        <v>4172</v>
      </c>
      <c r="D4499" s="1"/>
      <c r="E4499" s="1"/>
      <c r="F4499" s="1" t="s">
        <v>4173</v>
      </c>
      <c r="G4499" s="1">
        <v>176</v>
      </c>
      <c r="H4499" s="1" t="s">
        <v>19</v>
      </c>
      <c r="I4499" s="1" t="s">
        <v>4088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2070</v>
      </c>
    </row>
    <row r="4500" spans="1:14" ht="20.25" x14ac:dyDescent="0.25">
      <c r="A4500" s="1">
        <v>86</v>
      </c>
      <c r="B4500" s="159"/>
      <c r="C4500" s="1" t="s">
        <v>4172</v>
      </c>
      <c r="D4500" s="1"/>
      <c r="E4500" s="1"/>
      <c r="F4500" s="1" t="s">
        <v>4174</v>
      </c>
      <c r="G4500" s="1">
        <v>176</v>
      </c>
      <c r="H4500" s="1" t="s">
        <v>19</v>
      </c>
      <c r="I4500" s="1" t="s">
        <v>4088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2070</v>
      </c>
    </row>
    <row r="4501" spans="1:14" ht="20.25" x14ac:dyDescent="0.25">
      <c r="A4501" s="1">
        <v>87</v>
      </c>
      <c r="B4501" s="159"/>
      <c r="C4501" s="1" t="s">
        <v>4175</v>
      </c>
      <c r="D4501" s="1"/>
      <c r="E4501" s="1"/>
      <c r="F4501" s="1" t="s">
        <v>4176</v>
      </c>
      <c r="G4501" s="1">
        <v>160</v>
      </c>
      <c r="H4501" s="1" t="s">
        <v>19</v>
      </c>
      <c r="I4501" s="1" t="s">
        <v>4166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2070</v>
      </c>
    </row>
    <row r="4502" spans="1:14" ht="20.25" x14ac:dyDescent="0.25">
      <c r="A4502" s="1">
        <v>88</v>
      </c>
      <c r="B4502" s="159"/>
      <c r="C4502" s="1" t="s">
        <v>4175</v>
      </c>
      <c r="D4502" s="1"/>
      <c r="E4502" s="1"/>
      <c r="F4502" s="1" t="s">
        <v>4177</v>
      </c>
      <c r="G4502" s="1">
        <v>160</v>
      </c>
      <c r="H4502" s="1" t="s">
        <v>19</v>
      </c>
      <c r="I4502" s="1" t="s">
        <v>4088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2070</v>
      </c>
    </row>
    <row r="4503" spans="1:14" ht="20.25" x14ac:dyDescent="0.25">
      <c r="A4503" s="1">
        <v>89</v>
      </c>
      <c r="B4503" s="159"/>
      <c r="C4503" s="1" t="s">
        <v>4178</v>
      </c>
      <c r="D4503" s="1"/>
      <c r="E4503" s="1"/>
      <c r="F4503" s="1" t="s">
        <v>4179</v>
      </c>
      <c r="G4503" s="1">
        <v>192</v>
      </c>
      <c r="H4503" s="1" t="s">
        <v>19</v>
      </c>
      <c r="I4503" s="1" t="s">
        <v>4088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2070</v>
      </c>
    </row>
    <row r="4504" spans="1:14" ht="20.25" x14ac:dyDescent="0.25">
      <c r="A4504" s="1">
        <v>90</v>
      </c>
      <c r="B4504" s="159"/>
      <c r="C4504" s="1" t="s">
        <v>4178</v>
      </c>
      <c r="D4504" s="1"/>
      <c r="E4504" s="1"/>
      <c r="F4504" s="1" t="s">
        <v>4180</v>
      </c>
      <c r="G4504" s="1">
        <v>96</v>
      </c>
      <c r="H4504" s="1" t="s">
        <v>19</v>
      </c>
      <c r="I4504" s="1" t="s">
        <v>4088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2070</v>
      </c>
    </row>
    <row r="4505" spans="1:14" ht="20.25" x14ac:dyDescent="0.25">
      <c r="A4505" s="1">
        <v>91</v>
      </c>
      <c r="B4505" s="159"/>
      <c r="C4505" s="1" t="s">
        <v>4181</v>
      </c>
      <c r="D4505" s="1"/>
      <c r="E4505" s="1"/>
      <c r="F4505" s="1" t="s">
        <v>4182</v>
      </c>
      <c r="G4505" s="1">
        <v>192</v>
      </c>
      <c r="H4505" s="1" t="s">
        <v>19</v>
      </c>
      <c r="I4505" s="1" t="s">
        <v>4088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2070</v>
      </c>
    </row>
    <row r="4506" spans="1:14" ht="20.25" x14ac:dyDescent="0.25">
      <c r="A4506" s="1">
        <v>92</v>
      </c>
      <c r="B4506" s="159"/>
      <c r="C4506" s="1" t="s">
        <v>4181</v>
      </c>
      <c r="D4506" s="1"/>
      <c r="E4506" s="1"/>
      <c r="F4506" s="1" t="s">
        <v>4183</v>
      </c>
      <c r="G4506" s="1">
        <v>96</v>
      </c>
      <c r="H4506" s="1" t="s">
        <v>19</v>
      </c>
      <c r="I4506" s="1" t="s">
        <v>4088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2070</v>
      </c>
    </row>
    <row r="4507" spans="1:14" ht="20.25" x14ac:dyDescent="0.25">
      <c r="A4507" s="1">
        <v>93</v>
      </c>
      <c r="B4507" s="159"/>
      <c r="C4507" s="1" t="s">
        <v>4184</v>
      </c>
      <c r="D4507" s="1"/>
      <c r="E4507" s="1"/>
      <c r="F4507" s="1" t="s">
        <v>4185</v>
      </c>
      <c r="G4507" s="1">
        <v>112</v>
      </c>
      <c r="H4507" s="1" t="s">
        <v>19</v>
      </c>
      <c r="I4507" s="1" t="s">
        <v>4088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2070</v>
      </c>
    </row>
    <row r="4508" spans="1:14" ht="20.25" x14ac:dyDescent="0.25">
      <c r="A4508" s="1">
        <v>94</v>
      </c>
      <c r="B4508" s="159"/>
      <c r="C4508" s="1" t="s">
        <v>4184</v>
      </c>
      <c r="D4508" s="1"/>
      <c r="E4508" s="1"/>
      <c r="F4508" s="1" t="s">
        <v>4186</v>
      </c>
      <c r="G4508" s="1">
        <v>56</v>
      </c>
      <c r="H4508" s="1" t="s">
        <v>19</v>
      </c>
      <c r="I4508" s="1" t="s">
        <v>4088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2070</v>
      </c>
    </row>
    <row r="4509" spans="1:14" ht="20.25" x14ac:dyDescent="0.25">
      <c r="A4509" s="1">
        <v>95</v>
      </c>
      <c r="B4509" s="159"/>
      <c r="C4509" s="1" t="s">
        <v>4187</v>
      </c>
      <c r="D4509" s="1"/>
      <c r="E4509" s="1"/>
      <c r="F4509" s="1" t="s">
        <v>4188</v>
      </c>
      <c r="G4509" s="1">
        <v>128</v>
      </c>
      <c r="H4509" s="1" t="s">
        <v>19</v>
      </c>
      <c r="I4509" s="1" t="s">
        <v>4088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2070</v>
      </c>
    </row>
    <row r="4510" spans="1:14" ht="20.25" x14ac:dyDescent="0.25">
      <c r="A4510" s="1">
        <v>96</v>
      </c>
      <c r="B4510" s="159"/>
      <c r="C4510" s="1" t="s">
        <v>4187</v>
      </c>
      <c r="D4510" s="1"/>
      <c r="E4510" s="1"/>
      <c r="F4510" s="1" t="s">
        <v>4189</v>
      </c>
      <c r="G4510" s="1">
        <v>128</v>
      </c>
      <c r="H4510" s="1" t="s">
        <v>19</v>
      </c>
      <c r="I4510" s="1" t="s">
        <v>4088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2070</v>
      </c>
    </row>
    <row r="4511" spans="1:14" ht="20.25" x14ac:dyDescent="0.25">
      <c r="A4511" s="1">
        <v>97</v>
      </c>
      <c r="B4511" s="159"/>
      <c r="C4511" s="1" t="s">
        <v>4190</v>
      </c>
      <c r="D4511" s="1"/>
      <c r="E4511" s="1"/>
      <c r="F4511" s="1" t="s">
        <v>4191</v>
      </c>
      <c r="G4511" s="1">
        <v>112</v>
      </c>
      <c r="H4511" s="1" t="s">
        <v>19</v>
      </c>
      <c r="I4511" s="1" t="s">
        <v>4088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2070</v>
      </c>
    </row>
    <row r="4512" spans="1:14" ht="20.25" x14ac:dyDescent="0.25">
      <c r="A4512" s="1">
        <v>98</v>
      </c>
      <c r="B4512" s="159"/>
      <c r="C4512" s="1" t="s">
        <v>4190</v>
      </c>
      <c r="D4512" s="1"/>
      <c r="E4512" s="1"/>
      <c r="F4512" s="1" t="s">
        <v>4192</v>
      </c>
      <c r="G4512" s="1">
        <v>112</v>
      </c>
      <c r="H4512" s="1" t="s">
        <v>19</v>
      </c>
      <c r="I4512" s="1" t="s">
        <v>4088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2070</v>
      </c>
    </row>
    <row r="4513" spans="1:14" ht="20.25" x14ac:dyDescent="0.25">
      <c r="A4513" s="1">
        <v>99</v>
      </c>
      <c r="B4513" s="159"/>
      <c r="C4513" s="1" t="s">
        <v>4190</v>
      </c>
      <c r="D4513" s="1"/>
      <c r="E4513" s="1"/>
      <c r="F4513" s="1" t="s">
        <v>4193</v>
      </c>
      <c r="G4513" s="1">
        <v>112</v>
      </c>
      <c r="H4513" s="1" t="s">
        <v>19</v>
      </c>
      <c r="I4513" s="1" t="s">
        <v>4088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2070</v>
      </c>
    </row>
    <row r="4514" spans="1:14" ht="20.25" x14ac:dyDescent="0.25">
      <c r="A4514" s="1">
        <v>100</v>
      </c>
      <c r="B4514" s="159"/>
      <c r="C4514" s="1" t="s">
        <v>4194</v>
      </c>
      <c r="D4514" s="1"/>
      <c r="E4514" s="1"/>
      <c r="F4514" s="1" t="s">
        <v>4195</v>
      </c>
      <c r="G4514" s="1">
        <v>96</v>
      </c>
      <c r="H4514" s="1" t="s">
        <v>19</v>
      </c>
      <c r="I4514" s="1" t="s">
        <v>4088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2070</v>
      </c>
    </row>
    <row r="4515" spans="1:14" ht="20.25" x14ac:dyDescent="0.25">
      <c r="A4515" s="1">
        <v>101</v>
      </c>
      <c r="B4515" s="159"/>
      <c r="C4515" s="1" t="s">
        <v>4194</v>
      </c>
      <c r="D4515" s="1"/>
      <c r="E4515" s="1"/>
      <c r="F4515" s="1" t="s">
        <v>4196</v>
      </c>
      <c r="G4515" s="1">
        <v>96</v>
      </c>
      <c r="H4515" s="1" t="s">
        <v>19</v>
      </c>
      <c r="I4515" s="1" t="s">
        <v>4088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2070</v>
      </c>
    </row>
    <row r="4516" spans="1:14" ht="20.25" x14ac:dyDescent="0.25">
      <c r="A4516" s="1">
        <v>102</v>
      </c>
      <c r="B4516" s="159"/>
      <c r="C4516" s="1" t="s">
        <v>4194</v>
      </c>
      <c r="D4516" s="1"/>
      <c r="E4516" s="1"/>
      <c r="F4516" s="1" t="s">
        <v>4197</v>
      </c>
      <c r="G4516" s="1">
        <v>96</v>
      </c>
      <c r="H4516" s="1" t="s">
        <v>19</v>
      </c>
      <c r="I4516" s="1" t="s">
        <v>4088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2070</v>
      </c>
    </row>
    <row r="4517" spans="1:14" ht="20.25" x14ac:dyDescent="0.25">
      <c r="A4517" s="1">
        <v>103</v>
      </c>
      <c r="B4517" s="159"/>
      <c r="C4517" s="1" t="s">
        <v>4198</v>
      </c>
      <c r="D4517" s="1"/>
      <c r="E4517" s="1"/>
      <c r="F4517" s="1" t="s">
        <v>4199</v>
      </c>
      <c r="G4517" s="1">
        <v>112</v>
      </c>
      <c r="H4517" s="1" t="s">
        <v>19</v>
      </c>
      <c r="I4517" s="1" t="s">
        <v>4088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2070</v>
      </c>
    </row>
    <row r="4518" spans="1:14" ht="20.25" x14ac:dyDescent="0.25">
      <c r="A4518" s="1">
        <v>104</v>
      </c>
      <c r="B4518" s="159"/>
      <c r="C4518" s="1" t="s">
        <v>4198</v>
      </c>
      <c r="D4518" s="1"/>
      <c r="E4518" s="1"/>
      <c r="F4518" s="1" t="s">
        <v>4200</v>
      </c>
      <c r="G4518" s="1">
        <v>112</v>
      </c>
      <c r="H4518" s="1" t="s">
        <v>19</v>
      </c>
      <c r="I4518" s="1" t="s">
        <v>4088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2070</v>
      </c>
    </row>
    <row r="4519" spans="1:14" ht="20.25" x14ac:dyDescent="0.25">
      <c r="A4519" s="1">
        <v>105</v>
      </c>
      <c r="B4519" s="159"/>
      <c r="C4519" s="1" t="s">
        <v>4198</v>
      </c>
      <c r="D4519" s="1"/>
      <c r="E4519" s="1"/>
      <c r="F4519" s="1" t="s">
        <v>4201</v>
      </c>
      <c r="G4519" s="1">
        <v>112</v>
      </c>
      <c r="H4519" s="1" t="s">
        <v>19</v>
      </c>
      <c r="I4519" s="1" t="s">
        <v>4088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2070</v>
      </c>
    </row>
    <row r="4520" spans="1:14" ht="20.25" x14ac:dyDescent="0.25">
      <c r="A4520" s="1">
        <v>106</v>
      </c>
      <c r="B4520" s="159"/>
      <c r="C4520" s="1" t="s">
        <v>4202</v>
      </c>
      <c r="D4520" s="1"/>
      <c r="E4520" s="1"/>
      <c r="F4520" s="1" t="s">
        <v>4203</v>
      </c>
      <c r="G4520" s="1">
        <v>112</v>
      </c>
      <c r="H4520" s="1" t="s">
        <v>19</v>
      </c>
      <c r="I4520" s="1" t="s">
        <v>4088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2070</v>
      </c>
    </row>
    <row r="4521" spans="1:14" ht="20.25" x14ac:dyDescent="0.25">
      <c r="A4521" s="1">
        <v>107</v>
      </c>
      <c r="B4521" s="159"/>
      <c r="C4521" s="1" t="s">
        <v>4202</v>
      </c>
      <c r="D4521" s="1"/>
      <c r="E4521" s="1"/>
      <c r="F4521" s="1" t="s">
        <v>4204</v>
      </c>
      <c r="G4521" s="1">
        <v>112</v>
      </c>
      <c r="H4521" s="1" t="s">
        <v>19</v>
      </c>
      <c r="I4521" s="1" t="s">
        <v>4088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2070</v>
      </c>
    </row>
    <row r="4522" spans="1:14" ht="20.25" x14ac:dyDescent="0.25">
      <c r="A4522" s="1">
        <v>108</v>
      </c>
      <c r="B4522" s="159"/>
      <c r="C4522" s="1" t="s">
        <v>4202</v>
      </c>
      <c r="D4522" s="1"/>
      <c r="E4522" s="1"/>
      <c r="F4522" s="1" t="s">
        <v>4205</v>
      </c>
      <c r="G4522" s="1">
        <v>112</v>
      </c>
      <c r="H4522" s="1" t="s">
        <v>19</v>
      </c>
      <c r="I4522" s="1" t="s">
        <v>4088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2070</v>
      </c>
    </row>
    <row r="4523" spans="1:14" ht="20.25" x14ac:dyDescent="0.25">
      <c r="A4523" s="1">
        <v>109</v>
      </c>
      <c r="B4523" s="159"/>
      <c r="C4523" s="1" t="s">
        <v>4206</v>
      </c>
      <c r="D4523" s="1"/>
      <c r="E4523" s="1"/>
      <c r="F4523" s="1" t="s">
        <v>4207</v>
      </c>
      <c r="G4523" s="1">
        <v>416</v>
      </c>
      <c r="H4523" s="1" t="s">
        <v>19</v>
      </c>
      <c r="I4523" s="1" t="s">
        <v>4088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2070</v>
      </c>
    </row>
    <row r="4524" spans="1:14" ht="20.25" x14ac:dyDescent="0.25">
      <c r="A4524" s="1">
        <v>110</v>
      </c>
      <c r="B4524" s="159"/>
      <c r="C4524" s="1" t="s">
        <v>4206</v>
      </c>
      <c r="D4524" s="1"/>
      <c r="E4524" s="1"/>
      <c r="F4524" s="1" t="s">
        <v>4208</v>
      </c>
      <c r="G4524" s="1">
        <v>208</v>
      </c>
      <c r="H4524" s="1" t="s">
        <v>19</v>
      </c>
      <c r="I4524" s="1" t="s">
        <v>4088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2070</v>
      </c>
    </row>
    <row r="4525" spans="1:14" ht="20.25" x14ac:dyDescent="0.25">
      <c r="A4525" s="1">
        <v>111</v>
      </c>
      <c r="B4525" s="159"/>
      <c r="C4525" s="1" t="s">
        <v>4209</v>
      </c>
      <c r="D4525" s="1"/>
      <c r="E4525" s="1"/>
      <c r="F4525" s="1" t="s">
        <v>4210</v>
      </c>
      <c r="G4525" s="1">
        <v>96</v>
      </c>
      <c r="H4525" s="1" t="s">
        <v>19</v>
      </c>
      <c r="I4525" s="1" t="s">
        <v>4088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2070</v>
      </c>
    </row>
    <row r="4526" spans="1:14" ht="20.25" x14ac:dyDescent="0.25">
      <c r="A4526" s="1">
        <v>112</v>
      </c>
      <c r="B4526" s="159"/>
      <c r="C4526" s="1" t="s">
        <v>4209</v>
      </c>
      <c r="D4526" s="1"/>
      <c r="E4526" s="1"/>
      <c r="F4526" s="1" t="s">
        <v>4211</v>
      </c>
      <c r="G4526" s="1">
        <v>96</v>
      </c>
      <c r="H4526" s="1" t="s">
        <v>19</v>
      </c>
      <c r="I4526" s="1" t="s">
        <v>4088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2070</v>
      </c>
    </row>
    <row r="4527" spans="1:14" ht="20.25" x14ac:dyDescent="0.25">
      <c r="A4527" s="1">
        <v>113</v>
      </c>
      <c r="B4527" s="159"/>
      <c r="C4527" s="1" t="s">
        <v>4209</v>
      </c>
      <c r="D4527" s="1"/>
      <c r="E4527" s="1"/>
      <c r="F4527" s="1" t="s">
        <v>4212</v>
      </c>
      <c r="G4527" s="1">
        <v>96</v>
      </c>
      <c r="H4527" s="1" t="s">
        <v>19</v>
      </c>
      <c r="I4527" s="1" t="s">
        <v>4088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2070</v>
      </c>
    </row>
    <row r="4528" spans="1:14" ht="20.25" x14ac:dyDescent="0.25">
      <c r="A4528" s="1">
        <v>114</v>
      </c>
      <c r="B4528" s="159"/>
      <c r="C4528" s="1" t="s">
        <v>4213</v>
      </c>
      <c r="D4528" s="1"/>
      <c r="E4528" s="1"/>
      <c r="F4528" s="1" t="s">
        <v>4214</v>
      </c>
      <c r="G4528" s="1">
        <v>8</v>
      </c>
      <c r="H4528" s="1" t="s">
        <v>19</v>
      </c>
      <c r="I4528" s="1" t="s">
        <v>4088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2070</v>
      </c>
    </row>
    <row r="4529" spans="1:14" ht="20.25" x14ac:dyDescent="0.25">
      <c r="A4529" s="1">
        <v>115</v>
      </c>
      <c r="B4529" s="159"/>
      <c r="C4529" s="1" t="s">
        <v>4213</v>
      </c>
      <c r="D4529" s="1"/>
      <c r="E4529" s="1"/>
      <c r="F4529" s="1" t="s">
        <v>4215</v>
      </c>
      <c r="G4529" s="1">
        <v>16</v>
      </c>
      <c r="H4529" s="1" t="s">
        <v>19</v>
      </c>
      <c r="I4529" s="1" t="s">
        <v>4088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2070</v>
      </c>
    </row>
    <row r="4530" spans="1:14" ht="20.25" x14ac:dyDescent="0.25">
      <c r="A4530" s="1">
        <v>116</v>
      </c>
      <c r="B4530" s="159"/>
      <c r="C4530" s="1" t="s">
        <v>4213</v>
      </c>
      <c r="D4530" s="1"/>
      <c r="E4530" s="1"/>
      <c r="F4530" s="1" t="s">
        <v>4216</v>
      </c>
      <c r="G4530" s="1">
        <v>8</v>
      </c>
      <c r="H4530" s="1" t="s">
        <v>19</v>
      </c>
      <c r="I4530" s="1" t="s">
        <v>4088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2070</v>
      </c>
    </row>
    <row r="4531" spans="1:14" ht="20.25" x14ac:dyDescent="0.25">
      <c r="A4531" s="1">
        <v>117</v>
      </c>
      <c r="B4531" s="159"/>
      <c r="C4531" s="1" t="s">
        <v>4213</v>
      </c>
      <c r="D4531" s="1"/>
      <c r="E4531" s="1"/>
      <c r="F4531" s="1" t="s">
        <v>4217</v>
      </c>
      <c r="G4531" s="1">
        <v>8</v>
      </c>
      <c r="H4531" s="1" t="s">
        <v>19</v>
      </c>
      <c r="I4531" s="1" t="s">
        <v>4088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2070</v>
      </c>
    </row>
    <row r="4532" spans="1:14" ht="20.25" x14ac:dyDescent="0.25">
      <c r="A4532" s="1">
        <v>118</v>
      </c>
      <c r="B4532" s="159"/>
      <c r="C4532" s="1" t="s">
        <v>4213</v>
      </c>
      <c r="D4532" s="1"/>
      <c r="E4532" s="1"/>
      <c r="F4532" s="1" t="s">
        <v>4218</v>
      </c>
      <c r="G4532" s="1">
        <v>8</v>
      </c>
      <c r="H4532" s="1" t="s">
        <v>19</v>
      </c>
      <c r="I4532" s="1" t="s">
        <v>4088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2070</v>
      </c>
    </row>
    <row r="4533" spans="1:14" ht="20.25" x14ac:dyDescent="0.25">
      <c r="A4533" s="1">
        <v>119</v>
      </c>
      <c r="B4533" s="159"/>
      <c r="C4533" s="1" t="s">
        <v>4213</v>
      </c>
      <c r="D4533" s="1"/>
      <c r="E4533" s="1"/>
      <c r="F4533" s="1" t="s">
        <v>4219</v>
      </c>
      <c r="G4533" s="1">
        <v>8</v>
      </c>
      <c r="H4533" s="1" t="s">
        <v>19</v>
      </c>
      <c r="I4533" s="1" t="s">
        <v>4088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2070</v>
      </c>
    </row>
    <row r="4534" spans="1:14" ht="20.25" x14ac:dyDescent="0.25">
      <c r="A4534" s="1">
        <v>120</v>
      </c>
      <c r="B4534" s="159"/>
      <c r="C4534" s="1" t="s">
        <v>4213</v>
      </c>
      <c r="D4534" s="1"/>
      <c r="E4534" s="1"/>
      <c r="F4534" s="1" t="s">
        <v>4220</v>
      </c>
      <c r="G4534" s="1">
        <v>64</v>
      </c>
      <c r="H4534" s="1" t="s">
        <v>19</v>
      </c>
      <c r="I4534" s="1" t="s">
        <v>4088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2070</v>
      </c>
    </row>
    <row r="4535" spans="1:14" ht="20.25" x14ac:dyDescent="0.25">
      <c r="A4535" s="1">
        <v>121</v>
      </c>
      <c r="B4535" s="159"/>
      <c r="C4535" s="1" t="s">
        <v>4213</v>
      </c>
      <c r="D4535" s="1"/>
      <c r="E4535" s="1"/>
      <c r="F4535" s="1" t="s">
        <v>4221</v>
      </c>
      <c r="G4535" s="1">
        <v>64</v>
      </c>
      <c r="H4535" s="1" t="s">
        <v>19</v>
      </c>
      <c r="I4535" s="1" t="s">
        <v>4088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2070</v>
      </c>
    </row>
    <row r="4536" spans="1:14" ht="20.25" x14ac:dyDescent="0.25">
      <c r="A4536" s="1">
        <v>122</v>
      </c>
      <c r="B4536" s="159"/>
      <c r="C4536" s="1" t="s">
        <v>4213</v>
      </c>
      <c r="D4536" s="1"/>
      <c r="E4536" s="1"/>
      <c r="F4536" s="1" t="s">
        <v>4222</v>
      </c>
      <c r="G4536" s="1">
        <v>64</v>
      </c>
      <c r="H4536" s="1" t="s">
        <v>19</v>
      </c>
      <c r="I4536" s="1" t="s">
        <v>4088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2070</v>
      </c>
    </row>
    <row r="4537" spans="1:14" ht="20.25" x14ac:dyDescent="0.25">
      <c r="A4537" s="1">
        <v>123</v>
      </c>
      <c r="B4537" s="159"/>
      <c r="C4537" s="1" t="s">
        <v>4213</v>
      </c>
      <c r="D4537" s="1"/>
      <c r="E4537" s="1"/>
      <c r="F4537" s="1" t="s">
        <v>4223</v>
      </c>
      <c r="G4537" s="1">
        <v>32</v>
      </c>
      <c r="H4537" s="1" t="s">
        <v>19</v>
      </c>
      <c r="I4537" s="1" t="s">
        <v>4088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2070</v>
      </c>
    </row>
    <row r="4538" spans="1:14" ht="20.25" x14ac:dyDescent="0.25">
      <c r="A4538" s="1">
        <v>124</v>
      </c>
      <c r="B4538" s="159"/>
      <c r="C4538" s="1" t="s">
        <v>4213</v>
      </c>
      <c r="D4538" s="1"/>
      <c r="E4538" s="1"/>
      <c r="F4538" s="1" t="s">
        <v>4224</v>
      </c>
      <c r="G4538" s="1">
        <v>32</v>
      </c>
      <c r="H4538" s="1" t="s">
        <v>19</v>
      </c>
      <c r="I4538" s="1" t="s">
        <v>4088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2070</v>
      </c>
    </row>
    <row r="4539" spans="1:14" ht="20.25" x14ac:dyDescent="0.25">
      <c r="A4539" s="1">
        <v>125</v>
      </c>
      <c r="B4539" s="159"/>
      <c r="C4539" s="1" t="s">
        <v>4213</v>
      </c>
      <c r="D4539" s="1"/>
      <c r="E4539" s="1"/>
      <c r="F4539" s="1" t="s">
        <v>4225</v>
      </c>
      <c r="G4539" s="1">
        <v>16</v>
      </c>
      <c r="H4539" s="1" t="s">
        <v>19</v>
      </c>
      <c r="I4539" s="1" t="s">
        <v>4088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2070</v>
      </c>
    </row>
    <row r="4540" spans="1:14" ht="20.25" x14ac:dyDescent="0.25">
      <c r="A4540" s="1">
        <v>126</v>
      </c>
      <c r="B4540" s="159"/>
      <c r="C4540" s="1" t="s">
        <v>4213</v>
      </c>
      <c r="D4540" s="1"/>
      <c r="E4540" s="1"/>
      <c r="F4540" s="1" t="s">
        <v>4226</v>
      </c>
      <c r="G4540" s="1">
        <v>16</v>
      </c>
      <c r="H4540" s="1" t="s">
        <v>19</v>
      </c>
      <c r="I4540" s="1" t="s">
        <v>4088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2070</v>
      </c>
    </row>
    <row r="4541" spans="1:14" ht="20.25" x14ac:dyDescent="0.25">
      <c r="A4541" s="1">
        <v>127</v>
      </c>
      <c r="B4541" s="159"/>
      <c r="C4541" s="1" t="s">
        <v>4227</v>
      </c>
      <c r="D4541" s="1"/>
      <c r="E4541" s="1"/>
      <c r="F4541" s="1" t="s">
        <v>4228</v>
      </c>
      <c r="G4541" s="1">
        <v>2</v>
      </c>
      <c r="H4541" s="1" t="s">
        <v>19</v>
      </c>
      <c r="I4541" s="1" t="s">
        <v>4088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2070</v>
      </c>
    </row>
    <row r="4542" spans="1:14" ht="20.25" x14ac:dyDescent="0.25">
      <c r="A4542" s="1">
        <v>128</v>
      </c>
      <c r="B4542" s="159"/>
      <c r="C4542" s="1" t="s">
        <v>4227</v>
      </c>
      <c r="D4542" s="1"/>
      <c r="E4542" s="1"/>
      <c r="F4542" s="1" t="s">
        <v>4229</v>
      </c>
      <c r="G4542" s="1">
        <v>2</v>
      </c>
      <c r="H4542" s="1" t="s">
        <v>19</v>
      </c>
      <c r="I4542" s="1" t="s">
        <v>4088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2070</v>
      </c>
    </row>
    <row r="4543" spans="1:14" ht="20.25" x14ac:dyDescent="0.25">
      <c r="A4543" s="1">
        <v>129</v>
      </c>
      <c r="B4543" s="159"/>
      <c r="C4543" s="1" t="s">
        <v>4227</v>
      </c>
      <c r="D4543" s="1"/>
      <c r="E4543" s="1"/>
      <c r="F4543" s="1" t="s">
        <v>4230</v>
      </c>
      <c r="G4543" s="1">
        <v>2</v>
      </c>
      <c r="H4543" s="1" t="s">
        <v>19</v>
      </c>
      <c r="I4543" s="1" t="s">
        <v>4088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2070</v>
      </c>
    </row>
    <row r="4544" spans="1:14" ht="20.25" x14ac:dyDescent="0.25">
      <c r="A4544" s="1">
        <v>130</v>
      </c>
      <c r="B4544" s="159"/>
      <c r="C4544" s="1" t="s">
        <v>4227</v>
      </c>
      <c r="D4544" s="1"/>
      <c r="E4544" s="1"/>
      <c r="F4544" s="1" t="s">
        <v>4231</v>
      </c>
      <c r="G4544" s="1">
        <v>2</v>
      </c>
      <c r="H4544" s="1" t="s">
        <v>19</v>
      </c>
      <c r="I4544" s="1" t="s">
        <v>4088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2070</v>
      </c>
    </row>
    <row r="4545" spans="1:14" ht="20.25" x14ac:dyDescent="0.25">
      <c r="A4545" s="1">
        <v>131</v>
      </c>
      <c r="B4545" s="159"/>
      <c r="C4545" s="1" t="s">
        <v>4227</v>
      </c>
      <c r="D4545" s="1"/>
      <c r="E4545" s="1"/>
      <c r="F4545" s="1" t="s">
        <v>4232</v>
      </c>
      <c r="G4545" s="1">
        <v>2</v>
      </c>
      <c r="H4545" s="1" t="s">
        <v>19</v>
      </c>
      <c r="I4545" s="1" t="s">
        <v>4088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2070</v>
      </c>
    </row>
    <row r="4546" spans="1:14" ht="20.25" x14ac:dyDescent="0.25">
      <c r="A4546" s="1">
        <v>132</v>
      </c>
      <c r="B4546" s="159"/>
      <c r="C4546" s="1" t="s">
        <v>4233</v>
      </c>
      <c r="D4546" s="1"/>
      <c r="E4546" s="1"/>
      <c r="F4546" s="1" t="s">
        <v>4234</v>
      </c>
      <c r="G4546" s="1">
        <v>20</v>
      </c>
      <c r="H4546" s="1" t="s">
        <v>19</v>
      </c>
      <c r="I4546" s="1" t="s">
        <v>4088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2070</v>
      </c>
    </row>
    <row r="4547" spans="1:14" ht="20.25" x14ac:dyDescent="0.25">
      <c r="A4547" s="1">
        <v>133</v>
      </c>
      <c r="B4547" s="159"/>
      <c r="C4547" s="1" t="s">
        <v>4233</v>
      </c>
      <c r="D4547" s="1"/>
      <c r="E4547" s="1"/>
      <c r="F4547" s="1" t="s">
        <v>4235</v>
      </c>
      <c r="G4547" s="1">
        <v>20</v>
      </c>
      <c r="H4547" s="1" t="s">
        <v>19</v>
      </c>
      <c r="I4547" s="1" t="s">
        <v>4088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2070</v>
      </c>
    </row>
    <row r="4548" spans="1:14" ht="20.25" x14ac:dyDescent="0.25">
      <c r="A4548" s="1">
        <v>134</v>
      </c>
      <c r="B4548" s="159"/>
      <c r="C4548" s="1" t="s">
        <v>4236</v>
      </c>
      <c r="D4548" s="1"/>
      <c r="E4548" s="1"/>
      <c r="F4548" s="1" t="s">
        <v>4237</v>
      </c>
      <c r="G4548" s="1">
        <v>664</v>
      </c>
      <c r="H4548" s="1" t="s">
        <v>19</v>
      </c>
      <c r="I4548" s="1" t="s">
        <v>4088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2070</v>
      </c>
    </row>
    <row r="4549" spans="1:14" ht="20.25" x14ac:dyDescent="0.25">
      <c r="A4549" s="1">
        <v>135</v>
      </c>
      <c r="B4549" s="159"/>
      <c r="C4549" s="1" t="s">
        <v>4236</v>
      </c>
      <c r="D4549" s="1"/>
      <c r="E4549" s="1"/>
      <c r="F4549" s="1" t="s">
        <v>4238</v>
      </c>
      <c r="G4549" s="1">
        <v>664</v>
      </c>
      <c r="H4549" s="1" t="s">
        <v>19</v>
      </c>
      <c r="I4549" s="1" t="s">
        <v>4088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2070</v>
      </c>
    </row>
    <row r="4550" spans="1:14" ht="20.25" x14ac:dyDescent="0.25">
      <c r="A4550" s="1">
        <v>136</v>
      </c>
      <c r="B4550" s="159"/>
      <c r="C4550" s="1" t="s">
        <v>4236</v>
      </c>
      <c r="D4550" s="1"/>
      <c r="E4550" s="1"/>
      <c r="F4550" s="1" t="s">
        <v>4239</v>
      </c>
      <c r="G4550" s="1">
        <v>1928</v>
      </c>
      <c r="H4550" s="1" t="s">
        <v>19</v>
      </c>
      <c r="I4550" s="1" t="s">
        <v>4088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2070</v>
      </c>
    </row>
    <row r="4551" spans="1:14" ht="20.25" x14ac:dyDescent="0.25">
      <c r="A4551" s="1">
        <v>137</v>
      </c>
      <c r="B4551" s="159"/>
      <c r="C4551" s="1" t="s">
        <v>4236</v>
      </c>
      <c r="D4551" s="1"/>
      <c r="E4551" s="1"/>
      <c r="F4551" s="1" t="s">
        <v>4240</v>
      </c>
      <c r="G4551" s="1">
        <v>1168</v>
      </c>
      <c r="H4551" s="1" t="s">
        <v>19</v>
      </c>
      <c r="I4551" s="1" t="s">
        <v>4088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2070</v>
      </c>
    </row>
    <row r="4552" spans="1:14" ht="20.25" x14ac:dyDescent="0.25">
      <c r="A4552" s="1">
        <v>138</v>
      </c>
      <c r="B4552" s="159"/>
      <c r="C4552" s="1" t="s">
        <v>4236</v>
      </c>
      <c r="D4552" s="1"/>
      <c r="E4552" s="1"/>
      <c r="F4552" s="1" t="s">
        <v>4241</v>
      </c>
      <c r="G4552" s="1">
        <v>800</v>
      </c>
      <c r="H4552" s="1" t="s">
        <v>19</v>
      </c>
      <c r="I4552" s="1" t="s">
        <v>4088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2070</v>
      </c>
    </row>
    <row r="4553" spans="1:14" ht="20.25" x14ac:dyDescent="0.25">
      <c r="A4553" s="1">
        <v>139</v>
      </c>
      <c r="B4553" s="159"/>
      <c r="C4553" s="1" t="s">
        <v>4236</v>
      </c>
      <c r="D4553" s="1"/>
      <c r="E4553" s="1"/>
      <c r="F4553" s="1" t="s">
        <v>4242</v>
      </c>
      <c r="G4553" s="1">
        <v>336</v>
      </c>
      <c r="H4553" s="1" t="s">
        <v>19</v>
      </c>
      <c r="I4553" s="1" t="s">
        <v>4088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2070</v>
      </c>
    </row>
    <row r="4554" spans="1:14" ht="20.25" x14ac:dyDescent="0.25">
      <c r="A4554" s="1">
        <v>140</v>
      </c>
      <c r="B4554" s="159"/>
      <c r="C4554" s="1" t="s">
        <v>4146</v>
      </c>
      <c r="D4554" s="1"/>
      <c r="E4554" s="1"/>
      <c r="F4554" s="1" t="s">
        <v>4243</v>
      </c>
      <c r="G4554" s="1">
        <v>32</v>
      </c>
      <c r="H4554" s="1" t="s">
        <v>19</v>
      </c>
      <c r="I4554" s="1" t="s">
        <v>4088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2070</v>
      </c>
    </row>
    <row r="4555" spans="1:14" ht="20.25" x14ac:dyDescent="0.25">
      <c r="A4555" s="1">
        <v>141</v>
      </c>
      <c r="B4555" s="159"/>
      <c r="C4555" s="1" t="s">
        <v>4146</v>
      </c>
      <c r="D4555" s="1"/>
      <c r="E4555" s="1"/>
      <c r="F4555" s="1" t="s">
        <v>4244</v>
      </c>
      <c r="G4555" s="1">
        <v>32</v>
      </c>
      <c r="H4555" s="1" t="s">
        <v>19</v>
      </c>
      <c r="I4555" s="1" t="s">
        <v>4088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2070</v>
      </c>
    </row>
    <row r="4556" spans="1:14" ht="20.25" x14ac:dyDescent="0.25">
      <c r="A4556" s="1">
        <v>142</v>
      </c>
      <c r="B4556" s="159"/>
      <c r="C4556" s="1" t="s">
        <v>4245</v>
      </c>
      <c r="D4556" s="1"/>
      <c r="E4556" s="1"/>
      <c r="F4556" s="1" t="s">
        <v>4246</v>
      </c>
      <c r="G4556" s="1">
        <v>32</v>
      </c>
      <c r="H4556" s="1" t="s">
        <v>19</v>
      </c>
      <c r="I4556" s="1" t="s">
        <v>4088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2070</v>
      </c>
    </row>
    <row r="4557" spans="1:14" ht="20.25" x14ac:dyDescent="0.25">
      <c r="A4557" s="1">
        <v>143</v>
      </c>
      <c r="B4557" s="159"/>
      <c r="C4557" s="1" t="s">
        <v>4245</v>
      </c>
      <c r="D4557" s="1"/>
      <c r="E4557" s="1"/>
      <c r="F4557" s="1" t="s">
        <v>4247</v>
      </c>
      <c r="G4557" s="1">
        <v>32</v>
      </c>
      <c r="H4557" s="1" t="s">
        <v>19</v>
      </c>
      <c r="I4557" s="1" t="s">
        <v>4088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2070</v>
      </c>
    </row>
    <row r="4558" spans="1:14" ht="20.25" x14ac:dyDescent="0.25">
      <c r="A4558" s="1">
        <v>144</v>
      </c>
      <c r="B4558" s="159"/>
      <c r="C4558" s="1" t="s">
        <v>4245</v>
      </c>
      <c r="D4558" s="1"/>
      <c r="E4558" s="1"/>
      <c r="F4558" s="1" t="s">
        <v>4248</v>
      </c>
      <c r="G4558" s="1">
        <v>16</v>
      </c>
      <c r="H4558" s="1" t="s">
        <v>19</v>
      </c>
      <c r="I4558" s="1" t="s">
        <v>4088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2070</v>
      </c>
    </row>
    <row r="4559" spans="1:14" ht="20.25" x14ac:dyDescent="0.25">
      <c r="A4559" s="1">
        <v>145</v>
      </c>
      <c r="B4559" s="159"/>
      <c r="C4559" s="1" t="s">
        <v>4245</v>
      </c>
      <c r="D4559" s="1"/>
      <c r="E4559" s="1"/>
      <c r="F4559" s="1" t="s">
        <v>4249</v>
      </c>
      <c r="G4559" s="1">
        <v>16</v>
      </c>
      <c r="H4559" s="1" t="s">
        <v>19</v>
      </c>
      <c r="I4559" s="1" t="s">
        <v>4088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2070</v>
      </c>
    </row>
    <row r="4560" spans="1:14" ht="20.25" x14ac:dyDescent="0.25">
      <c r="A4560" s="1">
        <v>146</v>
      </c>
      <c r="B4560" s="159"/>
      <c r="C4560" s="1" t="s">
        <v>4245</v>
      </c>
      <c r="D4560" s="1"/>
      <c r="E4560" s="1"/>
      <c r="F4560" s="1" t="s">
        <v>4250</v>
      </c>
      <c r="G4560" s="1">
        <v>8</v>
      </c>
      <c r="H4560" s="1" t="s">
        <v>19</v>
      </c>
      <c r="I4560" s="1" t="s">
        <v>4088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2070</v>
      </c>
    </row>
    <row r="4561" spans="1:14" ht="20.25" x14ac:dyDescent="0.25">
      <c r="A4561" s="1">
        <v>147</v>
      </c>
      <c r="B4561" s="159"/>
      <c r="C4561" s="1" t="s">
        <v>4251</v>
      </c>
      <c r="D4561" s="1"/>
      <c r="E4561" s="1"/>
      <c r="F4561" s="1" t="s">
        <v>4252</v>
      </c>
      <c r="G4561" s="1">
        <v>72</v>
      </c>
      <c r="H4561" s="1" t="s">
        <v>19</v>
      </c>
      <c r="I4561" s="1" t="s">
        <v>4088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2070</v>
      </c>
    </row>
    <row r="4562" spans="1:14" ht="20.25" x14ac:dyDescent="0.25">
      <c r="A4562" s="1">
        <v>148</v>
      </c>
      <c r="B4562" s="159"/>
      <c r="C4562" s="1" t="s">
        <v>4251</v>
      </c>
      <c r="D4562" s="1"/>
      <c r="E4562" s="1"/>
      <c r="F4562" s="1" t="s">
        <v>4253</v>
      </c>
      <c r="G4562" s="1">
        <v>72</v>
      </c>
      <c r="H4562" s="1" t="s">
        <v>19</v>
      </c>
      <c r="I4562" s="1" t="s">
        <v>4088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2070</v>
      </c>
    </row>
    <row r="4563" spans="1:14" ht="20.25" x14ac:dyDescent="0.25">
      <c r="A4563" s="1">
        <v>1</v>
      </c>
      <c r="B4563" s="159"/>
      <c r="C4563" s="1" t="s">
        <v>3764</v>
      </c>
      <c r="D4563" s="1"/>
      <c r="E4563" s="1" t="s">
        <v>3765</v>
      </c>
      <c r="F4563" s="1" t="s">
        <v>3762</v>
      </c>
      <c r="G4563" s="1">
        <v>1</v>
      </c>
      <c r="H4563" s="1" t="s">
        <v>19</v>
      </c>
      <c r="I4563" s="1" t="s">
        <v>2275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2070</v>
      </c>
    </row>
    <row r="4564" spans="1:14" ht="20.25" x14ac:dyDescent="0.25">
      <c r="A4564" s="1">
        <v>2</v>
      </c>
      <c r="B4564" s="159"/>
      <c r="C4564" s="1" t="s">
        <v>3764</v>
      </c>
      <c r="D4564" s="1"/>
      <c r="E4564" s="1" t="s">
        <v>3765</v>
      </c>
      <c r="F4564" s="1" t="s">
        <v>3762</v>
      </c>
      <c r="G4564" s="1">
        <v>1</v>
      </c>
      <c r="H4564" s="1" t="s">
        <v>19</v>
      </c>
      <c r="I4564" s="1" t="s">
        <v>2277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2070</v>
      </c>
    </row>
    <row r="4565" spans="1:14" ht="20.25" x14ac:dyDescent="0.25">
      <c r="A4565" s="1">
        <v>3</v>
      </c>
      <c r="B4565" s="159"/>
      <c r="C4565" s="1" t="s">
        <v>3804</v>
      </c>
      <c r="D4565" s="1"/>
      <c r="E4565" s="1" t="s">
        <v>3809</v>
      </c>
      <c r="F4565" s="1" t="s">
        <v>3810</v>
      </c>
      <c r="G4565" s="1">
        <v>8</v>
      </c>
      <c r="H4565" s="1" t="s">
        <v>19</v>
      </c>
      <c r="I4565" s="1" t="s">
        <v>3792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2070</v>
      </c>
    </row>
    <row r="4566" spans="1:14" ht="20.25" x14ac:dyDescent="0.25">
      <c r="A4566" s="1">
        <v>4</v>
      </c>
      <c r="B4566" s="159"/>
      <c r="C4566" s="1" t="s">
        <v>3804</v>
      </c>
      <c r="D4566" s="1"/>
      <c r="E4566" s="1" t="s">
        <v>3811</v>
      </c>
      <c r="F4566" s="1" t="s">
        <v>3810</v>
      </c>
      <c r="G4566" s="1">
        <v>2</v>
      </c>
      <c r="H4566" s="1" t="s">
        <v>19</v>
      </c>
      <c r="I4566" s="1" t="s">
        <v>3792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2070</v>
      </c>
    </row>
    <row r="4567" spans="1:14" ht="20.25" x14ac:dyDescent="0.25">
      <c r="A4567" s="1">
        <v>5</v>
      </c>
      <c r="B4567" s="159"/>
      <c r="C4567" s="1" t="s">
        <v>3804</v>
      </c>
      <c r="D4567" s="1"/>
      <c r="E4567" s="1" t="s">
        <v>3812</v>
      </c>
      <c r="F4567" s="1" t="s">
        <v>3810</v>
      </c>
      <c r="G4567" s="1">
        <v>4</v>
      </c>
      <c r="H4567" s="1" t="s">
        <v>19</v>
      </c>
      <c r="I4567" s="1" t="s">
        <v>3792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2070</v>
      </c>
    </row>
    <row r="4568" spans="1:14" ht="20.25" x14ac:dyDescent="0.25">
      <c r="A4568" s="1">
        <v>6</v>
      </c>
      <c r="B4568" s="159"/>
      <c r="C4568" s="1" t="s">
        <v>3804</v>
      </c>
      <c r="D4568" s="1"/>
      <c r="E4568" s="1" t="s">
        <v>3813</v>
      </c>
      <c r="F4568" s="1" t="s">
        <v>3810</v>
      </c>
      <c r="G4568" s="1">
        <v>2</v>
      </c>
      <c r="H4568" s="1" t="s">
        <v>19</v>
      </c>
      <c r="I4568" s="1" t="s">
        <v>3792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2070</v>
      </c>
    </row>
    <row r="4569" spans="1:14" ht="20.25" x14ac:dyDescent="0.25">
      <c r="A4569" s="1">
        <v>7</v>
      </c>
      <c r="B4569" s="159"/>
      <c r="C4569" s="1" t="s">
        <v>3823</v>
      </c>
      <c r="D4569" s="1"/>
      <c r="E4569" s="1" t="s">
        <v>3826</v>
      </c>
      <c r="F4569" s="1" t="s">
        <v>3810</v>
      </c>
      <c r="G4569" s="1">
        <v>2</v>
      </c>
      <c r="H4569" s="1" t="s">
        <v>19</v>
      </c>
      <c r="I4569" s="1" t="s">
        <v>3792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2070</v>
      </c>
    </row>
    <row r="4570" spans="1:14" ht="20.25" x14ac:dyDescent="0.25">
      <c r="A4570" s="1">
        <v>8</v>
      </c>
      <c r="B4570" s="159"/>
      <c r="C4570" s="1" t="s">
        <v>3823</v>
      </c>
      <c r="D4570" s="1"/>
      <c r="E4570" s="1" t="s">
        <v>3827</v>
      </c>
      <c r="F4570" s="1" t="s">
        <v>3810</v>
      </c>
      <c r="G4570" s="1">
        <v>2</v>
      </c>
      <c r="H4570" s="1" t="s">
        <v>19</v>
      </c>
      <c r="I4570" s="1" t="s">
        <v>3792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2070</v>
      </c>
    </row>
    <row r="4571" spans="1:14" ht="20.25" x14ac:dyDescent="0.25">
      <c r="A4571" s="1">
        <v>9</v>
      </c>
      <c r="B4571" s="159"/>
      <c r="C4571" s="1" t="s">
        <v>3823</v>
      </c>
      <c r="D4571" s="1"/>
      <c r="E4571" s="1" t="s">
        <v>3828</v>
      </c>
      <c r="F4571" s="1" t="s">
        <v>3810</v>
      </c>
      <c r="G4571" s="1">
        <v>6</v>
      </c>
      <c r="H4571" s="1" t="s">
        <v>19</v>
      </c>
      <c r="I4571" s="1" t="s">
        <v>3792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2070</v>
      </c>
    </row>
    <row r="4572" spans="1:14" ht="20.25" x14ac:dyDescent="0.25">
      <c r="A4572" s="1">
        <v>10</v>
      </c>
      <c r="B4572" s="159"/>
      <c r="C4572" s="1" t="s">
        <v>3823</v>
      </c>
      <c r="D4572" s="1"/>
      <c r="E4572" s="1" t="s">
        <v>3829</v>
      </c>
      <c r="F4572" s="1" t="s">
        <v>3810</v>
      </c>
      <c r="G4572" s="1">
        <v>4</v>
      </c>
      <c r="H4572" s="1" t="s">
        <v>19</v>
      </c>
      <c r="I4572" s="1" t="s">
        <v>3792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2070</v>
      </c>
    </row>
    <row r="4573" spans="1:14" ht="20.25" x14ac:dyDescent="0.25">
      <c r="A4573" s="1">
        <v>11</v>
      </c>
      <c r="B4573" s="159"/>
      <c r="C4573" s="1" t="s">
        <v>3860</v>
      </c>
      <c r="D4573" s="1"/>
      <c r="E4573" s="1" t="s">
        <v>3863</v>
      </c>
      <c r="F4573" s="1" t="s">
        <v>3810</v>
      </c>
      <c r="G4573" s="1">
        <v>10</v>
      </c>
      <c r="H4573" s="1" t="s">
        <v>19</v>
      </c>
      <c r="I4573" s="1" t="s">
        <v>3792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2070</v>
      </c>
    </row>
    <row r="4574" spans="1:14" ht="20.25" x14ac:dyDescent="0.25">
      <c r="A4574" s="1">
        <v>12</v>
      </c>
      <c r="B4574" s="159"/>
      <c r="C4574" s="1" t="s">
        <v>3860</v>
      </c>
      <c r="D4574" s="1"/>
      <c r="E4574" s="1" t="s">
        <v>3864</v>
      </c>
      <c r="F4574" s="1" t="s">
        <v>3810</v>
      </c>
      <c r="G4574" s="1">
        <v>2</v>
      </c>
      <c r="H4574" s="1" t="s">
        <v>19</v>
      </c>
      <c r="I4574" s="1" t="s">
        <v>3792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2070</v>
      </c>
    </row>
    <row r="4575" spans="1:14" ht="20.25" x14ac:dyDescent="0.25">
      <c r="A4575" s="1">
        <v>13</v>
      </c>
      <c r="B4575" s="159"/>
      <c r="C4575" s="1" t="s">
        <v>3860</v>
      </c>
      <c r="D4575" s="1"/>
      <c r="E4575" s="1" t="s">
        <v>3865</v>
      </c>
      <c r="F4575" s="1" t="s">
        <v>3810</v>
      </c>
      <c r="G4575" s="1">
        <v>2</v>
      </c>
      <c r="H4575" s="1" t="s">
        <v>19</v>
      </c>
      <c r="I4575" s="1" t="s">
        <v>3792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2070</v>
      </c>
    </row>
    <row r="4576" spans="1:14" ht="20.25" x14ac:dyDescent="0.25">
      <c r="A4576" s="1">
        <v>14</v>
      </c>
      <c r="B4576" s="159"/>
      <c r="C4576" s="1" t="s">
        <v>3866</v>
      </c>
      <c r="D4576" s="1"/>
      <c r="E4576" s="1" t="s">
        <v>3869</v>
      </c>
      <c r="F4576" s="1" t="s">
        <v>3810</v>
      </c>
      <c r="G4576" s="1">
        <v>2</v>
      </c>
      <c r="H4576" s="1" t="s">
        <v>19</v>
      </c>
      <c r="I4576" s="1" t="s">
        <v>3792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2070</v>
      </c>
    </row>
    <row r="4577" spans="1:14" ht="20.25" x14ac:dyDescent="0.25">
      <c r="A4577" s="1">
        <v>15</v>
      </c>
      <c r="B4577" s="159"/>
      <c r="C4577" s="1" t="s">
        <v>3866</v>
      </c>
      <c r="D4577" s="1"/>
      <c r="E4577" s="1" t="s">
        <v>3870</v>
      </c>
      <c r="F4577" s="1" t="s">
        <v>3810</v>
      </c>
      <c r="G4577" s="1">
        <v>2</v>
      </c>
      <c r="H4577" s="1" t="s">
        <v>19</v>
      </c>
      <c r="I4577" s="1" t="s">
        <v>3792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2070</v>
      </c>
    </row>
    <row r="4578" spans="1:14" ht="20.25" x14ac:dyDescent="0.25">
      <c r="A4578" s="1">
        <v>16</v>
      </c>
      <c r="B4578" s="159"/>
      <c r="C4578" s="1" t="s">
        <v>3866</v>
      </c>
      <c r="D4578" s="1"/>
      <c r="E4578" s="1" t="s">
        <v>3871</v>
      </c>
      <c r="F4578" s="1" t="s">
        <v>3810</v>
      </c>
      <c r="G4578" s="1">
        <v>2</v>
      </c>
      <c r="H4578" s="1" t="s">
        <v>19</v>
      </c>
      <c r="I4578" s="1" t="s">
        <v>3792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2070</v>
      </c>
    </row>
    <row r="4579" spans="1:14" ht="20.25" x14ac:dyDescent="0.25">
      <c r="A4579" s="1">
        <v>17</v>
      </c>
      <c r="B4579" s="159"/>
      <c r="C4579" s="1" t="s">
        <v>3866</v>
      </c>
      <c r="D4579" s="1"/>
      <c r="E4579" s="1" t="s">
        <v>3872</v>
      </c>
      <c r="F4579" s="1" t="s">
        <v>3810</v>
      </c>
      <c r="G4579" s="1">
        <v>2</v>
      </c>
      <c r="H4579" s="1" t="s">
        <v>19</v>
      </c>
      <c r="I4579" s="1" t="s">
        <v>3792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2070</v>
      </c>
    </row>
    <row r="4580" spans="1:14" ht="20.25" x14ac:dyDescent="0.25">
      <c r="A4580" s="1">
        <v>18</v>
      </c>
      <c r="B4580" s="159"/>
      <c r="C4580" s="1" t="s">
        <v>3866</v>
      </c>
      <c r="D4580" s="1"/>
      <c r="E4580" s="1" t="s">
        <v>3873</v>
      </c>
      <c r="F4580" s="1" t="s">
        <v>3810</v>
      </c>
      <c r="G4580" s="1">
        <v>2</v>
      </c>
      <c r="H4580" s="1" t="s">
        <v>19</v>
      </c>
      <c r="I4580" s="1" t="s">
        <v>3792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2070</v>
      </c>
    </row>
    <row r="4581" spans="1:14" ht="20.25" x14ac:dyDescent="0.25">
      <c r="A4581" s="1">
        <v>19</v>
      </c>
      <c r="B4581" s="159"/>
      <c r="C4581" s="1" t="s">
        <v>3866</v>
      </c>
      <c r="D4581" s="1"/>
      <c r="E4581" s="1" t="s">
        <v>3874</v>
      </c>
      <c r="F4581" s="1" t="s">
        <v>3810</v>
      </c>
      <c r="G4581" s="1">
        <v>4</v>
      </c>
      <c r="H4581" s="1" t="s">
        <v>19</v>
      </c>
      <c r="I4581" s="1" t="s">
        <v>3792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2070</v>
      </c>
    </row>
    <row r="4582" spans="1:14" ht="20.25" x14ac:dyDescent="0.25">
      <c r="A4582" s="1">
        <v>20</v>
      </c>
      <c r="B4582" s="159"/>
      <c r="C4582" s="1" t="s">
        <v>3875</v>
      </c>
      <c r="D4582" s="1"/>
      <c r="E4582" s="1" t="s">
        <v>3876</v>
      </c>
      <c r="F4582" s="1" t="s">
        <v>3810</v>
      </c>
      <c r="G4582" s="1">
        <v>12</v>
      </c>
      <c r="H4582" s="1" t="s">
        <v>19</v>
      </c>
      <c r="I4582" s="1" t="s">
        <v>3792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2070</v>
      </c>
    </row>
    <row r="4583" spans="1:14" ht="20.25" x14ac:dyDescent="0.25">
      <c r="A4583" s="1">
        <v>21</v>
      </c>
      <c r="B4583" s="159"/>
      <c r="C4583" s="1" t="s">
        <v>3877</v>
      </c>
      <c r="D4583" s="1"/>
      <c r="E4583" s="1" t="s">
        <v>3880</v>
      </c>
      <c r="F4583" s="1" t="s">
        <v>3810</v>
      </c>
      <c r="G4583" s="1">
        <v>12</v>
      </c>
      <c r="H4583" s="1" t="s">
        <v>19</v>
      </c>
      <c r="I4583" s="1" t="s">
        <v>3792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2070</v>
      </c>
    </row>
    <row r="4584" spans="1:14" ht="20.25" x14ac:dyDescent="0.25">
      <c r="A4584" s="1">
        <v>22</v>
      </c>
      <c r="B4584" s="159"/>
      <c r="C4584" s="1" t="s">
        <v>3906</v>
      </c>
      <c r="D4584" s="1"/>
      <c r="E4584" s="1" t="s">
        <v>3907</v>
      </c>
      <c r="F4584" s="1" t="s">
        <v>3908</v>
      </c>
      <c r="G4584" s="1">
        <v>1</v>
      </c>
      <c r="H4584" s="1" t="s">
        <v>19</v>
      </c>
      <c r="I4584" s="1" t="s">
        <v>2275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2070</v>
      </c>
    </row>
    <row r="4585" spans="1:14" ht="20.25" x14ac:dyDescent="0.25">
      <c r="A4585" s="1">
        <v>23</v>
      </c>
      <c r="B4585" s="159"/>
      <c r="C4585" s="1" t="s">
        <v>3906</v>
      </c>
      <c r="D4585" s="1"/>
      <c r="E4585" s="1" t="s">
        <v>3909</v>
      </c>
      <c r="F4585" s="1" t="s">
        <v>3910</v>
      </c>
      <c r="G4585" s="1">
        <v>1</v>
      </c>
      <c r="H4585" s="1" t="s">
        <v>19</v>
      </c>
      <c r="I4585" s="1" t="s">
        <v>2275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2070</v>
      </c>
    </row>
    <row r="4586" spans="1:14" ht="20.25" x14ac:dyDescent="0.25">
      <c r="A4586" s="1">
        <v>24</v>
      </c>
      <c r="B4586" s="159"/>
      <c r="C4586" s="1" t="s">
        <v>3906</v>
      </c>
      <c r="D4586" s="1"/>
      <c r="E4586" s="1" t="s">
        <v>3909</v>
      </c>
      <c r="F4586" s="1" t="s">
        <v>3910</v>
      </c>
      <c r="G4586" s="1">
        <v>1</v>
      </c>
      <c r="H4586" s="1" t="s">
        <v>19</v>
      </c>
      <c r="I4586" s="1" t="s">
        <v>2277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2070</v>
      </c>
    </row>
    <row r="4587" spans="1:14" ht="20.25" x14ac:dyDescent="0.25">
      <c r="A4587" s="1">
        <v>1</v>
      </c>
      <c r="B4587" s="159"/>
      <c r="C4587" s="1" t="s">
        <v>3781</v>
      </c>
      <c r="D4587" s="1"/>
      <c r="E4587" s="1" t="s">
        <v>3782</v>
      </c>
      <c r="F4587" s="1" t="s">
        <v>3783</v>
      </c>
      <c r="G4587" s="1">
        <v>1</v>
      </c>
      <c r="H4587" s="1" t="s">
        <v>19</v>
      </c>
      <c r="I4587" s="1" t="s">
        <v>2275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2070</v>
      </c>
    </row>
    <row r="4588" spans="1:14" ht="20.25" x14ac:dyDescent="0.25">
      <c r="A4588" s="1">
        <v>2</v>
      </c>
      <c r="B4588" s="159"/>
      <c r="C4588" s="1" t="s">
        <v>3781</v>
      </c>
      <c r="D4588" s="1"/>
      <c r="E4588" s="1" t="s">
        <v>3782</v>
      </c>
      <c r="F4588" s="1" t="s">
        <v>3783</v>
      </c>
      <c r="G4588" s="1">
        <v>1</v>
      </c>
      <c r="H4588" s="1" t="s">
        <v>19</v>
      </c>
      <c r="I4588" s="1" t="s">
        <v>2277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2070</v>
      </c>
    </row>
    <row r="4589" spans="1:14" ht="20.25" x14ac:dyDescent="0.25">
      <c r="A4589" s="1">
        <v>3</v>
      </c>
      <c r="B4589" s="159"/>
      <c r="C4589" s="1" t="s">
        <v>3785</v>
      </c>
      <c r="D4589" s="1"/>
      <c r="E4589" s="1" t="s">
        <v>3786</v>
      </c>
      <c r="F4589" s="1" t="s">
        <v>3783</v>
      </c>
      <c r="G4589" s="1">
        <v>1</v>
      </c>
      <c r="H4589" s="1" t="s">
        <v>19</v>
      </c>
      <c r="I4589" s="1" t="s">
        <v>2275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2070</v>
      </c>
    </row>
    <row r="4590" spans="1:14" ht="20.25" x14ac:dyDescent="0.25">
      <c r="A4590" s="1">
        <v>4</v>
      </c>
      <c r="B4590" s="159"/>
      <c r="C4590" s="1" t="s">
        <v>3785</v>
      </c>
      <c r="D4590" s="1"/>
      <c r="E4590" s="1" t="s">
        <v>3786</v>
      </c>
      <c r="F4590" s="1" t="s">
        <v>3783</v>
      </c>
      <c r="G4590" s="1">
        <v>1</v>
      </c>
      <c r="H4590" s="1" t="s">
        <v>19</v>
      </c>
      <c r="I4590" s="1" t="s">
        <v>2277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2070</v>
      </c>
    </row>
    <row r="4591" spans="1:14" ht="20.25" x14ac:dyDescent="0.25">
      <c r="A4591" s="1">
        <v>5</v>
      </c>
      <c r="B4591" s="159"/>
      <c r="C4591" s="1" t="s">
        <v>3915</v>
      </c>
      <c r="D4591" s="1"/>
      <c r="E4591" s="1" t="s">
        <v>3916</v>
      </c>
      <c r="F4591" s="1" t="s">
        <v>3917</v>
      </c>
      <c r="G4591" s="1">
        <v>30</v>
      </c>
      <c r="H4591" s="1" t="s">
        <v>19</v>
      </c>
      <c r="I4591" s="1" t="s">
        <v>3792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2070</v>
      </c>
    </row>
    <row r="4592" spans="1:14" ht="20.25" x14ac:dyDescent="0.25">
      <c r="A4592" s="1">
        <v>6</v>
      </c>
      <c r="B4592" s="159"/>
      <c r="C4592" s="1" t="s">
        <v>3915</v>
      </c>
      <c r="D4592" s="1"/>
      <c r="E4592" s="1" t="s">
        <v>3919</v>
      </c>
      <c r="F4592" s="1" t="s">
        <v>3920</v>
      </c>
      <c r="G4592" s="1">
        <v>30</v>
      </c>
      <c r="H4592" s="1" t="s">
        <v>19</v>
      </c>
      <c r="I4592" s="1" t="s">
        <v>3792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2070</v>
      </c>
    </row>
    <row r="4593" spans="1:14" ht="20.25" x14ac:dyDescent="0.25">
      <c r="A4593" s="1">
        <v>7</v>
      </c>
      <c r="B4593" s="159"/>
      <c r="C4593" s="1" t="s">
        <v>3915</v>
      </c>
      <c r="D4593" s="1"/>
      <c r="E4593" s="1" t="s">
        <v>3921</v>
      </c>
      <c r="F4593" s="1" t="s">
        <v>3922</v>
      </c>
      <c r="G4593" s="1">
        <v>40</v>
      </c>
      <c r="H4593" s="1" t="s">
        <v>19</v>
      </c>
      <c r="I4593" s="1" t="s">
        <v>3792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2070</v>
      </c>
    </row>
    <row r="4594" spans="1:14" ht="20.25" x14ac:dyDescent="0.25">
      <c r="A4594" s="1">
        <v>8</v>
      </c>
      <c r="B4594" s="159"/>
      <c r="C4594" s="1" t="s">
        <v>3915</v>
      </c>
      <c r="D4594" s="1"/>
      <c r="E4594" s="1" t="s">
        <v>3923</v>
      </c>
      <c r="F4594" s="1" t="s">
        <v>3924</v>
      </c>
      <c r="G4594" s="1">
        <v>10</v>
      </c>
      <c r="H4594" s="1" t="s">
        <v>19</v>
      </c>
      <c r="I4594" s="1" t="s">
        <v>3792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2070</v>
      </c>
    </row>
    <row r="4595" spans="1:14" ht="20.25" x14ac:dyDescent="0.25">
      <c r="A4595" s="1">
        <v>9</v>
      </c>
      <c r="B4595" s="159"/>
      <c r="C4595" s="1" t="s">
        <v>3915</v>
      </c>
      <c r="D4595" s="1"/>
      <c r="E4595" s="1" t="s">
        <v>3925</v>
      </c>
      <c r="F4595" s="1" t="s">
        <v>3926</v>
      </c>
      <c r="G4595" s="1">
        <v>10</v>
      </c>
      <c r="H4595" s="1" t="s">
        <v>19</v>
      </c>
      <c r="I4595" s="1" t="s">
        <v>3792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2070</v>
      </c>
    </row>
    <row r="4596" spans="1:14" ht="20.25" x14ac:dyDescent="0.25">
      <c r="A4596" s="1">
        <v>10</v>
      </c>
      <c r="B4596" s="159"/>
      <c r="C4596" s="1" t="s">
        <v>3915</v>
      </c>
      <c r="D4596" s="1"/>
      <c r="E4596" s="1" t="s">
        <v>3927</v>
      </c>
      <c r="F4596" s="1" t="s">
        <v>3928</v>
      </c>
      <c r="G4596" s="1">
        <v>22</v>
      </c>
      <c r="H4596" s="1" t="s">
        <v>19</v>
      </c>
      <c r="I4596" s="1" t="s">
        <v>3792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2070</v>
      </c>
    </row>
    <row r="4597" spans="1:14" ht="20.25" x14ac:dyDescent="0.25">
      <c r="A4597" s="1">
        <v>11</v>
      </c>
      <c r="B4597" s="159"/>
      <c r="C4597" s="1" t="s">
        <v>3915</v>
      </c>
      <c r="D4597" s="1"/>
      <c r="E4597" s="1" t="s">
        <v>3929</v>
      </c>
      <c r="F4597" s="1" t="s">
        <v>3930</v>
      </c>
      <c r="G4597" s="1">
        <v>2</v>
      </c>
      <c r="H4597" s="1" t="s">
        <v>19</v>
      </c>
      <c r="I4597" s="1" t="s">
        <v>3792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2070</v>
      </c>
    </row>
    <row r="4598" spans="1:14" ht="20.25" x14ac:dyDescent="0.25">
      <c r="A4598" s="1">
        <v>1</v>
      </c>
      <c r="B4598" s="159">
        <v>4057</v>
      </c>
      <c r="C4598" s="1" t="s">
        <v>3775</v>
      </c>
      <c r="D4598" s="1"/>
      <c r="E4598" s="1" t="s">
        <v>3780</v>
      </c>
      <c r="F4598" s="1" t="s">
        <v>3779</v>
      </c>
      <c r="G4598" s="1">
        <v>1</v>
      </c>
      <c r="H4598" s="1" t="s">
        <v>19</v>
      </c>
      <c r="I4598" s="1" t="s">
        <v>2275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2070</v>
      </c>
    </row>
    <row r="4599" spans="1:14" ht="20.25" x14ac:dyDescent="0.25">
      <c r="A4599" s="1">
        <v>2</v>
      </c>
      <c r="B4599" s="159">
        <v>4058</v>
      </c>
      <c r="C4599" s="1" t="s">
        <v>3775</v>
      </c>
      <c r="D4599" s="1"/>
      <c r="E4599" s="1" t="s">
        <v>3780</v>
      </c>
      <c r="F4599" s="1" t="s">
        <v>3779</v>
      </c>
      <c r="G4599" s="1">
        <v>1</v>
      </c>
      <c r="H4599" s="1" t="s">
        <v>19</v>
      </c>
      <c r="I4599" s="1" t="s">
        <v>2277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2070</v>
      </c>
    </row>
    <row r="4600" spans="1:14" ht="20.25" x14ac:dyDescent="0.25">
      <c r="A4600" s="1">
        <v>3</v>
      </c>
      <c r="B4600" s="159"/>
      <c r="C4600" s="1" t="s">
        <v>3866</v>
      </c>
      <c r="D4600" s="1"/>
      <c r="E4600" s="1" t="s">
        <v>4254</v>
      </c>
      <c r="F4600" s="1" t="s">
        <v>3806</v>
      </c>
      <c r="G4600" s="1">
        <v>2</v>
      </c>
      <c r="H4600" s="1" t="s">
        <v>19</v>
      </c>
      <c r="I4600" s="1" t="s">
        <v>3792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2070</v>
      </c>
    </row>
    <row r="4601" spans="1:14" ht="20.25" x14ac:dyDescent="0.25">
      <c r="A4601" s="1">
        <v>4</v>
      </c>
      <c r="B4601" s="159"/>
      <c r="C4601" s="1" t="s">
        <v>3932</v>
      </c>
      <c r="D4601" s="1"/>
      <c r="E4601" s="1" t="s">
        <v>3933</v>
      </c>
      <c r="F4601" s="1" t="s">
        <v>3783</v>
      </c>
      <c r="G4601" s="1">
        <v>1</v>
      </c>
      <c r="H4601" s="1" t="s">
        <v>19</v>
      </c>
      <c r="I4601" s="1" t="s">
        <v>2275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2070</v>
      </c>
    </row>
    <row r="4602" spans="1:14" ht="20.25" x14ac:dyDescent="0.25">
      <c r="A4602" s="1">
        <v>5</v>
      </c>
      <c r="B4602" s="159"/>
      <c r="C4602" s="1" t="s">
        <v>3932</v>
      </c>
      <c r="D4602" s="1"/>
      <c r="E4602" s="1" t="s">
        <v>3933</v>
      </c>
      <c r="F4602" s="1" t="s">
        <v>3783</v>
      </c>
      <c r="G4602" s="1">
        <v>1</v>
      </c>
      <c r="H4602" s="1" t="s">
        <v>19</v>
      </c>
      <c r="I4602" s="1" t="s">
        <v>2277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2070</v>
      </c>
    </row>
    <row r="4603" spans="1:14" ht="20.25" x14ac:dyDescent="0.25">
      <c r="A4603" s="1">
        <v>6</v>
      </c>
      <c r="B4603" s="159"/>
      <c r="C4603" s="1" t="s">
        <v>3935</v>
      </c>
      <c r="D4603" s="1"/>
      <c r="E4603" s="1" t="s">
        <v>3936</v>
      </c>
      <c r="F4603" s="1" t="s">
        <v>3783</v>
      </c>
      <c r="G4603" s="1">
        <v>1</v>
      </c>
      <c r="H4603" s="1" t="s">
        <v>19</v>
      </c>
      <c r="I4603" s="1" t="s">
        <v>2275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2070</v>
      </c>
    </row>
    <row r="4604" spans="1:14" ht="20.25" x14ac:dyDescent="0.25">
      <c r="A4604" s="1">
        <v>7</v>
      </c>
      <c r="B4604" s="159"/>
      <c r="C4604" s="1" t="s">
        <v>3935</v>
      </c>
      <c r="D4604" s="1"/>
      <c r="E4604" s="1" t="s">
        <v>3936</v>
      </c>
      <c r="F4604" s="1" t="s">
        <v>3783</v>
      </c>
      <c r="G4604" s="1">
        <v>1</v>
      </c>
      <c r="H4604" s="1" t="s">
        <v>19</v>
      </c>
      <c r="I4604" s="1" t="s">
        <v>2277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2070</v>
      </c>
    </row>
    <row r="4605" spans="1:14" ht="20.25" x14ac:dyDescent="0.25">
      <c r="A4605" s="1">
        <v>8</v>
      </c>
      <c r="B4605" s="159"/>
      <c r="C4605" s="1" t="s">
        <v>3937</v>
      </c>
      <c r="D4605" s="1"/>
      <c r="E4605" s="1" t="s">
        <v>3938</v>
      </c>
      <c r="F4605" s="1" t="s">
        <v>3939</v>
      </c>
      <c r="G4605" s="1">
        <v>1</v>
      </c>
      <c r="H4605" s="1" t="s">
        <v>19</v>
      </c>
      <c r="I4605" s="1" t="s">
        <v>2275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2070</v>
      </c>
    </row>
    <row r="4606" spans="1:14" ht="20.25" x14ac:dyDescent="0.25">
      <c r="A4606" s="1">
        <v>9</v>
      </c>
      <c r="B4606" s="159"/>
      <c r="C4606" s="1" t="s">
        <v>3937</v>
      </c>
      <c r="D4606" s="1"/>
      <c r="E4606" s="1" t="s">
        <v>3940</v>
      </c>
      <c r="F4606" s="1" t="s">
        <v>3939</v>
      </c>
      <c r="G4606" s="1">
        <v>1</v>
      </c>
      <c r="H4606" s="1" t="s">
        <v>19</v>
      </c>
      <c r="I4606" s="1" t="s">
        <v>2275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2070</v>
      </c>
    </row>
    <row r="4607" spans="1:14" ht="20.25" x14ac:dyDescent="0.25">
      <c r="A4607" s="1">
        <v>10</v>
      </c>
      <c r="B4607" s="159"/>
      <c r="C4607" s="1" t="s">
        <v>3937</v>
      </c>
      <c r="D4607" s="1"/>
      <c r="E4607" s="1" t="s">
        <v>3941</v>
      </c>
      <c r="F4607" s="1" t="s">
        <v>3939</v>
      </c>
      <c r="G4607" s="1">
        <v>1</v>
      </c>
      <c r="H4607" s="1" t="s">
        <v>19</v>
      </c>
      <c r="I4607" s="1" t="s">
        <v>2275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2070</v>
      </c>
    </row>
    <row r="4608" spans="1:14" ht="20.25" x14ac:dyDescent="0.25">
      <c r="A4608" s="1">
        <v>11</v>
      </c>
      <c r="B4608" s="159"/>
      <c r="C4608" s="1" t="s">
        <v>3937</v>
      </c>
      <c r="D4608" s="1"/>
      <c r="E4608" s="1" t="s">
        <v>3942</v>
      </c>
      <c r="F4608" s="1" t="s">
        <v>3939</v>
      </c>
      <c r="G4608" s="1">
        <v>1</v>
      </c>
      <c r="H4608" s="1" t="s">
        <v>19</v>
      </c>
      <c r="I4608" s="1" t="s">
        <v>2275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2070</v>
      </c>
    </row>
    <row r="4609" spans="1:14" ht="20.25" x14ac:dyDescent="0.25">
      <c r="A4609" s="1">
        <v>12</v>
      </c>
      <c r="B4609" s="159"/>
      <c r="C4609" s="1" t="s">
        <v>3937</v>
      </c>
      <c r="D4609" s="1"/>
      <c r="E4609" s="1" t="s">
        <v>3944</v>
      </c>
      <c r="F4609" s="1" t="s">
        <v>3939</v>
      </c>
      <c r="G4609" s="1">
        <v>1</v>
      </c>
      <c r="H4609" s="1" t="s">
        <v>19</v>
      </c>
      <c r="I4609" s="1" t="s">
        <v>2275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2070</v>
      </c>
    </row>
    <row r="4610" spans="1:14" ht="20.25" x14ac:dyDescent="0.25">
      <c r="A4610" s="1">
        <v>13</v>
      </c>
      <c r="B4610" s="159"/>
      <c r="C4610" s="1" t="s">
        <v>3937</v>
      </c>
      <c r="D4610" s="1"/>
      <c r="E4610" s="1" t="s">
        <v>3945</v>
      </c>
      <c r="F4610" s="1" t="s">
        <v>3939</v>
      </c>
      <c r="G4610" s="1">
        <v>1</v>
      </c>
      <c r="H4610" s="1" t="s">
        <v>19</v>
      </c>
      <c r="I4610" s="1" t="s">
        <v>2275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2070</v>
      </c>
    </row>
    <row r="4611" spans="1:14" ht="20.25" x14ac:dyDescent="0.25">
      <c r="A4611" s="1">
        <v>14</v>
      </c>
      <c r="B4611" s="159"/>
      <c r="C4611" s="1" t="s">
        <v>3937</v>
      </c>
      <c r="D4611" s="1"/>
      <c r="E4611" s="1" t="s">
        <v>3938</v>
      </c>
      <c r="F4611" s="1" t="s">
        <v>3939</v>
      </c>
      <c r="G4611" s="1">
        <v>1</v>
      </c>
      <c r="H4611" s="1" t="s">
        <v>19</v>
      </c>
      <c r="I4611" s="1" t="s">
        <v>2277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2070</v>
      </c>
    </row>
    <row r="4612" spans="1:14" ht="20.25" x14ac:dyDescent="0.25">
      <c r="A4612" s="1">
        <v>15</v>
      </c>
      <c r="B4612" s="159"/>
      <c r="C4612" s="1" t="s">
        <v>3937</v>
      </c>
      <c r="D4612" s="1"/>
      <c r="E4612" s="1" t="s">
        <v>3940</v>
      </c>
      <c r="F4612" s="1" t="s">
        <v>3939</v>
      </c>
      <c r="G4612" s="1">
        <v>1</v>
      </c>
      <c r="H4612" s="1" t="s">
        <v>19</v>
      </c>
      <c r="I4612" s="1" t="s">
        <v>2277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2070</v>
      </c>
    </row>
    <row r="4613" spans="1:14" ht="20.25" x14ac:dyDescent="0.25">
      <c r="A4613" s="1">
        <v>16</v>
      </c>
      <c r="B4613" s="159"/>
      <c r="C4613" s="1" t="s">
        <v>3937</v>
      </c>
      <c r="D4613" s="1"/>
      <c r="E4613" s="1" t="s">
        <v>3941</v>
      </c>
      <c r="F4613" s="1" t="s">
        <v>3939</v>
      </c>
      <c r="G4613" s="1">
        <v>1</v>
      </c>
      <c r="H4613" s="1" t="s">
        <v>19</v>
      </c>
      <c r="I4613" s="1" t="s">
        <v>2277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2070</v>
      </c>
    </row>
    <row r="4614" spans="1:14" ht="20.25" x14ac:dyDescent="0.25">
      <c r="A4614" s="1">
        <v>17</v>
      </c>
      <c r="B4614" s="159"/>
      <c r="C4614" s="1" t="s">
        <v>3937</v>
      </c>
      <c r="D4614" s="1"/>
      <c r="E4614" s="1" t="s">
        <v>3942</v>
      </c>
      <c r="F4614" s="1" t="s">
        <v>3939</v>
      </c>
      <c r="G4614" s="1">
        <v>1</v>
      </c>
      <c r="H4614" s="1" t="s">
        <v>19</v>
      </c>
      <c r="I4614" s="1" t="s">
        <v>2277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2070</v>
      </c>
    </row>
    <row r="4615" spans="1:14" ht="20.25" x14ac:dyDescent="0.25">
      <c r="A4615" s="1">
        <v>18</v>
      </c>
      <c r="B4615" s="159"/>
      <c r="C4615" s="1" t="s">
        <v>3937</v>
      </c>
      <c r="D4615" s="1"/>
      <c r="E4615" s="1" t="s">
        <v>3944</v>
      </c>
      <c r="F4615" s="1" t="s">
        <v>3939</v>
      </c>
      <c r="G4615" s="1">
        <v>1</v>
      </c>
      <c r="H4615" s="1" t="s">
        <v>19</v>
      </c>
      <c r="I4615" s="1" t="s">
        <v>2277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2070</v>
      </c>
    </row>
    <row r="4616" spans="1:14" ht="20.25" x14ac:dyDescent="0.25">
      <c r="A4616" s="1">
        <v>19</v>
      </c>
      <c r="B4616" s="159"/>
      <c r="C4616" s="1" t="s">
        <v>3937</v>
      </c>
      <c r="D4616" s="1"/>
      <c r="E4616" s="1" t="s">
        <v>3945</v>
      </c>
      <c r="F4616" s="1" t="s">
        <v>3939</v>
      </c>
      <c r="G4616" s="1">
        <v>1</v>
      </c>
      <c r="H4616" s="1" t="s">
        <v>19</v>
      </c>
      <c r="I4616" s="1" t="s">
        <v>2277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2070</v>
      </c>
    </row>
    <row r="4617" spans="1:14" ht="20.25" x14ac:dyDescent="0.25">
      <c r="A4617" s="1">
        <v>20</v>
      </c>
      <c r="B4617" s="159"/>
      <c r="C4617" s="1" t="s">
        <v>3973</v>
      </c>
      <c r="D4617" s="1"/>
      <c r="E4617" s="1" t="s">
        <v>3979</v>
      </c>
      <c r="F4617" s="1" t="s">
        <v>3980</v>
      </c>
      <c r="G4617" s="1">
        <v>2</v>
      </c>
      <c r="H4617" s="1" t="s">
        <v>19</v>
      </c>
      <c r="I4617" s="1" t="s">
        <v>2275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2070</v>
      </c>
    </row>
    <row r="4618" spans="1:14" ht="20.25" x14ac:dyDescent="0.25">
      <c r="A4618" s="1">
        <v>21</v>
      </c>
      <c r="B4618" s="159"/>
      <c r="C4618" s="1" t="s">
        <v>3973</v>
      </c>
      <c r="D4618" s="1"/>
      <c r="E4618" s="1" t="s">
        <v>3979</v>
      </c>
      <c r="F4618" s="1" t="s">
        <v>3980</v>
      </c>
      <c r="G4618" s="1">
        <v>2</v>
      </c>
      <c r="H4618" s="1" t="s">
        <v>19</v>
      </c>
      <c r="I4618" s="1" t="s">
        <v>2277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2070</v>
      </c>
    </row>
    <row r="4619" spans="1:14" ht="20.25" x14ac:dyDescent="0.25">
      <c r="A4619" s="1">
        <v>22</v>
      </c>
      <c r="B4619" s="159"/>
      <c r="C4619" s="1" t="s">
        <v>3981</v>
      </c>
      <c r="D4619" s="1"/>
      <c r="E4619" s="1" t="s">
        <v>3982</v>
      </c>
      <c r="F4619" s="1" t="s">
        <v>3983</v>
      </c>
      <c r="G4619" s="1">
        <v>1</v>
      </c>
      <c r="H4619" s="1" t="s">
        <v>19</v>
      </c>
      <c r="I4619" s="1" t="s">
        <v>2275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2070</v>
      </c>
    </row>
    <row r="4620" spans="1:14" ht="20.25" x14ac:dyDescent="0.25">
      <c r="A4620" s="1">
        <v>23</v>
      </c>
      <c r="B4620" s="159"/>
      <c r="C4620" s="1" t="s">
        <v>3981</v>
      </c>
      <c r="D4620" s="1"/>
      <c r="E4620" s="1" t="s">
        <v>3982</v>
      </c>
      <c r="F4620" s="1" t="s">
        <v>3983</v>
      </c>
      <c r="G4620" s="1">
        <v>1</v>
      </c>
      <c r="H4620" s="1" t="s">
        <v>19</v>
      </c>
      <c r="I4620" s="1" t="s">
        <v>2277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2070</v>
      </c>
    </row>
    <row r="4621" spans="1:14" ht="20.25" x14ac:dyDescent="0.25">
      <c r="A4621" s="1">
        <v>1</v>
      </c>
      <c r="B4621" s="159"/>
      <c r="C4621" s="1" t="s">
        <v>3814</v>
      </c>
      <c r="D4621" s="1"/>
      <c r="E4621" s="1" t="s">
        <v>3815</v>
      </c>
      <c r="F4621" s="1" t="s">
        <v>3816</v>
      </c>
      <c r="G4621" s="1">
        <v>3</v>
      </c>
      <c r="H4621" s="1" t="s">
        <v>19</v>
      </c>
      <c r="I4621" s="1" t="s">
        <v>3792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2070</v>
      </c>
    </row>
    <row r="4622" spans="1:14" ht="20.25" x14ac:dyDescent="0.25">
      <c r="A4622" s="1">
        <v>2</v>
      </c>
      <c r="B4622" s="159"/>
      <c r="C4622" s="1" t="s">
        <v>3877</v>
      </c>
      <c r="D4622" s="1"/>
      <c r="E4622" s="1" t="s">
        <v>3878</v>
      </c>
      <c r="F4622" s="1" t="s">
        <v>3806</v>
      </c>
      <c r="G4622" s="1">
        <v>2</v>
      </c>
      <c r="H4622" s="1" t="s">
        <v>19</v>
      </c>
      <c r="I4622" s="1" t="s">
        <v>3792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2070</v>
      </c>
    </row>
    <row r="4623" spans="1:14" ht="20.25" x14ac:dyDescent="0.25">
      <c r="A4623" s="1">
        <v>3</v>
      </c>
      <c r="B4623" s="159"/>
      <c r="C4623" s="1" t="s">
        <v>3877</v>
      </c>
      <c r="D4623" s="1"/>
      <c r="E4623" s="1" t="s">
        <v>3879</v>
      </c>
      <c r="F4623" s="1" t="s">
        <v>3808</v>
      </c>
      <c r="G4623" s="1">
        <v>2</v>
      </c>
      <c r="H4623" s="1" t="s">
        <v>19</v>
      </c>
      <c r="I4623" s="1" t="s">
        <v>3792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2070</v>
      </c>
    </row>
    <row r="4624" spans="1:14" ht="20.25" x14ac:dyDescent="0.25">
      <c r="A4624" s="1">
        <v>4</v>
      </c>
      <c r="B4624" s="159"/>
      <c r="C4624" s="1" t="s">
        <v>3839</v>
      </c>
      <c r="D4624" s="1"/>
      <c r="E4624" s="1" t="s">
        <v>3842</v>
      </c>
      <c r="F4624" s="1" t="s">
        <v>3820</v>
      </c>
      <c r="G4624" s="1">
        <v>2</v>
      </c>
      <c r="H4624" s="1" t="s">
        <v>19</v>
      </c>
      <c r="I4624" s="1" t="s">
        <v>3792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2070</v>
      </c>
    </row>
    <row r="4625" spans="1:14" ht="20.25" x14ac:dyDescent="0.25">
      <c r="A4625" s="1">
        <v>5</v>
      </c>
      <c r="B4625" s="159"/>
      <c r="C4625" s="1" t="s">
        <v>3839</v>
      </c>
      <c r="D4625" s="1"/>
      <c r="E4625" s="1" t="s">
        <v>3843</v>
      </c>
      <c r="F4625" s="1" t="s">
        <v>3822</v>
      </c>
      <c r="G4625" s="1">
        <v>2</v>
      </c>
      <c r="H4625" s="1" t="s">
        <v>19</v>
      </c>
      <c r="I4625" s="1" t="s">
        <v>3792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2070</v>
      </c>
    </row>
    <row r="4626" spans="1:14" ht="20.25" x14ac:dyDescent="0.25">
      <c r="A4626" s="1">
        <v>6</v>
      </c>
      <c r="B4626" s="159"/>
      <c r="C4626" s="1" t="s">
        <v>3844</v>
      </c>
      <c r="D4626" s="1"/>
      <c r="E4626" s="1" t="s">
        <v>3845</v>
      </c>
      <c r="F4626" s="1" t="s">
        <v>3846</v>
      </c>
      <c r="G4626" s="1">
        <v>2</v>
      </c>
      <c r="H4626" s="1" t="s">
        <v>19</v>
      </c>
      <c r="I4626" s="1" t="s">
        <v>3792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2070</v>
      </c>
    </row>
    <row r="4627" spans="1:14" ht="20.25" x14ac:dyDescent="0.25">
      <c r="A4627" s="1">
        <v>7</v>
      </c>
      <c r="B4627" s="159"/>
      <c r="C4627" s="1" t="s">
        <v>3830</v>
      </c>
      <c r="D4627" s="1"/>
      <c r="E4627" s="1" t="s">
        <v>3831</v>
      </c>
      <c r="F4627" s="1" t="s">
        <v>3816</v>
      </c>
      <c r="G4627" s="1">
        <v>4</v>
      </c>
      <c r="H4627" s="1" t="s">
        <v>19</v>
      </c>
      <c r="I4627" s="1" t="s">
        <v>3792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2070</v>
      </c>
    </row>
    <row r="4628" spans="1:14" ht="20.25" x14ac:dyDescent="0.25">
      <c r="A4628" s="1">
        <v>8</v>
      </c>
      <c r="B4628" s="159"/>
      <c r="C4628" s="1" t="s">
        <v>3834</v>
      </c>
      <c r="D4628" s="1"/>
      <c r="E4628" s="1" t="s">
        <v>3835</v>
      </c>
      <c r="F4628" s="1" t="s">
        <v>3816</v>
      </c>
      <c r="G4628" s="1">
        <v>2</v>
      </c>
      <c r="H4628" s="1" t="s">
        <v>19</v>
      </c>
      <c r="I4628" s="1" t="s">
        <v>3792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2070</v>
      </c>
    </row>
    <row r="4629" spans="1:14" ht="20.25" x14ac:dyDescent="0.25">
      <c r="A4629" s="1">
        <v>9</v>
      </c>
      <c r="B4629" s="159"/>
      <c r="C4629" s="1" t="s">
        <v>3834</v>
      </c>
      <c r="D4629" s="1"/>
      <c r="E4629" s="1" t="s">
        <v>3836</v>
      </c>
      <c r="F4629" s="1" t="s">
        <v>3818</v>
      </c>
      <c r="G4629" s="1">
        <v>2</v>
      </c>
      <c r="H4629" s="1" t="s">
        <v>19</v>
      </c>
      <c r="I4629" s="1" t="s">
        <v>3792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2070</v>
      </c>
    </row>
    <row r="4630" spans="1:14" ht="20.25" x14ac:dyDescent="0.25">
      <c r="A4630" s="1">
        <v>10</v>
      </c>
      <c r="B4630" s="159"/>
      <c r="C4630" s="1" t="s">
        <v>3834</v>
      </c>
      <c r="D4630" s="1"/>
      <c r="E4630" s="1" t="s">
        <v>3837</v>
      </c>
      <c r="F4630" s="1" t="s">
        <v>3820</v>
      </c>
      <c r="G4630" s="1">
        <v>2</v>
      </c>
      <c r="H4630" s="1" t="s">
        <v>19</v>
      </c>
      <c r="I4630" s="1" t="s">
        <v>3792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2070</v>
      </c>
    </row>
    <row r="4631" spans="1:14" ht="20.25" x14ac:dyDescent="0.25">
      <c r="A4631" s="1">
        <v>11</v>
      </c>
      <c r="B4631" s="159"/>
      <c r="C4631" s="1" t="s">
        <v>3839</v>
      </c>
      <c r="D4631" s="1"/>
      <c r="E4631" s="1" t="s">
        <v>3840</v>
      </c>
      <c r="F4631" s="1" t="s">
        <v>3816</v>
      </c>
      <c r="G4631" s="1">
        <v>2</v>
      </c>
      <c r="H4631" s="1" t="s">
        <v>19</v>
      </c>
      <c r="I4631" s="1" t="s">
        <v>3792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2070</v>
      </c>
    </row>
    <row r="4632" spans="1:14" ht="20.25" x14ac:dyDescent="0.25">
      <c r="A4632" s="1">
        <v>12</v>
      </c>
      <c r="B4632" s="159"/>
      <c r="C4632" s="1" t="s">
        <v>3814</v>
      </c>
      <c r="D4632" s="1"/>
      <c r="E4632" s="1" t="s">
        <v>3815</v>
      </c>
      <c r="F4632" s="1" t="s">
        <v>3816</v>
      </c>
      <c r="G4632" s="1">
        <v>1</v>
      </c>
      <c r="H4632" s="1" t="s">
        <v>19</v>
      </c>
      <c r="I4632" s="1" t="s">
        <v>3792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2070</v>
      </c>
    </row>
    <row r="4633" spans="1:14" ht="20.25" x14ac:dyDescent="0.25">
      <c r="A4633" s="1">
        <v>13</v>
      </c>
      <c r="B4633" s="159"/>
      <c r="C4633" s="1" t="s">
        <v>3834</v>
      </c>
      <c r="D4633" s="1"/>
      <c r="E4633" s="1" t="s">
        <v>3838</v>
      </c>
      <c r="F4633" s="1" t="s">
        <v>3822</v>
      </c>
      <c r="G4633" s="1">
        <v>2</v>
      </c>
      <c r="H4633" s="1" t="s">
        <v>19</v>
      </c>
      <c r="I4633" s="1" t="s">
        <v>3792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2070</v>
      </c>
    </row>
    <row r="4634" spans="1:14" ht="20.25" x14ac:dyDescent="0.25">
      <c r="A4634" s="1">
        <v>14</v>
      </c>
      <c r="B4634" s="159"/>
      <c r="C4634" s="1" t="s">
        <v>3844</v>
      </c>
      <c r="D4634" s="1"/>
      <c r="E4634" s="1" t="s">
        <v>3847</v>
      </c>
      <c r="F4634" s="1" t="s">
        <v>3848</v>
      </c>
      <c r="G4634" s="1">
        <v>4</v>
      </c>
      <c r="H4634" s="1" t="s">
        <v>19</v>
      </c>
      <c r="I4634" s="1" t="s">
        <v>3792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2070</v>
      </c>
    </row>
    <row r="4635" spans="1:14" ht="20.25" x14ac:dyDescent="0.25">
      <c r="A4635" s="1">
        <v>1</v>
      </c>
      <c r="B4635" s="159"/>
      <c r="C4635" s="1" t="s">
        <v>3866</v>
      </c>
      <c r="D4635" s="1"/>
      <c r="E4635" s="1" t="s">
        <v>3868</v>
      </c>
      <c r="F4635" s="1" t="s">
        <v>3808</v>
      </c>
      <c r="G4635" s="1">
        <v>2</v>
      </c>
      <c r="H4635" s="1" t="s">
        <v>19</v>
      </c>
      <c r="I4635" s="1" t="s">
        <v>3792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2070</v>
      </c>
    </row>
    <row r="4636" spans="1:14" ht="20.25" x14ac:dyDescent="0.25">
      <c r="A4636" s="1">
        <v>2</v>
      </c>
      <c r="B4636" s="159"/>
      <c r="C4636" s="1" t="s">
        <v>3851</v>
      </c>
      <c r="D4636" s="1"/>
      <c r="E4636" s="1" t="s">
        <v>3852</v>
      </c>
      <c r="F4636" s="1" t="s">
        <v>3816</v>
      </c>
      <c r="G4636" s="1">
        <v>4</v>
      </c>
      <c r="H4636" s="1" t="s">
        <v>19</v>
      </c>
      <c r="I4636" s="1" t="s">
        <v>3792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2070</v>
      </c>
    </row>
    <row r="4637" spans="1:14" ht="20.25" x14ac:dyDescent="0.25">
      <c r="A4637" s="1">
        <v>3</v>
      </c>
      <c r="B4637" s="159"/>
      <c r="C4637" s="1" t="s">
        <v>3851</v>
      </c>
      <c r="D4637" s="1"/>
      <c r="E4637" s="1" t="s">
        <v>3853</v>
      </c>
      <c r="F4637" s="1" t="s">
        <v>3818</v>
      </c>
      <c r="G4637" s="1">
        <v>2</v>
      </c>
      <c r="H4637" s="1" t="s">
        <v>19</v>
      </c>
      <c r="I4637" s="1" t="s">
        <v>3792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2070</v>
      </c>
    </row>
    <row r="4638" spans="1:14" ht="20.25" x14ac:dyDescent="0.25">
      <c r="A4638" s="1">
        <v>4</v>
      </c>
      <c r="B4638" s="159"/>
      <c r="C4638" s="1" t="s">
        <v>3851</v>
      </c>
      <c r="D4638" s="1"/>
      <c r="E4638" s="1" t="s">
        <v>3854</v>
      </c>
      <c r="F4638" s="1" t="s">
        <v>3820</v>
      </c>
      <c r="G4638" s="1">
        <v>2</v>
      </c>
      <c r="H4638" s="1" t="s">
        <v>19</v>
      </c>
      <c r="I4638" s="1" t="s">
        <v>3792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2070</v>
      </c>
    </row>
    <row r="4639" spans="1:14" ht="20.25" x14ac:dyDescent="0.25">
      <c r="A4639" s="1">
        <v>5</v>
      </c>
      <c r="B4639" s="159"/>
      <c r="C4639" s="1" t="s">
        <v>3851</v>
      </c>
      <c r="D4639" s="1"/>
      <c r="E4639" s="1" t="s">
        <v>3855</v>
      </c>
      <c r="F4639" s="1" t="s">
        <v>3822</v>
      </c>
      <c r="G4639" s="1">
        <v>2</v>
      </c>
      <c r="H4639" s="1" t="s">
        <v>19</v>
      </c>
      <c r="I4639" s="1" t="s">
        <v>3792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2070</v>
      </c>
    </row>
    <row r="4640" spans="1:14" ht="20.25" x14ac:dyDescent="0.25">
      <c r="A4640" s="1">
        <v>6</v>
      </c>
      <c r="B4640" s="159"/>
      <c r="C4640" s="1" t="s">
        <v>3851</v>
      </c>
      <c r="D4640" s="1"/>
      <c r="E4640" s="1" t="s">
        <v>3856</v>
      </c>
      <c r="F4640" s="1" t="s">
        <v>3846</v>
      </c>
      <c r="G4640" s="1">
        <v>2</v>
      </c>
      <c r="H4640" s="1" t="s">
        <v>19</v>
      </c>
      <c r="I4640" s="1" t="s">
        <v>3792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2070</v>
      </c>
    </row>
    <row r="4641" spans="1:14" ht="20.25" x14ac:dyDescent="0.25">
      <c r="A4641" s="1">
        <v>7</v>
      </c>
      <c r="B4641" s="159"/>
      <c r="C4641" s="1" t="s">
        <v>3804</v>
      </c>
      <c r="D4641" s="1"/>
      <c r="E4641" s="1" t="s">
        <v>3805</v>
      </c>
      <c r="F4641" s="1" t="s">
        <v>3806</v>
      </c>
      <c r="G4641" s="1">
        <v>2</v>
      </c>
      <c r="H4641" s="1" t="s">
        <v>19</v>
      </c>
      <c r="I4641" s="1" t="s">
        <v>3792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2070</v>
      </c>
    </row>
    <row r="4642" spans="1:14" ht="20.25" x14ac:dyDescent="0.25">
      <c r="A4642" s="1">
        <v>8</v>
      </c>
      <c r="B4642" s="159"/>
      <c r="C4642" s="1" t="s">
        <v>3804</v>
      </c>
      <c r="D4642" s="1"/>
      <c r="E4642" s="1" t="s">
        <v>3807</v>
      </c>
      <c r="F4642" s="1" t="s">
        <v>3808</v>
      </c>
      <c r="G4642" s="1">
        <v>2</v>
      </c>
      <c r="H4642" s="1" t="s">
        <v>19</v>
      </c>
      <c r="I4642" s="1" t="s">
        <v>3792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2070</v>
      </c>
    </row>
    <row r="4643" spans="1:14" ht="20.25" x14ac:dyDescent="0.25">
      <c r="A4643" s="1">
        <v>9</v>
      </c>
      <c r="B4643" s="159"/>
      <c r="C4643" s="1" t="s">
        <v>3875</v>
      </c>
      <c r="D4643" s="1"/>
      <c r="E4643" s="1" t="s">
        <v>4255</v>
      </c>
      <c r="F4643" s="1" t="s">
        <v>3816</v>
      </c>
      <c r="G4643" s="1">
        <v>4</v>
      </c>
      <c r="H4643" s="1" t="s">
        <v>19</v>
      </c>
      <c r="I4643" s="1" t="s">
        <v>3792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2070</v>
      </c>
    </row>
    <row r="4644" spans="1:14" ht="20.25" x14ac:dyDescent="0.25">
      <c r="A4644" s="1">
        <v>10</v>
      </c>
      <c r="B4644" s="159"/>
      <c r="C4644" s="1" t="s">
        <v>3875</v>
      </c>
      <c r="D4644" s="1"/>
      <c r="E4644" s="1" t="s">
        <v>4256</v>
      </c>
      <c r="F4644" s="1" t="s">
        <v>3818</v>
      </c>
      <c r="G4644" s="1">
        <v>4</v>
      </c>
      <c r="H4644" s="1" t="s">
        <v>19</v>
      </c>
      <c r="I4644" s="1" t="s">
        <v>3792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2070</v>
      </c>
    </row>
    <row r="4645" spans="1:14" ht="20.25" x14ac:dyDescent="0.25">
      <c r="A4645" s="1">
        <v>11</v>
      </c>
      <c r="B4645" s="159"/>
      <c r="C4645" s="1" t="s">
        <v>3877</v>
      </c>
      <c r="D4645" s="1"/>
      <c r="E4645" s="1" t="s">
        <v>3879</v>
      </c>
      <c r="F4645" s="1" t="s">
        <v>3881</v>
      </c>
      <c r="G4645" s="1">
        <v>8</v>
      </c>
      <c r="H4645" s="1" t="s">
        <v>19</v>
      </c>
      <c r="I4645" s="1" t="s">
        <v>3792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2070</v>
      </c>
    </row>
    <row r="4646" spans="1:14" ht="20.25" x14ac:dyDescent="0.25">
      <c r="A4646" s="1">
        <v>12</v>
      </c>
      <c r="B4646" s="159"/>
      <c r="C4646" s="1" t="s">
        <v>3860</v>
      </c>
      <c r="D4646" s="1"/>
      <c r="E4646" s="1" t="s">
        <v>4257</v>
      </c>
      <c r="F4646" s="1" t="s">
        <v>3806</v>
      </c>
      <c r="G4646" s="1">
        <v>2</v>
      </c>
      <c r="H4646" s="1" t="s">
        <v>19</v>
      </c>
      <c r="I4646" s="1" t="s">
        <v>3792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2070</v>
      </c>
    </row>
    <row r="4647" spans="1:14" ht="20.25" x14ac:dyDescent="0.25">
      <c r="A4647" s="1">
        <v>13</v>
      </c>
      <c r="B4647" s="159"/>
      <c r="C4647" s="1" t="s">
        <v>3875</v>
      </c>
      <c r="D4647" s="1"/>
      <c r="E4647" s="1" t="s">
        <v>4258</v>
      </c>
      <c r="F4647" s="1" t="s">
        <v>3806</v>
      </c>
      <c r="G4647" s="1">
        <v>2</v>
      </c>
      <c r="H4647" s="1" t="s">
        <v>19</v>
      </c>
      <c r="I4647" s="1" t="s">
        <v>3792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2070</v>
      </c>
    </row>
    <row r="4648" spans="1:14" ht="20.25" x14ac:dyDescent="0.25">
      <c r="A4648" s="1">
        <v>14</v>
      </c>
      <c r="B4648" s="159"/>
      <c r="C4648" s="1" t="s">
        <v>3875</v>
      </c>
      <c r="D4648" s="1"/>
      <c r="E4648" s="1" t="s">
        <v>4259</v>
      </c>
      <c r="F4648" s="1" t="s">
        <v>3808</v>
      </c>
      <c r="G4648" s="1">
        <v>2</v>
      </c>
      <c r="H4648" s="1" t="s">
        <v>19</v>
      </c>
      <c r="I4648" s="1" t="s">
        <v>3792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2070</v>
      </c>
    </row>
    <row r="4649" spans="1:14" ht="20.25" x14ac:dyDescent="0.25">
      <c r="A4649" s="1">
        <v>15</v>
      </c>
      <c r="B4649" s="159"/>
      <c r="C4649" s="1" t="s">
        <v>3781</v>
      </c>
      <c r="D4649" s="1"/>
      <c r="E4649" s="1" t="s">
        <v>3948</v>
      </c>
      <c r="F4649" s="1" t="s">
        <v>3949</v>
      </c>
      <c r="G4649" s="1">
        <v>2</v>
      </c>
      <c r="H4649" s="1" t="s">
        <v>19</v>
      </c>
      <c r="I4649" s="1" t="s">
        <v>2275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2070</v>
      </c>
    </row>
    <row r="4650" spans="1:14" ht="20.25" x14ac:dyDescent="0.25">
      <c r="A4650" s="1">
        <v>16</v>
      </c>
      <c r="B4650" s="159"/>
      <c r="C4650" s="1" t="s">
        <v>3781</v>
      </c>
      <c r="D4650" s="1"/>
      <c r="E4650" s="1" t="s">
        <v>3948</v>
      </c>
      <c r="F4650" s="1" t="s">
        <v>3949</v>
      </c>
      <c r="G4650" s="1">
        <v>2</v>
      </c>
      <c r="H4650" s="1" t="s">
        <v>19</v>
      </c>
      <c r="I4650" s="1" t="s">
        <v>2277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2070</v>
      </c>
    </row>
    <row r="4651" spans="1:14" ht="20.25" x14ac:dyDescent="0.25">
      <c r="A4651" s="1">
        <v>1</v>
      </c>
      <c r="B4651" s="159"/>
      <c r="C4651" s="1" t="s">
        <v>4260</v>
      </c>
      <c r="D4651" s="1"/>
      <c r="E4651" s="1"/>
      <c r="F4651" s="1" t="s">
        <v>4261</v>
      </c>
      <c r="G4651" s="1">
        <v>32</v>
      </c>
      <c r="H4651" s="1" t="s">
        <v>19</v>
      </c>
      <c r="I4651" s="1" t="s">
        <v>4088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2070</v>
      </c>
    </row>
    <row r="4652" spans="1:14" ht="20.25" x14ac:dyDescent="0.25">
      <c r="A4652" s="1">
        <v>2</v>
      </c>
      <c r="B4652" s="159"/>
      <c r="C4652" s="1" t="s">
        <v>4262</v>
      </c>
      <c r="D4652" s="1"/>
      <c r="E4652" s="1"/>
      <c r="F4652" s="1" t="s">
        <v>4263</v>
      </c>
      <c r="G4652" s="1">
        <v>1144</v>
      </c>
      <c r="H4652" s="1" t="s">
        <v>19</v>
      </c>
      <c r="I4652" s="1" t="s">
        <v>4088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2070</v>
      </c>
    </row>
    <row r="4653" spans="1:14" ht="20.25" x14ac:dyDescent="0.25">
      <c r="A4653" s="1">
        <v>3</v>
      </c>
      <c r="B4653" s="159"/>
      <c r="C4653" s="1" t="s">
        <v>3950</v>
      </c>
      <c r="D4653" s="1"/>
      <c r="E4653" s="1"/>
      <c r="F4653" s="1" t="s">
        <v>4264</v>
      </c>
      <c r="G4653" s="1">
        <v>264</v>
      </c>
      <c r="H4653" s="1" t="s">
        <v>19</v>
      </c>
      <c r="I4653" s="1" t="s">
        <v>4088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2070</v>
      </c>
    </row>
    <row r="4654" spans="1:14" ht="20.25" x14ac:dyDescent="0.25">
      <c r="A4654" s="1">
        <v>4</v>
      </c>
      <c r="B4654" s="159"/>
      <c r="C4654" s="1" t="s">
        <v>3950</v>
      </c>
      <c r="D4654" s="1"/>
      <c r="E4654" s="1"/>
      <c r="F4654" s="1" t="s">
        <v>4265</v>
      </c>
      <c r="G4654" s="1">
        <v>672</v>
      </c>
      <c r="H4654" s="1" t="s">
        <v>19</v>
      </c>
      <c r="I4654" s="1" t="s">
        <v>4088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2070</v>
      </c>
    </row>
    <row r="4655" spans="1:14" ht="20.25" x14ac:dyDescent="0.25">
      <c r="A4655" s="1">
        <v>5</v>
      </c>
      <c r="B4655" s="159"/>
      <c r="C4655" s="1" t="s">
        <v>3882</v>
      </c>
      <c r="D4655" s="1"/>
      <c r="E4655" s="1"/>
      <c r="F4655" s="1" t="s">
        <v>4266</v>
      </c>
      <c r="G4655" s="1">
        <v>8</v>
      </c>
      <c r="H4655" s="1" t="s">
        <v>19</v>
      </c>
      <c r="I4655" s="1" t="s">
        <v>4088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2070</v>
      </c>
    </row>
    <row r="4656" spans="1:14" ht="20.25" x14ac:dyDescent="0.25">
      <c r="A4656" s="1">
        <v>6</v>
      </c>
      <c r="B4656" s="159"/>
      <c r="C4656" s="1" t="s">
        <v>3911</v>
      </c>
      <c r="D4656" s="1"/>
      <c r="E4656" s="1"/>
      <c r="F4656" s="1" t="s">
        <v>4267</v>
      </c>
      <c r="G4656" s="1">
        <v>8</v>
      </c>
      <c r="H4656" s="1" t="s">
        <v>19</v>
      </c>
      <c r="I4656" s="1" t="s">
        <v>4088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2070</v>
      </c>
    </row>
    <row r="4657" spans="1:14" ht="20.25" x14ac:dyDescent="0.25">
      <c r="A4657" s="1">
        <v>7</v>
      </c>
      <c r="B4657" s="159"/>
      <c r="C4657" s="1" t="s">
        <v>4268</v>
      </c>
      <c r="D4657" s="1"/>
      <c r="E4657" s="1"/>
      <c r="F4657" s="1" t="s">
        <v>4269</v>
      </c>
      <c r="G4657" s="1">
        <v>4</v>
      </c>
      <c r="H4657" s="1" t="s">
        <v>19</v>
      </c>
      <c r="I4657" s="1" t="s">
        <v>4088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2070</v>
      </c>
    </row>
    <row r="4658" spans="1:14" ht="20.25" x14ac:dyDescent="0.25">
      <c r="A4658" s="1">
        <v>8</v>
      </c>
      <c r="B4658" s="159"/>
      <c r="C4658" s="1" t="s">
        <v>4268</v>
      </c>
      <c r="D4658" s="1"/>
      <c r="E4658" s="1"/>
      <c r="F4658" s="1" t="s">
        <v>4270</v>
      </c>
      <c r="G4658" s="1">
        <v>40</v>
      </c>
      <c r="H4658" s="1" t="s">
        <v>19</v>
      </c>
      <c r="I4658" s="1" t="s">
        <v>4088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2070</v>
      </c>
    </row>
    <row r="4659" spans="1:14" ht="20.25" x14ac:dyDescent="0.25">
      <c r="A4659" s="1">
        <v>9</v>
      </c>
      <c r="B4659" s="159"/>
      <c r="C4659" s="1" t="s">
        <v>3981</v>
      </c>
      <c r="D4659" s="1"/>
      <c r="E4659" s="1"/>
      <c r="F4659" s="1" t="s">
        <v>4271</v>
      </c>
      <c r="G4659" s="1">
        <v>50</v>
      </c>
      <c r="H4659" s="1" t="s">
        <v>1254</v>
      </c>
      <c r="I4659" s="1" t="s">
        <v>4088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2070</v>
      </c>
    </row>
    <row r="4660" spans="1:14" ht="20.25" x14ac:dyDescent="0.25">
      <c r="A4660" s="1">
        <v>10</v>
      </c>
      <c r="B4660" s="159"/>
      <c r="C4660" s="1" t="s">
        <v>3775</v>
      </c>
      <c r="D4660" s="1"/>
      <c r="E4660" s="1"/>
      <c r="F4660" s="1" t="s">
        <v>4244</v>
      </c>
      <c r="G4660" s="1">
        <v>32</v>
      </c>
      <c r="H4660" s="1" t="s">
        <v>19</v>
      </c>
      <c r="I4660" s="1" t="s">
        <v>4088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2070</v>
      </c>
    </row>
    <row r="4661" spans="1:14" ht="20.25" x14ac:dyDescent="0.25">
      <c r="A4661" s="1">
        <v>11</v>
      </c>
      <c r="B4661" s="159"/>
      <c r="C4661" s="1" t="s">
        <v>4272</v>
      </c>
      <c r="D4661" s="1"/>
      <c r="E4661" s="1"/>
      <c r="F4661" s="1" t="s">
        <v>4273</v>
      </c>
      <c r="G4661" s="1">
        <v>32</v>
      </c>
      <c r="H4661" s="1" t="s">
        <v>19</v>
      </c>
      <c r="I4661" s="1" t="s">
        <v>4088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2070</v>
      </c>
    </row>
    <row r="4662" spans="1:14" ht="20.25" x14ac:dyDescent="0.25">
      <c r="A4662" s="1">
        <v>12</v>
      </c>
      <c r="B4662" s="159"/>
      <c r="C4662" s="1" t="s">
        <v>4272</v>
      </c>
      <c r="D4662" s="1"/>
      <c r="E4662" s="1"/>
      <c r="F4662" s="1" t="s">
        <v>4274</v>
      </c>
      <c r="G4662" s="1">
        <v>16</v>
      </c>
      <c r="H4662" s="1" t="s">
        <v>19</v>
      </c>
      <c r="I4662" s="1" t="s">
        <v>4088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2070</v>
      </c>
    </row>
    <row r="4663" spans="1:14" ht="20.25" x14ac:dyDescent="0.25">
      <c r="A4663" s="1">
        <v>13</v>
      </c>
      <c r="B4663" s="159"/>
      <c r="C4663" s="1" t="s">
        <v>4272</v>
      </c>
      <c r="D4663" s="1"/>
      <c r="E4663" s="1"/>
      <c r="F4663" s="1" t="s">
        <v>4275</v>
      </c>
      <c r="G4663" s="1">
        <v>4</v>
      </c>
      <c r="H4663" s="1" t="s">
        <v>19</v>
      </c>
      <c r="I4663" s="1" t="s">
        <v>4088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2070</v>
      </c>
    </row>
    <row r="4664" spans="1:14" ht="20.25" x14ac:dyDescent="0.25">
      <c r="A4664" s="1">
        <v>14</v>
      </c>
      <c r="B4664" s="159"/>
      <c r="C4664" s="1" t="s">
        <v>4276</v>
      </c>
      <c r="D4664" s="1"/>
      <c r="E4664" s="1"/>
      <c r="F4664" s="1" t="s">
        <v>4277</v>
      </c>
      <c r="G4664" s="1">
        <v>72</v>
      </c>
      <c r="H4664" s="1" t="s">
        <v>19</v>
      </c>
      <c r="I4664" s="1" t="s">
        <v>4088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2070</v>
      </c>
    </row>
    <row r="4665" spans="1:14" ht="20.25" x14ac:dyDescent="0.25">
      <c r="A4665" s="1">
        <v>15</v>
      </c>
      <c r="B4665" s="159"/>
      <c r="C4665" s="1" t="s">
        <v>4146</v>
      </c>
      <c r="D4665" s="1"/>
      <c r="E4665" s="1"/>
      <c r="F4665" s="1" t="s">
        <v>4278</v>
      </c>
      <c r="G4665" s="1">
        <v>8</v>
      </c>
      <c r="H4665" s="1" t="s">
        <v>19</v>
      </c>
      <c r="I4665" s="1" t="s">
        <v>4088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2070</v>
      </c>
    </row>
    <row r="4666" spans="1:14" ht="20.25" x14ac:dyDescent="0.25">
      <c r="A4666" s="1">
        <v>16</v>
      </c>
      <c r="B4666" s="159"/>
      <c r="C4666" s="1" t="s">
        <v>4146</v>
      </c>
      <c r="D4666" s="1"/>
      <c r="E4666" s="1"/>
      <c r="F4666" s="1" t="s">
        <v>4279</v>
      </c>
      <c r="G4666" s="1">
        <v>8</v>
      </c>
      <c r="H4666" s="1" t="s">
        <v>19</v>
      </c>
      <c r="I4666" s="1" t="s">
        <v>4088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2070</v>
      </c>
    </row>
    <row r="4667" spans="1:14" ht="20.25" x14ac:dyDescent="0.25">
      <c r="A4667" s="1">
        <v>17</v>
      </c>
      <c r="B4667" s="159"/>
      <c r="C4667" s="1" t="s">
        <v>4146</v>
      </c>
      <c r="D4667" s="1"/>
      <c r="E4667" s="1"/>
      <c r="F4667" s="1" t="s">
        <v>4280</v>
      </c>
      <c r="G4667" s="1">
        <v>8</v>
      </c>
      <c r="H4667" s="1" t="s">
        <v>19</v>
      </c>
      <c r="I4667" s="1" t="s">
        <v>4088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2070</v>
      </c>
    </row>
    <row r="4668" spans="1:14" ht="20.25" x14ac:dyDescent="0.25">
      <c r="A4668" s="1">
        <v>18</v>
      </c>
      <c r="B4668" s="159"/>
      <c r="C4668" s="1" t="s">
        <v>4163</v>
      </c>
      <c r="D4668" s="1"/>
      <c r="E4668" s="1"/>
      <c r="F4668" s="1" t="s">
        <v>4281</v>
      </c>
      <c r="G4668" s="1">
        <v>360</v>
      </c>
      <c r="H4668" s="1" t="s">
        <v>19</v>
      </c>
      <c r="I4668" s="1" t="s">
        <v>4088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2070</v>
      </c>
    </row>
    <row r="4669" spans="1:14" ht="20.25" x14ac:dyDescent="0.25">
      <c r="A4669" s="1">
        <v>19</v>
      </c>
      <c r="B4669" s="159"/>
      <c r="C4669" s="1" t="s">
        <v>4168</v>
      </c>
      <c r="D4669" s="1"/>
      <c r="E4669" s="1"/>
      <c r="F4669" s="1" t="s">
        <v>4282</v>
      </c>
      <c r="G4669" s="1">
        <v>216</v>
      </c>
      <c r="H4669" s="1" t="s">
        <v>19</v>
      </c>
      <c r="I4669" s="1" t="s">
        <v>4088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2070</v>
      </c>
    </row>
    <row r="4670" spans="1:14" ht="20.25" x14ac:dyDescent="0.25">
      <c r="A4670" s="1">
        <v>20</v>
      </c>
      <c r="B4670" s="159"/>
      <c r="C4670" s="1" t="s">
        <v>4168</v>
      </c>
      <c r="D4670" s="1"/>
      <c r="E4670" s="1"/>
      <c r="F4670" s="1" t="s">
        <v>4283</v>
      </c>
      <c r="G4670" s="1">
        <v>216</v>
      </c>
      <c r="H4670" s="1" t="s">
        <v>19</v>
      </c>
      <c r="I4670" s="1" t="s">
        <v>4088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2070</v>
      </c>
    </row>
    <row r="4671" spans="1:14" ht="20.25" x14ac:dyDescent="0.25">
      <c r="A4671" s="1">
        <v>21</v>
      </c>
      <c r="B4671" s="159"/>
      <c r="C4671" s="1" t="s">
        <v>4172</v>
      </c>
      <c r="D4671" s="1"/>
      <c r="E4671" s="1"/>
      <c r="F4671" s="1" t="s">
        <v>4284</v>
      </c>
      <c r="G4671" s="1">
        <v>176</v>
      </c>
      <c r="H4671" s="1" t="s">
        <v>19</v>
      </c>
      <c r="I4671" s="1" t="s">
        <v>4088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2070</v>
      </c>
    </row>
    <row r="4672" spans="1:14" ht="20.25" x14ac:dyDescent="0.25">
      <c r="A4672" s="1">
        <v>22</v>
      </c>
      <c r="B4672" s="159"/>
      <c r="C4672" s="1" t="s">
        <v>4175</v>
      </c>
      <c r="D4672" s="1"/>
      <c r="E4672" s="1"/>
      <c r="F4672" s="1" t="s">
        <v>4285</v>
      </c>
      <c r="G4672" s="1">
        <v>160</v>
      </c>
      <c r="H4672" s="1" t="s">
        <v>19</v>
      </c>
      <c r="I4672" s="1" t="s">
        <v>4088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2070</v>
      </c>
    </row>
    <row r="4673" spans="1:14" ht="20.25" x14ac:dyDescent="0.25">
      <c r="A4673" s="1">
        <v>23</v>
      </c>
      <c r="B4673" s="159"/>
      <c r="C4673" s="1" t="s">
        <v>4178</v>
      </c>
      <c r="D4673" s="1"/>
      <c r="E4673" s="1"/>
      <c r="F4673" s="1" t="s">
        <v>4286</v>
      </c>
      <c r="G4673" s="1">
        <v>96</v>
      </c>
      <c r="H4673" s="1" t="s">
        <v>19</v>
      </c>
      <c r="I4673" s="1" t="s">
        <v>4088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2070</v>
      </c>
    </row>
    <row r="4674" spans="1:14" ht="20.25" x14ac:dyDescent="0.25">
      <c r="A4674" s="1">
        <v>24</v>
      </c>
      <c r="B4674" s="159"/>
      <c r="C4674" s="1" t="s">
        <v>4181</v>
      </c>
      <c r="D4674" s="1"/>
      <c r="E4674" s="1"/>
      <c r="F4674" s="1" t="s">
        <v>4287</v>
      </c>
      <c r="G4674" s="1">
        <v>96</v>
      </c>
      <c r="H4674" s="1" t="s">
        <v>19</v>
      </c>
      <c r="I4674" s="1" t="s">
        <v>4088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2070</v>
      </c>
    </row>
    <row r="4675" spans="1:14" ht="20.25" x14ac:dyDescent="0.25">
      <c r="A4675" s="1">
        <v>25</v>
      </c>
      <c r="B4675" s="159"/>
      <c r="C4675" s="1" t="s">
        <v>4184</v>
      </c>
      <c r="D4675" s="1"/>
      <c r="E4675" s="1"/>
      <c r="F4675" s="1" t="s">
        <v>4288</v>
      </c>
      <c r="G4675" s="1">
        <v>56</v>
      </c>
      <c r="H4675" s="1" t="s">
        <v>19</v>
      </c>
      <c r="I4675" s="1" t="s">
        <v>4088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2070</v>
      </c>
    </row>
    <row r="4676" spans="1:14" ht="20.25" x14ac:dyDescent="0.25">
      <c r="A4676" s="1">
        <v>26</v>
      </c>
      <c r="B4676" s="159"/>
      <c r="C4676" s="1" t="s">
        <v>4187</v>
      </c>
      <c r="D4676" s="1"/>
      <c r="E4676" s="1"/>
      <c r="F4676" s="1" t="s">
        <v>4289</v>
      </c>
      <c r="G4676" s="1">
        <v>128</v>
      </c>
      <c r="H4676" s="1" t="s">
        <v>19</v>
      </c>
      <c r="I4676" s="1" t="s">
        <v>4088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2070</v>
      </c>
    </row>
    <row r="4677" spans="1:14" ht="20.25" x14ac:dyDescent="0.25">
      <c r="A4677" s="1">
        <v>27</v>
      </c>
      <c r="B4677" s="159"/>
      <c r="C4677" s="1" t="s">
        <v>4190</v>
      </c>
      <c r="D4677" s="1"/>
      <c r="E4677" s="1"/>
      <c r="F4677" s="1" t="s">
        <v>4290</v>
      </c>
      <c r="G4677" s="1">
        <v>112</v>
      </c>
      <c r="H4677" s="1" t="s">
        <v>19</v>
      </c>
      <c r="I4677" s="1" t="s">
        <v>4088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2070</v>
      </c>
    </row>
    <row r="4678" spans="1:14" ht="20.25" x14ac:dyDescent="0.25">
      <c r="A4678" s="1">
        <v>28</v>
      </c>
      <c r="B4678" s="159"/>
      <c r="C4678" s="1" t="s">
        <v>4194</v>
      </c>
      <c r="D4678" s="1"/>
      <c r="E4678" s="1"/>
      <c r="F4678" s="1" t="s">
        <v>4291</v>
      </c>
      <c r="G4678" s="1">
        <v>96</v>
      </c>
      <c r="H4678" s="1" t="s">
        <v>19</v>
      </c>
      <c r="I4678" s="1" t="s">
        <v>4088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2070</v>
      </c>
    </row>
    <row r="4679" spans="1:14" ht="20.25" x14ac:dyDescent="0.25">
      <c r="A4679" s="1">
        <v>29</v>
      </c>
      <c r="B4679" s="159"/>
      <c r="C4679" s="1" t="s">
        <v>4198</v>
      </c>
      <c r="D4679" s="1"/>
      <c r="E4679" s="1"/>
      <c r="F4679" s="1" t="s">
        <v>4292</v>
      </c>
      <c r="G4679" s="1">
        <v>112</v>
      </c>
      <c r="H4679" s="1" t="s">
        <v>19</v>
      </c>
      <c r="I4679" s="1" t="s">
        <v>4088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2070</v>
      </c>
    </row>
    <row r="4680" spans="1:14" ht="20.25" x14ac:dyDescent="0.25">
      <c r="A4680" s="1">
        <v>30</v>
      </c>
      <c r="B4680" s="159"/>
      <c r="C4680" s="1" t="s">
        <v>4202</v>
      </c>
      <c r="D4680" s="1"/>
      <c r="E4680" s="1"/>
      <c r="F4680" s="1" t="s">
        <v>4293</v>
      </c>
      <c r="G4680" s="1">
        <v>112</v>
      </c>
      <c r="H4680" s="1" t="s">
        <v>19</v>
      </c>
      <c r="I4680" s="1" t="s">
        <v>4088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2070</v>
      </c>
    </row>
    <row r="4681" spans="1:14" ht="20.25" x14ac:dyDescent="0.25">
      <c r="A4681" s="1">
        <v>31</v>
      </c>
      <c r="B4681" s="159"/>
      <c r="C4681" s="1" t="s">
        <v>4206</v>
      </c>
      <c r="D4681" s="1"/>
      <c r="E4681" s="1"/>
      <c r="F4681" s="1" t="s">
        <v>4293</v>
      </c>
      <c r="G4681" s="1">
        <v>208</v>
      </c>
      <c r="H4681" s="1" t="s">
        <v>19</v>
      </c>
      <c r="I4681" s="1" t="s">
        <v>4088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2070</v>
      </c>
    </row>
    <row r="4682" spans="1:14" ht="20.25" x14ac:dyDescent="0.25">
      <c r="A4682" s="1">
        <v>32</v>
      </c>
      <c r="B4682" s="159"/>
      <c r="C4682" s="1" t="s">
        <v>4206</v>
      </c>
      <c r="D4682" s="1"/>
      <c r="E4682" s="1"/>
      <c r="F4682" s="1" t="s">
        <v>4294</v>
      </c>
      <c r="G4682" s="1">
        <v>208</v>
      </c>
      <c r="H4682" s="1" t="s">
        <v>19</v>
      </c>
      <c r="I4682" s="1" t="s">
        <v>4088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2070</v>
      </c>
    </row>
    <row r="4683" spans="1:14" ht="20.25" x14ac:dyDescent="0.25">
      <c r="A4683" s="1">
        <v>33</v>
      </c>
      <c r="B4683" s="159"/>
      <c r="C4683" s="1" t="s">
        <v>4209</v>
      </c>
      <c r="D4683" s="1"/>
      <c r="E4683" s="1"/>
      <c r="F4683" s="1" t="s">
        <v>4295</v>
      </c>
      <c r="G4683" s="1">
        <v>384</v>
      </c>
      <c r="H4683" s="1" t="s">
        <v>19</v>
      </c>
      <c r="I4683" s="1" t="s">
        <v>4088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2070</v>
      </c>
    </row>
    <row r="4684" spans="1:14" ht="20.25" x14ac:dyDescent="0.25">
      <c r="A4684" s="1">
        <v>34</v>
      </c>
      <c r="B4684" s="159"/>
      <c r="C4684" s="1" t="s">
        <v>4213</v>
      </c>
      <c r="D4684" s="1"/>
      <c r="E4684" s="1"/>
      <c r="F4684" s="1" t="s">
        <v>4296</v>
      </c>
      <c r="G4684" s="1">
        <v>8</v>
      </c>
      <c r="H4684" s="1" t="s">
        <v>19</v>
      </c>
      <c r="I4684" s="1" t="s">
        <v>4088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2070</v>
      </c>
    </row>
    <row r="4685" spans="1:14" ht="20.25" x14ac:dyDescent="0.25">
      <c r="A4685" s="1">
        <v>35</v>
      </c>
      <c r="B4685" s="159"/>
      <c r="C4685" s="1" t="s">
        <v>4236</v>
      </c>
      <c r="D4685" s="1"/>
      <c r="E4685" s="1"/>
      <c r="F4685" s="1" t="s">
        <v>4297</v>
      </c>
      <c r="G4685" s="1">
        <v>664</v>
      </c>
      <c r="H4685" s="1" t="s">
        <v>19</v>
      </c>
      <c r="I4685" s="1" t="s">
        <v>4088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2070</v>
      </c>
    </row>
    <row r="4686" spans="1:14" ht="20.25" x14ac:dyDescent="0.25">
      <c r="A4686" s="1">
        <v>36</v>
      </c>
      <c r="B4686" s="159"/>
      <c r="C4686" s="1" t="s">
        <v>3766</v>
      </c>
      <c r="D4686" s="1"/>
      <c r="E4686" s="1" t="s">
        <v>3767</v>
      </c>
      <c r="F4686" s="1" t="s">
        <v>3768</v>
      </c>
      <c r="G4686" s="1">
        <v>2</v>
      </c>
      <c r="H4686" s="1" t="s">
        <v>19</v>
      </c>
      <c r="I4686" s="1" t="s">
        <v>2275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2070</v>
      </c>
    </row>
    <row r="4687" spans="1:14" ht="20.25" x14ac:dyDescent="0.25">
      <c r="A4687" s="1">
        <v>37</v>
      </c>
      <c r="B4687" s="159"/>
      <c r="C4687" s="1" t="s">
        <v>3766</v>
      </c>
      <c r="D4687" s="1"/>
      <c r="E4687" s="1" t="s">
        <v>3770</v>
      </c>
      <c r="F4687" s="1" t="s">
        <v>3768</v>
      </c>
      <c r="G4687" s="1">
        <v>4</v>
      </c>
      <c r="H4687" s="1" t="s">
        <v>19</v>
      </c>
      <c r="I4687" s="1" t="s">
        <v>2275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2070</v>
      </c>
    </row>
    <row r="4688" spans="1:14" ht="20.25" x14ac:dyDescent="0.25">
      <c r="A4688" s="1">
        <v>38</v>
      </c>
      <c r="B4688" s="159"/>
      <c r="C4688" s="1" t="s">
        <v>3766</v>
      </c>
      <c r="D4688" s="1"/>
      <c r="E4688" s="1" t="s">
        <v>3767</v>
      </c>
      <c r="F4688" s="1" t="s">
        <v>3768</v>
      </c>
      <c r="G4688" s="1">
        <v>2</v>
      </c>
      <c r="H4688" s="1" t="s">
        <v>19</v>
      </c>
      <c r="I4688" s="1" t="s">
        <v>2277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2070</v>
      </c>
    </row>
    <row r="4689" spans="1:14" ht="20.25" x14ac:dyDescent="0.25">
      <c r="A4689" s="1">
        <v>39</v>
      </c>
      <c r="B4689" s="159"/>
      <c r="C4689" s="1" t="s">
        <v>3766</v>
      </c>
      <c r="D4689" s="1"/>
      <c r="E4689" s="1" t="s">
        <v>3770</v>
      </c>
      <c r="F4689" s="1" t="s">
        <v>3768</v>
      </c>
      <c r="G4689" s="1">
        <v>4</v>
      </c>
      <c r="H4689" s="1" t="s">
        <v>19</v>
      </c>
      <c r="I4689" s="1" t="s">
        <v>2277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2070</v>
      </c>
    </row>
    <row r="4690" spans="1:14" ht="20.25" x14ac:dyDescent="0.25">
      <c r="A4690" s="1">
        <v>40</v>
      </c>
      <c r="B4690" s="159"/>
      <c r="C4690" s="1" t="s">
        <v>3775</v>
      </c>
      <c r="D4690" s="1"/>
      <c r="E4690" s="1" t="s">
        <v>3778</v>
      </c>
      <c r="F4690" s="1" t="s">
        <v>3779</v>
      </c>
      <c r="G4690" s="1">
        <v>1</v>
      </c>
      <c r="H4690" s="1" t="s">
        <v>19</v>
      </c>
      <c r="I4690" s="1" t="s">
        <v>2275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2070</v>
      </c>
    </row>
    <row r="4691" spans="1:14" ht="20.25" x14ac:dyDescent="0.25">
      <c r="A4691" s="1">
        <v>41</v>
      </c>
      <c r="B4691" s="159"/>
      <c r="C4691" s="1" t="s">
        <v>3775</v>
      </c>
      <c r="D4691" s="1"/>
      <c r="E4691" s="1" t="s">
        <v>3778</v>
      </c>
      <c r="F4691" s="1" t="s">
        <v>3779</v>
      </c>
      <c r="G4691" s="1">
        <v>1</v>
      </c>
      <c r="H4691" s="1" t="s">
        <v>19</v>
      </c>
      <c r="I4691" s="1" t="s">
        <v>2277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2070</v>
      </c>
    </row>
    <row r="4692" spans="1:14" ht="20.25" x14ac:dyDescent="0.25">
      <c r="A4692" s="1">
        <v>42</v>
      </c>
      <c r="B4692" s="159"/>
      <c r="C4692" s="1" t="s">
        <v>3844</v>
      </c>
      <c r="D4692" s="1"/>
      <c r="E4692" s="1" t="s">
        <v>4298</v>
      </c>
      <c r="F4692" s="1" t="s">
        <v>3850</v>
      </c>
      <c r="G4692" s="1">
        <v>4</v>
      </c>
      <c r="H4692" s="1" t="s">
        <v>19</v>
      </c>
      <c r="I4692" s="1" t="s">
        <v>3792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2070</v>
      </c>
    </row>
    <row r="4693" spans="1:14" ht="20.25" x14ac:dyDescent="0.25">
      <c r="A4693" s="1">
        <v>43</v>
      </c>
      <c r="B4693" s="159"/>
      <c r="C4693" s="1" t="s">
        <v>3902</v>
      </c>
      <c r="D4693" s="1"/>
      <c r="E4693" s="1" t="s">
        <v>3903</v>
      </c>
      <c r="F4693" s="1" t="s">
        <v>3904</v>
      </c>
      <c r="G4693" s="1">
        <v>1</v>
      </c>
      <c r="H4693" s="1" t="s">
        <v>19</v>
      </c>
      <c r="I4693" s="1" t="s">
        <v>2275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2070</v>
      </c>
    </row>
    <row r="4694" spans="1:14" ht="20.25" x14ac:dyDescent="0.25">
      <c r="A4694" s="1">
        <v>44</v>
      </c>
      <c r="B4694" s="159"/>
      <c r="C4694" s="1" t="s">
        <v>3902</v>
      </c>
      <c r="D4694" s="1"/>
      <c r="E4694" s="1" t="s">
        <v>3903</v>
      </c>
      <c r="F4694" s="1" t="s">
        <v>3904</v>
      </c>
      <c r="G4694" s="1">
        <v>1</v>
      </c>
      <c r="H4694" s="1" t="s">
        <v>19</v>
      </c>
      <c r="I4694" s="1" t="s">
        <v>2277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2070</v>
      </c>
    </row>
    <row r="4695" spans="1:14" ht="20.25" x14ac:dyDescent="0.25">
      <c r="A4695" s="1">
        <v>45</v>
      </c>
      <c r="B4695" s="159"/>
      <c r="C4695" s="1" t="s">
        <v>3915</v>
      </c>
      <c r="D4695" s="1"/>
      <c r="E4695" s="1" t="s">
        <v>4299</v>
      </c>
      <c r="F4695" s="1" t="s">
        <v>3899</v>
      </c>
      <c r="G4695" s="1">
        <v>60</v>
      </c>
      <c r="H4695" s="1" t="s">
        <v>19</v>
      </c>
      <c r="I4695" s="1" t="s">
        <v>3792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2070</v>
      </c>
    </row>
    <row r="4696" spans="1:14" ht="20.25" x14ac:dyDescent="0.25">
      <c r="A4696" s="1">
        <v>46</v>
      </c>
      <c r="B4696" s="159"/>
      <c r="C4696" s="1" t="s">
        <v>3937</v>
      </c>
      <c r="D4696" s="1"/>
      <c r="E4696" s="1" t="s">
        <v>3943</v>
      </c>
      <c r="F4696" s="1" t="s">
        <v>3939</v>
      </c>
      <c r="G4696" s="1">
        <v>1</v>
      </c>
      <c r="H4696" s="1" t="s">
        <v>19</v>
      </c>
      <c r="I4696" s="1" t="s">
        <v>2275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2070</v>
      </c>
    </row>
    <row r="4697" spans="1:14" ht="20.25" x14ac:dyDescent="0.25">
      <c r="A4697" s="1">
        <v>47</v>
      </c>
      <c r="B4697" s="159"/>
      <c r="C4697" s="1" t="s">
        <v>3937</v>
      </c>
      <c r="D4697" s="1"/>
      <c r="E4697" s="1" t="s">
        <v>3943</v>
      </c>
      <c r="F4697" s="1" t="s">
        <v>3939</v>
      </c>
      <c r="G4697" s="1">
        <v>1</v>
      </c>
      <c r="H4697" s="1" t="s">
        <v>19</v>
      </c>
      <c r="I4697" s="1" t="s">
        <v>2277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2070</v>
      </c>
    </row>
    <row r="4698" spans="1:14" ht="20.25" x14ac:dyDescent="0.25">
      <c r="A4698" s="1">
        <v>48</v>
      </c>
      <c r="B4698" s="159"/>
      <c r="C4698" s="1" t="s">
        <v>3973</v>
      </c>
      <c r="D4698" s="1"/>
      <c r="E4698" s="1" t="s">
        <v>3974</v>
      </c>
      <c r="F4698" s="1" t="s">
        <v>3975</v>
      </c>
      <c r="G4698" s="1">
        <v>1</v>
      </c>
      <c r="H4698" s="1" t="s">
        <v>19</v>
      </c>
      <c r="I4698" s="1" t="s">
        <v>2275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2070</v>
      </c>
    </row>
    <row r="4699" spans="1:14" ht="20.25" x14ac:dyDescent="0.25">
      <c r="A4699" s="1">
        <v>49</v>
      </c>
      <c r="B4699" s="159"/>
      <c r="C4699" s="1" t="s">
        <v>3973</v>
      </c>
      <c r="D4699" s="1"/>
      <c r="E4699" s="1" t="s">
        <v>3977</v>
      </c>
      <c r="F4699" s="1" t="s">
        <v>3978</v>
      </c>
      <c r="G4699" s="1">
        <v>8</v>
      </c>
      <c r="H4699" s="1" t="s">
        <v>19</v>
      </c>
      <c r="I4699" s="1" t="s">
        <v>2275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2070</v>
      </c>
    </row>
    <row r="4700" spans="1:14" ht="20.25" x14ac:dyDescent="0.25">
      <c r="A4700" s="1">
        <v>50</v>
      </c>
      <c r="B4700" s="159"/>
      <c r="C4700" s="1" t="s">
        <v>3973</v>
      </c>
      <c r="D4700" s="1"/>
      <c r="E4700" s="1" t="s">
        <v>3977</v>
      </c>
      <c r="F4700" s="1" t="s">
        <v>3978</v>
      </c>
      <c r="G4700" s="1">
        <v>8</v>
      </c>
      <c r="H4700" s="1" t="s">
        <v>19</v>
      </c>
      <c r="I4700" s="1" t="s">
        <v>2277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2070</v>
      </c>
    </row>
    <row r="4701" spans="1:14" ht="20.25" x14ac:dyDescent="0.25">
      <c r="A4701" s="1">
        <v>51</v>
      </c>
      <c r="B4701" s="159"/>
      <c r="C4701" s="1" t="s">
        <v>3981</v>
      </c>
      <c r="D4701" s="1"/>
      <c r="E4701" s="1" t="s">
        <v>3982</v>
      </c>
      <c r="F4701" s="1" t="s">
        <v>3984</v>
      </c>
      <c r="G4701" s="1">
        <v>4</v>
      </c>
      <c r="H4701" s="1" t="s">
        <v>19</v>
      </c>
      <c r="I4701" s="1" t="s">
        <v>2275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2070</v>
      </c>
    </row>
    <row r="4702" spans="1:14" ht="20.25" x14ac:dyDescent="0.25">
      <c r="A4702" s="1">
        <v>52</v>
      </c>
      <c r="B4702" s="159"/>
      <c r="C4702" s="1" t="s">
        <v>3981</v>
      </c>
      <c r="D4702" s="1"/>
      <c r="E4702" s="1" t="s">
        <v>3982</v>
      </c>
      <c r="F4702" s="1" t="s">
        <v>3984</v>
      </c>
      <c r="G4702" s="1">
        <v>4</v>
      </c>
      <c r="H4702" s="1" t="s">
        <v>19</v>
      </c>
      <c r="I4702" s="1" t="s">
        <v>2277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2070</v>
      </c>
    </row>
    <row r="4703" spans="1:14" ht="20.25" x14ac:dyDescent="0.25">
      <c r="A4703" s="1">
        <v>53</v>
      </c>
      <c r="B4703" s="159"/>
      <c r="C4703" s="1" t="s">
        <v>3906</v>
      </c>
      <c r="D4703" s="1"/>
      <c r="E4703" s="1" t="s">
        <v>3907</v>
      </c>
      <c r="F4703" s="1" t="s">
        <v>3908</v>
      </c>
      <c r="G4703" s="1">
        <v>1</v>
      </c>
      <c r="H4703" s="1" t="s">
        <v>19</v>
      </c>
      <c r="I4703" s="1" t="s">
        <v>2275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2070</v>
      </c>
    </row>
    <row r="4704" spans="1:14" ht="20.25" x14ac:dyDescent="0.25">
      <c r="A4704" s="1">
        <v>54</v>
      </c>
      <c r="B4704" s="159"/>
      <c r="C4704" s="1" t="s">
        <v>3906</v>
      </c>
      <c r="D4704" s="1"/>
      <c r="E4704" s="1" t="s">
        <v>3907</v>
      </c>
      <c r="F4704" s="1" t="s">
        <v>3908</v>
      </c>
      <c r="G4704" s="1">
        <v>1</v>
      </c>
      <c r="H4704" s="1" t="s">
        <v>19</v>
      </c>
      <c r="I4704" s="1" t="s">
        <v>2277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2070</v>
      </c>
    </row>
    <row r="4705" spans="1:14" ht="20.25" x14ac:dyDescent="0.25">
      <c r="A4705" s="1">
        <v>1</v>
      </c>
      <c r="B4705" s="159"/>
      <c r="C4705" s="1" t="s">
        <v>3814</v>
      </c>
      <c r="D4705" s="1"/>
      <c r="E4705" s="1" t="s">
        <v>3817</v>
      </c>
      <c r="F4705" s="1" t="s">
        <v>3818</v>
      </c>
      <c r="G4705" s="1">
        <v>4</v>
      </c>
      <c r="H4705" s="1" t="s">
        <v>19</v>
      </c>
      <c r="I4705" s="1" t="s">
        <v>3792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2070</v>
      </c>
    </row>
    <row r="4706" spans="1:14" ht="20.25" x14ac:dyDescent="0.25">
      <c r="A4706" s="1">
        <v>2</v>
      </c>
      <c r="B4706" s="159"/>
      <c r="C4706" s="1" t="s">
        <v>3814</v>
      </c>
      <c r="D4706" s="1"/>
      <c r="E4706" s="1" t="s">
        <v>3819</v>
      </c>
      <c r="F4706" s="1" t="s">
        <v>3820</v>
      </c>
      <c r="G4706" s="1">
        <v>4</v>
      </c>
      <c r="H4706" s="1" t="s">
        <v>19</v>
      </c>
      <c r="I4706" s="1" t="s">
        <v>3792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2070</v>
      </c>
    </row>
    <row r="4707" spans="1:14" ht="20.25" x14ac:dyDescent="0.25">
      <c r="A4707" s="1">
        <v>3</v>
      </c>
      <c r="B4707" s="159"/>
      <c r="C4707" s="1" t="s">
        <v>3823</v>
      </c>
      <c r="D4707" s="1"/>
      <c r="E4707" s="1" t="s">
        <v>3824</v>
      </c>
      <c r="F4707" s="1" t="s">
        <v>3806</v>
      </c>
      <c r="G4707" s="1">
        <v>2</v>
      </c>
      <c r="H4707" s="1" t="s">
        <v>19</v>
      </c>
      <c r="I4707" s="1" t="s">
        <v>3792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2070</v>
      </c>
    </row>
    <row r="4708" spans="1:14" ht="20.25" x14ac:dyDescent="0.25">
      <c r="A4708" s="1">
        <v>4</v>
      </c>
      <c r="B4708" s="159"/>
      <c r="C4708" s="1" t="s">
        <v>3823</v>
      </c>
      <c r="D4708" s="1"/>
      <c r="E4708" s="1" t="s">
        <v>3825</v>
      </c>
      <c r="F4708" s="1" t="s">
        <v>3808</v>
      </c>
      <c r="G4708" s="1">
        <v>2</v>
      </c>
      <c r="H4708" s="1" t="s">
        <v>19</v>
      </c>
      <c r="I4708" s="1" t="s">
        <v>3792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2070</v>
      </c>
    </row>
    <row r="4709" spans="1:14" ht="20.25" x14ac:dyDescent="0.25">
      <c r="A4709" s="1">
        <v>5</v>
      </c>
      <c r="B4709" s="159"/>
      <c r="C4709" s="1" t="s">
        <v>3830</v>
      </c>
      <c r="D4709" s="1"/>
      <c r="E4709" s="1" t="s">
        <v>3832</v>
      </c>
      <c r="F4709" s="1" t="s">
        <v>3818</v>
      </c>
      <c r="G4709" s="1">
        <v>4</v>
      </c>
      <c r="H4709" s="1" t="s">
        <v>19</v>
      </c>
      <c r="I4709" s="1" t="s">
        <v>3792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2070</v>
      </c>
    </row>
    <row r="4710" spans="1:14" ht="20.25" x14ac:dyDescent="0.25">
      <c r="A4710" s="1">
        <v>6</v>
      </c>
      <c r="B4710" s="159"/>
      <c r="C4710" s="1" t="s">
        <v>3839</v>
      </c>
      <c r="D4710" s="1"/>
      <c r="E4710" s="1" t="s">
        <v>3841</v>
      </c>
      <c r="F4710" s="1" t="s">
        <v>3818</v>
      </c>
      <c r="G4710" s="1">
        <v>4</v>
      </c>
      <c r="H4710" s="1" t="s">
        <v>19</v>
      </c>
      <c r="I4710" s="1" t="s">
        <v>3792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2070</v>
      </c>
    </row>
    <row r="4711" spans="1:14" ht="20.25" x14ac:dyDescent="0.25">
      <c r="A4711" s="1">
        <v>7</v>
      </c>
      <c r="B4711" s="159"/>
      <c r="C4711" s="1" t="s">
        <v>3860</v>
      </c>
      <c r="D4711" s="1"/>
      <c r="E4711" s="1" t="s">
        <v>3862</v>
      </c>
      <c r="F4711" s="1" t="s">
        <v>3808</v>
      </c>
      <c r="G4711" s="1">
        <v>2</v>
      </c>
      <c r="H4711" s="1" t="s">
        <v>19</v>
      </c>
      <c r="I4711" s="1" t="s">
        <v>3792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2070</v>
      </c>
    </row>
    <row r="4712" spans="1:14" ht="20.25" x14ac:dyDescent="0.25">
      <c r="A4712" s="1">
        <v>8</v>
      </c>
      <c r="B4712" s="159"/>
      <c r="C4712" s="1" t="s">
        <v>3973</v>
      </c>
      <c r="D4712" s="1"/>
      <c r="E4712" s="1" t="s">
        <v>3974</v>
      </c>
      <c r="F4712" s="1" t="s">
        <v>3975</v>
      </c>
      <c r="G4712" s="1">
        <v>1</v>
      </c>
      <c r="H4712" s="1" t="s">
        <v>19</v>
      </c>
      <c r="I4712" s="1" t="s">
        <v>2277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2070</v>
      </c>
    </row>
    <row r="4713" spans="1:14" ht="20.25" x14ac:dyDescent="0.25">
      <c r="A4713" s="1">
        <v>9</v>
      </c>
      <c r="B4713" s="159"/>
      <c r="C4713" s="1" t="s">
        <v>3775</v>
      </c>
      <c r="D4713" s="1"/>
      <c r="E4713" s="1" t="s">
        <v>4004</v>
      </c>
      <c r="F4713" s="1" t="s">
        <v>4005</v>
      </c>
      <c r="G4713" s="1">
        <v>1</v>
      </c>
      <c r="H4713" s="1" t="s">
        <v>19</v>
      </c>
      <c r="I4713" s="1" t="s">
        <v>2275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2070</v>
      </c>
    </row>
    <row r="4714" spans="1:14" ht="20.25" x14ac:dyDescent="0.25">
      <c r="A4714" s="1">
        <v>10</v>
      </c>
      <c r="B4714" s="159"/>
      <c r="C4714" s="1" t="s">
        <v>3775</v>
      </c>
      <c r="D4714" s="1"/>
      <c r="E4714" s="1" t="s">
        <v>4004</v>
      </c>
      <c r="F4714" s="1" t="s">
        <v>4005</v>
      </c>
      <c r="G4714" s="1">
        <v>1</v>
      </c>
      <c r="H4714" s="1" t="s">
        <v>19</v>
      </c>
      <c r="I4714" s="1" t="s">
        <v>2277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2070</v>
      </c>
    </row>
    <row r="4715" spans="1:14" ht="20.25" x14ac:dyDescent="0.25">
      <c r="A4715" s="1">
        <v>1</v>
      </c>
      <c r="B4715" s="159">
        <v>3720</v>
      </c>
      <c r="C4715" s="1" t="s">
        <v>227</v>
      </c>
      <c r="D4715" s="1" t="s">
        <v>4449</v>
      </c>
      <c r="E4715" s="1" t="s">
        <v>2</v>
      </c>
      <c r="F4715" s="1" t="s">
        <v>3011</v>
      </c>
      <c r="G4715" s="1">
        <v>10</v>
      </c>
      <c r="H4715" s="1" t="s">
        <v>19</v>
      </c>
      <c r="I4715" s="1" t="s">
        <v>4450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2547</v>
      </c>
      <c r="D4716" s="1"/>
      <c r="E4716" s="1"/>
      <c r="F4716" s="1" t="s">
        <v>2548</v>
      </c>
      <c r="G4716" s="1">
        <v>2</v>
      </c>
      <c r="H4716" s="1" t="s">
        <v>19</v>
      </c>
      <c r="I4716" s="1" t="s">
        <v>3739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2552</v>
      </c>
    </row>
    <row r="4717" spans="1:14" ht="20.25" x14ac:dyDescent="0.25">
      <c r="A4717" s="1">
        <v>2</v>
      </c>
      <c r="B4717" s="159">
        <v>3420</v>
      </c>
      <c r="C4717" s="1" t="s">
        <v>2547</v>
      </c>
      <c r="D4717" s="1"/>
      <c r="E4717" s="1"/>
      <c r="F4717" s="1" t="s">
        <v>2549</v>
      </c>
      <c r="G4717" s="1">
        <v>1</v>
      </c>
      <c r="H4717" s="1" t="s">
        <v>19</v>
      </c>
      <c r="I4717" s="1" t="s">
        <v>3739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2552</v>
      </c>
    </row>
    <row r="4718" spans="1:14" ht="20.25" x14ac:dyDescent="0.25">
      <c r="A4718" s="1">
        <v>3</v>
      </c>
      <c r="B4718" s="159">
        <v>3421</v>
      </c>
      <c r="C4718" s="1" t="s">
        <v>2547</v>
      </c>
      <c r="D4718" s="1"/>
      <c r="E4718" s="1"/>
      <c r="F4718" s="1" t="s">
        <v>2550</v>
      </c>
      <c r="G4718" s="1">
        <v>1</v>
      </c>
      <c r="H4718" s="1" t="s">
        <v>19</v>
      </c>
      <c r="I4718" s="1" t="s">
        <v>3739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2552</v>
      </c>
    </row>
    <row r="4719" spans="1:14" ht="20.25" x14ac:dyDescent="0.25">
      <c r="A4719" s="1">
        <v>4</v>
      </c>
      <c r="B4719" s="159">
        <v>3422</v>
      </c>
      <c r="C4719" s="1" t="s">
        <v>4332</v>
      </c>
      <c r="D4719" s="1"/>
      <c r="E4719" s="1"/>
      <c r="F4719" s="1" t="s">
        <v>4333</v>
      </c>
      <c r="G4719" s="1">
        <v>2</v>
      </c>
      <c r="H4719" s="1" t="s">
        <v>19</v>
      </c>
      <c r="I4719" s="1" t="s">
        <v>3739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2552</v>
      </c>
    </row>
    <row r="4720" spans="1:14" ht="20.25" x14ac:dyDescent="0.25">
      <c r="A4720" s="1">
        <v>5</v>
      </c>
      <c r="B4720" s="159">
        <v>3426</v>
      </c>
      <c r="C4720" s="1" t="s">
        <v>2554</v>
      </c>
      <c r="D4720" s="1"/>
      <c r="E4720" s="1" t="s">
        <v>2</v>
      </c>
      <c r="F4720" s="1" t="s">
        <v>4336</v>
      </c>
      <c r="G4720" s="1">
        <v>1</v>
      </c>
      <c r="H4720" s="1" t="s">
        <v>19</v>
      </c>
      <c r="I4720" s="1" t="s">
        <v>3739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2552</v>
      </c>
    </row>
    <row r="4721" spans="1:14" ht="20.25" x14ac:dyDescent="0.25">
      <c r="A4721" s="1">
        <v>6</v>
      </c>
      <c r="B4721" s="159">
        <v>3427</v>
      </c>
      <c r="C4721" s="1" t="s">
        <v>2554</v>
      </c>
      <c r="D4721" s="1"/>
      <c r="E4721" s="1" t="s">
        <v>44</v>
      </c>
      <c r="F4721" s="1" t="s">
        <v>4337</v>
      </c>
      <c r="G4721" s="1">
        <v>1</v>
      </c>
      <c r="H4721" s="1" t="s">
        <v>19</v>
      </c>
      <c r="I4721" s="1" t="s">
        <v>3739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2552</v>
      </c>
    </row>
    <row r="4722" spans="1:14" ht="20.25" x14ac:dyDescent="0.25">
      <c r="A4722" s="1">
        <v>7</v>
      </c>
      <c r="B4722" s="159">
        <v>3428</v>
      </c>
      <c r="C4722" s="1" t="s">
        <v>2554</v>
      </c>
      <c r="D4722" s="1"/>
      <c r="E4722" s="1" t="s">
        <v>747</v>
      </c>
      <c r="F4722" s="1" t="s">
        <v>4338</v>
      </c>
      <c r="G4722" s="1">
        <v>1</v>
      </c>
      <c r="H4722" s="1" t="s">
        <v>19</v>
      </c>
      <c r="I4722" s="1" t="s">
        <v>3739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2552</v>
      </c>
    </row>
    <row r="4723" spans="1:14" ht="20.25" x14ac:dyDescent="0.25">
      <c r="A4723" s="1">
        <v>8</v>
      </c>
      <c r="B4723" s="159">
        <v>3429</v>
      </c>
      <c r="C4723" s="1" t="s">
        <v>2554</v>
      </c>
      <c r="D4723" s="1"/>
      <c r="E4723" s="1" t="s">
        <v>1102</v>
      </c>
      <c r="F4723" s="1" t="s">
        <v>4339</v>
      </c>
      <c r="G4723" s="1">
        <v>1</v>
      </c>
      <c r="H4723" s="1" t="s">
        <v>19</v>
      </c>
      <c r="I4723" s="1" t="s">
        <v>3739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2552</v>
      </c>
    </row>
    <row r="4724" spans="1:14" ht="20.25" x14ac:dyDescent="0.25">
      <c r="A4724" s="1">
        <v>9</v>
      </c>
      <c r="B4724" s="159">
        <v>3430</v>
      </c>
      <c r="C4724" s="1" t="s">
        <v>2554</v>
      </c>
      <c r="D4724" s="1"/>
      <c r="E4724" s="1" t="s">
        <v>101</v>
      </c>
      <c r="F4724" s="1" t="s">
        <v>4340</v>
      </c>
      <c r="G4724" s="1">
        <v>1</v>
      </c>
      <c r="H4724" s="1" t="s">
        <v>19</v>
      </c>
      <c r="I4724" s="1" t="s">
        <v>3739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2552</v>
      </c>
    </row>
    <row r="4725" spans="1:14" ht="20.25" x14ac:dyDescent="0.25">
      <c r="A4725" s="1">
        <v>10</v>
      </c>
      <c r="B4725" s="159">
        <v>3435</v>
      </c>
      <c r="C4725" s="1" t="s">
        <v>4453</v>
      </c>
      <c r="D4725" s="1"/>
      <c r="E4725" s="1"/>
      <c r="F4725" s="1" t="s">
        <v>4454</v>
      </c>
      <c r="G4725" s="1">
        <v>1</v>
      </c>
      <c r="H4725" s="1" t="s">
        <v>19</v>
      </c>
      <c r="I4725" s="1" t="s">
        <v>3739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2552</v>
      </c>
    </row>
    <row r="4726" spans="1:14" ht="20.25" x14ac:dyDescent="0.25">
      <c r="A4726" s="1">
        <v>11</v>
      </c>
      <c r="B4726" s="159">
        <v>3437</v>
      </c>
      <c r="C4726" s="1" t="s">
        <v>4455</v>
      </c>
      <c r="D4726" s="1"/>
      <c r="E4726" s="1"/>
      <c r="F4726" s="1" t="s">
        <v>4456</v>
      </c>
      <c r="G4726" s="1">
        <v>2</v>
      </c>
      <c r="H4726" s="1" t="s">
        <v>19</v>
      </c>
      <c r="I4726" s="1" t="s">
        <v>3739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2552</v>
      </c>
    </row>
    <row r="4727" spans="1:14" ht="20.25" x14ac:dyDescent="0.25">
      <c r="A4727" s="1">
        <v>12</v>
      </c>
      <c r="B4727" s="159">
        <v>3438</v>
      </c>
      <c r="C4727" s="1" t="s">
        <v>4457</v>
      </c>
      <c r="D4727" s="1"/>
      <c r="E4727" s="1"/>
      <c r="F4727" s="1" t="s">
        <v>4458</v>
      </c>
      <c r="G4727" s="1">
        <v>2</v>
      </c>
      <c r="H4727" s="1" t="s">
        <v>19</v>
      </c>
      <c r="I4727" s="1" t="s">
        <v>3739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2552</v>
      </c>
    </row>
    <row r="4728" spans="1:14" ht="20.25" x14ac:dyDescent="0.25">
      <c r="A4728" s="1">
        <v>13</v>
      </c>
      <c r="B4728" s="159">
        <v>3439</v>
      </c>
      <c r="C4728" s="1" t="s">
        <v>4347</v>
      </c>
      <c r="D4728" s="1"/>
      <c r="E4728" s="1" t="s">
        <v>2</v>
      </c>
      <c r="F4728" s="1" t="s">
        <v>4348</v>
      </c>
      <c r="G4728" s="1">
        <v>1</v>
      </c>
      <c r="H4728" s="1" t="s">
        <v>19</v>
      </c>
      <c r="I4728" s="1" t="s">
        <v>3739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2552</v>
      </c>
    </row>
    <row r="4729" spans="1:14" ht="20.25" x14ac:dyDescent="0.25">
      <c r="A4729" s="1">
        <v>14</v>
      </c>
      <c r="B4729" s="159">
        <v>3440</v>
      </c>
      <c r="C4729" s="1" t="s">
        <v>4349</v>
      </c>
      <c r="D4729" s="1"/>
      <c r="E4729" s="1" t="s">
        <v>2</v>
      </c>
      <c r="F4729" s="1" t="s">
        <v>4350</v>
      </c>
      <c r="G4729" s="1">
        <v>1</v>
      </c>
      <c r="H4729" s="1" t="s">
        <v>19</v>
      </c>
      <c r="I4729" s="1" t="s">
        <v>3739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2552</v>
      </c>
    </row>
    <row r="4730" spans="1:14" ht="20.25" x14ac:dyDescent="0.25">
      <c r="A4730" s="1">
        <v>15</v>
      </c>
      <c r="B4730" s="159">
        <v>3441</v>
      </c>
      <c r="C4730" s="1" t="s">
        <v>4349</v>
      </c>
      <c r="D4730" s="1"/>
      <c r="E4730" s="1" t="s">
        <v>44</v>
      </c>
      <c r="F4730" s="1" t="s">
        <v>4351</v>
      </c>
      <c r="G4730" s="1">
        <v>1</v>
      </c>
      <c r="H4730" s="1" t="s">
        <v>19</v>
      </c>
      <c r="I4730" s="1" t="s">
        <v>3739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2552</v>
      </c>
    </row>
    <row r="4731" spans="1:14" ht="20.25" x14ac:dyDescent="0.25">
      <c r="A4731" s="1">
        <v>16</v>
      </c>
      <c r="B4731" s="159">
        <v>3442</v>
      </c>
      <c r="C4731" s="1" t="s">
        <v>4349</v>
      </c>
      <c r="D4731" s="1"/>
      <c r="E4731" s="1" t="s">
        <v>747</v>
      </c>
      <c r="F4731" s="1" t="s">
        <v>4352</v>
      </c>
      <c r="G4731" s="1">
        <v>1</v>
      </c>
      <c r="H4731" s="1" t="s">
        <v>19</v>
      </c>
      <c r="I4731" s="1" t="s">
        <v>3739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2552</v>
      </c>
    </row>
    <row r="4732" spans="1:14" ht="20.25" x14ac:dyDescent="0.25">
      <c r="A4732" s="1">
        <v>17</v>
      </c>
      <c r="B4732" s="159">
        <v>3443</v>
      </c>
      <c r="C4732" s="1" t="s">
        <v>4353</v>
      </c>
      <c r="D4732" s="1"/>
      <c r="E4732" s="1" t="s">
        <v>2</v>
      </c>
      <c r="F4732" s="1" t="s">
        <v>4354</v>
      </c>
      <c r="G4732" s="1">
        <v>1</v>
      </c>
      <c r="H4732" s="1" t="s">
        <v>19</v>
      </c>
      <c r="I4732" s="1" t="s">
        <v>3739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2552</v>
      </c>
    </row>
    <row r="4733" spans="1:14" ht="20.25" x14ac:dyDescent="0.25">
      <c r="A4733" s="1">
        <v>18</v>
      </c>
      <c r="B4733" s="159">
        <v>3444</v>
      </c>
      <c r="C4733" s="1" t="s">
        <v>4353</v>
      </c>
      <c r="D4733" s="1"/>
      <c r="E4733" s="1" t="s">
        <v>44</v>
      </c>
      <c r="F4733" s="1" t="s">
        <v>4355</v>
      </c>
      <c r="G4733" s="1">
        <v>1</v>
      </c>
      <c r="H4733" s="1" t="s">
        <v>19</v>
      </c>
      <c r="I4733" s="1" t="s">
        <v>3739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2552</v>
      </c>
    </row>
    <row r="4734" spans="1:14" ht="20.25" x14ac:dyDescent="0.25">
      <c r="A4734" s="1">
        <v>19</v>
      </c>
      <c r="B4734" s="159">
        <v>3464</v>
      </c>
      <c r="C4734" s="1" t="s">
        <v>4375</v>
      </c>
      <c r="D4734" s="1"/>
      <c r="E4734" s="1"/>
      <c r="F4734" s="1" t="s">
        <v>4376</v>
      </c>
      <c r="G4734" s="1">
        <v>1</v>
      </c>
      <c r="H4734" s="1" t="s">
        <v>19</v>
      </c>
      <c r="I4734" s="1" t="s">
        <v>3739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2552</v>
      </c>
    </row>
    <row r="4735" spans="1:14" ht="20.25" x14ac:dyDescent="0.25">
      <c r="A4735" s="1">
        <v>20</v>
      </c>
      <c r="B4735" s="159">
        <v>3465</v>
      </c>
      <c r="C4735" s="1" t="s">
        <v>4377</v>
      </c>
      <c r="D4735" s="1"/>
      <c r="E4735" s="1"/>
      <c r="F4735" s="1" t="s">
        <v>4378</v>
      </c>
      <c r="G4735" s="1">
        <v>1</v>
      </c>
      <c r="H4735" s="1" t="s">
        <v>19</v>
      </c>
      <c r="I4735" s="1" t="s">
        <v>3739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2552</v>
      </c>
    </row>
    <row r="4736" spans="1:14" ht="20.25" x14ac:dyDescent="0.25">
      <c r="A4736" s="1">
        <v>21</v>
      </c>
      <c r="B4736" s="159">
        <v>3469</v>
      </c>
      <c r="C4736" s="1" t="s">
        <v>4385</v>
      </c>
      <c r="D4736" s="1"/>
      <c r="E4736" s="1" t="s">
        <v>2</v>
      </c>
      <c r="F4736" s="1" t="s">
        <v>4386</v>
      </c>
      <c r="G4736" s="1">
        <v>1</v>
      </c>
      <c r="H4736" s="1" t="s">
        <v>19</v>
      </c>
      <c r="I4736" s="1" t="s">
        <v>3739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2552</v>
      </c>
    </row>
    <row r="4737" spans="1:14" ht="20.25" x14ac:dyDescent="0.25">
      <c r="A4737" s="1">
        <v>22</v>
      </c>
      <c r="B4737" s="159">
        <v>3469</v>
      </c>
      <c r="C4737" s="1" t="s">
        <v>4385</v>
      </c>
      <c r="D4737" s="1"/>
      <c r="E4737" s="1" t="s">
        <v>44</v>
      </c>
      <c r="F4737" s="1" t="s">
        <v>4459</v>
      </c>
      <c r="G4737" s="1">
        <v>1</v>
      </c>
      <c r="H4737" s="1" t="s">
        <v>19</v>
      </c>
      <c r="I4737" s="1" t="s">
        <v>3739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2552</v>
      </c>
    </row>
    <row r="4738" spans="1:14" ht="20.25" x14ac:dyDescent="0.25">
      <c r="A4738" s="1">
        <v>23</v>
      </c>
      <c r="B4738" s="159">
        <v>3470</v>
      </c>
      <c r="C4738" s="1" t="s">
        <v>4385</v>
      </c>
      <c r="D4738" s="1"/>
      <c r="E4738" s="1" t="s">
        <v>747</v>
      </c>
      <c r="F4738" s="1" t="s">
        <v>4387</v>
      </c>
      <c r="G4738" s="1">
        <v>1</v>
      </c>
      <c r="H4738" s="1" t="s">
        <v>19</v>
      </c>
      <c r="I4738" s="1" t="s">
        <v>3739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2552</v>
      </c>
    </row>
    <row r="4739" spans="1:14" ht="20.25" x14ac:dyDescent="0.25">
      <c r="A4739" s="1">
        <v>24</v>
      </c>
      <c r="B4739" s="159">
        <v>3471</v>
      </c>
      <c r="C4739" s="1" t="s">
        <v>4385</v>
      </c>
      <c r="D4739" s="1"/>
      <c r="E4739" s="1" t="s">
        <v>1102</v>
      </c>
      <c r="F4739" s="1" t="s">
        <v>4388</v>
      </c>
      <c r="G4739" s="1">
        <v>1</v>
      </c>
      <c r="H4739" s="1" t="s">
        <v>19</v>
      </c>
      <c r="I4739" s="1" t="s">
        <v>3739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2552</v>
      </c>
    </row>
    <row r="4740" spans="1:14" ht="20.25" x14ac:dyDescent="0.25">
      <c r="A4740" s="1">
        <v>25</v>
      </c>
      <c r="B4740" s="159">
        <v>3472</v>
      </c>
      <c r="C4740" s="1" t="s">
        <v>4385</v>
      </c>
      <c r="D4740" s="1"/>
      <c r="E4740" s="1" t="s">
        <v>101</v>
      </c>
      <c r="F4740" s="1" t="s">
        <v>4389</v>
      </c>
      <c r="G4740" s="1">
        <v>1</v>
      </c>
      <c r="H4740" s="1" t="s">
        <v>19</v>
      </c>
      <c r="I4740" s="1" t="s">
        <v>3739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2552</v>
      </c>
    </row>
    <row r="4741" spans="1:14" ht="20.25" x14ac:dyDescent="0.25">
      <c r="A4741" s="1">
        <v>26</v>
      </c>
      <c r="B4741" s="159">
        <v>3473</v>
      </c>
      <c r="C4741" s="1" t="s">
        <v>4385</v>
      </c>
      <c r="D4741" s="1"/>
      <c r="E4741" s="1" t="s">
        <v>174</v>
      </c>
      <c r="F4741" s="1" t="s">
        <v>4390</v>
      </c>
      <c r="G4741" s="1">
        <v>1</v>
      </c>
      <c r="H4741" s="1" t="s">
        <v>19</v>
      </c>
      <c r="I4741" s="1" t="s">
        <v>3739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2552</v>
      </c>
    </row>
    <row r="4742" spans="1:14" ht="20.25" x14ac:dyDescent="0.25">
      <c r="A4742" s="1">
        <v>27</v>
      </c>
      <c r="B4742" s="159">
        <v>3474</v>
      </c>
      <c r="C4742" s="1" t="s">
        <v>4385</v>
      </c>
      <c r="D4742" s="1"/>
      <c r="E4742" s="1" t="s">
        <v>462</v>
      </c>
      <c r="F4742" s="1" t="s">
        <v>4391</v>
      </c>
      <c r="G4742" s="1">
        <v>1</v>
      </c>
      <c r="H4742" s="1" t="s">
        <v>19</v>
      </c>
      <c r="I4742" s="1" t="s">
        <v>3739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2552</v>
      </c>
    </row>
    <row r="4743" spans="1:14" ht="20.25" x14ac:dyDescent="0.25">
      <c r="A4743" s="1">
        <v>28</v>
      </c>
      <c r="B4743" s="159">
        <v>3475</v>
      </c>
      <c r="C4743" s="1" t="s">
        <v>4385</v>
      </c>
      <c r="D4743" s="1"/>
      <c r="E4743" s="1" t="s">
        <v>465</v>
      </c>
      <c r="F4743" s="1" t="s">
        <v>4392</v>
      </c>
      <c r="G4743" s="1">
        <v>1</v>
      </c>
      <c r="H4743" s="1" t="s">
        <v>19</v>
      </c>
      <c r="I4743" s="1" t="s">
        <v>3739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2552</v>
      </c>
    </row>
    <row r="4744" spans="1:14" ht="20.25" x14ac:dyDescent="0.25">
      <c r="A4744" s="1">
        <v>29</v>
      </c>
      <c r="B4744" s="159">
        <v>3476</v>
      </c>
      <c r="C4744" s="1" t="s">
        <v>4385</v>
      </c>
      <c r="D4744" s="1"/>
      <c r="E4744" s="1" t="s">
        <v>1103</v>
      </c>
      <c r="F4744" s="1" t="s">
        <v>4393</v>
      </c>
      <c r="G4744" s="1">
        <v>1</v>
      </c>
      <c r="H4744" s="1" t="s">
        <v>19</v>
      </c>
      <c r="I4744" s="1" t="s">
        <v>3739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2552</v>
      </c>
    </row>
    <row r="4745" spans="1:14" ht="20.25" x14ac:dyDescent="0.25">
      <c r="A4745" s="1">
        <v>30</v>
      </c>
      <c r="B4745" s="159">
        <v>3477</v>
      </c>
      <c r="C4745" s="1" t="s">
        <v>4385</v>
      </c>
      <c r="D4745" s="1"/>
      <c r="E4745" s="1" t="s">
        <v>1104</v>
      </c>
      <c r="F4745" s="1" t="s">
        <v>4394</v>
      </c>
      <c r="G4745" s="1">
        <v>1</v>
      </c>
      <c r="H4745" s="1" t="s">
        <v>19</v>
      </c>
      <c r="I4745" s="1" t="s">
        <v>3739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2552</v>
      </c>
    </row>
    <row r="4746" spans="1:14" ht="20.25" x14ac:dyDescent="0.25">
      <c r="A4746" s="1">
        <v>31</v>
      </c>
      <c r="B4746" s="159">
        <v>3478</v>
      </c>
      <c r="C4746" s="1" t="s">
        <v>4385</v>
      </c>
      <c r="D4746" s="1"/>
      <c r="E4746" s="1" t="s">
        <v>1106</v>
      </c>
      <c r="F4746" s="1" t="s">
        <v>4395</v>
      </c>
      <c r="G4746" s="1">
        <v>2</v>
      </c>
      <c r="H4746" s="1" t="s">
        <v>19</v>
      </c>
      <c r="I4746" s="1" t="s">
        <v>3739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2552</v>
      </c>
    </row>
    <row r="4747" spans="1:14" ht="20.25" x14ac:dyDescent="0.25">
      <c r="A4747" s="1">
        <v>32</v>
      </c>
      <c r="B4747" s="159">
        <v>3479</v>
      </c>
      <c r="C4747" s="1" t="s">
        <v>4396</v>
      </c>
      <c r="D4747" s="1"/>
      <c r="E4747" s="1"/>
      <c r="F4747" s="1" t="s">
        <v>4397</v>
      </c>
      <c r="G4747" s="1">
        <v>1</v>
      </c>
      <c r="H4747" s="1" t="s">
        <v>19</v>
      </c>
      <c r="I4747" s="1" t="s">
        <v>3739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2552</v>
      </c>
    </row>
    <row r="4748" spans="1:14" ht="20.25" x14ac:dyDescent="0.25">
      <c r="A4748" s="1">
        <v>33</v>
      </c>
      <c r="B4748" s="159">
        <v>3481</v>
      </c>
      <c r="C4748" s="1" t="s">
        <v>4400</v>
      </c>
      <c r="D4748" s="1"/>
      <c r="E4748" s="1"/>
      <c r="F4748" s="1" t="s">
        <v>4401</v>
      </c>
      <c r="G4748" s="1">
        <v>4</v>
      </c>
      <c r="H4748" s="1" t="s">
        <v>19</v>
      </c>
      <c r="I4748" s="1" t="s">
        <v>3739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2552</v>
      </c>
    </row>
    <row r="4749" spans="1:14" ht="20.25" x14ac:dyDescent="0.25">
      <c r="A4749" s="1">
        <v>34</v>
      </c>
      <c r="B4749" s="205">
        <v>4347</v>
      </c>
      <c r="C4749" s="1" t="s">
        <v>4460</v>
      </c>
      <c r="D4749" s="1"/>
      <c r="E4749" s="1"/>
      <c r="F4749" s="1" t="s">
        <v>4461</v>
      </c>
      <c r="G4749" s="1">
        <v>2</v>
      </c>
      <c r="H4749" s="1" t="s">
        <v>19</v>
      </c>
      <c r="I4749" s="1" t="s">
        <v>3739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2552</v>
      </c>
    </row>
    <row r="4750" spans="1:14" ht="20.25" x14ac:dyDescent="0.25">
      <c r="A4750" s="1">
        <v>35</v>
      </c>
      <c r="B4750" s="159">
        <v>4348</v>
      </c>
      <c r="C4750" s="1" t="s">
        <v>4460</v>
      </c>
      <c r="D4750" s="1"/>
      <c r="E4750" s="1"/>
      <c r="F4750" s="1" t="s">
        <v>4462</v>
      </c>
      <c r="G4750" s="1">
        <v>1</v>
      </c>
      <c r="H4750" s="1" t="s">
        <v>19</v>
      </c>
      <c r="I4750" s="1" t="s">
        <v>3739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2552</v>
      </c>
    </row>
    <row r="4751" spans="1:14" ht="20.25" x14ac:dyDescent="0.25">
      <c r="A4751" s="1">
        <v>36</v>
      </c>
      <c r="B4751" s="205">
        <v>4349</v>
      </c>
      <c r="C4751" s="1" t="s">
        <v>4460</v>
      </c>
      <c r="D4751" s="1"/>
      <c r="E4751" s="1"/>
      <c r="F4751" s="1" t="s">
        <v>4463</v>
      </c>
      <c r="G4751" s="1">
        <v>1</v>
      </c>
      <c r="H4751" s="1" t="s">
        <v>19</v>
      </c>
      <c r="I4751" s="1" t="s">
        <v>3739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2552</v>
      </c>
    </row>
    <row r="4752" spans="1:14" ht="20.25" x14ac:dyDescent="0.25">
      <c r="A4752" s="1">
        <v>37</v>
      </c>
      <c r="B4752" s="159">
        <v>4350</v>
      </c>
      <c r="C4752" s="1" t="s">
        <v>4464</v>
      </c>
      <c r="D4752" s="1"/>
      <c r="E4752" s="1"/>
      <c r="F4752" s="1" t="s">
        <v>4465</v>
      </c>
      <c r="G4752" s="1">
        <v>1</v>
      </c>
      <c r="H4752" s="1" t="s">
        <v>19</v>
      </c>
      <c r="I4752" s="1" t="s">
        <v>3739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2552</v>
      </c>
    </row>
    <row r="4753" spans="1:14" ht="20.25" x14ac:dyDescent="0.25">
      <c r="A4753" s="1">
        <v>38</v>
      </c>
      <c r="B4753" s="205">
        <v>4351</v>
      </c>
      <c r="C4753" s="1" t="s">
        <v>4396</v>
      </c>
      <c r="D4753" s="1"/>
      <c r="E4753" s="1"/>
      <c r="F4753" s="1" t="s">
        <v>4466</v>
      </c>
      <c r="G4753" s="1">
        <v>1</v>
      </c>
      <c r="H4753" s="1" t="s">
        <v>19</v>
      </c>
      <c r="I4753" s="1" t="s">
        <v>3739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2552</v>
      </c>
    </row>
    <row r="4754" spans="1:14" ht="20.25" x14ac:dyDescent="0.25">
      <c r="A4754" s="1">
        <v>39</v>
      </c>
      <c r="B4754" s="159">
        <v>4352</v>
      </c>
      <c r="C4754" s="1" t="s">
        <v>4396</v>
      </c>
      <c r="D4754" s="1"/>
      <c r="E4754" s="1"/>
      <c r="F4754" s="1" t="s">
        <v>4467</v>
      </c>
      <c r="G4754" s="1">
        <v>4</v>
      </c>
      <c r="H4754" s="1" t="s">
        <v>19</v>
      </c>
      <c r="I4754" s="1" t="s">
        <v>3739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2552</v>
      </c>
    </row>
    <row r="4755" spans="1:14" ht="20.25" x14ac:dyDescent="0.25">
      <c r="A4755" s="1">
        <v>40</v>
      </c>
      <c r="B4755" s="205">
        <v>4353</v>
      </c>
      <c r="C4755" s="1" t="s">
        <v>4396</v>
      </c>
      <c r="D4755" s="1"/>
      <c r="E4755" s="1"/>
      <c r="F4755" s="1" t="s">
        <v>4468</v>
      </c>
      <c r="G4755" s="1">
        <v>2</v>
      </c>
      <c r="H4755" s="1" t="s">
        <v>19</v>
      </c>
      <c r="I4755" s="1" t="s">
        <v>3739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2552</v>
      </c>
    </row>
    <row r="4756" spans="1:14" ht="20.25" x14ac:dyDescent="0.25">
      <c r="A4756" s="1">
        <v>41</v>
      </c>
      <c r="B4756" s="159">
        <v>4354</v>
      </c>
      <c r="C4756" s="1" t="s">
        <v>4464</v>
      </c>
      <c r="D4756" s="1"/>
      <c r="E4756" s="1"/>
      <c r="F4756" s="1" t="s">
        <v>4469</v>
      </c>
      <c r="G4756" s="1">
        <v>110</v>
      </c>
      <c r="H4756" s="1" t="s">
        <v>1254</v>
      </c>
      <c r="I4756" s="1" t="s">
        <v>3739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2552</v>
      </c>
    </row>
    <row r="4757" spans="1:14" ht="20.25" x14ac:dyDescent="0.25">
      <c r="A4757" s="1">
        <v>42</v>
      </c>
      <c r="B4757" s="205">
        <v>4355</v>
      </c>
      <c r="C4757" s="1" t="s">
        <v>4470</v>
      </c>
      <c r="D4757" s="1"/>
      <c r="E4757" s="1"/>
      <c r="F4757" s="1" t="s">
        <v>4471</v>
      </c>
      <c r="G4757" s="1">
        <v>40</v>
      </c>
      <c r="H4757" s="1" t="s">
        <v>19</v>
      </c>
      <c r="I4757" s="1" t="s">
        <v>3739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2552</v>
      </c>
    </row>
    <row r="4758" spans="1:14" ht="20.25" x14ac:dyDescent="0.25">
      <c r="A4758" s="1">
        <v>43</v>
      </c>
      <c r="B4758" s="159">
        <v>4356</v>
      </c>
      <c r="C4758" s="1" t="s">
        <v>4470</v>
      </c>
      <c r="D4758" s="1"/>
      <c r="E4758" s="1"/>
      <c r="F4758" s="1" t="s">
        <v>4472</v>
      </c>
      <c r="G4758" s="1">
        <v>40</v>
      </c>
      <c r="H4758" s="1" t="s">
        <v>19</v>
      </c>
      <c r="I4758" s="1" t="s">
        <v>3739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2552</v>
      </c>
    </row>
    <row r="4759" spans="1:14" ht="20.25" x14ac:dyDescent="0.25">
      <c r="A4759" s="1">
        <v>44</v>
      </c>
      <c r="B4759" s="205">
        <v>4357</v>
      </c>
      <c r="C4759" s="1" t="s">
        <v>4470</v>
      </c>
      <c r="D4759" s="1"/>
      <c r="E4759" s="1"/>
      <c r="F4759" s="1" t="s">
        <v>4473</v>
      </c>
      <c r="G4759" s="1">
        <v>40</v>
      </c>
      <c r="H4759" s="1" t="s">
        <v>19</v>
      </c>
      <c r="I4759" s="1" t="s">
        <v>3739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2552</v>
      </c>
    </row>
    <row r="4760" spans="1:14" ht="20.25" x14ac:dyDescent="0.25">
      <c r="A4760" s="1">
        <v>45</v>
      </c>
      <c r="B4760" s="159">
        <v>4358</v>
      </c>
      <c r="C4760" s="1" t="s">
        <v>4474</v>
      </c>
      <c r="D4760" s="1"/>
      <c r="E4760" s="1"/>
      <c r="F4760" s="1" t="s">
        <v>4475</v>
      </c>
      <c r="G4760" s="1">
        <v>1</v>
      </c>
      <c r="H4760" s="1" t="s">
        <v>19</v>
      </c>
      <c r="I4760" s="1" t="s">
        <v>3739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2552</v>
      </c>
    </row>
    <row r="4761" spans="1:14" ht="20.25" x14ac:dyDescent="0.25">
      <c r="A4761" s="1">
        <v>46</v>
      </c>
      <c r="B4761" s="205">
        <v>4359</v>
      </c>
      <c r="C4761" s="1" t="s">
        <v>4476</v>
      </c>
      <c r="D4761" s="1"/>
      <c r="E4761" s="1"/>
      <c r="F4761" s="1" t="s">
        <v>4477</v>
      </c>
      <c r="G4761" s="1">
        <v>18</v>
      </c>
      <c r="H4761" s="1" t="s">
        <v>19</v>
      </c>
      <c r="I4761" s="1" t="s">
        <v>3739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2552</v>
      </c>
    </row>
    <row r="4762" spans="1:14" ht="20.25" x14ac:dyDescent="0.25">
      <c r="A4762" s="1">
        <v>47</v>
      </c>
      <c r="B4762" s="159">
        <v>4360</v>
      </c>
      <c r="C4762" s="1" t="s">
        <v>4476</v>
      </c>
      <c r="D4762" s="1"/>
      <c r="E4762" s="1"/>
      <c r="F4762" s="1" t="s">
        <v>4478</v>
      </c>
      <c r="G4762" s="1">
        <v>18</v>
      </c>
      <c r="H4762" s="1" t="s">
        <v>19</v>
      </c>
      <c r="I4762" s="1" t="s">
        <v>3739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2552</v>
      </c>
    </row>
    <row r="4763" spans="1:14" ht="20.25" x14ac:dyDescent="0.25">
      <c r="A4763" s="1">
        <v>48</v>
      </c>
      <c r="B4763" s="205">
        <v>4361</v>
      </c>
      <c r="C4763" s="1" t="s">
        <v>4476</v>
      </c>
      <c r="D4763" s="1"/>
      <c r="E4763" s="1"/>
      <c r="F4763" s="1" t="s">
        <v>4479</v>
      </c>
      <c r="G4763" s="1">
        <v>5</v>
      </c>
      <c r="H4763" s="1" t="s">
        <v>19</v>
      </c>
      <c r="I4763" s="1" t="s">
        <v>3739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2552</v>
      </c>
    </row>
    <row r="4764" spans="1:14" ht="20.25" x14ac:dyDescent="0.25">
      <c r="A4764" s="1">
        <v>49</v>
      </c>
      <c r="B4764" s="159">
        <v>4362</v>
      </c>
      <c r="C4764" s="1" t="s">
        <v>4476</v>
      </c>
      <c r="D4764" s="1"/>
      <c r="E4764" s="1"/>
      <c r="F4764" s="1" t="s">
        <v>4480</v>
      </c>
      <c r="G4764" s="1">
        <v>3</v>
      </c>
      <c r="H4764" s="1" t="s">
        <v>19</v>
      </c>
      <c r="I4764" s="1" t="s">
        <v>3739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2552</v>
      </c>
    </row>
    <row r="4765" spans="1:14" ht="20.25" x14ac:dyDescent="0.25">
      <c r="A4765" s="1">
        <v>50</v>
      </c>
      <c r="B4765" s="205">
        <v>4363</v>
      </c>
      <c r="C4765" s="1" t="s">
        <v>4476</v>
      </c>
      <c r="D4765" s="1"/>
      <c r="E4765" s="1"/>
      <c r="F4765" s="1" t="s">
        <v>4481</v>
      </c>
      <c r="G4765" s="1">
        <v>3</v>
      </c>
      <c r="H4765" s="1" t="s">
        <v>19</v>
      </c>
      <c r="I4765" s="1" t="s">
        <v>3739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2552</v>
      </c>
    </row>
    <row r="4766" spans="1:14" ht="20.25" x14ac:dyDescent="0.25">
      <c r="A4766" s="1">
        <v>51</v>
      </c>
      <c r="B4766" s="159">
        <v>4364</v>
      </c>
      <c r="C4766" s="1" t="s">
        <v>4476</v>
      </c>
      <c r="D4766" s="1"/>
      <c r="E4766" s="1"/>
      <c r="F4766" s="1" t="s">
        <v>4482</v>
      </c>
      <c r="G4766" s="1">
        <v>10</v>
      </c>
      <c r="H4766" s="1" t="s">
        <v>19</v>
      </c>
      <c r="I4766" s="1" t="s">
        <v>3739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2552</v>
      </c>
    </row>
    <row r="4767" spans="1:14" ht="20.25" x14ac:dyDescent="0.25">
      <c r="A4767" s="1">
        <v>52</v>
      </c>
      <c r="B4767" s="205">
        <v>4365</v>
      </c>
      <c r="C4767" s="1" t="s">
        <v>4476</v>
      </c>
      <c r="D4767" s="1"/>
      <c r="E4767" s="1"/>
      <c r="F4767" s="1" t="s">
        <v>4483</v>
      </c>
      <c r="G4767" s="1">
        <v>10</v>
      </c>
      <c r="H4767" s="1" t="s">
        <v>19</v>
      </c>
      <c r="I4767" s="1" t="s">
        <v>3739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2552</v>
      </c>
    </row>
    <row r="4768" spans="1:14" ht="20.25" x14ac:dyDescent="0.25">
      <c r="A4768" s="1">
        <v>53</v>
      </c>
      <c r="B4768" s="159">
        <v>4366</v>
      </c>
      <c r="C4768" s="1" t="s">
        <v>4476</v>
      </c>
      <c r="D4768" s="1"/>
      <c r="E4768" s="1"/>
      <c r="F4768" s="1" t="s">
        <v>4484</v>
      </c>
      <c r="G4768" s="1">
        <v>2</v>
      </c>
      <c r="H4768" s="1" t="s">
        <v>19</v>
      </c>
      <c r="I4768" s="1" t="s">
        <v>3739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2552</v>
      </c>
    </row>
    <row r="4769" spans="1:14" ht="20.25" x14ac:dyDescent="0.25">
      <c r="A4769" s="1">
        <v>54</v>
      </c>
      <c r="B4769" s="205">
        <v>4367</v>
      </c>
      <c r="C4769" s="1" t="s">
        <v>4476</v>
      </c>
      <c r="D4769" s="1"/>
      <c r="E4769" s="1"/>
      <c r="F4769" s="1" t="s">
        <v>4485</v>
      </c>
      <c r="G4769" s="1">
        <v>4</v>
      </c>
      <c r="H4769" s="1" t="s">
        <v>19</v>
      </c>
      <c r="I4769" s="1" t="s">
        <v>3739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2552</v>
      </c>
    </row>
    <row r="4770" spans="1:14" ht="20.25" x14ac:dyDescent="0.25">
      <c r="A4770" s="1">
        <v>55</v>
      </c>
      <c r="B4770" s="159">
        <v>4368</v>
      </c>
      <c r="C4770" s="1" t="s">
        <v>4476</v>
      </c>
      <c r="D4770" s="1"/>
      <c r="E4770" s="1"/>
      <c r="F4770" s="1" t="s">
        <v>4486</v>
      </c>
      <c r="G4770" s="1">
        <v>2</v>
      </c>
      <c r="H4770" s="1" t="s">
        <v>19</v>
      </c>
      <c r="I4770" s="1" t="s">
        <v>3739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2552</v>
      </c>
    </row>
    <row r="4771" spans="1:14" ht="20.25" x14ac:dyDescent="0.25">
      <c r="A4771" s="1">
        <v>56</v>
      </c>
      <c r="B4771" s="205">
        <v>4369</v>
      </c>
      <c r="C4771" s="1" t="s">
        <v>4476</v>
      </c>
      <c r="D4771" s="1"/>
      <c r="E4771" s="1"/>
      <c r="F4771" s="1" t="s">
        <v>4487</v>
      </c>
      <c r="G4771" s="1">
        <v>8</v>
      </c>
      <c r="H4771" s="1" t="s">
        <v>19</v>
      </c>
      <c r="I4771" s="1" t="s">
        <v>3739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2552</v>
      </c>
    </row>
    <row r="4772" spans="1:14" ht="20.25" x14ac:dyDescent="0.25">
      <c r="A4772" s="1">
        <v>57</v>
      </c>
      <c r="B4772" s="159">
        <v>4370</v>
      </c>
      <c r="C4772" s="1" t="s">
        <v>4476</v>
      </c>
      <c r="D4772" s="1"/>
      <c r="E4772" s="1"/>
      <c r="F4772" s="1" t="s">
        <v>4488</v>
      </c>
      <c r="G4772" s="1">
        <v>1</v>
      </c>
      <c r="H4772" s="1" t="s">
        <v>19</v>
      </c>
      <c r="I4772" s="1" t="s">
        <v>3739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2552</v>
      </c>
    </row>
    <row r="4773" spans="1:14" ht="20.25" x14ac:dyDescent="0.25">
      <c r="A4773" s="1">
        <v>58</v>
      </c>
      <c r="B4773" s="205">
        <v>4371</v>
      </c>
      <c r="C4773" s="1" t="s">
        <v>4476</v>
      </c>
      <c r="D4773" s="1"/>
      <c r="E4773" s="1"/>
      <c r="F4773" s="1" t="s">
        <v>4489</v>
      </c>
      <c r="G4773" s="1">
        <v>71</v>
      </c>
      <c r="H4773" s="1" t="s">
        <v>4490</v>
      </c>
      <c r="I4773" s="1" t="s">
        <v>3739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2552</v>
      </c>
    </row>
    <row r="4774" spans="1:14" ht="20.25" x14ac:dyDescent="0.25">
      <c r="A4774" s="1">
        <v>59</v>
      </c>
      <c r="B4774" s="159">
        <v>4372</v>
      </c>
      <c r="C4774" s="1" t="s">
        <v>4476</v>
      </c>
      <c r="D4774" s="1"/>
      <c r="E4774" s="1"/>
      <c r="F4774" s="1" t="s">
        <v>4491</v>
      </c>
      <c r="G4774" s="1">
        <v>10</v>
      </c>
      <c r="H4774" s="1" t="s">
        <v>4490</v>
      </c>
      <c r="I4774" s="1" t="s">
        <v>3739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2552</v>
      </c>
    </row>
    <row r="4775" spans="1:14" ht="20.25" x14ac:dyDescent="0.25">
      <c r="A4775" s="1">
        <v>60</v>
      </c>
      <c r="B4775" s="205">
        <v>4373</v>
      </c>
      <c r="C4775" s="1" t="s">
        <v>4476</v>
      </c>
      <c r="D4775" s="1"/>
      <c r="E4775" s="1"/>
      <c r="F4775" s="1" t="s">
        <v>4492</v>
      </c>
      <c r="G4775" s="1">
        <v>18</v>
      </c>
      <c r="H4775" s="1" t="s">
        <v>4490</v>
      </c>
      <c r="I4775" s="1" t="s">
        <v>3739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2552</v>
      </c>
    </row>
    <row r="4776" spans="1:14" ht="20.25" x14ac:dyDescent="0.25">
      <c r="A4776" s="1">
        <v>61</v>
      </c>
      <c r="B4776" s="159">
        <v>4374</v>
      </c>
      <c r="C4776" s="1" t="s">
        <v>4476</v>
      </c>
      <c r="D4776" s="1"/>
      <c r="E4776" s="1"/>
      <c r="F4776" s="1" t="s">
        <v>4493</v>
      </c>
      <c r="G4776" s="1">
        <v>50</v>
      </c>
      <c r="H4776" s="1" t="s">
        <v>4490</v>
      </c>
      <c r="I4776" s="1" t="s">
        <v>3739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2552</v>
      </c>
    </row>
    <row r="4777" spans="1:14" ht="20.25" x14ac:dyDescent="0.25">
      <c r="A4777" s="1">
        <v>62</v>
      </c>
      <c r="B4777" s="205">
        <v>4375</v>
      </c>
      <c r="C4777" s="1" t="s">
        <v>4476</v>
      </c>
      <c r="D4777" s="1"/>
      <c r="E4777" s="1"/>
      <c r="F4777" s="1" t="s">
        <v>4494</v>
      </c>
      <c r="G4777" s="1">
        <v>60</v>
      </c>
      <c r="H4777" s="1" t="s">
        <v>4490</v>
      </c>
      <c r="I4777" s="1" t="s">
        <v>3739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2552</v>
      </c>
    </row>
    <row r="4778" spans="1:14" ht="20.25" x14ac:dyDescent="0.25">
      <c r="A4778" s="1">
        <v>63</v>
      </c>
      <c r="B4778" s="159">
        <v>4376</v>
      </c>
      <c r="C4778" s="1" t="s">
        <v>4476</v>
      </c>
      <c r="D4778" s="1"/>
      <c r="E4778" s="1"/>
      <c r="F4778" s="1" t="s">
        <v>4495</v>
      </c>
      <c r="G4778" s="1">
        <v>15</v>
      </c>
      <c r="H4778" s="1" t="s">
        <v>4490</v>
      </c>
      <c r="I4778" s="1" t="s">
        <v>3739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2552</v>
      </c>
    </row>
    <row r="4779" spans="1:14" ht="20.25" x14ac:dyDescent="0.25">
      <c r="A4779" s="1">
        <v>64</v>
      </c>
      <c r="B4779" s="205">
        <v>4377</v>
      </c>
      <c r="C4779" s="1" t="s">
        <v>4476</v>
      </c>
      <c r="D4779" s="1"/>
      <c r="E4779" s="1"/>
      <c r="F4779" s="1" t="s">
        <v>4496</v>
      </c>
      <c r="G4779" s="1">
        <v>52</v>
      </c>
      <c r="H4779" s="1" t="s">
        <v>4490</v>
      </c>
      <c r="I4779" s="1" t="s">
        <v>3739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2552</v>
      </c>
    </row>
    <row r="4780" spans="1:14" ht="20.25" x14ac:dyDescent="0.25">
      <c r="A4780" s="1">
        <v>65</v>
      </c>
      <c r="B4780" s="159">
        <v>4378</v>
      </c>
      <c r="C4780" s="1" t="s">
        <v>4476</v>
      </c>
      <c r="D4780" s="1"/>
      <c r="E4780" s="1"/>
      <c r="F4780" s="1" t="s">
        <v>4497</v>
      </c>
      <c r="G4780" s="1">
        <v>78</v>
      </c>
      <c r="H4780" s="1" t="s">
        <v>4490</v>
      </c>
      <c r="I4780" s="1" t="s">
        <v>3739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2552</v>
      </c>
    </row>
    <row r="4781" spans="1:14" ht="20.25" x14ac:dyDescent="0.25">
      <c r="A4781" s="1">
        <v>66</v>
      </c>
      <c r="B4781" s="205">
        <v>4379</v>
      </c>
      <c r="C4781" s="1" t="s">
        <v>4476</v>
      </c>
      <c r="D4781" s="1"/>
      <c r="E4781" s="1"/>
      <c r="F4781" s="1" t="s">
        <v>4498</v>
      </c>
      <c r="G4781" s="1">
        <v>26</v>
      </c>
      <c r="H4781" s="1" t="s">
        <v>4490</v>
      </c>
      <c r="I4781" s="1" t="s">
        <v>3739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2552</v>
      </c>
    </row>
    <row r="4782" spans="1:14" ht="20.25" x14ac:dyDescent="0.25">
      <c r="A4782" s="1">
        <v>67</v>
      </c>
      <c r="B4782" s="159">
        <v>4380</v>
      </c>
      <c r="C4782" s="1" t="s">
        <v>4476</v>
      </c>
      <c r="D4782" s="1"/>
      <c r="E4782" s="1"/>
      <c r="F4782" s="1" t="s">
        <v>4499</v>
      </c>
      <c r="G4782" s="1">
        <v>60</v>
      </c>
      <c r="H4782" s="1" t="s">
        <v>4490</v>
      </c>
      <c r="I4782" s="1" t="s">
        <v>3739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2552</v>
      </c>
    </row>
    <row r="4783" spans="1:14" ht="20.25" x14ac:dyDescent="0.25">
      <c r="A4783" s="1">
        <v>68</v>
      </c>
      <c r="B4783" s="205">
        <v>4381</v>
      </c>
      <c r="C4783" s="1" t="s">
        <v>4476</v>
      </c>
      <c r="D4783" s="1"/>
      <c r="E4783" s="1"/>
      <c r="F4783" s="1" t="s">
        <v>4500</v>
      </c>
      <c r="G4783" s="1">
        <v>52</v>
      </c>
      <c r="H4783" s="1" t="s">
        <v>4490</v>
      </c>
      <c r="I4783" s="1" t="s">
        <v>3739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2552</v>
      </c>
    </row>
    <row r="4784" spans="1:14" ht="20.25" x14ac:dyDescent="0.25">
      <c r="A4784" s="1">
        <v>69</v>
      </c>
      <c r="B4784" s="159">
        <v>4382</v>
      </c>
      <c r="C4784" s="1" t="s">
        <v>4476</v>
      </c>
      <c r="D4784" s="1"/>
      <c r="E4784" s="1"/>
      <c r="F4784" s="1" t="s">
        <v>4501</v>
      </c>
      <c r="G4784" s="1">
        <v>26</v>
      </c>
      <c r="H4784" s="1" t="s">
        <v>4490</v>
      </c>
      <c r="I4784" s="1" t="s">
        <v>3739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2552</v>
      </c>
    </row>
    <row r="4785" spans="1:14" ht="20.25" x14ac:dyDescent="0.25">
      <c r="A4785" s="1">
        <v>70</v>
      </c>
      <c r="B4785" s="205">
        <v>4383</v>
      </c>
      <c r="C4785" s="1" t="s">
        <v>4476</v>
      </c>
      <c r="D4785" s="1"/>
      <c r="E4785" s="1"/>
      <c r="F4785" s="1" t="s">
        <v>4502</v>
      </c>
      <c r="G4785" s="1">
        <v>3</v>
      </c>
      <c r="H4785" s="1" t="s">
        <v>4490</v>
      </c>
      <c r="I4785" s="1" t="s">
        <v>3739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2552</v>
      </c>
    </row>
    <row r="4786" spans="1:14" ht="20.25" x14ac:dyDescent="0.25">
      <c r="A4786" s="1">
        <v>71</v>
      </c>
      <c r="B4786" s="159">
        <v>4384</v>
      </c>
      <c r="C4786" s="1" t="s">
        <v>4476</v>
      </c>
      <c r="D4786" s="1"/>
      <c r="E4786" s="1"/>
      <c r="F4786" s="1" t="s">
        <v>4503</v>
      </c>
      <c r="G4786" s="1">
        <v>20</v>
      </c>
      <c r="H4786" s="1" t="s">
        <v>4490</v>
      </c>
      <c r="I4786" s="1" t="s">
        <v>3739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2552</v>
      </c>
    </row>
    <row r="4787" spans="1:14" ht="20.25" x14ac:dyDescent="0.25">
      <c r="A4787" s="1">
        <v>72</v>
      </c>
      <c r="B4787" s="205">
        <v>4385</v>
      </c>
      <c r="C4787" s="1" t="s">
        <v>4476</v>
      </c>
      <c r="D4787" s="1"/>
      <c r="E4787" s="1"/>
      <c r="F4787" s="1" t="s">
        <v>4504</v>
      </c>
      <c r="G4787" s="1">
        <v>6</v>
      </c>
      <c r="H4787" s="1" t="s">
        <v>4490</v>
      </c>
      <c r="I4787" s="1" t="s">
        <v>3739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2552</v>
      </c>
    </row>
    <row r="4788" spans="1:14" ht="20.25" x14ac:dyDescent="0.25">
      <c r="A4788" s="1">
        <v>73</v>
      </c>
      <c r="B4788" s="159">
        <v>4386</v>
      </c>
      <c r="C4788" s="1" t="s">
        <v>4476</v>
      </c>
      <c r="D4788" s="1"/>
      <c r="E4788" s="1"/>
      <c r="F4788" s="1" t="s">
        <v>4505</v>
      </c>
      <c r="G4788" s="1">
        <v>3</v>
      </c>
      <c r="H4788" s="1" t="s">
        <v>4490</v>
      </c>
      <c r="I4788" s="1" t="s">
        <v>3739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2552</v>
      </c>
    </row>
    <row r="4789" spans="1:14" ht="20.25" x14ac:dyDescent="0.25">
      <c r="A4789" s="1">
        <v>74</v>
      </c>
      <c r="B4789" s="205">
        <v>4387</v>
      </c>
      <c r="C4789" s="1" t="s">
        <v>4476</v>
      </c>
      <c r="D4789" s="1"/>
      <c r="E4789" s="1"/>
      <c r="F4789" s="1" t="s">
        <v>4506</v>
      </c>
      <c r="G4789" s="1">
        <v>6</v>
      </c>
      <c r="H4789" s="1" t="s">
        <v>4490</v>
      </c>
      <c r="I4789" s="1" t="s">
        <v>3739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2552</v>
      </c>
    </row>
    <row r="4790" spans="1:14" ht="20.25" x14ac:dyDescent="0.25">
      <c r="A4790" s="1">
        <v>75</v>
      </c>
      <c r="B4790" s="159">
        <v>4388</v>
      </c>
      <c r="C4790" s="1" t="s">
        <v>4476</v>
      </c>
      <c r="D4790" s="1"/>
      <c r="E4790" s="1"/>
      <c r="F4790" s="1" t="s">
        <v>4507</v>
      </c>
      <c r="G4790" s="1">
        <v>15</v>
      </c>
      <c r="H4790" s="1" t="s">
        <v>4490</v>
      </c>
      <c r="I4790" s="1" t="s">
        <v>3739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2552</v>
      </c>
    </row>
    <row r="4791" spans="1:14" ht="20.25" x14ac:dyDescent="0.25">
      <c r="A4791" s="1">
        <v>76</v>
      </c>
      <c r="B4791" s="205">
        <v>4389</v>
      </c>
      <c r="C4791" s="1" t="s">
        <v>4476</v>
      </c>
      <c r="D4791" s="1"/>
      <c r="E4791" s="1"/>
      <c r="F4791" s="1" t="s">
        <v>4508</v>
      </c>
      <c r="G4791" s="1">
        <v>12</v>
      </c>
      <c r="H4791" s="1" t="s">
        <v>4490</v>
      </c>
      <c r="I4791" s="1" t="s">
        <v>3739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2552</v>
      </c>
    </row>
    <row r="4792" spans="1:14" ht="20.25" x14ac:dyDescent="0.25">
      <c r="A4792" s="1">
        <v>77</v>
      </c>
      <c r="B4792" s="159">
        <v>4390</v>
      </c>
      <c r="C4792" s="1" t="s">
        <v>4464</v>
      </c>
      <c r="D4792" s="1"/>
      <c r="E4792" s="1"/>
      <c r="F4792" s="1" t="s">
        <v>4509</v>
      </c>
      <c r="G4792" s="1">
        <v>4</v>
      </c>
      <c r="H4792" s="1" t="s">
        <v>19</v>
      </c>
      <c r="I4792" s="1" t="s">
        <v>3739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2552</v>
      </c>
    </row>
    <row r="4793" spans="1:14" ht="20.25" x14ac:dyDescent="0.25">
      <c r="A4793" s="1">
        <v>78</v>
      </c>
      <c r="B4793" s="205">
        <v>4391</v>
      </c>
      <c r="C4793" s="1" t="s">
        <v>4476</v>
      </c>
      <c r="D4793" s="1"/>
      <c r="E4793" s="1"/>
      <c r="F4793" s="1" t="s">
        <v>4510</v>
      </c>
      <c r="G4793" s="1">
        <v>1</v>
      </c>
      <c r="H4793" s="1" t="s">
        <v>19</v>
      </c>
      <c r="I4793" s="1" t="s">
        <v>4476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2552</v>
      </c>
    </row>
    <row r="4794" spans="1:14" ht="20.25" x14ac:dyDescent="0.25">
      <c r="A4794" s="1">
        <v>79</v>
      </c>
      <c r="B4794" s="159">
        <v>4392</v>
      </c>
      <c r="C4794" s="1" t="s">
        <v>4476</v>
      </c>
      <c r="D4794" s="1"/>
      <c r="E4794" s="1"/>
      <c r="F4794" s="1" t="s">
        <v>4452</v>
      </c>
      <c r="G4794" s="1">
        <v>1</v>
      </c>
      <c r="H4794" s="1" t="s">
        <v>19</v>
      </c>
      <c r="I4794" s="1" t="s">
        <v>4476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2552</v>
      </c>
    </row>
    <row r="4795" spans="1:14" ht="20.25" x14ac:dyDescent="0.25">
      <c r="A4795" s="1">
        <v>80</v>
      </c>
      <c r="B4795" s="205">
        <v>4393</v>
      </c>
      <c r="C4795" s="1" t="s">
        <v>4511</v>
      </c>
      <c r="D4795" s="1"/>
      <c r="E4795" s="1"/>
      <c r="F4795" s="1" t="s">
        <v>4512</v>
      </c>
      <c r="G4795" s="1">
        <v>1</v>
      </c>
      <c r="H4795" s="1" t="s">
        <v>19</v>
      </c>
      <c r="I4795" s="1" t="s">
        <v>4511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2552</v>
      </c>
    </row>
    <row r="4796" spans="1:14" ht="20.25" x14ac:dyDescent="0.25">
      <c r="A4796" s="1">
        <v>81</v>
      </c>
      <c r="B4796" s="159">
        <v>4394</v>
      </c>
      <c r="C4796" s="1" t="s">
        <v>4511</v>
      </c>
      <c r="D4796" s="1"/>
      <c r="E4796" s="1"/>
      <c r="F4796" s="1" t="s">
        <v>4513</v>
      </c>
      <c r="G4796" s="1">
        <v>1</v>
      </c>
      <c r="H4796" s="1" t="s">
        <v>19</v>
      </c>
      <c r="I4796" s="1" t="s">
        <v>4511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2552</v>
      </c>
    </row>
  </sheetData>
  <autoFilter ref="A1:N4796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conditionalFormatting sqref="B4749:B4796">
    <cfRule type="expression" dxfId="2" priority="1">
      <formula>$AI4749="OK"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305</v>
      </c>
      <c r="D3" s="60" t="s">
        <v>5</v>
      </c>
      <c r="E3" s="48" t="s">
        <v>43</v>
      </c>
      <c r="F3" s="49" t="s">
        <v>49</v>
      </c>
      <c r="G3" s="57" t="s">
        <v>314</v>
      </c>
      <c r="H3" s="50" t="s">
        <v>319</v>
      </c>
      <c r="I3" s="50" t="s">
        <v>320</v>
      </c>
      <c r="J3" s="51" t="s">
        <v>315</v>
      </c>
      <c r="K3" s="52" t="s">
        <v>316</v>
      </c>
      <c r="L3" s="53" t="s">
        <v>317</v>
      </c>
      <c r="M3" s="54" t="s">
        <v>318</v>
      </c>
      <c r="N3" s="55" t="s">
        <v>27</v>
      </c>
      <c r="O3" s="55" t="s">
        <v>28</v>
      </c>
      <c r="P3" s="119" t="s">
        <v>823</v>
      </c>
      <c r="Q3" s="119" t="s">
        <v>3031</v>
      </c>
      <c r="R3" s="119" t="s">
        <v>1023</v>
      </c>
    </row>
    <row r="4" spans="3:18" s="2" customFormat="1" ht="18.75" thickBot="1" x14ac:dyDescent="0.3">
      <c r="C4" s="45"/>
      <c r="D4" s="61" t="s">
        <v>41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41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41</v>
      </c>
      <c r="E6" s="46" t="e">
        <f>VLOOKUP(Tabela2[[#This Row],[TAG]],MICRO!J:L,3,0)</f>
        <v>#N/A</v>
      </c>
      <c r="F6" s="44" t="s">
        <v>45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41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41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41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40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40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40</v>
      </c>
      <c r="E12" s="46" t="e">
        <f>VLOOKUP(Tabela2[[#This Row],[TAG]],MICRO!J:L,3,0)</f>
        <v>#N/A</v>
      </c>
      <c r="F12" s="44" t="s">
        <v>45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40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40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40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42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42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42</v>
      </c>
      <c r="E18" s="46" t="e">
        <f>VLOOKUP(Tabela2[[#This Row],[TAG]],MICRO!J:L,3,0)</f>
        <v>#N/A</v>
      </c>
      <c r="F18" s="44" t="s">
        <v>45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42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42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42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61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57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72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62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63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59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70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71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64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69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65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66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67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60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68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58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61</v>
      </c>
      <c r="E38" s="46" t="e">
        <f>VLOOKUP(Tabela2[[#This Row],[TAG]],MICRO!J:L,3,0)</f>
        <v>#N/A</v>
      </c>
      <c r="F38" s="44" t="s">
        <v>45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57</v>
      </c>
      <c r="E39" s="46" t="e">
        <f>VLOOKUP(Tabela2[[#This Row],[TAG]],MICRO!J:L,3,0)</f>
        <v>#N/A</v>
      </c>
      <c r="F39" s="44" t="s">
        <v>45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72</v>
      </c>
      <c r="E40" s="46" t="e">
        <f>VLOOKUP(Tabela2[[#This Row],[TAG]],MICRO!J:L,3,0)</f>
        <v>#N/A</v>
      </c>
      <c r="F40" s="44" t="s">
        <v>45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62</v>
      </c>
      <c r="E41" s="46" t="e">
        <f>VLOOKUP(Tabela2[[#This Row],[TAG]],MICRO!J:L,3,0)</f>
        <v>#N/A</v>
      </c>
      <c r="F41" s="44" t="s">
        <v>45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63</v>
      </c>
      <c r="E42" s="46" t="e">
        <f>VLOOKUP(Tabela2[[#This Row],[TAG]],MICRO!J:L,3,0)</f>
        <v>#N/A</v>
      </c>
      <c r="F42" s="44" t="s">
        <v>45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59</v>
      </c>
      <c r="E43" s="46" t="e">
        <f>VLOOKUP(Tabela2[[#This Row],[TAG]],MICRO!J:L,3,0)</f>
        <v>#N/A</v>
      </c>
      <c r="F43" s="44" t="s">
        <v>45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70</v>
      </c>
      <c r="E44" s="46" t="e">
        <f>VLOOKUP(Tabela2[[#This Row],[TAG]],MICRO!J:L,3,0)</f>
        <v>#N/A</v>
      </c>
      <c r="F44" s="44" t="s">
        <v>45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71</v>
      </c>
      <c r="E45" s="46" t="e">
        <f>VLOOKUP(Tabela2[[#This Row],[TAG]],MICRO!J:L,3,0)</f>
        <v>#N/A</v>
      </c>
      <c r="F45" s="44" t="s">
        <v>45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64</v>
      </c>
      <c r="E46" s="46" t="e">
        <f>VLOOKUP(Tabela2[[#This Row],[TAG]],MICRO!J:L,3,0)</f>
        <v>#N/A</v>
      </c>
      <c r="F46" s="44" t="s">
        <v>45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69</v>
      </c>
      <c r="E47" s="46" t="e">
        <f>VLOOKUP(Tabela2[[#This Row],[TAG]],MICRO!J:L,3,0)</f>
        <v>#N/A</v>
      </c>
      <c r="F47" s="44" t="s">
        <v>45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65</v>
      </c>
      <c r="E48" s="46" t="e">
        <f>VLOOKUP(Tabela2[[#This Row],[TAG]],MICRO!J:L,3,0)</f>
        <v>#N/A</v>
      </c>
      <c r="F48" s="44" t="s">
        <v>45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66</v>
      </c>
      <c r="E49" s="46" t="e">
        <f>VLOOKUP(Tabela2[[#This Row],[TAG]],MICRO!J:L,3,0)</f>
        <v>#N/A</v>
      </c>
      <c r="F49" s="44" t="s">
        <v>45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67</v>
      </c>
      <c r="E50" s="46" t="e">
        <f>VLOOKUP(Tabela2[[#This Row],[TAG]],MICRO!J:L,3,0)</f>
        <v>#N/A</v>
      </c>
      <c r="F50" s="44" t="s">
        <v>45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60</v>
      </c>
      <c r="E51" s="46" t="e">
        <f>VLOOKUP(Tabela2[[#This Row],[TAG]],MICRO!J:L,3,0)</f>
        <v>#N/A</v>
      </c>
      <c r="F51" s="44" t="s">
        <v>45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68</v>
      </c>
      <c r="E52" s="46" t="e">
        <f>VLOOKUP(Tabela2[[#This Row],[TAG]],MICRO!J:L,3,0)</f>
        <v>#N/A</v>
      </c>
      <c r="F52" s="44" t="s">
        <v>45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58</v>
      </c>
      <c r="E53" s="46" t="e">
        <f>VLOOKUP(Tabela2[[#This Row],[TAG]],MICRO!J:L,3,0)</f>
        <v>#N/A</v>
      </c>
      <c r="F53" s="44" t="s">
        <v>45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75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76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76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86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86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99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100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87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88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89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90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91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92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93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94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95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96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97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98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74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103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105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107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106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108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108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110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111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111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124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130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131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131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132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135</v>
      </c>
      <c r="E88" s="46" t="e">
        <f>VLOOKUP(Tabela2[[#This Row],[TAG]],MICRO!J:L,3,0)</f>
        <v>#N/A</v>
      </c>
      <c r="F88" s="44" t="s">
        <v>45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136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159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159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159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159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160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160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160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160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158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158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158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158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132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156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154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155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152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161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162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164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165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170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169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170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169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170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169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170</v>
      </c>
      <c r="E117" s="46" t="e">
        <f>VLOOKUP(Tabela2[[#This Row],[TAG]],MICRO!J:L,3,0)</f>
        <v>#N/A</v>
      </c>
      <c r="F117" s="44" t="s">
        <v>45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169</v>
      </c>
      <c r="E118" s="46" t="e">
        <f>VLOOKUP(Tabela2[[#This Row],[TAG]],MICRO!J:L,3,0)</f>
        <v>#N/A</v>
      </c>
      <c r="F118" s="44" t="s">
        <v>45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170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169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192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187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193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195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202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204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182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181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177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306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307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307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307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307</v>
      </c>
      <c r="E134" s="46" t="e">
        <f>VLOOKUP(Tabela2[[#This Row],[TAG]],MICRO!J:L,3,0)</f>
        <v>#N/A</v>
      </c>
      <c r="F134" s="44" t="s">
        <v>45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308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309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310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311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312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176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178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188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190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205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207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209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209</v>
      </c>
      <c r="E147" s="46" t="e">
        <f>VLOOKUP(Tabela2[[#This Row],[TAG]],MICRO!J:L,3,0)</f>
        <v>#N/A</v>
      </c>
      <c r="F147" s="44" t="s">
        <v>46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213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215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217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230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224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224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221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221</v>
      </c>
      <c r="E155" s="46" t="e">
        <f>VLOOKUP(Tabela2[[#This Row],[TAG]],MICRO!J:L,3,0)</f>
        <v>#N/A</v>
      </c>
      <c r="F155" s="44" t="s">
        <v>46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229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313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234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236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238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241</v>
      </c>
      <c r="E161" s="46" t="e">
        <f>VLOOKUP(Tabela2[[#This Row],[TAG]],MICRO!J:L,3,0)</f>
        <v>#N/A</v>
      </c>
      <c r="F161" s="44" t="s">
        <v>45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242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282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293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294</v>
      </c>
      <c r="E165" s="46" t="e">
        <f>VLOOKUP(Tabela2[[#This Row],[TAG]],MICRO!J:L,3,0)</f>
        <v>#N/A</v>
      </c>
      <c r="F165" s="44" t="s">
        <v>46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294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294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340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340</v>
      </c>
      <c r="E169" s="46" t="e">
        <f>VLOOKUP(Tabela2[[#This Row],[TAG]],MICRO!J:L,3,0)</f>
        <v>#N/A</v>
      </c>
      <c r="F169" s="44" t="s">
        <v>45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343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345</v>
      </c>
      <c r="E171" s="46" t="e">
        <f>VLOOKUP(Tabela2[[#This Row],[TAG]],MICRO!J:L,3,0)</f>
        <v>#N/A</v>
      </c>
      <c r="F171" s="44" t="s">
        <v>45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394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395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397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396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398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398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400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413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414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414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424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425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426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427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428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431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431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434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520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523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526</v>
      </c>
      <c r="E192" s="111" t="e">
        <f>VLOOKUP(Tabela2[[#This Row],[TAG]],MICRO!J:L,3,0)</f>
        <v>#N/A</v>
      </c>
      <c r="F192" s="8" t="s">
        <v>46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526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526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549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550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553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551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552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560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561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570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571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572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573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635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630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586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590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635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630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586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590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635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630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586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590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683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687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679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552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680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653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424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425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426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427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428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424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425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426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427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428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424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425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426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427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428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424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425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426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427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428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424</v>
      </c>
      <c r="E244" s="111" t="e">
        <f>VLOOKUP(Tabela2[[#This Row],[TAG]],MICRO!J:L,3,0)</f>
        <v>#N/A</v>
      </c>
      <c r="F244" s="109" t="s">
        <v>45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425</v>
      </c>
      <c r="E245" s="111" t="e">
        <f>VLOOKUP(Tabela2[[#This Row],[TAG]],MICRO!J:L,3,0)</f>
        <v>#N/A</v>
      </c>
      <c r="F245" s="109" t="s">
        <v>45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426</v>
      </c>
      <c r="E246" s="111" t="e">
        <f>VLOOKUP(Tabela2[[#This Row],[TAG]],MICRO!J:L,3,0)</f>
        <v>#N/A</v>
      </c>
      <c r="F246" s="109" t="s">
        <v>45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427</v>
      </c>
      <c r="E247" s="111" t="e">
        <f>VLOOKUP(Tabela2[[#This Row],[TAG]],MICRO!J:L,3,0)</f>
        <v>#N/A</v>
      </c>
      <c r="F247" s="109" t="s">
        <v>45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428</v>
      </c>
      <c r="E248" s="111" t="e">
        <f>VLOOKUP(Tabela2[[#This Row],[TAG]],MICRO!J:L,3,0)</f>
        <v>#N/A</v>
      </c>
      <c r="F248" s="109" t="s">
        <v>45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570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571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572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573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570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571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572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573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570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571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572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573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570</v>
      </c>
      <c r="E261" s="111" t="e">
        <f>VLOOKUP(Tabela2[[#This Row],[TAG]],MICRO!J:L,3,0)</f>
        <v>#N/A</v>
      </c>
      <c r="F261" s="109" t="s">
        <v>45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571</v>
      </c>
      <c r="E262" s="111" t="e">
        <f>VLOOKUP(Tabela2[[#This Row],[TAG]],MICRO!J:L,3,0)</f>
        <v>#N/A</v>
      </c>
      <c r="F262" s="109" t="s">
        <v>45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572</v>
      </c>
      <c r="E263" s="111" t="e">
        <f>VLOOKUP(Tabela2[[#This Row],[TAG]],MICRO!J:L,3,0)</f>
        <v>#N/A</v>
      </c>
      <c r="F263" s="109" t="s">
        <v>45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573</v>
      </c>
      <c r="E264" s="111" t="e">
        <f>VLOOKUP(Tabela2[[#This Row],[TAG]],MICRO!J:L,3,0)</f>
        <v>#N/A</v>
      </c>
      <c r="F264" s="109" t="s">
        <v>45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570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571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572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573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812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813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811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814</v>
      </c>
      <c r="E272" s="111" t="e">
        <f>VLOOKUP(Tabela2[[#This Row],[TAG]],MICRO!J:L,3,0)</f>
        <v>#N/A</v>
      </c>
      <c r="F272" s="109" t="s">
        <v>46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1127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1128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1132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1200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1201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1150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1149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1198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1197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1190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1199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1189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653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653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653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653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586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635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635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630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630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586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590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590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949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1866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1866</v>
      </c>
      <c r="E302" s="111" t="e">
        <f>VLOOKUP(Tabela2[[#This Row],[TAG]],MICRO!J:L,3,0)</f>
        <v>#N/A</v>
      </c>
      <c r="F302" s="109" t="s">
        <v>45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1855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1856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1857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1859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1860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1862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1863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1864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1865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1868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1867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1858</v>
      </c>
      <c r="E314" s="111" t="e">
        <f>VLOOKUP(Tabela2[[#This Row],[TAG]],MICRO!J:L,3,0)</f>
        <v>#N/A</v>
      </c>
      <c r="F314" s="109" t="s">
        <v>46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1301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1296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1302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1291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1301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1296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1302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1291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1866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1378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1877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1878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2060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1879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1880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1881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1866</v>
      </c>
      <c r="E331" s="111" t="e">
        <f>VLOOKUP(Tabela2[[#This Row],[TAG]],MICRO!J:L,3,0)</f>
        <v>#N/A</v>
      </c>
      <c r="F331" s="109" t="s">
        <v>45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1880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2275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1004.8</v>
      </c>
      <c r="H333" s="113">
        <f>SUMIF(MICRO!AP:AP,O:O,MICRO!R:R)</f>
        <v>937.8</v>
      </c>
      <c r="I333" s="113">
        <f>SUMIF(MICRO!AP:AP,O:O,MICRO!T:T)</f>
        <v>-67</v>
      </c>
      <c r="J333" s="114">
        <f t="shared" si="120"/>
        <v>0.93332006369426757</v>
      </c>
      <c r="K333" s="113">
        <f>SUMIF(MICRO!AP:AP,O:O,MICRO!X:X)</f>
        <v>1004.8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2277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1004.8</v>
      </c>
      <c r="H334" s="113">
        <f>SUMIF(MICRO!AP:AP,O:O,MICRO!R:R)</f>
        <v>937.8</v>
      </c>
      <c r="I334" s="113">
        <f>SUMIF(MICRO!AP:AP,O:O,MICRO!T:T)</f>
        <v>-67</v>
      </c>
      <c r="J334" s="114">
        <f t="shared" si="105"/>
        <v>0.93332006369426757</v>
      </c>
      <c r="K334" s="113">
        <f>SUMIF(MICRO!AP:AP,O:O,MICRO!X:X)</f>
        <v>1004.8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2275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1332.5</v>
      </c>
      <c r="L335" s="114">
        <f t="shared" ref="L335:L395" si="126">IF(G335&lt;&gt;0,SUM(K335/G335*1),"0%")</f>
        <v>1</v>
      </c>
      <c r="M335" s="113">
        <f t="shared" ref="M335:M395" si="127">G335-K335</f>
        <v>0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2277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1332.5</v>
      </c>
      <c r="L336" s="114">
        <f t="shared" si="126"/>
        <v>1</v>
      </c>
      <c r="M336" s="113">
        <f t="shared" si="127"/>
        <v>0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2275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2277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2275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2277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1301</v>
      </c>
      <c r="E341" s="111" t="e">
        <f>VLOOKUP(Tabela2[[#This Row],[TAG]],MICRO!J:L,3,0)</f>
        <v>#N/A</v>
      </c>
      <c r="F341" s="109" t="s">
        <v>45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1296</v>
      </c>
      <c r="E342" s="111" t="e">
        <f>VLOOKUP(Tabela2[[#This Row],[TAG]],MICRO!J:L,3,0)</f>
        <v>#N/A</v>
      </c>
      <c r="F342" s="109" t="s">
        <v>45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1302</v>
      </c>
      <c r="E343" s="111" t="e">
        <f>VLOOKUP(Tabela2[[#This Row],[TAG]],MICRO!J:L,3,0)</f>
        <v>#N/A</v>
      </c>
      <c r="F343" s="109" t="s">
        <v>45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1291</v>
      </c>
      <c r="E344" s="111" t="e">
        <f>VLOOKUP(Tabela2[[#This Row],[TAG]],MICRO!J:L,3,0)</f>
        <v>#N/A</v>
      </c>
      <c r="F344" s="109" t="s">
        <v>45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1301</v>
      </c>
      <c r="E345" s="111" t="e">
        <f>VLOOKUP(Tabela2[[#This Row],[TAG]],MICRO!J:L,3,0)</f>
        <v>#N/A</v>
      </c>
      <c r="F345" s="109" t="s">
        <v>328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1296</v>
      </c>
      <c r="E346" s="111" t="e">
        <f>VLOOKUP(Tabela2[[#This Row],[TAG]],MICRO!J:L,3,0)</f>
        <v>#N/A</v>
      </c>
      <c r="F346" s="109" t="s">
        <v>328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1302</v>
      </c>
      <c r="E347" s="111" t="e">
        <f>VLOOKUP(Tabela2[[#This Row],[TAG]],MICRO!J:L,3,0)</f>
        <v>#N/A</v>
      </c>
      <c r="F347" s="109" t="s">
        <v>328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1291</v>
      </c>
      <c r="E348" s="111" t="e">
        <f>VLOOKUP(Tabela2[[#This Row],[TAG]],MICRO!J:L,3,0)</f>
        <v>#N/A</v>
      </c>
      <c r="F348" s="109" t="s">
        <v>328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3028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3012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3014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213.7</v>
      </c>
      <c r="R351">
        <f>SUMIF(MICRO!AP:AP,O:O,MICRO!AU:AU)</f>
        <v>0</v>
      </c>
    </row>
    <row r="352" spans="4:18" ht="18.75" thickBot="1" x14ac:dyDescent="0.3">
      <c r="D352" s="110" t="s">
        <v>3027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3016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853.2</v>
      </c>
      <c r="R353">
        <f>SUMIF(MICRO!AP:AP,O:O,MICRO!AU:AU)</f>
        <v>0</v>
      </c>
    </row>
    <row r="354" spans="4:18" ht="18.75" thickBot="1" x14ac:dyDescent="0.3">
      <c r="D354" s="110" t="s">
        <v>3021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60.637500000000003</v>
      </c>
      <c r="I354" s="113">
        <f>SUMIF(MICRO!AP:AP,O:O,MICRO!T:T)</f>
        <v>-99</v>
      </c>
      <c r="J354" s="114">
        <f t="shared" si="130"/>
        <v>0.61250000000000004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0</v>
      </c>
    </row>
    <row r="355" spans="4:18" ht="18.75" thickBot="1" x14ac:dyDescent="0.3">
      <c r="D355" s="110" t="s">
        <v>3023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3022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3035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2837.08</v>
      </c>
      <c r="I357" s="113">
        <f>SUMIF(MICRO!AP:AP,O:O,MICRO!T:T)</f>
        <v>-4351.2000000000007</v>
      </c>
      <c r="J357" s="114">
        <f t="shared" si="130"/>
        <v>0.44836588912067771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1976.4</v>
      </c>
      <c r="R357">
        <f>SUMIF(MICRO!AP:AP,O:O,MICRO!AU:AU)</f>
        <v>0</v>
      </c>
    </row>
    <row r="358" spans="4:18" ht="18.75" thickBot="1" x14ac:dyDescent="0.3">
      <c r="D358" s="110" t="s">
        <v>3094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3046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0</v>
      </c>
      <c r="I359" s="113">
        <f>SUMIF(MICRO!AP:AP,O:O,MICRO!T:T)</f>
        <v>-1298.4000000000001</v>
      </c>
      <c r="J359" s="114">
        <f t="shared" si="130"/>
        <v>0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3141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3035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1446.93</v>
      </c>
      <c r="I361" s="113">
        <f>SUMIF(MICRO!AP:AP,O:O,MICRO!T:T)</f>
        <v>-167.60000000000002</v>
      </c>
      <c r="J361" s="114">
        <f t="shared" si="130"/>
        <v>0.98190146579804571</v>
      </c>
      <c r="K361" s="113">
        <f>SUMIF(MICRO!AP:AP,O:O,MICRO!X:X)</f>
        <v>1306</v>
      </c>
      <c r="L361" s="114">
        <f t="shared" si="131"/>
        <v>0.88626492942453861</v>
      </c>
      <c r="M361" s="113">
        <f t="shared" si="132"/>
        <v>167.59999999999991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1306</v>
      </c>
    </row>
    <row r="362" spans="4:18" ht="18.75" thickBot="1" x14ac:dyDescent="0.3">
      <c r="D362" s="110" t="s">
        <v>3094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1670.2250000000001</v>
      </c>
      <c r="I362" s="113">
        <f>SUMIF(MICRO!AP:AP,O:O,MICRO!T:T)</f>
        <v>-2483.8000000000002</v>
      </c>
      <c r="J362" s="114">
        <f t="shared" ref="J362:J388" si="135">IF(G362 = 0,0,H362/G362)</f>
        <v>0.4989022641734871</v>
      </c>
      <c r="K362" s="113">
        <f>SUMIF(MICRO!AP:AP,O:O,MICRO!X:X)</f>
        <v>864</v>
      </c>
      <c r="L362" s="114">
        <f t="shared" ref="L362:L388" si="136">IF(G362&lt;&gt;0,SUM(K362/G362*1),"0%")</f>
        <v>0.25807993309038768</v>
      </c>
      <c r="M362" s="113">
        <f t="shared" ref="M362:M388" si="137">G362-K362</f>
        <v>2483.8000000000002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864</v>
      </c>
    </row>
    <row r="363" spans="4:18" ht="18.75" thickBot="1" x14ac:dyDescent="0.3">
      <c r="D363" s="110" t="s">
        <v>3046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1810.73</v>
      </c>
      <c r="I363" s="113">
        <f>SUMIF(MICRO!AP:AP,O:O,MICRO!T:T)</f>
        <v>-2711.6</v>
      </c>
      <c r="J363" s="114">
        <f t="shared" si="135"/>
        <v>0.5102660204024122</v>
      </c>
      <c r="K363" s="113">
        <f>SUMIF(MICRO!AP:AP,O:O,MICRO!X:X)</f>
        <v>661</v>
      </c>
      <c r="L363" s="114">
        <f t="shared" si="136"/>
        <v>0.18627064194330159</v>
      </c>
      <c r="M363" s="113">
        <f t="shared" si="137"/>
        <v>2887.6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176</v>
      </c>
      <c r="R363">
        <f>SUMIF(MICRO!AP:AP,O:O,MICRO!AU:AU)</f>
        <v>661</v>
      </c>
    </row>
    <row r="364" spans="4:18" ht="18.75" thickBot="1" x14ac:dyDescent="0.3">
      <c r="D364" s="110" t="s">
        <v>3141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426.79499999999996</v>
      </c>
      <c r="I364" s="113">
        <f>SUMIF(MICRO!AP:AP,O:O,MICRO!T:T)</f>
        <v>-587.4</v>
      </c>
      <c r="J364" s="114">
        <f t="shared" si="135"/>
        <v>0.4682850559578669</v>
      </c>
      <c r="K364" s="113">
        <f>SUMIF(MICRO!AP:AP,O:O,MICRO!X:X)</f>
        <v>324</v>
      </c>
      <c r="L364" s="114">
        <f t="shared" si="136"/>
        <v>0.35549703752468725</v>
      </c>
      <c r="M364" s="113">
        <f t="shared" si="137"/>
        <v>587.40000000000009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324</v>
      </c>
    </row>
    <row r="365" spans="4:18" ht="18.75" thickBot="1" x14ac:dyDescent="0.3">
      <c r="D365" s="110" t="s">
        <v>3035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1663.6</v>
      </c>
      <c r="L365" s="114">
        <f t="shared" si="136"/>
        <v>0.79151203730136066</v>
      </c>
      <c r="M365" s="113">
        <f t="shared" si="137"/>
        <v>438.20000000000027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438.2</v>
      </c>
      <c r="R365">
        <f>SUMIF(MICRO!AP:AP,O:O,MICRO!AU:AU)</f>
        <v>1663.6</v>
      </c>
    </row>
    <row r="366" spans="4:18" ht="18.75" thickBot="1" x14ac:dyDescent="0.3">
      <c r="D366" s="8" t="s">
        <v>3094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2289.4</v>
      </c>
      <c r="L366" s="114">
        <f t="shared" si="136"/>
        <v>0.56517231164214465</v>
      </c>
      <c r="M366" s="113">
        <f t="shared" si="137"/>
        <v>1761.4000000000005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1761.4000000000003</v>
      </c>
      <c r="R366">
        <f>SUMIF(MICRO!AP:AP,O:O,MICRO!AU:AU)</f>
        <v>2289.3999999999996</v>
      </c>
    </row>
    <row r="367" spans="4:18" ht="18.75" thickBot="1" x14ac:dyDescent="0.3">
      <c r="D367" s="110" t="s">
        <v>3046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3234.3</v>
      </c>
      <c r="L367" s="114">
        <f t="shared" si="136"/>
        <v>0.93791323512353575</v>
      </c>
      <c r="M367" s="113">
        <f t="shared" si="137"/>
        <v>214.09999999999945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214.10000000000002</v>
      </c>
      <c r="R367">
        <f>SUMIF(MICRO!AP:AP,O:O,MICRO!AU:AU)</f>
        <v>3234.3</v>
      </c>
    </row>
    <row r="368" spans="4:18" ht="18.75" thickBot="1" x14ac:dyDescent="0.3">
      <c r="D368" s="110" t="s">
        <v>3141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402.8</v>
      </c>
      <c r="L368" s="114">
        <f t="shared" si="136"/>
        <v>0.43006619688234043</v>
      </c>
      <c r="M368" s="113">
        <f t="shared" si="137"/>
        <v>533.79999999999995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533.79999999999995</v>
      </c>
      <c r="R368">
        <f>SUMIF(MICRO!AP:AP,O:O,MICRO!AU:AU)</f>
        <v>402.8</v>
      </c>
    </row>
    <row r="369" spans="4:18" ht="18.75" thickBot="1" x14ac:dyDescent="0.3">
      <c r="D369" s="110" t="s">
        <v>3035</v>
      </c>
      <c r="E369" s="111" t="str">
        <f>VLOOKUP(Tabela2[[#This Row],[TAG]],MICRO!J:L,3,0)</f>
        <v>P-198</v>
      </c>
      <c r="F369" s="109" t="s">
        <v>46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3094</v>
      </c>
      <c r="E370" s="111" t="str">
        <f>VLOOKUP(Tabela2[[#This Row],[TAG]],MICRO!J:L,3,0)</f>
        <v>P-198</v>
      </c>
      <c r="F370" s="109" t="s">
        <v>46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3046</v>
      </c>
      <c r="E371" s="111" t="str">
        <f>VLOOKUP(Tabela2[[#This Row],[TAG]],MICRO!J:L,3,0)</f>
        <v>P-198</v>
      </c>
      <c r="F371" s="109" t="s">
        <v>46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3141</v>
      </c>
      <c r="E372" s="111" t="str">
        <f>VLOOKUP(Tabela2[[#This Row],[TAG]],MICRO!J:L,3,0)</f>
        <v>P-198</v>
      </c>
      <c r="F372" s="109" t="s">
        <v>46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3035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3094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3046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3141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3035</v>
      </c>
      <c r="E377" s="111" t="str">
        <f>VLOOKUP(Tabela2[[#This Row],[TAG]],MICRO!J:L,3,0)</f>
        <v>P-198</v>
      </c>
      <c r="F377" s="109" t="s">
        <v>45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3094</v>
      </c>
      <c r="E378" s="111" t="str">
        <f>VLOOKUP(Tabela2[[#This Row],[TAG]],MICRO!J:L,3,0)</f>
        <v>P-198</v>
      </c>
      <c r="F378" s="109" t="s">
        <v>45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3046</v>
      </c>
      <c r="E379" s="111" t="str">
        <f>VLOOKUP(Tabela2[[#This Row],[TAG]],MICRO!J:L,3,0)</f>
        <v>P-198</v>
      </c>
      <c r="F379" s="109" t="s">
        <v>45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3141</v>
      </c>
      <c r="E380" s="111" t="str">
        <f>VLOOKUP(Tabela2[[#This Row],[TAG]],MICRO!J:L,3,0)</f>
        <v>P-198</v>
      </c>
      <c r="F380" s="109" t="s">
        <v>45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3111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75.337499999999991</v>
      </c>
      <c r="I381" s="113">
        <f>SUMIF(MICRO!AP:AP,O:O,MICRO!T:T)</f>
        <v>-122.99999999999999</v>
      </c>
      <c r="J381" s="114">
        <f t="shared" si="135"/>
        <v>0.61250000000000004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0</v>
      </c>
    </row>
    <row r="382" spans="4:18" ht="18.75" thickBot="1" x14ac:dyDescent="0.3">
      <c r="D382" s="110" t="s">
        <v>3169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70.469999999999985</v>
      </c>
      <c r="I382" s="113">
        <f>SUMIF(MICRO!AP:AP,O:O,MICRO!T:T)</f>
        <v>-97.199999999999989</v>
      </c>
      <c r="J382" s="114">
        <f t="shared" si="135"/>
        <v>0.72499999999999998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0</v>
      </c>
    </row>
    <row r="383" spans="4:18" ht="18.75" thickBot="1" x14ac:dyDescent="0.3">
      <c r="D383" s="110" t="s">
        <v>4301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97.875</v>
      </c>
      <c r="I383" s="113">
        <f>SUMIF(MICRO!AP:AP,O:O,MICRO!T:T)</f>
        <v>-135</v>
      </c>
      <c r="J383" s="114">
        <f t="shared" si="135"/>
        <v>0.72499999999999998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0</v>
      </c>
    </row>
    <row r="384" spans="4:18" ht="18.75" thickBot="1" x14ac:dyDescent="0.3">
      <c r="D384" s="110" t="s">
        <v>4308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2999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2999</v>
      </c>
      <c r="E391" s="111" t="str">
        <f>VLOOKUP(Tabela2[[#This Row],[TAG]],MICRO!J:L,3,0)</f>
        <v>P-190</v>
      </c>
      <c r="F391" s="109" t="s">
        <v>47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2999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2999</v>
      </c>
      <c r="E393" s="111" t="str">
        <f>VLOOKUP(Tabela2[[#This Row],[TAG]],MICRO!J:L,3,0)</f>
        <v>P-190</v>
      </c>
      <c r="F393" s="109" t="s">
        <v>46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821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736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2026-07-07T11:51:44Z</cp:lastPrinted>
  <dcterms:created xsi:type="dcterms:W3CDTF">2022-04-15T01:30:45Z</dcterms:created>
  <dcterms:modified xsi:type="dcterms:W3CDTF">2026-07-17T16:34:50Z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