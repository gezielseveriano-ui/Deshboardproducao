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353" documentId="8_{FDD42E6F-94E1-48F3-8613-54A91AB43A68}" xr6:coauthVersionLast="47" xr6:coauthVersionMax="47" xr10:uidLastSave="{EFE9DFA4-160B-4562-BD2C-BD32A25CB8ED}"/>
  <bookViews>
    <workbookView minimized="1" xWindow="825" yWindow="375" windowWidth="23970" windowHeight="1275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EMBARQUE'!$A$1:$N$4796</definedName>
    <definedName name="_xlnm._FilterDatabase" localSheetId="1" hidden="1">MICRO!$A$1:$AN$1</definedName>
    <definedName name="_xlnm.Print_Area" localSheetId="1">MICRO!$A$1:$Y$1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5" i="1" l="1"/>
  <c r="H620" i="1"/>
  <c r="H621" i="1"/>
  <c r="H622" i="1"/>
  <c r="H623" i="1"/>
  <c r="H624" i="1"/>
  <c r="S620" i="1" l="1"/>
  <c r="S621" i="1"/>
  <c r="S622" i="1"/>
  <c r="S623" i="1"/>
  <c r="S624" i="1"/>
  <c r="H618" i="1" l="1"/>
  <c r="S618" i="1" s="1"/>
  <c r="H614" i="1"/>
  <c r="S614" i="1" s="1"/>
  <c r="H615" i="1"/>
  <c r="S615" i="1" s="1"/>
  <c r="H616" i="1"/>
  <c r="S616" i="1" s="1"/>
  <c r="H617" i="1"/>
  <c r="S617" i="1" s="1"/>
  <c r="H619" i="1"/>
  <c r="S619" i="1" s="1"/>
  <c r="H613" i="1"/>
  <c r="S613" i="1" s="1"/>
  <c r="H609" i="1"/>
  <c r="S609" i="1" s="1"/>
  <c r="H610" i="1"/>
  <c r="S610" i="1" s="1"/>
  <c r="H611" i="1"/>
  <c r="S611" i="1" s="1"/>
  <c r="H612" i="1"/>
  <c r="S612" i="1" s="1"/>
  <c r="U455" i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AI453" i="1"/>
  <c r="AI454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6" i="1" l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H455" i="1"/>
  <c r="Z455" i="1" s="1"/>
  <c r="AI455" i="1" s="1"/>
  <c r="H456" i="1"/>
  <c r="H457" i="1"/>
  <c r="H458" i="1"/>
  <c r="H459" i="1"/>
  <c r="H460" i="1"/>
  <c r="H461" i="1"/>
  <c r="Q458" i="1"/>
  <c r="Q459" i="1"/>
  <c r="Q460" i="1"/>
  <c r="Q461" i="1"/>
  <c r="Q453" i="1"/>
  <c r="Q454" i="1"/>
  <c r="Q455" i="1"/>
  <c r="Q456" i="1"/>
  <c r="Q457" i="1"/>
  <c r="H558" i="1"/>
  <c r="S558" i="1" s="1"/>
  <c r="T558" i="1" s="1"/>
  <c r="H557" i="1"/>
  <c r="S557" i="1" s="1"/>
  <c r="T557" i="1" s="1"/>
  <c r="H556" i="1"/>
  <c r="H555" i="1"/>
  <c r="S555" i="1" s="1"/>
  <c r="T555" i="1" s="1"/>
  <c r="H554" i="1"/>
  <c r="S554" i="1" s="1"/>
  <c r="T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AV549" i="1" s="1"/>
  <c r="AS549" i="1" s="1"/>
  <c r="H548" i="1"/>
  <c r="AU548" i="1" s="1"/>
  <c r="H547" i="1"/>
  <c r="AV547" i="1" s="1"/>
  <c r="AS547" i="1" s="1"/>
  <c r="H546" i="1"/>
  <c r="AV546" i="1" s="1"/>
  <c r="AS546" i="1" s="1"/>
  <c r="H545" i="1"/>
  <c r="S545" i="1" s="1"/>
  <c r="T545" i="1" s="1"/>
  <c r="H544" i="1"/>
  <c r="S544" i="1" s="1"/>
  <c r="T544" i="1" s="1"/>
  <c r="H543" i="1"/>
  <c r="AU543" i="1" s="1"/>
  <c r="H542" i="1"/>
  <c r="AU542" i="1" s="1"/>
  <c r="H541" i="1"/>
  <c r="S541" i="1" s="1"/>
  <c r="T541" i="1" s="1"/>
  <c r="H540" i="1"/>
  <c r="H539" i="1"/>
  <c r="R539" i="1" s="1"/>
  <c r="H538" i="1"/>
  <c r="H537" i="1"/>
  <c r="R537" i="1" s="1"/>
  <c r="H536" i="1"/>
  <c r="R536" i="1" s="1"/>
  <c r="H535" i="1"/>
  <c r="S535" i="1" s="1"/>
  <c r="H534" i="1"/>
  <c r="S534" i="1" s="1"/>
  <c r="T534" i="1" s="1"/>
  <c r="H533" i="1"/>
  <c r="S533" i="1" s="1"/>
  <c r="T533" i="1" s="1"/>
  <c r="H532" i="1"/>
  <c r="H531" i="1"/>
  <c r="H530" i="1"/>
  <c r="AU530" i="1" s="1"/>
  <c r="H529" i="1"/>
  <c r="H528" i="1"/>
  <c r="H527" i="1"/>
  <c r="H526" i="1"/>
  <c r="H525" i="1"/>
  <c r="H524" i="1"/>
  <c r="H523" i="1"/>
  <c r="R523" i="1" s="1"/>
  <c r="H522" i="1"/>
  <c r="R522" i="1" s="1"/>
  <c r="H521" i="1"/>
  <c r="AU521" i="1" s="1"/>
  <c r="H520" i="1"/>
  <c r="AU520" i="1" s="1"/>
  <c r="H519" i="1"/>
  <c r="H518" i="1"/>
  <c r="AU518" i="1" s="1"/>
  <c r="H517" i="1"/>
  <c r="AU517" i="1" s="1"/>
  <c r="H516" i="1"/>
  <c r="AU516" i="1" s="1"/>
  <c r="H515" i="1"/>
  <c r="AU515" i="1" s="1"/>
  <c r="H514" i="1"/>
  <c r="AU514" i="1" s="1"/>
  <c r="H513" i="1"/>
  <c r="AU513" i="1" s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AU480" i="1" s="1"/>
  <c r="H479" i="1"/>
  <c r="AU479" i="1" s="1"/>
  <c r="H478" i="1"/>
  <c r="AU478" i="1" s="1"/>
  <c r="H477" i="1"/>
  <c r="AU477" i="1" s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H471" i="1"/>
  <c r="AU471" i="1" s="1"/>
  <c r="H470" i="1"/>
  <c r="AU470" i="1" s="1"/>
  <c r="H469" i="1"/>
  <c r="AU469" i="1" s="1"/>
  <c r="H468" i="1"/>
  <c r="AU468" i="1" s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U608" i="1"/>
  <c r="Q608" i="1"/>
  <c r="Q558" i="1"/>
  <c r="H608" i="1"/>
  <c r="S556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U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U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U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U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U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AT440" i="1" s="1"/>
  <c r="AV440" i="1"/>
  <c r="AS440" i="1" s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R528" i="1"/>
  <c r="V528" i="1"/>
  <c r="V529" i="1"/>
  <c r="R530" i="1"/>
  <c r="U530" i="1"/>
  <c r="V530" i="1"/>
  <c r="R531" i="1"/>
  <c r="X531" i="1"/>
  <c r="Z531" i="1" s="1"/>
  <c r="V531" i="1"/>
  <c r="X532" i="1"/>
  <c r="V532" i="1"/>
  <c r="R533" i="1"/>
  <c r="V533" i="1"/>
  <c r="R534" i="1"/>
  <c r="V534" i="1"/>
  <c r="V535" i="1"/>
  <c r="V536" i="1"/>
  <c r="V537" i="1"/>
  <c r="V538" i="1"/>
  <c r="X539" i="1"/>
  <c r="V539" i="1"/>
  <c r="X540" i="1"/>
  <c r="V540" i="1"/>
  <c r="V541" i="1"/>
  <c r="R542" i="1"/>
  <c r="U542" i="1"/>
  <c r="V542" i="1"/>
  <c r="R543" i="1"/>
  <c r="U543" i="1"/>
  <c r="V543" i="1"/>
  <c r="R544" i="1"/>
  <c r="V544" i="1"/>
  <c r="R545" i="1"/>
  <c r="V545" i="1"/>
  <c r="R546" i="1"/>
  <c r="V546" i="1"/>
  <c r="X547" i="1"/>
  <c r="V547" i="1"/>
  <c r="U548" i="1"/>
  <c r="X548" i="1" s="1"/>
  <c r="V548" i="1"/>
  <c r="V549" i="1"/>
  <c r="V550" i="1"/>
  <c r="V551" i="1"/>
  <c r="R552" i="1"/>
  <c r="U552" i="1"/>
  <c r="V552" i="1"/>
  <c r="V553" i="1"/>
  <c r="R554" i="1"/>
  <c r="V554" i="1"/>
  <c r="R555" i="1"/>
  <c r="X555" i="1"/>
  <c r="Z555" i="1" s="1"/>
  <c r="V555" i="1"/>
  <c r="X556" i="1"/>
  <c r="V556" i="1"/>
  <c r="R557" i="1"/>
  <c r="V557" i="1"/>
  <c r="R558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519" i="1" l="1"/>
  <c r="AU519" i="1"/>
  <c r="Z458" i="1"/>
  <c r="AI458" i="1" s="1"/>
  <c r="R550" i="1"/>
  <c r="Z457" i="1"/>
  <c r="AI457" i="1" s="1"/>
  <c r="AU541" i="1"/>
  <c r="AT541" i="1" s="1"/>
  <c r="Z456" i="1"/>
  <c r="AI456" i="1" s="1"/>
  <c r="R553" i="1"/>
  <c r="R541" i="1"/>
  <c r="AU553" i="1"/>
  <c r="AT553" i="1" s="1"/>
  <c r="AU555" i="1"/>
  <c r="AT555" i="1" s="1"/>
  <c r="AU550" i="1"/>
  <c r="AT550" i="1" s="1"/>
  <c r="Z539" i="1"/>
  <c r="AU551" i="1"/>
  <c r="AT551" i="1" s="1"/>
  <c r="AU549" i="1"/>
  <c r="AT549" i="1" s="1"/>
  <c r="AU547" i="1"/>
  <c r="AT547" i="1" s="1"/>
  <c r="AU476" i="1"/>
  <c r="AT476" i="1" s="1"/>
  <c r="Z547" i="1"/>
  <c r="R547" i="1"/>
  <c r="Z460" i="1"/>
  <c r="AI460" i="1" s="1"/>
  <c r="Z459" i="1"/>
  <c r="AI459" i="1" s="1"/>
  <c r="S540" i="1"/>
  <c r="T540" i="1" s="1"/>
  <c r="AU540" i="1"/>
  <c r="AT540" i="1" s="1"/>
  <c r="S508" i="1"/>
  <c r="AU508" i="1"/>
  <c r="AT508" i="1" s="1"/>
  <c r="AV508" i="1"/>
  <c r="AS508" i="1" s="1"/>
  <c r="R507" i="1"/>
  <c r="AU507" i="1"/>
  <c r="AT507" i="1" s="1"/>
  <c r="R506" i="1"/>
  <c r="AU506" i="1"/>
  <c r="AT506" i="1" s="1"/>
  <c r="R505" i="1"/>
  <c r="AU505" i="1"/>
  <c r="AT505" i="1" s="1"/>
  <c r="AV467" i="1"/>
  <c r="AS467" i="1" s="1"/>
  <c r="AU467" i="1"/>
  <c r="AT467" i="1" s="1"/>
  <c r="R502" i="1"/>
  <c r="AU502" i="1"/>
  <c r="AT502" i="1" s="1"/>
  <c r="S539" i="1"/>
  <c r="T539" i="1" s="1"/>
  <c r="AU539" i="1"/>
  <c r="AT539" i="1" s="1"/>
  <c r="S538" i="1"/>
  <c r="T538" i="1" s="1"/>
  <c r="AU538" i="1"/>
  <c r="AT538" i="1" s="1"/>
  <c r="AV537" i="1"/>
  <c r="AS537" i="1" s="1"/>
  <c r="AU537" i="1"/>
  <c r="AT537" i="1" s="1"/>
  <c r="S536" i="1"/>
  <c r="T536" i="1" s="1"/>
  <c r="AU536" i="1"/>
  <c r="AT536" i="1" s="1"/>
  <c r="S532" i="1"/>
  <c r="AU532" i="1"/>
  <c r="AT532" i="1" s="1"/>
  <c r="S531" i="1"/>
  <c r="T531" i="1" s="1"/>
  <c r="AU531" i="1"/>
  <c r="AT531" i="1" s="1"/>
  <c r="AV529" i="1"/>
  <c r="AS529" i="1" s="1"/>
  <c r="AU529" i="1"/>
  <c r="AT529" i="1" s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T525" i="1" s="1"/>
  <c r="AV524" i="1"/>
  <c r="AS524" i="1" s="1"/>
  <c r="AU524" i="1"/>
  <c r="AT524" i="1" s="1"/>
  <c r="AV501" i="1"/>
  <c r="AS501" i="1" s="1"/>
  <c r="AU501" i="1"/>
  <c r="AT501" i="1" s="1"/>
  <c r="R500" i="1"/>
  <c r="AU500" i="1"/>
  <c r="AT500" i="1" s="1"/>
  <c r="AV496" i="1"/>
  <c r="AS496" i="1" s="1"/>
  <c r="AU496" i="1"/>
  <c r="AT496" i="1" s="1"/>
  <c r="R495" i="1"/>
  <c r="AU495" i="1"/>
  <c r="AT495" i="1" s="1"/>
  <c r="R494" i="1"/>
  <c r="AU494" i="1"/>
  <c r="AT494" i="1" s="1"/>
  <c r="AV493" i="1"/>
  <c r="AS493" i="1" s="1"/>
  <c r="AU493" i="1"/>
  <c r="AT493" i="1" s="1"/>
  <c r="R492" i="1"/>
  <c r="AU492" i="1"/>
  <c r="AT492" i="1" s="1"/>
  <c r="AV491" i="1"/>
  <c r="AS491" i="1" s="1"/>
  <c r="AU491" i="1"/>
  <c r="AT491" i="1" s="1"/>
  <c r="AV490" i="1"/>
  <c r="AS490" i="1" s="1"/>
  <c r="AU490" i="1"/>
  <c r="AT490" i="1" s="1"/>
  <c r="AV489" i="1"/>
  <c r="AS489" i="1" s="1"/>
  <c r="AU489" i="1"/>
  <c r="AT489" i="1" s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T497" i="1" s="1"/>
  <c r="AU485" i="1"/>
  <c r="AT485" i="1" s="1"/>
  <c r="AU546" i="1"/>
  <c r="AT546" i="1" s="1"/>
  <c r="AV534" i="1"/>
  <c r="AS534" i="1" s="1"/>
  <c r="AU534" i="1"/>
  <c r="AT534" i="1" s="1"/>
  <c r="AU522" i="1"/>
  <c r="AT522" i="1" s="1"/>
  <c r="AU510" i="1"/>
  <c r="AT510" i="1" s="1"/>
  <c r="AU498" i="1"/>
  <c r="AT498" i="1" s="1"/>
  <c r="AU486" i="1"/>
  <c r="AT486" i="1" s="1"/>
  <c r="AU474" i="1"/>
  <c r="AT474" i="1" s="1"/>
  <c r="AU557" i="1"/>
  <c r="AT557" i="1" s="1"/>
  <c r="AU545" i="1"/>
  <c r="AT545" i="1" s="1"/>
  <c r="AT509" i="1"/>
  <c r="AV557" i="1"/>
  <c r="AS557" i="1" s="1"/>
  <c r="S546" i="1"/>
  <c r="T546" i="1" s="1"/>
  <c r="AV532" i="1"/>
  <c r="AS532" i="1" s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V538" i="1"/>
  <c r="AS538" i="1" s="1"/>
  <c r="AV558" i="1"/>
  <c r="AS558" i="1" s="1"/>
  <c r="AV533" i="1"/>
  <c r="AS533" i="1" s="1"/>
  <c r="S509" i="1"/>
  <c r="T509" i="1" s="1"/>
  <c r="AT558" i="1"/>
  <c r="S498" i="1"/>
  <c r="T498" i="1" s="1"/>
  <c r="AV510" i="1"/>
  <c r="AS510" i="1" s="1"/>
  <c r="S522" i="1"/>
  <c r="T522" i="1" s="1"/>
  <c r="AV515" i="1"/>
  <c r="AS515" i="1" s="1"/>
  <c r="AT515" i="1"/>
  <c r="AV539" i="1"/>
  <c r="AS539" i="1" s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S492" i="1"/>
  <c r="T492" i="1" s="1"/>
  <c r="R595" i="1"/>
  <c r="R571" i="1"/>
  <c r="AT468" i="1"/>
  <c r="R603" i="1"/>
  <c r="R579" i="1"/>
  <c r="AV531" i="1"/>
  <c r="AS531" i="1" s="1"/>
  <c r="AT483" i="1"/>
  <c r="AV555" i="1"/>
  <c r="AS555" i="1" s="1"/>
  <c r="AV507" i="1"/>
  <c r="AS507" i="1" s="1"/>
  <c r="S507" i="1"/>
  <c r="T507" i="1" s="1"/>
  <c r="R586" i="1"/>
  <c r="AV494" i="1"/>
  <c r="AS494" i="1" s="1"/>
  <c r="R573" i="1"/>
  <c r="R562" i="1"/>
  <c r="AV530" i="1"/>
  <c r="AS530" i="1" s="1"/>
  <c r="AV469" i="1"/>
  <c r="AS469" i="1" s="1"/>
  <c r="S518" i="1"/>
  <c r="T518" i="1" s="1"/>
  <c r="AT530" i="1"/>
  <c r="AV518" i="1"/>
  <c r="AS518" i="1" s="1"/>
  <c r="AT469" i="1"/>
  <c r="AV554" i="1"/>
  <c r="AS554" i="1" s="1"/>
  <c r="AT518" i="1"/>
  <c r="AT554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14" i="1"/>
  <c r="R442" i="1"/>
  <c r="S502" i="1"/>
  <c r="T502" i="1" s="1"/>
  <c r="AT478" i="1"/>
  <c r="S526" i="1"/>
  <c r="T526" i="1" s="1"/>
  <c r="AV502" i="1"/>
  <c r="AS502" i="1" s="1"/>
  <c r="R596" i="1"/>
  <c r="AT466" i="1"/>
  <c r="S549" i="1"/>
  <c r="T549" i="1" s="1"/>
  <c r="S525" i="1"/>
  <c r="T525" i="1" s="1"/>
  <c r="S501" i="1"/>
  <c r="T501" i="1" s="1"/>
  <c r="AV525" i="1"/>
  <c r="AS525" i="1" s="1"/>
  <c r="AT477" i="1"/>
  <c r="S537" i="1"/>
  <c r="T537" i="1" s="1"/>
  <c r="S547" i="1"/>
  <c r="T547" i="1" s="1"/>
  <c r="S524" i="1"/>
  <c r="T524" i="1" s="1"/>
  <c r="AV500" i="1"/>
  <c r="AS500" i="1" s="1"/>
  <c r="S523" i="1"/>
  <c r="T523" i="1" s="1"/>
  <c r="S500" i="1"/>
  <c r="T500" i="1" s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V513" i="1"/>
  <c r="AS513" i="1" s="1"/>
  <c r="AT473" i="1"/>
  <c r="AV545" i="1"/>
  <c r="AS545" i="1" s="1"/>
  <c r="S505" i="1"/>
  <c r="T505" i="1" s="1"/>
  <c r="R585" i="1"/>
  <c r="R561" i="1"/>
  <c r="R589" i="1"/>
  <c r="AV522" i="1"/>
  <c r="AS522" i="1" s="1"/>
  <c r="AV498" i="1"/>
  <c r="AS498" i="1" s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13" i="1"/>
  <c r="AT481" i="1"/>
  <c r="AV553" i="1"/>
  <c r="AS553" i="1" s="1"/>
  <c r="AV521" i="1"/>
  <c r="AS521" i="1" s="1"/>
  <c r="S513" i="1"/>
  <c r="T513" i="1" s="1"/>
  <c r="S473" i="1"/>
  <c r="T473" i="1" s="1"/>
  <c r="AT521" i="1"/>
  <c r="AV497" i="1"/>
  <c r="AS497" i="1" s="1"/>
  <c r="S521" i="1"/>
  <c r="T521" i="1" s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T544" i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43" i="1"/>
  <c r="AT519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T508" i="1"/>
  <c r="R572" i="1"/>
  <c r="T556" i="1"/>
  <c r="R508" i="1"/>
  <c r="Z501" i="1"/>
  <c r="T588" i="1"/>
  <c r="R556" i="1"/>
  <c r="Z540" i="1"/>
  <c r="R588" i="1"/>
  <c r="T580" i="1"/>
  <c r="R548" i="1"/>
  <c r="Z532" i="1"/>
  <c r="R501" i="1"/>
  <c r="Z493" i="1"/>
  <c r="R551" i="1"/>
  <c r="R527" i="1"/>
  <c r="R447" i="1"/>
  <c r="T604" i="1"/>
  <c r="R580" i="1"/>
  <c r="R540" i="1"/>
  <c r="T532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T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AP150" i="1"/>
  <c r="AQ150" i="1"/>
  <c r="AR150" i="1"/>
  <c r="AU150" i="1"/>
  <c r="AT150" i="1" s="1"/>
  <c r="AV150" i="1"/>
  <c r="AS150" i="1" s="1"/>
  <c r="H153" i="1"/>
  <c r="S153" i="1" s="1"/>
  <c r="N3603" i="6" l="1"/>
  <c r="N3604" i="6"/>
  <c r="L13" i="8"/>
  <c r="H72" i="1"/>
  <c r="S72" i="1" s="1"/>
  <c r="K3756" i="6"/>
  <c r="AU68" i="1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2" i="1"/>
  <c r="V3" i="1"/>
  <c r="U128" i="1"/>
  <c r="Y128" i="1" s="1"/>
  <c r="U129" i="1"/>
  <c r="X129" i="1" s="1"/>
  <c r="U130" i="1"/>
  <c r="X130" i="1" s="1"/>
  <c r="U131" i="1"/>
  <c r="X131" i="1" s="1"/>
  <c r="U132" i="1"/>
  <c r="X132" i="1" s="1"/>
  <c r="U133" i="1"/>
  <c r="X133" i="1" s="1"/>
  <c r="U134" i="1"/>
  <c r="X134" i="1" s="1"/>
  <c r="U135" i="1"/>
  <c r="Y135" i="1" s="1"/>
  <c r="U136" i="1"/>
  <c r="X136" i="1" s="1"/>
  <c r="U137" i="1"/>
  <c r="Y137" i="1" s="1"/>
  <c r="U138" i="1"/>
  <c r="X138" i="1" s="1"/>
  <c r="U139" i="1"/>
  <c r="X139" i="1" s="1"/>
  <c r="U140" i="1"/>
  <c r="Y140" i="1" s="1"/>
  <c r="U141" i="1"/>
  <c r="X141" i="1" s="1"/>
  <c r="U142" i="1"/>
  <c r="X142" i="1" s="1"/>
  <c r="U143" i="1"/>
  <c r="Y143" i="1" s="1"/>
  <c r="U144" i="1"/>
  <c r="X144" i="1" s="1"/>
  <c r="U145" i="1"/>
  <c r="X145" i="1" s="1"/>
  <c r="U146" i="1"/>
  <c r="Y146" i="1" s="1"/>
  <c r="U147" i="1"/>
  <c r="Y147" i="1" s="1"/>
  <c r="U148" i="1"/>
  <c r="X148" i="1" s="1"/>
  <c r="U149" i="1"/>
  <c r="Y149" i="1" s="1"/>
  <c r="U150" i="1"/>
  <c r="X150" i="1" s="1"/>
  <c r="U151" i="1"/>
  <c r="Y151" i="1" s="1"/>
  <c r="U152" i="1"/>
  <c r="Y152" i="1" s="1"/>
  <c r="U153" i="1"/>
  <c r="X153" i="1" s="1"/>
  <c r="H128" i="1"/>
  <c r="Q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Q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Q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Q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V132" i="1" s="1"/>
  <c r="AS132" i="1" s="1"/>
  <c r="Q132" i="1"/>
  <c r="AK132" i="1"/>
  <c r="AO132" i="1"/>
  <c r="W132" i="1" s="1"/>
  <c r="AP132" i="1"/>
  <c r="AQ132" i="1"/>
  <c r="AR132" i="1"/>
  <c r="AU132" i="1"/>
  <c r="H133" i="1"/>
  <c r="S133" i="1" s="1"/>
  <c r="T133" i="1" s="1"/>
  <c r="Q133" i="1"/>
  <c r="AK133" i="1"/>
  <c r="AO133" i="1"/>
  <c r="W133" i="1" s="1"/>
  <c r="AP133" i="1"/>
  <c r="AQ133" i="1"/>
  <c r="AR133" i="1"/>
  <c r="AU133" i="1"/>
  <c r="H134" i="1"/>
  <c r="S134" i="1" s="1"/>
  <c r="T134" i="1" s="1"/>
  <c r="Q134" i="1"/>
  <c r="AK134" i="1"/>
  <c r="AO134" i="1"/>
  <c r="AP134" i="1"/>
  <c r="AQ134" i="1"/>
  <c r="AR134" i="1"/>
  <c r="H135" i="1"/>
  <c r="Q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Q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Q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Q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Q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Q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T141" i="1" s="1"/>
  <c r="Q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Q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Q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Q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Q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Q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Q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Q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T149" i="1" s="1"/>
  <c r="Q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Q150" i="1"/>
  <c r="W150" i="1"/>
  <c r="H151" i="1"/>
  <c r="Q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Q152" i="1"/>
  <c r="AK152" i="1"/>
  <c r="AO152" i="1"/>
  <c r="W152" i="1" s="1"/>
  <c r="AP152" i="1"/>
  <c r="AQ152" i="1"/>
  <c r="AR152" i="1"/>
  <c r="AU152" i="1"/>
  <c r="AT152" i="1" s="1"/>
  <c r="AV152" i="1"/>
  <c r="AS152" i="1" s="1"/>
  <c r="R153" i="1"/>
  <c r="Q153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U103" i="1"/>
  <c r="X103" i="1" s="1"/>
  <c r="U104" i="1"/>
  <c r="U45" i="1"/>
  <c r="Y45" i="1" s="1"/>
  <c r="Q68" i="1"/>
  <c r="U68" i="1"/>
  <c r="X68" i="1" s="1"/>
  <c r="Q69" i="1"/>
  <c r="U69" i="1"/>
  <c r="Y69" i="1" s="1"/>
  <c r="Q70" i="1"/>
  <c r="U70" i="1"/>
  <c r="X70" i="1" s="1"/>
  <c r="Q71" i="1"/>
  <c r="U71" i="1"/>
  <c r="X71" i="1" s="1"/>
  <c r="Q72" i="1"/>
  <c r="U72" i="1"/>
  <c r="X72" i="1" s="1"/>
  <c r="AH72" i="1" s="1"/>
  <c r="Q73" i="1"/>
  <c r="U73" i="1"/>
  <c r="X73" i="1" s="1"/>
  <c r="Q74" i="1"/>
  <c r="U74" i="1"/>
  <c r="X74" i="1" s="1"/>
  <c r="Q75" i="1"/>
  <c r="U75" i="1"/>
  <c r="X75" i="1" s="1"/>
  <c r="Q76" i="1"/>
  <c r="U76" i="1"/>
  <c r="X76" i="1" s="1"/>
  <c r="Q77" i="1"/>
  <c r="U77" i="1"/>
  <c r="Y77" i="1" s="1"/>
  <c r="Q78" i="1"/>
  <c r="U78" i="1"/>
  <c r="X78" i="1" s="1"/>
  <c r="Q79" i="1"/>
  <c r="U79" i="1"/>
  <c r="X79" i="1" s="1"/>
  <c r="Q80" i="1"/>
  <c r="U80" i="1"/>
  <c r="X80" i="1" s="1"/>
  <c r="Q81" i="1"/>
  <c r="U81" i="1"/>
  <c r="X81" i="1" s="1"/>
  <c r="Q82" i="1"/>
  <c r="U82" i="1"/>
  <c r="Q83" i="1"/>
  <c r="U83" i="1"/>
  <c r="Q84" i="1"/>
  <c r="U84" i="1"/>
  <c r="Y84" i="1" s="1"/>
  <c r="Q85" i="1"/>
  <c r="U85" i="1"/>
  <c r="X85" i="1" s="1"/>
  <c r="Q86" i="1"/>
  <c r="U86" i="1"/>
  <c r="X86" i="1" s="1"/>
  <c r="Q87" i="1"/>
  <c r="U87" i="1"/>
  <c r="X87" i="1" s="1"/>
  <c r="Q88" i="1"/>
  <c r="U88" i="1"/>
  <c r="X88" i="1" s="1"/>
  <c r="Q89" i="1"/>
  <c r="U89" i="1"/>
  <c r="X89" i="1" s="1"/>
  <c r="Q90" i="1"/>
  <c r="U90" i="1"/>
  <c r="X90" i="1" s="1"/>
  <c r="Q91" i="1"/>
  <c r="U91" i="1"/>
  <c r="Q92" i="1"/>
  <c r="U92" i="1"/>
  <c r="Y92" i="1" s="1"/>
  <c r="Q93" i="1"/>
  <c r="U93" i="1"/>
  <c r="X93" i="1" s="1"/>
  <c r="Q94" i="1"/>
  <c r="U94" i="1"/>
  <c r="X94" i="1" s="1"/>
  <c r="Q95" i="1"/>
  <c r="U95" i="1"/>
  <c r="X95" i="1" s="1"/>
  <c r="Q96" i="1"/>
  <c r="U96" i="1"/>
  <c r="X96" i="1" s="1"/>
  <c r="Q97" i="1"/>
  <c r="U97" i="1"/>
  <c r="Y97" i="1" s="1"/>
  <c r="Q98" i="1"/>
  <c r="U98" i="1"/>
  <c r="X98" i="1" s="1"/>
  <c r="Q99" i="1"/>
  <c r="U99" i="1"/>
  <c r="X99" i="1" s="1"/>
  <c r="Q100" i="1"/>
  <c r="U100" i="1"/>
  <c r="Y100" i="1" s="1"/>
  <c r="Q101" i="1"/>
  <c r="U101" i="1"/>
  <c r="X101" i="1" s="1"/>
  <c r="Q102" i="1"/>
  <c r="U102" i="1"/>
  <c r="X102" i="1" s="1"/>
  <c r="Q103" i="1"/>
  <c r="Q104" i="1"/>
  <c r="Q105" i="1"/>
  <c r="U105" i="1"/>
  <c r="Y105" i="1" s="1"/>
  <c r="Q106" i="1"/>
  <c r="U106" i="1"/>
  <c r="Y106" i="1" s="1"/>
  <c r="Q107" i="1"/>
  <c r="U107" i="1"/>
  <c r="X107" i="1" s="1"/>
  <c r="Q108" i="1"/>
  <c r="U108" i="1"/>
  <c r="Y108" i="1" s="1"/>
  <c r="Q109" i="1"/>
  <c r="U109" i="1"/>
  <c r="X109" i="1" s="1"/>
  <c r="Q110" i="1"/>
  <c r="U110" i="1"/>
  <c r="X110" i="1" s="1"/>
  <c r="Q111" i="1"/>
  <c r="U111" i="1"/>
  <c r="X111" i="1" s="1"/>
  <c r="Q112" i="1"/>
  <c r="U112" i="1"/>
  <c r="X112" i="1" s="1"/>
  <c r="Q113" i="1"/>
  <c r="U113" i="1"/>
  <c r="X113" i="1" s="1"/>
  <c r="Q114" i="1"/>
  <c r="U114" i="1"/>
  <c r="Y114" i="1" s="1"/>
  <c r="Q115" i="1"/>
  <c r="U115" i="1"/>
  <c r="X115" i="1" s="1"/>
  <c r="Q116" i="1"/>
  <c r="U116" i="1"/>
  <c r="Q117" i="1"/>
  <c r="U117" i="1"/>
  <c r="X117" i="1" s="1"/>
  <c r="Q118" i="1"/>
  <c r="U118" i="1"/>
  <c r="X118" i="1" s="1"/>
  <c r="Q119" i="1"/>
  <c r="U119" i="1"/>
  <c r="X119" i="1" s="1"/>
  <c r="Q120" i="1"/>
  <c r="U120" i="1"/>
  <c r="X120" i="1" s="1"/>
  <c r="Q121" i="1"/>
  <c r="U121" i="1"/>
  <c r="X121" i="1" s="1"/>
  <c r="Q122" i="1"/>
  <c r="U122" i="1"/>
  <c r="Q123" i="1"/>
  <c r="U123" i="1"/>
  <c r="X123" i="1" s="1"/>
  <c r="Q124" i="1"/>
  <c r="U124" i="1"/>
  <c r="Y124" i="1" s="1"/>
  <c r="Q125" i="1"/>
  <c r="U125" i="1"/>
  <c r="X125" i="1" s="1"/>
  <c r="Q126" i="1"/>
  <c r="U126" i="1"/>
  <c r="X126" i="1" s="1"/>
  <c r="Q127" i="1"/>
  <c r="U127" i="1"/>
  <c r="X127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U38" i="1"/>
  <c r="Y38" i="1" s="1"/>
  <c r="U39" i="1"/>
  <c r="Y39" i="1" s="1"/>
  <c r="U40" i="1"/>
  <c r="Y40" i="1" s="1"/>
  <c r="U41" i="1"/>
  <c r="Y41" i="1" s="1"/>
  <c r="U42" i="1"/>
  <c r="Y42" i="1" s="1"/>
  <c r="U43" i="1"/>
  <c r="Y43" i="1" s="1"/>
  <c r="U44" i="1"/>
  <c r="Y44" i="1" s="1"/>
  <c r="U46" i="1"/>
  <c r="Y46" i="1" s="1"/>
  <c r="U47" i="1"/>
  <c r="Y47" i="1" s="1"/>
  <c r="U48" i="1"/>
  <c r="Y48" i="1" s="1"/>
  <c r="U49" i="1"/>
  <c r="Y49" i="1" s="1"/>
  <c r="U50" i="1"/>
  <c r="Y50" i="1" s="1"/>
  <c r="U51" i="1"/>
  <c r="Y51" i="1" s="1"/>
  <c r="U52" i="1"/>
  <c r="Y52" i="1" s="1"/>
  <c r="U53" i="1"/>
  <c r="Y53" i="1" s="1"/>
  <c r="U54" i="1"/>
  <c r="Y54" i="1" s="1"/>
  <c r="U55" i="1"/>
  <c r="Y55" i="1" s="1"/>
  <c r="U56" i="1"/>
  <c r="Y56" i="1" s="1"/>
  <c r="U57" i="1"/>
  <c r="Y57" i="1" s="1"/>
  <c r="U58" i="1"/>
  <c r="Y58" i="1" s="1"/>
  <c r="U59" i="1"/>
  <c r="Y59" i="1" s="1"/>
  <c r="U60" i="1"/>
  <c r="Y60" i="1" s="1"/>
  <c r="U61" i="1"/>
  <c r="Y61" i="1" s="1"/>
  <c r="U62" i="1"/>
  <c r="Y62" i="1" s="1"/>
  <c r="U63" i="1"/>
  <c r="Y63" i="1" s="1"/>
  <c r="U64" i="1"/>
  <c r="Y64" i="1" s="1"/>
  <c r="U65" i="1"/>
  <c r="Y65" i="1" s="1"/>
  <c r="U66" i="1"/>
  <c r="Y66" i="1" s="1"/>
  <c r="U67" i="1"/>
  <c r="Y6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AT133" i="1" l="1"/>
  <c r="AV133" i="1"/>
  <c r="AS133" i="1" s="1"/>
  <c r="AT132" i="1"/>
  <c r="R128" i="1"/>
  <c r="S128" i="1"/>
  <c r="T128" i="1" s="1"/>
  <c r="S129" i="1"/>
  <c r="T129" i="1" s="1"/>
  <c r="S130" i="1"/>
  <c r="T130" i="1" s="1"/>
  <c r="S131" i="1"/>
  <c r="T131" i="1" s="1"/>
  <c r="S132" i="1"/>
  <c r="T132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R142" i="1"/>
  <c r="S142" i="1"/>
  <c r="T142" i="1" s="1"/>
  <c r="S143" i="1"/>
  <c r="T143" i="1" s="1"/>
  <c r="S144" i="1"/>
  <c r="T144" i="1" s="1"/>
  <c r="R145" i="1"/>
  <c r="S145" i="1"/>
  <c r="T145" i="1" s="1"/>
  <c r="S146" i="1"/>
  <c r="T146" i="1" s="1"/>
  <c r="S147" i="1"/>
  <c r="T147" i="1" s="1"/>
  <c r="S148" i="1"/>
  <c r="T148" i="1" s="1"/>
  <c r="S151" i="1"/>
  <c r="T151" i="1" s="1"/>
  <c r="R152" i="1"/>
  <c r="S152" i="1"/>
  <c r="T152" i="1" s="1"/>
  <c r="R150" i="1"/>
  <c r="AV134" i="1"/>
  <c r="AS134" i="1" s="1"/>
  <c r="AU134" i="1"/>
  <c r="AT134" i="1" s="1"/>
  <c r="X128" i="1"/>
  <c r="Z128" i="1" s="1"/>
  <c r="AI128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137" i="1"/>
  <c r="Z137" i="1" s="1"/>
  <c r="AI137" i="1" s="1"/>
  <c r="Y129" i="1"/>
  <c r="X343" i="1"/>
  <c r="Y132" i="1"/>
  <c r="X146" i="1"/>
  <c r="Z146" i="1" s="1"/>
  <c r="AI146" i="1" s="1"/>
  <c r="Y131" i="1"/>
  <c r="Y139" i="1"/>
  <c r="X140" i="1"/>
  <c r="Z140" i="1" s="1"/>
  <c r="AI140" i="1" s="1"/>
  <c r="Y136" i="1"/>
  <c r="X221" i="1"/>
  <c r="Y145" i="1"/>
  <c r="Y173" i="1"/>
  <c r="X253" i="1"/>
  <c r="X31" i="1"/>
  <c r="Y309" i="1"/>
  <c r="Y341" i="1"/>
  <c r="Y205" i="1"/>
  <c r="X285" i="1"/>
  <c r="X181" i="1"/>
  <c r="Z141" i="1"/>
  <c r="AI141" i="1" s="1"/>
  <c r="R141" i="1"/>
  <c r="X149" i="1"/>
  <c r="Z149" i="1" s="1"/>
  <c r="AI149" i="1" s="1"/>
  <c r="Y138" i="1"/>
  <c r="Y130" i="1"/>
  <c r="Z144" i="1"/>
  <c r="AI144" i="1" s="1"/>
  <c r="Z150" i="1"/>
  <c r="AI150" i="1" s="1"/>
  <c r="Z142" i="1"/>
  <c r="AI142" i="1" s="1"/>
  <c r="Y133" i="1"/>
  <c r="X147" i="1"/>
  <c r="Z147" i="1" s="1"/>
  <c r="AI147" i="1" s="1"/>
  <c r="Y144" i="1"/>
  <c r="Y141" i="1"/>
  <c r="Z129" i="1"/>
  <c r="AI129" i="1" s="1"/>
  <c r="Z134" i="1"/>
  <c r="AI134" i="1" s="1"/>
  <c r="Z148" i="1"/>
  <c r="AI148" i="1" s="1"/>
  <c r="Z139" i="1"/>
  <c r="AI139" i="1" s="1"/>
  <c r="X152" i="1"/>
  <c r="Z152" i="1" s="1"/>
  <c r="AI152" i="1" s="1"/>
  <c r="R133" i="1"/>
  <c r="Z133" i="1"/>
  <c r="AI133" i="1" s="1"/>
  <c r="Y284" i="1"/>
  <c r="Y244" i="1"/>
  <c r="Y204" i="1"/>
  <c r="X340" i="1"/>
  <c r="X324" i="1"/>
  <c r="X172" i="1"/>
  <c r="X10" i="1"/>
  <c r="Z145" i="1"/>
  <c r="AI145" i="1" s="1"/>
  <c r="Z136" i="1"/>
  <c r="AI136" i="1" s="1"/>
  <c r="Z132" i="1"/>
  <c r="AI132" i="1" s="1"/>
  <c r="Y228" i="1"/>
  <c r="Y18" i="1"/>
  <c r="X268" i="1"/>
  <c r="X156" i="1"/>
  <c r="Y348" i="1"/>
  <c r="Y2" i="1"/>
  <c r="X308" i="1"/>
  <c r="X252" i="1"/>
  <c r="X236" i="1"/>
  <c r="X212" i="1"/>
  <c r="X196" i="1"/>
  <c r="Z130" i="1"/>
  <c r="AI130" i="1" s="1"/>
  <c r="Z138" i="1"/>
  <c r="AI138" i="1" s="1"/>
  <c r="Y134" i="1"/>
  <c r="X292" i="1"/>
  <c r="X220" i="1"/>
  <c r="X180" i="1"/>
  <c r="Y150" i="1"/>
  <c r="Y153" i="1"/>
  <c r="Y142" i="1"/>
  <c r="R134" i="1"/>
  <c r="Z153" i="1"/>
  <c r="AI153" i="1" s="1"/>
  <c r="X332" i="1"/>
  <c r="Y276" i="1"/>
  <c r="Y26" i="1"/>
  <c r="X164" i="1"/>
  <c r="Y30" i="1"/>
  <c r="Y316" i="1"/>
  <c r="Z131" i="1"/>
  <c r="AI131" i="1" s="1"/>
  <c r="X151" i="1"/>
  <c r="Z151" i="1" s="1"/>
  <c r="AI151" i="1" s="1"/>
  <c r="X135" i="1"/>
  <c r="Z135" i="1" s="1"/>
  <c r="AI135" i="1" s="1"/>
  <c r="X143" i="1"/>
  <c r="Z143" i="1" s="1"/>
  <c r="AI143" i="1" s="1"/>
  <c r="Y148" i="1"/>
  <c r="T153" i="1"/>
  <c r="R149" i="1"/>
  <c r="R138" i="1"/>
  <c r="R130" i="1"/>
  <c r="R140" i="1"/>
  <c r="R139" i="1"/>
  <c r="R147" i="1"/>
  <c r="R146" i="1"/>
  <c r="R131" i="1"/>
  <c r="X187" i="1"/>
  <c r="X163" i="1"/>
  <c r="Y315" i="1"/>
  <c r="Y291" i="1"/>
  <c r="Y243" i="1"/>
  <c r="Y219" i="1"/>
  <c r="X211" i="1"/>
  <c r="X17" i="1"/>
  <c r="R148" i="1"/>
  <c r="R132" i="1"/>
  <c r="Y339" i="1"/>
  <c r="Y267" i="1"/>
  <c r="R137" i="1"/>
  <c r="R129" i="1"/>
  <c r="Y203" i="1"/>
  <c r="Y9" i="1"/>
  <c r="R144" i="1"/>
  <c r="R136" i="1"/>
  <c r="Y29" i="1"/>
  <c r="Y283" i="1"/>
  <c r="R151" i="1"/>
  <c r="T150" i="1"/>
  <c r="R143" i="1"/>
  <c r="R135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X97" i="1"/>
  <c r="X77" i="1"/>
  <c r="Y90" i="1"/>
  <c r="Y99" i="1"/>
  <c r="Y96" i="1"/>
  <c r="Y89" i="1"/>
  <c r="Y98" i="1"/>
  <c r="Y74" i="1"/>
  <c r="Y123" i="1"/>
  <c r="Y120" i="1"/>
  <c r="Y113" i="1"/>
  <c r="Y75" i="1"/>
  <c r="Y112" i="1"/>
  <c r="X100" i="1"/>
  <c r="X124" i="1"/>
  <c r="Y121" i="1"/>
  <c r="X114" i="1"/>
  <c r="Y76" i="1"/>
  <c r="Y122" i="1"/>
  <c r="X122" i="1"/>
  <c r="Y116" i="1"/>
  <c r="X116" i="1"/>
  <c r="Y107" i="1"/>
  <c r="X104" i="1"/>
  <c r="Y104" i="1"/>
  <c r="X106" i="1"/>
  <c r="X82" i="1"/>
  <c r="Y82" i="1"/>
  <c r="Y115" i="1"/>
  <c r="X108" i="1"/>
  <c r="X105" i="1"/>
  <c r="X91" i="1"/>
  <c r="Y91" i="1"/>
  <c r="X83" i="1"/>
  <c r="Y83" i="1"/>
  <c r="Y88" i="1"/>
  <c r="Y68" i="1"/>
  <c r="Y80" i="1"/>
  <c r="X69" i="1"/>
  <c r="X92" i="1"/>
  <c r="Y81" i="1"/>
  <c r="Y73" i="1"/>
  <c r="Y119" i="1"/>
  <c r="Y111" i="1"/>
  <c r="Y103" i="1"/>
  <c r="Y95" i="1"/>
  <c r="Y87" i="1"/>
  <c r="Y72" i="1"/>
  <c r="X84" i="1"/>
  <c r="Y127" i="1"/>
  <c r="Y126" i="1"/>
  <c r="Y118" i="1"/>
  <c r="Y110" i="1"/>
  <c r="Y102" i="1"/>
  <c r="Y94" i="1"/>
  <c r="Y86" i="1"/>
  <c r="Y79" i="1"/>
  <c r="Y71" i="1"/>
  <c r="Y125" i="1"/>
  <c r="Y117" i="1"/>
  <c r="Y109" i="1"/>
  <c r="Y101" i="1"/>
  <c r="Y93" i="1"/>
  <c r="Y85" i="1"/>
  <c r="Y78" i="1"/>
  <c r="Y7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S69" i="1" s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V115" i="1"/>
  <c r="AS115" i="1" s="1"/>
  <c r="AU115" i="1"/>
  <c r="AT115" i="1" s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AU113" i="1"/>
  <c r="AR113" i="1"/>
  <c r="AQ113" i="1"/>
  <c r="AP113" i="1"/>
  <c r="AO113" i="1"/>
  <c r="W113" i="1" s="1"/>
  <c r="AK113" i="1"/>
  <c r="H113" i="1"/>
  <c r="S113" i="1" s="1"/>
  <c r="AR112" i="1"/>
  <c r="AQ112" i="1"/>
  <c r="AP112" i="1"/>
  <c r="AO112" i="1"/>
  <c r="W112" i="1" s="1"/>
  <c r="AK112" i="1"/>
  <c r="H112" i="1"/>
  <c r="AU111" i="1"/>
  <c r="AR111" i="1"/>
  <c r="AQ111" i="1"/>
  <c r="AP111" i="1"/>
  <c r="AO111" i="1"/>
  <c r="W111" i="1" s="1"/>
  <c r="AK111" i="1"/>
  <c r="H111" i="1"/>
  <c r="S111" i="1" s="1"/>
  <c r="AU110" i="1"/>
  <c r="AR110" i="1"/>
  <c r="AQ110" i="1"/>
  <c r="AP110" i="1"/>
  <c r="AO110" i="1"/>
  <c r="W110" i="1" s="1"/>
  <c r="AK110" i="1"/>
  <c r="H110" i="1"/>
  <c r="S110" i="1" s="1"/>
  <c r="AU109" i="1"/>
  <c r="AR109" i="1"/>
  <c r="AQ109" i="1"/>
  <c r="AP109" i="1"/>
  <c r="AO109" i="1"/>
  <c r="W109" i="1" s="1"/>
  <c r="AK109" i="1"/>
  <c r="H109" i="1"/>
  <c r="S109" i="1" s="1"/>
  <c r="AU108" i="1"/>
  <c r="AR108" i="1"/>
  <c r="AQ108" i="1"/>
  <c r="AP108" i="1"/>
  <c r="AO108" i="1"/>
  <c r="W108" i="1" s="1"/>
  <c r="AK108" i="1"/>
  <c r="H108" i="1"/>
  <c r="S108" i="1" s="1"/>
  <c r="AU107" i="1"/>
  <c r="AR107" i="1"/>
  <c r="AQ107" i="1"/>
  <c r="AP107" i="1"/>
  <c r="AO107" i="1"/>
  <c r="W107" i="1" s="1"/>
  <c r="AK107" i="1"/>
  <c r="H107" i="1"/>
  <c r="S107" i="1" s="1"/>
  <c r="AV106" i="1"/>
  <c r="AS106" i="1" s="1"/>
  <c r="AU106" i="1"/>
  <c r="AT106" i="1" s="1"/>
  <c r="AR106" i="1"/>
  <c r="AQ106" i="1"/>
  <c r="AP106" i="1"/>
  <c r="AO106" i="1"/>
  <c r="W106" i="1" s="1"/>
  <c r="AK106" i="1"/>
  <c r="H106" i="1"/>
  <c r="S106" i="1" s="1"/>
  <c r="AV105" i="1"/>
  <c r="AS105" i="1" s="1"/>
  <c r="AU105" i="1"/>
  <c r="AT105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V102" i="1"/>
  <c r="AS102" i="1" s="1"/>
  <c r="AU102" i="1"/>
  <c r="AT102" i="1" s="1"/>
  <c r="AR102" i="1"/>
  <c r="AQ102" i="1"/>
  <c r="AP102" i="1"/>
  <c r="AO102" i="1"/>
  <c r="W102" i="1" s="1"/>
  <c r="AK102" i="1"/>
  <c r="H102" i="1"/>
  <c r="S102" i="1" s="1"/>
  <c r="AV101" i="1"/>
  <c r="AS101" i="1" s="1"/>
  <c r="AU101" i="1"/>
  <c r="AT101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AV94" i="1" s="1"/>
  <c r="A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V81" i="1"/>
  <c r="AS81" i="1" s="1"/>
  <c r="AU81" i="1"/>
  <c r="AT81" i="1" s="1"/>
  <c r="AR81" i="1"/>
  <c r="AQ81" i="1"/>
  <c r="AP81" i="1"/>
  <c r="AO81" i="1"/>
  <c r="W81" i="1" s="1"/>
  <c r="AK81" i="1"/>
  <c r="H81" i="1"/>
  <c r="S81" i="1" s="1"/>
  <c r="AV80" i="1"/>
  <c r="AS80" i="1" s="1"/>
  <c r="AU80" i="1"/>
  <c r="AT80" i="1" s="1"/>
  <c r="AR80" i="1"/>
  <c r="AQ80" i="1"/>
  <c r="AP80" i="1"/>
  <c r="AO80" i="1"/>
  <c r="W80" i="1" s="1"/>
  <c r="AK80" i="1"/>
  <c r="H80" i="1"/>
  <c r="S80" i="1" s="1"/>
  <c r="AV79" i="1"/>
  <c r="AS79" i="1" s="1"/>
  <c r="AU79" i="1"/>
  <c r="AT79" i="1" s="1"/>
  <c r="AR79" i="1"/>
  <c r="AQ79" i="1"/>
  <c r="AP79" i="1"/>
  <c r="AO79" i="1"/>
  <c r="W79" i="1" s="1"/>
  <c r="AK79" i="1"/>
  <c r="H79" i="1"/>
  <c r="S79" i="1" s="1"/>
  <c r="AV78" i="1"/>
  <c r="AS78" i="1" s="1"/>
  <c r="AU78" i="1"/>
  <c r="AT78" i="1" s="1"/>
  <c r="AR78" i="1"/>
  <c r="AQ78" i="1"/>
  <c r="AP78" i="1"/>
  <c r="AO78" i="1"/>
  <c r="W78" i="1" s="1"/>
  <c r="AK78" i="1"/>
  <c r="H78" i="1"/>
  <c r="S78" i="1" s="1"/>
  <c r="AV77" i="1"/>
  <c r="AS77" i="1" s="1"/>
  <c r="AU77" i="1"/>
  <c r="AT77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V75" i="1"/>
  <c r="AS75" i="1" s="1"/>
  <c r="AU75" i="1"/>
  <c r="AT75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U69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X67" i="1"/>
  <c r="Q67" i="1"/>
  <c r="H67" i="1"/>
  <c r="S67" i="1" s="1"/>
  <c r="AU66" i="1"/>
  <c r="AR66" i="1"/>
  <c r="AQ66" i="1"/>
  <c r="AP66" i="1"/>
  <c r="AO66" i="1"/>
  <c r="W66" i="1" s="1"/>
  <c r="AK66" i="1"/>
  <c r="X66" i="1"/>
  <c r="Q66" i="1"/>
  <c r="H66" i="1"/>
  <c r="S66" i="1" s="1"/>
  <c r="AR65" i="1"/>
  <c r="AQ65" i="1"/>
  <c r="AP65" i="1"/>
  <c r="AO65" i="1"/>
  <c r="W65" i="1" s="1"/>
  <c r="AK65" i="1"/>
  <c r="X65" i="1"/>
  <c r="Q65" i="1"/>
  <c r="H65" i="1"/>
  <c r="S65" i="1" s="1"/>
  <c r="AU64" i="1"/>
  <c r="AR64" i="1"/>
  <c r="AQ64" i="1"/>
  <c r="AP64" i="1"/>
  <c r="AO64" i="1"/>
  <c r="W64" i="1" s="1"/>
  <c r="AK64" i="1"/>
  <c r="X64" i="1"/>
  <c r="Q64" i="1"/>
  <c r="H64" i="1"/>
  <c r="S64" i="1" s="1"/>
  <c r="AU63" i="1"/>
  <c r="AR63" i="1"/>
  <c r="AQ63" i="1"/>
  <c r="AP63" i="1"/>
  <c r="AO63" i="1"/>
  <c r="W63" i="1" s="1"/>
  <c r="AK63" i="1"/>
  <c r="X63" i="1"/>
  <c r="Q63" i="1"/>
  <c r="H63" i="1"/>
  <c r="S63" i="1" s="1"/>
  <c r="AR62" i="1"/>
  <c r="AQ62" i="1"/>
  <c r="AP62" i="1"/>
  <c r="AO62" i="1"/>
  <c r="W62" i="1" s="1"/>
  <c r="AK62" i="1"/>
  <c r="X62" i="1"/>
  <c r="Q62" i="1"/>
  <c r="H62" i="1"/>
  <c r="S62" i="1" s="1"/>
  <c r="AR61" i="1"/>
  <c r="AQ61" i="1"/>
  <c r="AP61" i="1"/>
  <c r="AO61" i="1"/>
  <c r="W61" i="1" s="1"/>
  <c r="AK61" i="1"/>
  <c r="X61" i="1"/>
  <c r="Q61" i="1"/>
  <c r="H61" i="1"/>
  <c r="AR60" i="1"/>
  <c r="AQ60" i="1"/>
  <c r="AP60" i="1"/>
  <c r="AO60" i="1"/>
  <c r="W60" i="1" s="1"/>
  <c r="AK60" i="1"/>
  <c r="X60" i="1"/>
  <c r="Q60" i="1"/>
  <c r="H60" i="1"/>
  <c r="AR59" i="1"/>
  <c r="AQ59" i="1"/>
  <c r="AP59" i="1"/>
  <c r="AO59" i="1"/>
  <c r="W59" i="1" s="1"/>
  <c r="AK59" i="1"/>
  <c r="X59" i="1"/>
  <c r="Q59" i="1"/>
  <c r="H59" i="1"/>
  <c r="AU58" i="1"/>
  <c r="AR58" i="1"/>
  <c r="AQ58" i="1"/>
  <c r="AP58" i="1"/>
  <c r="AO58" i="1"/>
  <c r="W58" i="1" s="1"/>
  <c r="AK58" i="1"/>
  <c r="X58" i="1"/>
  <c r="Q58" i="1"/>
  <c r="H58" i="1"/>
  <c r="S58" i="1" s="1"/>
  <c r="AU57" i="1"/>
  <c r="AR57" i="1"/>
  <c r="AQ57" i="1"/>
  <c r="AP57" i="1"/>
  <c r="AO57" i="1"/>
  <c r="W57" i="1" s="1"/>
  <c r="AK57" i="1"/>
  <c r="X57" i="1"/>
  <c r="Q57" i="1"/>
  <c r="H57" i="1"/>
  <c r="S57" i="1" s="1"/>
  <c r="AR56" i="1"/>
  <c r="AQ56" i="1"/>
  <c r="AP56" i="1"/>
  <c r="AO56" i="1"/>
  <c r="W56" i="1" s="1"/>
  <c r="AK56" i="1"/>
  <c r="X56" i="1"/>
  <c r="Q56" i="1"/>
  <c r="H56" i="1"/>
  <c r="AV55" i="1"/>
  <c r="AS55" i="1" s="1"/>
  <c r="AU55" i="1"/>
  <c r="AT55" i="1" s="1"/>
  <c r="AR55" i="1"/>
  <c r="AQ55" i="1"/>
  <c r="AP55" i="1"/>
  <c r="AO55" i="1"/>
  <c r="W55" i="1" s="1"/>
  <c r="AK55" i="1"/>
  <c r="X55" i="1"/>
  <c r="Q55" i="1"/>
  <c r="H55" i="1"/>
  <c r="S55" i="1" s="1"/>
  <c r="AV54" i="1"/>
  <c r="AS54" i="1" s="1"/>
  <c r="AU54" i="1"/>
  <c r="AT54" i="1" s="1"/>
  <c r="AR54" i="1"/>
  <c r="AQ54" i="1"/>
  <c r="AP54" i="1"/>
  <c r="AO54" i="1"/>
  <c r="W54" i="1" s="1"/>
  <c r="AK54" i="1"/>
  <c r="X54" i="1"/>
  <c r="Q54" i="1"/>
  <c r="H54" i="1"/>
  <c r="S54" i="1" s="1"/>
  <c r="AV53" i="1"/>
  <c r="AS53" i="1" s="1"/>
  <c r="AU53" i="1"/>
  <c r="AT53" i="1" s="1"/>
  <c r="AR53" i="1"/>
  <c r="AQ53" i="1"/>
  <c r="AP53" i="1"/>
  <c r="AO53" i="1"/>
  <c r="W53" i="1" s="1"/>
  <c r="AK53" i="1"/>
  <c r="X53" i="1"/>
  <c r="Q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X52" i="1"/>
  <c r="Q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X51" i="1"/>
  <c r="Q51" i="1"/>
  <c r="H51" i="1"/>
  <c r="S51" i="1" s="1"/>
  <c r="AU50" i="1"/>
  <c r="AR50" i="1"/>
  <c r="AQ50" i="1"/>
  <c r="AP50" i="1"/>
  <c r="AO50" i="1"/>
  <c r="W50" i="1" s="1"/>
  <c r="AK50" i="1"/>
  <c r="X50" i="1"/>
  <c r="Q50" i="1"/>
  <c r="H50" i="1"/>
  <c r="S50" i="1" s="1"/>
  <c r="AV49" i="1"/>
  <c r="AS49" i="1" s="1"/>
  <c r="AU49" i="1"/>
  <c r="AT49" i="1" s="1"/>
  <c r="AR49" i="1"/>
  <c r="AQ49" i="1"/>
  <c r="AP49" i="1"/>
  <c r="AO49" i="1"/>
  <c r="W49" i="1" s="1"/>
  <c r="AK49" i="1"/>
  <c r="X49" i="1"/>
  <c r="Q49" i="1"/>
  <c r="H49" i="1"/>
  <c r="S49" i="1" s="1"/>
  <c r="AR48" i="1"/>
  <c r="AQ48" i="1"/>
  <c r="AP48" i="1"/>
  <c r="AO48" i="1"/>
  <c r="W48" i="1" s="1"/>
  <c r="AK48" i="1"/>
  <c r="X48" i="1"/>
  <c r="Q48" i="1"/>
  <c r="H48" i="1"/>
  <c r="AR47" i="1"/>
  <c r="AQ47" i="1"/>
  <c r="AP47" i="1"/>
  <c r="AO47" i="1"/>
  <c r="W47" i="1" s="1"/>
  <c r="AK47" i="1"/>
  <c r="X47" i="1"/>
  <c r="Q47" i="1"/>
  <c r="H47" i="1"/>
  <c r="S47" i="1" s="1"/>
  <c r="AR46" i="1"/>
  <c r="AQ46" i="1"/>
  <c r="AP46" i="1"/>
  <c r="AO46" i="1"/>
  <c r="W46" i="1" s="1"/>
  <c r="AK46" i="1"/>
  <c r="X46" i="1"/>
  <c r="Q46" i="1"/>
  <c r="H46" i="1"/>
  <c r="S46" i="1" s="1"/>
  <c r="AV45" i="1"/>
  <c r="AS45" i="1" s="1"/>
  <c r="AU45" i="1"/>
  <c r="AT45" i="1" s="1"/>
  <c r="AR45" i="1"/>
  <c r="AQ45" i="1"/>
  <c r="AP45" i="1"/>
  <c r="AO45" i="1"/>
  <c r="W45" i="1" s="1"/>
  <c r="AK45" i="1"/>
  <c r="X45" i="1"/>
  <c r="Q45" i="1"/>
  <c r="H45" i="1"/>
  <c r="S45" i="1" s="1"/>
  <c r="AV44" i="1"/>
  <c r="AS44" i="1" s="1"/>
  <c r="AU44" i="1"/>
  <c r="AT44" i="1" s="1"/>
  <c r="AR44" i="1"/>
  <c r="AQ44" i="1"/>
  <c r="AP44" i="1"/>
  <c r="AO44" i="1"/>
  <c r="W44" i="1" s="1"/>
  <c r="AK44" i="1"/>
  <c r="X44" i="1"/>
  <c r="Q44" i="1"/>
  <c r="H44" i="1"/>
  <c r="S44" i="1" s="1"/>
  <c r="AV43" i="1"/>
  <c r="AS43" i="1" s="1"/>
  <c r="AU43" i="1"/>
  <c r="AT43" i="1" s="1"/>
  <c r="AR43" i="1"/>
  <c r="AQ43" i="1"/>
  <c r="AP43" i="1"/>
  <c r="AO43" i="1"/>
  <c r="W43" i="1" s="1"/>
  <c r="AK43" i="1"/>
  <c r="X43" i="1"/>
  <c r="Q43" i="1"/>
  <c r="H43" i="1"/>
  <c r="S43" i="1" s="1"/>
  <c r="AV42" i="1"/>
  <c r="AS42" i="1" s="1"/>
  <c r="AU42" i="1"/>
  <c r="AT42" i="1" s="1"/>
  <c r="AR42" i="1"/>
  <c r="AQ42" i="1"/>
  <c r="AP42" i="1"/>
  <c r="AO42" i="1"/>
  <c r="W42" i="1" s="1"/>
  <c r="AK42" i="1"/>
  <c r="X42" i="1"/>
  <c r="Q42" i="1"/>
  <c r="H42" i="1"/>
  <c r="S42" i="1" s="1"/>
  <c r="AR41" i="1"/>
  <c r="AQ41" i="1"/>
  <c r="AP41" i="1"/>
  <c r="AO41" i="1"/>
  <c r="W41" i="1" s="1"/>
  <c r="AK41" i="1"/>
  <c r="X41" i="1"/>
  <c r="Q41" i="1"/>
  <c r="H41" i="1"/>
  <c r="S41" i="1" s="1"/>
  <c r="AV40" i="1"/>
  <c r="AS40" i="1" s="1"/>
  <c r="AU40" i="1"/>
  <c r="AT40" i="1" s="1"/>
  <c r="AR40" i="1"/>
  <c r="AQ40" i="1"/>
  <c r="AP40" i="1"/>
  <c r="AO40" i="1"/>
  <c r="W40" i="1" s="1"/>
  <c r="AK40" i="1"/>
  <c r="X40" i="1"/>
  <c r="Q40" i="1"/>
  <c r="H40" i="1"/>
  <c r="S40" i="1" s="1"/>
  <c r="AR39" i="1"/>
  <c r="AQ39" i="1"/>
  <c r="AP39" i="1"/>
  <c r="AO39" i="1"/>
  <c r="W39" i="1" s="1"/>
  <c r="AK39" i="1"/>
  <c r="X39" i="1"/>
  <c r="Q39" i="1"/>
  <c r="H39" i="1"/>
  <c r="AR38" i="1"/>
  <c r="AQ38" i="1"/>
  <c r="AP38" i="1"/>
  <c r="AO38" i="1"/>
  <c r="W38" i="1" s="1"/>
  <c r="AK38" i="1"/>
  <c r="X38" i="1"/>
  <c r="Q38" i="1"/>
  <c r="H38" i="1"/>
  <c r="AV37" i="1"/>
  <c r="AS37" i="1" s="1"/>
  <c r="AU37" i="1"/>
  <c r="AT37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V35" i="1"/>
  <c r="AS35" i="1" s="1"/>
  <c r="AU35" i="1"/>
  <c r="AT35" i="1" s="1"/>
  <c r="AR35" i="1"/>
  <c r="AQ35" i="1"/>
  <c r="AP35" i="1"/>
  <c r="AO35" i="1"/>
  <c r="AK35" i="1"/>
  <c r="Q35" i="1"/>
  <c r="H35" i="1"/>
  <c r="S35" i="1" s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34" i="1" l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S68" i="1"/>
  <c r="T68" i="1" s="1"/>
  <c r="Z127" i="1"/>
  <c r="AI127" i="1" s="1"/>
  <c r="S127" i="1"/>
  <c r="T127" i="1" s="1"/>
  <c r="Z126" i="1"/>
  <c r="AI126" i="1" s="1"/>
  <c r="S126" i="1"/>
  <c r="T126" i="1" s="1"/>
  <c r="AV114" i="1"/>
  <c r="AS114" i="1" s="1"/>
  <c r="S114" i="1"/>
  <c r="T114" i="1" s="1"/>
  <c r="AU112" i="1"/>
  <c r="AT112" i="1" s="1"/>
  <c r="S112" i="1"/>
  <c r="T112" i="1" s="1"/>
  <c r="R94" i="1"/>
  <c r="S94" i="1"/>
  <c r="T94" i="1" s="1"/>
  <c r="AV71" i="1"/>
  <c r="AS71" i="1" s="1"/>
  <c r="S71" i="1"/>
  <c r="T71" i="1" s="1"/>
  <c r="AV61" i="1"/>
  <c r="AS61" i="1" s="1"/>
  <c r="S61" i="1"/>
  <c r="T61" i="1" s="1"/>
  <c r="AV60" i="1"/>
  <c r="AS60" i="1" s="1"/>
  <c r="S60" i="1"/>
  <c r="T60" i="1" s="1"/>
  <c r="AV59" i="1"/>
  <c r="AS59" i="1" s="1"/>
  <c r="S59" i="1"/>
  <c r="T59" i="1" s="1"/>
  <c r="AV56" i="1"/>
  <c r="AS56" i="1" s="1"/>
  <c r="S56" i="1"/>
  <c r="T56" i="1" s="1"/>
  <c r="AV48" i="1"/>
  <c r="AS48" i="1" s="1"/>
  <c r="S48" i="1"/>
  <c r="T48" i="1" s="1"/>
  <c r="AV39" i="1"/>
  <c r="AS39" i="1" s="1"/>
  <c r="S39" i="1"/>
  <c r="T39" i="1" s="1"/>
  <c r="AV38" i="1"/>
  <c r="AS38" i="1" s="1"/>
  <c r="S38" i="1"/>
  <c r="T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H41" i="1"/>
  <c r="AU41" i="1" s="1"/>
  <c r="AT41" i="1" s="1"/>
  <c r="AH46" i="1"/>
  <c r="AU46" i="1" s="1"/>
  <c r="AT46" i="1" s="1"/>
  <c r="AH47" i="1"/>
  <c r="AU47" i="1" s="1"/>
  <c r="AT47" i="1" s="1"/>
  <c r="AH48" i="1"/>
  <c r="AU48" i="1" s="1"/>
  <c r="AT48" i="1" s="1"/>
  <c r="AT28" i="1"/>
  <c r="AH39" i="1"/>
  <c r="AH103" i="1"/>
  <c r="AU103" i="1" s="1"/>
  <c r="AT103" i="1" s="1"/>
  <c r="AV76" i="1"/>
  <c r="AS76" i="1" s="1"/>
  <c r="AH76" i="1"/>
  <c r="AV73" i="1"/>
  <c r="AS73" i="1" s="1"/>
  <c r="Z73" i="1"/>
  <c r="AI73" i="1" s="1"/>
  <c r="AV74" i="1"/>
  <c r="AS74" i="1" s="1"/>
  <c r="Z74" i="1"/>
  <c r="AI74" i="1" s="1"/>
  <c r="AV72" i="1"/>
  <c r="AS72" i="1" s="1"/>
  <c r="AV62" i="1"/>
  <c r="AS62" i="1" s="1"/>
  <c r="Z62" i="1"/>
  <c r="AI62" i="1" s="1"/>
  <c r="AV65" i="1"/>
  <c r="AS65" i="1" s="1"/>
  <c r="Z65" i="1"/>
  <c r="AI65" i="1" s="1"/>
  <c r="AV67" i="1"/>
  <c r="AS67" i="1" s="1"/>
  <c r="Z67" i="1"/>
  <c r="AI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45" i="1"/>
  <c r="AI45" i="1" s="1"/>
  <c r="Z50" i="1"/>
  <c r="AI50" i="1" s="1"/>
  <c r="Z54" i="1"/>
  <c r="AI54" i="1" s="1"/>
  <c r="Z58" i="1"/>
  <c r="AI58" i="1" s="1"/>
  <c r="Z66" i="1"/>
  <c r="AI66" i="1" s="1"/>
  <c r="Z43" i="1"/>
  <c r="AI43" i="1" s="1"/>
  <c r="Z48" i="1"/>
  <c r="AI48" i="1" s="1"/>
  <c r="Z52" i="1"/>
  <c r="AI52" i="1" s="1"/>
  <c r="Z56" i="1"/>
  <c r="AI56" i="1" s="1"/>
  <c r="Z60" i="1"/>
  <c r="AI60" i="1" s="1"/>
  <c r="Z64" i="1"/>
  <c r="AI64" i="1" s="1"/>
  <c r="Z39" i="1"/>
  <c r="AI39" i="1" s="1"/>
  <c r="Z37" i="1"/>
  <c r="AI37" i="1" s="1"/>
  <c r="Z41" i="1"/>
  <c r="AI41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T42" i="1"/>
  <c r="R42" i="1"/>
  <c r="AV46" i="1"/>
  <c r="AS46" i="1" s="1"/>
  <c r="R46" i="1"/>
  <c r="T46" i="1"/>
  <c r="T51" i="1"/>
  <c r="R51" i="1"/>
  <c r="R55" i="1"/>
  <c r="T55" i="1"/>
  <c r="R59" i="1"/>
  <c r="R63" i="1"/>
  <c r="T63" i="1"/>
  <c r="T67" i="1"/>
  <c r="R67" i="1"/>
  <c r="R76" i="1"/>
  <c r="T76" i="1"/>
  <c r="Z76" i="1"/>
  <c r="AI76" i="1" s="1"/>
  <c r="T83" i="1"/>
  <c r="R83" i="1"/>
  <c r="Z83" i="1"/>
  <c r="AI83" i="1" s="1"/>
  <c r="T91" i="1"/>
  <c r="R91" i="1"/>
  <c r="Z91" i="1"/>
  <c r="AI91" i="1" s="1"/>
  <c r="R99" i="1"/>
  <c r="T99" i="1"/>
  <c r="Z99" i="1"/>
  <c r="AI99" i="1" s="1"/>
  <c r="T108" i="1"/>
  <c r="R108" i="1"/>
  <c r="Z108" i="1"/>
  <c r="AI108" i="1" s="1"/>
  <c r="R116" i="1"/>
  <c r="T116" i="1"/>
  <c r="Z116" i="1"/>
  <c r="AI116" i="1" s="1"/>
  <c r="T124" i="1"/>
  <c r="R124" i="1"/>
  <c r="Z124" i="1"/>
  <c r="AI124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8" i="1"/>
  <c r="R47" i="1"/>
  <c r="T47" i="1"/>
  <c r="R77" i="1"/>
  <c r="T77" i="1"/>
  <c r="Z77" i="1"/>
  <c r="AI77" i="1" s="1"/>
  <c r="R84" i="1"/>
  <c r="T84" i="1"/>
  <c r="Z84" i="1"/>
  <c r="AI84" i="1" s="1"/>
  <c r="R92" i="1"/>
  <c r="T92" i="1"/>
  <c r="Z92" i="1"/>
  <c r="AI92" i="1" s="1"/>
  <c r="T100" i="1"/>
  <c r="R100" i="1"/>
  <c r="Z100" i="1"/>
  <c r="AI100" i="1" s="1"/>
  <c r="R109" i="1"/>
  <c r="T109" i="1"/>
  <c r="Z109" i="1"/>
  <c r="AI109" i="1" s="1"/>
  <c r="R117" i="1"/>
  <c r="T117" i="1"/>
  <c r="Z117" i="1"/>
  <c r="AI117" i="1" s="1"/>
  <c r="T125" i="1"/>
  <c r="R125" i="1"/>
  <c r="Z125" i="1"/>
  <c r="AI125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Z42" i="1"/>
  <c r="AI42" i="1" s="1"/>
  <c r="T43" i="1"/>
  <c r="R43" i="1"/>
  <c r="Z46" i="1"/>
  <c r="AI46" i="1" s="1"/>
  <c r="R48" i="1"/>
  <c r="Z51" i="1"/>
  <c r="AI51" i="1" s="1"/>
  <c r="R52" i="1"/>
  <c r="T52" i="1"/>
  <c r="Z55" i="1"/>
  <c r="AI55" i="1" s="1"/>
  <c r="R56" i="1"/>
  <c r="Z59" i="1"/>
  <c r="AI59" i="1" s="1"/>
  <c r="R60" i="1"/>
  <c r="Z63" i="1"/>
  <c r="AI63" i="1" s="1"/>
  <c r="T64" i="1"/>
  <c r="R64" i="1"/>
  <c r="T78" i="1"/>
  <c r="R78" i="1"/>
  <c r="Z78" i="1"/>
  <c r="AI78" i="1" s="1"/>
  <c r="R85" i="1"/>
  <c r="T85" i="1"/>
  <c r="Z85" i="1"/>
  <c r="AI85" i="1" s="1"/>
  <c r="T93" i="1"/>
  <c r="R93" i="1"/>
  <c r="Z93" i="1"/>
  <c r="AI93" i="1" s="1"/>
  <c r="R101" i="1"/>
  <c r="T101" i="1"/>
  <c r="Z101" i="1"/>
  <c r="AI101" i="1" s="1"/>
  <c r="R110" i="1"/>
  <c r="T110" i="1"/>
  <c r="Z110" i="1"/>
  <c r="AI110" i="1" s="1"/>
  <c r="R118" i="1"/>
  <c r="T118" i="1"/>
  <c r="Z118" i="1"/>
  <c r="AI118" i="1" s="1"/>
  <c r="R126" i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Z38" i="1"/>
  <c r="AI38" i="1" s="1"/>
  <c r="R39" i="1"/>
  <c r="Z47" i="1"/>
  <c r="AI47" i="1" s="1"/>
  <c r="R71" i="1"/>
  <c r="Z71" i="1"/>
  <c r="AI71" i="1" s="1"/>
  <c r="R79" i="1"/>
  <c r="T79" i="1"/>
  <c r="Z79" i="1"/>
  <c r="AI79" i="1" s="1"/>
  <c r="T86" i="1"/>
  <c r="R86" i="1"/>
  <c r="Z86" i="1"/>
  <c r="AI86" i="1" s="1"/>
  <c r="Z94" i="1"/>
  <c r="AI94" i="1" s="1"/>
  <c r="R102" i="1"/>
  <c r="T102" i="1"/>
  <c r="Z102" i="1"/>
  <c r="AI102" i="1" s="1"/>
  <c r="R111" i="1"/>
  <c r="T111" i="1"/>
  <c r="Z111" i="1"/>
  <c r="AI111" i="1" s="1"/>
  <c r="R119" i="1"/>
  <c r="T119" i="1"/>
  <c r="Z119" i="1"/>
  <c r="AI119" i="1" s="1"/>
  <c r="R127" i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44" i="1"/>
  <c r="T44" i="1"/>
  <c r="T49" i="1"/>
  <c r="R49" i="1"/>
  <c r="R53" i="1"/>
  <c r="T53" i="1"/>
  <c r="R57" i="1"/>
  <c r="T57" i="1"/>
  <c r="R61" i="1"/>
  <c r="R65" i="1"/>
  <c r="T65" i="1"/>
  <c r="T72" i="1"/>
  <c r="R72" i="1"/>
  <c r="Z72" i="1"/>
  <c r="AI72" i="1" s="1"/>
  <c r="R87" i="1"/>
  <c r="T87" i="1"/>
  <c r="Z87" i="1"/>
  <c r="AI87" i="1" s="1"/>
  <c r="R95" i="1"/>
  <c r="T95" i="1"/>
  <c r="Z95" i="1"/>
  <c r="AI95" i="1" s="1"/>
  <c r="R103" i="1"/>
  <c r="T103" i="1"/>
  <c r="Z103" i="1"/>
  <c r="AI103" i="1" s="1"/>
  <c r="R104" i="1"/>
  <c r="T104" i="1"/>
  <c r="Z104" i="1"/>
  <c r="AI104" i="1" s="1"/>
  <c r="R112" i="1"/>
  <c r="Z112" i="1"/>
  <c r="AI112" i="1" s="1"/>
  <c r="R120" i="1"/>
  <c r="T120" i="1"/>
  <c r="Z120" i="1"/>
  <c r="AI120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T40" i="1"/>
  <c r="R40" i="1"/>
  <c r="R73" i="1"/>
  <c r="T73" i="1"/>
  <c r="T80" i="1"/>
  <c r="R80" i="1"/>
  <c r="Z80" i="1"/>
  <c r="AI80" i="1" s="1"/>
  <c r="R88" i="1"/>
  <c r="T88" i="1"/>
  <c r="Z88" i="1"/>
  <c r="AI88" i="1" s="1"/>
  <c r="R96" i="1"/>
  <c r="T96" i="1"/>
  <c r="Z96" i="1"/>
  <c r="AI96" i="1" s="1"/>
  <c r="T105" i="1"/>
  <c r="R105" i="1"/>
  <c r="Z105" i="1"/>
  <c r="AI105" i="1" s="1"/>
  <c r="R113" i="1"/>
  <c r="T113" i="1"/>
  <c r="Z113" i="1"/>
  <c r="AI113" i="1" s="1"/>
  <c r="R121" i="1"/>
  <c r="T121" i="1"/>
  <c r="Z121" i="1"/>
  <c r="AI121" i="1" s="1"/>
  <c r="R70" i="1"/>
  <c r="T70" i="1"/>
  <c r="Z70" i="1"/>
  <c r="AI7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Z44" i="1"/>
  <c r="AI44" i="1" s="1"/>
  <c r="T45" i="1"/>
  <c r="R45" i="1"/>
  <c r="Z49" i="1"/>
  <c r="AI49" i="1" s="1"/>
  <c r="R50" i="1"/>
  <c r="T50" i="1"/>
  <c r="Z53" i="1"/>
  <c r="AI53" i="1" s="1"/>
  <c r="R54" i="1"/>
  <c r="T54" i="1"/>
  <c r="Z57" i="1"/>
  <c r="AI57" i="1" s="1"/>
  <c r="R58" i="1"/>
  <c r="T58" i="1"/>
  <c r="Z61" i="1"/>
  <c r="AI61" i="1" s="1"/>
  <c r="R62" i="1"/>
  <c r="T62" i="1"/>
  <c r="R66" i="1"/>
  <c r="T66" i="1"/>
  <c r="R74" i="1"/>
  <c r="T74" i="1"/>
  <c r="R81" i="1"/>
  <c r="T81" i="1"/>
  <c r="Z81" i="1"/>
  <c r="AI81" i="1" s="1"/>
  <c r="T89" i="1"/>
  <c r="R89" i="1"/>
  <c r="Z89" i="1"/>
  <c r="AI89" i="1" s="1"/>
  <c r="R97" i="1"/>
  <c r="T97" i="1"/>
  <c r="Z97" i="1"/>
  <c r="AI97" i="1" s="1"/>
  <c r="Z106" i="1"/>
  <c r="AI106" i="1" s="1"/>
  <c r="T106" i="1"/>
  <c r="R106" i="1"/>
  <c r="Z114" i="1"/>
  <c r="AI114" i="1" s="1"/>
  <c r="R114" i="1"/>
  <c r="R122" i="1"/>
  <c r="Z122" i="1"/>
  <c r="AI122" i="1" s="1"/>
  <c r="T122" i="1"/>
  <c r="T69" i="1"/>
  <c r="R69" i="1"/>
  <c r="Z69" i="1"/>
  <c r="AI69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T35" i="1"/>
  <c r="Z35" i="1"/>
  <c r="AI35" i="1" s="1"/>
  <c r="Z36" i="1"/>
  <c r="AI36" i="1" s="1"/>
  <c r="R37" i="1"/>
  <c r="T37" i="1"/>
  <c r="Z40" i="1"/>
  <c r="AI40" i="1" s="1"/>
  <c r="R41" i="1"/>
  <c r="T41" i="1"/>
  <c r="Z75" i="1"/>
  <c r="AI75" i="1" s="1"/>
  <c r="R75" i="1"/>
  <c r="T75" i="1"/>
  <c r="Z82" i="1"/>
  <c r="AI82" i="1" s="1"/>
  <c r="T82" i="1"/>
  <c r="R82" i="1"/>
  <c r="Z90" i="1"/>
  <c r="AI90" i="1" s="1"/>
  <c r="T90" i="1"/>
  <c r="R90" i="1"/>
  <c r="R98" i="1"/>
  <c r="T98" i="1"/>
  <c r="Z98" i="1"/>
  <c r="AI98" i="1" s="1"/>
  <c r="R107" i="1"/>
  <c r="T107" i="1"/>
  <c r="Z107" i="1"/>
  <c r="AI107" i="1" s="1"/>
  <c r="R115" i="1"/>
  <c r="T115" i="1"/>
  <c r="Z115" i="1"/>
  <c r="AI115" i="1" s="1"/>
  <c r="R123" i="1"/>
  <c r="T123" i="1"/>
  <c r="Z123" i="1"/>
  <c r="AI123" i="1" s="1"/>
  <c r="R68" i="1"/>
  <c r="Z68" i="1"/>
  <c r="AI68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<sst xmlns="http://schemas.openxmlformats.org/spreadsheetml/2006/main" count="26258" uniqueCount="4550">
  <si>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</si>
  <si>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</si>
  <si>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</si>
  <si>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</si>
  <si>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</si>
  <si>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</si>
  <si>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</si>
  <si>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</si>
  <si>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</si>
  <si>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</si>
  <si>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</si>
  <si>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</si>
  <si>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</si>
  <si>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</si>
  <si>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</si>
  <si>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</si>
  <si>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</si>
  <si>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</si>
  <si>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</si>
  <si>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</si>
  <si>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</si>
  <si>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</si>
  <si>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</si>
  <si>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</si>
  <si>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</si>
  <si>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</si>
  <si>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</si>
  <si>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</si>
  <si>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</si>
  <si>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</si>
  <si>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</si>
  <si>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</si>
  <si>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</si>
  <si>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</si>
  <si>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</si>
  <si>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</si>
  <si>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</si>
  <si>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</si>
  <si>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</si>
  <si>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</si>
  <si>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</si>
  <si>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</si>
  <si>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</si>
  <si>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</si>
  <si>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</si>
  <si>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</si>
  <si>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</si>
  <si>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</si>
  <si>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</si>
  <si>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</si>
  <si>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</si>
  <si>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</si>
  <si>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</si>
  <si>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</si>
  <si>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</si>
  <si>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</si>
  <si>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</si>
  <si>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</si>
  <si>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</si>
  <si>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</si>
  <si>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</si>
  <si>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</si>
  <si>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</si>
  <si>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</si>
  <si>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</si>
  <si>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</si>
  <si>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</si>
  <si>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</si>
  <si>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</si>
  <si>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</si>
  <si>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</si>
  <si>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</si>
  <si>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</si>
  <si>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</si>
  <si>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</si>
  <si>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</si>
  <si>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</si>
  <si>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</si>
  <si>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</si>
  <si>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</si>
  <si>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</si>
  <si>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</si>
  <si>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</si>
  <si>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</si>
  <si>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</si>
  <si>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</si>
  <si>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</si>
  <si>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</si>
  <si>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</si>
  <si>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</si>
  <si>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</si>
  <si>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</si>
  <si>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</si>
  <si>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</si>
  <si>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</si>
  <si>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</si>
  <si>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</si>
  <si>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</si>
  <si>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</si>
  <si>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</si>
  <si>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</si>
  <si>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</si>
  <si>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</si>
  <si>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</si>
  <si>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</si>
  <si>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</si>
  <si>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</si>
  <si>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</si>
  <si>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</si>
  <si>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</si>
  <si>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</si>
  <si>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</si>
  <si>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</si>
  <si>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</si>
  <si>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</si>
  <si>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</si>
  <si>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</si>
  <si>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</si>
  <si>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</si>
  <si>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</si>
  <si>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</si>
  <si>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</si>
  <si>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</si>
  <si>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</si>
  <si>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</si>
  <si>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</si>
  <si>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</si>
  <si>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</si>
  <si>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</si>
  <si>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</si>
  <si>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</si>
  <si>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</si>
  <si>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</si>
  <si>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</si>
  <si>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</si>
  <si>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</si>
  <si>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</si>
  <si>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</si>
  <si>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</si>
  <si>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</si>
  <si>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</si>
  <si>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</si>
  <si>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</si>
  <si>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</si>
  <si>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</si>
  <si>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</si>
  <si>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</si>
  <si>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</si>
  <si>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</si>
  <si>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</si>
  <si>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</si>
  <si>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</si>
  <si>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</si>
  <si>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</si>
  <si>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</si>
  <si>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</si>
  <si>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</si>
  <si>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</si>
  <si>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</si>
  <si>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</si>
  <si>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</si>
  <si>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</si>
  <si>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</si>
  <si>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</si>
  <si>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</si>
  <si>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</si>
  <si>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</si>
  <si>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</si>
  <si>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</si>
  <si>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</si>
  <si>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</si>
  <si>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</si>
  <si>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</si>
  <si>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</si>
  <si>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</si>
  <si>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</si>
  <si>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</si>
  <si>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</si>
  <si>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</si>
  <si>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</si>
  <si>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</si>
  <si>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</si>
  <si>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</si>
  <si>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</si>
  <si>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</si>
  <si>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</si>
  <si>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</si>
  <si>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</si>
  <si>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</si>
  <si>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</si>
  <si>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</si>
  <si>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</si>
  <si>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</si>
  <si>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</si>
  <si>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</si>
  <si>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</si>
  <si>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</si>
  <si>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</si>
  <si>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</si>
  <si>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</si>
  <si>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</si>
  <si>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</si>
  <si>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</si>
  <si>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</si>
  <si>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</si>
  <si>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</si>
  <si>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</si>
  <si>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</si>
  <si>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</si>
  <si>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</si>
  <si>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</si>
  <si>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</si>
  <si>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</si>
  <si>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</si>
  <si>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</si>
  <si>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</si>
  <si>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</si>
  <si>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</si>
  <si>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</si>
  <si>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</si>
  <si>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</si>
  <si>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</si>
  <si>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</si>
  <si>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</si>
  <si>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</si>
  <si>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</si>
  <si>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</si>
  <si>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</si>
  <si>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</si>
  <si>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</si>
  <si>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</si>
  <si>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</si>
  <si>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</si>
  <si>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</si>
  <si>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</si>
  <si>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</si>
  <si>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</si>
  <si>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</si>
  <si>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</si>
  <si>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</si>
  <si>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</si>
  <si>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</si>
  <si>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</si>
  <si>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</si>
  <si>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</si>
  <si>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</si>
  <si>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</si>
  <si>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</si>
  <si>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</si>
  <si>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</si>
  <si>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</si>
  <si>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</si>
  <si>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</si>
  <si>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</si>
  <si>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</si>
  <si>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</si>
  <si>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</si>
  <si>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</si>
  <si>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</si>
  <si>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</si>
  <si>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</si>
  <si>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</si>
  <si>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</si>
  <si>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</si>
  <si>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</si>
  <si>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</si>
  <si>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</si>
  <si>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</si>
  <si>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</si>
  <si>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</si>
  <si>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</si>
  <si>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</si>
  <si>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</si>
  <si>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</si>
  <si>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</si>
  <si>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</si>
  <si>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</si>
  <si>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</si>
  <si>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</si>
  <si>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</si>
  <si>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</si>
  <si>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</si>
  <si>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</si>
  <si>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</si>
  <si>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</si>
  <si>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</si>
  <si>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</si>
  <si>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</si>
  <si>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</si>
  <si>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</si>
  <si>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</si>
  <si>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</si>
  <si>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</si>
  <si>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</si>
  <si>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</si>
  <si>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</si>
  <si>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</si>
  <si>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</si>
  <si>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</si>
  <si>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</si>
  <si>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</si>
  <si>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</si>
  <si>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</si>
  <si>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</si>
  <si>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</si>
  <si>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</si>
  <si>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</si>
  <si>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</si>
  <si>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</si>
  <si>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</si>
  <si>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</si>
  <si>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</si>
  <si>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</si>
  <si>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</si>
  <si>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</si>
  <si>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</si>
  <si>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</si>
  <si>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</si>
  <si>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</si>
  <si>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</si>
  <si>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</si>
  <si>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</si>
  <si>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</si>
  <si>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</si>
  <si>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</si>
  <si>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</si>
  <si>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</si>
  <si>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</si>
  <si>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</si>
  <si>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</si>
  <si>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</si>
  <si>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</si>
  <si>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</si>
  <si>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</si>
  <si>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</si>
  <si>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</si>
  <si>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</si>
  <si>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</si>
  <si>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</si>
  <si>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</si>
  <si>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</si>
  <si>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</si>
  <si>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</si>
  <si>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</si>
  <si>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</si>
  <si>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</si>
  <si>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</si>
  <si>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</si>
  <si>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</si>
  <si>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</si>
  <si>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</si>
  <si>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</si>
  <si>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</si>
  <si>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</si>
  <si>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</si>
  <si>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</si>
  <si>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</si>
  <si>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</si>
  <si>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</si>
  <si>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</si>
  <si>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</si>
  <si>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</si>
  <si>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</si>
  <si>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</si>
  <si>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</si>
  <si>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</si>
  <si>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</si>
  <si>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</si>
  <si>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</si>
  <si>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</si>
  <si>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</si>
  <si>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</si>
  <si>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</si>
  <si>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</si>
  <si>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</si>
  <si>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</si>
  <si>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</si>
  <si>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</si>
  <si>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</si>
  <si>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</si>
  <si>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</si>
  <si>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</si>
  <si>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</si>
  <si>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</si>
  <si>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</si>
  <si>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</si>
  <si>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</si>
  <si>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</si>
  <si>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</si>
  <si>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</si>
  <si>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</si>
  <si>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</si>
  <si>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</si>
  <si>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</si>
  <si>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</si>
  <si>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</si>
  <si>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</si>
  <si>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</si>
  <si>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</si>
  <si>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</si>
  <si>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</si>
  <si>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</si>
  <si>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</si>
  <si>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</si>
  <si>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</si>
  <si>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</si>
  <si>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</si>
  <si>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</si>
  <si>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</si>
  <si>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</si>
  <si>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</si>
  <si>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</si>
  <si>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</si>
  <si>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</si>
  <si>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</si>
  <si>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</si>
  <si>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</si>
  <si>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</si>
  <si>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</si>
  <si>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</si>
  <si>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</si>
  <si>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</si>
  <si>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</si>
  <si>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</si>
  <si>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</si>
  <si>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</si>
  <si>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</si>
  <si>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</si>
  <si>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</si>
  <si>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</si>
  <si>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</si>
  <si>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</si>
  <si>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</si>
  <si>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</si>
  <si>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</si>
  <si>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</si>
  <si>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</si>
  <si>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</si>
  <si>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</si>
  <si>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</si>
  <si>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</si>
  <si>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</si>
  <si>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</si>
  <si>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</si>
  <si>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</si>
  <si>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</si>
  <si>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</si>
  <si>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</si>
  <si>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</si>
  <si>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</si>
  <si>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</si>
  <si>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</si>
  <si>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</si>
  <si>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</si>
  <si>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</si>
  <si>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</si>
  <si>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</si>
  <si>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</si>
  <si>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</si>
  <si>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</si>
  <si>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</si>
  <si>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</si>
  <si>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</si>
  <si>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</si>
  <si>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</si>
  <si>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</si>
  <si>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</si>
  <si>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</si>
  <si>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</si>
  <si>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</si>
  <si>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</si>
  <si>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</si>
  <si>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</si>
  <si>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</si>
  <si>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</si>
  <si>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</si>
  <si>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</si>
  <si>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</si>
  <si>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</si>
  <si>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</si>
  <si>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</si>
  <si>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</si>
  <si>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</si>
  <si>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</si>
  <si>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</si>
  <si>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</si>
  <si>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</si>
  <si>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</si>
  <si>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</si>
  <si>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</si>
  <si>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</si>
  <si>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</si>
  <si>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</si>
  <si>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</si>
  <si>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</si>
  <si>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</si>
  <si>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</si>
  <si>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</si>
  <si>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</si>
  <si>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</si>
  <si>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</si>
  <si>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</si>
  <si>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</si>
  <si>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</si>
  <si>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</si>
  <si>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</si>
  <si>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</si>
  <si>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</si>
  <si>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</si>
  <si>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</si>
  <si>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</si>
  <si>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</si>
  <si>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</si>
  <si>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</si>
  <si>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</si>
  <si>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</si>
  <si>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</si>
  <si>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</si>
  <si>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</si>
  <si>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</si>
  <si>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</si>
  <si>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</si>
  <si>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</si>
  <si>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</si>
  <si>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</si>
  <si>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</si>
  <si>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</si>
  <si>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</si>
  <si>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</si>
  <si>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</si>
  <si>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</si>
  <si>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</si>
  <si>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</si>
  <si>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</si>
  <si>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</si>
  <si>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</si>
  <si>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</si>
  <si>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</si>
  <si>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</si>
  <si>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</si>
  <si>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</si>
  <si>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</si>
  <si>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</si>
  <si>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</si>
  <si>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</si>
  <si>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</si>
  <si>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</si>
  <si>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</si>
  <si>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</si>
  <si>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</si>
  <si>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</si>
  <si>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</si>
  <si>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</si>
  <si>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</si>
  <si>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</si>
  <si>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</si>
  <si>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</si>
  <si>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</si>
  <si>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</si>
  <si>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</si>
  <si>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</si>
  <si>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</si>
  <si>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</si>
  <si>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</si>
  <si>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</si>
  <si>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</si>
  <si>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</si>
  <si>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</si>
  <si>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</si>
  <si>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</si>
  <si>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</si>
  <si>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</si>
  <si>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</si>
  <si>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</si>
  <si>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</si>
  <si>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</si>
  <si>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</si>
  <si>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</si>
  <si>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</si>
  <si>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</si>
  <si>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</si>
  <si>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</si>
  <si>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</si>
  <si>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</si>
  <si>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</si>
  <si>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</si>
  <si>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</si>
  <si>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</si>
  <si>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</si>
  <si>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</si>
  <si>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</si>
  <si>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</si>
  <si>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</si>
  <si>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</si>
  <si>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</si>
  <si>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</si>
  <si>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</si>
  <si>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</si>
  <si>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</si>
  <si>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</si>
  <si>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</si>
  <si>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</si>
  <si>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</si>
  <si>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</si>
  <si>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</si>
  <si>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</si>
  <si>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</si>
  <si>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</si>
  <si>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</si>
  <si>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</si>
  <si>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</si>
  <si>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</si>
  <si>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</si>
  <si>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</si>
  <si>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</si>
  <si>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</si>
  <si>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</si>
  <si>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</si>
  <si>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</si>
  <si>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</si>
  <si>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</si>
  <si>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</si>
  <si>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</si>
  <si>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</si>
  <si>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</si>
  <si>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</si>
  <si>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</si>
  <si>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</si>
  <si>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</si>
  <si>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</si>
  <si>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</si>
  <si>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</si>
  <si>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</si>
  <si>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</si>
  <si>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</si>
  <si>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</si>
  <si>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</si>
  <si>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</si>
  <si>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</si>
  <si>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</si>
  <si>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</si>
  <si>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</si>
  <si>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</si>
  <si>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</si>
  <si>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</si>
  <si>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</si>
  <si>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</si>
  <si>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</si>
  <si>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</si>
  <si>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</si>
  <si>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</si>
  <si>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</si>
  <si>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</si>
  <si>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</si>
  <si>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</si>
  <si>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</si>
  <si>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</si>
  <si>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</si>
  <si>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</si>
  <si>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</si>
  <si>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</si>
  <si>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</si>
  <si>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</si>
  <si>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</si>
  <si>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</si>
  <si>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</si>
  <si>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</si>
  <si>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</si>
  <si>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</si>
  <si>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</si>
  <si>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</si>
  <si>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</si>
  <si>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</si>
  <si>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</si>
  <si>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</si>
  <si>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</si>
  <si>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</si>
  <si>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</si>
  <si>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</si>
  <si>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</si>
  <si>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</si>
  <si>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</si>
  <si>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</si>
  <si>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</si>
  <si>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</si>
  <si>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</si>
  <si>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</si>
  <si>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</si>
  <si>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</si>
  <si>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</si>
  <si>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</si>
  <si>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</si>
  <si>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</si>
  <si>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</si>
  <si>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</si>
  <si>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</si>
  <si>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</si>
  <si>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</si>
  <si>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</si>
  <si>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</si>
  <si>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</si>
  <si>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</si>
  <si>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</si>
  <si>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</si>
  <si>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</si>
  <si>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</si>
  <si>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</si>
  <si>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</si>
  <si>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</si>
  <si>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</si>
  <si>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</si>
  <si>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</si>
  <si>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</si>
  <si>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</si>
  <si>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</si>
  <si>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</si>
  <si>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</si>
  <si>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</si>
  <si>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</si>
  <si>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</si>
  <si>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</si>
  <si>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</si>
  <si>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</si>
  <si>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</si>
  <si>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</si>
  <si>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</si>
  <si>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</si>
  <si>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</si>
  <si>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</si>
  <si>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</si>
  <si>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</si>
  <si>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</si>
  <si>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</si>
  <si>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</si>
  <si>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</si>
  <si>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</si>
  <si>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</si>
  <si>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</si>
  <si>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</si>
  <si>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</si>
  <si>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</si>
  <si>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</si>
  <si>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</si>
  <si>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</si>
  <si>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</si>
  <si>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</si>
  <si>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</si>
  <si>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</si>
  <si>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</si>
  <si>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</si>
  <si>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</si>
  <si>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</si>
  <si>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</si>
  <si>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</si>
  <si>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</si>
  <si>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</si>
  <si>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</si>
  <si>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</si>
  <si>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</si>
  <si>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</si>
  <si>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</si>
  <si>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</si>
  <si>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</si>
  <si>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</si>
  <si>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</si>
  <si>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</si>
  <si>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</si>
  <si>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</si>
  <si>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</si>
  <si>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</si>
  <si>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</si>
  <si>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</si>
  <si>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</si>
  <si>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</si>
  <si>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</si>
  <si>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</si>
  <si>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</si>
  <si>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</si>
  <si>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</si>
  <si>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</si>
  <si>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</si>
  <si>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</si>
  <si>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</si>
  <si>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</si>
  <si>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</si>
  <si>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</si>
  <si>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</si>
  <si>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</si>
  <si>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</si>
  <si>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</si>
  <si>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</si>
  <si>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</si>
  <si>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</si>
  <si>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</si>
  <si>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</si>
  <si>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</si>
  <si>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</si>
  <si>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</si>
  <si>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</si>
  <si>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</si>
  <si>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</si>
  <si>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</si>
  <si>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</si>
  <si>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</si>
  <si>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</si>
  <si>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</si>
  <si>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</si>
  <si>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</si>
  <si>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</si>
  <si>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</si>
  <si>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</si>
  <si>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</si>
  <si>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</si>
  <si>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</si>
  <si>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</si>
  <si>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</si>
  <si>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</si>
  <si>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</si>
  <si>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</si>
  <si>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</si>
  <si>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</si>
  <si>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</si>
  <si>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</si>
  <si>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</si>
  <si>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</si>
  <si>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</si>
  <si>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</si>
  <si>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</si>
  <si>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</si>
  <si>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</si>
  <si>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</si>
  <si>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</si>
  <si>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</si>
  <si>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</si>
  <si>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</si>
  <si>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</si>
  <si>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</si>
  <si>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</si>
  <si>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</si>
  <si>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</si>
  <si>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</si>
  <si>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</si>
  <si>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</si>
  <si>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</si>
  <si>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</si>
  <si>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</si>
  <si>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</si>
  <si>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</si>
  <si>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</si>
  <si>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</si>
  <si>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</si>
  <si>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</si>
  <si>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</si>
  <si>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</si>
  <si>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</si>
  <si>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</si>
  <si>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</si>
  <si>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</si>
  <si>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</si>
  <si>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</si>
  <si>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</si>
  <si>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</si>
  <si>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</si>
  <si>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</si>
  <si>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</si>
  <si>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</si>
  <si>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</si>
  <si>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</si>
  <si>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</si>
  <si>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</si>
  <si>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</si>
  <si>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</si>
  <si>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</si>
  <si>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</si>
  <si>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</si>
  <si>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</si>
  <si>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</si>
  <si>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</si>
  <si>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</si>
  <si>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</si>
  <si>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</si>
  <si>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</si>
  <si>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</si>
  <si>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</si>
  <si>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</si>
  <si>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</si>
  <si>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</si>
  <si>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</si>
  <si>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</si>
  <si>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</si>
  <si>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</si>
  <si>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</si>
  <si>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</si>
  <si>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</si>
  <si>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</si>
  <si>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</si>
  <si>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</si>
  <si>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</si>
  <si>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</si>
  <si>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</si>
  <si>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</si>
  <si>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</si>
  <si>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</si>
  <si>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</si>
  <si>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</si>
  <si>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</si>
  <si>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</si>
  <si>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</si>
  <si>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</si>
  <si>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</si>
  <si>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</si>
  <si>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</si>
  <si>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</si>
  <si>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</si>
  <si>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</si>
  <si>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</si>
  <si>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</si>
  <si>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</si>
  <si>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</si>
  <si>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</si>
  <si>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</si>
  <si>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</si>
  <si>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</si>
  <si>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</si>
  <si>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</si>
  <si>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</si>
  <si>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</si>
  <si>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</si>
  <si>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</si>
  <si>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</si>
  <si>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</si>
  <si>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</si>
  <si>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</si>
  <si>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</si>
  <si>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</si>
  <si>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</si>
  <si>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</si>
  <si>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</si>
  <si>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</si>
  <si>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</si>
  <si>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</si>
  <si>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</si>
  <si>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</si>
  <si>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</si>
  <si>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</si>
  <si>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</si>
  <si>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</si>
  <si>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</si>
  <si>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</si>
  <si>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</si>
  <si>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</si>
  <si>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</si>
  <si>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</si>
  <si>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</si>
  <si>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</si>
  <si>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</si>
  <si>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</si>
  <si>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</si>
  <si>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</si>
  <si>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</si>
  <si>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</si>
  <si>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</si>
  <si>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</si>
  <si>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</si>
  <si>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</si>
  <si>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</si>
  <si>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</si>
  <si>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</si>
  <si>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</si>
  <si>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</si>
  <si>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</si>
  <si>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</si>
  <si>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</si>
  <si>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</si>
  <si>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</si>
  <si>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</si>
  <si>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</si>
  <si>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</si>
  <si>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</si>
  <si>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</si>
  <si>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</si>
  <si>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</si>
  <si>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</si>
  <si>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</si>
  <si>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</si>
  <si>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</si>
  <si>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</si>
  <si>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</si>
  <si>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</si>
  <si>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</si>
  <si>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</si>
  <si>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</si>
  <si>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</si>
  <si>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</si>
  <si>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</si>
  <si>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</si>
  <si>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</si>
  <si>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</si>
  <si>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</si>
  <si>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</si>
  <si>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</si>
  <si>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</si>
  <si>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</si>
  <si>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</si>
  <si>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</si>
  <si>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</si>
  <si>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</si>
  <si>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</si>
  <si>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</si>
  <si>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</si>
  <si>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</si>
  <si>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</si>
  <si>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</si>
  <si>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</si>
  <si>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</si>
  <si>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</si>
  <si>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</si>
  <si>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</si>
  <si>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</si>
  <si>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</si>
  <si>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</si>
  <si>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</si>
  <si>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</si>
  <si>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</si>
  <si>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</si>
  <si>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</si>
  <si>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</si>
  <si>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</si>
  <si>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</si>
  <si>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</si>
  <si>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</si>
  <si>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</si>
  <si>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</si>
  <si>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</si>
  <si>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</si>
  <si>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</si>
  <si>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</si>
  <si>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</si>
  <si>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</si>
  <si>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</si>
  <si>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</si>
  <si>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</si>
  <si>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</si>
  <si>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</si>
  <si>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</si>
  <si>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</si>
  <si>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</si>
  <si>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</si>
  <si>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</si>
  <si>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</si>
  <si>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</si>
  <si>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</si>
  <si>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</si>
  <si>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</si>
  <si>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</si>
  <si>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</si>
  <si>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</si>
  <si>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</si>
  <si>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</si>
  <si>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</si>
  <si>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</si>
  <si>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</si>
  <si>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</si>
  <si>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</si>
  <si>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</si>
  <si>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</si>
  <si>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</si>
  <si>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</si>
  <si>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</si>
  <si>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</si>
  <si>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</si>
  <si>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</si>
  <si>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</si>
  <si>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</si>
  <si>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</si>
  <si>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</si>
  <si>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</si>
  <si>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</si>
  <si>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</si>
  <si>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</si>
  <si>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</si>
  <si>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</si>
  <si>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</si>
  <si>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</si>
  <si>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</si>
  <si>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</si>
  <si>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</si>
  <si>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</si>
  <si>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</si>
  <si>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</si>
  <si>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</si>
  <si>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</si>
  <si>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</si>
  <si>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</si>
  <si>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</si>
  <si>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</si>
  <si>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</si>
  <si>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</si>
  <si>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</si>
  <si>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</si>
  <si>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</si>
  <si>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</si>
  <si>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</si>
  <si>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</si>
  <si>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</si>
  <si>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</si>
  <si>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</si>
  <si>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</si>
  <si>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</si>
  <si>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</si>
  <si>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</si>
  <si>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</si>
  <si>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</si>
  <si>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</si>
  <si>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</si>
  <si>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</si>
  <si>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</si>
  <si>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</si>
  <si>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</si>
  <si>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</si>
  <si>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</si>
  <si>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</si>
  <si>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</si>
  <si>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</si>
  <si>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</si>
  <si>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</si>
  <si>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</si>
  <si>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</si>
  <si>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</si>
  <si>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</si>
  <si>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</si>
  <si>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</si>
  <si>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</si>
  <si>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</si>
  <si>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</si>
  <si>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</si>
  <si>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</si>
  <si>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</si>
  <si>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</si>
  <si>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</si>
  <si>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</si>
  <si>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</si>
  <si>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</si>
  <si>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</si>
  <si>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</si>
  <si>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</si>
  <si>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</si>
  <si>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</si>
  <si>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</si>
  <si>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</si>
  <si>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</si>
  <si>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</si>
  <si>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</si>
  <si>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</si>
  <si>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</si>
  <si>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</si>
  <si>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</si>
  <si>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</si>
  <si>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</si>
  <si>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</si>
  <si>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</si>
  <si>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</si>
  <si>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</si>
  <si>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</si>
  <si>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</si>
  <si>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</si>
  <si>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</si>
  <si>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</si>
  <si>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</si>
  <si>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</si>
  <si>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</si>
  <si>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</si>
  <si>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</si>
  <si>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</si>
  <si>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</si>
  <si>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</si>
  <si>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</si>
  <si>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</si>
  <si>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</si>
  <si>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</si>
  <si>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</si>
  <si>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</si>
  <si>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</si>
  <si>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</si>
  <si>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</si>
  <si>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</si>
  <si>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</si>
  <si>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</si>
  <si>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</si>
  <si>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</si>
  <si>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</si>
  <si>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</si>
  <si>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</si>
  <si>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</si>
  <si>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</si>
  <si>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</si>
  <si>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</si>
  <si>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</si>
  <si>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</si>
  <si>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</si>
  <si>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</si>
  <si>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</si>
  <si>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</si>
  <si>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</si>
  <si>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</si>
  <si>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</si>
  <si>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</si>
  <si>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</si>
  <si>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</si>
  <si>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</si>
  <si>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</si>
  <si>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</si>
  <si>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</si>
  <si>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</si>
  <si>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</si>
  <si>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</si>
  <si>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</si>
  <si>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</si>
  <si>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</si>
  <si>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</si>
  <si>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</si>
  <si>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</si>
  <si>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</si>
  <si>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</si>
  <si>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</si>
  <si>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</si>
  <si>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</si>
  <si>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</si>
  <si>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</si>
  <si>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</si>
  <si>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</si>
  <si>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</si>
  <si>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</si>
  <si>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</si>
  <si>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</si>
  <si>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</si>
  <si>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</si>
  <si>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</si>
  <si>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</si>
  <si>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</si>
  <si>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</si>
  <si>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</si>
  <si>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</si>
  <si>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</si>
  <si>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</si>
  <si>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</si>
  <si>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</si>
  <si>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</si>
  <si>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</si>
  <si>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</si>
  <si>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</si>
  <si>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</si>
  <si>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</si>
  <si>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</si>
  <si>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</si>
  <si>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</si>
  <si>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</si>
  <si>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</si>
  <si>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</si>
  <si>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</si>
  <si>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</si>
  <si>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</si>
  <si>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</si>
  <si>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</si>
  <si>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</si>
  <si>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</si>
  <si>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</si>
  <si>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</si>
  <si>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</si>
  <si>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</si>
  <si>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</si>
  <si>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</si>
  <si>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</si>
  <si>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</si>
  <si>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</si>
  <si>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</si>
  <si>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</si>
  <si>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</si>
  <si>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</si>
  <si>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</si>
  <si>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</si>
  <si>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</si>
  <si>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</si>
  <si>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</si>
  <si>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</si>
  <si>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</si>
  <si>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</si>
  <si>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</si>
  <si>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</si>
  <si>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</si>
  <si>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</si>
  <si>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</si>
  <si>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</si>
  <si>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</si>
  <si>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</si>
  <si>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</si>
  <si>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</si>
  <si>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</si>
  <si>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</si>
  <si>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</si>
  <si>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</si>
  <si>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</si>
  <si>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</si>
  <si>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</si>
  <si>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</si>
  <si>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</si>
  <si>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</si>
  <si>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</si>
  <si>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</si>
  <si>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</si>
  <si>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</si>
  <si>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</si>
  <si>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</si>
  <si>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</si>
  <si>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</si>
  <si>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</si>
  <si>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</si>
  <si>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</si>
  <si>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</si>
  <si>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</si>
  <si>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</si>
  <si>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</si>
  <si>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</si>
  <si>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</si>
  <si>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</si>
  <si>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</si>
  <si>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</si>
  <si>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</si>
  <si>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</si>
  <si>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</si>
  <si>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</si>
  <si>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</si>
  <si>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</si>
  <si>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</si>
  <si>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</si>
  <si>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</si>
  <si>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</si>
  <si>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</si>
  <si>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</si>
  <si>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</si>
  <si>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</si>
  <si>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</si>
  <si>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</si>
  <si>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</si>
  <si>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</si>
  <si>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</si>
  <si>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</si>
  <si>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</si>
  <si>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</si>
  <si>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</si>
  <si>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</si>
  <si>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</si>
  <si>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</si>
  <si>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</si>
  <si>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</si>
  <si>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</si>
  <si>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</si>
  <si>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</si>
  <si>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</si>
  <si>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</si>
  <si>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</si>
  <si>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</si>
  <si>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</si>
  <si>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</si>
  <si>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</si>
  <si>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</si>
  <si>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</si>
  <si>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</si>
  <si>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</si>
  <si>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</si>
  <si>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</si>
  <si>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</si>
  <si>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</si>
  <si>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</si>
  <si>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</si>
  <si>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</si>
  <si>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</si>
  <si>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</si>
  <si>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</si>
  <si>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</si>
  <si>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</si>
  <si>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</si>
  <si>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</si>
  <si>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</si>
  <si>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</si>
  <si>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</si>
  <si>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</si>
  <si>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</si>
  <si>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</si>
  <si>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</si>
  <si>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</si>
  <si>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</si>
  <si>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</si>
  <si>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</si>
  <si>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</si>
  <si>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</si>
  <si>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</si>
  <si>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</si>
  <si>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</si>
  <si>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</si>
  <si>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</si>
  <si>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</si>
  <si>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</si>
  <si>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</si>
  <si>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</si>
  <si>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</si>
  <si>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</si>
  <si>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</si>
  <si>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</si>
  <si>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</si>
  <si>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</si>
  <si>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</si>
  <si>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</si>
  <si>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</si>
  <si>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</si>
  <si>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</si>
  <si>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</si>
  <si>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</si>
  <si>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</si>
  <si>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</si>
  <si>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</si>
  <si>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</si>
  <si>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</si>
  <si>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</si>
  <si>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</si>
  <si>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</si>
  <si>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</si>
  <si>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</si>
  <si>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</si>
  <si>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</si>
  <si>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</si>
  <si>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</si>
  <si>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</si>
  <si>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</si>
  <si>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</si>
  <si>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</si>
  <si>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</si>
  <si>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</si>
  <si>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</si>
  <si>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</si>
  <si>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</si>
  <si>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</si>
  <si>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</si>
  <si>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</si>
  <si>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</si>
  <si>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</si>
  <si>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</si>
  <si>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</si>
  <si>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</si>
  <si>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</si>
  <si>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</si>
  <si>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</si>
  <si>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</si>
  <si>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</si>
  <si>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</si>
  <si>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</si>
  <si>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</si>
  <si>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</si>
  <si>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</si>
  <si>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</si>
  <si>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</si>
  <si>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</si>
  <si>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</si>
  <si>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</si>
  <si>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</si>
  <si>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</si>
  <si>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</si>
  <si>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</si>
  <si>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</si>
  <si>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</si>
  <si>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</si>
  <si>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</si>
  <si>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</si>
  <si>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</si>
  <si>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</si>
  <si>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</si>
  <si>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</si>
  <si>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</si>
  <si>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</si>
  <si>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</si>
  <si>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</si>
  <si>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</si>
  <si>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</si>
  <si>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</si>
  <si>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</si>
  <si>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</si>
  <si>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</si>
  <si>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</si>
  <si>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</si>
  <si>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</si>
  <si>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</si>
  <si>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</si>
  <si>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</si>
  <si>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</si>
  <si>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</si>
  <si>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</si>
  <si>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</si>
  <si>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</si>
  <si>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</si>
  <si>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</si>
  <si>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</si>
  <si>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</si>
  <si>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</si>
  <si>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</si>
  <si>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</si>
  <si>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</si>
  <si>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</si>
  <si>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</si>
  <si>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</si>
  <si>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</si>
  <si>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</si>
  <si>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</si>
  <si>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</si>
  <si>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</si>
  <si>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</si>
  <si>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</si>
  <si>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</si>
  <si>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</si>
  <si>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</si>
  <si>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</si>
  <si>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</si>
  <si>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</si>
  <si>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</si>
  <si>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</si>
  <si>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</si>
  <si>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</si>
  <si>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</si>
  <si>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</si>
  <si>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</si>
  <si>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</si>
  <si>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</si>
  <si>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</si>
  <si>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</si>
  <si>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</si>
  <si>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</si>
  <si>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</si>
  <si>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</si>
  <si>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</si>
  <si>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</si>
  <si>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</si>
  <si>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</si>
  <si>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</si>
  <si>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</si>
  <si>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</si>
  <si>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</si>
  <si>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</si>
  <si>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</si>
  <si>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</si>
  <si>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</si>
  <si>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</si>
  <si>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</si>
  <si>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</si>
  <si>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</si>
  <si>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</si>
  <si>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</si>
  <si>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</si>
  <si>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</si>
  <si>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</si>
  <si>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</si>
  <si>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</si>
  <si>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</si>
  <si>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</si>
  <si>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</si>
  <si>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</si>
  <si>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</si>
  <si>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</si>
  <si>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</si>
  <si>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</si>
  <si>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</si>
  <si>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</si>
  <si>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</si>
  <si>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</si>
  <si>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</si>
  <si>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</si>
  <si>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</si>
  <si>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</si>
  <si>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</si>
  <si>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</si>
  <si>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</si>
  <si>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</si>
  <si>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</si>
  <si>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</si>
  <si>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</si>
  <si>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</si>
  <si>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</si>
  <si>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</si>
  <si>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</si>
  <si>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</si>
  <si>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</si>
  <si>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</si>
  <si>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</si>
  <si>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</si>
  <si>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</si>
  <si>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</si>
  <si>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</si>
  <si>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</si>
  <si>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</si>
  <si>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</si>
  <si>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</si>
  <si>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</si>
  <si>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</si>
  <si>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</si>
  <si>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</si>
  <si>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</si>
  <si>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</si>
  <si>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</si>
  <si>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</si>
  <si>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</si>
  <si>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</si>
  <si>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</si>
  <si>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</si>
  <si>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</si>
  <si>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</si>
  <si>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</si>
  <si>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</si>
  <si>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</si>
  <si>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</si>
  <si>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</si>
  <si>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</si>
  <si>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</si>
  <si>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</si>
  <si>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</si>
  <si>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</si>
  <si>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</si>
  <si>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</si>
  <si>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</si>
  <si>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</si>
  <si>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</si>
  <si>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</si>
  <si>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</si>
  <si>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</si>
  <si>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</si>
  <si>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</si>
  <si>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</si>
  <si>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</si>
  <si>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</si>
  <si>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</si>
  <si>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</si>
  <si>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</si>
  <si>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</si>
  <si>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</si>
  <si>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</si>
  <si>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</si>
  <si>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</si>
  <si>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</si>
  <si>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</si>
  <si>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</si>
  <si>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</si>
  <si>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</si>
  <si>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</si>
  <si>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</si>
  <si>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</si>
  <si>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</si>
  <si>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</si>
  <si>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</si>
  <si>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</si>
  <si>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</si>
  <si>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</si>
  <si>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</si>
  <si>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</si>
  <si>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</si>
  <si>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</si>
  <si>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</si>
  <si>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</si>
  <si>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</si>
  <si>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</si>
  <si>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</si>
  <si>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</si>
  <si>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</si>
  <si>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</si>
  <si>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</si>
  <si>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</si>
  <si>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</si>
  <si>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</si>
  <si>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</si>
  <si>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</si>
  <si>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</si>
  <si>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</si>
  <si>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</si>
  <si>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</si>
  <si>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</si>
  <si>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</si>
  <si>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</si>
  <si>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</si>
  <si>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</si>
  <si>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</si>
  <si>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</si>
  <si>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</si>
  <si>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</si>
  <si>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</si>
  <si>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</si>
  <si>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</si>
  <si>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</si>
  <si>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</si>
  <si>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</si>
  <si>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</si>
  <si>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</si>
  <si>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</si>
  <si>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</si>
  <si>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</si>
  <si>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</si>
  <si>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</si>
  <si>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</si>
  <si>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</si>
  <si>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</si>
  <si>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</si>
  <si>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</si>
  <si>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</si>
  <si>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</si>
  <si>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</si>
  <si>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</si>
  <si>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</si>
  <si>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</si>
  <si>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</si>
  <si>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</si>
  <si>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</si>
  <si>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</si>
  <si>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</si>
  <si>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</si>
  <si>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</si>
  <si>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</si>
  <si>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</si>
  <si>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</si>
  <si>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</si>
  <si>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</si>
  <si>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</si>
  <si>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</si>
  <si>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</si>
  <si>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</si>
  <si>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</si>
  <si>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</si>
  <si>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</si>
  <si>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</si>
  <si>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</si>
  <si>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</si>
  <si>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</si>
  <si>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</si>
  <si>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</si>
  <si>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</si>
  <si>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</si>
  <si>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</si>
  <si>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</si>
  <si>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</si>
  <si>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</si>
  <si>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</si>
  <si>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</si>
  <si>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</si>
  <si>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</si>
  <si>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</si>
  <si>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</si>
  <si>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</si>
  <si>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</si>
  <si>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</si>
  <si>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</si>
  <si>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</si>
  <si>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</si>
  <si>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</si>
  <si>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</si>
  <si>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</si>
  <si>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</si>
  <si>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</si>
  <si>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</si>
  <si>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</si>
  <si>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</si>
  <si>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</si>
  <si>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</si>
  <si>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</si>
  <si>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</si>
  <si>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</si>
  <si>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</si>
  <si>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</si>
  <si>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</si>
  <si>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</si>
  <si>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</si>
  <si>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</si>
  <si>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</si>
  <si>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</si>
  <si>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</si>
  <si>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</si>
  <si>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</si>
  <si>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</si>
  <si>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</si>
  <si>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</si>
  <si>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</si>
  <si>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</si>
  <si>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</si>
  <si>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</si>
  <si>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</si>
  <si>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</si>
  <si>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</si>
  <si>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</si>
  <si>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</si>
  <si>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</si>
  <si>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</si>
  <si>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</si>
  <si>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</si>
  <si>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</si>
  <si>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</si>
  <si>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</si>
  <si>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</si>
  <si>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</si>
  <si>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</si>
  <si>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</si>
  <si>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</si>
  <si>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</si>
  <si>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</si>
  <si>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</si>
  <si>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</si>
  <si>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</si>
  <si>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</si>
  <si>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</si>
  <si>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</si>
  <si>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</si>
  <si>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</si>
  <si>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</si>
  <si>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</si>
  <si>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</si>
  <si>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</si>
  <si>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</si>
  <si>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</si>
  <si>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</si>
  <si>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</si>
  <si>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</si>
  <si>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</si>
  <si>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</si>
  <si>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</si>
  <si>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</si>
  <si>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</si>
  <si>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</si>
  <si>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</si>
  <si>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</si>
  <si>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</si>
  <si>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</si>
  <si>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</si>
  <si>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</si>
  <si>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</si>
  <si>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</si>
  <si>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</si>
  <si>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</si>
  <si>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</si>
  <si>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</si>
  <si>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</si>
  <si>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</si>
  <si>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</si>
  <si>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</si>
  <si>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</si>
  <si>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</si>
  <si>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</si>
  <si>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</si>
  <si>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</si>
  <si>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</si>
  <si>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</si>
  <si>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</si>
  <si>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</si>
  <si>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</si>
  <si>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</si>
  <si>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</si>
  <si>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</si>
  <si>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</si>
  <si>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</si>
  <si>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</si>
  <si>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</si>
  <si>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</si>
  <si>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</si>
  <si>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</si>
  <si>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</si>
  <si>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</si>
  <si>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</si>
  <si>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</si>
  <si>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</si>
  <si>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</si>
  <si>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</si>
  <si>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</si>
  <si>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</si>
  <si>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</si>
  <si>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</si>
  <si>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</si>
  <si>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</si>
  <si>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</si>
  <si>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</si>
  <si>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</si>
  <si>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</si>
  <si>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</si>
  <si>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</si>
  <si>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</si>
  <si>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</si>
  <si>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</si>
  <si>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</si>
  <si>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</si>
  <si>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</si>
  <si>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</si>
  <si>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</si>
  <si>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</si>
  <si>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</si>
  <si>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</si>
  <si>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</si>
  <si>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</si>
  <si>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</si>
  <si>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</si>
  <si>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</si>
  <si>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</si>
  <si>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</si>
  <si>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</si>
  <si>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</si>
  <si>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</si>
  <si>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</si>
  <si>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</si>
  <si>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</si>
  <si>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</si>
  <si>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</si>
  <si>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</si>
  <si>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</si>
  <si>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</si>
  <si>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</si>
  <si>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</si>
  <si>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</si>
  <si>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</si>
  <si>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</si>
  <si>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</si>
  <si>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</si>
  <si>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</si>
  <si>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</si>
  <si>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</si>
  <si>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</si>
  <si>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</si>
  <si>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</si>
  <si>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</si>
  <si>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</si>
  <si>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</si>
  <si>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</si>
  <si>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</si>
  <si>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</si>
  <si>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</si>
  <si>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</si>
  <si>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</si>
  <si>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</si>
  <si>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</si>
  <si>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</si>
  <si>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</si>
  <si>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</si>
  <si>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</si>
  <si>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</si>
  <si>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</si>
  <si>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</si>
  <si>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</si>
  <si>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</si>
  <si>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</si>
  <si>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</si>
  <si>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</si>
  <si>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</si>
  <si>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</si>
  <si>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</si>
  <si>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</si>
  <si>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</si>
  <si>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</si>
  <si>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</si>
  <si>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</si>
  <si>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</si>
  <si>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</si>
  <si>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</si>
  <si>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</si>
  <si>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</si>
  <si>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</si>
  <si>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</si>
  <si>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</si>
  <si>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</si>
  <si>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</si>
  <si>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</si>
  <si>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</si>
  <si>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</si>
  <si>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</si>
  <si>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</si>
  <si>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</si>
  <si>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</si>
  <si>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</si>
  <si>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</si>
  <si>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</si>
  <si>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</si>
  <si>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</si>
  <si>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</si>
  <si>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</si>
  <si>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</si>
  <si>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</si>
  <si>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</si>
  <si>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</si>
  <si>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</si>
  <si>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</si>
  <si>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</si>
  <si>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</si>
  <si>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</si>
  <si>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</si>
  <si>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</si>
  <si>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</si>
  <si>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</si>
  <si>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</si>
  <si>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</si>
  <si>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</si>
  <si>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</si>
  <si>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</si>
  <si>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</si>
  <si>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</si>
  <si>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</si>
  <si>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</si>
  <si>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</si>
  <si>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</si>
  <si>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</si>
  <si>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</si>
  <si>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</si>
  <si>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</si>
  <si>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</si>
  <si>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</si>
  <si>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</si>
  <si>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</si>
  <si>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</si>
  <si>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</si>
  <si>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</si>
  <si>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</si>
  <si>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</si>
  <si>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</si>
  <si>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</si>
  <si>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</si>
  <si>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</si>
  <si>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</si>
  <si>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</si>
  <si>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</si>
  <si>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</si>
  <si>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</si>
  <si>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</si>
  <si>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</si>
  <si>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</si>
  <si>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</si>
  <si>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</si>
  <si>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</si>
  <si>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</si>
  <si>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</si>
  <si>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</si>
  <si>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</si>
  <si>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</si>
  <si>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</si>
  <si>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</si>
  <si>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</si>
  <si>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</si>
  <si>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</si>
  <si>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</si>
  <si>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</si>
  <si>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</si>
  <si>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</si>
  <si>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</si>
  <si>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</si>
  <si>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</si>
  <si>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</si>
  <si>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</si>
  <si>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</si>
  <si>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</si>
  <si>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</si>
  <si>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</si>
  <si>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</si>
  <si>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</si>
  <si>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</si>
  <si>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</si>
  <si>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</si>
  <si>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</si>
  <si>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</si>
  <si>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</si>
  <si>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</si>
  <si>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</si>
  <si>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</si>
  <si>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</si>
  <si>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</si>
  <si>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</si>
  <si>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</si>
  <si>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</si>
  <si>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</si>
  <si>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</si>
  <si>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</si>
  <si>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</si>
  <si>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</si>
  <si>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</si>
  <si>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</si>
  <si>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</si>
  <si>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</si>
  <si>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</si>
  <si>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</si>
  <si>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</si>
  <si>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</si>
  <si>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</si>
  <si>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</si>
  <si>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</si>
  <si>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</si>
  <si>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</si>
  <si>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</si>
  <si>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</si>
  <si>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</si>
  <si>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</si>
  <si>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</si>
  <si>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</si>
  <si>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</si>
  <si>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</si>
  <si>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</si>
  <si>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</si>
  <si>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</si>
  <si>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</si>
  <si>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</si>
  <si>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</si>
  <si>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</si>
  <si>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</si>
  <si>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</si>
  <si>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</si>
  <si>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</si>
  <si>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</si>
  <si>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</si>
  <si>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</si>
  <si>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</si>
  <si>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</si>
  <si>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</si>
  <si>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</si>
  <si>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</si>
  <si>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</si>
  <si>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</si>
  <si>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</si>
  <si>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</si>
  <si>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</si>
  <si>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</si>
  <si>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</si>
  <si>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</si>
  <si>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</si>
  <si>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</si>
  <si>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</si>
  <si>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</si>
  <si>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</si>
  <si>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</si>
  <si>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</si>
  <si>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</si>
  <si>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</si>
  <si>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</si>
  <si>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</si>
  <si>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</si>
  <si>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</si>
  <si>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</si>
  <si>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</si>
  <si>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</si>
  <si>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</si>
  <si>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</si>
  <si>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</si>
  <si>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</si>
  <si>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</si>
  <si>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</si>
  <si>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</si>
  <si>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</si>
  <si>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</si>
  <si>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</si>
  <si>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</si>
  <si>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</si>
  <si>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</si>
  <si>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</si>
  <si>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</si>
  <si>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</si>
  <si>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</si>
  <si>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</si>
  <si>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</si>
  <si>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</si>
  <si>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</si>
  <si>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</si>
  <si>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</si>
  <si>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</si>
  <si>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</si>
  <si>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</si>
  <si>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</si>
  <si>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</si>
  <si>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</si>
  <si>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</si>
  <si>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</si>
  <si>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</si>
  <si>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</si>
  <si>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</si>
  <si>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</si>
  <si>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</si>
  <si>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</si>
  <si>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</si>
  <si>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</si>
  <si>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</si>
  <si>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</si>
  <si>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</si>
  <si>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</si>
  <si>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</si>
  <si>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</si>
  <si>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</si>
  <si>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</si>
  <si>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</si>
  <si>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</si>
  <si>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</si>
  <si>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</si>
  <si>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</si>
  <si>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</si>
  <si>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</si>
  <si>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</si>
  <si>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</si>
  <si>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</si>
  <si>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</si>
  <si>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</si>
  <si>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</si>
  <si>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</si>
  <si>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</si>
  <si>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</si>
  <si>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</si>
  <si>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</si>
  <si>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</si>
  <si>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</si>
  <si>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</si>
  <si>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</si>
  <si>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</si>
  <si>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</si>
  <si>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</si>
  <si>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</si>
  <si>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</si>
  <si>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</si>
  <si>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</si>
  <si>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</si>
  <si>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</si>
  <si>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</si>
  <si>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</si>
  <si>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</si>
  <si>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</si>
  <si>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</si>
  <si>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</si>
  <si>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</si>
  <si>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</si>
  <si>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</si>
  <si>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</si>
  <si>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</si>
  <si>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</si>
  <si>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</si>
  <si>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</si>
  <si>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</si>
  <si>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</si>
  <si>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</si>
  <si>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</si>
  <si>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</si>
  <si>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</si>
  <si>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</si>
  <si>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</si>
  <si>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</si>
  <si>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</si>
  <si>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</si>
  <si>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</si>
  <si>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</si>
  <si>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</si>
  <si>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</si>
  <si>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</si>
  <si>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</si>
  <si>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</si>
  <si>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</si>
  <si>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</si>
  <si>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</si>
  <si>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</si>
  <si>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</si>
  <si>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</si>
  <si>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</si>
  <si>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</si>
  <si>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</si>
  <si>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</si>
  <si>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</si>
  <si>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</si>
  <si>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</si>
  <si>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</si>
  <si>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</si>
  <si>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</si>
  <si>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</si>
  <si>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</si>
  <si>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</si>
  <si>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</si>
  <si>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</si>
  <si>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</si>
  <si>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</si>
  <si>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</si>
  <si>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</si>
  <si>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</si>
  <si>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</si>
  <si>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</si>
  <si>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</si>
  <si>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</si>
  <si>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</si>
  <si>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</si>
  <si>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</si>
  <si>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</si>
  <si>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</si>
  <si>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</si>
  <si>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</si>
  <si>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</si>
  <si>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</si>
  <si>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</si>
  <si>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</si>
  <si>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</si>
  <si>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</si>
  <si>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</si>
  <si>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</si>
  <si>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</si>
  <si>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</si>
  <si>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</si>
  <si>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</si>
  <si>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</si>
  <si>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</si>
  <si>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</si>
  <si>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</si>
  <si>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</si>
  <si>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</si>
  <si>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</si>
  <si>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</si>
  <si>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</si>
  <si>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</si>
  <si>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</si>
  <si>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</si>
  <si>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</si>
  <si>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</si>
  <si>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</si>
  <si>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</si>
  <si>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</si>
  <si>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</si>
  <si>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</si>
  <si>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</si>
  <si>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</si>
  <si>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</si>
  <si>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</si>
  <si>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</si>
  <si>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</si>
  <si>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</si>
  <si>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</si>
  <si>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</si>
  <si>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</si>
  <si>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</si>
  <si>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</si>
  <si>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</si>
  <si>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</si>
  <si>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</si>
  <si>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</si>
  <si>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</si>
  <si>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</si>
  <si>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</si>
  <si>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</si>
  <si>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</si>
  <si>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</si>
  <si>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</si>
  <si>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</si>
  <si>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</si>
  <si>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</si>
  <si>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</si>
  <si>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</si>
  <si>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</si>
  <si>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</si>
  <si>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</si>
  <si>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</si>
  <si>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</si>
  <si>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</si>
  <si>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</si>
  <si>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</si>
  <si>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</si>
  <si>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</si>
  <si>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</si>
  <si>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</si>
  <si>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</si>
  <si>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</si>
  <si>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</si>
  <si>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</si>
  <si>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</si>
  <si>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</si>
  <si>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</si>
  <si>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</si>
  <si>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</si>
  <si>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</si>
  <si>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</si>
  <si>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</si>
  <si>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</si>
  <si>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</si>
  <si>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</si>
  <si>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</si>
  <si>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</si>
  <si>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</si>
  <si>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</si>
  <si>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</si>
  <si>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</si>
  <si>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</si>
  <si>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</si>
  <si>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</si>
  <si>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</si>
  <si>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</si>
  <si>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</si>
  <si>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</si>
  <si>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</si>
  <si>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</si>
  <si>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</si>
  <si>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</si>
  <si>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</si>
  <si>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</si>
  <si>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</si>
  <si>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</si>
  <si>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</si>
  <si>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</si>
  <si>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</si>
  <si>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</si>
  <si>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</si>
  <si>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</si>
  <si>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</si>
  <si>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</si>
  <si>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</si>
  <si>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</si>
  <si>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</si>
  <si>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</si>
  <si>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</si>
  <si>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</si>
  <si>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</si>
  <si>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</si>
  <si>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</si>
  <si>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</si>
  <si>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</si>
  <si>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</si>
  <si>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</si>
  <si>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</si>
  <si>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</si>
  <si>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</si>
  <si>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</si>
  <si>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</si>
  <si>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</si>
  <si>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</si>
  <si>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</si>
  <si>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</si>
  <si>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</si>
  <si>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</si>
  <si>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</si>
  <si>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</si>
  <si>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</si>
  <si>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</si>
  <si>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</si>
  <si>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</si>
  <si>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</si>
  <si>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</si>
  <si>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</si>
  <si>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</si>
  <si>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</si>
  <si>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</si>
  <si>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</si>
  <si>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</si>
  <si>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</si>
  <si>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</si>
  <si>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</si>
  <si>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</si>
  <si>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</si>
  <si>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</si>
  <si>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</si>
  <si>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</si>
  <si>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</si>
  <si>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</si>
  <si>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</si>
  <si>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</si>
  <si>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</si>
  <si>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</si>
  <si>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</si>
  <si>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</si>
  <si>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</si>
  <si>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</si>
  <si>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</si>
  <si>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</si>
  <si>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</si>
  <si>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</si>
  <si>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</si>
  <si>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</si>
  <si>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</si>
  <si>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</si>
  <si>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</si>
  <si>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</si>
  <si>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</si>
  <si>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</si>
  <si>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</si>
  <si>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</si>
  <si>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</si>
  <si>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</si>
  <si>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</si>
  <si>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</si>
  <si>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</si>
  <si>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</si>
  <si>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</si>
  <si>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</si>
  <si>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</si>
  <si>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</si>
  <si>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</si>
  <si>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</si>
  <si>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</si>
  <si>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</si>
  <si>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</si>
  <si>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</si>
  <si>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</si>
  <si>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</si>
  <si>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</si>
  <si>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</si>
  <si>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</si>
  <si>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</si>
  <si>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</si>
  <si>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</si>
  <si>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</si>
  <si>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</si>
  <si>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</si>
  <si>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</si>
  <si>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</si>
  <si>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</si>
  <si>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</si>
  <si>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</si>
  <si>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</si>
  <si>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</si>
  <si>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</si>
  <si>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</si>
  <si>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</si>
  <si>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</si>
  <si>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</si>
  <si>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</si>
  <si>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</si>
  <si>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</si>
  <si>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</si>
  <si>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</si>
  <si>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</si>
  <si>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</si>
  <si>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</si>
  <si>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</si>
  <si>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</si>
  <si>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</si>
  <si>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</si>
  <si>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</si>
  <si>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</si>
  <si>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</si>
  <si>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</si>
  <si>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</si>
  <si>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</si>
  <si>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</si>
  <si>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</si>
  <si>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</si>
  <si>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</si>
  <si>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</si>
  <si>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</si>
  <si>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</si>
  <si>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</si>
  <si>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</si>
  <si>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</si>
  <si>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</si>
  <si>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</si>
  <si>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</si>
  <si>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</si>
  <si>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</si>
  <si>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</si>
  <si>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</si>
  <si>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</si>
  <si>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</si>
  <si>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</si>
  <si>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</si>
  <si>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</si>
  <si>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</si>
  <si>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</si>
  <si>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</si>
  <si>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</si>
  <si>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</si>
  <si>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</si>
  <si>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</si>
  <si>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</si>
  <si>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</si>
  <si>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</si>
  <si>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</si>
  <si>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</si>
  <si>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</si>
  <si>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</si>
  <si>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</si>
  <si>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</si>
  <si>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</si>
  <si>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</si>
  <si>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</si>
  <si>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</si>
  <si>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</si>
  <si>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</si>
  <si>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</si>
  <si>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</si>
  <si>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</si>
  <si>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</si>
  <si>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</si>
  <si>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</si>
  <si>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</si>
  <si>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</si>
  <si>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</si>
  <si>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</si>
  <si>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</si>
  <si>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</si>
  <si>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</si>
  <si>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</si>
  <si>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</si>
  <si>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</si>
  <si>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</si>
  <si>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</si>
  <si>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</si>
  <si>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</si>
  <si>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</si>
  <si>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</si>
  <si>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</si>
  <si>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</si>
  <si>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</si>
  <si>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</si>
  <si>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</si>
  <si>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</si>
  <si>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</si>
  <si>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</si>
  <si>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</si>
  <si>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</si>
  <si>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</si>
  <si>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</si>
  <si>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</si>
  <si>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</si>
  <si>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</si>
  <si>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</si>
  <si>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</si>
  <si>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</si>
  <si>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</si>
  <si>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</si>
  <si>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</si>
  <si>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</si>
  <si>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</si>
  <si>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</si>
  <si>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</si>
  <si>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</si>
  <si>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</si>
  <si>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</si>
  <si>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</si>
  <si>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</si>
  <si>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</si>
  <si>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</si>
  <si>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</si>
  <si>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</si>
  <si>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</si>
  <si>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</si>
  <si>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</si>
  <si>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</si>
  <si>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</si>
  <si>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</si>
  <si>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</si>
  <si>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</si>
  <si>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</si>
  <si>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</si>
  <si>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</si>
  <si>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</si>
  <si>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</si>
  <si>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</si>
  <si>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</si>
  <si>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</si>
  <si>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</si>
  <si>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</si>
  <si>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</si>
  <si>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</si>
  <si>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</si>
  <si>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</si>
  <si>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</si>
  <si>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</si>
  <si>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</si>
  <si>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</si>
  <si>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</si>
  <si>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</si>
  <si>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</si>
  <si>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</si>
  <si>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</si>
  <si>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</si>
  <si>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</si>
  <si>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</si>
  <si>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</si>
  <si>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</si>
  <si>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</si>
  <si>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</si>
  <si>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</si>
  <si>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</si>
  <si>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</si>
  <si>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</si>
  <si>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</si>
  <si>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</si>
  <si>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</si>
  <si>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</si>
  <si>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</si>
  <si>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</si>
  <si>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</si>
  <si>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</si>
  <si>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</si>
  <si>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</si>
  <si>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</si>
  <si>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</si>
  <si>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</si>
  <si>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</si>
  <si>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</si>
  <si>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</si>
  <si>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</si>
  <si>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</si>
  <si>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</si>
  <si>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</si>
  <si>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</si>
  <si>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</si>
  <si>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</si>
  <si>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</si>
  <si>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</si>
  <si>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</si>
  <si>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</si>
  <si>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</si>
  <si>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</si>
  <si>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</si>
  <si>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</si>
  <si>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</si>
  <si>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</si>
  <si>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</si>
  <si>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</si>
  <si>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</si>
  <si>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</si>
  <si>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</si>
  <si>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</si>
  <si>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</si>
  <si>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</si>
  <si>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</si>
  <si>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</si>
  <si>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</si>
  <si>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</si>
  <si>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</si>
  <si>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</si>
  <si>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</si>
  <si>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</si>
  <si>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</si>
  <si>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</si>
  <si>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</si>
  <si>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</si>
  <si>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</si>
  <si>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</si>
  <si>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</si>
  <si>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</si>
  <si>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</si>
  <si>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</si>
  <si>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</si>
  <si>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</si>
  <si>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</si>
  <si>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</si>
  <si>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</si>
  <si>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</si>
  <si>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</si>
  <si>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</si>
  <si>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</si>
  <si>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</si>
  <si>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</si>
  <si>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</si>
  <si>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</si>
  <si>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</si>
  <si>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</si>
  <si>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</si>
  <si>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</si>
  <si>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</si>
  <si>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</si>
  <si>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</si>
  <si>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</si>
  <si>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</si>
  <si>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</si>
  <si>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</si>
  <si>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</si>
  <si>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</si>
  <si>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</si>
  <si>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</si>
  <si>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</si>
  <si>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</si>
  <si>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</si>
  <si>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</si>
  <si>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</si>
  <si>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</si>
  <si>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</si>
  <si>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</si>
  <si>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</si>
  <si>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</si>
  <si>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</si>
  <si>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</si>
  <si>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</si>
  <si>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</si>
  <si>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</si>
  <si>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</si>
  <si>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</si>
  <si>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</si>
  <si>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</si>
  <si>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</si>
  <si>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</si>
  <si>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</si>
  <si>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</si>
  <si>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</si>
  <si>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</si>
  <si>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</si>
  <si>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</si>
  <si>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</si>
  <si>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</si>
  <si>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</si>
  <si>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</si>
  <si>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</si>
  <si>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</si>
  <si>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</si>
  <si>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</si>
  <si>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</si>
  <si>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</si>
  <si>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</si>
  <si>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</si>
  <si>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</si>
  <si>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</si>
  <si>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</si>
  <si>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</si>
  <si>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</si>
  <si>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</si>
  <si>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</si>
  <si>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</si>
  <si>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</si>
  <si>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</si>
  <si>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</si>
  <si>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</si>
  <si>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</si>
  <si>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</si>
  <si>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</si>
  <si>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</si>
  <si>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</si>
  <si>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</si>
  <si>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</si>
  <si>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</si>
  <si>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</si>
  <si>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</si>
  <si>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</si>
  <si>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</si>
  <si>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</si>
  <si>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</si>
  <si>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</si>
  <si>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</si>
  <si>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</si>
  <si>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</si>
  <si>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</si>
  <si>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</si>
  <si>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</si>
  <si>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</si>
  <si>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</si>
  <si>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</si>
  <si>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</si>
  <si>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</si>
  <si>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</si>
  <si>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</si>
  <si>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</si>
  <si>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</si>
  <si>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</si>
  <si>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</si>
  <si>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</si>
  <si>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</si>
  <si>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</si>
  <si>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</si>
  <si>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</si>
  <si>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</si>
  <si>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</si>
  <si>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</si>
  <si>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</si>
  <si>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</si>
  <si>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</si>
  <si>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</si>
  <si>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</si>
  <si>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</si>
  <si>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</si>
  <si>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</si>
  <si>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</si>
  <si>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</si>
  <si>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</si>
  <si>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</si>
  <si>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</si>
  <si>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</si>
  <si>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</si>
  <si>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</si>
  <si>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</si>
  <si>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</si>
  <si>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</si>
  <si>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</si>
  <si>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</si>
  <si>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</si>
  <si>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</si>
  <si>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</si>
  <si>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</si>
  <si>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</si>
  <si>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</si>
  <si>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</si>
  <si>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</si>
  <si>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</si>
  <si>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</si>
  <si>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</si>
  <si>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</si>
  <si>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</si>
  <si>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</si>
  <si>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</si>
  <si>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</si>
  <si>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</si>
  <si>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</si>
  <si>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</si>
  <si>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</si>
  <si>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</si>
  <si>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</si>
  <si>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</si>
  <si>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</si>
  <si>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</si>
  <si>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</si>
  <si>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</si>
  <si>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</si>
  <si>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</si>
  <si>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</si>
  <si>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</si>
  <si>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</si>
  <si>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</si>
  <si>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</si>
  <si>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</si>
  <si>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</si>
  <si>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</si>
  <si>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</si>
  <si>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</si>
  <si>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</si>
  <si>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</si>
  <si>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</si>
  <si>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</si>
  <si>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</si>
  <si>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</si>
  <si>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</si>
  <si>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</si>
  <si>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</si>
  <si>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</si>
  <si>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</si>
  <si>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</si>
  <si>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</si>
  <si>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</si>
  <si>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</si>
  <si>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</si>
  <si>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</si>
  <si>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</si>
  <si>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</si>
  <si>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</si>
  <si>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</si>
  <si>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</si>
  <si>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</si>
  <si>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</si>
  <si>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</si>
  <si>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</si>
  <si>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</si>
  <si>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</si>
  <si>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</si>
  <si>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</si>
  <si>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</si>
  <si>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</si>
  <si>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</si>
  <si>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</si>
  <si>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</si>
  <si>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</si>
  <si>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</si>
  <si>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</si>
  <si>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</si>
  <si>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</si>
  <si>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</si>
  <si>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</si>
  <si>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</si>
  <si>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</si>
  <si>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</si>
  <si>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</si>
  <si>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</si>
  <si>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</si>
  <si>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</si>
  <si>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</si>
  <si>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</si>
  <si>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</si>
  <si>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</si>
  <si>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</si>
  <si>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</si>
  <si>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</si>
  <si>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</si>
  <si>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</si>
  <si>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</si>
  <si>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</si>
  <si>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</si>
  <si>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</si>
  <si>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</si>
  <si>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</si>
  <si>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</si>
  <si>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</si>
  <si>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</si>
  <si>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</si>
  <si>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</si>
  <si>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</si>
  <si>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</si>
  <si>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</si>
  <si>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</si>
  <si>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</si>
  <si>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</si>
  <si>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</si>
  <si>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</si>
  <si>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</si>
  <si>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</si>
  <si>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</si>
  <si>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</si>
  <si>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</si>
  <si>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</si>
  <si>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</si>
  <si>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</si>
  <si>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</si>
  <si>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</si>
  <si>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</si>
  <si>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</si>
  <si>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</si>
  <si>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</si>
  <si>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</si>
  <si>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</si>
  <si>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</si>
  <si>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</si>
  <si>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</si>
  <si>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</si>
  <si>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</si>
  <si>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</si>
  <si>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</si>
  <si>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</si>
  <si>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</si>
  <si>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</si>
  <si>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</si>
  <si>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</si>
  <si>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</si>
  <si>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</si>
  <si>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</si>
  <si>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</si>
  <si>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</si>
  <si>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</si>
  <si>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</si>
  <si>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</si>
  <si>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</si>
  <si>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</si>
  <si>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</si>
  <si>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</si>
  <si>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</si>
  <si>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</si>
  <si>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</si>
  <si>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</si>
  <si>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</si>
  <si>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</si>
  <si>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</si>
  <si>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</si>
  <si>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</si>
  <si>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</si>
  <si>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</si>
  <si>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</si>
  <si>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</si>
  <si>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</si>
  <si>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</si>
  <si>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</si>
  <si>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</si>
  <si>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</si>
  <si>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</si>
  <si>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</si>
  <si>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</si>
  <si>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</si>
  <si>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</si>
  <si>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</si>
  <si>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</si>
  <si>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</si>
  <si>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</si>
  <si>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</si>
  <si>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</si>
  <si>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</si>
  <si>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</si>
  <si>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</si>
  <si>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</si>
  <si>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</si>
  <si>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</si>
  <si>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</si>
  <si>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</si>
  <si>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</si>
  <si>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</si>
  <si>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</si>
  <si>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</si>
  <si>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</si>
  <si>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</si>
  <si>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</si>
  <si>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</si>
  <si>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</si>
  <si>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</si>
  <si>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</si>
  <si>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</si>
  <si>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</si>
  <si>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</si>
  <si>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</si>
  <si>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</si>
  <si>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</si>
  <si>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</si>
  <si>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</si>
  <si>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</si>
  <si>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</si>
  <si>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</si>
  <si>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</si>
  <si>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</si>
  <si>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</si>
  <si>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</si>
  <si>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</si>
  <si>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</si>
  <si>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</si>
  <si>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</si>
  <si>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</si>
  <si>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</si>
  <si>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</si>
  <si>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</si>
  <si>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</si>
  <si>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</si>
  <si>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</si>
  <si>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</si>
  <si>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</si>
  <si>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</si>
  <si>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</si>
  <si>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</si>
  <si>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</si>
  <si>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</si>
  <si>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</si>
  <si>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</si>
  <si>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</si>
  <si>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</si>
  <si>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</si>
  <si>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</si>
  <si>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</si>
  <si>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</si>
  <si>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</si>
  <si>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</si>
  <si>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</si>
  <si>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</si>
  <si>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</si>
  <si>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</si>
  <si>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</si>
  <si>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</si>
  <si>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</si>
  <si>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</si>
  <si>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</si>
  <si>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</si>
  <si>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</si>
  <si>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</si>
  <si>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</si>
  <si>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</si>
  <si>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</si>
  <si>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</si>
  <si>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</si>
  <si>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</si>
  <si>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</si>
  <si>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</si>
  <si>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</si>
  <si>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</si>
  <si>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</si>
  <si>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</si>
  <si>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</si>
  <si>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</si>
  <si>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</si>
  <si>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</si>
  <si>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</si>
  <si>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</si>
  <si>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</si>
  <si>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</si>
  <si>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</si>
  <si>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</si>
  <si>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</si>
  <si>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</si>
  <si>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</si>
  <si>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</si>
  <si>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</si>
  <si>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</si>
  <si>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</si>
  <si>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</si>
  <si>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</si>
  <si>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</si>
  <si>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</si>
  <si>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</si>
  <si>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</si>
  <si>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</si>
  <si>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</si>
  <si>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</si>
  <si>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</si>
  <si>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</si>
  <si>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</si>
  <si>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</si>
  <si>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</si>
  <si>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</si>
  <si>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</si>
  <si>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</si>
  <si>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</si>
  <si>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</si>
  <si>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</si>
  <si>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</si>
  <si>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</si>
  <si>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</si>
  <si>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</si>
  <si>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</si>
  <si>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</si>
  <si>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</si>
  <si>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</si>
  <si>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</si>
  <si>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</si>
  <si>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</si>
  <si>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</si>
  <si>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</si>
  <si>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</si>
  <si>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</si>
  <si>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</si>
  <si>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</si>
  <si>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</si>
  <si>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</si>
  <si>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</si>
  <si>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</si>
  <si>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</si>
  <si>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</si>
  <si>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</si>
  <si>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</si>
  <si>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</si>
  <si>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</si>
  <si>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</si>
  <si>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</si>
  <si>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</si>
  <si>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</si>
  <si>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</si>
  <si>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</si>
  <si>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</si>
  <si>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</si>
  <si>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</si>
  <si>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</si>
  <si>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</si>
  <si>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</si>
  <si>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</si>
  <si>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</si>
  <si>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</si>
  <si>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</si>
  <si>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</si>
  <si>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</si>
  <si>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</si>
  <si>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</si>
  <si>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</si>
  <si>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</si>
  <si>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</si>
  <si>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</si>
  <si>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</si>
  <si>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</si>
  <si>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</si>
  <si>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</si>
  <si>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</si>
  <si>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</si>
  <si>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</si>
  <si>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</si>
  <si>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</si>
  <si>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</si>
  <si>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</si>
  <si>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</si>
  <si>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</si>
  <si>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</si>
  <si>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</si>
  <si>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</si>
  <si>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</si>
  <si>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</si>
  <si>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</si>
  <si>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</si>
  <si>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</si>
  <si>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</si>
  <si>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</si>
  <si>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</si>
  <si>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</si>
  <si>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</si>
  <si>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</si>
  <si>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</si>
  <si>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</si>
  <si>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</si>
  <si>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</si>
  <si>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</si>
  <si>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</si>
  <si>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</si>
  <si>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</si>
  <si>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</si>
  <si>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</si>
  <si>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</si>
  <si>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</si>
  <si>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</si>
  <si>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</si>
  <si>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</si>
  <si>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</si>
  <si>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</si>
  <si>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</si>
  <si>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</si>
  <si>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</si>
  <si>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</si>
  <si>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</si>
  <si>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</si>
  <si>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</si>
  <si>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</si>
  <si>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</si>
  <si>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</si>
  <si>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</si>
  <si>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</si>
  <si>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</si>
  <si>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</si>
  <si>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</si>
  <si>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</si>
  <si>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</si>
  <si>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</si>
  <si>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</si>
  <si>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</si>
  <si>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</si>
  <si>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</si>
  <si>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</si>
  <si>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</si>
  <si>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</si>
  <si>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</si>
  <si>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</si>
  <si>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CHUTE DE DESCARGA PARTE SUPERIOR 73209-A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</si>
  <si>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</si>
  <si>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</si>
  <si>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</si>
  <si>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</si>
  <si>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</si>
  <si>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</si>
  <si>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</si>
  <si>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</si>
  <si>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</si>
  <si>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</si>
  <si>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</si>
  <si>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</si>
  <si>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</si>
  <si>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</si>
  <si>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</si>
  <si>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</si>
  <si>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</si>
  <si>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</si>
  <si>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</si>
  <si>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</si>
  <si>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</si>
  <si>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</si>
  <si>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</si>
  <si>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</si>
  <si>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</si>
  <si>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</si>
  <si>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</si>
  <si>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</si>
  <si>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</si>
  <si>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</si>
  <si>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</si>
  <si>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</si>
  <si>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</si>
  <si>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</si>
  <si>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</si>
  <si>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</si>
  <si>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</si>
  <si>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</si>
  <si>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</si>
  <si>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</si>
  <si>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</si>
  <si>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</si>
  <si>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</si>
  <si>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</si>
  <si>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</si>
  <si>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</si>
  <si>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</si>
  <si>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</si>
  <si>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</si>
  <si>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</si>
  <si>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</si>
  <si>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</si>
  <si>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</si>
  <si>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</si>
  <si>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</si>
  <si>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</si>
  <si>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</si>
  <si>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</si>
  <si>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</si>
  <si>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</si>
  <si>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</si>
  <si>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</si>
  <si>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</si>
  <si>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</si>
  <si>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</si>
  <si>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</si>
  <si>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</si>
  <si>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</si>
  <si>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</si>
  <si>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</si>
  <si>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</si>
  <si>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</si>
  <si>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</si>
  <si>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</si>
  <si>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</si>
  <si>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</si>
  <si>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</si>
  <si>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</si>
  <si>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</si>
  <si>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</si>
  <si>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</si>
  <si>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</si>
  <si>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</si>
  <si>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</si>
  <si>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</si>
  <si>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</si>
  <si>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</si>
  <si>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</si>
  <si>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</si>
  <si>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</si>
  <si>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</si>
  <si>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</si>
  <si>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</si>
  <si>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</si>
  <si>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</si>
  <si>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</si>
  <si>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</si>
  <si>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</si>
  <si>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</si>
  <si>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</si>
  <si>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</si>
  <si>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</si>
  <si>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</si>
  <si>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</si>
  <si>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</si>
  <si>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</si>
  <si>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</si>
  <si>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</si>
  <si>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</si>
  <si>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</si>
  <si>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</si>
  <si>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</si>
  <si>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</si>
  <si>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</si>
  <si>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</si>
  <si>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</si>
  <si>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</si>
  <si>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</si>
  <si>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</si>
  <si>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</si>
  <si>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</si>
  <si>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</si>
  <si>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</si>
  <si>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</si>
  <si>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</si>
  <si>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</si>
  <si>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</si>
  <si>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</si>
  <si>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</si>
  <si>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</si>
  <si>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</si>
  <si>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</si>
  <si>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</si>
  <si>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</si>
  <si>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</si>
  <si>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</si>
  <si>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</si>
  <si>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</si>
  <si>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</si>
  <si>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</si>
  <si>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</si>
  <si>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</si>
  <si>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</si>
  <si>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</si>
  <si>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</si>
  <si>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</si>
  <si>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</si>
  <si>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</si>
  <si>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</si>
  <si>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</si>
  <si>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</si>
  <si>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</si>
  <si>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</si>
  <si>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</si>
  <si>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</si>
  <si>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</si>
  <si>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</si>
  <si>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</si>
  <si>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</si>
  <si>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</si>
  <si>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</si>
  <si>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</si>
  <si>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</si>
  <si>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</si>
  <si>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</si>
  <si>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</si>
  <si>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</si>
  <si>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</si>
  <si>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</si>
  <si>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</si>
  <si>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</si>
  <si>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</si>
  <si>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</si>
  <si>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</si>
  <si>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</si>
  <si>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</si>
  <si>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</si>
  <si>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</si>
  <si>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</si>
  <si>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</si>
  <si>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</si>
  <si>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</si>
  <si>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</si>
  <si>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</si>
  <si>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</si>
  <si>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</si>
  <si>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</si>
  <si>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</si>
  <si>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</si>
  <si>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</si>
  <si>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</si>
  <si>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</si>
  <si>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</si>
  <si>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</si>
  <si>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</si>
  <si>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</si>
  <si>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</si>
  <si>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</si>
  <si>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</si>
  <si>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</si>
  <si>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</si>
  <si>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</si>
  <si>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</si>
  <si>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</si>
  <si>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</si>
  <si>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</si>
  <si>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</si>
  <si>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</si>
  <si>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</si>
  <si>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</si>
  <si>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</si>
  <si>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</si>
  <si>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</si>
  <si>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</si>
  <si>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</si>
  <si>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</si>
  <si>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</si>
  <si>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</si>
  <si>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</si>
  <si>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</si>
  <si>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</si>
  <si>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</si>
  <si>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</si>
  <si>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</si>
  <si>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</si>
  <si>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</si>
  <si>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</si>
  <si>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</si>
  <si>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</si>
  <si>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</si>
  <si>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</si>
  <si>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</si>
  <si>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</si>
  <si>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</si>
  <si>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</si>
  <si>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</si>
  <si>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</si>
  <si>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</si>
  <si>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</si>
  <si>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</si>
  <si>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</si>
  <si>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</si>
  <si>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</si>
  <si>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</si>
  <si>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</si>
  <si>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</si>
  <si>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</si>
  <si>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</si>
  <si>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</si>
  <si>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</si>
  <si>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</si>
  <si>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</si>
  <si>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</si>
  <si>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</si>
  <si>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</si>
  <si>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</si>
  <si>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</si>
  <si>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</si>
  <si>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</si>
  <si>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</si>
  <si>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</si>
  <si>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</si>
  <si>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</si>
  <si>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</si>
  <si>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</si>
  <si>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</si>
  <si>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</si>
  <si>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</si>
  <si>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</si>
  <si>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</si>
  <si>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</si>
  <si>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</si>
  <si>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</si>
  <si>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</si>
  <si>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</si>
  <si>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</si>
  <si>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</si>
  <si>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</si>
  <si>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</si>
  <si>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</si>
  <si>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</si>
  <si>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</si>
  <si>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</si>
  <si>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</si>
  <si>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</si>
  <si>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</si>
  <si>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</si>
  <si>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</si>
  <si>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</si>
  <si>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</si>
  <si>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</si>
  <si>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</si>
  <si>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</si>
  <si>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</si>
  <si>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</si>
  <si>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</si>
  <si>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</si>
  <si>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</si>
  <si>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</si>
  <si>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</si>
  <si>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</si>
  <si>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</si>
  <si>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</si>
  <si>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</si>
  <si>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</si>
  <si>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</si>
  <si>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</si>
  <si>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</si>
  <si>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</si>
  <si>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</si>
  <si>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</si>
  <si>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</si>
  <si>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</si>
  <si>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</si>
  <si>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</si>
  <si>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</si>
  <si>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</si>
  <si>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</si>
  <si>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</si>
  <si>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</si>
  <si>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</si>
  <si>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</si>
  <si>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</si>
  <si>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</si>
  <si>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</si>
  <si>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</si>
  <si>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</si>
  <si>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</si>
  <si>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</si>
  <si>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</si>
  <si>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</si>
  <si>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</si>
  <si>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</si>
  <si>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</si>
  <si>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</si>
  <si>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</si>
  <si>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</si>
  <si>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</si>
  <si>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</si>
  <si>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</si>
  <si>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</si>
  <si>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</si>
  <si>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</si>
  <si>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</si>
  <si>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</si>
  <si>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</si>
  <si>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</si>
  <si>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</si>
  <si>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</si>
  <si>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</si>
  <si>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</si>
  <si>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</si>
  <si>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</si>
  <si>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</si>
  <si>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</si>
  <si>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</si>
  <si>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</si>
  <si>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</si>
  <si>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</si>
  <si>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</si>
  <si>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</si>
  <si>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</si>
  <si>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</si>
  <si>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</si>
  <si>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</si>
  <si>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</si>
  <si>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</si>
  <si>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</si>
  <si>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</si>
  <si>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</si>
  <si>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</si>
  <si>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</si>
  <si>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</si>
  <si>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</si>
  <si>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</si>
  <si>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</si>
  <si>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</si>
  <si>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</si>
  <si>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</si>
  <si>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</si>
  <si>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</si>
  <si>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</si>
  <si>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</si>
  <si>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</si>
  <si>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</si>
  <si>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</si>
  <si>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</si>
  <si>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</si>
  <si>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</si>
  <si>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</si>
  <si>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</si>
  <si>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</si>
  <si>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</si>
  <si>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</si>
  <si>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</si>
  <si>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</si>
  <si>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</si>
  <si>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</si>
  <si>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</si>
  <si>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</si>
  <si>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</si>
  <si>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</si>
  <si>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</si>
  <si>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</si>
  <si>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</si>
  <si>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</si>
  <si>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</si>
  <si>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</si>
  <si>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</si>
  <si>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</si>
  <si>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</si>
  <si>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</si>
  <si>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</si>
  <si>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</si>
  <si>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</si>
  <si>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</si>
  <si>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</si>
  <si>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</si>
  <si>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</si>
  <si>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</si>
  <si>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</si>
  <si>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</si>
  <si>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</si>
  <si>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</si>
  <si>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</si>
  <si>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</si>
  <si>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</si>
  <si>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</si>
  <si>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</si>
  <si>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</si>
  <si>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</si>
  <si>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</si>
  <si>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</si>
  <si>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</si>
  <si>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</si>
  <si>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</si>
  <si>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</si>
  <si>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</si>
  <si>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</si>
  <si>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</si>
  <si>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</si>
  <si>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</si>
  <si>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</si>
  <si>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</si>
  <si>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</si>
  <si>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</si>
  <si>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</si>
  <si>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</si>
  <si>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</si>
  <si>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</si>
  <si>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</si>
  <si>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</si>
  <si>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</si>
  <si>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</si>
  <si>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</si>
  <si>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</si>
  <si>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</si>
  <si>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</si>
  <si>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</si>
  <si>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</si>
  <si>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</si>
  <si>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</si>
  <si>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</si>
  <si>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</si>
  <si>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</si>
  <si>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</si>
  <si>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</si>
  <si>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</si>
  <si>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</si>
  <si>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</si>
  <si>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</si>
  <si>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</si>
  <si>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</si>
  <si>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</si>
  <si>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</si>
  <si>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</si>
  <si>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</si>
  <si>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</si>
  <si>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</si>
  <si>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</si>
  <si>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</si>
  <si>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</si>
  <si>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</si>
  <si>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</si>
  <si>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</si>
  <si>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</si>
  <si>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</si>
  <si>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</si>
  <si>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</si>
  <si>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</si>
  <si>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</si>
  <si>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</si>
  <si>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</si>
  <si>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</si>
  <si>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</si>
  <si>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</si>
  <si>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</si>
  <si>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</si>
  <si>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</si>
  <si>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</si>
  <si>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</si>
  <si>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</si>
  <si>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</si>
  <si>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</si>
  <si>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</si>
  <si>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</si>
  <si>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</si>
  <si>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</si>
  <si>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</si>
  <si>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</si>
  <si>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</si>
  <si>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</si>
  <si>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</si>
  <si>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</si>
  <si>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</si>
  <si>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</si>
  <si>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</si>
  <si>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</si>
  <si>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</si>
  <si>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</si>
  <si>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</si>
  <si>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</si>
  <si>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</si>
  <si>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</si>
  <si>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</si>
  <si>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</si>
  <si>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</si>
  <si>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</si>
  <si>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</si>
  <si>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</si>
  <si>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</si>
  <si>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</si>
  <si>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</si>
  <si>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</si>
  <si>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</si>
  <si>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</si>
  <si>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</si>
  <si>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</si>
  <si>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</si>
  <si>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</si>
  <si>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</si>
  <si>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</si>
  <si>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</si>
  <si>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</si>
  <si>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</si>
  <si>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</si>
  <si>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</si>
  <si>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</si>
  <si>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</si>
  <si>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</si>
  <si>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</si>
  <si>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</si>
  <si>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</si>
  <si>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</si>
  <si>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</si>
  <si>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</si>
  <si>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</si>
  <si>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</si>
  <si>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</si>
  <si>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</si>
  <si>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</si>
  <si>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</si>
  <si>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</si>
  <si>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</si>
  <si>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</si>
  <si>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</si>
  <si>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</si>
  <si>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</si>
  <si>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</si>
  <si>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</si>
  <si>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</si>
  <si>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</si>
  <si>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</si>
  <si>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</si>
  <si>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</si>
  <si>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</si>
  <si>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</si>
  <si>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</si>
  <si>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</si>
  <si>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</si>
  <si>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</si>
  <si>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</si>
  <si>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</si>
  <si>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</si>
  <si>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</si>
  <si>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</si>
  <si>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</si>
  <si>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</si>
  <si>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</si>
  <si>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</si>
  <si>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</si>
  <si>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</si>
  <si>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</si>
  <si>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</si>
  <si>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</si>
  <si>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</si>
  <si>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</si>
  <si>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</si>
  <si>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</si>
  <si>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</si>
  <si>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</si>
  <si>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</si>
  <si>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</si>
  <si>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</si>
  <si>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</si>
  <si>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</si>
  <si>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</si>
  <si>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</si>
  <si>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</si>
  <si>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</si>
  <si>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</si>
  <si>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</si>
  <si>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</si>
  <si>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</si>
  <si>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</si>
  <si>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</si>
  <si>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</si>
  <si>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</si>
  <si>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</si>
  <si>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</si>
  <si>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</si>
  <si>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</si>
  <si>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</si>
  <si>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</si>
  <si>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</si>
  <si>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</si>
  <si>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</si>
  <si>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</si>
  <si>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</si>
  <si>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</si>
  <si>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</si>
  <si>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</si>
  <si>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</si>
  <si>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</si>
  <si>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</si>
  <si>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</si>
  <si>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</si>
  <si>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</si>
  <si>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</si>
  <si>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</si>
  <si>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</si>
  <si>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</si>
  <si>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</si>
  <si>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</si>
  <si>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</si>
  <si>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</si>
  <si>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</si>
  <si>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</si>
  <si>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</si>
  <si>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</si>
  <si>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</si>
  <si>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</si>
  <si>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</si>
  <si>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</si>
  <si>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</si>
  <si>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</si>
  <si>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</si>
  <si>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</si>
  <si>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</si>
  <si>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</si>
  <si>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</si>
  <si>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</si>
  <si>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</si>
  <si>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</si>
  <si>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</si>
  <si>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</si>
  <si>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</si>
  <si>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</si>
  <si>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</si>
  <si>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</si>
  <si>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</si>
  <si>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</si>
  <si>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</si>
  <si>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</si>
  <si>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</si>
  <si>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</si>
  <si>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</si>
  <si>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</si>
  <si>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</si>
  <si>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</si>
  <si>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</si>
  <si>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</si>
  <si>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</si>
  <si>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</si>
  <si>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</si>
  <si>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</si>
  <si>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</si>
  <si>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</si>
  <si>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</si>
  <si>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</si>
  <si>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</si>
  <si>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</si>
  <si>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</si>
  <si>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</si>
  <si>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</si>
  <si>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</si>
  <si>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</si>
  <si>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</si>
  <si>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</si>
  <si>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</si>
  <si>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</si>
  <si>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</si>
  <si>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</si>
  <si>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</si>
  <si>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</si>
  <si>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</si>
  <si>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</si>
  <si>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</si>
  <si>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</si>
  <si>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</si>
  <si>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</si>
  <si>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</si>
  <si>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</si>
  <si>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</si>
  <si>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</si>
  <si>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</si>
  <si>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</si>
  <si>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</si>
  <si>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</si>
  <si>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</si>
  <si>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</si>
  <si>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</si>
  <si>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</si>
  <si>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</si>
  <si>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</si>
  <si>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</si>
  <si>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</si>
  <si>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</si>
  <si>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</si>
  <si>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</si>
  <si>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</si>
  <si>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</si>
  <si>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</si>
  <si>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</si>
  <si>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</si>
  <si>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</si>
  <si>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</si>
  <si>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</si>
  <si>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</si>
  <si>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</si>
  <si>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</si>
  <si>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</si>
  <si>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</si>
  <si>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</si>
  <si>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</si>
  <si>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</si>
  <si>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</si>
  <si>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</si>
  <si>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</si>
  <si>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</si>
  <si>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</si>
  <si>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</si>
  <si>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</si>
  <si>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</si>
  <si>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</si>
  <si>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</si>
  <si>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</si>
  <si>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</si>
  <si>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</si>
  <si>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</si>
  <si>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</si>
  <si>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</si>
  <si>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</si>
  <si>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</si>
  <si>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</si>
  <si>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</si>
  <si>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</si>
  <si>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</si>
  <si>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</si>
  <si>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</si>
  <si>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</si>
  <si>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</si>
  <si>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</si>
  <si>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</si>
  <si>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</si>
  <si>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</si>
  <si>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</si>
  <si>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</si>
  <si>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</si>
  <si>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</si>
  <si>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</si>
  <si>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</si>
  <si>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</si>
  <si>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</si>
  <si>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</si>
  <si>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</si>
  <si>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</si>
  <si>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</si>
  <si>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</si>
  <si>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</si>
  <si>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</si>
  <si>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</si>
  <si>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</si>
  <si>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</si>
  <si>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</si>
  <si>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</si>
  <si>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</si>
  <si>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</si>
  <si>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</si>
  <si>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</si>
  <si>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</si>
  <si>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</si>
  <si>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</si>
  <si>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</si>
  <si>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</si>
  <si>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</si>
  <si>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</si>
  <si>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</si>
  <si>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</si>
  <si>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</si>
  <si>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</si>
  <si>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</si>
  <si>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</si>
  <si>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</si>
  <si>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</si>
  <si>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</si>
  <si>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</si>
  <si>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</si>
  <si>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</si>
  <si>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</si>
  <si>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</si>
  <si>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</si>
  <si>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</si>
  <si>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</si>
  <si>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</si>
  <si>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</si>
  <si>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</si>
  <si>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</si>
  <si>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</si>
  <si>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</si>
  <si>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</si>
  <si>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</si>
  <si>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</si>
  <si>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</si>
  <si>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</si>
  <si>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</si>
  <si>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</si>
  <si>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</si>
  <si>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</si>
  <si>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</si>
  <si>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</si>
  <si>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</si>
  <si>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</si>
  <si>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</si>
  <si>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</si>
  <si>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</si>
  <si>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</si>
  <si>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</si>
  <si>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</si>
  <si>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</si>
  <si>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</si>
  <si>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</si>
  <si>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</si>
  <si>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</si>
  <si>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</si>
  <si>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</si>
  <si>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</si>
  <si>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</si>
  <si>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</si>
  <si>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</si>
  <si>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</si>
  <si>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</si>
  <si>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</si>
  <si>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</si>
  <si>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</si>
  <si>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</si>
  <si>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</si>
  <si>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</si>
  <si>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</si>
  <si>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</si>
  <si>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</si>
  <si>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</si>
  <si>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</si>
  <si>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</si>
  <si>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</si>
  <si>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</si>
  <si>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</si>
  <si>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</si>
  <si>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</si>
  <si>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</si>
  <si>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</si>
  <si>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</si>
  <si>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</si>
  <si>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</si>
  <si>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</si>
  <si>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</si>
  <si>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</si>
  <si>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</si>
  <si>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</si>
  <si>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</si>
  <si>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</si>
  <si>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</si>
  <si>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</si>
  <si>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</si>
  <si>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</si>
  <si>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</si>
  <si>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</si>
  <si>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</si>
  <si>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</si>
  <si>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</si>
  <si>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</si>
  <si>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</si>
  <si>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</si>
  <si>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</si>
  <si>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</si>
  <si>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</si>
  <si>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</si>
  <si>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</si>
  <si>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</si>
  <si>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</si>
  <si>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</si>
  <si>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</si>
  <si>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</si>
  <si>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</si>
  <si>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</si>
  <si>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</si>
  <si>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</si>
  <si>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</si>
  <si>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</si>
  <si>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</si>
  <si>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</si>
  <si>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</si>
  <si>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</si>
  <si>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</si>
  <si>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</si>
  <si>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</si>
  <si>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</si>
  <si>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</si>
  <si>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</si>
  <si>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</si>
  <si>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</si>
  <si>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</si>
  <si>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</si>
  <si>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</si>
  <si>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</si>
  <si>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</si>
  <si>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</si>
  <si>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</si>
  <si>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</si>
  <si>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</si>
  <si>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</si>
  <si>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</si>
  <si>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</si>
  <si>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</si>
  <si>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</si>
  <si>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</si>
  <si>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</si>
  <si>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</si>
  <si>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</si>
  <si>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</si>
  <si>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</si>
  <si>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</si>
  <si>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</si>
  <si>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</si>
  <si>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</si>
  <si>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</si>
  <si>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</si>
  <si>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</si>
  <si>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</si>
  <si>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</si>
  <si>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</si>
  <si>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</si>
  <si>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</si>
  <si>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</si>
  <si>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</si>
  <si>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</si>
  <si>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</si>
  <si>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</si>
  <si>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</si>
  <si>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</si>
  <si>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</si>
  <si>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</si>
  <si>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</si>
  <si>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</si>
  <si>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</si>
  <si>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</si>
  <si>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</si>
  <si>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</si>
  <si>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</si>
  <si>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</si>
  <si>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</si>
  <si>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</si>
  <si>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</si>
  <si>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</si>
  <si>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</si>
  <si>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</si>
  <si>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</si>
  <si>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</si>
  <si>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</si>
  <si>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</si>
  <si>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</si>
  <si>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</si>
  <si>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</si>
  <si>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</si>
  <si>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</si>
  <si>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</si>
  <si>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</si>
  <si>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</si>
  <si>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</si>
  <si>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</si>
  <si>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</si>
  <si>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</si>
  <si>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</si>
  <si>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</si>
  <si>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</si>
  <si>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</si>
  <si>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</si>
  <si>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</si>
  <si>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</si>
  <si>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</si>
  <si>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</si>
  <si>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</si>
  <si>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</si>
  <si>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</si>
  <si>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</si>
  <si>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</si>
  <si>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</si>
  <si>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</si>
  <si>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</si>
  <si>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</si>
  <si>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</si>
  <si>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</si>
  <si>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</si>
  <si>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</si>
  <si>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</si>
  <si>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</si>
  <si>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</si>
  <si>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</si>
  <si>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</si>
  <si>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</si>
  <si>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</si>
  <si>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</si>
  <si>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</si>
  <si>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</si>
  <si>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</si>
  <si>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</si>
  <si>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</si>
  <si>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</si>
  <si>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</si>
  <si>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</si>
  <si>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</si>
  <si>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</si>
  <si>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</si>
  <si>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</si>
  <si>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</si>
  <si>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</si>
  <si>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</si>
  <si>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</si>
  <si>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</si>
  <si>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</si>
  <si>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</si>
  <si>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</si>
  <si>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</si>
  <si>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</si>
  <si>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</si>
  <si>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</si>
  <si>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</si>
  <si>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</si>
  <si>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</si>
  <si>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</si>
  <si>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</si>
  <si>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</si>
  <si>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</si>
  <si>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</si>
  <si>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</si>
  <si>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</si>
  <si>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</si>
  <si>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</si>
  <si>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</si>
  <si>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</si>
  <si>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</si>
  <si>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</si>
  <si>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</si>
  <si>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</si>
  <si>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</si>
  <si>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</si>
  <si>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</si>
  <si>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</si>
  <si>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</si>
  <si>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</si>
  <si>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</si>
  <si>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</si>
  <si>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</si>
  <si>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</si>
  <si>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</si>
  <si>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</si>
  <si>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</si>
  <si>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</si>
  <si>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</si>
  <si>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</si>
  <si>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</si>
  <si>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</si>
  <si>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</si>
  <si>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</si>
  <si>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</si>
  <si>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</si>
  <si>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</si>
  <si>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</si>
  <si>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</si>
  <si>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</si>
  <si>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</si>
  <si>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</si>
  <si>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</si>
  <si>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</si>
  <si>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</si>
  <si>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</si>
  <si>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</si>
  <si>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</si>
  <si>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</si>
  <si>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</si>
  <si>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</si>
  <si>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</si>
  <si>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</si>
  <si>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</si>
  <si>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</si>
  <si>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</si>
  <si>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</si>
  <si>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</si>
  <si>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</si>
  <si>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</si>
  <si>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</si>
  <si>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</si>
  <si>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</si>
  <si>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</si>
  <si>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</si>
  <si>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</si>
  <si>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</si>
  <si>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</si>
  <si>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</si>
  <si>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</si>
  <si>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</si>
  <si>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</si>
  <si>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</si>
  <si>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</si>
  <si>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</si>
  <si>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</si>
  <si>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</si>
  <si>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</si>
  <si>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</si>
  <si>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</si>
  <si>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</si>
  <si>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</si>
  <si>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</si>
  <si>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</si>
  <si>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</si>
  <si>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</si>
  <si>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</si>
  <si>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</si>
  <si>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</si>
  <si>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</si>
  <si>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</si>
  <si>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</si>
  <si>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</si>
  <si>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</si>
  <si>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</si>
  <si>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</si>
  <si>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</si>
  <si>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</si>
  <si>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</si>
  <si>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</si>
  <si>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</si>
  <si>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</si>
  <si>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</si>
  <si>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</si>
  <si>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</si>
  <si>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</si>
  <si>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</si>
  <si>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</si>
  <si>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</si>
  <si>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</si>
  <si>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</si>
  <si>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</si>
  <si>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</si>
  <si>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</si>
  <si>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</si>
  <si>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</si>
  <si>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</si>
  <si>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</si>
  <si>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</si>
  <si>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</si>
  <si>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</si>
  <si>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</si>
  <si>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</si>
  <si>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</si>
  <si>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</si>
  <si>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</si>
  <si>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</si>
  <si>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</si>
  <si>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</si>
  <si>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</si>
  <si>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</si>
  <si>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</si>
  <si>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</si>
  <si>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</si>
  <si>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</si>
  <si>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</si>
  <si>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</si>
  <si>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</si>
  <si>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</si>
  <si>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</si>
  <si>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</si>
  <si>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</si>
  <si>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</si>
  <si>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</si>
  <si>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</si>
  <si>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</si>
  <si>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</si>
  <si>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</si>
  <si>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</si>
  <si>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</si>
  <si>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</si>
  <si>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</si>
  <si>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</si>
  <si>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</si>
  <si>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</si>
  <si>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</si>
  <si>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Liberado para coleta</t>
  </si>
  <si>
    <t>EM PROCESSO FINAL DE FABRICAÇÃO 
2 CARRETAS DISPONIVEIS PARA EXPEDIÇÃO 23/07 e 27/07/2026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</si>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</sst>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8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7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20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6.6255999999999986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9.3223999999999982</c:v>
                </c:pt>
                <c:pt idx="4">
                  <c:v>7.6869000000000014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29.148599999999998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18.076400000000003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3.6992000000000003</c:v>
                </c:pt>
                <c:pt idx="4">
                  <c:v>4.9574999999999996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67.786799999999999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5.8249999999999993</c:v>
                </c:pt>
                <c:pt idx="4">
                  <c:v>9.6000999999999994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64.571100000000001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7.2016000000000009</c:v>
                </c:pt>
                <c:pt idx="4">
                  <c:v>3.0447000000000015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31.996100000000002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625" totalsRowShown="0" headerRowDxfId="119" tableBorderDxfId="118">
  <autoFilter ref="A1:AW625" xr:uid="{00000000-000C-0000-FFFF-FFFF00000000}">
    <filterColumn colId="10">
      <filters>
        <filter val="BASES ROLETES"/>
      </filters>
    </filterColumn>
    <filterColumn colId="11">
      <filters>
        <filter val="P-188"/>
      </filters>
    </filterColumn>
  </autoFilter>
  <tableColumns count="49">
    <tableColumn id="1" xr3:uid="{00000000-0010-0000-0000-000001000000}" name="DESENHO_x000a_MDE" dataDxfId="117"/>
    <tableColumn id="43" xr3:uid="{56981E1B-CD3E-434D-AB02-C5F83A6F3E43}" name="DESENHO_x000a_CLIENTE" dataDxfId="116"/>
    <tableColumn id="2" xr3:uid="{00000000-0010-0000-0000-000002000000}" name="QTE" dataDxfId="115"/>
    <tableColumn id="3" xr3:uid="{00000000-0010-0000-0000-000003000000}" name="DESCRIÇÃO" dataDxfId="114"/>
    <tableColumn id="41" xr3:uid="{00000000-0010-0000-0000-000029000000}" name="COD.MDE" dataDxfId="113"/>
    <tableColumn id="40" xr3:uid="{00000000-0010-0000-0000-000028000000}" name="REMESSA" dataDxfId="112"/>
    <tableColumn id="4" xr3:uid="{00000000-0010-0000-0000-000004000000}" name="PESO UNI" dataDxfId="111"/>
    <tableColumn id="5" xr3:uid="{00000000-0010-0000-0000-000005000000}" name="PESO TOTAL" dataDxfId="110"/>
    <tableColumn id="6" xr3:uid="{00000000-0010-0000-0000-000006000000}" name="Revisão" dataDxfId="109"/>
    <tableColumn id="7" xr3:uid="{00000000-0010-0000-0000-000007000000}" name="TAG" dataDxfId="108"/>
    <tableColumn id="38" xr3:uid="{00000000-0010-0000-0000-000026000000}" name="PRODUTO" dataDxfId="107"/>
    <tableColumn id="8" xr3:uid="{00000000-0010-0000-0000-000008000000}" name="PEDIDO" dataDxfId="106"/>
    <tableColumn id="9" xr3:uid="{00000000-0010-0000-0000-000009000000}" name="Engenharia" dataDxfId="105"/>
    <tableColumn id="10" xr3:uid="{00000000-0010-0000-0000-00000A000000}" name="FORNECEDOR" dataDxfId="104"/>
    <tableColumn id="11" xr3:uid="{00000000-0010-0000-0000-00000B000000}" name="QTDE/ Fabricação" dataDxfId="103"/>
    <tableColumn id="12" xr3:uid="{00000000-0010-0000-0000-00000C000000}" name="DATA/Fabricação" dataDxfId="102"/>
    <tableColumn id="13" xr3:uid="{00000000-0010-0000-0000-00000D000000}" name="SALDO PENDENTE/Fabricação" dataDxfId="101"/>
    <tableColumn id="14" xr3:uid="{00000000-0010-0000-0000-00000E000000}" name="EVOLUÇÃO PRETO / Fabricação_x000a_(kg)" dataDxfId="100"/>
    <tableColumn id="15" xr3:uid="{00000000-0010-0000-0000-00000F000000}" name="PRONTO ACABADO kg" dataDxfId="99">
      <calculatedColumnFormula>IFERROR(H2*AG2,"")</calculatedColumnFormula>
    </tableColumn>
    <tableColumn id="16" xr3:uid="{00000000-0010-0000-0000-000010000000}" name="Pendencia  / Fabricação_x000a_EM KG" dataDxfId="98"/>
    <tableColumn id="17" xr3:uid="{00000000-0010-0000-0000-000011000000}" name="QIANTIDADE EXPEDIDA" dataDxfId="97"/>
    <tableColumn id="18" xr3:uid="{00000000-0010-0000-0000-000012000000}" name="ROMANEIO " dataDxfId="96"/>
    <tableColumn id="19" xr3:uid="{00000000-0010-0000-0000-000013000000}" name="DATA EXPEDIÇÃO" dataDxfId="95"/>
    <tableColumn id="20" xr3:uid="{00000000-0010-0000-0000-000014000000}" name="Peso Expedido" dataDxfId="94"/>
    <tableColumn id="21" xr3:uid="{00000000-0010-0000-0000-000015000000}" name="QUANTIDADE PENDENTE/Expedição" dataDxfId="93"/>
    <tableColumn id="22" xr3:uid="{00000000-0010-0000-0000-000016000000}" name="PESO PENDENTE/Expedição" dataDxfId="92"/>
    <tableColumn id="23" xr3:uid="{00000000-0010-0000-0000-000017000000}" name="MATÉRIA PRIMA" dataDxfId="91"/>
    <tableColumn id="24" xr3:uid="{00000000-0010-0000-0000-000018000000}" name="RELATORIO" dataDxfId="90"/>
    <tableColumn id="25" xr3:uid="{00000000-0010-0000-0000-000019000000}" name="PREPARAÇÃO " dataDxfId="89"/>
    <tableColumn id="26" xr3:uid="{00000000-0010-0000-0000-00001A000000}" name="CALDEIRARIA" dataDxfId="88"/>
    <tableColumn id="27" xr3:uid="{00000000-0010-0000-0000-00001B000000}" name="SOLDA" dataDxfId="87"/>
    <tableColumn id="28" xr3:uid="{00000000-0010-0000-0000-00001C000000}" name="ACABAMENTO" dataDxfId="86"/>
    <tableColumn id="29" xr3:uid="{00000000-0010-0000-0000-00001D000000}" name="PRONTO ACABADO" dataDxfId="85"/>
    <tableColumn id="30" xr3:uid="{00000000-0010-0000-0000-00001E000000}" name="EXPEDIÇÃO " dataDxfId="84"/>
    <tableColumn id="31" xr3:uid="{00000000-0010-0000-0000-00001F000000}" name="FINALIZADO " dataDxfId="83"/>
    <tableColumn id="32" xr3:uid="{00000000-0010-0000-0000-000020000000}" name="Coluna1" dataDxfId="82"/>
    <tableColumn id="33" xr3:uid="{00000000-0010-0000-0000-000021000000}" name="Coluna2" dataDxfId="81"/>
    <tableColumn id="34" xr3:uid="{00000000-0010-0000-0000-000022000000}" name="Coluna3" dataDxfId="80"/>
    <tableColumn id="35" xr3:uid="{00000000-0010-0000-0000-000023000000}" name="Coluna4" dataDxfId="79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78"/>
    <tableColumn id="42" xr3:uid="{44772FB5-94B9-4683-9D51-42A525419432}" name="Colunas7" dataDxfId="77"/>
    <tableColumn id="44" xr3:uid="{7DBCA215-A831-41EC-8668-4217050D7CEF}" name="Coluna5" dataDxfId="76"/>
    <tableColumn id="52" xr3:uid="{0F1E3E30-ACD2-41A7-9FEB-CFC4141C720F}" name="PRONTO NO PRETO" dataDxfId="75"/>
    <tableColumn id="53" xr3:uid="{7B42991E-C57D-449B-9CA4-FF51ED3B7EE1}" name="PRONTO ACABADO3" dataDxfId="74"/>
    <tableColumn id="54" xr3:uid="{B185D57F-2904-41B4-A913-414AD30553DC}" name="PESO EXPEDIDO2" dataDxfId="73"/>
    <tableColumn id="55" xr3:uid="{216FC5C0-1E81-4ACF-B1FE-D38AAA1F26E6}" name="PRONTO ACABADO2" dataDxfId="72"/>
    <tableColumn id="57" xr3:uid="{58807113-78D0-4422-B88A-8E66792B9681}" name="Coluna7" dataDxfId="71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4" totalsRowShown="0" headerRowDxfId="70" headerRowBorderDxfId="69" tableBorderDxfId="68" totalsRowBorderDxfId="67">
  <autoFilter ref="A1:F14" xr:uid="{9E04BDB3-7991-400D-A075-6EF4E207F167}"/>
  <tableColumns count="6">
    <tableColumn id="1" xr3:uid="{0986BF72-EBA9-4CAA-A22C-20021A2F0193}" name="PEDIDO" dataDxfId="66"/>
    <tableColumn id="2" xr3:uid="{1E29E510-3230-4D4A-9101-BF1603DA1959}" name="EQUIPAMENTO" dataDxfId="65"/>
    <tableColumn id="3" xr3:uid="{27EA8246-98FE-4DF0-AB4F-2563340E3A33}" name="DATA PREVISTA " dataDxfId="64"/>
    <tableColumn id="4" xr3:uid="{178705E0-20E1-4EA8-BD6A-04EDA09B960F}" name="DATA REPROGRAMADA" dataDxfId="63"/>
    <tableColumn id="5" xr3:uid="{D69E8AE6-FCF7-4D70-8443-DFF41092DBA5}" name="Observação" dataDxfId="62"/>
    <tableColumn id="6" xr3:uid="{7ED96CF2-6F65-4A02-A0B9-FFDE23E894EB}" name="CLIENTE" dataDxfId="6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60">
  <autoFilter ref="D3:R395" xr:uid="{D635AFD0-01A4-4F4C-B4BB-2C0A84AFA373}"/>
  <tableColumns count="15">
    <tableColumn id="1" xr3:uid="{71019319-E348-41C4-90A8-BD800AFA385A}" name="TAG" dataDxfId="59"/>
    <tableColumn id="2" xr3:uid="{6205B1F5-4B96-401E-A8F0-D0B582A87E91}" name="PEDIDO" dataDxfId="58">
      <calculatedColumnFormula>VLOOKUP(Tabela2[[#This Row],[TAG]],MICRO!J:L,3,0)</calculatedColumnFormula>
    </tableColumn>
    <tableColumn id="3" xr3:uid="{EBC41BBB-459B-4DB5-8152-2C7C2C7ADFAA}" name="FORNECEDOR" dataDxfId="57" dataCellStyle="Normal 2"/>
    <tableColumn id="4" xr3:uid="{EE719B42-3B82-4AC6-AB4D-66A5AF76AAFC}" name="RECEBIDO ENGENHARIA (kg)" dataDxfId="56">
      <calculatedColumnFormula>SUMIF(MICRO!AP:AP,O:O,MICRO!H:H)</calculatedColumnFormula>
    </tableColumn>
    <tableColumn id="5" xr3:uid="{F8EF71F0-2467-40E6-8596-0C50AE8B2E56}" name="EM AVANÇO NO PRETO (kg)" dataDxfId="55">
      <calculatedColumnFormula>SUMIF(MICRO!AP:AP,O:O,MICRO!R:R)</calculatedColumnFormula>
    </tableColumn>
    <tableColumn id="6" xr3:uid="{70FA8036-1726-409E-865E-BBD68DD0CF2B}" name="Pendencia  / Fabricação_x000a_EM KG _x000a_(Kg)" dataDxfId="54">
      <calculatedColumnFormula>SUMIF(MICRO!AP:AP,O:O,MICRO!T:T)</calculatedColumnFormula>
    </tableColumn>
    <tableColumn id="7" xr3:uid="{2EDBF5C8-B6A0-4234-9B37-F4D245CBE335}" name="EVOLUÇÃO %" dataDxfId="53">
      <calculatedColumnFormula>IF(G4 = 0,0,H4/G4)</calculatedColumnFormula>
    </tableColumn>
    <tableColumn id="8" xr3:uid="{981D372E-5C81-43AA-82CF-C526D0CD7BC5}" name="PESO EXPEDIDO" dataDxfId="52">
      <calculatedColumnFormula>SUMIF(MICRO!AP:AP,O:O,MICRO!X:X)</calculatedColumnFormula>
    </tableColumn>
    <tableColumn id="9" xr3:uid="{9581E1B5-4976-4A66-B050-5EDFF64499FF}" name="% EXPEDIDO" dataDxfId="51">
      <calculatedColumnFormula>IF(G4&lt;&gt;0,SUM(K4/G4*1),"0%")</calculatedColumnFormula>
    </tableColumn>
    <tableColumn id="10" xr3:uid="{5A0DEF47-FBD5-46D6-A019-DB5E3CF46E5B}" name="PESO PENDENTE4" dataDxfId="50">
      <calculatedColumnFormula>G4-K4</calculatedColumnFormula>
    </tableColumn>
    <tableColumn id="11" xr3:uid="{AD13F8E0-0652-4176-B922-E74BEC175E7A}" name="Coluna1" dataDxfId="49">
      <calculatedColumnFormula>E4&amp;F4</calculatedColumnFormula>
    </tableColumn>
    <tableColumn id="12" xr3:uid="{9AB5E2D8-1AD6-4B63-A9ED-66372E94A48F}" name="Coluna2" dataDxfId="48">
      <calculatedColumnFormula>D4&amp;E4&amp;F4</calculatedColumnFormula>
    </tableColumn>
    <tableColumn id="13" xr3:uid="{ED15B1A8-5672-4E4D-9246-3BC797332C64}" name="PRONTO NO PRETO" dataDxfId="47">
      <calculatedColumnFormula>SUMIF(MICRO!AP:AP,O4,MICRO!AS:AS)</calculatedColumnFormula>
    </tableColumn>
    <tableColumn id="14" xr3:uid="{986427E9-0E8F-46D1-987F-01DBA908B397}" name="PRONTO ACABADO" dataDxfId="46">
      <calculatedColumnFormula>SUMIF(MICRO!AP:AP,O4,MICRO!AT:AT)</calculatedColumnFormula>
    </tableColumn>
    <tableColumn id="15" xr3:uid="{4361E9F4-014E-4677-9D4A-8DBAE707BA31}" name="PESO EXPEDIDO2" dataDxfId="45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16" t="s">
        <v>326</v>
      </c>
      <c r="B1" s="218" t="s">
        <v>891</v>
      </c>
      <c r="C1" s="219"/>
      <c r="D1" s="219"/>
      <c r="E1" s="219"/>
      <c r="F1" s="219"/>
      <c r="G1" s="220"/>
      <c r="H1" s="213" t="s">
        <v>331</v>
      </c>
      <c r="I1" s="214"/>
      <c r="J1" s="214"/>
      <c r="K1" s="215"/>
    </row>
    <row r="2" spans="1:11" x14ac:dyDescent="0.25">
      <c r="A2" s="21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10"/>
      <c r="B5" s="211"/>
      <c r="C5" s="211"/>
      <c r="D5" s="211"/>
      <c r="E5" s="211"/>
      <c r="F5" s="211"/>
      <c r="G5" s="211"/>
      <c r="H5" s="211"/>
      <c r="I5" s="211"/>
      <c r="J5" s="211"/>
      <c r="K5" s="212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625"/>
  <sheetViews>
    <sheetView showGridLines="0" tabSelected="1" topLeftCell="E1" zoomScale="70" zoomScaleNormal="70" workbookViewId="0">
      <pane ySplit="1" topLeftCell="A2" activePane="bottomLeft" state="frozen"/>
      <selection pane="bottomLeft" activeCell="N2" sqref="N2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bestFit="1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hidden="1" customWidth="1"/>
    <col min="16" max="16" width="13" style="31" hidden="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4541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4325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4326</v>
      </c>
      <c r="AU1" s="119" t="s">
        <v>1022</v>
      </c>
      <c r="AV1" s="119" t="s">
        <v>3309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52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53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1</v>
      </c>
      <c r="D8" s="39" t="s">
        <v>2281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2274</v>
      </c>
      <c r="K8" s="8" t="s">
        <v>33</v>
      </c>
      <c r="L8" s="9" t="s">
        <v>2069</v>
      </c>
      <c r="M8" s="10">
        <v>46100</v>
      </c>
      <c r="N8" s="8" t="s">
        <v>38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customHeight="1" x14ac:dyDescent="0.25">
      <c r="A9" s="6" t="s">
        <v>2280</v>
      </c>
      <c r="B9" s="21"/>
      <c r="C9" s="7">
        <v>1</v>
      </c>
      <c r="D9" s="39" t="s">
        <v>2281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2276</v>
      </c>
      <c r="K9" s="8" t="s">
        <v>33</v>
      </c>
      <c r="L9" s="9" t="s">
        <v>2069</v>
      </c>
      <c r="M9" s="10">
        <v>46100</v>
      </c>
      <c r="N9" s="8" t="s">
        <v>38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96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672</v>
      </c>
      <c r="Y16" s="14">
        <f t="shared" si="2"/>
        <v>0</v>
      </c>
      <c r="Z16" s="20">
        <f>Tabela1[[#This Row],[PESO TOTAL]]-Tabela1[[#This Row],[Peso Expedido]]</f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96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672</v>
      </c>
      <c r="Y17" s="14">
        <f t="shared" si="2"/>
        <v>0</v>
      </c>
      <c r="Z17" s="20">
        <f>Tabela1[[#This Row],[PESO TOTAL]]-Tabela1[[#This Row],[Peso Expedido]]</f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52" si="8">IFERROR(H28*((AA28*0.25)+(AC28*0.25)+(AD28*0.225)+(AE28*0.225)+(AF28*0.05)),"")</f>
        <v>976</v>
      </c>
      <c r="S28" s="18">
        <f t="shared" si="7"/>
        <v>976</v>
      </c>
      <c r="T28" s="19">
        <f t="shared" ref="T28:T52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60.637500000000003</v>
      </c>
      <c r="S35" s="18">
        <f t="shared" si="7"/>
        <v>0</v>
      </c>
      <c r="T35" s="19">
        <f t="shared" si="9"/>
        <v>-99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0.5</v>
      </c>
      <c r="AE35" s="33"/>
      <c r="AF35" s="33"/>
      <c r="AG35" s="33"/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0</v>
      </c>
      <c r="AV35" s="37">
        <f t="shared" si="6"/>
        <v>0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46183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136.79999999999998</v>
      </c>
      <c r="S37" s="18">
        <f t="shared" si="7"/>
        <v>0</v>
      </c>
      <c r="T37" s="19">
        <f t="shared" si="9"/>
        <v>-144</v>
      </c>
      <c r="U37" s="16">
        <f>IFERROR(SUMIF('LISTA DE EMBARQUE'!B:B,MICRO!E:E,'LISTA DE EMBARQUE'!G:G),"")</f>
        <v>0</v>
      </c>
      <c r="V37" s="12" t="str">
        <f>IFERROR(VLOOKUP(Tabela1[[#This Row],[COD.MDE]],'LISTA DE EMBARQUE'!B:L,11,0),"")</f>
        <v/>
      </c>
      <c r="W37" s="13" t="str">
        <f>IFERROR(COUNTIF(#REF!,Tabela1[[#This Row],[Colunas5]]),"")</f>
        <v/>
      </c>
      <c r="X37" s="14">
        <f>Tabela1[[#This Row],[QIANTIDADE EXPEDIDA]]*Tabela1[[#This Row],[PESO UNI]]</f>
        <v>0</v>
      </c>
      <c r="Y37" s="14">
        <f t="shared" si="2"/>
        <v>-16</v>
      </c>
      <c r="Z37" s="20">
        <f>Tabela1[[#This Row],[PESO TOTAL]]-Tabela1[[#This Row],[Peso Expedido]]</f>
        <v>144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/>
      <c r="AG37" s="33"/>
      <c r="AH37" s="33"/>
      <c r="AI37" s="33" t="str">
        <f t="shared" si="10"/>
        <v/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0</v>
      </c>
      <c r="AV37" s="37">
        <f t="shared" ref="AV37:AV100" si="13">IF(AG37="",0,IF(ISTEXT(AG37),H37*VALUE(SUBSTITUTE(AG37,"%",""))/100,H37*AG37))</f>
        <v>0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/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8"/>
        <v>741</v>
      </c>
      <c r="S38" s="18">
        <f t="shared" si="7"/>
        <v>741</v>
      </c>
      <c r="T38" s="19">
        <f t="shared" si="9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2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/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8"/>
        <v>405</v>
      </c>
      <c r="S39" s="18">
        <f t="shared" si="7"/>
        <v>405</v>
      </c>
      <c r="T39" s="19">
        <f t="shared" si="9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2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f>Tabela1[[#This Row],[Peso Expedido]]/Tabela1[[#This Row],[PESO TOTAL]]</f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3034</v>
      </c>
      <c r="K40" s="8" t="s">
        <v>23</v>
      </c>
      <c r="L40" s="9" t="s">
        <v>2984</v>
      </c>
      <c r="M40" s="10"/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8"/>
        <v>1.89</v>
      </c>
      <c r="S40" s="18">
        <f t="shared" si="7"/>
        <v>0</v>
      </c>
      <c r="T40" s="19">
        <f t="shared" si="9"/>
        <v>-10.8</v>
      </c>
      <c r="U40" s="16">
        <f>IFERROR(SUMIF('LISTA DE EMBARQUE'!B:B,MICRO!E:E,'LISTA DE EMBARQUE'!G:G),"")</f>
        <v>0</v>
      </c>
      <c r="V40" s="12" t="str">
        <f>IFERROR(VLOOKUP(Tabela1[[#This Row],[COD.MDE]],'LISTA DE EMBARQUE'!B:L,11,0),"")</f>
        <v/>
      </c>
      <c r="W40" s="13" t="str">
        <f>IFERROR(COUNTIF(#REF!,Tabela1[[#This Row],[Colunas5]]),"")</f>
        <v/>
      </c>
      <c r="X40" s="14">
        <f>Tabela1[[#This Row],[QIANTIDADE EXPEDIDA]]*Tabela1[[#This Row],[PESO UNI]]</f>
        <v>0</v>
      </c>
      <c r="Y40" s="14">
        <f t="shared" si="2"/>
        <v>-4</v>
      </c>
      <c r="Z40" s="20">
        <f>Tabela1[[#This Row],[PESO TOTAL]]-Tabela1[[#This Row],[Peso Expedido]]</f>
        <v>10.8</v>
      </c>
      <c r="AA40" s="17">
        <v>0.3</v>
      </c>
      <c r="AB40" s="33"/>
      <c r="AC40" s="33">
        <v>0.4</v>
      </c>
      <c r="AD40" s="33"/>
      <c r="AE40" s="33"/>
      <c r="AF40" s="33"/>
      <c r="AG40" s="33"/>
      <c r="AH40" s="33"/>
      <c r="AI40" s="33" t="str">
        <f t="shared" si="10"/>
        <v/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0</v>
      </c>
      <c r="AV40" s="37">
        <f t="shared" si="13"/>
        <v>0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/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8"/>
        <v>160</v>
      </c>
      <c r="S41" s="18">
        <f t="shared" si="7"/>
        <v>160</v>
      </c>
      <c r="T41" s="19">
        <f t="shared" si="9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2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f>Tabela1[[#This Row],[Peso Expedido]]/Tabela1[[#This Row],[PESO TOTAL]]</f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/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8"/>
        <v>2.2399999999999998</v>
      </c>
      <c r="S42" s="18">
        <f t="shared" si="7"/>
        <v>0</v>
      </c>
      <c r="T42" s="19">
        <f t="shared" si="9"/>
        <v>-12.8</v>
      </c>
      <c r="U42" s="16">
        <f>IFERROR(SUMIF('LISTA DE EMBARQUE'!B:B,MICRO!E:E,'LISTA DE EMBARQUE'!G:G),"")</f>
        <v>0</v>
      </c>
      <c r="V42" s="12" t="str">
        <f>IFERROR(VLOOKUP(Tabela1[[#This Row],[COD.MDE]],'LISTA DE EMBARQUE'!B:L,11,0),"")</f>
        <v/>
      </c>
      <c r="W42" s="13" t="str">
        <f>IFERROR(COUNTIF(#REF!,Tabela1[[#This Row],[Colunas5]]),"")</f>
        <v/>
      </c>
      <c r="X42" s="14">
        <f>Tabela1[[#This Row],[QIANTIDADE EXPEDIDA]]*Tabela1[[#This Row],[PESO UNI]]</f>
        <v>0</v>
      </c>
      <c r="Y42" s="14">
        <f t="shared" si="2"/>
        <v>-4</v>
      </c>
      <c r="Z42" s="20">
        <f>Tabela1[[#This Row],[PESO TOTAL]]-Tabela1[[#This Row],[Peso Expedido]]</f>
        <v>12.8</v>
      </c>
      <c r="AA42" s="17">
        <v>0.3</v>
      </c>
      <c r="AB42" s="33"/>
      <c r="AC42" s="33">
        <v>0.4</v>
      </c>
      <c r="AD42" s="33"/>
      <c r="AE42" s="33"/>
      <c r="AF42" s="33"/>
      <c r="AG42" s="33"/>
      <c r="AH42" s="33"/>
      <c r="AI42" s="33" t="str">
        <f t="shared" si="10"/>
        <v/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0</v>
      </c>
      <c r="AV42" s="37">
        <f t="shared" si="13"/>
        <v>0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/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8"/>
        <v>1.89</v>
      </c>
      <c r="S43" s="18">
        <f t="shared" si="7"/>
        <v>0</v>
      </c>
      <c r="T43" s="19">
        <f t="shared" si="9"/>
        <v>-10.8</v>
      </c>
      <c r="U43" s="16">
        <f>IFERROR(SUMIF('LISTA DE EMBARQUE'!B:B,MICRO!E:E,'LISTA DE EMBARQUE'!G:G),"")</f>
        <v>0</v>
      </c>
      <c r="V43" s="12" t="str">
        <f>IFERROR(VLOOKUP(Tabela1[[#This Row],[COD.MDE]],'LISTA DE EMBARQUE'!B:L,11,0),"")</f>
        <v/>
      </c>
      <c r="W43" s="13" t="str">
        <f>IFERROR(COUNTIF(#REF!,Tabela1[[#This Row],[Colunas5]]),"")</f>
        <v/>
      </c>
      <c r="X43" s="14">
        <f>Tabela1[[#This Row],[QIANTIDADE EXPEDIDA]]*Tabela1[[#This Row],[PESO UNI]]</f>
        <v>0</v>
      </c>
      <c r="Y43" s="14">
        <f t="shared" si="2"/>
        <v>-4</v>
      </c>
      <c r="Z43" s="20">
        <f>Tabela1[[#This Row],[PESO TOTAL]]-Tabela1[[#This Row],[Peso Expedido]]</f>
        <v>10.8</v>
      </c>
      <c r="AA43" s="17">
        <v>0.3</v>
      </c>
      <c r="AB43" s="33"/>
      <c r="AC43" s="33">
        <v>0.4</v>
      </c>
      <c r="AD43" s="33"/>
      <c r="AE43" s="33"/>
      <c r="AF43" s="33"/>
      <c r="AG43" s="33"/>
      <c r="AH43" s="33"/>
      <c r="AI43" s="33" t="str">
        <f t="shared" si="10"/>
        <v/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0</v>
      </c>
      <c r="AV43" s="37">
        <f t="shared" si="13"/>
        <v>0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/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8"/>
        <v>2.2399999999999998</v>
      </c>
      <c r="S44" s="18">
        <f t="shared" si="7"/>
        <v>0</v>
      </c>
      <c r="T44" s="19">
        <f t="shared" si="9"/>
        <v>-12.8</v>
      </c>
      <c r="U44" s="16">
        <f>IFERROR(SUMIF('LISTA DE EMBARQUE'!B:B,MICRO!E:E,'LISTA DE EMBARQUE'!G:G),"")</f>
        <v>0</v>
      </c>
      <c r="V44" s="12" t="str">
        <f>IFERROR(VLOOKUP(Tabela1[[#This Row],[COD.MDE]],'LISTA DE EMBARQUE'!B:L,11,0),"")</f>
        <v/>
      </c>
      <c r="W44" s="13" t="str">
        <f>IFERROR(COUNTIF(#REF!,Tabela1[[#This Row],[Colunas5]]),"")</f>
        <v/>
      </c>
      <c r="X44" s="14">
        <f>Tabela1[[#This Row],[QIANTIDADE EXPEDIDA]]*Tabela1[[#This Row],[PESO UNI]]</f>
        <v>0</v>
      </c>
      <c r="Y44" s="14">
        <f t="shared" si="2"/>
        <v>-4</v>
      </c>
      <c r="Z44" s="20">
        <f>Tabela1[[#This Row],[PESO TOTAL]]-Tabela1[[#This Row],[Peso Expedido]]</f>
        <v>12.8</v>
      </c>
      <c r="AA44" s="17">
        <v>0.3</v>
      </c>
      <c r="AB44" s="33"/>
      <c r="AC44" s="33">
        <v>0.4</v>
      </c>
      <c r="AD44" s="33"/>
      <c r="AE44" s="33"/>
      <c r="AF44" s="33"/>
      <c r="AG44" s="33"/>
      <c r="AH44" s="33"/>
      <c r="AI44" s="33" t="str">
        <f t="shared" si="10"/>
        <v/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0</v>
      </c>
      <c r="AV44" s="37">
        <f t="shared" si="13"/>
        <v>0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/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8"/>
        <v>547.19999999999993</v>
      </c>
      <c r="S45" s="18">
        <f t="shared" si="7"/>
        <v>0</v>
      </c>
      <c r="T45" s="19">
        <f t="shared" si="9"/>
        <v>-576</v>
      </c>
      <c r="U45" s="16">
        <f>IFERROR(SUMIF('LISTA DE EMBARQUE'!B:B,MICRO!E:E,'LISTA DE EMBARQUE'!G:G),"")</f>
        <v>0</v>
      </c>
      <c r="V45" s="12" t="str">
        <f>IFERROR(VLOOKUP(Tabela1[[#This Row],[COD.MDE]],'LISTA DE EMBARQUE'!B:L,11,0),"")</f>
        <v/>
      </c>
      <c r="W45" s="13" t="str">
        <f>IFERROR(COUNTIF(#REF!,Tabela1[[#This Row],[Colunas5]]),"")</f>
        <v/>
      </c>
      <c r="X45" s="14">
        <f>Tabela1[[#This Row],[QIANTIDADE EXPEDIDA]]*Tabela1[[#This Row],[PESO UNI]]</f>
        <v>0</v>
      </c>
      <c r="Y45" s="14">
        <f t="shared" si="2"/>
        <v>-32</v>
      </c>
      <c r="Z45" s="20">
        <f>Tabela1[[#This Row],[PESO TOTAL]]-Tabela1[[#This Row],[Peso Expedido]]</f>
        <v>576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/>
      <c r="AG45" s="33"/>
      <c r="AH45" s="33"/>
      <c r="AI45" s="33" t="str">
        <f t="shared" si="10"/>
        <v/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0</v>
      </c>
      <c r="AV45" s="37">
        <f t="shared" si="13"/>
        <v>0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/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8"/>
        <v>96</v>
      </c>
      <c r="S46" s="18">
        <f t="shared" si="7"/>
        <v>96</v>
      </c>
      <c r="T46" s="19">
        <f t="shared" si="9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2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f>Tabela1[[#This Row],[Peso Expedido]]/Tabela1[[#This Row],[PESO TOTAL]]</f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/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8"/>
        <v>357</v>
      </c>
      <c r="S47" s="18">
        <f t="shared" si="7"/>
        <v>357</v>
      </c>
      <c r="T47" s="19">
        <f t="shared" si="9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2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f>Tabela1[[#This Row],[Peso Expedido]]/Tabela1[[#This Row],[PESO TOTAL]]</f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/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8"/>
        <v>384</v>
      </c>
      <c r="S48" s="18">
        <f t="shared" si="7"/>
        <v>384</v>
      </c>
      <c r="T48" s="19">
        <f t="shared" si="9"/>
        <v>0</v>
      </c>
      <c r="U48" s="16">
        <f>IFERROR(SUMIF('LISTA DE EMBARQUE'!B:B,MICRO!E:E,'LISTA DE EMBARQUE'!G:G),"")</f>
        <v>13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208</v>
      </c>
      <c r="Y48" s="14">
        <f t="shared" si="2"/>
        <v>-11</v>
      </c>
      <c r="Z48" s="20">
        <f>Tabela1[[#This Row],[PESO TOTAL]]-Tabela1[[#This Row],[Peso Expedido]]</f>
        <v>176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f>Tabela1[[#This Row],[Peso Expedido]]/Tabela1[[#This Row],[PESO TOTAL]]</f>
        <v>0.54166666666666663</v>
      </c>
      <c r="AI48" s="33" t="str">
        <f t="shared" si="10"/>
        <v/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176</v>
      </c>
      <c r="AU48" s="37">
        <f t="shared" si="12"/>
        <v>208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/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8"/>
        <v>422.40000000000003</v>
      </c>
      <c r="S49" s="18">
        <f t="shared" si="7"/>
        <v>0</v>
      </c>
      <c r="T49" s="19">
        <f t="shared" si="9"/>
        <v>-2112</v>
      </c>
      <c r="U49" s="16">
        <f>IFERROR(SUMIF('LISTA DE EMBARQUE'!B:B,MICRO!E:E,'LISTA DE EMBARQUE'!G:G),"")</f>
        <v>0</v>
      </c>
      <c r="V49" s="12" t="str">
        <f>IFERROR(VLOOKUP(Tabela1[[#This Row],[COD.MDE]],'LISTA DE EMBARQUE'!B:L,11,0),"")</f>
        <v/>
      </c>
      <c r="W49" s="13" t="str">
        <f>IFERROR(COUNTIF(#REF!,Tabela1[[#This Row],[Colunas5]]),"")</f>
        <v/>
      </c>
      <c r="X49" s="14">
        <f>Tabela1[[#This Row],[QIANTIDADE EXPEDIDA]]*Tabela1[[#This Row],[PESO UNI]]</f>
        <v>0</v>
      </c>
      <c r="Y49" s="14">
        <f t="shared" si="2"/>
        <v>-132</v>
      </c>
      <c r="Z49" s="20">
        <f>Tabela1[[#This Row],[PESO TOTAL]]-Tabela1[[#This Row],[Peso Expedido]]</f>
        <v>2112</v>
      </c>
      <c r="AA49" s="17">
        <v>0.3</v>
      </c>
      <c r="AB49" s="33"/>
      <c r="AC49" s="33">
        <v>0.5</v>
      </c>
      <c r="AD49" s="33"/>
      <c r="AE49" s="33"/>
      <c r="AF49" s="33"/>
      <c r="AG49" s="33"/>
      <c r="AH49" s="33"/>
      <c r="AI49" s="33" t="str">
        <f t="shared" si="10"/>
        <v/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0</v>
      </c>
      <c r="AV49" s="37">
        <f t="shared" si="13"/>
        <v>0</v>
      </c>
      <c r="AW49" s="37"/>
    </row>
    <row r="50" spans="1:49" ht="15.75" hidden="1" customHeight="1" x14ac:dyDescent="0.25">
      <c r="A50" s="6" t="s">
        <v>3055</v>
      </c>
      <c r="B50" s="21"/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4419</v>
      </c>
      <c r="J50" s="8" t="s">
        <v>3034</v>
      </c>
      <c r="K50" s="8" t="s">
        <v>31</v>
      </c>
      <c r="L50" s="9" t="s">
        <v>2984</v>
      </c>
      <c r="M50" s="10"/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8"/>
        <v>68.400000000000006</v>
      </c>
      <c r="S50" s="18">
        <f t="shared" si="7"/>
        <v>68.400000000000006</v>
      </c>
      <c r="T50" s="19">
        <f t="shared" si="9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2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/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4419</v>
      </c>
      <c r="J51" s="8" t="s">
        <v>3034</v>
      </c>
      <c r="K51" s="8" t="s">
        <v>31</v>
      </c>
      <c r="L51" s="9" t="s">
        <v>2984</v>
      </c>
      <c r="M51" s="10"/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8"/>
        <v>16.740000000000002</v>
      </c>
      <c r="S51" s="18">
        <f t="shared" si="7"/>
        <v>0</v>
      </c>
      <c r="T51" s="19">
        <f t="shared" si="9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2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/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4419</v>
      </c>
      <c r="J52" s="8" t="s">
        <v>3034</v>
      </c>
      <c r="K52" s="8" t="s">
        <v>31</v>
      </c>
      <c r="L52" s="9" t="s">
        <v>2984</v>
      </c>
      <c r="M52" s="10"/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8"/>
        <v>0.9</v>
      </c>
      <c r="S52" s="18">
        <f t="shared" si="7"/>
        <v>0</v>
      </c>
      <c r="T52" s="19">
        <f t="shared" si="9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2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/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ref="R53:R84" si="14">IFERROR(H53*((AA53*0.25)+(AC53*0.25)+(AD53*0.225)+(AE53*0.225)+(AF53*0.05)),"")</f>
        <v>12.96</v>
      </c>
      <c r="S53" s="18">
        <f t="shared" si="7"/>
        <v>0</v>
      </c>
      <c r="T53" s="19">
        <f t="shared" ref="T53:T84" si="15">IFERROR(S53-H53,"")</f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ref="Y53:Y116" si="16">U53-C53</f>
        <v>-4</v>
      </c>
      <c r="Z53" s="20">
        <f>Tabela1[[#This Row],[PESO TOTAL]]-Tabela1[[#This Row],[Peso Expedido]]</f>
        <v>28.8</v>
      </c>
      <c r="AA53" s="17">
        <v>0.9</v>
      </c>
      <c r="AB53" s="33"/>
      <c r="AC53" s="33">
        <v>0.9</v>
      </c>
      <c r="AD53" s="33"/>
      <c r="AE53" s="33"/>
      <c r="AF53" s="33"/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/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234</v>
      </c>
      <c r="S54" s="18">
        <f t="shared" ref="S54:S117" si="17">IFERROR(H54*AG54,"")</f>
        <v>0</v>
      </c>
      <c r="T54" s="19">
        <f t="shared" si="15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6"/>
        <v>-1</v>
      </c>
      <c r="Z54" s="20">
        <f>Tabela1[[#This Row],[PESO TOTAL]]-Tabela1[[#This Row],[Peso Expedido]]</f>
        <v>520</v>
      </c>
      <c r="AA54" s="17">
        <v>0.9</v>
      </c>
      <c r="AB54" s="33"/>
      <c r="AC54" s="33">
        <v>0.9</v>
      </c>
      <c r="AD54" s="33"/>
      <c r="AE54" s="33"/>
      <c r="AF54" s="33"/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/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7"/>
        <v>0</v>
      </c>
      <c r="T55" s="19">
        <f t="shared" si="15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6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3045</v>
      </c>
      <c r="K56" s="8" t="s">
        <v>33</v>
      </c>
      <c r="L56" s="9" t="s">
        <v>2984</v>
      </c>
      <c r="M56" s="10"/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7"/>
        <v>10.8</v>
      </c>
      <c r="T56" s="19">
        <f t="shared" si="15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6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3045</v>
      </c>
      <c r="K57" s="8" t="s">
        <v>33</v>
      </c>
      <c r="L57" s="9" t="s">
        <v>2984</v>
      </c>
      <c r="M57" s="10"/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7"/>
        <v>41.9</v>
      </c>
      <c r="T57" s="19">
        <f t="shared" si="15"/>
        <v>0</v>
      </c>
      <c r="U57" s="16">
        <f>IFERROR(SUMIF('LISTA DE EMBARQUE'!B:B,MICRO!E:E,'LISTA DE EMBARQUE'!G:G),"")</f>
        <v>0</v>
      </c>
      <c r="V57" s="12" t="str">
        <f>IFERROR(VLOOKUP(Tabela1[[#This Row],[COD.MDE]],'LISTA DE EMBARQUE'!B:L,11,0),"")</f>
        <v/>
      </c>
      <c r="W57" s="13" t="str">
        <f>IFERROR(COUNTIF(#REF!,Tabela1[[#This Row],[Colunas5]]),"")</f>
        <v/>
      </c>
      <c r="X57" s="14">
        <f>Tabela1[[#This Row],[QIANTIDADE EXPEDIDA]]*Tabela1[[#This Row],[PESO UNI]]</f>
        <v>0</v>
      </c>
      <c r="Y57" s="14">
        <f t="shared" si="16"/>
        <v>-1</v>
      </c>
      <c r="Z57" s="20">
        <f>Tabela1[[#This Row],[PESO TOTAL]]-Tabela1[[#This Row],[Peso Expedido]]</f>
        <v>41.9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/>
      <c r="AI57" s="33" t="str">
        <f t="shared" si="10"/>
        <v/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41.9</v>
      </c>
      <c r="AU57" s="37">
        <f t="shared" si="12"/>
        <v>0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/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7"/>
        <v>54</v>
      </c>
      <c r="T58" s="19">
        <f t="shared" si="15"/>
        <v>0</v>
      </c>
      <c r="U58" s="16">
        <f>IFERROR(SUMIF('LISTA DE EMBARQUE'!B:B,MICRO!E:E,'LISTA DE EMBARQUE'!G:G),"")</f>
        <v>0</v>
      </c>
      <c r="V58" s="12" t="str">
        <f>IFERROR(VLOOKUP(Tabela1[[#This Row],[COD.MDE]],'LISTA DE EMBARQUE'!B:L,11,0),"")</f>
        <v/>
      </c>
      <c r="W58" s="13" t="str">
        <f>IFERROR(COUNTIF(#REF!,Tabela1[[#This Row],[Colunas5]]),"")</f>
        <v/>
      </c>
      <c r="X58" s="14">
        <f>Tabela1[[#This Row],[QIANTIDADE EXPEDIDA]]*Tabela1[[#This Row],[PESO UNI]]</f>
        <v>0</v>
      </c>
      <c r="Y58" s="14">
        <f t="shared" si="16"/>
        <v>-1</v>
      </c>
      <c r="Z58" s="20">
        <f>Tabela1[[#This Row],[PESO TOTAL]]-Tabela1[[#This Row],[Peso Expedido]]</f>
        <v>54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/>
      <c r="AI58" s="33" t="str">
        <f t="shared" si="10"/>
        <v/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54</v>
      </c>
      <c r="AU58" s="37">
        <f t="shared" si="12"/>
        <v>0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/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7"/>
        <v>95.2</v>
      </c>
      <c r="T59" s="19">
        <f t="shared" si="15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6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/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7"/>
        <v>2142</v>
      </c>
      <c r="T60" s="19">
        <f t="shared" si="15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6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/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7"/>
        <v>591.79999999999995</v>
      </c>
      <c r="T61" s="19">
        <f t="shared" si="15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6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/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7"/>
        <v>394.5</v>
      </c>
      <c r="T62" s="19">
        <f t="shared" si="15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6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/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7"/>
        <v>118.2</v>
      </c>
      <c r="T63" s="19">
        <f t="shared" si="15"/>
        <v>0</v>
      </c>
      <c r="U63" s="16">
        <f>IFERROR(SUMIF('LISTA DE EMBARQUE'!B:B,MICRO!E:E,'LISTA DE EMBARQUE'!G:G),"")</f>
        <v>0</v>
      </c>
      <c r="V63" s="12" t="str">
        <f>IFERROR(VLOOKUP(Tabela1[[#This Row],[COD.MDE]],'LISTA DE EMBARQUE'!B:L,11,0),"")</f>
        <v/>
      </c>
      <c r="W63" s="13" t="str">
        <f>IFERROR(COUNTIF(#REF!,Tabela1[[#This Row],[Colunas5]]),"")</f>
        <v/>
      </c>
      <c r="X63" s="14">
        <f>Tabela1[[#This Row],[QIANTIDADE EXPEDIDA]]*Tabela1[[#This Row],[PESO UNI]]</f>
        <v>0</v>
      </c>
      <c r="Y63" s="14">
        <f t="shared" si="16"/>
        <v>-2</v>
      </c>
      <c r="Z63" s="20">
        <f>Tabela1[[#This Row],[PESO TOTAL]]-Tabela1[[#This Row],[Peso Expedido]]</f>
        <v>118.2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/>
      <c r="AI63" s="33" t="str">
        <f t="shared" si="10"/>
        <v/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118.2</v>
      </c>
      <c r="AU63" s="37">
        <f t="shared" si="12"/>
        <v>0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/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7"/>
        <v>53.8</v>
      </c>
      <c r="T64" s="19">
        <f t="shared" si="15"/>
        <v>0</v>
      </c>
      <c r="U64" s="16">
        <f>IFERROR(SUMIF('LISTA DE EMBARQUE'!B:B,MICRO!E:E,'LISTA DE EMBARQUE'!G:G),"")</f>
        <v>0</v>
      </c>
      <c r="V64" s="12" t="str">
        <f>IFERROR(VLOOKUP(Tabela1[[#This Row],[COD.MDE]],'LISTA DE EMBARQUE'!B:L,11,0),"")</f>
        <v/>
      </c>
      <c r="W64" s="13" t="str">
        <f>IFERROR(COUNTIF(#REF!,Tabela1[[#This Row],[Colunas5]]),"")</f>
        <v/>
      </c>
      <c r="X64" s="14">
        <f>Tabela1[[#This Row],[QIANTIDADE EXPEDIDA]]*Tabela1[[#This Row],[PESO UNI]]</f>
        <v>0</v>
      </c>
      <c r="Y64" s="14">
        <f t="shared" si="16"/>
        <v>-1</v>
      </c>
      <c r="Z64" s="20">
        <f>Tabela1[[#This Row],[PESO TOTAL]]-Tabela1[[#This Row],[Peso Expedido]]</f>
        <v>53.8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/>
      <c r="AI64" s="33" t="str">
        <f t="shared" si="10"/>
        <v/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53.8</v>
      </c>
      <c r="AU64" s="37">
        <f t="shared" si="12"/>
        <v>0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3312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/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7"/>
        <v>1064</v>
      </c>
      <c r="T65" s="19">
        <f t="shared" si="15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6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/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7"/>
        <v>230.4</v>
      </c>
      <c r="T66" s="19">
        <f t="shared" si="15"/>
        <v>0</v>
      </c>
      <c r="U66" s="16">
        <f>IFERROR(SUMIF('LISTA DE EMBARQUE'!B:B,MICRO!E:E,'LISTA DE EMBARQUE'!G:G),"")</f>
        <v>0</v>
      </c>
      <c r="V66" s="12" t="str">
        <f>IFERROR(VLOOKUP(Tabela1[[#This Row],[COD.MDE]],'LISTA DE EMBARQUE'!B:L,11,0),"")</f>
        <v/>
      </c>
      <c r="W66" s="13" t="str">
        <f>IFERROR(COUNTIF(#REF!,Tabela1[[#This Row],[Colunas5]]),"")</f>
        <v/>
      </c>
      <c r="X66" s="14">
        <f>Tabela1[[#This Row],[QIANTIDADE EXPEDIDA]]*Tabela1[[#This Row],[PESO UNI]]</f>
        <v>0</v>
      </c>
      <c r="Y66" s="14">
        <f t="shared" si="16"/>
        <v>-8</v>
      </c>
      <c r="Z66" s="20">
        <f>Tabela1[[#This Row],[PESO TOTAL]]-Tabela1[[#This Row],[Peso Expedido]]</f>
        <v>230.4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/>
      <c r="AI66" s="33" t="str">
        <f t="shared" si="10"/>
        <v/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230.4</v>
      </c>
      <c r="AU66" s="37">
        <f t="shared" si="12"/>
        <v>0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/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7"/>
        <v>41.6</v>
      </c>
      <c r="T67" s="19">
        <f t="shared" si="15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6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/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7"/>
        <v>98</v>
      </c>
      <c r="T68" s="19">
        <f t="shared" si="15"/>
        <v>0</v>
      </c>
      <c r="U68" s="16">
        <f>IFERROR(SUMIF('LISTA DE EMBARQUE'!B:B,MICRO!E:E,'LISTA DE EMBARQUE'!G:G),"")</f>
        <v>0</v>
      </c>
      <c r="V68" s="12" t="str">
        <f>IFERROR(VLOOKUP(Tabela1[[#This Row],[COD.MDE]],'LISTA DE EMBARQUE'!B:L,11,0),"")</f>
        <v/>
      </c>
      <c r="W68" s="13" t="str">
        <f>IFERROR(COUNTIF(#REF!,Tabela1[[#This Row],[Colunas5]]),"")</f>
        <v/>
      </c>
      <c r="X68" s="14">
        <f>Tabela1[[#This Row],[QIANTIDADE EXPEDIDA]]*Tabela1[[#This Row],[PESO UNI]]</f>
        <v>0</v>
      </c>
      <c r="Y68" s="14">
        <f t="shared" si="16"/>
        <v>-2</v>
      </c>
      <c r="Z68" s="20">
        <f>Tabela1[[#This Row],[PESO TOTAL]]-Tabela1[[#This Row],[Peso Expedido]]</f>
        <v>98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/>
      <c r="AI68" s="33" t="str">
        <f t="shared" si="10"/>
        <v/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98</v>
      </c>
      <c r="AU68" s="37">
        <f t="shared" si="12"/>
        <v>0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/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7"/>
        <v>56</v>
      </c>
      <c r="T69" s="19">
        <f t="shared" si="15"/>
        <v>0</v>
      </c>
      <c r="U69" s="16">
        <f>IFERROR(SUMIF('LISTA DE EMBARQUE'!B:B,MICRO!E:E,'LISTA DE EMBARQUE'!G:G),"")</f>
        <v>0</v>
      </c>
      <c r="V69" s="12" t="str">
        <f>IFERROR(VLOOKUP(Tabela1[[#This Row],[COD.MDE]],'LISTA DE EMBARQUE'!B:L,11,0),"")</f>
        <v/>
      </c>
      <c r="W69" s="13" t="str">
        <f>IFERROR(COUNTIF(#REF!,Tabela1[[#This Row],[Colunas5]]),"")</f>
        <v/>
      </c>
      <c r="X69" s="14">
        <f>Tabela1[[#This Row],[QIANTIDADE EXPEDIDA]]*Tabela1[[#This Row],[PESO UNI]]</f>
        <v>0</v>
      </c>
      <c r="Y69" s="14">
        <f t="shared" si="16"/>
        <v>-2</v>
      </c>
      <c r="Z69" s="20">
        <f>Tabela1[[#This Row],[PESO TOTAL]]-Tabela1[[#This Row],[Peso Expedido]]</f>
        <v>56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/>
      <c r="AI69" s="33" t="str">
        <f t="shared" si="10"/>
        <v/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56</v>
      </c>
      <c r="AU69" s="37">
        <f t="shared" si="12"/>
        <v>0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/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7"/>
        <v>10.8</v>
      </c>
      <c r="T70" s="19">
        <f t="shared" si="15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6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/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7"/>
        <v>10.8</v>
      </c>
      <c r="T71" s="19">
        <f t="shared" si="15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6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/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7"/>
        <v>3103.2000000000003</v>
      </c>
      <c r="T72" s="19">
        <f t="shared" si="15"/>
        <v>0</v>
      </c>
      <c r="U72" s="16">
        <f>IFERROR(SUMIF('LISTA DE EMBARQUE'!B:B,MICRO!E:E,'LISTA DE EMBARQUE'!G:G),"")</f>
        <v>23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1982.6000000000001</v>
      </c>
      <c r="Y72" s="14">
        <f t="shared" si="16"/>
        <v>-13</v>
      </c>
      <c r="Z72" s="20">
        <f>Tabela1[[#This Row],[PESO TOTAL]]-Tabela1[[#This Row],[Peso Expedido]]</f>
        <v>1120.6000000000001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59">
        <f>Tabela1[[#This Row],[Peso Expedido]]/Tabela1[[#This Row],[PESO TOTAL]]</f>
        <v>0.63888888888888884</v>
      </c>
      <c r="AI72" s="33" t="str">
        <f t="shared" si="10"/>
        <v/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1120.6000000000004</v>
      </c>
      <c r="AU72" s="37">
        <f t="shared" si="12"/>
        <v>1982.6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/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7"/>
        <v>240</v>
      </c>
      <c r="T73" s="19">
        <f t="shared" si="15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6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/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7"/>
        <v>56</v>
      </c>
      <c r="T74" s="19">
        <f t="shared" si="15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6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/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0</v>
      </c>
      <c r="S75" s="18">
        <f t="shared" si="17"/>
        <v>0</v>
      </c>
      <c r="T75" s="19">
        <f t="shared" si="15"/>
        <v>-1200</v>
      </c>
      <c r="U75" s="16">
        <f>IFERROR(SUMIF('LISTA DE EMBARQUE'!B:B,MICRO!E:E,'LISTA DE EMBARQUE'!G:G),"")</f>
        <v>0</v>
      </c>
      <c r="V75" s="12" t="str">
        <f>IFERROR(VLOOKUP(Tabela1[[#This Row],[COD.MDE]],'LISTA DE EMBARQUE'!B:L,11,0),"")</f>
        <v/>
      </c>
      <c r="W75" s="13" t="str">
        <f>IFERROR(COUNTIF(#REF!,Tabela1[[#This Row],[Colunas5]]),"")</f>
        <v/>
      </c>
      <c r="X75" s="14">
        <f>Tabela1[[#This Row],[QIANTIDADE EXPEDIDA]]*Tabela1[[#This Row],[PESO UNI]]</f>
        <v>0</v>
      </c>
      <c r="Y75" s="14">
        <f t="shared" si="16"/>
        <v>-24</v>
      </c>
      <c r="Z75" s="20">
        <f>Tabela1[[#This Row],[PESO TOTAL]]-Tabela1[[#This Row],[Peso Expedido]]</f>
        <v>1200</v>
      </c>
      <c r="AA75" s="17"/>
      <c r="AB75" s="33"/>
      <c r="AC75" s="33"/>
      <c r="AD75" s="33"/>
      <c r="AE75" s="33"/>
      <c r="AF75" s="33"/>
      <c r="AG75" s="33"/>
      <c r="AH75" s="33"/>
      <c r="AI75" s="33" t="str">
        <f t="shared" si="10"/>
        <v/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0</v>
      </c>
      <c r="AV75" s="37">
        <f t="shared" si="13"/>
        <v>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/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7"/>
        <v>864</v>
      </c>
      <c r="T76" s="19">
        <f t="shared" si="15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6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f>Tabela1[[#This Row],[Peso Expedido]]/Tabela1[[#This Row],[PESO TOTAL]]</f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/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534.66000000000008</v>
      </c>
      <c r="S77" s="18">
        <f t="shared" si="17"/>
        <v>0</v>
      </c>
      <c r="T77" s="19">
        <f t="shared" si="15"/>
        <v>-804</v>
      </c>
      <c r="U77" s="16">
        <f>IFERROR(SUMIF('LISTA DE EMBARQUE'!B:B,MICRO!E:E,'LISTA DE EMBARQUE'!G:G),"")</f>
        <v>0</v>
      </c>
      <c r="V77" s="12" t="str">
        <f>IFERROR(VLOOKUP(Tabela1[[#This Row],[COD.MDE]],'LISTA DE EMBARQUE'!B:L,11,0),"")</f>
        <v/>
      </c>
      <c r="W77" s="13" t="str">
        <f>IFERROR(COUNTIF(#REF!,Tabela1[[#This Row],[Colunas5]]),"")</f>
        <v/>
      </c>
      <c r="X77" s="14">
        <f>Tabela1[[#This Row],[QIANTIDADE EXPEDIDA]]*Tabela1[[#This Row],[PESO UNI]]</f>
        <v>0</v>
      </c>
      <c r="Y77" s="14">
        <f t="shared" si="16"/>
        <v>-12</v>
      </c>
      <c r="Z77" s="20">
        <f>Tabela1[[#This Row],[PESO TOTAL]]-Tabela1[[#This Row],[Peso Expedido]]</f>
        <v>804</v>
      </c>
      <c r="AA77" s="17">
        <v>0.8</v>
      </c>
      <c r="AB77" s="33"/>
      <c r="AC77" s="33">
        <v>0.6</v>
      </c>
      <c r="AD77" s="33">
        <v>0.4</v>
      </c>
      <c r="AE77" s="33">
        <v>1</v>
      </c>
      <c r="AF77" s="33"/>
      <c r="AG77" s="33"/>
      <c r="AH77" s="33"/>
      <c r="AI77" s="33" t="str">
        <f t="shared" si="10"/>
        <v/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0</v>
      </c>
      <c r="AV77" s="37">
        <f t="shared" si="13"/>
        <v>0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/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269.67499999999995</v>
      </c>
      <c r="S78" s="18">
        <f t="shared" si="17"/>
        <v>0</v>
      </c>
      <c r="T78" s="19">
        <f t="shared" si="15"/>
        <v>-469</v>
      </c>
      <c r="U78" s="16">
        <f>IFERROR(SUMIF('LISTA DE EMBARQUE'!B:B,MICRO!E:E,'LISTA DE EMBARQUE'!G:G),"")</f>
        <v>0</v>
      </c>
      <c r="V78" s="12" t="str">
        <f>IFERROR(VLOOKUP(Tabela1[[#This Row],[COD.MDE]],'LISTA DE EMBARQUE'!B:L,11,0),"")</f>
        <v/>
      </c>
      <c r="W78" s="13" t="str">
        <f>IFERROR(COUNTIF(#REF!,Tabela1[[#This Row],[Colunas5]]),"")</f>
        <v/>
      </c>
      <c r="X78" s="14">
        <f>Tabela1[[#This Row],[QIANTIDADE EXPEDIDA]]*Tabela1[[#This Row],[PESO UNI]]</f>
        <v>0</v>
      </c>
      <c r="Y78" s="14">
        <f t="shared" si="16"/>
        <v>-10</v>
      </c>
      <c r="Z78" s="20">
        <f>Tabela1[[#This Row],[PESO TOTAL]]-Tabela1[[#This Row],[Peso Expedido]]</f>
        <v>469</v>
      </c>
      <c r="AA78" s="17">
        <v>0.7</v>
      </c>
      <c r="AB78" s="33"/>
      <c r="AC78" s="33">
        <v>0.7</v>
      </c>
      <c r="AD78" s="33"/>
      <c r="AE78" s="33">
        <v>1</v>
      </c>
      <c r="AF78" s="33"/>
      <c r="AG78" s="33"/>
      <c r="AH78" s="33"/>
      <c r="AI78" s="33" t="str">
        <f t="shared" si="10"/>
        <v/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0</v>
      </c>
      <c r="AV78" s="37">
        <f t="shared" si="13"/>
        <v>0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/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1.89</v>
      </c>
      <c r="S79" s="18">
        <f t="shared" si="17"/>
        <v>0</v>
      </c>
      <c r="T79" s="19">
        <f t="shared" si="15"/>
        <v>-10.8</v>
      </c>
      <c r="U79" s="16">
        <f>IFERROR(SUMIF('LISTA DE EMBARQUE'!B:B,MICRO!E:E,'LISTA DE EMBARQUE'!G:G),"")</f>
        <v>0</v>
      </c>
      <c r="V79" s="12" t="str">
        <f>IFERROR(VLOOKUP(Tabela1[[#This Row],[COD.MDE]],'LISTA DE EMBARQUE'!B:L,11,0),"")</f>
        <v/>
      </c>
      <c r="W79" s="13" t="str">
        <f>IFERROR(COUNTIF(#REF!,Tabela1[[#This Row],[Colunas5]]),"")</f>
        <v/>
      </c>
      <c r="X79" s="14">
        <f>Tabela1[[#This Row],[QIANTIDADE EXPEDIDA]]*Tabela1[[#This Row],[PESO UNI]]</f>
        <v>0</v>
      </c>
      <c r="Y79" s="14">
        <f t="shared" si="16"/>
        <v>-4</v>
      </c>
      <c r="Z79" s="20">
        <f>Tabela1[[#This Row],[PESO TOTAL]]-Tabela1[[#This Row],[Peso Expedido]]</f>
        <v>10.8</v>
      </c>
      <c r="AA79" s="17">
        <v>0.3</v>
      </c>
      <c r="AB79" s="33"/>
      <c r="AC79" s="33">
        <v>0.4</v>
      </c>
      <c r="AD79" s="33"/>
      <c r="AE79" s="33"/>
      <c r="AF79" s="33"/>
      <c r="AG79" s="33"/>
      <c r="AH79" s="33"/>
      <c r="AI79" s="33" t="str">
        <f t="shared" si="10"/>
        <v/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0</v>
      </c>
      <c r="AV79" s="37">
        <f t="shared" si="13"/>
        <v>0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si="14"/>
        <v>75.337499999999991</v>
      </c>
      <c r="S80" s="18">
        <f t="shared" si="17"/>
        <v>0</v>
      </c>
      <c r="T80" s="19">
        <f t="shared" si="15"/>
        <v>-122.99999999999999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si="16"/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0.5</v>
      </c>
      <c r="AE80" s="33"/>
      <c r="AF80" s="33"/>
      <c r="AG80" s="33"/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0</v>
      </c>
      <c r="AV80" s="37">
        <f t="shared" si="13"/>
        <v>0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4420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4"/>
        <v>20.25</v>
      </c>
      <c r="S81" s="18">
        <f t="shared" si="17"/>
        <v>0</v>
      </c>
      <c r="T81" s="19">
        <f t="shared" si="15"/>
        <v>-45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16"/>
        <v>-18</v>
      </c>
      <c r="Z81" s="20">
        <f>Tabela1[[#This Row],[PESO TOTAL]]-Tabela1[[#This Row],[Peso Expedido]]</f>
        <v>45</v>
      </c>
      <c r="AA81" s="17">
        <v>0.9</v>
      </c>
      <c r="AB81" s="33"/>
      <c r="AC81" s="33">
        <v>0.9</v>
      </c>
      <c r="AD81" s="33"/>
      <c r="AE81" s="33"/>
      <c r="AF81" s="33"/>
      <c r="AG81" s="33"/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2"/>
        <v>0</v>
      </c>
      <c r="AV81" s="37">
        <f t="shared" si="13"/>
        <v>0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4420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4"/>
        <v>396.3</v>
      </c>
      <c r="S82" s="18">
        <f t="shared" si="17"/>
        <v>396.3</v>
      </c>
      <c r="T82" s="19">
        <f t="shared" si="15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16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4420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4"/>
        <v>290.60000000000002</v>
      </c>
      <c r="S83" s="18">
        <f t="shared" si="17"/>
        <v>290.60000000000002</v>
      </c>
      <c r="T83" s="19">
        <f t="shared" si="15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16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4420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4"/>
        <v>290.60000000000002</v>
      </c>
      <c r="S84" s="18">
        <f t="shared" si="17"/>
        <v>290.60000000000002</v>
      </c>
      <c r="T84" s="19">
        <f t="shared" si="15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16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4420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ref="R85:R116" si="19">IFERROR(H85*((AA85*0.25)+(AC85*0.25)+(AD85*0.225)+(AE85*0.225)+(AF85*0.05)),"")</f>
        <v>295</v>
      </c>
      <c r="S85" s="18">
        <f t="shared" si="17"/>
        <v>295</v>
      </c>
      <c r="T85" s="19">
        <f t="shared" ref="T85:T116" si="20">IFERROR(S85-H85,"")</f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16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4420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64.8</v>
      </c>
      <c r="S86" s="18">
        <f t="shared" si="17"/>
        <v>0</v>
      </c>
      <c r="T86" s="19">
        <f t="shared" si="20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16"/>
        <v>-6</v>
      </c>
      <c r="Z86" s="20">
        <f>Tabela1[[#This Row],[PESO TOTAL]]-Tabela1[[#This Row],[Peso Expedido]]</f>
        <v>144</v>
      </c>
      <c r="AA86" s="17">
        <v>0.9</v>
      </c>
      <c r="AB86" s="33"/>
      <c r="AC86" s="33">
        <v>0.9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4419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17"/>
        <v>29.6</v>
      </c>
      <c r="T87" s="19">
        <f t="shared" si="20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16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4419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17"/>
        <v>252</v>
      </c>
      <c r="T88" s="19">
        <f t="shared" si="20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16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4420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17"/>
        <v>0</v>
      </c>
      <c r="T89" s="19">
        <f t="shared" si="20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16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4418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17"/>
        <v>36.4</v>
      </c>
      <c r="T90" s="19">
        <f t="shared" si="20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16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4418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283.91999999999996</v>
      </c>
      <c r="S91" s="18">
        <f t="shared" si="17"/>
        <v>291.2</v>
      </c>
      <c r="T91" s="19">
        <f t="shared" si="20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16"/>
        <v>-28</v>
      </c>
      <c r="Z91" s="20">
        <f>Tabela1[[#This Row],[PESO TOTAL]]-Tabela1[[#This Row],[Peso Expedido]]</f>
        <v>291.2</v>
      </c>
      <c r="AA91" s="17">
        <v>0.9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4418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311.04000000000002</v>
      </c>
      <c r="S92" s="18">
        <f t="shared" si="17"/>
        <v>0</v>
      </c>
      <c r="T92" s="19">
        <f t="shared" si="20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16"/>
        <v>-12</v>
      </c>
      <c r="Z92" s="20">
        <f>Tabela1[[#This Row],[PESO TOTAL]]-Tabela1[[#This Row],[Peso Expedido]]</f>
        <v>691.2</v>
      </c>
      <c r="AA92" s="17">
        <v>0.9</v>
      </c>
      <c r="AB92" s="33"/>
      <c r="AC92" s="33">
        <v>0.9</v>
      </c>
      <c r="AD92" s="33"/>
      <c r="AE92" s="33"/>
      <c r="AF92" s="33"/>
      <c r="AG92" s="33"/>
      <c r="AH92" s="33"/>
      <c r="AI92" s="33" t="str">
        <f t="shared" ref="AI92:AI155" si="21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4418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51.84</v>
      </c>
      <c r="S93" s="18">
        <f t="shared" si="17"/>
        <v>0</v>
      </c>
      <c r="T93" s="19">
        <f t="shared" si="20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16"/>
        <v>-2</v>
      </c>
      <c r="Z93" s="20">
        <f>Tabela1[[#This Row],[PESO TOTAL]]-Tabela1[[#This Row],[Peso Expedido]]</f>
        <v>115.2</v>
      </c>
      <c r="AA93" s="17">
        <v>0.9</v>
      </c>
      <c r="AB93" s="33"/>
      <c r="AC93" s="33">
        <v>0.9</v>
      </c>
      <c r="AD93" s="33"/>
      <c r="AE93" s="33"/>
      <c r="AF93" s="33"/>
      <c r="AG93" s="33"/>
      <c r="AH93" s="33"/>
      <c r="AI93" s="33" t="str">
        <f t="shared" si="21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4418</v>
      </c>
      <c r="J94" s="8" t="s">
        <v>3034</v>
      </c>
      <c r="K94" s="8" t="s">
        <v>45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17"/>
        <v>134.4</v>
      </c>
      <c r="T94" s="19">
        <f t="shared" si="20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16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1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4418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17"/>
        <v>0</v>
      </c>
      <c r="T95" s="19">
        <f t="shared" si="20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16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1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4418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17"/>
        <v>0</v>
      </c>
      <c r="T96" s="19">
        <f t="shared" si="20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16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1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4418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17"/>
        <v>26.3</v>
      </c>
      <c r="T97" s="19">
        <f t="shared" si="20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16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1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4418</v>
      </c>
      <c r="J98" s="8" t="s">
        <v>3034</v>
      </c>
      <c r="K98" s="8" t="s">
        <v>45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17"/>
        <v>2.4</v>
      </c>
      <c r="T98" s="19">
        <f t="shared" si="20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16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1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4418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17"/>
        <v>0</v>
      </c>
      <c r="T99" s="19">
        <f t="shared" si="20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16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1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4418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17"/>
        <v>0</v>
      </c>
      <c r="T100" s="19">
        <f t="shared" si="20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16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1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1.89</v>
      </c>
      <c r="S101" s="18">
        <f t="shared" si="17"/>
        <v>0</v>
      </c>
      <c r="T101" s="19">
        <f t="shared" si="20"/>
        <v>-10.8</v>
      </c>
      <c r="U101" s="16">
        <f>IFERROR(SUMIF('LISTA DE EMBARQUE'!B:B,MICRO!E:E,'LISTA DE EMBARQUE'!G:G),"")</f>
        <v>0</v>
      </c>
      <c r="V101" s="12" t="str">
        <f>IFERROR(VLOOKUP(Tabela1[[#This Row],[COD.MDE]],'LISTA DE EMBARQUE'!B:L,11,0),"")</f>
        <v/>
      </c>
      <c r="W101" s="13" t="str">
        <f>IFERROR(COUNTIF(#REF!,Tabela1[[#This Row],[Colunas5]]),"")</f>
        <v/>
      </c>
      <c r="X101" s="14">
        <f>Tabela1[[#This Row],[QIANTIDADE EXPEDIDA]]*Tabela1[[#This Row],[PESO UNI]]</f>
        <v>0</v>
      </c>
      <c r="Y101" s="14">
        <f t="shared" si="16"/>
        <v>-4</v>
      </c>
      <c r="Z101" s="20">
        <f>Tabela1[[#This Row],[PESO TOTAL]]-Tabela1[[#This Row],[Peso Expedido]]</f>
        <v>10.8</v>
      </c>
      <c r="AA101" s="17">
        <v>0.3</v>
      </c>
      <c r="AB101" s="33"/>
      <c r="AC101" s="33">
        <v>0.4</v>
      </c>
      <c r="AD101" s="33"/>
      <c r="AE101" s="33"/>
      <c r="AF101" s="33"/>
      <c r="AG101" s="33"/>
      <c r="AH101" s="33"/>
      <c r="AI101" s="33" t="str">
        <f t="shared" si="21"/>
        <v/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2">IF(AH101="",0,IF(ISTEXT(AH101),H101*VALUE(SUBSTITUTE(AH101,"%",""))/100,H101*AH101))</f>
        <v>0</v>
      </c>
      <c r="AV101" s="37">
        <f t="shared" ref="AV101:AV164" si="23">IF(AG101="",0,IF(ISTEXT(AG101),H101*VALUE(SUBSTITUTE(AG101,"%",""))/100,H101*AG101))</f>
        <v>0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2.2399999999999998</v>
      </c>
      <c r="S102" s="18">
        <f t="shared" si="17"/>
        <v>0</v>
      </c>
      <c r="T102" s="19">
        <f t="shared" si="20"/>
        <v>-12.8</v>
      </c>
      <c r="U102" s="16">
        <f>IFERROR(SUMIF('LISTA DE EMBARQUE'!B:B,MICRO!E:E,'LISTA DE EMBARQUE'!G:G),"")</f>
        <v>0</v>
      </c>
      <c r="V102" s="12" t="str">
        <f>IFERROR(VLOOKUP(Tabela1[[#This Row],[COD.MDE]],'LISTA DE EMBARQUE'!B:L,11,0),"")</f>
        <v/>
      </c>
      <c r="W102" s="13" t="str">
        <f>IFERROR(COUNTIF(#REF!,Tabela1[[#This Row],[Colunas5]]),"")</f>
        <v/>
      </c>
      <c r="X102" s="14">
        <f>Tabela1[[#This Row],[QIANTIDADE EXPEDIDA]]*Tabela1[[#This Row],[PESO UNI]]</f>
        <v>0</v>
      </c>
      <c r="Y102" s="14">
        <f t="shared" si="16"/>
        <v>-4</v>
      </c>
      <c r="Z102" s="20">
        <f>Tabela1[[#This Row],[PESO TOTAL]]-Tabela1[[#This Row],[Peso Expedido]]</f>
        <v>12.8</v>
      </c>
      <c r="AA102" s="17">
        <v>0.3</v>
      </c>
      <c r="AB102" s="33"/>
      <c r="AC102" s="33">
        <v>0.4</v>
      </c>
      <c r="AD102" s="33"/>
      <c r="AE102" s="33"/>
      <c r="AF102" s="33"/>
      <c r="AG102" s="33"/>
      <c r="AH102" s="33"/>
      <c r="AI102" s="33" t="str">
        <f t="shared" si="21"/>
        <v/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2"/>
        <v>0</v>
      </c>
      <c r="AV102" s="37">
        <f t="shared" si="23"/>
        <v>0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17"/>
        <v>324</v>
      </c>
      <c r="T103" s="19">
        <f t="shared" si="20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16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f>Tabela1[[#This Row],[Peso Expedido]]/Tabela1[[#This Row],[PESO TOTAL]]</f>
        <v>1</v>
      </c>
      <c r="AI103" s="33" t="str">
        <f t="shared" si="21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2"/>
        <v>324</v>
      </c>
      <c r="AV103" s="37">
        <f t="shared" si="23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17"/>
        <v>0</v>
      </c>
      <c r="T104" s="19">
        <f t="shared" si="20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16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1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2"/>
        <v>0</v>
      </c>
      <c r="AV104" s="37">
        <f t="shared" si="23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66.149999999999991</v>
      </c>
      <c r="S105" s="18">
        <f t="shared" si="17"/>
        <v>0</v>
      </c>
      <c r="T105" s="19">
        <f t="shared" si="20"/>
        <v>-378</v>
      </c>
      <c r="U105" s="16">
        <f>IFERROR(SUMIF('LISTA DE EMBARQUE'!B:B,MICRO!E:E,'LISTA DE EMBARQUE'!G:G),"")</f>
        <v>0</v>
      </c>
      <c r="V105" s="12" t="str">
        <f>IFERROR(VLOOKUP(Tabela1[[#This Row],[COD.MDE]],'LISTA DE EMBARQUE'!B:L,11,0),"")</f>
        <v/>
      </c>
      <c r="W105" s="13" t="str">
        <f>IFERROR(COUNTIF(#REF!,Tabela1[[#This Row],[Colunas5]]),"")</f>
        <v/>
      </c>
      <c r="X105" s="14">
        <f>Tabela1[[#This Row],[QIANTIDADE EXPEDIDA]]*Tabela1[[#This Row],[PESO UNI]]</f>
        <v>0</v>
      </c>
      <c r="Y105" s="14">
        <f t="shared" si="16"/>
        <v>-42</v>
      </c>
      <c r="Z105" s="20">
        <f>Tabela1[[#This Row],[PESO TOTAL]]-Tabela1[[#This Row],[Peso Expedido]]</f>
        <v>378</v>
      </c>
      <c r="AA105" s="17">
        <v>0.3</v>
      </c>
      <c r="AB105" s="33"/>
      <c r="AC105" s="33">
        <v>0.4</v>
      </c>
      <c r="AD105" s="33"/>
      <c r="AE105" s="33"/>
      <c r="AF105" s="33"/>
      <c r="AG105" s="33"/>
      <c r="AH105" s="33"/>
      <c r="AI105" s="33" t="str">
        <f t="shared" si="21"/>
        <v/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2"/>
        <v>0</v>
      </c>
      <c r="AV105" s="37">
        <f t="shared" si="23"/>
        <v>0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21</v>
      </c>
      <c r="S106" s="18">
        <f t="shared" si="17"/>
        <v>0</v>
      </c>
      <c r="T106" s="19">
        <f t="shared" si="20"/>
        <v>-120</v>
      </c>
      <c r="U106" s="16">
        <f>IFERROR(SUMIF('LISTA DE EMBARQUE'!B:B,MICRO!E:E,'LISTA DE EMBARQUE'!G:G),"")</f>
        <v>0</v>
      </c>
      <c r="V106" s="12" t="str">
        <f>IFERROR(VLOOKUP(Tabela1[[#This Row],[COD.MDE]],'LISTA DE EMBARQUE'!B:L,11,0),"")</f>
        <v/>
      </c>
      <c r="W106" s="13" t="str">
        <f>IFERROR(COUNTIF(#REF!,Tabela1[[#This Row],[Colunas5]]),"")</f>
        <v/>
      </c>
      <c r="X106" s="14">
        <f>Tabela1[[#This Row],[QIANTIDADE EXPEDIDA]]*Tabela1[[#This Row],[PESO UNI]]</f>
        <v>0</v>
      </c>
      <c r="Y106" s="14">
        <f t="shared" si="16"/>
        <v>-24</v>
      </c>
      <c r="Z106" s="20">
        <f>Tabela1[[#This Row],[PESO TOTAL]]-Tabela1[[#This Row],[Peso Expedido]]</f>
        <v>120</v>
      </c>
      <c r="AA106" s="17">
        <v>0.3</v>
      </c>
      <c r="AB106" s="33"/>
      <c r="AC106" s="33">
        <v>0.4</v>
      </c>
      <c r="AD106" s="33"/>
      <c r="AE106" s="33"/>
      <c r="AF106" s="33"/>
      <c r="AG106" s="33"/>
      <c r="AH106" s="33"/>
      <c r="AI106" s="33" t="str">
        <f t="shared" si="21"/>
        <v/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2"/>
        <v>0</v>
      </c>
      <c r="AV106" s="37">
        <f t="shared" si="23"/>
        <v>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17"/>
        <v>18.5</v>
      </c>
      <c r="T107" s="19">
        <f t="shared" si="20"/>
        <v>0</v>
      </c>
      <c r="U107" s="16">
        <f>IFERROR(SUMIF('LISTA DE EMBARQUE'!B:B,MICRO!E:E,'LISTA DE EMBARQUE'!G:G),"")</f>
        <v>0</v>
      </c>
      <c r="V107" s="12" t="str">
        <f>IFERROR(VLOOKUP(Tabela1[[#This Row],[COD.MDE]],'LISTA DE EMBARQUE'!B:L,11,0),"")</f>
        <v/>
      </c>
      <c r="W107" s="13" t="str">
        <f>IFERROR(COUNTIF(#REF!,Tabela1[[#This Row],[Colunas5]]),"")</f>
        <v/>
      </c>
      <c r="X107" s="14">
        <f>Tabela1[[#This Row],[QIANTIDADE EXPEDIDA]]*Tabela1[[#This Row],[PESO UNI]]</f>
        <v>0</v>
      </c>
      <c r="Y107" s="14">
        <f t="shared" si="16"/>
        <v>-1</v>
      </c>
      <c r="Z107" s="20">
        <f>Tabela1[[#This Row],[PESO TOTAL]]-Tabela1[[#This Row],[Peso Expedido]]</f>
        <v>18.5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/>
      <c r="AI107" s="33" t="str">
        <f t="shared" si="21"/>
        <v/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18.5</v>
      </c>
      <c r="AU107" s="37">
        <f t="shared" si="22"/>
        <v>0</v>
      </c>
      <c r="AV107" s="37">
        <f t="shared" si="23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17"/>
        <v>31.2</v>
      </c>
      <c r="T108" s="19">
        <f t="shared" si="20"/>
        <v>0</v>
      </c>
      <c r="U108" s="16">
        <f>IFERROR(SUMIF('LISTA DE EMBARQUE'!B:B,MICRO!E:E,'LISTA DE EMBARQUE'!G:G),"")</f>
        <v>0</v>
      </c>
      <c r="V108" s="12" t="str">
        <f>IFERROR(VLOOKUP(Tabela1[[#This Row],[COD.MDE]],'LISTA DE EMBARQUE'!B:L,11,0),"")</f>
        <v/>
      </c>
      <c r="W108" s="13" t="str">
        <f>IFERROR(COUNTIF(#REF!,Tabela1[[#This Row],[Colunas5]]),"")</f>
        <v/>
      </c>
      <c r="X108" s="14">
        <f>Tabela1[[#This Row],[QIANTIDADE EXPEDIDA]]*Tabela1[[#This Row],[PESO UNI]]</f>
        <v>0</v>
      </c>
      <c r="Y108" s="14">
        <f t="shared" si="16"/>
        <v>-1</v>
      </c>
      <c r="Z108" s="20">
        <f>Tabela1[[#This Row],[PESO TOTAL]]-Tabela1[[#This Row],[Peso Expedido]]</f>
        <v>31.2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/>
      <c r="AI108" s="33" t="str">
        <f t="shared" si="21"/>
        <v/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31.2</v>
      </c>
      <c r="AU108" s="37">
        <f t="shared" si="22"/>
        <v>0</v>
      </c>
      <c r="AV108" s="37">
        <f t="shared" si="23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17"/>
        <v>30</v>
      </c>
      <c r="T109" s="19">
        <f t="shared" si="20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16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1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2"/>
        <v>0</v>
      </c>
      <c r="AV109" s="37">
        <f t="shared" si="23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17"/>
        <v>103.2</v>
      </c>
      <c r="T110" s="19">
        <f t="shared" si="20"/>
        <v>0</v>
      </c>
      <c r="U110" s="16">
        <f>IFERROR(SUMIF('LISTA DE EMBARQUE'!B:B,MICRO!E:E,'LISTA DE EMBARQUE'!G:G),"")</f>
        <v>0</v>
      </c>
      <c r="V110" s="12" t="str">
        <f>IFERROR(VLOOKUP(Tabela1[[#This Row],[COD.MDE]],'LISTA DE EMBARQUE'!B:L,11,0),"")</f>
        <v/>
      </c>
      <c r="W110" s="13" t="str">
        <f>IFERROR(COUNTIF(#REF!,Tabela1[[#This Row],[Colunas5]]),"")</f>
        <v/>
      </c>
      <c r="X110" s="14">
        <f>Tabela1[[#This Row],[QIANTIDADE EXPEDIDA]]*Tabela1[[#This Row],[PESO UNI]]</f>
        <v>0</v>
      </c>
      <c r="Y110" s="14">
        <f t="shared" si="16"/>
        <v>-2</v>
      </c>
      <c r="Z110" s="20">
        <f>Tabela1[[#This Row],[PESO TOTAL]]-Tabela1[[#This Row],[Peso Expedido]]</f>
        <v>103.2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/>
      <c r="AI110" s="33" t="str">
        <f t="shared" si="21"/>
        <v/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103.2</v>
      </c>
      <c r="AU110" s="37">
        <f t="shared" si="22"/>
        <v>0</v>
      </c>
      <c r="AV110" s="37">
        <f t="shared" si="23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17"/>
        <v>309.10000000000002</v>
      </c>
      <c r="T111" s="19">
        <f t="shared" si="20"/>
        <v>0</v>
      </c>
      <c r="U111" s="16">
        <f>IFERROR(SUMIF('LISTA DE EMBARQUE'!B:B,MICRO!E:E,'LISTA DE EMBARQUE'!G:G),"")</f>
        <v>0</v>
      </c>
      <c r="V111" s="12" t="str">
        <f>IFERROR(VLOOKUP(Tabela1[[#This Row],[COD.MDE]],'LISTA DE EMBARQUE'!B:L,11,0),"")</f>
        <v/>
      </c>
      <c r="W111" s="13" t="str">
        <f>IFERROR(COUNTIF(#REF!,Tabela1[[#This Row],[Colunas5]]),"")</f>
        <v/>
      </c>
      <c r="X111" s="14">
        <f>Tabela1[[#This Row],[QIANTIDADE EXPEDIDA]]*Tabela1[[#This Row],[PESO UNI]]</f>
        <v>0</v>
      </c>
      <c r="Y111" s="14">
        <f t="shared" si="16"/>
        <v>-11</v>
      </c>
      <c r="Z111" s="20">
        <f>Tabela1[[#This Row],[PESO TOTAL]]-Tabela1[[#This Row],[Peso Expedido]]</f>
        <v>309.10000000000002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/>
      <c r="AI111" s="33" t="str">
        <f t="shared" si="21"/>
        <v/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309.10000000000002</v>
      </c>
      <c r="AU111" s="37">
        <f t="shared" si="22"/>
        <v>0</v>
      </c>
      <c r="AV111" s="37">
        <f t="shared" si="23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17"/>
        <v>392</v>
      </c>
      <c r="T112" s="19">
        <f t="shared" si="20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16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1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2"/>
        <v>392</v>
      </c>
      <c r="AV112" s="37">
        <f t="shared" si="23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17"/>
        <v>41.8</v>
      </c>
      <c r="T113" s="19">
        <f t="shared" si="20"/>
        <v>0</v>
      </c>
      <c r="U113" s="16">
        <f>IFERROR(SUMIF('LISTA DE EMBARQUE'!B:B,MICRO!E:E,'LISTA DE EMBARQUE'!G:G),"")</f>
        <v>0</v>
      </c>
      <c r="V113" s="12" t="str">
        <f>IFERROR(VLOOKUP(Tabela1[[#This Row],[COD.MDE]],'LISTA DE EMBARQUE'!B:L,11,0),"")</f>
        <v/>
      </c>
      <c r="W113" s="13" t="str">
        <f>IFERROR(COUNTIF(#REF!,Tabela1[[#This Row],[Colunas5]]),"")</f>
        <v/>
      </c>
      <c r="X113" s="14">
        <f>Tabela1[[#This Row],[QIANTIDADE EXPEDIDA]]*Tabela1[[#This Row],[PESO UNI]]</f>
        <v>0</v>
      </c>
      <c r="Y113" s="14">
        <f t="shared" si="16"/>
        <v>-1</v>
      </c>
      <c r="Z113" s="20">
        <f>Tabela1[[#This Row],[PESO TOTAL]]-Tabela1[[#This Row],[Peso Expedido]]</f>
        <v>41.8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/>
      <c r="AI113" s="33" t="str">
        <f t="shared" si="21"/>
        <v/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41.8</v>
      </c>
      <c r="AU113" s="37">
        <f t="shared" si="22"/>
        <v>0</v>
      </c>
      <c r="AV113" s="37">
        <f t="shared" si="23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17"/>
        <v>10.8</v>
      </c>
      <c r="T114" s="19">
        <f t="shared" si="20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16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1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2"/>
        <v>10.8</v>
      </c>
      <c r="AV114" s="37">
        <f t="shared" si="23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si="19"/>
        <v>70.469999999999985</v>
      </c>
      <c r="S115" s="18">
        <f t="shared" si="17"/>
        <v>0</v>
      </c>
      <c r="T115" s="19">
        <f t="shared" si="20"/>
        <v>-97.199999999999989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16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/>
      <c r="AF115" s="33"/>
      <c r="AG115" s="33"/>
      <c r="AH115" s="33"/>
      <c r="AI115" s="33" t="str">
        <f t="shared" si="21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2"/>
        <v>0</v>
      </c>
      <c r="AV115" s="37">
        <f t="shared" si="23"/>
        <v>0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19"/>
        <v>0</v>
      </c>
      <c r="S116" s="18">
        <f t="shared" si="17"/>
        <v>0</v>
      </c>
      <c r="T116" s="19">
        <f t="shared" si="20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16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1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2"/>
        <v>0</v>
      </c>
      <c r="AV116" s="37">
        <f t="shared" si="23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ref="R117:R127" si="24">IFERROR(H117*((AA117*0.25)+(AC117*0.25)+(AD117*0.225)+(AE117*0.225)+(AF117*0.05)),"")</f>
        <v>0</v>
      </c>
      <c r="S117" s="18">
        <f t="shared" si="17"/>
        <v>0</v>
      </c>
      <c r="T117" s="19">
        <f t="shared" ref="T117:T127" si="25">IFERROR(S117-H117,"")</f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80" si="26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1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2"/>
        <v>0</v>
      </c>
      <c r="AV117" s="37">
        <f t="shared" si="23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4"/>
        <v>0</v>
      </c>
      <c r="S118" s="18">
        <f t="shared" ref="S118:S181" si="27">IFERROR(H118*AG118,"")</f>
        <v>0</v>
      </c>
      <c r="T118" s="19">
        <f t="shared" si="25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6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1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2"/>
        <v>0</v>
      </c>
      <c r="AV118" s="37">
        <f t="shared" si="23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4"/>
        <v>0</v>
      </c>
      <c r="S119" s="18">
        <f t="shared" si="27"/>
        <v>0</v>
      </c>
      <c r="T119" s="19">
        <f t="shared" si="25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6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1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2"/>
        <v>0</v>
      </c>
      <c r="AV119" s="37">
        <f t="shared" si="23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4"/>
        <v>0</v>
      </c>
      <c r="S120" s="18">
        <f t="shared" si="27"/>
        <v>0</v>
      </c>
      <c r="T120" s="19">
        <f t="shared" si="25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6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1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2"/>
        <v>0</v>
      </c>
      <c r="AV120" s="37">
        <f t="shared" si="23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4"/>
        <v>0</v>
      </c>
      <c r="S121" s="18">
        <f t="shared" si="27"/>
        <v>0</v>
      </c>
      <c r="T121" s="19">
        <f t="shared" si="25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6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1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2"/>
        <v>0</v>
      </c>
      <c r="AV121" s="37">
        <f t="shared" si="23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4"/>
        <v>0</v>
      </c>
      <c r="S122" s="18">
        <f t="shared" si="27"/>
        <v>0</v>
      </c>
      <c r="T122" s="19">
        <f t="shared" si="25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6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1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2"/>
        <v>0</v>
      </c>
      <c r="AV122" s="37">
        <f t="shared" si="23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4"/>
        <v>0</v>
      </c>
      <c r="S123" s="18">
        <f t="shared" si="27"/>
        <v>0</v>
      </c>
      <c r="T123" s="19">
        <f t="shared" si="25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6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1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2"/>
        <v>0</v>
      </c>
      <c r="AV123" s="37">
        <f t="shared" si="23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4"/>
        <v>0</v>
      </c>
      <c r="S124" s="18">
        <f t="shared" si="27"/>
        <v>0</v>
      </c>
      <c r="T124" s="19">
        <f t="shared" si="25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6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1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2"/>
        <v>0</v>
      </c>
      <c r="AV124" s="37">
        <f t="shared" si="23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4"/>
        <v>0</v>
      </c>
      <c r="S125" s="18">
        <f t="shared" si="27"/>
        <v>0</v>
      </c>
      <c r="T125" s="19">
        <f t="shared" si="25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6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1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2"/>
        <v>0</v>
      </c>
      <c r="AV125" s="37">
        <f t="shared" si="23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4"/>
        <v>0</v>
      </c>
      <c r="S126" s="18">
        <f t="shared" si="27"/>
        <v>0</v>
      </c>
      <c r="T126" s="19">
        <f t="shared" si="25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6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1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2"/>
        <v>0</v>
      </c>
      <c r="AV126" s="37">
        <f t="shared" si="23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4"/>
        <v>0</v>
      </c>
      <c r="S127" s="18">
        <f t="shared" si="27"/>
        <v>0</v>
      </c>
      <c r="T127" s="19">
        <f t="shared" si="25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6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1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2"/>
        <v>0</v>
      </c>
      <c r="AV127" s="37">
        <f t="shared" si="23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4417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ref="R128:R153" si="28">H128*((AA128*0.25)+(AC128*0.25)+(AD128*0.225)+(AE128*0.225)+(AF128*0.05))</f>
        <v>0</v>
      </c>
      <c r="S128" s="18">
        <f t="shared" si="27"/>
        <v>0</v>
      </c>
      <c r="T128" s="19">
        <f t="shared" ref="T128:T153" si="29">S128-H128</f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6"/>
        <v>-1</v>
      </c>
      <c r="Z128" s="20">
        <f>Tabela1[[#This Row],[PESO TOTAL]]-Tabela1[[#This Row],[Peso Expedido]]</f>
        <v>33</v>
      </c>
      <c r="AA128" s="17"/>
      <c r="AB128" s="33"/>
      <c r="AC128" s="33"/>
      <c r="AD128" s="33"/>
      <c r="AE128" s="33"/>
      <c r="AF128" s="33"/>
      <c r="AG128" s="33"/>
      <c r="AH128" s="33"/>
      <c r="AI128" s="33" t="str">
        <f t="shared" si="21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2"/>
        <v>0</v>
      </c>
      <c r="AV128" s="37">
        <f t="shared" si="23"/>
        <v>0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3301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4303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8"/>
        <v>0</v>
      </c>
      <c r="S129" s="18">
        <f t="shared" si="27"/>
        <v>0</v>
      </c>
      <c r="T129" s="19">
        <f t="shared" si="29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6"/>
        <v>-1</v>
      </c>
      <c r="Z129" s="20">
        <f>Tabela1[[#This Row],[PESO TOTAL]]-Tabela1[[#This Row],[Peso Expedido]]</f>
        <v>448.3</v>
      </c>
      <c r="AA129" s="17"/>
      <c r="AB129" s="33"/>
      <c r="AC129" s="33"/>
      <c r="AD129" s="33"/>
      <c r="AE129" s="33"/>
      <c r="AF129" s="33"/>
      <c r="AG129" s="33"/>
      <c r="AH129" s="33"/>
      <c r="AI129" s="33" t="str">
        <f t="shared" si="21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2"/>
        <v>0</v>
      </c>
      <c r="AV129" s="37">
        <f t="shared" si="23"/>
        <v>0</v>
      </c>
      <c r="AW129" s="37"/>
    </row>
    <row r="130" spans="1:49" ht="15.75" hidden="1" customHeight="1" x14ac:dyDescent="0.25">
      <c r="A130" s="6" t="s">
        <v>3302</v>
      </c>
      <c r="B130" s="21" t="s">
        <v>3303</v>
      </c>
      <c r="C130" s="7">
        <v>3</v>
      </c>
      <c r="D130" s="39" t="s">
        <v>3304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4303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8"/>
        <v>0</v>
      </c>
      <c r="S130" s="18">
        <f t="shared" si="27"/>
        <v>0</v>
      </c>
      <c r="T130" s="19">
        <f t="shared" si="29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6"/>
        <v>-3</v>
      </c>
      <c r="Z130" s="20">
        <f>Tabela1[[#This Row],[PESO TOTAL]]-Tabela1[[#This Row],[Peso Expedido]]</f>
        <v>66.599999999999994</v>
      </c>
      <c r="AA130" s="17"/>
      <c r="AB130" s="33"/>
      <c r="AC130" s="33"/>
      <c r="AD130" s="33"/>
      <c r="AE130" s="33"/>
      <c r="AF130" s="33"/>
      <c r="AG130" s="33"/>
      <c r="AH130" s="33"/>
      <c r="AI130" s="33" t="str">
        <f t="shared" si="21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2"/>
        <v>0</v>
      </c>
      <c r="AV130" s="37">
        <f t="shared" si="23"/>
        <v>0</v>
      </c>
      <c r="AW130" s="37"/>
    </row>
    <row r="131" spans="1:49" ht="15.75" hidden="1" customHeight="1" x14ac:dyDescent="0.25">
      <c r="A131" s="6" t="s">
        <v>3302</v>
      </c>
      <c r="B131" s="21" t="s">
        <v>3303</v>
      </c>
      <c r="C131" s="7">
        <v>1</v>
      </c>
      <c r="D131" s="39" t="s">
        <v>3305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4303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8"/>
        <v>0</v>
      </c>
      <c r="S131" s="18">
        <f t="shared" si="27"/>
        <v>0</v>
      </c>
      <c r="T131" s="19">
        <f t="shared" si="29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6"/>
        <v>-1</v>
      </c>
      <c r="Z131" s="20">
        <f>Tabela1[[#This Row],[PESO TOTAL]]-Tabela1[[#This Row],[Peso Expedido]]</f>
        <v>467.8</v>
      </c>
      <c r="AA131" s="17"/>
      <c r="AB131" s="33"/>
      <c r="AC131" s="33"/>
      <c r="AD131" s="33"/>
      <c r="AE131" s="33"/>
      <c r="AF131" s="33"/>
      <c r="AG131" s="33"/>
      <c r="AH131" s="33"/>
      <c r="AI131" s="33" t="str">
        <f t="shared" si="21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2"/>
        <v>0</v>
      </c>
      <c r="AV131" s="37">
        <f t="shared" si="23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3310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46176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8"/>
        <v>158.4</v>
      </c>
      <c r="S132" s="18">
        <f t="shared" si="27"/>
        <v>316.8</v>
      </c>
      <c r="T132" s="19">
        <f t="shared" si="29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6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1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2"/>
        <v>0</v>
      </c>
      <c r="AV132" s="37">
        <f t="shared" si="23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3311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46176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8"/>
        <v>162</v>
      </c>
      <c r="S133" s="18">
        <f t="shared" si="27"/>
        <v>324</v>
      </c>
      <c r="T133" s="19">
        <f t="shared" si="29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6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1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2"/>
        <v>0</v>
      </c>
      <c r="AV133" s="37">
        <f t="shared" si="23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3313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46170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8"/>
        <v>547.20000000000005</v>
      </c>
      <c r="S134" s="18">
        <f t="shared" si="27"/>
        <v>547.20000000000005</v>
      </c>
      <c r="T134" s="19">
        <f t="shared" si="29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>
        <v>46206</v>
      </c>
      <c r="X134" s="14">
        <f>Tabela1[[#This Row],[QIANTIDADE EXPEDIDA]]*Tabela1[[#This Row],[PESO UNI]]</f>
        <v>547.20000000000005</v>
      </c>
      <c r="Y134" s="14">
        <f t="shared" si="26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1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2"/>
        <v>547.20000000000005</v>
      </c>
      <c r="AV134" s="37">
        <f t="shared" si="23"/>
        <v>547.20000000000005</v>
      </c>
      <c r="AW134" s="37"/>
    </row>
    <row r="135" spans="1:49" ht="15.75" hidden="1" customHeight="1" x14ac:dyDescent="0.25">
      <c r="A135" s="6" t="s">
        <v>3316</v>
      </c>
      <c r="B135" s="21" t="s">
        <v>3317</v>
      </c>
      <c r="C135" s="7">
        <v>38</v>
      </c>
      <c r="D135" s="39" t="s">
        <v>3318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4303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8"/>
        <v>0</v>
      </c>
      <c r="S135" s="18">
        <f t="shared" si="27"/>
        <v>0</v>
      </c>
      <c r="T135" s="19">
        <f t="shared" si="29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6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1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2"/>
        <v>0</v>
      </c>
      <c r="AV135" s="37">
        <f t="shared" si="23"/>
        <v>0</v>
      </c>
      <c r="AW135" s="37"/>
    </row>
    <row r="136" spans="1:49" ht="15.75" hidden="1" customHeight="1" x14ac:dyDescent="0.25">
      <c r="A136" s="6" t="s">
        <v>3316</v>
      </c>
      <c r="B136" s="21" t="s">
        <v>3317</v>
      </c>
      <c r="C136" s="7">
        <v>16</v>
      </c>
      <c r="D136" s="39" t="s">
        <v>3320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4303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8"/>
        <v>0</v>
      </c>
      <c r="S136" s="18">
        <f t="shared" si="27"/>
        <v>0</v>
      </c>
      <c r="T136" s="19">
        <f t="shared" si="29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6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1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2"/>
        <v>0</v>
      </c>
      <c r="AV136" s="37">
        <f t="shared" si="23"/>
        <v>0</v>
      </c>
      <c r="AW136" s="37"/>
    </row>
    <row r="137" spans="1:49" ht="15.75" hidden="1" customHeight="1" x14ac:dyDescent="0.25">
      <c r="A137" s="6" t="s">
        <v>3316</v>
      </c>
      <c r="B137" s="21" t="s">
        <v>3317</v>
      </c>
      <c r="C137" s="7">
        <v>54</v>
      </c>
      <c r="D137" s="39" t="s">
        <v>3319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4303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8"/>
        <v>0</v>
      </c>
      <c r="S137" s="18">
        <f t="shared" si="27"/>
        <v>0</v>
      </c>
      <c r="T137" s="19">
        <f t="shared" si="29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6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1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2"/>
        <v>0</v>
      </c>
      <c r="AV137" s="37">
        <f t="shared" si="23"/>
        <v>0</v>
      </c>
      <c r="AW137" s="37"/>
    </row>
    <row r="138" spans="1:49" ht="15.75" hidden="1" customHeight="1" x14ac:dyDescent="0.25">
      <c r="A138" s="6" t="s">
        <v>3316</v>
      </c>
      <c r="B138" s="21" t="s">
        <v>3317</v>
      </c>
      <c r="C138" s="7">
        <v>54</v>
      </c>
      <c r="D138" s="39" t="s">
        <v>3321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4303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8"/>
        <v>0</v>
      </c>
      <c r="S138" s="18">
        <f t="shared" si="27"/>
        <v>0</v>
      </c>
      <c r="T138" s="19">
        <f t="shared" si="29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6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1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2"/>
        <v>0</v>
      </c>
      <c r="AV138" s="37">
        <f t="shared" si="23"/>
        <v>0</v>
      </c>
      <c r="AW138" s="37"/>
    </row>
    <row r="139" spans="1:49" ht="15.75" hidden="1" customHeight="1" x14ac:dyDescent="0.25">
      <c r="A139" s="6" t="s">
        <v>3316</v>
      </c>
      <c r="B139" s="21" t="s">
        <v>3317</v>
      </c>
      <c r="C139" s="7">
        <v>208</v>
      </c>
      <c r="D139" s="39" t="s">
        <v>3322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4303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8"/>
        <v>0</v>
      </c>
      <c r="S139" s="18">
        <f t="shared" si="27"/>
        <v>0</v>
      </c>
      <c r="T139" s="19">
        <f t="shared" si="29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6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1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2"/>
        <v>0</v>
      </c>
      <c r="AV139" s="37">
        <f t="shared" si="23"/>
        <v>0</v>
      </c>
      <c r="AW139" s="37"/>
    </row>
    <row r="140" spans="1:49" ht="15.75" hidden="1" customHeight="1" x14ac:dyDescent="0.25">
      <c r="A140" s="6" t="s">
        <v>3316</v>
      </c>
      <c r="B140" s="21" t="s">
        <v>3317</v>
      </c>
      <c r="C140" s="7">
        <v>2</v>
      </c>
      <c r="D140" s="39" t="s">
        <v>3323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4303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8"/>
        <v>0</v>
      </c>
      <c r="S140" s="18">
        <f t="shared" si="27"/>
        <v>0</v>
      </c>
      <c r="T140" s="19">
        <f t="shared" si="29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6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1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2"/>
        <v>0</v>
      </c>
      <c r="AV140" s="37">
        <f t="shared" si="23"/>
        <v>0</v>
      </c>
      <c r="AW140" s="37"/>
    </row>
    <row r="141" spans="1:49" ht="15.75" hidden="1" customHeight="1" x14ac:dyDescent="0.25">
      <c r="A141" s="6" t="s">
        <v>3316</v>
      </c>
      <c r="B141" s="21" t="s">
        <v>3317</v>
      </c>
      <c r="C141" s="7">
        <v>2</v>
      </c>
      <c r="D141" s="39" t="s">
        <v>3324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4303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8"/>
        <v>0</v>
      </c>
      <c r="S141" s="18">
        <f t="shared" si="27"/>
        <v>0</v>
      </c>
      <c r="T141" s="19">
        <f t="shared" si="29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6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1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2"/>
        <v>0</v>
      </c>
      <c r="AV141" s="37">
        <f t="shared" si="23"/>
        <v>0</v>
      </c>
      <c r="AW141" s="37"/>
    </row>
    <row r="142" spans="1:49" ht="15.75" hidden="1" customHeight="1" x14ac:dyDescent="0.25">
      <c r="A142" s="6" t="s">
        <v>3316</v>
      </c>
      <c r="B142" s="21" t="s">
        <v>3317</v>
      </c>
      <c r="C142" s="7">
        <v>14</v>
      </c>
      <c r="D142" s="39" t="s">
        <v>3325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4303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8"/>
        <v>0</v>
      </c>
      <c r="S142" s="18">
        <f t="shared" si="27"/>
        <v>0</v>
      </c>
      <c r="T142" s="19">
        <f t="shared" si="29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6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1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2"/>
        <v>0</v>
      </c>
      <c r="AV142" s="37">
        <f t="shared" si="23"/>
        <v>0</v>
      </c>
      <c r="AW142" s="37"/>
    </row>
    <row r="143" spans="1:49" ht="15.75" hidden="1" customHeight="1" x14ac:dyDescent="0.25">
      <c r="A143" s="6" t="s">
        <v>3316</v>
      </c>
      <c r="B143" s="21" t="s">
        <v>3317</v>
      </c>
      <c r="C143" s="7">
        <v>14</v>
      </c>
      <c r="D143" s="39" t="s">
        <v>3326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4303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8"/>
        <v>0</v>
      </c>
      <c r="S143" s="18">
        <f t="shared" si="27"/>
        <v>0</v>
      </c>
      <c r="T143" s="19">
        <f t="shared" si="29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6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1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2"/>
        <v>0</v>
      </c>
      <c r="AV143" s="37">
        <f t="shared" si="23"/>
        <v>0</v>
      </c>
      <c r="AW143" s="37"/>
    </row>
    <row r="144" spans="1:49" ht="15.75" hidden="1" customHeight="1" x14ac:dyDescent="0.25">
      <c r="A144" s="6" t="s">
        <v>3316</v>
      </c>
      <c r="B144" s="21" t="s">
        <v>3317</v>
      </c>
      <c r="C144" s="7">
        <v>4</v>
      </c>
      <c r="D144" s="39" t="s">
        <v>3327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4303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8"/>
        <v>0</v>
      </c>
      <c r="S144" s="18">
        <f t="shared" si="27"/>
        <v>0</v>
      </c>
      <c r="T144" s="19">
        <f t="shared" si="29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6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1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2"/>
        <v>0</v>
      </c>
      <c r="AV144" s="37">
        <f t="shared" si="23"/>
        <v>0</v>
      </c>
      <c r="AW144" s="37"/>
    </row>
    <row r="145" spans="1:49" ht="15.75" hidden="1" customHeight="1" x14ac:dyDescent="0.25">
      <c r="A145" s="6" t="s">
        <v>3316</v>
      </c>
      <c r="B145" s="21" t="s">
        <v>3317</v>
      </c>
      <c r="C145" s="7">
        <v>2</v>
      </c>
      <c r="D145" s="39" t="s">
        <v>3328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4303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8"/>
        <v>0</v>
      </c>
      <c r="S145" s="18">
        <f t="shared" si="27"/>
        <v>0</v>
      </c>
      <c r="T145" s="19">
        <f t="shared" si="29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6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1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2"/>
        <v>0</v>
      </c>
      <c r="AV145" s="37">
        <f t="shared" si="23"/>
        <v>0</v>
      </c>
      <c r="AW145" s="37"/>
    </row>
    <row r="146" spans="1:49" ht="15.75" hidden="1" customHeight="1" x14ac:dyDescent="0.25">
      <c r="A146" s="6" t="s">
        <v>3316</v>
      </c>
      <c r="B146" s="21" t="s">
        <v>3317</v>
      </c>
      <c r="C146" s="7">
        <v>2</v>
      </c>
      <c r="D146" s="39" t="s">
        <v>3329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4303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8"/>
        <v>0</v>
      </c>
      <c r="S146" s="18">
        <f t="shared" si="27"/>
        <v>0</v>
      </c>
      <c r="T146" s="19">
        <f t="shared" si="29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6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1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2"/>
        <v>0</v>
      </c>
      <c r="AV146" s="37">
        <f t="shared" si="23"/>
        <v>0</v>
      </c>
      <c r="AW146" s="37"/>
    </row>
    <row r="147" spans="1:49" ht="15.75" hidden="1" customHeight="1" x14ac:dyDescent="0.25">
      <c r="A147" s="6" t="s">
        <v>3316</v>
      </c>
      <c r="B147" s="21" t="s">
        <v>3317</v>
      </c>
      <c r="C147" s="7">
        <v>2</v>
      </c>
      <c r="D147" s="39" t="s">
        <v>3330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4303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8"/>
        <v>0</v>
      </c>
      <c r="S147" s="18">
        <f t="shared" si="27"/>
        <v>0</v>
      </c>
      <c r="T147" s="19">
        <f t="shared" si="29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6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1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2"/>
        <v>0</v>
      </c>
      <c r="AV147" s="37">
        <f t="shared" si="23"/>
        <v>0</v>
      </c>
      <c r="AW147" s="37"/>
    </row>
    <row r="148" spans="1:49" ht="15.75" hidden="1" customHeight="1" x14ac:dyDescent="0.25">
      <c r="A148" s="6" t="s">
        <v>3316</v>
      </c>
      <c r="B148" s="21" t="s">
        <v>3317</v>
      </c>
      <c r="C148" s="7">
        <v>2</v>
      </c>
      <c r="D148" s="39" t="s">
        <v>3331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4303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8"/>
        <v>0</v>
      </c>
      <c r="S148" s="18">
        <f t="shared" si="27"/>
        <v>0</v>
      </c>
      <c r="T148" s="19">
        <f t="shared" si="29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6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1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2"/>
        <v>0</v>
      </c>
      <c r="AV148" s="37">
        <f t="shared" si="23"/>
        <v>0</v>
      </c>
      <c r="AW148" s="37"/>
    </row>
    <row r="149" spans="1:49" ht="15.75" hidden="1" customHeight="1" x14ac:dyDescent="0.25">
      <c r="A149" s="6" t="s">
        <v>3316</v>
      </c>
      <c r="B149" s="21" t="s">
        <v>3317</v>
      </c>
      <c r="C149" s="7">
        <v>2</v>
      </c>
      <c r="D149" s="39" t="s">
        <v>3332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4303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si="28"/>
        <v>0</v>
      </c>
      <c r="S149" s="18">
        <f t="shared" si="27"/>
        <v>0</v>
      </c>
      <c r="T149" s="19">
        <f t="shared" si="29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6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1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2"/>
        <v>0</v>
      </c>
      <c r="AV149" s="37">
        <f t="shared" si="23"/>
        <v>0</v>
      </c>
      <c r="AW149" s="37"/>
    </row>
    <row r="150" spans="1:49" ht="15.75" hidden="1" customHeight="1" x14ac:dyDescent="0.25">
      <c r="A150" s="6" t="s">
        <v>3316</v>
      </c>
      <c r="B150" s="21" t="s">
        <v>3317</v>
      </c>
      <c r="C150" s="7">
        <v>2</v>
      </c>
      <c r="D150" s="39" t="s">
        <v>3333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4303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28"/>
        <v>0</v>
      </c>
      <c r="S150" s="18">
        <f t="shared" si="27"/>
        <v>0</v>
      </c>
      <c r="T150" s="19">
        <f t="shared" si="29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6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1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2"/>
        <v>0</v>
      </c>
      <c r="AV150" s="37">
        <f t="shared" si="23"/>
        <v>0</v>
      </c>
      <c r="AW150" s="37"/>
    </row>
    <row r="151" spans="1:49" ht="15.75" hidden="1" customHeight="1" x14ac:dyDescent="0.25">
      <c r="A151" s="6" t="s">
        <v>3730</v>
      </c>
      <c r="B151" s="21" t="s">
        <v>3731</v>
      </c>
      <c r="C151" s="7">
        <v>4</v>
      </c>
      <c r="D151" s="39" t="s">
        <v>3732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4303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28"/>
        <v>0</v>
      </c>
      <c r="S151" s="18">
        <f t="shared" si="27"/>
        <v>0</v>
      </c>
      <c r="T151" s="19">
        <f t="shared" si="29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6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1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2"/>
        <v>0</v>
      </c>
      <c r="AV151" s="37">
        <f t="shared" si="23"/>
        <v>0</v>
      </c>
      <c r="AW151" s="37"/>
    </row>
    <row r="152" spans="1:49" ht="15.75" hidden="1" customHeight="1" x14ac:dyDescent="0.25">
      <c r="A152" s="6" t="s">
        <v>3733</v>
      </c>
      <c r="B152" s="21" t="s">
        <v>3734</v>
      </c>
      <c r="C152" s="7">
        <v>4</v>
      </c>
      <c r="D152" s="39" t="s">
        <v>3735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28"/>
        <v>0</v>
      </c>
      <c r="S152" s="18">
        <f t="shared" si="27"/>
        <v>0</v>
      </c>
      <c r="T152" s="19">
        <f t="shared" si="29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6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1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2"/>
        <v>0</v>
      </c>
      <c r="AV152" s="37">
        <f t="shared" si="23"/>
        <v>0</v>
      </c>
      <c r="AW152" s="37"/>
    </row>
    <row r="153" spans="1:49" ht="15.75" hidden="1" customHeight="1" x14ac:dyDescent="0.25">
      <c r="A153" s="6" t="s">
        <v>3733</v>
      </c>
      <c r="B153" s="21" t="s">
        <v>3734</v>
      </c>
      <c r="C153" s="7">
        <v>1</v>
      </c>
      <c r="D153" s="39" t="s">
        <v>3736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28"/>
        <v>0</v>
      </c>
      <c r="S153" s="18">
        <f t="shared" si="27"/>
        <v>0</v>
      </c>
      <c r="T153" s="19">
        <f t="shared" si="29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6"/>
        <v>-1</v>
      </c>
      <c r="Z153" s="20">
        <f>Tabela1[[#This Row],[PESO TOTAL]]-Tabela1[[#This Row],[Peso Expedido]]</f>
        <v>255</v>
      </c>
      <c r="AA153" s="17"/>
      <c r="AB153" s="33"/>
      <c r="AC153" s="33"/>
      <c r="AD153" s="33"/>
      <c r="AE153" s="33"/>
      <c r="AF153" s="33"/>
      <c r="AG153" s="33"/>
      <c r="AH153" s="33"/>
      <c r="AI153" s="33" t="str">
        <f t="shared" si="21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2"/>
        <v>0</v>
      </c>
      <c r="AV153" s="37">
        <f t="shared" si="23"/>
        <v>0</v>
      </c>
      <c r="AW153" s="37"/>
    </row>
    <row r="154" spans="1:49" ht="15.75" hidden="1" customHeight="1" x14ac:dyDescent="0.25">
      <c r="A154" s="6" t="s">
        <v>3759</v>
      </c>
      <c r="B154" s="21" t="s">
        <v>3760</v>
      </c>
      <c r="C154" s="7">
        <v>1</v>
      </c>
      <c r="D154" s="39" t="s">
        <v>3761</v>
      </c>
      <c r="E154" s="7">
        <v>4039</v>
      </c>
      <c r="F154" s="7" t="s">
        <v>3762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1">IFERROR(H154*((AA154*0.25)+(AC154*0.25)+(AD154*0.225)+(AE154*0.225)+(AF154*0.05)),"")</f>
        <v>1360</v>
      </c>
      <c r="S154" s="18">
        <f t="shared" si="27"/>
        <v>1360</v>
      </c>
      <c r="T154" s="19">
        <f t="shared" ref="T154:T217" si="32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2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1"/>
        <v>ok</v>
      </c>
      <c r="AJ154" s="33" t="s">
        <v>4416</v>
      </c>
      <c r="AK154" s="33" t="s">
        <v>4416</v>
      </c>
      <c r="AL154" s="33" t="s">
        <v>4416</v>
      </c>
      <c r="AM154" s="33" t="s">
        <v>4416</v>
      </c>
      <c r="AN154" s="33" t="s">
        <v>4416</v>
      </c>
      <c r="AO154" s="33" t="s">
        <v>4416</v>
      </c>
      <c r="AP154" s="33" t="s">
        <v>4416</v>
      </c>
      <c r="AQ154" s="33" t="s">
        <v>4416</v>
      </c>
      <c r="AR154" s="33" t="s">
        <v>4416</v>
      </c>
      <c r="AS154" s="33" t="s">
        <v>4416</v>
      </c>
      <c r="AT154" s="33" t="s">
        <v>4416</v>
      </c>
      <c r="AU154" s="33" t="s">
        <v>4416</v>
      </c>
      <c r="AV154" s="33" t="s">
        <v>4416</v>
      </c>
      <c r="AW154" s="33" t="s">
        <v>4416</v>
      </c>
    </row>
    <row r="155" spans="1:49" ht="15.75" hidden="1" customHeight="1" x14ac:dyDescent="0.25">
      <c r="A155" s="6" t="s">
        <v>3759</v>
      </c>
      <c r="B155" s="21" t="s">
        <v>3760</v>
      </c>
      <c r="C155" s="7">
        <v>1</v>
      </c>
      <c r="D155" s="39" t="s">
        <v>3761</v>
      </c>
      <c r="E155" s="7">
        <v>4040</v>
      </c>
      <c r="F155" s="7" t="s">
        <v>3762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1"/>
        <v>1360</v>
      </c>
      <c r="S155" s="18">
        <f t="shared" si="27"/>
        <v>1360</v>
      </c>
      <c r="T155" s="19">
        <f t="shared" si="32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2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1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2"/>
        <v>1360</v>
      </c>
      <c r="AV155" s="37">
        <f t="shared" si="23"/>
        <v>1360</v>
      </c>
      <c r="AW155" s="37"/>
    </row>
    <row r="156" spans="1:49" ht="15.75" hidden="1" customHeight="1" x14ac:dyDescent="0.25">
      <c r="A156" s="6" t="s">
        <v>3763</v>
      </c>
      <c r="B156" s="21" t="s">
        <v>3764</v>
      </c>
      <c r="C156" s="7">
        <v>1</v>
      </c>
      <c r="D156" s="39" t="s">
        <v>3761</v>
      </c>
      <c r="E156" s="7">
        <v>4041</v>
      </c>
      <c r="F156" s="7" t="s">
        <v>3762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1"/>
        <v>1335.1</v>
      </c>
      <c r="S156" s="18">
        <f t="shared" si="27"/>
        <v>1335.1</v>
      </c>
      <c r="T156" s="19">
        <f t="shared" si="32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2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3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2"/>
        <v>1335.1</v>
      </c>
      <c r="AV156" s="37">
        <f t="shared" si="23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1</v>
      </c>
      <c r="D157" s="39" t="s">
        <v>3761</v>
      </c>
      <c r="E157" s="7">
        <v>4042</v>
      </c>
      <c r="F157" s="7" t="s">
        <v>3762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1"/>
        <v>1335.1</v>
      </c>
      <c r="S157" s="18">
        <f t="shared" si="27"/>
        <v>1335.1</v>
      </c>
      <c r="T157" s="19">
        <f t="shared" si="32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2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3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2"/>
        <v>1335.1</v>
      </c>
      <c r="AV157" s="37">
        <f t="shared" si="23"/>
        <v>1335.1</v>
      </c>
      <c r="AW157" s="37"/>
    </row>
    <row r="158" spans="1:49" ht="15.75" hidden="1" customHeight="1" x14ac:dyDescent="0.25">
      <c r="A158" s="6" t="s">
        <v>3765</v>
      </c>
      <c r="B158" s="21" t="s">
        <v>3766</v>
      </c>
      <c r="C158" s="7">
        <v>2</v>
      </c>
      <c r="D158" s="39" t="s">
        <v>3767</v>
      </c>
      <c r="E158" s="7">
        <v>4043</v>
      </c>
      <c r="F158" s="7" t="s">
        <v>3768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1"/>
        <v>25.2</v>
      </c>
      <c r="S158" s="18">
        <f t="shared" si="27"/>
        <v>25.2</v>
      </c>
      <c r="T158" s="19">
        <f t="shared" si="32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2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3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2"/>
        <v>25.2</v>
      </c>
      <c r="AV158" s="37">
        <f t="shared" si="23"/>
        <v>25.2</v>
      </c>
      <c r="AW158" s="37"/>
    </row>
    <row r="159" spans="1:49" ht="15.75" hidden="1" customHeight="1" x14ac:dyDescent="0.25">
      <c r="A159" s="6" t="s">
        <v>3765</v>
      </c>
      <c r="B159" s="21" t="s">
        <v>3769</v>
      </c>
      <c r="C159" s="7">
        <v>4</v>
      </c>
      <c r="D159" s="39" t="s">
        <v>3767</v>
      </c>
      <c r="E159" s="7">
        <v>4044</v>
      </c>
      <c r="F159" s="7" t="s">
        <v>3768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1"/>
        <v>50.4</v>
      </c>
      <c r="S159" s="18">
        <f t="shared" si="27"/>
        <v>50.4</v>
      </c>
      <c r="T159" s="19">
        <f t="shared" si="32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2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3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2"/>
        <v>50.4</v>
      </c>
      <c r="AV159" s="37">
        <f t="shared" si="23"/>
        <v>50.4</v>
      </c>
      <c r="AW159" s="37"/>
    </row>
    <row r="160" spans="1:49" ht="15.75" hidden="1" customHeight="1" x14ac:dyDescent="0.25">
      <c r="A160" s="6" t="s">
        <v>3765</v>
      </c>
      <c r="B160" s="21" t="s">
        <v>3770</v>
      </c>
      <c r="C160" s="7">
        <v>4</v>
      </c>
      <c r="D160" s="39" t="s">
        <v>3771</v>
      </c>
      <c r="E160" s="7">
        <v>4045</v>
      </c>
      <c r="F160" s="7" t="s">
        <v>3768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1"/>
        <v>228.4</v>
      </c>
      <c r="S160" s="18">
        <f t="shared" si="27"/>
        <v>228.4</v>
      </c>
      <c r="T160" s="19">
        <f t="shared" si="32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2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3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2"/>
        <v>228.4</v>
      </c>
      <c r="AV160" s="37">
        <f t="shared" si="23"/>
        <v>228.4</v>
      </c>
      <c r="AW160" s="37"/>
    </row>
    <row r="161" spans="1:49" ht="15.75" hidden="1" customHeight="1" x14ac:dyDescent="0.25">
      <c r="A161" s="6" t="s">
        <v>3765</v>
      </c>
      <c r="B161" s="21" t="s">
        <v>3772</v>
      </c>
      <c r="C161" s="7">
        <v>24</v>
      </c>
      <c r="D161" s="39" t="s">
        <v>3771</v>
      </c>
      <c r="E161" s="7">
        <v>4046</v>
      </c>
      <c r="F161" s="7" t="s">
        <v>3768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1"/>
        <v>19.200000000000003</v>
      </c>
      <c r="S161" s="18">
        <f t="shared" si="27"/>
        <v>19.200000000000003</v>
      </c>
      <c r="T161" s="19">
        <f t="shared" si="32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2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3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2"/>
        <v>0</v>
      </c>
      <c r="AV161" s="37">
        <f t="shared" si="23"/>
        <v>19.200000000000003</v>
      </c>
      <c r="AW161" s="37"/>
    </row>
    <row r="162" spans="1:49" ht="15.75" hidden="1" customHeight="1" x14ac:dyDescent="0.25">
      <c r="A162" s="6" t="s">
        <v>3765</v>
      </c>
      <c r="B162" s="21" t="s">
        <v>3773</v>
      </c>
      <c r="C162" s="7">
        <v>1</v>
      </c>
      <c r="D162" s="39" t="s">
        <v>3771</v>
      </c>
      <c r="E162" s="7">
        <v>4047</v>
      </c>
      <c r="F162" s="7" t="s">
        <v>3768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1"/>
        <v>128.80000000000001</v>
      </c>
      <c r="S162" s="18">
        <f t="shared" si="27"/>
        <v>0</v>
      </c>
      <c r="T162" s="19">
        <f t="shared" si="32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2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3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2"/>
        <v>0</v>
      </c>
      <c r="AV162" s="37">
        <f t="shared" si="23"/>
        <v>0</v>
      </c>
      <c r="AW162" s="37"/>
    </row>
    <row r="163" spans="1:49" ht="15.75" hidden="1" customHeight="1" x14ac:dyDescent="0.25">
      <c r="A163" s="6" t="s">
        <v>3765</v>
      </c>
      <c r="B163" s="21" t="s">
        <v>3766</v>
      </c>
      <c r="C163" s="7">
        <v>2</v>
      </c>
      <c r="D163" s="39" t="s">
        <v>3767</v>
      </c>
      <c r="E163" s="7">
        <v>4048</v>
      </c>
      <c r="F163" s="7" t="s">
        <v>3768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1"/>
        <v>25.2</v>
      </c>
      <c r="S163" s="18">
        <f t="shared" si="27"/>
        <v>25.2</v>
      </c>
      <c r="T163" s="19">
        <f t="shared" si="32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2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3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2"/>
        <v>25.2</v>
      </c>
      <c r="AV163" s="37">
        <f t="shared" si="23"/>
        <v>25.2</v>
      </c>
      <c r="AW163" s="37"/>
    </row>
    <row r="164" spans="1:49" ht="15.75" hidden="1" customHeight="1" x14ac:dyDescent="0.25">
      <c r="A164" s="6" t="s">
        <v>3765</v>
      </c>
      <c r="B164" s="21" t="s">
        <v>3769</v>
      </c>
      <c r="C164" s="7">
        <v>4</v>
      </c>
      <c r="D164" s="39" t="s">
        <v>3767</v>
      </c>
      <c r="E164" s="7">
        <v>4049</v>
      </c>
      <c r="F164" s="7" t="s">
        <v>3768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1"/>
        <v>50.4</v>
      </c>
      <c r="S164" s="18">
        <f t="shared" si="27"/>
        <v>50.4</v>
      </c>
      <c r="T164" s="19">
        <f t="shared" si="32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2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3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2"/>
        <v>50.4</v>
      </c>
      <c r="AV164" s="37">
        <f t="shared" si="23"/>
        <v>50.4</v>
      </c>
      <c r="AW164" s="37"/>
    </row>
    <row r="165" spans="1:49" ht="15.75" hidden="1" customHeight="1" x14ac:dyDescent="0.25">
      <c r="A165" s="6" t="s">
        <v>3765</v>
      </c>
      <c r="B165" s="21" t="s">
        <v>3770</v>
      </c>
      <c r="C165" s="7">
        <v>4</v>
      </c>
      <c r="D165" s="39" t="s">
        <v>3771</v>
      </c>
      <c r="E165" s="7">
        <v>4050</v>
      </c>
      <c r="F165" s="7" t="s">
        <v>3768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1"/>
        <v>228.4</v>
      </c>
      <c r="S165" s="18">
        <f t="shared" si="27"/>
        <v>228.4</v>
      </c>
      <c r="T165" s="19">
        <f t="shared" si="32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2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3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4">IF(AH165="",0,IF(ISTEXT(AH165),H165*VALUE(SUBSTITUTE(AH165,"%",""))/100,H165*AH165))</f>
        <v>228.4</v>
      </c>
      <c r="AV165" s="37">
        <f t="shared" ref="AV165:AV228" si="35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3765</v>
      </c>
      <c r="B166" s="21" t="s">
        <v>3773</v>
      </c>
      <c r="C166" s="7">
        <v>1</v>
      </c>
      <c r="D166" s="39" t="s">
        <v>3771</v>
      </c>
      <c r="E166" s="7">
        <v>4051</v>
      </c>
      <c r="F166" s="7" t="s">
        <v>3768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1"/>
        <v>128.80000000000001</v>
      </c>
      <c r="S166" s="18">
        <f t="shared" si="27"/>
        <v>0</v>
      </c>
      <c r="T166" s="19">
        <f t="shared" si="32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2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3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4"/>
        <v>0</v>
      </c>
      <c r="AV166" s="37">
        <f t="shared" si="35"/>
        <v>0</v>
      </c>
      <c r="AW166" s="37"/>
    </row>
    <row r="167" spans="1:49" ht="15.75" hidden="1" customHeight="1" x14ac:dyDescent="0.25">
      <c r="A167" s="6" t="s">
        <v>3765</v>
      </c>
      <c r="B167" s="21" t="s">
        <v>3772</v>
      </c>
      <c r="C167" s="7">
        <v>24</v>
      </c>
      <c r="D167" s="39" t="s">
        <v>3771</v>
      </c>
      <c r="E167" s="7">
        <v>4052</v>
      </c>
      <c r="F167" s="7" t="s">
        <v>3768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1"/>
        <v>19.200000000000003</v>
      </c>
      <c r="S167" s="18">
        <f t="shared" si="27"/>
        <v>19.200000000000003</v>
      </c>
      <c r="T167" s="19">
        <f t="shared" si="32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2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3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4"/>
        <v>0</v>
      </c>
      <c r="AV167" s="37">
        <f t="shared" si="35"/>
        <v>19.200000000000003</v>
      </c>
      <c r="AW167" s="37"/>
    </row>
    <row r="168" spans="1:49" ht="15.75" hidden="1" customHeight="1" x14ac:dyDescent="0.25">
      <c r="A168" s="6" t="s">
        <v>3774</v>
      </c>
      <c r="B168" s="21" t="s">
        <v>3775</v>
      </c>
      <c r="C168" s="7">
        <v>1</v>
      </c>
      <c r="D168" s="39" t="s">
        <v>3761</v>
      </c>
      <c r="E168" s="7">
        <v>4053</v>
      </c>
      <c r="F168" s="7" t="s">
        <v>3776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1"/>
        <v>1137.2</v>
      </c>
      <c r="S168" s="18">
        <f t="shared" si="27"/>
        <v>1137.2</v>
      </c>
      <c r="T168" s="19">
        <f t="shared" si="32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2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3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4"/>
        <v>1137.2</v>
      </c>
      <c r="AV168" s="37">
        <f t="shared" si="35"/>
        <v>1137.2</v>
      </c>
      <c r="AW168" s="37"/>
    </row>
    <row r="169" spans="1:49" ht="15.75" hidden="1" customHeight="1" x14ac:dyDescent="0.25">
      <c r="A169" s="6" t="s">
        <v>3774</v>
      </c>
      <c r="B169" s="21" t="s">
        <v>3777</v>
      </c>
      <c r="C169" s="7">
        <v>1</v>
      </c>
      <c r="D169" s="39" t="s">
        <v>3778</v>
      </c>
      <c r="E169" s="7">
        <v>4054</v>
      </c>
      <c r="F169" s="7" t="s">
        <v>3776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1"/>
        <v>142.19999999999999</v>
      </c>
      <c r="S169" s="18">
        <f t="shared" si="27"/>
        <v>142.19999999999999</v>
      </c>
      <c r="T169" s="19">
        <f t="shared" si="32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2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3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4"/>
        <v>142.19999999999999</v>
      </c>
      <c r="AV169" s="37">
        <f t="shared" si="35"/>
        <v>142.19999999999999</v>
      </c>
      <c r="AW169" s="37"/>
    </row>
    <row r="170" spans="1:49" ht="15.75" hidden="1" customHeight="1" x14ac:dyDescent="0.25">
      <c r="A170" s="6" t="s">
        <v>3774</v>
      </c>
      <c r="B170" s="21" t="s">
        <v>3779</v>
      </c>
      <c r="C170" s="7">
        <v>1</v>
      </c>
      <c r="D170" s="39" t="s">
        <v>3778</v>
      </c>
      <c r="E170" s="7">
        <v>4055</v>
      </c>
      <c r="F170" s="7" t="s">
        <v>3776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1"/>
        <v>295.39999999999998</v>
      </c>
      <c r="S170" s="18">
        <f t="shared" si="27"/>
        <v>295.39999999999998</v>
      </c>
      <c r="T170" s="19">
        <f t="shared" si="32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2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3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4"/>
        <v>295.39999999999998</v>
      </c>
      <c r="AV170" s="37">
        <f t="shared" si="35"/>
        <v>295.39999999999998</v>
      </c>
      <c r="AW170" s="37"/>
    </row>
    <row r="171" spans="1:49" ht="15.75" hidden="1" customHeight="1" x14ac:dyDescent="0.25">
      <c r="A171" s="6" t="s">
        <v>3774</v>
      </c>
      <c r="B171" s="21" t="s">
        <v>3775</v>
      </c>
      <c r="C171" s="7">
        <v>1</v>
      </c>
      <c r="D171" s="39" t="s">
        <v>3761</v>
      </c>
      <c r="E171" s="7">
        <v>4056</v>
      </c>
      <c r="F171" s="7" t="s">
        <v>3776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1"/>
        <v>1137.2</v>
      </c>
      <c r="S171" s="18">
        <f t="shared" si="27"/>
        <v>1137.2</v>
      </c>
      <c r="T171" s="19">
        <f t="shared" si="32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2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3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4"/>
        <v>1137.2</v>
      </c>
      <c r="AV171" s="37">
        <f t="shared" si="35"/>
        <v>1137.2</v>
      </c>
      <c r="AW171" s="37"/>
    </row>
    <row r="172" spans="1:49" ht="15.75" hidden="1" customHeight="1" x14ac:dyDescent="0.25">
      <c r="A172" s="6" t="s">
        <v>3774</v>
      </c>
      <c r="B172" s="21" t="s">
        <v>3777</v>
      </c>
      <c r="C172" s="7">
        <v>1</v>
      </c>
      <c r="D172" s="39" t="s">
        <v>3778</v>
      </c>
      <c r="E172" s="7">
        <v>4057</v>
      </c>
      <c r="F172" s="7" t="s">
        <v>3776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1"/>
        <v>142.19999999999999</v>
      </c>
      <c r="S172" s="18">
        <f t="shared" si="27"/>
        <v>142.19999999999999</v>
      </c>
      <c r="T172" s="19">
        <f t="shared" si="32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2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3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4"/>
        <v>142.19999999999999</v>
      </c>
      <c r="AV172" s="37">
        <f t="shared" si="35"/>
        <v>142.19999999999999</v>
      </c>
      <c r="AW172" s="37"/>
    </row>
    <row r="173" spans="1:49" ht="15.75" hidden="1" customHeight="1" x14ac:dyDescent="0.25">
      <c r="A173" s="6" t="s">
        <v>3774</v>
      </c>
      <c r="B173" s="21" t="s">
        <v>3779</v>
      </c>
      <c r="C173" s="7">
        <v>1</v>
      </c>
      <c r="D173" s="39" t="s">
        <v>3778</v>
      </c>
      <c r="E173" s="7">
        <v>4058</v>
      </c>
      <c r="F173" s="7" t="s">
        <v>3776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1"/>
        <v>295.39999999999998</v>
      </c>
      <c r="S173" s="18">
        <f t="shared" si="27"/>
        <v>295.39999999999998</v>
      </c>
      <c r="T173" s="19">
        <f t="shared" si="32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2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3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4"/>
        <v>295.39999999999998</v>
      </c>
      <c r="AV173" s="37">
        <f t="shared" si="35"/>
        <v>295.39999999999998</v>
      </c>
      <c r="AW173" s="37"/>
    </row>
    <row r="174" spans="1:49" ht="15.75" hidden="1" customHeight="1" x14ac:dyDescent="0.25">
      <c r="A174" s="6" t="s">
        <v>3780</v>
      </c>
      <c r="B174" s="21" t="s">
        <v>3781</v>
      </c>
      <c r="C174" s="7">
        <v>1</v>
      </c>
      <c r="D174" s="39" t="s">
        <v>3782</v>
      </c>
      <c r="E174" s="7">
        <v>4059</v>
      </c>
      <c r="F174" s="7" t="s">
        <v>3783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1"/>
        <v>950.5</v>
      </c>
      <c r="S174" s="18">
        <f t="shared" si="27"/>
        <v>950.5</v>
      </c>
      <c r="T174" s="19">
        <f t="shared" si="32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2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3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4"/>
        <v>950.5</v>
      </c>
      <c r="AV174" s="37">
        <f t="shared" si="35"/>
        <v>950.5</v>
      </c>
      <c r="AW174" s="37"/>
    </row>
    <row r="175" spans="1:49" ht="15.75" hidden="1" customHeight="1" x14ac:dyDescent="0.25">
      <c r="A175" s="6" t="s">
        <v>3780</v>
      </c>
      <c r="B175" s="21" t="s">
        <v>3781</v>
      </c>
      <c r="C175" s="7">
        <v>1</v>
      </c>
      <c r="D175" s="39" t="s">
        <v>3782</v>
      </c>
      <c r="E175" s="7">
        <v>4060</v>
      </c>
      <c r="F175" s="7" t="s">
        <v>3783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1"/>
        <v>950.5</v>
      </c>
      <c r="S175" s="18">
        <f t="shared" si="27"/>
        <v>950.5</v>
      </c>
      <c r="T175" s="19">
        <f t="shared" si="32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2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3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4"/>
        <v>950.5</v>
      </c>
      <c r="AV175" s="37">
        <f t="shared" si="35"/>
        <v>950.5</v>
      </c>
      <c r="AW175" s="37"/>
    </row>
    <row r="176" spans="1:49" ht="15.75" hidden="1" customHeight="1" x14ac:dyDescent="0.25">
      <c r="A176" s="6" t="s">
        <v>3784</v>
      </c>
      <c r="B176" s="21" t="s">
        <v>3785</v>
      </c>
      <c r="C176" s="7">
        <v>1</v>
      </c>
      <c r="D176" s="39" t="s">
        <v>3782</v>
      </c>
      <c r="E176" s="7">
        <v>4061</v>
      </c>
      <c r="F176" s="7" t="s">
        <v>3786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1"/>
        <v>675.7</v>
      </c>
      <c r="S176" s="18">
        <f t="shared" si="27"/>
        <v>675.7</v>
      </c>
      <c r="T176" s="19">
        <f t="shared" si="32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2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3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4"/>
        <v>675.7</v>
      </c>
      <c r="AV176" s="37">
        <f t="shared" si="35"/>
        <v>675.7</v>
      </c>
      <c r="AW176" s="37"/>
    </row>
    <row r="177" spans="1:49" ht="15.75" hidden="1" customHeight="1" x14ac:dyDescent="0.25">
      <c r="A177" s="6" t="s">
        <v>3784</v>
      </c>
      <c r="B177" s="21" t="s">
        <v>3785</v>
      </c>
      <c r="C177" s="7">
        <v>1</v>
      </c>
      <c r="D177" s="39" t="s">
        <v>3782</v>
      </c>
      <c r="E177" s="7">
        <v>4062</v>
      </c>
      <c r="F177" s="7" t="s">
        <v>3786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1"/>
        <v>675.7</v>
      </c>
      <c r="S177" s="18">
        <f t="shared" si="27"/>
        <v>675.7</v>
      </c>
      <c r="T177" s="19">
        <f t="shared" si="32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2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3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4"/>
        <v>675.7</v>
      </c>
      <c r="AV177" s="37">
        <f t="shared" si="35"/>
        <v>675.7</v>
      </c>
      <c r="AW177" s="37"/>
    </row>
    <row r="178" spans="1:49" ht="15.75" hidden="1" customHeight="1" x14ac:dyDescent="0.25">
      <c r="A178" s="6" t="s">
        <v>3787</v>
      </c>
      <c r="B178" s="21" t="s">
        <v>3788</v>
      </c>
      <c r="C178" s="7">
        <v>2</v>
      </c>
      <c r="D178" s="39" t="s">
        <v>3789</v>
      </c>
      <c r="E178" s="7">
        <v>4063</v>
      </c>
      <c r="F178" s="7" t="s">
        <v>3790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3791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1"/>
        <v>0.52</v>
      </c>
      <c r="S178" s="18">
        <f t="shared" si="27"/>
        <v>0</v>
      </c>
      <c r="T178" s="19">
        <f t="shared" si="32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2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3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4"/>
        <v>0</v>
      </c>
      <c r="AV178" s="37">
        <f t="shared" si="35"/>
        <v>0</v>
      </c>
      <c r="AW178" s="37"/>
    </row>
    <row r="179" spans="1:49" ht="15.75" hidden="1" customHeight="1" x14ac:dyDescent="0.25">
      <c r="A179" s="6" t="s">
        <v>3787</v>
      </c>
      <c r="B179" s="21" t="s">
        <v>3792</v>
      </c>
      <c r="C179" s="7">
        <v>2</v>
      </c>
      <c r="D179" s="39" t="s">
        <v>3789</v>
      </c>
      <c r="E179" s="7">
        <v>4064</v>
      </c>
      <c r="F179" s="7" t="s">
        <v>3790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3791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1"/>
        <v>0.66</v>
      </c>
      <c r="S179" s="18">
        <f t="shared" si="27"/>
        <v>0</v>
      </c>
      <c r="T179" s="19">
        <f t="shared" si="32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2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3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4"/>
        <v>0</v>
      </c>
      <c r="AV179" s="37">
        <f t="shared" si="35"/>
        <v>0</v>
      </c>
      <c r="AW179" s="37"/>
    </row>
    <row r="180" spans="1:49" ht="15.75" hidden="1" customHeight="1" x14ac:dyDescent="0.25">
      <c r="A180" s="6" t="s">
        <v>3787</v>
      </c>
      <c r="B180" s="21" t="s">
        <v>3793</v>
      </c>
      <c r="C180" s="7">
        <v>4</v>
      </c>
      <c r="D180" s="39" t="s">
        <v>3794</v>
      </c>
      <c r="E180" s="7">
        <v>4065</v>
      </c>
      <c r="F180" s="7" t="s">
        <v>3790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3791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1"/>
        <v>1.02</v>
      </c>
      <c r="S180" s="18">
        <f t="shared" si="27"/>
        <v>0</v>
      </c>
      <c r="T180" s="19">
        <f t="shared" si="32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2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3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4"/>
        <v>0</v>
      </c>
      <c r="AV180" s="37">
        <f t="shared" si="35"/>
        <v>0</v>
      </c>
      <c r="AW180" s="37"/>
    </row>
    <row r="181" spans="1:49" ht="15.75" hidden="1" customHeight="1" x14ac:dyDescent="0.25">
      <c r="A181" s="6" t="s">
        <v>3787</v>
      </c>
      <c r="B181" s="21" t="s">
        <v>3795</v>
      </c>
      <c r="C181" s="7">
        <v>8</v>
      </c>
      <c r="D181" s="39" t="s">
        <v>3796</v>
      </c>
      <c r="E181" s="7">
        <v>4066</v>
      </c>
      <c r="F181" s="7" t="s">
        <v>3790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3791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1"/>
        <v>0.2</v>
      </c>
      <c r="S181" s="18">
        <f t="shared" si="27"/>
        <v>0</v>
      </c>
      <c r="T181" s="19">
        <f t="shared" si="32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36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3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4"/>
        <v>0</v>
      </c>
      <c r="AV181" s="37">
        <f t="shared" si="35"/>
        <v>0</v>
      </c>
      <c r="AW181" s="37"/>
    </row>
    <row r="182" spans="1:49" ht="15.75" hidden="1" customHeight="1" x14ac:dyDescent="0.25">
      <c r="A182" s="6" t="s">
        <v>3797</v>
      </c>
      <c r="B182" s="21" t="s">
        <v>3798</v>
      </c>
      <c r="C182" s="7">
        <v>8</v>
      </c>
      <c r="D182" s="39" t="s">
        <v>3799</v>
      </c>
      <c r="E182" s="7">
        <v>4067</v>
      </c>
      <c r="F182" s="7" t="s">
        <v>3790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3791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1"/>
        <v>1.28</v>
      </c>
      <c r="S182" s="18">
        <f t="shared" ref="S182:S245" si="37">IFERROR(H182*AG182,"")</f>
        <v>0</v>
      </c>
      <c r="T182" s="19">
        <f t="shared" si="32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36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3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4"/>
        <v>0</v>
      </c>
      <c r="AV182" s="37">
        <f t="shared" si="35"/>
        <v>0</v>
      </c>
      <c r="AW182" s="37"/>
    </row>
    <row r="183" spans="1:49" ht="15.75" hidden="1" customHeight="1" x14ac:dyDescent="0.25">
      <c r="A183" s="6" t="s">
        <v>3800</v>
      </c>
      <c r="B183" s="21" t="s">
        <v>3801</v>
      </c>
      <c r="C183" s="7">
        <v>8</v>
      </c>
      <c r="D183" s="39" t="s">
        <v>3799</v>
      </c>
      <c r="E183" s="7">
        <v>4068</v>
      </c>
      <c r="F183" s="7" t="s">
        <v>3790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3791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1"/>
        <v>1.56</v>
      </c>
      <c r="S183" s="18">
        <f t="shared" si="37"/>
        <v>0</v>
      </c>
      <c r="T183" s="19">
        <f t="shared" si="32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36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3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4"/>
        <v>0</v>
      </c>
      <c r="AV183" s="37">
        <f t="shared" si="35"/>
        <v>0</v>
      </c>
      <c r="AW183" s="37"/>
    </row>
    <row r="184" spans="1:49" ht="15.75" hidden="1" customHeight="1" x14ac:dyDescent="0.25">
      <c r="A184" s="6" t="s">
        <v>3802</v>
      </c>
      <c r="B184" s="21" t="s">
        <v>2996</v>
      </c>
      <c r="C184" s="7">
        <v>2</v>
      </c>
      <c r="D184" s="39" t="s">
        <v>3789</v>
      </c>
      <c r="E184" s="7">
        <v>4069</v>
      </c>
      <c r="F184" s="7" t="s">
        <v>3790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3791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1"/>
        <v>0.53</v>
      </c>
      <c r="S184" s="18">
        <f t="shared" si="37"/>
        <v>0</v>
      </c>
      <c r="T184" s="19">
        <f t="shared" si="32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36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3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4"/>
        <v>0</v>
      </c>
      <c r="AV184" s="37">
        <f t="shared" si="35"/>
        <v>0</v>
      </c>
      <c r="AW184" s="37"/>
    </row>
    <row r="185" spans="1:49" ht="15.75" hidden="1" customHeight="1" x14ac:dyDescent="0.25">
      <c r="A185" s="6" t="s">
        <v>3802</v>
      </c>
      <c r="B185" s="21" t="s">
        <v>2997</v>
      </c>
      <c r="C185" s="7">
        <v>2</v>
      </c>
      <c r="D185" s="39" t="s">
        <v>3789</v>
      </c>
      <c r="E185" s="7">
        <v>4070</v>
      </c>
      <c r="F185" s="7" t="s">
        <v>3790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3791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1"/>
        <v>0.74</v>
      </c>
      <c r="S185" s="18">
        <f t="shared" si="37"/>
        <v>0</v>
      </c>
      <c r="T185" s="19">
        <f t="shared" si="32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36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3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4"/>
        <v>0</v>
      </c>
      <c r="AV185" s="37">
        <f t="shared" si="35"/>
        <v>0</v>
      </c>
      <c r="AW185" s="37"/>
    </row>
    <row r="186" spans="1:49" ht="15.75" hidden="1" customHeight="1" x14ac:dyDescent="0.25">
      <c r="A186" s="6" t="s">
        <v>3802</v>
      </c>
      <c r="B186" s="21" t="s">
        <v>3801</v>
      </c>
      <c r="C186" s="7">
        <v>2</v>
      </c>
      <c r="D186" s="39" t="s">
        <v>3794</v>
      </c>
      <c r="E186" s="7">
        <v>4071</v>
      </c>
      <c r="F186" s="7" t="s">
        <v>3790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3791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1"/>
        <v>0.51</v>
      </c>
      <c r="S186" s="18">
        <f t="shared" si="37"/>
        <v>0</v>
      </c>
      <c r="T186" s="19">
        <f t="shared" si="32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36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3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4"/>
        <v>0</v>
      </c>
      <c r="AV186" s="37">
        <f t="shared" si="35"/>
        <v>0</v>
      </c>
      <c r="AW186" s="37"/>
    </row>
    <row r="187" spans="1:49" ht="15.75" hidden="1" customHeight="1" x14ac:dyDescent="0.25">
      <c r="A187" s="6" t="s">
        <v>3802</v>
      </c>
      <c r="B187" s="21" t="s">
        <v>3798</v>
      </c>
      <c r="C187" s="7">
        <v>6</v>
      </c>
      <c r="D187" s="39" t="s">
        <v>3796</v>
      </c>
      <c r="E187" s="7">
        <v>4072</v>
      </c>
      <c r="F187" s="7" t="s">
        <v>3790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3791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1"/>
        <v>0.15000000000000002</v>
      </c>
      <c r="S187" s="18">
        <f t="shared" si="37"/>
        <v>0</v>
      </c>
      <c r="T187" s="19">
        <f t="shared" si="32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36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3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4"/>
        <v>0</v>
      </c>
      <c r="AV187" s="37">
        <f t="shared" si="35"/>
        <v>0</v>
      </c>
      <c r="AW187" s="37"/>
    </row>
    <row r="188" spans="1:49" ht="15.75" hidden="1" customHeight="1" x14ac:dyDescent="0.25">
      <c r="A188" s="6" t="s">
        <v>3803</v>
      </c>
      <c r="B188" s="21" t="s">
        <v>3804</v>
      </c>
      <c r="C188" s="7">
        <v>2</v>
      </c>
      <c r="D188" s="39" t="s">
        <v>3805</v>
      </c>
      <c r="E188" s="7">
        <v>4073</v>
      </c>
      <c r="F188" s="7" t="s">
        <v>3790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3791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1"/>
        <v>323.33999999999997</v>
      </c>
      <c r="S188" s="18">
        <f t="shared" si="37"/>
        <v>323.33999999999997</v>
      </c>
      <c r="T188" s="19">
        <f t="shared" si="32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36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3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4"/>
        <v>323.33999999999997</v>
      </c>
      <c r="AV188" s="37">
        <f t="shared" si="35"/>
        <v>323.33999999999997</v>
      </c>
      <c r="AW188" s="37"/>
    </row>
    <row r="189" spans="1:49" ht="15.75" hidden="1" customHeight="1" x14ac:dyDescent="0.25">
      <c r="A189" s="6" t="s">
        <v>3803</v>
      </c>
      <c r="B189" s="21" t="s">
        <v>3806</v>
      </c>
      <c r="C189" s="7">
        <v>2</v>
      </c>
      <c r="D189" s="39" t="s">
        <v>3807</v>
      </c>
      <c r="E189" s="7">
        <v>4074</v>
      </c>
      <c r="F189" s="7" t="s">
        <v>3790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3791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1"/>
        <v>323.33999999999997</v>
      </c>
      <c r="S189" s="18">
        <f t="shared" si="37"/>
        <v>323.33999999999997</v>
      </c>
      <c r="T189" s="19">
        <f t="shared" si="32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36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3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4"/>
        <v>323.33999999999997</v>
      </c>
      <c r="AV189" s="37">
        <f t="shared" si="35"/>
        <v>323.33999999999997</v>
      </c>
      <c r="AW189" s="37"/>
    </row>
    <row r="190" spans="1:49" ht="15.75" hidden="1" customHeight="1" x14ac:dyDescent="0.25">
      <c r="A190" s="6" t="s">
        <v>3803</v>
      </c>
      <c r="B190" s="21" t="s">
        <v>3808</v>
      </c>
      <c r="C190" s="7">
        <v>8</v>
      </c>
      <c r="D190" s="39" t="s">
        <v>3809</v>
      </c>
      <c r="E190" s="7">
        <v>4075</v>
      </c>
      <c r="F190" s="7" t="s">
        <v>3790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3791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1"/>
        <v>189.44</v>
      </c>
      <c r="S190" s="18">
        <f t="shared" si="37"/>
        <v>189.44</v>
      </c>
      <c r="T190" s="19">
        <f t="shared" si="32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36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3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4"/>
        <v>189.44</v>
      </c>
      <c r="AV190" s="37">
        <f t="shared" si="35"/>
        <v>189.44</v>
      </c>
      <c r="AW190" s="37"/>
    </row>
    <row r="191" spans="1:49" ht="15.75" hidden="1" customHeight="1" x14ac:dyDescent="0.25">
      <c r="A191" s="6" t="s">
        <v>3803</v>
      </c>
      <c r="B191" s="21" t="s">
        <v>3810</v>
      </c>
      <c r="C191" s="7">
        <v>2</v>
      </c>
      <c r="D191" s="39" t="s">
        <v>3809</v>
      </c>
      <c r="E191" s="7">
        <v>4076</v>
      </c>
      <c r="F191" s="7" t="s">
        <v>3790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3791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1"/>
        <v>51.88</v>
      </c>
      <c r="S191" s="18">
        <f t="shared" si="37"/>
        <v>51.88</v>
      </c>
      <c r="T191" s="19">
        <f t="shared" si="32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36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3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4"/>
        <v>51.88</v>
      </c>
      <c r="AV191" s="37">
        <f t="shared" si="35"/>
        <v>51.88</v>
      </c>
      <c r="AW191" s="37"/>
    </row>
    <row r="192" spans="1:49" ht="15.75" hidden="1" customHeight="1" x14ac:dyDescent="0.25">
      <c r="A192" s="6" t="s">
        <v>3803</v>
      </c>
      <c r="B192" s="21" t="s">
        <v>3811</v>
      </c>
      <c r="C192" s="7">
        <v>4</v>
      </c>
      <c r="D192" s="39" t="s">
        <v>3809</v>
      </c>
      <c r="E192" s="7">
        <v>4077</v>
      </c>
      <c r="F192" s="7" t="s">
        <v>3790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3791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1"/>
        <v>133.64000000000001</v>
      </c>
      <c r="S192" s="18">
        <f t="shared" si="37"/>
        <v>133.64000000000001</v>
      </c>
      <c r="T192" s="19">
        <f t="shared" si="32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36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3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4"/>
        <v>133.64000000000001</v>
      </c>
      <c r="AV192" s="37">
        <f t="shared" si="35"/>
        <v>133.64000000000001</v>
      </c>
      <c r="AW192" s="37"/>
    </row>
    <row r="193" spans="1:49" ht="15.75" hidden="1" customHeight="1" x14ac:dyDescent="0.25">
      <c r="A193" s="6" t="s">
        <v>3803</v>
      </c>
      <c r="B193" s="21" t="s">
        <v>3812</v>
      </c>
      <c r="C193" s="7">
        <v>2</v>
      </c>
      <c r="D193" s="39" t="s">
        <v>3809</v>
      </c>
      <c r="E193" s="7">
        <v>4078</v>
      </c>
      <c r="F193" s="7" t="s">
        <v>3790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3791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1"/>
        <v>51.88</v>
      </c>
      <c r="S193" s="18">
        <f t="shared" si="37"/>
        <v>51.88</v>
      </c>
      <c r="T193" s="19">
        <f t="shared" si="32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36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3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4"/>
        <v>51.88</v>
      </c>
      <c r="AV193" s="37">
        <f t="shared" si="35"/>
        <v>51.88</v>
      </c>
      <c r="AW193" s="37"/>
    </row>
    <row r="194" spans="1:49" ht="15.75" hidden="1" customHeight="1" x14ac:dyDescent="0.25">
      <c r="A194" s="6" t="s">
        <v>3813</v>
      </c>
      <c r="B194" s="21" t="s">
        <v>3814</v>
      </c>
      <c r="C194" s="7">
        <v>4</v>
      </c>
      <c r="D194" s="39" t="s">
        <v>3815</v>
      </c>
      <c r="E194" s="7">
        <v>4079</v>
      </c>
      <c r="F194" s="7" t="s">
        <v>3790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3791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1"/>
        <v>195.76</v>
      </c>
      <c r="S194" s="18">
        <f t="shared" si="37"/>
        <v>195.76</v>
      </c>
      <c r="T194" s="19">
        <f t="shared" si="32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36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3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4"/>
        <v>195.76</v>
      </c>
      <c r="AV194" s="37">
        <f t="shared" si="35"/>
        <v>195.76</v>
      </c>
      <c r="AW194" s="37"/>
    </row>
    <row r="195" spans="1:49" ht="15.75" hidden="1" customHeight="1" x14ac:dyDescent="0.25">
      <c r="A195" s="6" t="s">
        <v>3813</v>
      </c>
      <c r="B195" s="21" t="s">
        <v>3816</v>
      </c>
      <c r="C195" s="7">
        <v>4</v>
      </c>
      <c r="D195" s="39" t="s">
        <v>3817</v>
      </c>
      <c r="E195" s="7">
        <v>4080</v>
      </c>
      <c r="F195" s="7" t="s">
        <v>3790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3791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1"/>
        <v>327.64</v>
      </c>
      <c r="S195" s="18">
        <f t="shared" si="37"/>
        <v>327.64</v>
      </c>
      <c r="T195" s="19">
        <f t="shared" si="32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36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3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4"/>
        <v>327.64</v>
      </c>
      <c r="AV195" s="37">
        <f t="shared" si="35"/>
        <v>327.64</v>
      </c>
      <c r="AW195" s="37"/>
    </row>
    <row r="196" spans="1:49" ht="15.75" hidden="1" customHeight="1" x14ac:dyDescent="0.25">
      <c r="A196" s="6" t="s">
        <v>3813</v>
      </c>
      <c r="B196" s="21" t="s">
        <v>3818</v>
      </c>
      <c r="C196" s="7">
        <v>4</v>
      </c>
      <c r="D196" s="39" t="s">
        <v>3819</v>
      </c>
      <c r="E196" s="7">
        <v>4081</v>
      </c>
      <c r="F196" s="7" t="s">
        <v>3790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3791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1"/>
        <v>186.12</v>
      </c>
      <c r="S196" s="18">
        <f t="shared" si="37"/>
        <v>186.12</v>
      </c>
      <c r="T196" s="19">
        <f t="shared" si="32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36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3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4"/>
        <v>186.12</v>
      </c>
      <c r="AV196" s="37">
        <f t="shared" si="35"/>
        <v>186.12</v>
      </c>
      <c r="AW196" s="37"/>
    </row>
    <row r="197" spans="1:49" ht="15.75" hidden="1" customHeight="1" x14ac:dyDescent="0.25">
      <c r="A197" s="6" t="s">
        <v>3813</v>
      </c>
      <c r="B197" s="21" t="s">
        <v>3820</v>
      </c>
      <c r="C197" s="7">
        <v>4</v>
      </c>
      <c r="D197" s="39" t="s">
        <v>3821</v>
      </c>
      <c r="E197" s="7">
        <v>4082</v>
      </c>
      <c r="F197" s="7" t="s">
        <v>3790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3791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1"/>
        <v>199.48</v>
      </c>
      <c r="S197" s="18">
        <f t="shared" si="37"/>
        <v>0</v>
      </c>
      <c r="T197" s="19">
        <f t="shared" si="32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36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3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38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4"/>
        <v>0</v>
      </c>
      <c r="AV197" s="37">
        <f t="shared" si="35"/>
        <v>0</v>
      </c>
      <c r="AW197" s="37"/>
    </row>
    <row r="198" spans="1:49" ht="15.75" hidden="1" customHeight="1" x14ac:dyDescent="0.25">
      <c r="A198" s="6" t="s">
        <v>3822</v>
      </c>
      <c r="B198" s="21" t="s">
        <v>3823</v>
      </c>
      <c r="C198" s="7">
        <v>2</v>
      </c>
      <c r="D198" s="39" t="s">
        <v>3805</v>
      </c>
      <c r="E198" s="7">
        <v>4083</v>
      </c>
      <c r="F198" s="7" t="s">
        <v>3790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3791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1"/>
        <v>318.5</v>
      </c>
      <c r="S198" s="18">
        <f t="shared" si="37"/>
        <v>318.5</v>
      </c>
      <c r="T198" s="19">
        <f t="shared" si="32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36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3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38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4"/>
        <v>318.5</v>
      </c>
      <c r="AV198" s="37">
        <f t="shared" si="35"/>
        <v>318.5</v>
      </c>
      <c r="AW198" s="37"/>
    </row>
    <row r="199" spans="1:49" ht="15.75" hidden="1" customHeight="1" x14ac:dyDescent="0.25">
      <c r="A199" s="6" t="s">
        <v>3822</v>
      </c>
      <c r="B199" s="21" t="s">
        <v>3824</v>
      </c>
      <c r="C199" s="7">
        <v>2</v>
      </c>
      <c r="D199" s="39" t="s">
        <v>3807</v>
      </c>
      <c r="E199" s="7">
        <v>4084</v>
      </c>
      <c r="F199" s="7" t="s">
        <v>3790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3791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1"/>
        <v>318.5</v>
      </c>
      <c r="S199" s="18">
        <f t="shared" si="37"/>
        <v>318.5</v>
      </c>
      <c r="T199" s="19">
        <f t="shared" si="32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36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3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38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4"/>
        <v>318.5</v>
      </c>
      <c r="AV199" s="37">
        <f t="shared" si="35"/>
        <v>318.5</v>
      </c>
      <c r="AW199" s="37"/>
    </row>
    <row r="200" spans="1:49" ht="15.75" hidden="1" customHeight="1" x14ac:dyDescent="0.25">
      <c r="A200" s="6" t="s">
        <v>3822</v>
      </c>
      <c r="B200" s="21" t="s">
        <v>3825</v>
      </c>
      <c r="C200" s="7">
        <v>2</v>
      </c>
      <c r="D200" s="39" t="s">
        <v>3809</v>
      </c>
      <c r="E200" s="7">
        <v>4085</v>
      </c>
      <c r="F200" s="7" t="s">
        <v>3790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3791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1"/>
        <v>66.819999999999993</v>
      </c>
      <c r="S200" s="18">
        <f t="shared" si="37"/>
        <v>66.819999999999993</v>
      </c>
      <c r="T200" s="19">
        <f t="shared" si="32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36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3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38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4"/>
        <v>66.819999999999993</v>
      </c>
      <c r="AV200" s="37">
        <f t="shared" si="35"/>
        <v>66.819999999999993</v>
      </c>
      <c r="AW200" s="37"/>
    </row>
    <row r="201" spans="1:49" ht="15.75" hidden="1" customHeight="1" x14ac:dyDescent="0.25">
      <c r="A201" s="6" t="s">
        <v>3822</v>
      </c>
      <c r="B201" s="21" t="s">
        <v>3826</v>
      </c>
      <c r="C201" s="7">
        <v>2</v>
      </c>
      <c r="D201" s="39" t="s">
        <v>3809</v>
      </c>
      <c r="E201" s="7">
        <v>4086</v>
      </c>
      <c r="F201" s="7" t="s">
        <v>3790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3791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1"/>
        <v>47.36</v>
      </c>
      <c r="S201" s="18">
        <f t="shared" si="37"/>
        <v>47.36</v>
      </c>
      <c r="T201" s="19">
        <f t="shared" si="32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36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3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38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4"/>
        <v>47.36</v>
      </c>
      <c r="AV201" s="37">
        <f t="shared" si="35"/>
        <v>47.36</v>
      </c>
      <c r="AW201" s="37"/>
    </row>
    <row r="202" spans="1:49" ht="15.75" hidden="1" customHeight="1" x14ac:dyDescent="0.25">
      <c r="A202" s="6" t="s">
        <v>3822</v>
      </c>
      <c r="B202" s="21" t="s">
        <v>3827</v>
      </c>
      <c r="C202" s="7">
        <v>6</v>
      </c>
      <c r="D202" s="39" t="s">
        <v>3809</v>
      </c>
      <c r="E202" s="7">
        <v>4087</v>
      </c>
      <c r="F202" s="7" t="s">
        <v>3790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3791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1"/>
        <v>142.07999999999998</v>
      </c>
      <c r="S202" s="18">
        <f t="shared" si="37"/>
        <v>142.07999999999998</v>
      </c>
      <c r="T202" s="19">
        <f t="shared" si="32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36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3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38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4"/>
        <v>142.07999999999998</v>
      </c>
      <c r="AV202" s="37">
        <f t="shared" si="35"/>
        <v>142.07999999999998</v>
      </c>
      <c r="AW202" s="37"/>
    </row>
    <row r="203" spans="1:49" ht="15.75" hidden="1" customHeight="1" x14ac:dyDescent="0.25">
      <c r="A203" s="6" t="s">
        <v>3822</v>
      </c>
      <c r="B203" s="21" t="s">
        <v>3828</v>
      </c>
      <c r="C203" s="7">
        <v>4</v>
      </c>
      <c r="D203" s="39" t="s">
        <v>3809</v>
      </c>
      <c r="E203" s="7">
        <v>4088</v>
      </c>
      <c r="F203" s="7" t="s">
        <v>3790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3791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1"/>
        <v>103.76</v>
      </c>
      <c r="S203" s="18">
        <f t="shared" si="37"/>
        <v>103.76</v>
      </c>
      <c r="T203" s="19">
        <f t="shared" si="32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36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3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38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4"/>
        <v>103.76</v>
      </c>
      <c r="AV203" s="37">
        <f t="shared" si="35"/>
        <v>103.76</v>
      </c>
      <c r="AW203" s="37"/>
    </row>
    <row r="204" spans="1:49" ht="15.75" hidden="1" customHeight="1" x14ac:dyDescent="0.25">
      <c r="A204" s="6" t="s">
        <v>3829</v>
      </c>
      <c r="B204" s="21" t="s">
        <v>3830</v>
      </c>
      <c r="C204" s="7">
        <v>4</v>
      </c>
      <c r="D204" s="39" t="s">
        <v>3815</v>
      </c>
      <c r="E204" s="7">
        <v>4089</v>
      </c>
      <c r="F204" s="7" t="s">
        <v>3790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3791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1"/>
        <v>308</v>
      </c>
      <c r="S204" s="18">
        <f t="shared" si="37"/>
        <v>308</v>
      </c>
      <c r="T204" s="19">
        <f t="shared" si="32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36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3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38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4"/>
        <v>308</v>
      </c>
      <c r="AV204" s="37">
        <f t="shared" si="35"/>
        <v>308</v>
      </c>
      <c r="AW204" s="37"/>
    </row>
    <row r="205" spans="1:49" ht="15.75" hidden="1" customHeight="1" x14ac:dyDescent="0.25">
      <c r="A205" s="6" t="s">
        <v>3829</v>
      </c>
      <c r="B205" s="21" t="s">
        <v>3831</v>
      </c>
      <c r="C205" s="7">
        <v>4</v>
      </c>
      <c r="D205" s="39" t="s">
        <v>3817</v>
      </c>
      <c r="E205" s="7">
        <v>4090</v>
      </c>
      <c r="F205" s="7" t="s">
        <v>3790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3791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1"/>
        <v>340</v>
      </c>
      <c r="S205" s="18">
        <f t="shared" si="37"/>
        <v>340</v>
      </c>
      <c r="T205" s="19">
        <f t="shared" si="32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36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3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38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4"/>
        <v>340</v>
      </c>
      <c r="AV205" s="37">
        <f t="shared" si="35"/>
        <v>340</v>
      </c>
      <c r="AW205" s="37"/>
    </row>
    <row r="206" spans="1:49" ht="15.75" hidden="1" customHeight="1" x14ac:dyDescent="0.25">
      <c r="A206" s="6" t="s">
        <v>3829</v>
      </c>
      <c r="B206" s="21" t="s">
        <v>3832</v>
      </c>
      <c r="C206" s="7">
        <v>4</v>
      </c>
      <c r="D206" s="39" t="s">
        <v>3819</v>
      </c>
      <c r="E206" s="7">
        <v>4091</v>
      </c>
      <c r="F206" s="7" t="s">
        <v>3790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3791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1"/>
        <v>200</v>
      </c>
      <c r="S206" s="18">
        <f t="shared" si="37"/>
        <v>0</v>
      </c>
      <c r="T206" s="19">
        <f t="shared" si="32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36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3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38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4"/>
        <v>0</v>
      </c>
      <c r="AV206" s="37">
        <f t="shared" si="35"/>
        <v>0</v>
      </c>
      <c r="AW206" s="37"/>
    </row>
    <row r="207" spans="1:49" ht="15.75" hidden="1" customHeight="1" x14ac:dyDescent="0.25">
      <c r="A207" s="6" t="s">
        <v>3833</v>
      </c>
      <c r="B207" s="21" t="s">
        <v>3834</v>
      </c>
      <c r="C207" s="7">
        <v>2</v>
      </c>
      <c r="D207" s="39" t="s">
        <v>3815</v>
      </c>
      <c r="E207" s="7">
        <v>4092</v>
      </c>
      <c r="F207" s="7" t="s">
        <v>3790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3791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1"/>
        <v>163.36000000000001</v>
      </c>
      <c r="S207" s="18">
        <f t="shared" si="37"/>
        <v>163.36000000000001</v>
      </c>
      <c r="T207" s="19">
        <f t="shared" si="32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36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3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38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4"/>
        <v>163.36000000000001</v>
      </c>
      <c r="AV207" s="37">
        <f t="shared" si="35"/>
        <v>163.36000000000001</v>
      </c>
      <c r="AW207" s="37"/>
    </row>
    <row r="208" spans="1:49" ht="15.75" hidden="1" customHeight="1" x14ac:dyDescent="0.25">
      <c r="A208" s="6" t="s">
        <v>3833</v>
      </c>
      <c r="B208" s="21" t="s">
        <v>3835</v>
      </c>
      <c r="C208" s="7">
        <v>2</v>
      </c>
      <c r="D208" s="39" t="s">
        <v>3817</v>
      </c>
      <c r="E208" s="7">
        <v>4093</v>
      </c>
      <c r="F208" s="7" t="s">
        <v>3790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3791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1"/>
        <v>166.34</v>
      </c>
      <c r="S208" s="18">
        <f t="shared" si="37"/>
        <v>166.34</v>
      </c>
      <c r="T208" s="19">
        <f t="shared" si="32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36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3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38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4"/>
        <v>166.34</v>
      </c>
      <c r="AV208" s="37">
        <f t="shared" si="35"/>
        <v>166.34</v>
      </c>
      <c r="AW208" s="37"/>
    </row>
    <row r="209" spans="1:49" ht="15.75" hidden="1" customHeight="1" x14ac:dyDescent="0.25">
      <c r="A209" s="6" t="s">
        <v>3833</v>
      </c>
      <c r="B209" s="21" t="s">
        <v>3836</v>
      </c>
      <c r="C209" s="7">
        <v>2</v>
      </c>
      <c r="D209" s="39" t="s">
        <v>3819</v>
      </c>
      <c r="E209" s="7">
        <v>4094</v>
      </c>
      <c r="F209" s="7" t="s">
        <v>3790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3791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1"/>
        <v>230.2</v>
      </c>
      <c r="S209" s="18">
        <f t="shared" si="37"/>
        <v>230.2</v>
      </c>
      <c r="T209" s="19">
        <f t="shared" si="32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36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3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38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4"/>
        <v>230.2</v>
      </c>
      <c r="AV209" s="37">
        <f t="shared" si="35"/>
        <v>230.2</v>
      </c>
      <c r="AW209" s="37"/>
    </row>
    <row r="210" spans="1:49" ht="15.75" hidden="1" customHeight="1" x14ac:dyDescent="0.25">
      <c r="A210" s="6" t="s">
        <v>3833</v>
      </c>
      <c r="B210" s="21" t="s">
        <v>3837</v>
      </c>
      <c r="C210" s="7">
        <v>2</v>
      </c>
      <c r="D210" s="39" t="s">
        <v>3821</v>
      </c>
      <c r="E210" s="7">
        <v>4095</v>
      </c>
      <c r="F210" s="7" t="s">
        <v>3790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3791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1"/>
        <v>88.64</v>
      </c>
      <c r="S210" s="18">
        <f t="shared" si="37"/>
        <v>88.64</v>
      </c>
      <c r="T210" s="19">
        <f t="shared" si="32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36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3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38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4"/>
        <v>88.64</v>
      </c>
      <c r="AV210" s="37">
        <f t="shared" si="35"/>
        <v>88.64</v>
      </c>
      <c r="AW210" s="37"/>
    </row>
    <row r="211" spans="1:49" ht="15.75" hidden="1" customHeight="1" x14ac:dyDescent="0.25">
      <c r="A211" s="6" t="s">
        <v>3838</v>
      </c>
      <c r="B211" s="21" t="s">
        <v>3839</v>
      </c>
      <c r="C211" s="7">
        <v>2</v>
      </c>
      <c r="D211" s="39" t="s">
        <v>3815</v>
      </c>
      <c r="E211" s="7">
        <v>4096</v>
      </c>
      <c r="F211" s="7" t="s">
        <v>3790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3791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1"/>
        <v>203.5</v>
      </c>
      <c r="S211" s="18">
        <f t="shared" si="37"/>
        <v>203.5</v>
      </c>
      <c r="T211" s="19">
        <f t="shared" si="32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36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3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38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4"/>
        <v>203.5</v>
      </c>
      <c r="AV211" s="37">
        <f t="shared" si="35"/>
        <v>203.5</v>
      </c>
      <c r="AW211" s="37"/>
    </row>
    <row r="212" spans="1:49" ht="15.75" hidden="1" customHeight="1" x14ac:dyDescent="0.25">
      <c r="A212" s="6" t="s">
        <v>3838</v>
      </c>
      <c r="B212" s="21" t="s">
        <v>3840</v>
      </c>
      <c r="C212" s="7">
        <v>4</v>
      </c>
      <c r="D212" s="39" t="s">
        <v>3817</v>
      </c>
      <c r="E212" s="7">
        <v>4097</v>
      </c>
      <c r="F212" s="7" t="s">
        <v>3790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3791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1"/>
        <v>125.56</v>
      </c>
      <c r="S212" s="18">
        <f t="shared" si="37"/>
        <v>125.56</v>
      </c>
      <c r="T212" s="19">
        <f t="shared" si="32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36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3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38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4"/>
        <v>125.56</v>
      </c>
      <c r="AV212" s="37">
        <f t="shared" si="35"/>
        <v>125.56</v>
      </c>
      <c r="AW212" s="37"/>
    </row>
    <row r="213" spans="1:49" ht="15.75" hidden="1" customHeight="1" x14ac:dyDescent="0.25">
      <c r="A213" s="6" t="s">
        <v>3838</v>
      </c>
      <c r="B213" s="21" t="s">
        <v>3841</v>
      </c>
      <c r="C213" s="7">
        <v>2</v>
      </c>
      <c r="D213" s="39" t="s">
        <v>3819</v>
      </c>
      <c r="E213" s="7">
        <v>4098</v>
      </c>
      <c r="F213" s="7" t="s">
        <v>3790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3791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1"/>
        <v>124.24</v>
      </c>
      <c r="S213" s="18">
        <f t="shared" si="37"/>
        <v>124.24</v>
      </c>
      <c r="T213" s="19">
        <f t="shared" si="32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36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3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38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4"/>
        <v>124.24</v>
      </c>
      <c r="AV213" s="37">
        <f t="shared" si="35"/>
        <v>124.24</v>
      </c>
      <c r="AW213" s="37"/>
    </row>
    <row r="214" spans="1:49" ht="15.75" hidden="1" customHeight="1" x14ac:dyDescent="0.25">
      <c r="A214" s="6" t="s">
        <v>3838</v>
      </c>
      <c r="B214" s="21" t="s">
        <v>3842</v>
      </c>
      <c r="C214" s="7">
        <v>2</v>
      </c>
      <c r="D214" s="39" t="s">
        <v>3821</v>
      </c>
      <c r="E214" s="7">
        <v>4099</v>
      </c>
      <c r="F214" s="7" t="s">
        <v>3790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3791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1"/>
        <v>81.64</v>
      </c>
      <c r="S214" s="18">
        <f t="shared" si="37"/>
        <v>81.64</v>
      </c>
      <c r="T214" s="19">
        <f t="shared" si="32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36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3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38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4"/>
        <v>81.64</v>
      </c>
      <c r="AV214" s="37">
        <f t="shared" si="35"/>
        <v>81.64</v>
      </c>
      <c r="AW214" s="37"/>
    </row>
    <row r="215" spans="1:49" ht="15.75" hidden="1" customHeight="1" x14ac:dyDescent="0.25">
      <c r="A215" s="6" t="s">
        <v>3843</v>
      </c>
      <c r="B215" s="21" t="s">
        <v>3844</v>
      </c>
      <c r="C215" s="7">
        <v>2</v>
      </c>
      <c r="D215" s="39" t="s">
        <v>3845</v>
      </c>
      <c r="E215" s="7">
        <v>4100</v>
      </c>
      <c r="F215" s="7" t="s">
        <v>3790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3791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1"/>
        <v>78.760000000000005</v>
      </c>
      <c r="S215" s="18">
        <f t="shared" si="37"/>
        <v>78.760000000000005</v>
      </c>
      <c r="T215" s="19">
        <f t="shared" si="32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36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3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38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4"/>
        <v>78.760000000000005</v>
      </c>
      <c r="AV215" s="37">
        <f t="shared" si="35"/>
        <v>78.760000000000005</v>
      </c>
      <c r="AW215" s="37"/>
    </row>
    <row r="216" spans="1:49" ht="15.75" hidden="1" customHeight="1" x14ac:dyDescent="0.25">
      <c r="A216" s="6" t="s">
        <v>3843</v>
      </c>
      <c r="B216" s="21" t="s">
        <v>3846</v>
      </c>
      <c r="C216" s="7">
        <v>4</v>
      </c>
      <c r="D216" s="39" t="s">
        <v>3847</v>
      </c>
      <c r="E216" s="7">
        <v>4101</v>
      </c>
      <c r="F216" s="7" t="s">
        <v>3790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3791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1"/>
        <v>159.12</v>
      </c>
      <c r="S216" s="18">
        <f t="shared" si="37"/>
        <v>159.12</v>
      </c>
      <c r="T216" s="19">
        <f t="shared" si="32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36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3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38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4"/>
        <v>159.12</v>
      </c>
      <c r="AV216" s="37">
        <f t="shared" si="35"/>
        <v>159.12</v>
      </c>
      <c r="AW216" s="37"/>
    </row>
    <row r="217" spans="1:49" ht="15.75" hidden="1" customHeight="1" x14ac:dyDescent="0.25">
      <c r="A217" s="6" t="s">
        <v>3843</v>
      </c>
      <c r="B217" s="21" t="s">
        <v>3848</v>
      </c>
      <c r="C217" s="7">
        <v>4</v>
      </c>
      <c r="D217" s="39" t="s">
        <v>3849</v>
      </c>
      <c r="E217" s="7">
        <v>4102</v>
      </c>
      <c r="F217" s="7" t="s">
        <v>3790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3791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1"/>
        <v>539.91999999999996</v>
      </c>
      <c r="S217" s="18">
        <f t="shared" si="37"/>
        <v>539.91999999999996</v>
      </c>
      <c r="T217" s="19">
        <f t="shared" si="32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36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3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38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4"/>
        <v>539.91999999999996</v>
      </c>
      <c r="AV217" s="37">
        <f t="shared" si="35"/>
        <v>539.91999999999996</v>
      </c>
      <c r="AW217" s="37"/>
    </row>
    <row r="218" spans="1:49" ht="15.75" hidden="1" customHeight="1" x14ac:dyDescent="0.25">
      <c r="A218" s="6" t="s">
        <v>3850</v>
      </c>
      <c r="B218" s="21" t="s">
        <v>3851</v>
      </c>
      <c r="C218" s="7">
        <v>4</v>
      </c>
      <c r="D218" s="39" t="s">
        <v>3815</v>
      </c>
      <c r="E218" s="7">
        <v>4103</v>
      </c>
      <c r="F218" s="7" t="s">
        <v>3790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3791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39">IFERROR(H218*((AA218*0.25)+(AC218*0.25)+(AD218*0.225)+(AE218*0.225)+(AF218*0.05)),"")</f>
        <v>189.88</v>
      </c>
      <c r="S218" s="18">
        <f t="shared" si="37"/>
        <v>189.88</v>
      </c>
      <c r="T218" s="19">
        <f t="shared" ref="T218:T281" si="40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36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3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38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4"/>
        <v>189.88</v>
      </c>
      <c r="AV218" s="37">
        <f t="shared" si="35"/>
        <v>189.88</v>
      </c>
      <c r="AW218" s="37"/>
    </row>
    <row r="219" spans="1:49" ht="15.75" hidden="1" customHeight="1" x14ac:dyDescent="0.25">
      <c r="A219" s="6" t="s">
        <v>3850</v>
      </c>
      <c r="B219" s="21" t="s">
        <v>3852</v>
      </c>
      <c r="C219" s="7">
        <v>2</v>
      </c>
      <c r="D219" s="39" t="s">
        <v>3817</v>
      </c>
      <c r="E219" s="7">
        <v>4104</v>
      </c>
      <c r="F219" s="7" t="s">
        <v>3790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3791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39"/>
        <v>101.64</v>
      </c>
      <c r="S219" s="18">
        <f t="shared" si="37"/>
        <v>101.64</v>
      </c>
      <c r="T219" s="19">
        <f t="shared" si="40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36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3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38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4"/>
        <v>101.64</v>
      </c>
      <c r="AV219" s="37">
        <f t="shared" si="35"/>
        <v>101.64</v>
      </c>
      <c r="AW219" s="37"/>
    </row>
    <row r="220" spans="1:49" ht="15.75" hidden="1" customHeight="1" x14ac:dyDescent="0.25">
      <c r="A220" s="6" t="s">
        <v>3850</v>
      </c>
      <c r="B220" s="21" t="s">
        <v>3853</v>
      </c>
      <c r="C220" s="7">
        <v>2</v>
      </c>
      <c r="D220" s="39" t="s">
        <v>3819</v>
      </c>
      <c r="E220" s="7">
        <v>4105</v>
      </c>
      <c r="F220" s="7" t="s">
        <v>3790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3791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39"/>
        <v>111.62</v>
      </c>
      <c r="S220" s="18">
        <f t="shared" si="37"/>
        <v>111.62</v>
      </c>
      <c r="T220" s="19">
        <f t="shared" si="40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36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1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38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4"/>
        <v>111.62</v>
      </c>
      <c r="AV220" s="37">
        <f t="shared" si="35"/>
        <v>111.62</v>
      </c>
      <c r="AW220" s="37"/>
    </row>
    <row r="221" spans="1:49" ht="15.75" hidden="1" customHeight="1" x14ac:dyDescent="0.25">
      <c r="A221" s="6" t="s">
        <v>3850</v>
      </c>
      <c r="B221" s="21" t="s">
        <v>3854</v>
      </c>
      <c r="C221" s="7">
        <v>2</v>
      </c>
      <c r="D221" s="39" t="s">
        <v>3821</v>
      </c>
      <c r="E221" s="7">
        <v>4106</v>
      </c>
      <c r="F221" s="7" t="s">
        <v>3790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3791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39"/>
        <v>156.66</v>
      </c>
      <c r="S221" s="18">
        <f t="shared" si="37"/>
        <v>156.66</v>
      </c>
      <c r="T221" s="19">
        <f t="shared" si="40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36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1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38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4"/>
        <v>156.66</v>
      </c>
      <c r="AV221" s="37">
        <f t="shared" si="35"/>
        <v>156.66</v>
      </c>
      <c r="AW221" s="37"/>
    </row>
    <row r="222" spans="1:49" ht="15.75" hidden="1" customHeight="1" x14ac:dyDescent="0.25">
      <c r="A222" s="6" t="s">
        <v>3850</v>
      </c>
      <c r="B222" s="21" t="s">
        <v>3855</v>
      </c>
      <c r="C222" s="7">
        <v>2</v>
      </c>
      <c r="D222" s="39" t="s">
        <v>3845</v>
      </c>
      <c r="E222" s="7">
        <v>4107</v>
      </c>
      <c r="F222" s="7" t="s">
        <v>3790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3791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39"/>
        <v>151.04</v>
      </c>
      <c r="S222" s="18">
        <f t="shared" si="37"/>
        <v>151.04</v>
      </c>
      <c r="T222" s="19">
        <f t="shared" si="40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36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1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38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4"/>
        <v>151.04</v>
      </c>
      <c r="AV222" s="37">
        <f t="shared" si="35"/>
        <v>151.04</v>
      </c>
      <c r="AW222" s="37"/>
    </row>
    <row r="223" spans="1:49" ht="15.75" hidden="1" customHeight="1" x14ac:dyDescent="0.25">
      <c r="A223" s="6" t="s">
        <v>3856</v>
      </c>
      <c r="B223" s="21" t="s">
        <v>3857</v>
      </c>
      <c r="C223" s="7">
        <v>2</v>
      </c>
      <c r="D223" s="39" t="s">
        <v>3858</v>
      </c>
      <c r="E223" s="7">
        <v>4108</v>
      </c>
      <c r="F223" s="7" t="s">
        <v>3790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3791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39"/>
        <v>350.08</v>
      </c>
      <c r="S223" s="18">
        <f t="shared" si="37"/>
        <v>0</v>
      </c>
      <c r="T223" s="19">
        <f t="shared" si="40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36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1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38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4"/>
        <v>0</v>
      </c>
      <c r="AV223" s="37">
        <f t="shared" si="35"/>
        <v>0</v>
      </c>
      <c r="AW223" s="37"/>
    </row>
    <row r="224" spans="1:49" ht="15.75" hidden="1" customHeight="1" x14ac:dyDescent="0.25">
      <c r="A224" s="6" t="s">
        <v>3859</v>
      </c>
      <c r="B224" s="21" t="s">
        <v>3860</v>
      </c>
      <c r="C224" s="7">
        <v>2</v>
      </c>
      <c r="D224" s="39" t="s">
        <v>3805</v>
      </c>
      <c r="E224" s="7">
        <v>4109</v>
      </c>
      <c r="F224" s="7" t="s">
        <v>3790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3791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39"/>
        <v>304.44</v>
      </c>
      <c r="S224" s="18">
        <f t="shared" si="37"/>
        <v>304.44</v>
      </c>
      <c r="T224" s="19">
        <f t="shared" si="40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36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1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38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4"/>
        <v>304.44</v>
      </c>
      <c r="AV224" s="37">
        <f t="shared" si="35"/>
        <v>304.44</v>
      </c>
      <c r="AW224" s="37"/>
    </row>
    <row r="225" spans="1:49" ht="15.75" hidden="1" customHeight="1" x14ac:dyDescent="0.25">
      <c r="A225" s="6" t="s">
        <v>3859</v>
      </c>
      <c r="B225" s="21" t="s">
        <v>3861</v>
      </c>
      <c r="C225" s="7">
        <v>2</v>
      </c>
      <c r="D225" s="39" t="s">
        <v>3807</v>
      </c>
      <c r="E225" s="7">
        <v>4110</v>
      </c>
      <c r="F225" s="7" t="s">
        <v>3790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3791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39"/>
        <v>304.44</v>
      </c>
      <c r="S225" s="18">
        <f t="shared" si="37"/>
        <v>304.44</v>
      </c>
      <c r="T225" s="19">
        <f t="shared" si="40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36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1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38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4"/>
        <v>304.44</v>
      </c>
      <c r="AV225" s="37">
        <f t="shared" si="35"/>
        <v>304.44</v>
      </c>
      <c r="AW225" s="37"/>
    </row>
    <row r="226" spans="1:49" ht="15.75" hidden="1" customHeight="1" x14ac:dyDescent="0.25">
      <c r="A226" s="6" t="s">
        <v>3859</v>
      </c>
      <c r="B226" s="21" t="s">
        <v>3862</v>
      </c>
      <c r="C226" s="7">
        <v>10</v>
      </c>
      <c r="D226" s="39" t="s">
        <v>3809</v>
      </c>
      <c r="E226" s="7">
        <v>4111</v>
      </c>
      <c r="F226" s="7" t="s">
        <v>3790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3791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39"/>
        <v>279</v>
      </c>
      <c r="S226" s="18">
        <f t="shared" si="37"/>
        <v>279</v>
      </c>
      <c r="T226" s="19">
        <f t="shared" si="40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36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1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38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4"/>
        <v>279</v>
      </c>
      <c r="AV226" s="37">
        <f t="shared" si="35"/>
        <v>279</v>
      </c>
      <c r="AW226" s="37"/>
    </row>
    <row r="227" spans="1:49" ht="15.75" hidden="1" customHeight="1" x14ac:dyDescent="0.25">
      <c r="A227" s="6" t="s">
        <v>3859</v>
      </c>
      <c r="B227" s="21" t="s">
        <v>3863</v>
      </c>
      <c r="C227" s="7">
        <v>2</v>
      </c>
      <c r="D227" s="39" t="s">
        <v>3809</v>
      </c>
      <c r="E227" s="7">
        <v>4112</v>
      </c>
      <c r="F227" s="7" t="s">
        <v>3790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3791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39"/>
        <v>50.04</v>
      </c>
      <c r="S227" s="18">
        <f t="shared" si="37"/>
        <v>50.04</v>
      </c>
      <c r="T227" s="19">
        <f t="shared" si="40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36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1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38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4"/>
        <v>50.04</v>
      </c>
      <c r="AV227" s="37">
        <f t="shared" si="35"/>
        <v>50.04</v>
      </c>
      <c r="AW227" s="37"/>
    </row>
    <row r="228" spans="1:49" ht="15.75" hidden="1" customHeight="1" x14ac:dyDescent="0.25">
      <c r="A228" s="6" t="s">
        <v>3859</v>
      </c>
      <c r="B228" s="21" t="s">
        <v>3864</v>
      </c>
      <c r="C228" s="7">
        <v>2</v>
      </c>
      <c r="D228" s="39" t="s">
        <v>3809</v>
      </c>
      <c r="E228" s="7">
        <v>4113</v>
      </c>
      <c r="F228" s="7" t="s">
        <v>3790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3791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39"/>
        <v>47.36</v>
      </c>
      <c r="S228" s="18">
        <f t="shared" si="37"/>
        <v>47.36</v>
      </c>
      <c r="T228" s="19">
        <f t="shared" si="40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36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1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38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4"/>
        <v>47.36</v>
      </c>
      <c r="AV228" s="37">
        <f t="shared" si="35"/>
        <v>47.36</v>
      </c>
      <c r="AW228" s="37"/>
    </row>
    <row r="229" spans="1:49" ht="15.75" hidden="1" customHeight="1" x14ac:dyDescent="0.25">
      <c r="A229" s="6" t="s">
        <v>3865</v>
      </c>
      <c r="B229" s="21" t="s">
        <v>3866</v>
      </c>
      <c r="C229" s="7">
        <v>2</v>
      </c>
      <c r="D229" s="39" t="s">
        <v>3805</v>
      </c>
      <c r="E229" s="7">
        <v>4114</v>
      </c>
      <c r="F229" s="7" t="s">
        <v>3790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3791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39"/>
        <v>245.96</v>
      </c>
      <c r="S229" s="18">
        <f t="shared" si="37"/>
        <v>245.96</v>
      </c>
      <c r="T229" s="19">
        <f t="shared" si="40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36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1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38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2">IF(AH229="",0,IF(ISTEXT(AH229),H229*VALUE(SUBSTITUTE(AH229,"%",""))/100,H229*AH229))</f>
        <v>245.96</v>
      </c>
      <c r="AV229" s="37">
        <f t="shared" ref="AV229:AV292" si="43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3865</v>
      </c>
      <c r="B230" s="21" t="s">
        <v>3867</v>
      </c>
      <c r="C230" s="7">
        <v>2</v>
      </c>
      <c r="D230" s="39" t="s">
        <v>3807</v>
      </c>
      <c r="E230" s="7">
        <v>4115</v>
      </c>
      <c r="F230" s="7" t="s">
        <v>3790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3791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39"/>
        <v>245.96</v>
      </c>
      <c r="S230" s="18">
        <f t="shared" si="37"/>
        <v>245.96</v>
      </c>
      <c r="T230" s="19">
        <f t="shared" si="40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36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1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38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2"/>
        <v>245.96</v>
      </c>
      <c r="AV230" s="37">
        <f t="shared" si="43"/>
        <v>245.96</v>
      </c>
      <c r="AW230" s="37"/>
    </row>
    <row r="231" spans="1:49" ht="15.75" hidden="1" customHeight="1" x14ac:dyDescent="0.25">
      <c r="A231" s="6" t="s">
        <v>3865</v>
      </c>
      <c r="B231" s="21" t="s">
        <v>3868</v>
      </c>
      <c r="C231" s="7">
        <v>2</v>
      </c>
      <c r="D231" s="39" t="s">
        <v>3809</v>
      </c>
      <c r="E231" s="7">
        <v>4116</v>
      </c>
      <c r="F231" s="7" t="s">
        <v>3790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3791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39"/>
        <v>68.8</v>
      </c>
      <c r="S231" s="18">
        <f t="shared" si="37"/>
        <v>68.8</v>
      </c>
      <c r="T231" s="19">
        <f t="shared" si="40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36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1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38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2"/>
        <v>68.8</v>
      </c>
      <c r="AV231" s="37">
        <f t="shared" si="43"/>
        <v>68.8</v>
      </c>
      <c r="AW231" s="37"/>
    </row>
    <row r="232" spans="1:49" ht="15.75" hidden="1" customHeight="1" x14ac:dyDescent="0.25">
      <c r="A232" s="6" t="s">
        <v>3865</v>
      </c>
      <c r="B232" s="21" t="s">
        <v>3869</v>
      </c>
      <c r="C232" s="7">
        <v>2</v>
      </c>
      <c r="D232" s="39" t="s">
        <v>3809</v>
      </c>
      <c r="E232" s="7">
        <v>4117</v>
      </c>
      <c r="F232" s="7" t="s">
        <v>3790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3791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39"/>
        <v>68.739999999999995</v>
      </c>
      <c r="S232" s="18">
        <f t="shared" si="37"/>
        <v>68.739999999999995</v>
      </c>
      <c r="T232" s="19">
        <f t="shared" si="40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36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1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38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2"/>
        <v>68.739999999999995</v>
      </c>
      <c r="AV232" s="37">
        <f t="shared" si="43"/>
        <v>68.739999999999995</v>
      </c>
      <c r="AW232" s="37"/>
    </row>
    <row r="233" spans="1:49" ht="15.75" hidden="1" customHeight="1" x14ac:dyDescent="0.25">
      <c r="A233" s="6" t="s">
        <v>3865</v>
      </c>
      <c r="B233" s="21" t="s">
        <v>3870</v>
      </c>
      <c r="C233" s="7">
        <v>2</v>
      </c>
      <c r="D233" s="39" t="s">
        <v>3809</v>
      </c>
      <c r="E233" s="7">
        <v>4118</v>
      </c>
      <c r="F233" s="7" t="s">
        <v>3790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3791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39"/>
        <v>68.739999999999995</v>
      </c>
      <c r="S233" s="18">
        <f t="shared" si="37"/>
        <v>68.739999999999995</v>
      </c>
      <c r="T233" s="19">
        <f t="shared" si="40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36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1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38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2"/>
        <v>68.739999999999995</v>
      </c>
      <c r="AV233" s="37">
        <f t="shared" si="43"/>
        <v>68.739999999999995</v>
      </c>
      <c r="AW233" s="37"/>
    </row>
    <row r="234" spans="1:49" ht="15.75" hidden="1" customHeight="1" x14ac:dyDescent="0.25">
      <c r="A234" s="6" t="s">
        <v>3865</v>
      </c>
      <c r="B234" s="21" t="s">
        <v>3871</v>
      </c>
      <c r="C234" s="7">
        <v>2</v>
      </c>
      <c r="D234" s="39" t="s">
        <v>3809</v>
      </c>
      <c r="E234" s="7">
        <v>4119</v>
      </c>
      <c r="F234" s="7" t="s">
        <v>3790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3791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39"/>
        <v>54.02</v>
      </c>
      <c r="S234" s="18">
        <f t="shared" si="37"/>
        <v>54.02</v>
      </c>
      <c r="T234" s="19">
        <f t="shared" si="40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36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1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38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2"/>
        <v>54.02</v>
      </c>
      <c r="AV234" s="37">
        <f t="shared" si="43"/>
        <v>54.02</v>
      </c>
      <c r="AW234" s="37"/>
    </row>
    <row r="235" spans="1:49" ht="15.75" hidden="1" customHeight="1" x14ac:dyDescent="0.25">
      <c r="A235" s="6" t="s">
        <v>3865</v>
      </c>
      <c r="B235" s="21" t="s">
        <v>3872</v>
      </c>
      <c r="C235" s="7">
        <v>2</v>
      </c>
      <c r="D235" s="39" t="s">
        <v>3809</v>
      </c>
      <c r="E235" s="7">
        <v>4120</v>
      </c>
      <c r="F235" s="7" t="s">
        <v>3790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3791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39"/>
        <v>54.02</v>
      </c>
      <c r="S235" s="18">
        <f t="shared" si="37"/>
        <v>54.02</v>
      </c>
      <c r="T235" s="19">
        <f t="shared" si="40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36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1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38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2"/>
        <v>54.02</v>
      </c>
      <c r="AV235" s="37">
        <f t="shared" si="43"/>
        <v>54.02</v>
      </c>
      <c r="AW235" s="37"/>
    </row>
    <row r="236" spans="1:49" ht="15.75" hidden="1" customHeight="1" x14ac:dyDescent="0.25">
      <c r="A236" s="6" t="s">
        <v>3865</v>
      </c>
      <c r="B236" s="21" t="s">
        <v>3873</v>
      </c>
      <c r="C236" s="7">
        <v>4</v>
      </c>
      <c r="D236" s="39" t="s">
        <v>3809</v>
      </c>
      <c r="E236" s="7">
        <v>4121</v>
      </c>
      <c r="F236" s="7" t="s">
        <v>3790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3791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39"/>
        <v>95</v>
      </c>
      <c r="S236" s="18">
        <f t="shared" si="37"/>
        <v>95</v>
      </c>
      <c r="T236" s="19">
        <f t="shared" si="40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36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1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38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2"/>
        <v>95</v>
      </c>
      <c r="AV236" s="37">
        <f t="shared" si="43"/>
        <v>95</v>
      </c>
      <c r="AW236" s="37"/>
    </row>
    <row r="237" spans="1:49" ht="15.75" hidden="1" customHeight="1" x14ac:dyDescent="0.25">
      <c r="A237" s="6" t="s">
        <v>3874</v>
      </c>
      <c r="B237" s="21" t="s">
        <v>3830</v>
      </c>
      <c r="C237" s="7">
        <v>2</v>
      </c>
      <c r="D237" s="39" t="s">
        <v>3805</v>
      </c>
      <c r="E237" s="7">
        <v>4122</v>
      </c>
      <c r="F237" s="7" t="s">
        <v>3790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3791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39"/>
        <v>258.18</v>
      </c>
      <c r="S237" s="18">
        <f t="shared" si="37"/>
        <v>258.18</v>
      </c>
      <c r="T237" s="19">
        <f t="shared" si="40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36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1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38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2"/>
        <v>258.18</v>
      </c>
      <c r="AV237" s="37">
        <f t="shared" si="43"/>
        <v>258.18</v>
      </c>
      <c r="AW237" s="37"/>
    </row>
    <row r="238" spans="1:49" ht="15.75" hidden="1" customHeight="1" x14ac:dyDescent="0.25">
      <c r="A238" s="6" t="s">
        <v>3874</v>
      </c>
      <c r="B238" s="21" t="s">
        <v>3831</v>
      </c>
      <c r="C238" s="7">
        <v>2</v>
      </c>
      <c r="D238" s="39" t="s">
        <v>3807</v>
      </c>
      <c r="E238" s="7">
        <v>4123</v>
      </c>
      <c r="F238" s="7" t="s">
        <v>3790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3791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39"/>
        <v>258.18</v>
      </c>
      <c r="S238" s="18">
        <f t="shared" si="37"/>
        <v>258.18</v>
      </c>
      <c r="T238" s="19">
        <f t="shared" si="40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36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1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38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2"/>
        <v>258.18</v>
      </c>
      <c r="AV238" s="37">
        <f t="shared" si="43"/>
        <v>258.18</v>
      </c>
      <c r="AW238" s="37"/>
    </row>
    <row r="239" spans="1:49" ht="15.75" hidden="1" customHeight="1" x14ac:dyDescent="0.25">
      <c r="A239" s="6" t="s">
        <v>3874</v>
      </c>
      <c r="B239" s="21" t="s">
        <v>3875</v>
      </c>
      <c r="C239" s="7">
        <v>12</v>
      </c>
      <c r="D239" s="39" t="s">
        <v>3809</v>
      </c>
      <c r="E239" s="7">
        <v>4124</v>
      </c>
      <c r="F239" s="7" t="s">
        <v>3790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3791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39"/>
        <v>284.15999999999997</v>
      </c>
      <c r="S239" s="18">
        <f t="shared" si="37"/>
        <v>284.15999999999997</v>
      </c>
      <c r="T239" s="19">
        <f t="shared" si="40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36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1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38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2"/>
        <v>284.15999999999997</v>
      </c>
      <c r="AV239" s="37">
        <f t="shared" si="43"/>
        <v>284.15999999999997</v>
      </c>
      <c r="AW239" s="37"/>
    </row>
    <row r="240" spans="1:49" ht="15.75" hidden="1" customHeight="1" x14ac:dyDescent="0.25">
      <c r="A240" s="6" t="s">
        <v>3874</v>
      </c>
      <c r="B240" s="21" t="s">
        <v>3831</v>
      </c>
      <c r="C240" s="7">
        <v>4</v>
      </c>
      <c r="D240" s="39" t="s">
        <v>3815</v>
      </c>
      <c r="E240" s="7">
        <v>4125</v>
      </c>
      <c r="F240" s="7" t="s">
        <v>3790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3791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39"/>
        <v>285.76</v>
      </c>
      <c r="S240" s="18">
        <f t="shared" si="37"/>
        <v>285.76</v>
      </c>
      <c r="T240" s="19">
        <f t="shared" si="40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36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1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38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2"/>
        <v>285.76</v>
      </c>
      <c r="AV240" s="37">
        <f t="shared" si="43"/>
        <v>285.76</v>
      </c>
      <c r="AW240" s="37"/>
    </row>
    <row r="241" spans="1:49" ht="15.75" hidden="1" customHeight="1" x14ac:dyDescent="0.25">
      <c r="A241" s="6" t="s">
        <v>3874</v>
      </c>
      <c r="B241" s="21" t="s">
        <v>3832</v>
      </c>
      <c r="C241" s="7">
        <v>4</v>
      </c>
      <c r="D241" s="39" t="s">
        <v>3817</v>
      </c>
      <c r="E241" s="7">
        <v>4126</v>
      </c>
      <c r="F241" s="7" t="s">
        <v>3790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3791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39"/>
        <v>285.76</v>
      </c>
      <c r="S241" s="18">
        <f t="shared" si="37"/>
        <v>285.76</v>
      </c>
      <c r="T241" s="19">
        <f t="shared" si="40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36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1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38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2"/>
        <v>285.76</v>
      </c>
      <c r="AV241" s="37">
        <f t="shared" si="43"/>
        <v>285.76</v>
      </c>
      <c r="AW241" s="37"/>
    </row>
    <row r="242" spans="1:49" ht="15.75" hidden="1" customHeight="1" x14ac:dyDescent="0.25">
      <c r="A242" s="6" t="s">
        <v>3876</v>
      </c>
      <c r="B242" s="21" t="s">
        <v>3877</v>
      </c>
      <c r="C242" s="7">
        <v>2</v>
      </c>
      <c r="D242" s="39" t="s">
        <v>3805</v>
      </c>
      <c r="E242" s="7">
        <v>4127</v>
      </c>
      <c r="F242" s="7" t="s">
        <v>3790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3791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39"/>
        <v>257.72000000000003</v>
      </c>
      <c r="S242" s="18">
        <f t="shared" si="37"/>
        <v>257.72000000000003</v>
      </c>
      <c r="T242" s="19">
        <f t="shared" si="40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36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1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38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2"/>
        <v>257.72000000000003</v>
      </c>
      <c r="AV242" s="37">
        <f t="shared" si="43"/>
        <v>257.72000000000003</v>
      </c>
      <c r="AW242" s="37"/>
    </row>
    <row r="243" spans="1:49" ht="15.75" hidden="1" customHeight="1" x14ac:dyDescent="0.25">
      <c r="A243" s="6" t="s">
        <v>3876</v>
      </c>
      <c r="B243" s="21" t="s">
        <v>3878</v>
      </c>
      <c r="C243" s="7">
        <v>2</v>
      </c>
      <c r="D243" s="39" t="s">
        <v>3807</v>
      </c>
      <c r="E243" s="7">
        <v>4128</v>
      </c>
      <c r="F243" s="7" t="s">
        <v>3790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3791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39"/>
        <v>257.72000000000003</v>
      </c>
      <c r="S243" s="18">
        <f t="shared" si="37"/>
        <v>257.72000000000003</v>
      </c>
      <c r="T243" s="19">
        <f t="shared" si="40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36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1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38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2"/>
        <v>257.72000000000003</v>
      </c>
      <c r="AV243" s="37">
        <f t="shared" si="43"/>
        <v>257.72000000000003</v>
      </c>
      <c r="AW243" s="37"/>
    </row>
    <row r="244" spans="1:49" ht="15.75" hidden="1" customHeight="1" x14ac:dyDescent="0.25">
      <c r="A244" s="6" t="s">
        <v>3876</v>
      </c>
      <c r="B244" s="21" t="s">
        <v>3879</v>
      </c>
      <c r="C244" s="7">
        <v>12</v>
      </c>
      <c r="D244" s="39" t="s">
        <v>3809</v>
      </c>
      <c r="E244" s="7">
        <v>4129</v>
      </c>
      <c r="F244" s="7" t="s">
        <v>3790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3791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39"/>
        <v>284.15999999999997</v>
      </c>
      <c r="S244" s="18">
        <f t="shared" si="37"/>
        <v>284.15999999999997</v>
      </c>
      <c r="T244" s="19">
        <f t="shared" si="40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36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1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38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2"/>
        <v>284.15999999999997</v>
      </c>
      <c r="AV244" s="37">
        <f t="shared" si="43"/>
        <v>284.15999999999997</v>
      </c>
      <c r="AW244" s="37"/>
    </row>
    <row r="245" spans="1:49" ht="15.75" hidden="1" customHeight="1" x14ac:dyDescent="0.25">
      <c r="A245" s="6" t="s">
        <v>3876</v>
      </c>
      <c r="B245" s="21" t="s">
        <v>3831</v>
      </c>
      <c r="C245" s="7">
        <v>8</v>
      </c>
      <c r="D245" s="39" t="s">
        <v>3880</v>
      </c>
      <c r="E245" s="7">
        <v>4130</v>
      </c>
      <c r="F245" s="7" t="s">
        <v>3790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3791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39"/>
        <v>571.52</v>
      </c>
      <c r="S245" s="18">
        <f t="shared" si="37"/>
        <v>571.52</v>
      </c>
      <c r="T245" s="19">
        <f t="shared" si="40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4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1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38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2"/>
        <v>571.52</v>
      </c>
      <c r="AV245" s="37">
        <f t="shared" si="43"/>
        <v>571.52</v>
      </c>
      <c r="AW245" s="37"/>
    </row>
    <row r="246" spans="1:49" ht="15.75" hidden="1" customHeight="1" x14ac:dyDescent="0.25">
      <c r="A246" s="6" t="s">
        <v>3881</v>
      </c>
      <c r="B246" s="21" t="s">
        <v>3882</v>
      </c>
      <c r="C246" s="7">
        <v>1</v>
      </c>
      <c r="D246" s="39" t="s">
        <v>3883</v>
      </c>
      <c r="E246" s="7">
        <v>4131</v>
      </c>
      <c r="F246" s="7" t="s">
        <v>3884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39"/>
        <v>383.4</v>
      </c>
      <c r="S246" s="18">
        <f t="shared" ref="S246:S309" si="45">IFERROR(H246*AG246,"")</f>
        <v>383.4</v>
      </c>
      <c r="T246" s="19">
        <f t="shared" si="40"/>
        <v>0</v>
      </c>
      <c r="U246" s="207">
        <v>1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383.4</v>
      </c>
      <c r="Y246" s="14">
        <f t="shared" si="44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1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38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2"/>
        <v>383.4</v>
      </c>
      <c r="AV246" s="37">
        <f t="shared" si="43"/>
        <v>383.4</v>
      </c>
      <c r="AW246" s="37"/>
    </row>
    <row r="247" spans="1:49" ht="15.75" hidden="1" customHeight="1" x14ac:dyDescent="0.25">
      <c r="A247" s="6" t="s">
        <v>3881</v>
      </c>
      <c r="B247" s="21" t="s">
        <v>3885</v>
      </c>
      <c r="C247" s="7">
        <v>4</v>
      </c>
      <c r="D247" s="39" t="s">
        <v>3886</v>
      </c>
      <c r="E247" s="7">
        <v>4132</v>
      </c>
      <c r="F247" s="7" t="s">
        <v>3884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39"/>
        <v>1.2</v>
      </c>
      <c r="S247" s="18">
        <f t="shared" si="45"/>
        <v>1.2</v>
      </c>
      <c r="T247" s="19">
        <f t="shared" si="40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4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1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38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2"/>
        <v>1.2</v>
      </c>
      <c r="AV247" s="37">
        <f t="shared" si="43"/>
        <v>1.2</v>
      </c>
      <c r="AW247" s="37"/>
    </row>
    <row r="248" spans="1:49" ht="15.75" hidden="1" customHeight="1" x14ac:dyDescent="0.25">
      <c r="A248" s="6" t="s">
        <v>3881</v>
      </c>
      <c r="B248" s="21" t="s">
        <v>3882</v>
      </c>
      <c r="C248" s="7">
        <v>1</v>
      </c>
      <c r="D248" s="39" t="s">
        <v>3883</v>
      </c>
      <c r="E248" s="7">
        <v>4133</v>
      </c>
      <c r="F248" s="7" t="s">
        <v>3884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39"/>
        <v>383.4</v>
      </c>
      <c r="S248" s="18">
        <f t="shared" si="45"/>
        <v>383.4</v>
      </c>
      <c r="T248" s="19">
        <f t="shared" si="40"/>
        <v>0</v>
      </c>
      <c r="U248" s="207">
        <v>1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383.4</v>
      </c>
      <c r="Y248" s="14">
        <f t="shared" si="44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1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38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2"/>
        <v>383.4</v>
      </c>
      <c r="AV248" s="37">
        <f t="shared" si="43"/>
        <v>383.4</v>
      </c>
      <c r="AW248" s="37"/>
    </row>
    <row r="249" spans="1:49" ht="15.75" hidden="1" customHeight="1" x14ac:dyDescent="0.25">
      <c r="A249" s="6" t="s">
        <v>3881</v>
      </c>
      <c r="B249" s="21" t="s">
        <v>3885</v>
      </c>
      <c r="C249" s="7">
        <v>4</v>
      </c>
      <c r="D249" s="39" t="s">
        <v>3886</v>
      </c>
      <c r="E249" s="7">
        <v>4134</v>
      </c>
      <c r="F249" s="7" t="s">
        <v>3884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39"/>
        <v>1.2</v>
      </c>
      <c r="S249" s="18">
        <f t="shared" si="45"/>
        <v>1.2</v>
      </c>
      <c r="T249" s="19">
        <f t="shared" si="40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4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1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38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2"/>
        <v>1.2</v>
      </c>
      <c r="AV249" s="37">
        <f t="shared" si="43"/>
        <v>1.2</v>
      </c>
      <c r="AW249" s="37"/>
    </row>
    <row r="250" spans="1:49" ht="15.75" hidden="1" customHeight="1" x14ac:dyDescent="0.25">
      <c r="A250" s="6" t="s">
        <v>3887</v>
      </c>
      <c r="B250" s="21" t="s">
        <v>3888</v>
      </c>
      <c r="C250" s="7">
        <v>1</v>
      </c>
      <c r="D250" s="39" t="s">
        <v>3889</v>
      </c>
      <c r="E250" s="7">
        <v>4135</v>
      </c>
      <c r="F250" s="7" t="s">
        <v>3890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39"/>
        <v>577.39</v>
      </c>
      <c r="S250" s="18">
        <f t="shared" si="45"/>
        <v>0</v>
      </c>
      <c r="T250" s="19">
        <f t="shared" si="40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4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1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38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2"/>
        <v>0</v>
      </c>
      <c r="AV250" s="37">
        <f t="shared" si="43"/>
        <v>0</v>
      </c>
      <c r="AW250" s="37"/>
    </row>
    <row r="251" spans="1:49" ht="15.75" hidden="1" customHeight="1" x14ac:dyDescent="0.25">
      <c r="A251" s="6" t="s">
        <v>3887</v>
      </c>
      <c r="B251" s="21" t="s">
        <v>3891</v>
      </c>
      <c r="C251" s="7">
        <v>4</v>
      </c>
      <c r="D251" s="39" t="s">
        <v>3892</v>
      </c>
      <c r="E251" s="7">
        <v>4136</v>
      </c>
      <c r="F251" s="7" t="s">
        <v>3890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39"/>
        <v>16.29</v>
      </c>
      <c r="S251" s="18">
        <f t="shared" si="45"/>
        <v>0</v>
      </c>
      <c r="T251" s="19">
        <f t="shared" si="40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4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1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38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2"/>
        <v>0</v>
      </c>
      <c r="AV251" s="37">
        <f t="shared" si="43"/>
        <v>0</v>
      </c>
      <c r="AW251" s="37"/>
    </row>
    <row r="252" spans="1:49" ht="15.75" hidden="1" customHeight="1" x14ac:dyDescent="0.25">
      <c r="A252" s="6" t="s">
        <v>3887</v>
      </c>
      <c r="B252" s="21" t="s">
        <v>3893</v>
      </c>
      <c r="C252" s="7">
        <v>4</v>
      </c>
      <c r="D252" s="39" t="s">
        <v>3894</v>
      </c>
      <c r="E252" s="7">
        <v>4137</v>
      </c>
      <c r="F252" s="7" t="s">
        <v>3890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39"/>
        <v>20.995999999999999</v>
      </c>
      <c r="S252" s="18">
        <f t="shared" si="45"/>
        <v>0</v>
      </c>
      <c r="T252" s="19">
        <f t="shared" si="40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4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1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38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2"/>
        <v>0</v>
      </c>
      <c r="AV252" s="37">
        <f t="shared" si="43"/>
        <v>0</v>
      </c>
      <c r="AW252" s="37"/>
    </row>
    <row r="253" spans="1:49" ht="15.75" hidden="1" customHeight="1" x14ac:dyDescent="0.25">
      <c r="A253" s="6" t="s">
        <v>3887</v>
      </c>
      <c r="B253" s="21" t="s">
        <v>3895</v>
      </c>
      <c r="C253" s="7">
        <v>8</v>
      </c>
      <c r="D253" s="39" t="s">
        <v>3896</v>
      </c>
      <c r="E253" s="7">
        <v>4138</v>
      </c>
      <c r="F253" s="7" t="s">
        <v>3890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39"/>
        <v>0.4</v>
      </c>
      <c r="S253" s="18">
        <f t="shared" si="45"/>
        <v>0</v>
      </c>
      <c r="T253" s="19">
        <f t="shared" si="40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4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1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38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2"/>
        <v>0</v>
      </c>
      <c r="AV253" s="37">
        <f t="shared" si="43"/>
        <v>0</v>
      </c>
      <c r="AW253" s="37"/>
    </row>
    <row r="254" spans="1:49" ht="15.75" hidden="1" customHeight="1" x14ac:dyDescent="0.25">
      <c r="A254" s="6" t="s">
        <v>3887</v>
      </c>
      <c r="B254" s="21" t="s">
        <v>3897</v>
      </c>
      <c r="C254" s="7">
        <v>8</v>
      </c>
      <c r="D254" s="39" t="s">
        <v>3898</v>
      </c>
      <c r="E254" s="7">
        <v>4139</v>
      </c>
      <c r="F254" s="7" t="s">
        <v>3890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39"/>
        <v>0.4</v>
      </c>
      <c r="S254" s="18">
        <f t="shared" si="45"/>
        <v>0</v>
      </c>
      <c r="T254" s="19">
        <f t="shared" si="40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4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1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38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2"/>
        <v>0</v>
      </c>
      <c r="AV254" s="37">
        <f t="shared" si="43"/>
        <v>0</v>
      </c>
      <c r="AW254" s="37"/>
    </row>
    <row r="255" spans="1:49" ht="15.75" hidden="1" customHeight="1" x14ac:dyDescent="0.25">
      <c r="A255" s="6" t="s">
        <v>3887</v>
      </c>
      <c r="B255" s="21" t="s">
        <v>3899</v>
      </c>
      <c r="C255" s="7">
        <v>4</v>
      </c>
      <c r="D255" s="39" t="s">
        <v>3898</v>
      </c>
      <c r="E255" s="7">
        <v>4140</v>
      </c>
      <c r="F255" s="7" t="s">
        <v>3890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39"/>
        <v>0.2</v>
      </c>
      <c r="S255" s="18">
        <f t="shared" si="45"/>
        <v>0</v>
      </c>
      <c r="T255" s="19">
        <f t="shared" si="40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4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1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38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2"/>
        <v>0</v>
      </c>
      <c r="AV255" s="37">
        <f t="shared" si="43"/>
        <v>0</v>
      </c>
      <c r="AW255" s="37"/>
    </row>
    <row r="256" spans="1:49" ht="15.75" hidden="1" customHeight="1" x14ac:dyDescent="0.25">
      <c r="A256" s="6" t="s">
        <v>3887</v>
      </c>
      <c r="B256" s="21" t="s">
        <v>3900</v>
      </c>
      <c r="C256" s="7">
        <v>4</v>
      </c>
      <c r="D256" s="39" t="s">
        <v>3898</v>
      </c>
      <c r="E256" s="7">
        <v>4141</v>
      </c>
      <c r="F256" s="7" t="s">
        <v>3890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39"/>
        <v>0.2</v>
      </c>
      <c r="S256" s="18">
        <f t="shared" si="45"/>
        <v>0</v>
      </c>
      <c r="T256" s="19">
        <f t="shared" si="40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4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1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38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2"/>
        <v>0</v>
      </c>
      <c r="AV256" s="37">
        <f t="shared" si="43"/>
        <v>0</v>
      </c>
      <c r="AW256" s="37"/>
    </row>
    <row r="257" spans="1:49" ht="15.75" hidden="1" customHeight="1" x14ac:dyDescent="0.25">
      <c r="A257" s="6" t="s">
        <v>3887</v>
      </c>
      <c r="B257" s="21" t="s">
        <v>3888</v>
      </c>
      <c r="C257" s="7">
        <v>1</v>
      </c>
      <c r="D257" s="39" t="s">
        <v>3889</v>
      </c>
      <c r="E257" s="7">
        <v>4142</v>
      </c>
      <c r="F257" s="7" t="s">
        <v>3890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39"/>
        <v>577.39</v>
      </c>
      <c r="S257" s="18">
        <f t="shared" si="45"/>
        <v>0</v>
      </c>
      <c r="T257" s="19">
        <f t="shared" si="40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4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1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38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2"/>
        <v>0</v>
      </c>
      <c r="AV257" s="37">
        <f t="shared" si="43"/>
        <v>0</v>
      </c>
      <c r="AW257" s="37"/>
    </row>
    <row r="258" spans="1:49" ht="15.75" hidden="1" customHeight="1" x14ac:dyDescent="0.25">
      <c r="A258" s="6" t="s">
        <v>3887</v>
      </c>
      <c r="B258" s="21" t="s">
        <v>3891</v>
      </c>
      <c r="C258" s="7">
        <v>4</v>
      </c>
      <c r="D258" s="39" t="s">
        <v>3892</v>
      </c>
      <c r="E258" s="7">
        <v>4143</v>
      </c>
      <c r="F258" s="7" t="s">
        <v>3890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39"/>
        <v>16.29</v>
      </c>
      <c r="S258" s="18">
        <f t="shared" si="45"/>
        <v>0</v>
      </c>
      <c r="T258" s="19">
        <f t="shared" si="40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4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1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38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2"/>
        <v>0</v>
      </c>
      <c r="AV258" s="37">
        <f t="shared" si="43"/>
        <v>0</v>
      </c>
      <c r="AW258" s="37"/>
    </row>
    <row r="259" spans="1:49" ht="15.75" hidden="1" customHeight="1" x14ac:dyDescent="0.25">
      <c r="A259" s="6" t="s">
        <v>3887</v>
      </c>
      <c r="B259" s="21" t="s">
        <v>3893</v>
      </c>
      <c r="C259" s="7">
        <v>4</v>
      </c>
      <c r="D259" s="39" t="s">
        <v>3894</v>
      </c>
      <c r="E259" s="7">
        <v>4144</v>
      </c>
      <c r="F259" s="7" t="s">
        <v>3890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39"/>
        <v>20.995999999999999</v>
      </c>
      <c r="S259" s="18">
        <f t="shared" si="45"/>
        <v>0</v>
      </c>
      <c r="T259" s="19">
        <f t="shared" si="40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4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1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38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2"/>
        <v>0</v>
      </c>
      <c r="AV259" s="37">
        <f t="shared" si="43"/>
        <v>0</v>
      </c>
      <c r="AW259" s="37"/>
    </row>
    <row r="260" spans="1:49" ht="15.75" hidden="1" customHeight="1" x14ac:dyDescent="0.25">
      <c r="A260" s="6" t="s">
        <v>3887</v>
      </c>
      <c r="B260" s="21" t="s">
        <v>3895</v>
      </c>
      <c r="C260" s="7">
        <v>8</v>
      </c>
      <c r="D260" s="39" t="s">
        <v>3896</v>
      </c>
      <c r="E260" s="7">
        <v>4145</v>
      </c>
      <c r="F260" s="7" t="s">
        <v>3890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39"/>
        <v>0.57999999999999996</v>
      </c>
      <c r="S260" s="18">
        <f t="shared" si="45"/>
        <v>0</v>
      </c>
      <c r="T260" s="19">
        <f t="shared" si="40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4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1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38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2"/>
        <v>0</v>
      </c>
      <c r="AV260" s="37">
        <f t="shared" si="43"/>
        <v>0</v>
      </c>
      <c r="AW260" s="37"/>
    </row>
    <row r="261" spans="1:49" ht="15.75" hidden="1" customHeight="1" x14ac:dyDescent="0.25">
      <c r="A261" s="6" t="s">
        <v>3887</v>
      </c>
      <c r="B261" s="21" t="s">
        <v>3897</v>
      </c>
      <c r="C261" s="7">
        <v>8</v>
      </c>
      <c r="D261" s="39" t="s">
        <v>3898</v>
      </c>
      <c r="E261" s="7">
        <v>4146</v>
      </c>
      <c r="F261" s="7" t="s">
        <v>3890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39"/>
        <v>0.4</v>
      </c>
      <c r="S261" s="18">
        <f t="shared" si="45"/>
        <v>0</v>
      </c>
      <c r="T261" s="19">
        <f t="shared" si="40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4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1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46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2"/>
        <v>0</v>
      </c>
      <c r="AV261" s="37">
        <f t="shared" si="43"/>
        <v>0</v>
      </c>
      <c r="AW261" s="37"/>
    </row>
    <row r="262" spans="1:49" ht="15.75" hidden="1" customHeight="1" x14ac:dyDescent="0.25">
      <c r="A262" s="6" t="s">
        <v>3887</v>
      </c>
      <c r="B262" s="21" t="s">
        <v>3899</v>
      </c>
      <c r="C262" s="7">
        <v>4</v>
      </c>
      <c r="D262" s="39" t="s">
        <v>3898</v>
      </c>
      <c r="E262" s="7">
        <v>4147</v>
      </c>
      <c r="F262" s="7" t="s">
        <v>3890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39"/>
        <v>0.2</v>
      </c>
      <c r="S262" s="18">
        <f t="shared" si="45"/>
        <v>0</v>
      </c>
      <c r="T262" s="19">
        <f t="shared" si="40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4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1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46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2"/>
        <v>0</v>
      </c>
      <c r="AV262" s="37">
        <f t="shared" si="43"/>
        <v>0</v>
      </c>
      <c r="AW262" s="37"/>
    </row>
    <row r="263" spans="1:49" ht="15.75" hidden="1" customHeight="1" x14ac:dyDescent="0.25">
      <c r="A263" s="6" t="s">
        <v>3887</v>
      </c>
      <c r="B263" s="21" t="s">
        <v>3900</v>
      </c>
      <c r="C263" s="7">
        <v>4</v>
      </c>
      <c r="D263" s="39" t="s">
        <v>3898</v>
      </c>
      <c r="E263" s="7">
        <v>4148</v>
      </c>
      <c r="F263" s="7" t="s">
        <v>3890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39"/>
        <v>0.2</v>
      </c>
      <c r="S263" s="18">
        <f t="shared" si="45"/>
        <v>0</v>
      </c>
      <c r="T263" s="19">
        <f t="shared" si="40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4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1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46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2"/>
        <v>0</v>
      </c>
      <c r="AV263" s="37">
        <f t="shared" si="43"/>
        <v>0</v>
      </c>
      <c r="AW263" s="37"/>
    </row>
    <row r="264" spans="1:49" ht="15.75" hidden="1" customHeight="1" x14ac:dyDescent="0.25">
      <c r="A264" s="6" t="s">
        <v>3901</v>
      </c>
      <c r="B264" s="21" t="s">
        <v>3902</v>
      </c>
      <c r="C264" s="7">
        <v>1</v>
      </c>
      <c r="D264" s="39" t="s">
        <v>3903</v>
      </c>
      <c r="E264" s="7">
        <v>4149</v>
      </c>
      <c r="F264" s="7" t="s">
        <v>3904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39"/>
        <v>300.39999999999998</v>
      </c>
      <c r="S264" s="18">
        <f t="shared" si="45"/>
        <v>300.39999999999998</v>
      </c>
      <c r="T264" s="19">
        <f t="shared" si="40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4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1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46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2"/>
        <v>300.39999999999998</v>
      </c>
      <c r="AV264" s="37">
        <f t="shared" si="43"/>
        <v>300.39999999999998</v>
      </c>
      <c r="AW264" s="37"/>
    </row>
    <row r="265" spans="1:49" ht="15.75" hidden="1" customHeight="1" x14ac:dyDescent="0.25">
      <c r="A265" s="6" t="s">
        <v>3901</v>
      </c>
      <c r="B265" s="21" t="s">
        <v>3902</v>
      </c>
      <c r="C265" s="7">
        <v>1</v>
      </c>
      <c r="D265" s="39" t="s">
        <v>3903</v>
      </c>
      <c r="E265" s="7">
        <v>4150</v>
      </c>
      <c r="F265" s="7" t="s">
        <v>3904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39"/>
        <v>300.39999999999998</v>
      </c>
      <c r="S265" s="18">
        <f t="shared" si="45"/>
        <v>300.39999999999998</v>
      </c>
      <c r="T265" s="19">
        <f t="shared" si="40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4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1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46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2"/>
        <v>300.39999999999998</v>
      </c>
      <c r="AV265" s="37">
        <f t="shared" si="43"/>
        <v>300.39999999999998</v>
      </c>
      <c r="AW265" s="37"/>
    </row>
    <row r="266" spans="1:49" ht="15.75" hidden="1" customHeight="1" x14ac:dyDescent="0.25">
      <c r="A266" s="6" t="s">
        <v>3905</v>
      </c>
      <c r="B266" s="21" t="s">
        <v>3906</v>
      </c>
      <c r="C266" s="7">
        <v>1</v>
      </c>
      <c r="D266" s="39" t="s">
        <v>3907</v>
      </c>
      <c r="E266" s="7">
        <v>4151</v>
      </c>
      <c r="F266" s="7" t="s">
        <v>3904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39"/>
        <v>273.2</v>
      </c>
      <c r="S266" s="18">
        <f t="shared" si="45"/>
        <v>273.2</v>
      </c>
      <c r="T266" s="19">
        <f t="shared" si="40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4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1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46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2"/>
        <v>273.2</v>
      </c>
      <c r="AV266" s="37">
        <f t="shared" si="43"/>
        <v>273.2</v>
      </c>
      <c r="AW266" s="37"/>
    </row>
    <row r="267" spans="1:49" ht="15.75" hidden="1" customHeight="1" x14ac:dyDescent="0.25">
      <c r="A267" s="6" t="s">
        <v>3905</v>
      </c>
      <c r="B267" s="21" t="s">
        <v>3908</v>
      </c>
      <c r="C267" s="7">
        <v>1</v>
      </c>
      <c r="D267" s="39" t="s">
        <v>3909</v>
      </c>
      <c r="E267" s="7">
        <v>4152</v>
      </c>
      <c r="F267" s="7" t="s">
        <v>3904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39"/>
        <v>97.8</v>
      </c>
      <c r="S267" s="18">
        <f t="shared" si="45"/>
        <v>97.8</v>
      </c>
      <c r="T267" s="19">
        <f t="shared" si="40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4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1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46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2"/>
        <v>97.8</v>
      </c>
      <c r="AV267" s="37">
        <f t="shared" si="43"/>
        <v>97.8</v>
      </c>
      <c r="AW267" s="37"/>
    </row>
    <row r="268" spans="1:49" ht="15.75" hidden="1" customHeight="1" x14ac:dyDescent="0.25">
      <c r="A268" s="6" t="s">
        <v>3905</v>
      </c>
      <c r="B268" s="21" t="s">
        <v>3906</v>
      </c>
      <c r="C268" s="7">
        <v>1</v>
      </c>
      <c r="D268" s="39" t="s">
        <v>3907</v>
      </c>
      <c r="E268" s="7">
        <v>4153</v>
      </c>
      <c r="F268" s="7" t="s">
        <v>3904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39"/>
        <v>273.2</v>
      </c>
      <c r="S268" s="18">
        <f t="shared" si="45"/>
        <v>0</v>
      </c>
      <c r="T268" s="19">
        <f t="shared" si="40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4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1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46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2"/>
        <v>0</v>
      </c>
      <c r="AV268" s="37">
        <f t="shared" si="43"/>
        <v>0</v>
      </c>
      <c r="AW268" s="37"/>
    </row>
    <row r="269" spans="1:49" ht="15.75" hidden="1" customHeight="1" x14ac:dyDescent="0.25">
      <c r="A269" s="6" t="s">
        <v>3905</v>
      </c>
      <c r="B269" s="21" t="s">
        <v>3908</v>
      </c>
      <c r="C269" s="7">
        <v>1</v>
      </c>
      <c r="D269" s="39" t="s">
        <v>3909</v>
      </c>
      <c r="E269" s="7">
        <v>4154</v>
      </c>
      <c r="F269" s="7" t="s">
        <v>3904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39"/>
        <v>97.8</v>
      </c>
      <c r="S269" s="18">
        <f t="shared" si="45"/>
        <v>97.8</v>
      </c>
      <c r="T269" s="19">
        <f t="shared" si="40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4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1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46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2"/>
        <v>97.8</v>
      </c>
      <c r="AV269" s="37">
        <f t="shared" si="43"/>
        <v>97.8</v>
      </c>
      <c r="AW269" s="37"/>
    </row>
    <row r="270" spans="1:49" ht="15.75" hidden="1" customHeight="1" x14ac:dyDescent="0.25">
      <c r="A270" s="6" t="s">
        <v>3910</v>
      </c>
      <c r="B270" s="21" t="s">
        <v>3911</v>
      </c>
      <c r="C270" s="7">
        <v>1</v>
      </c>
      <c r="D270" s="39" t="s">
        <v>3912</v>
      </c>
      <c r="E270" s="7">
        <v>4155</v>
      </c>
      <c r="F270" s="7" t="s">
        <v>3904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39"/>
        <v>20.350000000000001</v>
      </c>
      <c r="S270" s="18">
        <f t="shared" si="45"/>
        <v>20.350000000000001</v>
      </c>
      <c r="T270" s="19">
        <f t="shared" si="40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4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1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46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2"/>
        <v>20.350000000000001</v>
      </c>
      <c r="AV270" s="37">
        <f t="shared" si="43"/>
        <v>20.350000000000001</v>
      </c>
      <c r="AW270" s="37"/>
    </row>
    <row r="271" spans="1:49" ht="15.75" hidden="1" customHeight="1" x14ac:dyDescent="0.25">
      <c r="A271" s="6" t="s">
        <v>3910</v>
      </c>
      <c r="B271" s="21" t="s">
        <v>2996</v>
      </c>
      <c r="C271" s="7">
        <v>1</v>
      </c>
      <c r="D271" s="39" t="s">
        <v>3913</v>
      </c>
      <c r="E271" s="7">
        <v>4156</v>
      </c>
      <c r="F271" s="7" t="s">
        <v>3904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39"/>
        <v>1</v>
      </c>
      <c r="S271" s="18">
        <f t="shared" si="45"/>
        <v>1</v>
      </c>
      <c r="T271" s="19">
        <f t="shared" si="40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4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1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46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2"/>
        <v>1</v>
      </c>
      <c r="AV271" s="37">
        <f t="shared" si="43"/>
        <v>1</v>
      </c>
      <c r="AW271" s="37"/>
    </row>
    <row r="272" spans="1:49" ht="15.75" hidden="1" customHeight="1" x14ac:dyDescent="0.25">
      <c r="A272" s="6" t="s">
        <v>3910</v>
      </c>
      <c r="B272" s="21" t="s">
        <v>3911</v>
      </c>
      <c r="C272" s="7">
        <v>1</v>
      </c>
      <c r="D272" s="39" t="s">
        <v>3912</v>
      </c>
      <c r="E272" s="7">
        <v>4157</v>
      </c>
      <c r="F272" s="7" t="s">
        <v>3904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39"/>
        <v>20.350000000000001</v>
      </c>
      <c r="S272" s="18">
        <f t="shared" si="45"/>
        <v>20.350000000000001</v>
      </c>
      <c r="T272" s="19">
        <f t="shared" si="40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4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1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46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2"/>
        <v>20.350000000000001</v>
      </c>
      <c r="AV272" s="37">
        <f t="shared" si="43"/>
        <v>20.350000000000001</v>
      </c>
      <c r="AW272" s="37"/>
    </row>
    <row r="273" spans="1:49" ht="15.75" hidden="1" customHeight="1" x14ac:dyDescent="0.25">
      <c r="A273" s="6" t="s">
        <v>3910</v>
      </c>
      <c r="B273" s="21" t="s">
        <v>2996</v>
      </c>
      <c r="C273" s="7">
        <v>1</v>
      </c>
      <c r="D273" s="39" t="s">
        <v>3913</v>
      </c>
      <c r="E273" s="7">
        <v>4158</v>
      </c>
      <c r="F273" s="7" t="s">
        <v>3904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39"/>
        <v>1</v>
      </c>
      <c r="S273" s="18">
        <f t="shared" si="45"/>
        <v>1</v>
      </c>
      <c r="T273" s="19">
        <f t="shared" si="40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4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1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46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2"/>
        <v>1</v>
      </c>
      <c r="AV273" s="37">
        <f t="shared" si="43"/>
        <v>1</v>
      </c>
      <c r="AW273" s="37"/>
    </row>
    <row r="274" spans="1:49" ht="15.75" hidden="1" customHeight="1" x14ac:dyDescent="0.25">
      <c r="A274" s="6" t="s">
        <v>3914</v>
      </c>
      <c r="B274" s="21" t="s">
        <v>3915</v>
      </c>
      <c r="C274" s="7">
        <v>30</v>
      </c>
      <c r="D274" s="39" t="s">
        <v>3916</v>
      </c>
      <c r="E274" s="7">
        <v>4159</v>
      </c>
      <c r="F274" s="7" t="s">
        <v>3917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3791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39"/>
        <v>266.09999999999997</v>
      </c>
      <c r="S274" s="18">
        <f t="shared" si="45"/>
        <v>266.09999999999997</v>
      </c>
      <c r="T274" s="19">
        <f t="shared" si="40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4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1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46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2"/>
        <v>266.09999999999997</v>
      </c>
      <c r="AV274" s="37">
        <f t="shared" si="43"/>
        <v>266.09999999999997</v>
      </c>
      <c r="AW274" s="37"/>
    </row>
    <row r="275" spans="1:49" ht="15.75" hidden="1" customHeight="1" x14ac:dyDescent="0.25">
      <c r="A275" s="6" t="s">
        <v>3914</v>
      </c>
      <c r="B275" s="21" t="s">
        <v>3918</v>
      </c>
      <c r="C275" s="7">
        <v>30</v>
      </c>
      <c r="D275" s="39" t="s">
        <v>3919</v>
      </c>
      <c r="E275" s="7">
        <v>4160</v>
      </c>
      <c r="F275" s="7" t="s">
        <v>3917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3791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39"/>
        <v>266.09999999999997</v>
      </c>
      <c r="S275" s="18">
        <f t="shared" si="45"/>
        <v>266.09999999999997</v>
      </c>
      <c r="T275" s="19">
        <f t="shared" si="40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4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1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46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2"/>
        <v>266.09999999999997</v>
      </c>
      <c r="AV275" s="37">
        <f t="shared" si="43"/>
        <v>266.09999999999997</v>
      </c>
      <c r="AW275" s="37"/>
    </row>
    <row r="276" spans="1:49" ht="15.75" hidden="1" customHeight="1" x14ac:dyDescent="0.25">
      <c r="A276" s="6" t="s">
        <v>3914</v>
      </c>
      <c r="B276" s="21" t="s">
        <v>3920</v>
      </c>
      <c r="C276" s="7">
        <v>40</v>
      </c>
      <c r="D276" s="39" t="s">
        <v>3921</v>
      </c>
      <c r="E276" s="7">
        <v>4161</v>
      </c>
      <c r="F276" s="7" t="s">
        <v>3917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3791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39"/>
        <v>172.39999999999998</v>
      </c>
      <c r="S276" s="18">
        <f t="shared" si="45"/>
        <v>172.39999999999998</v>
      </c>
      <c r="T276" s="19">
        <f t="shared" si="40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4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1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46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2"/>
        <v>172.39999999999998</v>
      </c>
      <c r="AV276" s="37">
        <f t="shared" si="43"/>
        <v>172.39999999999998</v>
      </c>
      <c r="AW276" s="37"/>
    </row>
    <row r="277" spans="1:49" ht="15.75" hidden="1" customHeight="1" x14ac:dyDescent="0.25">
      <c r="A277" s="6" t="s">
        <v>3914</v>
      </c>
      <c r="B277" s="21" t="s">
        <v>3922</v>
      </c>
      <c r="C277" s="7">
        <v>10</v>
      </c>
      <c r="D277" s="39" t="s">
        <v>3923</v>
      </c>
      <c r="E277" s="7">
        <v>4162</v>
      </c>
      <c r="F277" s="7" t="s">
        <v>3917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3791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39"/>
        <v>836</v>
      </c>
      <c r="S277" s="18">
        <f t="shared" si="45"/>
        <v>836</v>
      </c>
      <c r="T277" s="19">
        <f t="shared" si="40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4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1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46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2"/>
        <v>836</v>
      </c>
      <c r="AV277" s="37">
        <f t="shared" si="43"/>
        <v>836</v>
      </c>
      <c r="AW277" s="37"/>
    </row>
    <row r="278" spans="1:49" ht="15.75" hidden="1" customHeight="1" x14ac:dyDescent="0.25">
      <c r="A278" s="6" t="s">
        <v>3914</v>
      </c>
      <c r="B278" s="21" t="s">
        <v>3924</v>
      </c>
      <c r="C278" s="7">
        <v>10</v>
      </c>
      <c r="D278" s="39" t="s">
        <v>3925</v>
      </c>
      <c r="E278" s="7">
        <v>4163</v>
      </c>
      <c r="F278" s="7" t="s">
        <v>3917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3791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39"/>
        <v>836</v>
      </c>
      <c r="S278" s="18">
        <f t="shared" si="45"/>
        <v>836</v>
      </c>
      <c r="T278" s="19">
        <f t="shared" si="40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4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1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46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2"/>
        <v>836</v>
      </c>
      <c r="AV278" s="37">
        <f t="shared" si="43"/>
        <v>836</v>
      </c>
      <c r="AW278" s="37"/>
    </row>
    <row r="279" spans="1:49" ht="15.75" hidden="1" customHeight="1" x14ac:dyDescent="0.25">
      <c r="A279" s="6" t="s">
        <v>3914</v>
      </c>
      <c r="B279" s="21" t="s">
        <v>3926</v>
      </c>
      <c r="C279" s="7">
        <v>22</v>
      </c>
      <c r="D279" s="39" t="s">
        <v>3927</v>
      </c>
      <c r="E279" s="7">
        <v>4164</v>
      </c>
      <c r="F279" s="7" t="s">
        <v>3917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3791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39"/>
        <v>62.7</v>
      </c>
      <c r="S279" s="18">
        <f t="shared" si="45"/>
        <v>62.7</v>
      </c>
      <c r="T279" s="19">
        <f t="shared" si="40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4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1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46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2"/>
        <v>62.7</v>
      </c>
      <c r="AV279" s="37">
        <f t="shared" si="43"/>
        <v>62.7</v>
      </c>
      <c r="AW279" s="37"/>
    </row>
    <row r="280" spans="1:49" ht="15.75" hidden="1" customHeight="1" x14ac:dyDescent="0.25">
      <c r="A280" s="6" t="s">
        <v>3914</v>
      </c>
      <c r="B280" s="21" t="s">
        <v>3928</v>
      </c>
      <c r="C280" s="7">
        <v>2</v>
      </c>
      <c r="D280" s="39" t="s">
        <v>3929</v>
      </c>
      <c r="E280" s="7">
        <v>4165</v>
      </c>
      <c r="F280" s="7" t="s">
        <v>3917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3791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39"/>
        <v>46</v>
      </c>
      <c r="S280" s="18">
        <f t="shared" si="45"/>
        <v>46</v>
      </c>
      <c r="T280" s="19">
        <f t="shared" si="40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4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1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46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2"/>
        <v>46</v>
      </c>
      <c r="AV280" s="37">
        <f t="shared" si="43"/>
        <v>46</v>
      </c>
      <c r="AW280" s="37"/>
    </row>
    <row r="281" spans="1:49" ht="15.75" hidden="1" customHeight="1" x14ac:dyDescent="0.25">
      <c r="A281" s="6" t="s">
        <v>3914</v>
      </c>
      <c r="B281" s="21" t="s">
        <v>3930</v>
      </c>
      <c r="C281" s="7">
        <v>60</v>
      </c>
      <c r="D281" s="39" t="s">
        <v>3898</v>
      </c>
      <c r="E281" s="7">
        <v>4166</v>
      </c>
      <c r="F281" s="7" t="s">
        <v>3917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3791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39"/>
        <v>38.4</v>
      </c>
      <c r="S281" s="18">
        <f t="shared" si="45"/>
        <v>38.4</v>
      </c>
      <c r="T281" s="19">
        <f t="shared" si="40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4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1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46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2"/>
        <v>38.4</v>
      </c>
      <c r="AV281" s="37">
        <f t="shared" si="43"/>
        <v>38.4</v>
      </c>
      <c r="AW281" s="37"/>
    </row>
    <row r="282" spans="1:49" ht="15.75" hidden="1" customHeight="1" x14ac:dyDescent="0.25">
      <c r="A282" s="6" t="s">
        <v>3931</v>
      </c>
      <c r="B282" s="21" t="s">
        <v>3932</v>
      </c>
      <c r="C282" s="7">
        <v>1</v>
      </c>
      <c r="D282" s="39" t="s">
        <v>3782</v>
      </c>
      <c r="E282" s="7">
        <v>4167</v>
      </c>
      <c r="F282" s="7" t="s">
        <v>3933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47">IFERROR(H282*((AA282*0.25)+(AC282*0.25)+(AD282*0.225)+(AE282*0.225)+(AF282*0.05)),"")</f>
        <v>466.3</v>
      </c>
      <c r="S282" s="18">
        <f t="shared" si="45"/>
        <v>466.3</v>
      </c>
      <c r="T282" s="19">
        <f t="shared" ref="T282:T345" si="48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4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1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46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2"/>
        <v>466.3</v>
      </c>
      <c r="AV282" s="37">
        <f t="shared" si="43"/>
        <v>466.3</v>
      </c>
      <c r="AW282" s="37"/>
    </row>
    <row r="283" spans="1:49" ht="15.75" hidden="1" customHeight="1" x14ac:dyDescent="0.25">
      <c r="A283" s="6" t="s">
        <v>3931</v>
      </c>
      <c r="B283" s="21" t="s">
        <v>3932</v>
      </c>
      <c r="C283" s="7">
        <v>1</v>
      </c>
      <c r="D283" s="39" t="s">
        <v>3782</v>
      </c>
      <c r="E283" s="7">
        <v>4168</v>
      </c>
      <c r="F283" s="7" t="s">
        <v>3933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47"/>
        <v>466.3</v>
      </c>
      <c r="S283" s="18">
        <f t="shared" si="45"/>
        <v>466.3</v>
      </c>
      <c r="T283" s="19">
        <f t="shared" si="48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4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1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46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2"/>
        <v>466.3</v>
      </c>
      <c r="AV283" s="37">
        <f t="shared" si="43"/>
        <v>466.3</v>
      </c>
      <c r="AW283" s="37"/>
    </row>
    <row r="284" spans="1:49" ht="15.75" hidden="1" customHeight="1" x14ac:dyDescent="0.25">
      <c r="A284" s="6" t="s">
        <v>3934</v>
      </c>
      <c r="B284" s="21" t="s">
        <v>3935</v>
      </c>
      <c r="C284" s="7">
        <v>1</v>
      </c>
      <c r="D284" s="39" t="s">
        <v>3782</v>
      </c>
      <c r="E284" s="7">
        <v>4169</v>
      </c>
      <c r="F284" s="7" t="s">
        <v>3933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47"/>
        <v>320.39999999999998</v>
      </c>
      <c r="S284" s="18">
        <f t="shared" si="45"/>
        <v>320.39999999999998</v>
      </c>
      <c r="T284" s="19">
        <f t="shared" si="48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4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49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46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2"/>
        <v>320.39999999999998</v>
      </c>
      <c r="AV284" s="37">
        <f t="shared" si="43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3782</v>
      </c>
      <c r="E285" s="7">
        <v>4170</v>
      </c>
      <c r="F285" s="7" t="s">
        <v>3933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47"/>
        <v>320.39999999999998</v>
      </c>
      <c r="S285" s="18">
        <f t="shared" si="45"/>
        <v>320.39999999999998</v>
      </c>
      <c r="T285" s="19">
        <f t="shared" si="48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4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49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46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2"/>
        <v>320.39999999999998</v>
      </c>
      <c r="AV285" s="37">
        <f t="shared" si="43"/>
        <v>320.39999999999998</v>
      </c>
      <c r="AW285" s="37"/>
    </row>
    <row r="286" spans="1:49" ht="15.75" hidden="1" customHeight="1" x14ac:dyDescent="0.25">
      <c r="A286" s="6" t="s">
        <v>3936</v>
      </c>
      <c r="B286" s="21" t="s">
        <v>3937</v>
      </c>
      <c r="C286" s="7">
        <v>1</v>
      </c>
      <c r="D286" s="39" t="s">
        <v>3938</v>
      </c>
      <c r="E286" s="7">
        <v>4171</v>
      </c>
      <c r="F286" s="7" t="s">
        <v>3933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47"/>
        <v>32.9</v>
      </c>
      <c r="S286" s="18">
        <f t="shared" si="45"/>
        <v>32.9</v>
      </c>
      <c r="T286" s="19">
        <f t="shared" si="48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4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49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46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2"/>
        <v>32.9</v>
      </c>
      <c r="AV286" s="37">
        <f t="shared" si="43"/>
        <v>32.9</v>
      </c>
      <c r="AW286" s="37"/>
    </row>
    <row r="287" spans="1:49" ht="15.75" hidden="1" customHeight="1" x14ac:dyDescent="0.25">
      <c r="A287" s="6" t="s">
        <v>3936</v>
      </c>
      <c r="B287" s="21" t="s">
        <v>3939</v>
      </c>
      <c r="C287" s="7">
        <v>1</v>
      </c>
      <c r="D287" s="39" t="s">
        <v>3938</v>
      </c>
      <c r="E287" s="7">
        <v>4172</v>
      </c>
      <c r="F287" s="7" t="s">
        <v>3933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47"/>
        <v>45.6</v>
      </c>
      <c r="S287" s="18">
        <f t="shared" si="45"/>
        <v>45.6</v>
      </c>
      <c r="T287" s="19">
        <f t="shared" si="48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4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49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46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2"/>
        <v>45.6</v>
      </c>
      <c r="AV287" s="37">
        <f t="shared" si="43"/>
        <v>45.6</v>
      </c>
      <c r="AW287" s="37"/>
    </row>
    <row r="288" spans="1:49" ht="15.75" hidden="1" customHeight="1" x14ac:dyDescent="0.25">
      <c r="A288" s="6" t="s">
        <v>3936</v>
      </c>
      <c r="B288" s="21" t="s">
        <v>3940</v>
      </c>
      <c r="C288" s="7">
        <v>1</v>
      </c>
      <c r="D288" s="39" t="s">
        <v>3938</v>
      </c>
      <c r="E288" s="7">
        <v>4173</v>
      </c>
      <c r="F288" s="7" t="s">
        <v>3933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47"/>
        <v>22.2</v>
      </c>
      <c r="S288" s="18">
        <f t="shared" si="45"/>
        <v>22.2</v>
      </c>
      <c r="T288" s="19">
        <f t="shared" si="48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4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49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46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2"/>
        <v>22.2</v>
      </c>
      <c r="AV288" s="37">
        <f t="shared" si="43"/>
        <v>22.2</v>
      </c>
      <c r="AW288" s="37"/>
    </row>
    <row r="289" spans="1:49" ht="15.75" hidden="1" customHeight="1" x14ac:dyDescent="0.25">
      <c r="A289" s="6" t="s">
        <v>3936</v>
      </c>
      <c r="B289" s="21" t="s">
        <v>3941</v>
      </c>
      <c r="C289" s="7">
        <v>1</v>
      </c>
      <c r="D289" s="39" t="s">
        <v>3938</v>
      </c>
      <c r="E289" s="7">
        <v>4174</v>
      </c>
      <c r="F289" s="7" t="s">
        <v>3933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47"/>
        <v>34</v>
      </c>
      <c r="S289" s="18">
        <f t="shared" si="45"/>
        <v>34</v>
      </c>
      <c r="T289" s="19">
        <f t="shared" si="48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4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49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46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2"/>
        <v>34</v>
      </c>
      <c r="AV289" s="37">
        <f t="shared" si="43"/>
        <v>34</v>
      </c>
      <c r="AW289" s="37"/>
    </row>
    <row r="290" spans="1:49" ht="15.75" hidden="1" customHeight="1" x14ac:dyDescent="0.25">
      <c r="A290" s="6" t="s">
        <v>3936</v>
      </c>
      <c r="B290" s="21" t="s">
        <v>3942</v>
      </c>
      <c r="C290" s="7">
        <v>1</v>
      </c>
      <c r="D290" s="39" t="s">
        <v>3938</v>
      </c>
      <c r="E290" s="7">
        <v>4175</v>
      </c>
      <c r="F290" s="7" t="s">
        <v>3933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47"/>
        <v>10.199999999999999</v>
      </c>
      <c r="S290" s="18">
        <f t="shared" si="45"/>
        <v>10.199999999999999</v>
      </c>
      <c r="T290" s="19">
        <f t="shared" si="48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4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49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46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2"/>
        <v>10.199999999999999</v>
      </c>
      <c r="AV290" s="37">
        <f t="shared" si="43"/>
        <v>10.199999999999999</v>
      </c>
      <c r="AW290" s="37"/>
    </row>
    <row r="291" spans="1:49" ht="15.75" hidden="1" customHeight="1" x14ac:dyDescent="0.25">
      <c r="A291" s="6" t="s">
        <v>3936</v>
      </c>
      <c r="B291" s="21" t="s">
        <v>3943</v>
      </c>
      <c r="C291" s="7">
        <v>1</v>
      </c>
      <c r="D291" s="39" t="s">
        <v>3938</v>
      </c>
      <c r="E291" s="7">
        <v>4176</v>
      </c>
      <c r="F291" s="7" t="s">
        <v>3933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47"/>
        <v>49.8</v>
      </c>
      <c r="S291" s="18">
        <f t="shared" si="45"/>
        <v>49.8</v>
      </c>
      <c r="T291" s="19">
        <f t="shared" si="48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4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49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46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2"/>
        <v>49.8</v>
      </c>
      <c r="AV291" s="37">
        <f t="shared" si="43"/>
        <v>49.8</v>
      </c>
      <c r="AW291" s="37"/>
    </row>
    <row r="292" spans="1:49" ht="15.75" hidden="1" customHeight="1" x14ac:dyDescent="0.25">
      <c r="A292" s="6" t="s">
        <v>3936</v>
      </c>
      <c r="B292" s="21" t="s">
        <v>3944</v>
      </c>
      <c r="C292" s="7">
        <v>1</v>
      </c>
      <c r="D292" s="39" t="s">
        <v>3938</v>
      </c>
      <c r="E292" s="7">
        <v>4177</v>
      </c>
      <c r="F292" s="7" t="s">
        <v>3933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47"/>
        <v>24.3</v>
      </c>
      <c r="S292" s="18">
        <f t="shared" si="45"/>
        <v>24.3</v>
      </c>
      <c r="T292" s="19">
        <f t="shared" si="48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4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49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46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2"/>
        <v>24.3</v>
      </c>
      <c r="AV292" s="37">
        <f t="shared" si="43"/>
        <v>24.3</v>
      </c>
      <c r="AW292" s="37"/>
    </row>
    <row r="293" spans="1:49" ht="15.75" hidden="1" customHeight="1" x14ac:dyDescent="0.25">
      <c r="A293" s="6" t="s">
        <v>3936</v>
      </c>
      <c r="B293" s="21" t="s">
        <v>3945</v>
      </c>
      <c r="C293" s="7">
        <v>4</v>
      </c>
      <c r="D293" s="39" t="s">
        <v>3946</v>
      </c>
      <c r="E293" s="7">
        <v>4178</v>
      </c>
      <c r="F293" s="7" t="s">
        <v>3933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47"/>
        <v>108.8</v>
      </c>
      <c r="S293" s="18">
        <f t="shared" si="45"/>
        <v>0</v>
      </c>
      <c r="T293" s="19">
        <f t="shared" si="48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4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49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46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0">IF(AH293="",0,IF(ISTEXT(AH293),H293*VALUE(SUBSTITUTE(AH293,"%",""))/100,H293*AH293))</f>
        <v>0</v>
      </c>
      <c r="AV293" s="37">
        <f t="shared" ref="AV293:AV356" si="51">IF(AG293="",0,IF(ISTEXT(AG293),H293*VALUE(SUBSTITUTE(AG293,"%",""))/100,H293*AG293))</f>
        <v>0</v>
      </c>
      <c r="AW293" s="37"/>
    </row>
    <row r="294" spans="1:49" ht="15.75" hidden="1" customHeight="1" x14ac:dyDescent="0.25">
      <c r="A294" s="6" t="s">
        <v>3936</v>
      </c>
      <c r="B294" s="21" t="s">
        <v>3937</v>
      </c>
      <c r="C294" s="7">
        <v>1</v>
      </c>
      <c r="D294" s="39" t="s">
        <v>3938</v>
      </c>
      <c r="E294" s="7">
        <v>4179</v>
      </c>
      <c r="F294" s="7" t="s">
        <v>3933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47"/>
        <v>32.9</v>
      </c>
      <c r="S294" s="18">
        <f t="shared" si="45"/>
        <v>32.9</v>
      </c>
      <c r="T294" s="19">
        <f t="shared" si="48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4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49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46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0"/>
        <v>32.9</v>
      </c>
      <c r="AV294" s="37">
        <f t="shared" si="51"/>
        <v>32.9</v>
      </c>
      <c r="AW294" s="37"/>
    </row>
    <row r="295" spans="1:49" ht="15.75" hidden="1" customHeight="1" x14ac:dyDescent="0.25">
      <c r="A295" s="6" t="s">
        <v>3936</v>
      </c>
      <c r="B295" s="21" t="s">
        <v>3939</v>
      </c>
      <c r="C295" s="7">
        <v>1</v>
      </c>
      <c r="D295" s="39" t="s">
        <v>3938</v>
      </c>
      <c r="E295" s="7">
        <v>4180</v>
      </c>
      <c r="F295" s="7" t="s">
        <v>3933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47"/>
        <v>45.6</v>
      </c>
      <c r="S295" s="18">
        <f t="shared" si="45"/>
        <v>45.6</v>
      </c>
      <c r="T295" s="19">
        <f t="shared" si="48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4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49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46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0"/>
        <v>45.6</v>
      </c>
      <c r="AV295" s="37">
        <f t="shared" si="51"/>
        <v>45.6</v>
      </c>
      <c r="AW295" s="37"/>
    </row>
    <row r="296" spans="1:49" ht="15.75" hidden="1" customHeight="1" x14ac:dyDescent="0.25">
      <c r="A296" s="6" t="s">
        <v>3936</v>
      </c>
      <c r="B296" s="21" t="s">
        <v>3940</v>
      </c>
      <c r="C296" s="7">
        <v>1</v>
      </c>
      <c r="D296" s="39" t="s">
        <v>3938</v>
      </c>
      <c r="E296" s="7">
        <v>4181</v>
      </c>
      <c r="F296" s="7" t="s">
        <v>3933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47"/>
        <v>22.2</v>
      </c>
      <c r="S296" s="18">
        <f t="shared" si="45"/>
        <v>22.2</v>
      </c>
      <c r="T296" s="19">
        <f t="shared" si="48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4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49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46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0"/>
        <v>22.2</v>
      </c>
      <c r="AV296" s="37">
        <f t="shared" si="51"/>
        <v>22.2</v>
      </c>
      <c r="AW296" s="37"/>
    </row>
    <row r="297" spans="1:49" ht="15.75" hidden="1" customHeight="1" x14ac:dyDescent="0.25">
      <c r="A297" s="6" t="s">
        <v>3936</v>
      </c>
      <c r="B297" s="21" t="s">
        <v>3941</v>
      </c>
      <c r="C297" s="7">
        <v>1</v>
      </c>
      <c r="D297" s="39" t="s">
        <v>3938</v>
      </c>
      <c r="E297" s="7">
        <v>4182</v>
      </c>
      <c r="F297" s="7" t="s">
        <v>3933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47"/>
        <v>34</v>
      </c>
      <c r="S297" s="18">
        <f t="shared" si="45"/>
        <v>34</v>
      </c>
      <c r="T297" s="19">
        <f t="shared" si="48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4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49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46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0"/>
        <v>34</v>
      </c>
      <c r="AV297" s="37">
        <f t="shared" si="51"/>
        <v>34</v>
      </c>
      <c r="AW297" s="37"/>
    </row>
    <row r="298" spans="1:49" ht="15.75" hidden="1" customHeight="1" x14ac:dyDescent="0.25">
      <c r="A298" s="6" t="s">
        <v>3936</v>
      </c>
      <c r="B298" s="21" t="s">
        <v>3942</v>
      </c>
      <c r="C298" s="7">
        <v>1</v>
      </c>
      <c r="D298" s="39" t="s">
        <v>3938</v>
      </c>
      <c r="E298" s="7">
        <v>4183</v>
      </c>
      <c r="F298" s="7" t="s">
        <v>3933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47"/>
        <v>10.199999999999999</v>
      </c>
      <c r="S298" s="18">
        <f t="shared" si="45"/>
        <v>10.199999999999999</v>
      </c>
      <c r="T298" s="19">
        <f t="shared" si="48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4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49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46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0"/>
        <v>10.199999999999999</v>
      </c>
      <c r="AV298" s="37">
        <f t="shared" si="51"/>
        <v>10.199999999999999</v>
      </c>
      <c r="AW298" s="37"/>
    </row>
    <row r="299" spans="1:49" ht="15.75" hidden="1" customHeight="1" x14ac:dyDescent="0.25">
      <c r="A299" s="6" t="s">
        <v>3936</v>
      </c>
      <c r="B299" s="21" t="s">
        <v>3943</v>
      </c>
      <c r="C299" s="7">
        <v>1</v>
      </c>
      <c r="D299" s="39" t="s">
        <v>3938</v>
      </c>
      <c r="E299" s="7">
        <v>4184</v>
      </c>
      <c r="F299" s="7" t="s">
        <v>3933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47"/>
        <v>49.8</v>
      </c>
      <c r="S299" s="18">
        <f t="shared" si="45"/>
        <v>49.8</v>
      </c>
      <c r="T299" s="19">
        <f t="shared" si="48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4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49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46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0"/>
        <v>49.8</v>
      </c>
      <c r="AV299" s="37">
        <f t="shared" si="51"/>
        <v>49.8</v>
      </c>
      <c r="AW299" s="37"/>
    </row>
    <row r="300" spans="1:49" ht="15.75" hidden="1" customHeight="1" x14ac:dyDescent="0.25">
      <c r="A300" s="6" t="s">
        <v>3936</v>
      </c>
      <c r="B300" s="21" t="s">
        <v>3944</v>
      </c>
      <c r="C300" s="7">
        <v>1</v>
      </c>
      <c r="D300" s="39" t="s">
        <v>3938</v>
      </c>
      <c r="E300" s="7">
        <v>4185</v>
      </c>
      <c r="F300" s="7" t="s">
        <v>3933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47"/>
        <v>24.3</v>
      </c>
      <c r="S300" s="18">
        <f t="shared" si="45"/>
        <v>24.3</v>
      </c>
      <c r="T300" s="19">
        <f t="shared" si="48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4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49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46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0"/>
        <v>24.3</v>
      </c>
      <c r="AV300" s="37">
        <f t="shared" si="51"/>
        <v>24.3</v>
      </c>
      <c r="AW300" s="37"/>
    </row>
    <row r="301" spans="1:49" ht="15.75" hidden="1" customHeight="1" x14ac:dyDescent="0.25">
      <c r="A301" s="6" t="s">
        <v>3936</v>
      </c>
      <c r="B301" s="21" t="s">
        <v>3945</v>
      </c>
      <c r="C301" s="7">
        <v>4</v>
      </c>
      <c r="D301" s="39" t="s">
        <v>3946</v>
      </c>
      <c r="E301" s="7">
        <v>4186</v>
      </c>
      <c r="F301" s="7" t="s">
        <v>3933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47"/>
        <v>108.8</v>
      </c>
      <c r="S301" s="18">
        <f t="shared" si="45"/>
        <v>0</v>
      </c>
      <c r="T301" s="19">
        <f t="shared" si="48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4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49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46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0"/>
        <v>0</v>
      </c>
      <c r="AV301" s="37">
        <f t="shared" si="51"/>
        <v>0</v>
      </c>
      <c r="AW301" s="37"/>
    </row>
    <row r="302" spans="1:49" ht="15.75" hidden="1" customHeight="1" x14ac:dyDescent="0.25">
      <c r="A302" s="6" t="s">
        <v>3780</v>
      </c>
      <c r="B302" s="21" t="s">
        <v>3947</v>
      </c>
      <c r="C302" s="7">
        <v>2</v>
      </c>
      <c r="D302" s="39" t="s">
        <v>3948</v>
      </c>
      <c r="E302" s="7">
        <v>4187</v>
      </c>
      <c r="F302" s="7" t="s">
        <v>3783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47"/>
        <v>216.4</v>
      </c>
      <c r="S302" s="18">
        <f t="shared" si="45"/>
        <v>216.4</v>
      </c>
      <c r="T302" s="19">
        <f t="shared" si="48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4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49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46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0"/>
        <v>216.4</v>
      </c>
      <c r="AV302" s="37">
        <f t="shared" si="51"/>
        <v>216.4</v>
      </c>
      <c r="AW302" s="37"/>
    </row>
    <row r="303" spans="1:49" ht="15.75" hidden="1" customHeight="1" x14ac:dyDescent="0.25">
      <c r="A303" s="6" t="s">
        <v>3780</v>
      </c>
      <c r="B303" s="21" t="s">
        <v>3947</v>
      </c>
      <c r="C303" s="7">
        <v>2</v>
      </c>
      <c r="D303" s="39" t="s">
        <v>3948</v>
      </c>
      <c r="E303" s="7">
        <v>4188</v>
      </c>
      <c r="F303" s="7" t="s">
        <v>3783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47"/>
        <v>216.4</v>
      </c>
      <c r="S303" s="18">
        <f t="shared" si="45"/>
        <v>216.4</v>
      </c>
      <c r="T303" s="19">
        <f t="shared" si="48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4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49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46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0"/>
        <v>216.4</v>
      </c>
      <c r="AV303" s="37">
        <f t="shared" si="51"/>
        <v>216.4</v>
      </c>
      <c r="AW303" s="37"/>
    </row>
    <row r="304" spans="1:49" ht="15.75" hidden="1" customHeight="1" x14ac:dyDescent="0.25">
      <c r="A304" s="6" t="s">
        <v>3949</v>
      </c>
      <c r="B304" s="21" t="s">
        <v>3950</v>
      </c>
      <c r="C304" s="7">
        <v>76</v>
      </c>
      <c r="D304" s="39" t="s">
        <v>3951</v>
      </c>
      <c r="E304" s="7">
        <v>4189</v>
      </c>
      <c r="F304" s="7" t="s">
        <v>3952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47"/>
        <v>106.39999999999999</v>
      </c>
      <c r="S304" s="18">
        <f t="shared" si="45"/>
        <v>0</v>
      </c>
      <c r="T304" s="19">
        <f t="shared" si="48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4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49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46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0"/>
        <v>0</v>
      </c>
      <c r="AV304" s="37">
        <f t="shared" si="51"/>
        <v>0</v>
      </c>
      <c r="AW304" s="37"/>
    </row>
    <row r="305" spans="1:49" ht="15.75" hidden="1" customHeight="1" x14ac:dyDescent="0.25">
      <c r="A305" s="6" t="s">
        <v>3949</v>
      </c>
      <c r="B305" s="21" t="s">
        <v>3953</v>
      </c>
      <c r="C305" s="7">
        <v>8</v>
      </c>
      <c r="D305" s="39" t="s">
        <v>3951</v>
      </c>
      <c r="E305" s="7">
        <v>4190</v>
      </c>
      <c r="F305" s="7" t="s">
        <v>3952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47"/>
        <v>16.239999999999998</v>
      </c>
      <c r="S305" s="18">
        <f t="shared" si="45"/>
        <v>0</v>
      </c>
      <c r="T305" s="19">
        <f t="shared" si="48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4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49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46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0"/>
        <v>0</v>
      </c>
      <c r="AV305" s="37">
        <f t="shared" si="51"/>
        <v>0</v>
      </c>
      <c r="AW305" s="37"/>
    </row>
    <row r="306" spans="1:49" ht="15.75" hidden="1" customHeight="1" x14ac:dyDescent="0.25">
      <c r="A306" s="6" t="s">
        <v>3949</v>
      </c>
      <c r="B306" s="21" t="s">
        <v>3954</v>
      </c>
      <c r="C306" s="7">
        <v>2</v>
      </c>
      <c r="D306" s="39" t="s">
        <v>3955</v>
      </c>
      <c r="E306" s="7">
        <v>4191</v>
      </c>
      <c r="F306" s="7" t="s">
        <v>3952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47"/>
        <v>34.6</v>
      </c>
      <c r="S306" s="18">
        <f t="shared" si="45"/>
        <v>0</v>
      </c>
      <c r="T306" s="19">
        <f t="shared" si="48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4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49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46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0"/>
        <v>0</v>
      </c>
      <c r="AV306" s="37">
        <f t="shared" si="51"/>
        <v>0</v>
      </c>
      <c r="AW306" s="37"/>
    </row>
    <row r="307" spans="1:49" ht="15.75" hidden="1" customHeight="1" x14ac:dyDescent="0.25">
      <c r="A307" s="6" t="s">
        <v>3949</v>
      </c>
      <c r="B307" s="21" t="s">
        <v>3956</v>
      </c>
      <c r="C307" s="7">
        <v>4</v>
      </c>
      <c r="D307" s="39" t="s">
        <v>3955</v>
      </c>
      <c r="E307" s="7">
        <v>4192</v>
      </c>
      <c r="F307" s="7" t="s">
        <v>3952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47"/>
        <v>91.2</v>
      </c>
      <c r="S307" s="18">
        <f t="shared" si="45"/>
        <v>0</v>
      </c>
      <c r="T307" s="19">
        <f t="shared" si="48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4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49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46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0"/>
        <v>0</v>
      </c>
      <c r="AV307" s="32">
        <f t="shared" si="51"/>
        <v>0</v>
      </c>
      <c r="AW307" s="32"/>
    </row>
    <row r="308" spans="1:49" ht="15.75" hidden="1" customHeight="1" x14ac:dyDescent="0.25">
      <c r="A308" s="6" t="s">
        <v>3949</v>
      </c>
      <c r="B308" s="21" t="s">
        <v>3957</v>
      </c>
      <c r="C308" s="7">
        <v>2</v>
      </c>
      <c r="D308" s="39" t="s">
        <v>3955</v>
      </c>
      <c r="E308" s="7">
        <v>4193</v>
      </c>
      <c r="F308" s="7" t="s">
        <v>3952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47"/>
        <v>34.200000000000003</v>
      </c>
      <c r="S308" s="18">
        <f t="shared" si="45"/>
        <v>0</v>
      </c>
      <c r="T308" s="19">
        <f t="shared" si="48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4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49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46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0"/>
        <v>0</v>
      </c>
      <c r="AV308" s="37">
        <f t="shared" si="51"/>
        <v>0</v>
      </c>
      <c r="AW308" s="37"/>
    </row>
    <row r="309" spans="1:49" ht="15.75" hidden="1" customHeight="1" x14ac:dyDescent="0.25">
      <c r="A309" s="6" t="s">
        <v>3949</v>
      </c>
      <c r="B309" s="21" t="s">
        <v>3958</v>
      </c>
      <c r="C309" s="7">
        <v>4</v>
      </c>
      <c r="D309" s="39" t="s">
        <v>3955</v>
      </c>
      <c r="E309" s="7">
        <v>4194</v>
      </c>
      <c r="F309" s="7" t="s">
        <v>3952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47"/>
        <v>52.4</v>
      </c>
      <c r="S309" s="18">
        <f t="shared" si="45"/>
        <v>0</v>
      </c>
      <c r="T309" s="19">
        <f t="shared" si="48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2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49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46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0"/>
        <v>0</v>
      </c>
      <c r="AV309" s="37">
        <f t="shared" si="51"/>
        <v>0</v>
      </c>
      <c r="AW309" s="37"/>
    </row>
    <row r="310" spans="1:49" ht="15.75" hidden="1" customHeight="1" x14ac:dyDescent="0.25">
      <c r="A310" s="6" t="s">
        <v>3949</v>
      </c>
      <c r="B310" s="21" t="s">
        <v>3950</v>
      </c>
      <c r="C310" s="7">
        <v>76</v>
      </c>
      <c r="D310" s="39" t="s">
        <v>3951</v>
      </c>
      <c r="E310" s="7">
        <v>4195</v>
      </c>
      <c r="F310" s="7" t="s">
        <v>3952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47"/>
        <v>106.39999999999999</v>
      </c>
      <c r="S310" s="18">
        <f t="shared" ref="S310:S373" si="53">IFERROR(H310*AG310,"")</f>
        <v>0</v>
      </c>
      <c r="T310" s="19">
        <f t="shared" si="48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2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49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46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0"/>
        <v>0</v>
      </c>
      <c r="AV310" s="37">
        <f t="shared" si="51"/>
        <v>0</v>
      </c>
      <c r="AW310" s="37"/>
    </row>
    <row r="311" spans="1:49" ht="15.75" hidden="1" customHeight="1" x14ac:dyDescent="0.25">
      <c r="A311" s="6" t="s">
        <v>3949</v>
      </c>
      <c r="B311" s="21" t="s">
        <v>3953</v>
      </c>
      <c r="C311" s="7">
        <v>8</v>
      </c>
      <c r="D311" s="39" t="s">
        <v>3951</v>
      </c>
      <c r="E311" s="7">
        <v>4196</v>
      </c>
      <c r="F311" s="7" t="s">
        <v>3952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47"/>
        <v>13.92</v>
      </c>
      <c r="S311" s="18">
        <f t="shared" si="53"/>
        <v>0</v>
      </c>
      <c r="T311" s="19">
        <f t="shared" si="48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2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49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46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0"/>
        <v>0</v>
      </c>
      <c r="AV311" s="37">
        <f t="shared" si="51"/>
        <v>0</v>
      </c>
      <c r="AW311" s="37"/>
    </row>
    <row r="312" spans="1:49" ht="15.75" hidden="1" customHeight="1" x14ac:dyDescent="0.25">
      <c r="A312" s="6" t="s">
        <v>3949</v>
      </c>
      <c r="B312" s="21" t="s">
        <v>3954</v>
      </c>
      <c r="C312" s="7">
        <v>2</v>
      </c>
      <c r="D312" s="39" t="s">
        <v>3955</v>
      </c>
      <c r="E312" s="7">
        <v>4197</v>
      </c>
      <c r="F312" s="7" t="s">
        <v>3952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47"/>
        <v>34.6</v>
      </c>
      <c r="S312" s="18">
        <f t="shared" si="53"/>
        <v>0</v>
      </c>
      <c r="T312" s="19">
        <f t="shared" si="48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2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49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46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0"/>
        <v>0</v>
      </c>
      <c r="AV312" s="37">
        <f t="shared" si="51"/>
        <v>0</v>
      </c>
      <c r="AW312" s="37"/>
    </row>
    <row r="313" spans="1:49" ht="15.75" hidden="1" customHeight="1" x14ac:dyDescent="0.25">
      <c r="A313" s="6" t="s">
        <v>3949</v>
      </c>
      <c r="B313" s="21" t="s">
        <v>3956</v>
      </c>
      <c r="C313" s="7">
        <v>4</v>
      </c>
      <c r="D313" s="39" t="s">
        <v>3955</v>
      </c>
      <c r="E313" s="7">
        <v>4198</v>
      </c>
      <c r="F313" s="7" t="s">
        <v>3952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47"/>
        <v>91.2</v>
      </c>
      <c r="S313" s="18">
        <f t="shared" si="53"/>
        <v>0</v>
      </c>
      <c r="T313" s="19">
        <f t="shared" si="48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2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49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46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0"/>
        <v>0</v>
      </c>
      <c r="AV313" s="37">
        <f t="shared" si="51"/>
        <v>0</v>
      </c>
      <c r="AW313" s="37"/>
    </row>
    <row r="314" spans="1:49" ht="15.75" hidden="1" customHeight="1" x14ac:dyDescent="0.25">
      <c r="A314" s="6" t="s">
        <v>3949</v>
      </c>
      <c r="B314" s="21" t="s">
        <v>3957</v>
      </c>
      <c r="C314" s="7">
        <v>2</v>
      </c>
      <c r="D314" s="39" t="s">
        <v>3955</v>
      </c>
      <c r="E314" s="7">
        <v>4199</v>
      </c>
      <c r="F314" s="7" t="s">
        <v>3952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47"/>
        <v>34.200000000000003</v>
      </c>
      <c r="S314" s="18">
        <f t="shared" si="53"/>
        <v>0</v>
      </c>
      <c r="T314" s="19">
        <f t="shared" si="48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2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49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46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0"/>
        <v>0</v>
      </c>
      <c r="AV314" s="37">
        <f t="shared" si="51"/>
        <v>0</v>
      </c>
      <c r="AW314" s="37"/>
    </row>
    <row r="315" spans="1:49" ht="15.75" hidden="1" customHeight="1" x14ac:dyDescent="0.25">
      <c r="A315" s="6" t="s">
        <v>3949</v>
      </c>
      <c r="B315" s="21" t="s">
        <v>3958</v>
      </c>
      <c r="C315" s="7">
        <v>4</v>
      </c>
      <c r="D315" s="39" t="s">
        <v>3955</v>
      </c>
      <c r="E315" s="7">
        <v>4200</v>
      </c>
      <c r="F315" s="7" t="s">
        <v>3952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47"/>
        <v>52.4</v>
      </c>
      <c r="S315" s="18">
        <f t="shared" si="53"/>
        <v>0</v>
      </c>
      <c r="T315" s="19">
        <f t="shared" si="48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2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49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46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0"/>
        <v>0</v>
      </c>
      <c r="AV315" s="37">
        <f t="shared" si="51"/>
        <v>0</v>
      </c>
      <c r="AW315" s="37"/>
    </row>
    <row r="316" spans="1:49" ht="15.75" hidden="1" customHeight="1" x14ac:dyDescent="0.25">
      <c r="A316" s="6" t="s">
        <v>3959</v>
      </c>
      <c r="B316" s="21" t="s">
        <v>3960</v>
      </c>
      <c r="C316" s="7">
        <v>1</v>
      </c>
      <c r="D316" s="39" t="s">
        <v>3961</v>
      </c>
      <c r="E316" s="7">
        <v>4201</v>
      </c>
      <c r="F316" s="7" t="s">
        <v>3962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47"/>
        <v>96.4</v>
      </c>
      <c r="S316" s="18">
        <f t="shared" si="53"/>
        <v>0</v>
      </c>
      <c r="T316" s="19">
        <f t="shared" si="48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2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49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46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0"/>
        <v>0</v>
      </c>
      <c r="AV316" s="37">
        <f t="shared" si="51"/>
        <v>0</v>
      </c>
      <c r="AW316" s="37"/>
    </row>
    <row r="317" spans="1:49" ht="15.75" hidden="1" customHeight="1" x14ac:dyDescent="0.25">
      <c r="A317" s="6" t="s">
        <v>3959</v>
      </c>
      <c r="B317" s="21" t="s">
        <v>3963</v>
      </c>
      <c r="C317" s="7">
        <v>1</v>
      </c>
      <c r="D317" s="39" t="s">
        <v>3964</v>
      </c>
      <c r="E317" s="7">
        <v>4202</v>
      </c>
      <c r="F317" s="7" t="s">
        <v>3962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47"/>
        <v>25.2</v>
      </c>
      <c r="S317" s="18">
        <f t="shared" si="53"/>
        <v>0</v>
      </c>
      <c r="T317" s="19">
        <f t="shared" si="48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2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49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46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0"/>
        <v>0</v>
      </c>
      <c r="AV317" s="37">
        <f t="shared" si="51"/>
        <v>0</v>
      </c>
      <c r="AW317" s="37"/>
    </row>
    <row r="318" spans="1:49" ht="15.75" hidden="1" customHeight="1" x14ac:dyDescent="0.25">
      <c r="A318" s="6" t="s">
        <v>3959</v>
      </c>
      <c r="B318" s="21" t="s">
        <v>3965</v>
      </c>
      <c r="C318" s="7">
        <v>2</v>
      </c>
      <c r="D318" s="39" t="s">
        <v>3966</v>
      </c>
      <c r="E318" s="7">
        <v>4203</v>
      </c>
      <c r="F318" s="7" t="s">
        <v>3962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47"/>
        <v>4</v>
      </c>
      <c r="S318" s="18">
        <f t="shared" si="53"/>
        <v>0</v>
      </c>
      <c r="T318" s="19">
        <f t="shared" si="48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2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49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46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0"/>
        <v>0</v>
      </c>
      <c r="AV318" s="37">
        <f t="shared" si="51"/>
        <v>0</v>
      </c>
      <c r="AW318" s="37"/>
    </row>
    <row r="319" spans="1:49" ht="15.75" hidden="1" customHeight="1" x14ac:dyDescent="0.25">
      <c r="A319" s="6" t="s">
        <v>3959</v>
      </c>
      <c r="B319" s="21" t="s">
        <v>3960</v>
      </c>
      <c r="C319" s="7">
        <v>1</v>
      </c>
      <c r="D319" s="39" t="s">
        <v>3961</v>
      </c>
      <c r="E319" s="7">
        <v>4204</v>
      </c>
      <c r="F319" s="7" t="s">
        <v>3962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47"/>
        <v>96.4</v>
      </c>
      <c r="S319" s="18">
        <f t="shared" si="53"/>
        <v>0</v>
      </c>
      <c r="T319" s="19">
        <f t="shared" si="48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2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49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46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0"/>
        <v>0</v>
      </c>
      <c r="AV319" s="37">
        <f t="shared" si="51"/>
        <v>0</v>
      </c>
      <c r="AW319" s="37"/>
    </row>
    <row r="320" spans="1:49" ht="15.75" hidden="1" customHeight="1" x14ac:dyDescent="0.25">
      <c r="A320" s="6" t="s">
        <v>3959</v>
      </c>
      <c r="B320" s="21" t="s">
        <v>3963</v>
      </c>
      <c r="C320" s="7">
        <v>1</v>
      </c>
      <c r="D320" s="39" t="s">
        <v>3964</v>
      </c>
      <c r="E320" s="7">
        <v>4205</v>
      </c>
      <c r="F320" s="7" t="s">
        <v>3962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47"/>
        <v>25.2</v>
      </c>
      <c r="S320" s="18">
        <f t="shared" si="53"/>
        <v>0</v>
      </c>
      <c r="T320" s="19">
        <f t="shared" si="48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2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49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46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0"/>
        <v>0</v>
      </c>
      <c r="AV320" s="37">
        <f t="shared" si="51"/>
        <v>0</v>
      </c>
      <c r="AW320" s="37"/>
    </row>
    <row r="321" spans="1:49" ht="15.75" hidden="1" customHeight="1" x14ac:dyDescent="0.25">
      <c r="A321" s="6" t="s">
        <v>3959</v>
      </c>
      <c r="B321" s="21" t="s">
        <v>3965</v>
      </c>
      <c r="C321" s="7">
        <v>2</v>
      </c>
      <c r="D321" s="39" t="s">
        <v>3966</v>
      </c>
      <c r="E321" s="7">
        <v>4206</v>
      </c>
      <c r="F321" s="7" t="s">
        <v>3962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47"/>
        <v>4</v>
      </c>
      <c r="S321" s="18">
        <f t="shared" si="53"/>
        <v>0</v>
      </c>
      <c r="T321" s="19">
        <f t="shared" si="48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2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49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46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0"/>
        <v>0</v>
      </c>
      <c r="AV321" s="37">
        <f t="shared" si="51"/>
        <v>0</v>
      </c>
      <c r="AW321" s="37"/>
    </row>
    <row r="322" spans="1:49" ht="15.75" hidden="1" customHeight="1" x14ac:dyDescent="0.25">
      <c r="A322" s="6" t="s">
        <v>3967</v>
      </c>
      <c r="B322" s="21" t="s">
        <v>3968</v>
      </c>
      <c r="C322" s="7">
        <v>1</v>
      </c>
      <c r="D322" s="39" t="s">
        <v>3969</v>
      </c>
      <c r="E322" s="7">
        <v>4207</v>
      </c>
      <c r="F322" s="7" t="s">
        <v>3962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47"/>
        <v>97.6</v>
      </c>
      <c r="S322" s="18">
        <f t="shared" si="53"/>
        <v>0</v>
      </c>
      <c r="T322" s="19">
        <f t="shared" si="48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2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49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46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0"/>
        <v>0</v>
      </c>
      <c r="AV322" s="37">
        <f t="shared" si="51"/>
        <v>0</v>
      </c>
      <c r="AW322" s="37"/>
    </row>
    <row r="323" spans="1:49" ht="15.75" hidden="1" customHeight="1" x14ac:dyDescent="0.25">
      <c r="A323" s="6" t="s">
        <v>3967</v>
      </c>
      <c r="B323" s="21" t="s">
        <v>3970</v>
      </c>
      <c r="C323" s="7">
        <v>1</v>
      </c>
      <c r="D323" s="39" t="s">
        <v>3964</v>
      </c>
      <c r="E323" s="7">
        <v>4208</v>
      </c>
      <c r="F323" s="7" t="s">
        <v>3962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47"/>
        <v>25.2</v>
      </c>
      <c r="S323" s="18">
        <f t="shared" si="53"/>
        <v>0</v>
      </c>
      <c r="T323" s="19">
        <f t="shared" si="48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2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49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46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0"/>
        <v>0</v>
      </c>
      <c r="AV323" s="37">
        <f t="shared" si="51"/>
        <v>0</v>
      </c>
      <c r="AW323" s="37"/>
    </row>
    <row r="324" spans="1:49" ht="15.75" hidden="1" customHeight="1" x14ac:dyDescent="0.25">
      <c r="A324" s="6" t="s">
        <v>3967</v>
      </c>
      <c r="B324" s="21" t="s">
        <v>3971</v>
      </c>
      <c r="C324" s="7">
        <v>2</v>
      </c>
      <c r="D324" s="39" t="s">
        <v>3966</v>
      </c>
      <c r="E324" s="7">
        <v>4209</v>
      </c>
      <c r="F324" s="7" t="s">
        <v>3962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47"/>
        <v>4</v>
      </c>
      <c r="S324" s="18">
        <f t="shared" si="53"/>
        <v>0</v>
      </c>
      <c r="T324" s="19">
        <f t="shared" si="48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2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49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46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0"/>
        <v>0</v>
      </c>
      <c r="AV324" s="37">
        <f t="shared" si="51"/>
        <v>0</v>
      </c>
      <c r="AW324" s="37"/>
    </row>
    <row r="325" spans="1:49" ht="15.75" hidden="1" customHeight="1" x14ac:dyDescent="0.25">
      <c r="A325" s="6" t="s">
        <v>3967</v>
      </c>
      <c r="B325" s="21" t="s">
        <v>3968</v>
      </c>
      <c r="C325" s="7">
        <v>1</v>
      </c>
      <c r="D325" s="39" t="s">
        <v>3969</v>
      </c>
      <c r="E325" s="7">
        <v>4210</v>
      </c>
      <c r="F325" s="7" t="s">
        <v>3962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47"/>
        <v>97.6</v>
      </c>
      <c r="S325" s="18">
        <f t="shared" si="53"/>
        <v>0</v>
      </c>
      <c r="T325" s="19">
        <f t="shared" si="48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2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49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4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0"/>
        <v>0</v>
      </c>
      <c r="AV325" s="37">
        <f t="shared" si="51"/>
        <v>0</v>
      </c>
      <c r="AW325" s="37"/>
    </row>
    <row r="326" spans="1:49" ht="15.75" hidden="1" customHeight="1" x14ac:dyDescent="0.25">
      <c r="A326" s="6" t="s">
        <v>3967</v>
      </c>
      <c r="B326" s="21" t="s">
        <v>3970</v>
      </c>
      <c r="C326" s="7">
        <v>1</v>
      </c>
      <c r="D326" s="39" t="s">
        <v>3964</v>
      </c>
      <c r="E326" s="7">
        <v>4211</v>
      </c>
      <c r="F326" s="7" t="s">
        <v>3962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47"/>
        <v>25.2</v>
      </c>
      <c r="S326" s="18">
        <f t="shared" si="53"/>
        <v>0</v>
      </c>
      <c r="T326" s="19">
        <f t="shared" si="48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2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49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4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0"/>
        <v>0</v>
      </c>
      <c r="AV326" s="37">
        <f t="shared" si="51"/>
        <v>0</v>
      </c>
      <c r="AW326" s="37"/>
    </row>
    <row r="327" spans="1:49" ht="15.75" hidden="1" customHeight="1" x14ac:dyDescent="0.25">
      <c r="A327" s="6" t="s">
        <v>3967</v>
      </c>
      <c r="B327" s="21" t="s">
        <v>3971</v>
      </c>
      <c r="C327" s="7">
        <v>2</v>
      </c>
      <c r="D327" s="39" t="s">
        <v>3966</v>
      </c>
      <c r="E327" s="7">
        <v>4212</v>
      </c>
      <c r="F327" s="7" t="s">
        <v>3962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47"/>
        <v>4</v>
      </c>
      <c r="S327" s="18">
        <f t="shared" si="53"/>
        <v>0</v>
      </c>
      <c r="T327" s="19">
        <f t="shared" si="48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2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49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4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0"/>
        <v>0</v>
      </c>
      <c r="AV327" s="37">
        <f t="shared" si="51"/>
        <v>0</v>
      </c>
      <c r="AW327" s="37"/>
    </row>
    <row r="328" spans="1:49" ht="15.75" hidden="1" customHeight="1" x14ac:dyDescent="0.25">
      <c r="A328" s="6" t="s">
        <v>3972</v>
      </c>
      <c r="B328" s="21" t="s">
        <v>3973</v>
      </c>
      <c r="C328" s="7">
        <v>1</v>
      </c>
      <c r="D328" s="39" t="s">
        <v>3974</v>
      </c>
      <c r="E328" s="7">
        <v>4213</v>
      </c>
      <c r="F328" s="7" t="s">
        <v>3975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47"/>
        <v>704.9</v>
      </c>
      <c r="S328" s="18">
        <f t="shared" si="53"/>
        <v>704.9</v>
      </c>
      <c r="T328" s="19">
        <f t="shared" si="48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2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49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4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0"/>
        <v>704.9</v>
      </c>
      <c r="AV328" s="37">
        <f t="shared" si="51"/>
        <v>704.9</v>
      </c>
      <c r="AW328" s="37"/>
    </row>
    <row r="329" spans="1:49" ht="15.75" hidden="1" customHeight="1" x14ac:dyDescent="0.25">
      <c r="A329" s="6" t="s">
        <v>3972</v>
      </c>
      <c r="B329" s="21" t="s">
        <v>3976</v>
      </c>
      <c r="C329" s="7">
        <v>8</v>
      </c>
      <c r="D329" s="39" t="s">
        <v>3977</v>
      </c>
      <c r="E329" s="7">
        <v>4214</v>
      </c>
      <c r="F329" s="7" t="s">
        <v>3975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47"/>
        <v>20.8</v>
      </c>
      <c r="S329" s="18">
        <f t="shared" si="53"/>
        <v>20.8</v>
      </c>
      <c r="T329" s="19">
        <f t="shared" si="48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2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49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4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0"/>
        <v>20.8</v>
      </c>
      <c r="AV329" s="37">
        <f t="shared" si="51"/>
        <v>20.8</v>
      </c>
      <c r="AW329" s="37"/>
    </row>
    <row r="330" spans="1:49" ht="15.75" hidden="1" customHeight="1" x14ac:dyDescent="0.25">
      <c r="A330" s="6" t="s">
        <v>3972</v>
      </c>
      <c r="B330" s="21" t="s">
        <v>3978</v>
      </c>
      <c r="C330" s="7">
        <v>2</v>
      </c>
      <c r="D330" s="39" t="s">
        <v>3979</v>
      </c>
      <c r="E330" s="7">
        <v>4215</v>
      </c>
      <c r="F330" s="7" t="s">
        <v>3975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47"/>
        <v>74.400000000000006</v>
      </c>
      <c r="S330" s="18">
        <f t="shared" si="53"/>
        <v>74.400000000000006</v>
      </c>
      <c r="T330" s="19">
        <f t="shared" si="48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2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49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4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0"/>
        <v>74.400000000000006</v>
      </c>
      <c r="AV330" s="37">
        <f t="shared" si="51"/>
        <v>74.400000000000006</v>
      </c>
      <c r="AW330" s="37"/>
    </row>
    <row r="331" spans="1:49" ht="15.75" hidden="1" customHeight="1" x14ac:dyDescent="0.25">
      <c r="A331" s="6" t="s">
        <v>3972</v>
      </c>
      <c r="B331" s="21" t="s">
        <v>3973</v>
      </c>
      <c r="C331" s="7">
        <v>1</v>
      </c>
      <c r="D331" s="39" t="s">
        <v>3974</v>
      </c>
      <c r="E331" s="7">
        <v>4216</v>
      </c>
      <c r="F331" s="7" t="s">
        <v>3975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47"/>
        <v>704.9</v>
      </c>
      <c r="S331" s="18">
        <f t="shared" si="53"/>
        <v>704.9</v>
      </c>
      <c r="T331" s="19">
        <f t="shared" si="48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2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49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4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0"/>
        <v>704.9</v>
      </c>
      <c r="AV331" s="37">
        <f t="shared" si="51"/>
        <v>704.9</v>
      </c>
      <c r="AW331" s="37"/>
    </row>
    <row r="332" spans="1:49" ht="15.75" hidden="1" customHeight="1" x14ac:dyDescent="0.25">
      <c r="A332" s="6" t="s">
        <v>3972</v>
      </c>
      <c r="B332" s="21" t="s">
        <v>3976</v>
      </c>
      <c r="C332" s="7">
        <v>8</v>
      </c>
      <c r="D332" s="39" t="s">
        <v>3977</v>
      </c>
      <c r="E332" s="7">
        <v>4217</v>
      </c>
      <c r="F332" s="7" t="s">
        <v>3975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47"/>
        <v>20.8</v>
      </c>
      <c r="S332" s="18">
        <f t="shared" si="53"/>
        <v>20.8</v>
      </c>
      <c r="T332" s="19">
        <f t="shared" si="48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2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49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4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0"/>
        <v>20.8</v>
      </c>
      <c r="AV332" s="37">
        <f t="shared" si="51"/>
        <v>20.8</v>
      </c>
      <c r="AW332" s="37"/>
    </row>
    <row r="333" spans="1:49" ht="15.75" hidden="1" customHeight="1" x14ac:dyDescent="0.25">
      <c r="A333" s="6" t="s">
        <v>3972</v>
      </c>
      <c r="B333" s="21" t="s">
        <v>3978</v>
      </c>
      <c r="C333" s="7">
        <v>2</v>
      </c>
      <c r="D333" s="39" t="s">
        <v>3979</v>
      </c>
      <c r="E333" s="7">
        <v>4218</v>
      </c>
      <c r="F333" s="7" t="s">
        <v>3975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47"/>
        <v>74.400000000000006</v>
      </c>
      <c r="S333" s="18">
        <f t="shared" si="53"/>
        <v>74.400000000000006</v>
      </c>
      <c r="T333" s="19">
        <f t="shared" si="48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2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49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4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0"/>
        <v>74.400000000000006</v>
      </c>
      <c r="AV333" s="37">
        <f t="shared" si="51"/>
        <v>74.400000000000006</v>
      </c>
      <c r="AW333" s="37"/>
    </row>
    <row r="334" spans="1:49" ht="15.75" hidden="1" customHeight="1" x14ac:dyDescent="0.25">
      <c r="A334" s="6" t="s">
        <v>3980</v>
      </c>
      <c r="B334" s="21" t="s">
        <v>3981</v>
      </c>
      <c r="C334" s="7">
        <v>1</v>
      </c>
      <c r="D334" s="39" t="s">
        <v>3982</v>
      </c>
      <c r="E334" s="7">
        <v>4219</v>
      </c>
      <c r="F334" s="7" t="s">
        <v>3975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47"/>
        <v>62.2</v>
      </c>
      <c r="S334" s="18">
        <f t="shared" si="53"/>
        <v>62.2</v>
      </c>
      <c r="T334" s="19">
        <f t="shared" si="48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2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49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4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0"/>
        <v>62.2</v>
      </c>
      <c r="AV334" s="37">
        <f t="shared" si="51"/>
        <v>62.2</v>
      </c>
      <c r="AW334" s="37"/>
    </row>
    <row r="335" spans="1:49" ht="15.75" hidden="1" customHeight="1" x14ac:dyDescent="0.25">
      <c r="A335" s="6" t="s">
        <v>3980</v>
      </c>
      <c r="B335" s="21" t="s">
        <v>3981</v>
      </c>
      <c r="C335" s="7">
        <v>4</v>
      </c>
      <c r="D335" s="39" t="s">
        <v>3983</v>
      </c>
      <c r="E335" s="7">
        <v>4220</v>
      </c>
      <c r="F335" s="7" t="s">
        <v>3975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47"/>
        <v>10.4</v>
      </c>
      <c r="S335" s="18">
        <f t="shared" si="53"/>
        <v>10.4</v>
      </c>
      <c r="T335" s="19">
        <f t="shared" si="48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2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49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4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0"/>
        <v>10.4</v>
      </c>
      <c r="AV335" s="37">
        <f t="shared" si="51"/>
        <v>10.4</v>
      </c>
      <c r="AW335" s="37"/>
    </row>
    <row r="336" spans="1:49" ht="15.75" hidden="1" customHeight="1" x14ac:dyDescent="0.25">
      <c r="A336" s="6" t="s">
        <v>3980</v>
      </c>
      <c r="B336" s="21" t="s">
        <v>3981</v>
      </c>
      <c r="C336" s="7">
        <v>1</v>
      </c>
      <c r="D336" s="39" t="s">
        <v>3982</v>
      </c>
      <c r="E336" s="7">
        <v>4221</v>
      </c>
      <c r="F336" s="7" t="s">
        <v>3975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47"/>
        <v>62.2</v>
      </c>
      <c r="S336" s="18">
        <f t="shared" si="53"/>
        <v>62.2</v>
      </c>
      <c r="T336" s="19">
        <f t="shared" si="48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2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49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4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0"/>
        <v>62.2</v>
      </c>
      <c r="AV336" s="37">
        <f t="shared" si="51"/>
        <v>62.2</v>
      </c>
      <c r="AW336" s="37"/>
    </row>
    <row r="337" spans="1:49" ht="15.75" hidden="1" customHeight="1" x14ac:dyDescent="0.25">
      <c r="A337" s="6" t="s">
        <v>3980</v>
      </c>
      <c r="B337" s="21" t="s">
        <v>3981</v>
      </c>
      <c r="C337" s="7">
        <v>4</v>
      </c>
      <c r="D337" s="39" t="s">
        <v>3983</v>
      </c>
      <c r="E337" s="7">
        <v>4222</v>
      </c>
      <c r="F337" s="7" t="s">
        <v>3975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47"/>
        <v>10.4</v>
      </c>
      <c r="S337" s="18">
        <f t="shared" si="53"/>
        <v>10.4</v>
      </c>
      <c r="T337" s="19">
        <f t="shared" si="48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2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49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4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0"/>
        <v>10.4</v>
      </c>
      <c r="AV337" s="37">
        <f t="shared" si="51"/>
        <v>10.4</v>
      </c>
      <c r="AW337" s="37"/>
    </row>
    <row r="338" spans="1:49" ht="15.75" hidden="1" customHeight="1" x14ac:dyDescent="0.25">
      <c r="A338" s="6" t="s">
        <v>3774</v>
      </c>
      <c r="B338" s="21" t="s">
        <v>3984</v>
      </c>
      <c r="C338" s="7">
        <v>2</v>
      </c>
      <c r="D338" s="39" t="s">
        <v>3985</v>
      </c>
      <c r="E338" s="7">
        <v>4223</v>
      </c>
      <c r="F338" s="7" t="s">
        <v>3776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47"/>
        <v>27.4</v>
      </c>
      <c r="S338" s="18">
        <f t="shared" si="53"/>
        <v>27.4</v>
      </c>
      <c r="T338" s="19">
        <f t="shared" si="48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2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49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4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0"/>
        <v>0</v>
      </c>
      <c r="AV338" s="37">
        <f t="shared" si="51"/>
        <v>27.4</v>
      </c>
      <c r="AW338" s="37"/>
    </row>
    <row r="339" spans="1:49" ht="15.75" hidden="1" customHeight="1" x14ac:dyDescent="0.25">
      <c r="A339" s="6" t="s">
        <v>3774</v>
      </c>
      <c r="B339" s="21" t="s">
        <v>3984</v>
      </c>
      <c r="C339" s="7">
        <v>2</v>
      </c>
      <c r="D339" s="39" t="s">
        <v>3985</v>
      </c>
      <c r="E339" s="7">
        <v>4224</v>
      </c>
      <c r="F339" s="7" t="s">
        <v>3776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47"/>
        <v>27.4</v>
      </c>
      <c r="S339" s="18">
        <f t="shared" si="53"/>
        <v>27.4</v>
      </c>
      <c r="T339" s="19">
        <f t="shared" si="48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2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49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4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0"/>
        <v>0</v>
      </c>
      <c r="AV339" s="37">
        <f t="shared" si="51"/>
        <v>27.4</v>
      </c>
      <c r="AW339" s="37"/>
    </row>
    <row r="340" spans="1:49" ht="15.75" hidden="1" customHeight="1" x14ac:dyDescent="0.25">
      <c r="A340" s="6" t="s">
        <v>3986</v>
      </c>
      <c r="B340" s="21" t="s">
        <v>3987</v>
      </c>
      <c r="C340" s="7">
        <v>1</v>
      </c>
      <c r="D340" s="39" t="s">
        <v>3988</v>
      </c>
      <c r="E340" s="7">
        <v>4225</v>
      </c>
      <c r="F340" s="7" t="s">
        <v>3989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47"/>
        <v>36.6</v>
      </c>
      <c r="S340" s="18">
        <f t="shared" si="53"/>
        <v>0</v>
      </c>
      <c r="T340" s="19">
        <f t="shared" si="48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2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49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4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0"/>
        <v>0</v>
      </c>
      <c r="AV340" s="37">
        <f t="shared" si="51"/>
        <v>0</v>
      </c>
      <c r="AW340" s="37"/>
    </row>
    <row r="341" spans="1:49" ht="15.75" hidden="1" customHeight="1" x14ac:dyDescent="0.25">
      <c r="A341" s="6" t="s">
        <v>3986</v>
      </c>
      <c r="B341" s="21" t="s">
        <v>3987</v>
      </c>
      <c r="C341" s="7">
        <v>1</v>
      </c>
      <c r="D341" s="39" t="s">
        <v>3988</v>
      </c>
      <c r="E341" s="7">
        <v>4226</v>
      </c>
      <c r="F341" s="7" t="s">
        <v>3989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47"/>
        <v>36.6</v>
      </c>
      <c r="S341" s="18">
        <f t="shared" si="53"/>
        <v>0</v>
      </c>
      <c r="T341" s="19">
        <f t="shared" si="48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2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49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4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0"/>
        <v>0</v>
      </c>
      <c r="AV341" s="37">
        <f t="shared" si="51"/>
        <v>0</v>
      </c>
      <c r="AW341" s="37"/>
    </row>
    <row r="342" spans="1:49" ht="15.75" hidden="1" customHeight="1" x14ac:dyDescent="0.25">
      <c r="A342" s="6" t="s">
        <v>3986</v>
      </c>
      <c r="B342" s="21" t="s">
        <v>3990</v>
      </c>
      <c r="C342" s="7">
        <v>2</v>
      </c>
      <c r="D342" s="39" t="s">
        <v>3991</v>
      </c>
      <c r="E342" s="7">
        <v>4227</v>
      </c>
      <c r="F342" s="7" t="s">
        <v>3989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47"/>
        <v>12.6</v>
      </c>
      <c r="S342" s="18">
        <f t="shared" si="53"/>
        <v>0</v>
      </c>
      <c r="T342" s="19">
        <f t="shared" si="48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2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49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4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0"/>
        <v>0</v>
      </c>
      <c r="AV342" s="37">
        <f t="shared" si="51"/>
        <v>0</v>
      </c>
      <c r="AW342" s="37"/>
    </row>
    <row r="343" spans="1:49" ht="15.75" hidden="1" customHeight="1" x14ac:dyDescent="0.25">
      <c r="A343" s="6" t="s">
        <v>3986</v>
      </c>
      <c r="B343" s="21" t="s">
        <v>3990</v>
      </c>
      <c r="C343" s="7">
        <v>2</v>
      </c>
      <c r="D343" s="39" t="s">
        <v>3991</v>
      </c>
      <c r="E343" s="7">
        <v>4228</v>
      </c>
      <c r="F343" s="7" t="s">
        <v>3989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47"/>
        <v>12.6</v>
      </c>
      <c r="S343" s="18">
        <f t="shared" si="53"/>
        <v>0</v>
      </c>
      <c r="T343" s="19">
        <f t="shared" si="48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2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49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4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0"/>
        <v>0</v>
      </c>
      <c r="AV343" s="37">
        <f t="shared" si="51"/>
        <v>0</v>
      </c>
      <c r="AW343" s="37"/>
    </row>
    <row r="344" spans="1:49" ht="15.75" hidden="1" customHeight="1" x14ac:dyDescent="0.25">
      <c r="A344" s="6" t="s">
        <v>3986</v>
      </c>
      <c r="B344" s="21" t="s">
        <v>3992</v>
      </c>
      <c r="C344" s="7">
        <v>2</v>
      </c>
      <c r="D344" s="39" t="s">
        <v>3993</v>
      </c>
      <c r="E344" s="7">
        <v>4229</v>
      </c>
      <c r="F344" s="7" t="s">
        <v>3989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47"/>
        <v>1.4</v>
      </c>
      <c r="S344" s="18">
        <f t="shared" si="53"/>
        <v>0</v>
      </c>
      <c r="T344" s="19">
        <f t="shared" si="48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2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49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4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0"/>
        <v>0</v>
      </c>
      <c r="AV344" s="37">
        <f t="shared" si="51"/>
        <v>0</v>
      </c>
      <c r="AW344" s="37"/>
    </row>
    <row r="345" spans="1:49" ht="15.75" hidden="1" customHeight="1" x14ac:dyDescent="0.25">
      <c r="A345" s="6" t="s">
        <v>3986</v>
      </c>
      <c r="B345" s="21" t="s">
        <v>3992</v>
      </c>
      <c r="C345" s="7">
        <v>2</v>
      </c>
      <c r="D345" s="39" t="s">
        <v>3993</v>
      </c>
      <c r="E345" s="7">
        <v>4230</v>
      </c>
      <c r="F345" s="7" t="s">
        <v>3989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47"/>
        <v>1.4</v>
      </c>
      <c r="S345" s="18">
        <f t="shared" si="53"/>
        <v>0</v>
      </c>
      <c r="T345" s="19">
        <f t="shared" si="48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2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49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4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0"/>
        <v>0</v>
      </c>
      <c r="AV345" s="37">
        <f t="shared" si="51"/>
        <v>0</v>
      </c>
      <c r="AW345" s="37"/>
    </row>
    <row r="346" spans="1:49" ht="15.75" hidden="1" customHeight="1" x14ac:dyDescent="0.25">
      <c r="A346" s="6" t="s">
        <v>3994</v>
      </c>
      <c r="B346" s="21" t="s">
        <v>3995</v>
      </c>
      <c r="C346" s="7">
        <v>1</v>
      </c>
      <c r="D346" s="39" t="s">
        <v>3996</v>
      </c>
      <c r="E346" s="7">
        <v>4231</v>
      </c>
      <c r="F346" s="7" t="s">
        <v>3997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5">IFERROR(H346*((AA346*0.25)+(AC346*0.25)+(AD346*0.225)+(AE346*0.225)+(AF346*0.05)),"")</f>
        <v>10.734999999999999</v>
      </c>
      <c r="S346" s="18">
        <f t="shared" si="53"/>
        <v>0</v>
      </c>
      <c r="T346" s="19">
        <f t="shared" ref="T346:T355" si="56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2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49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4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0"/>
        <v>0</v>
      </c>
      <c r="AV346" s="37">
        <f t="shared" si="51"/>
        <v>0</v>
      </c>
      <c r="AW346" s="37"/>
    </row>
    <row r="347" spans="1:49" ht="15.75" hidden="1" customHeight="1" x14ac:dyDescent="0.25">
      <c r="A347" s="6" t="s">
        <v>3994</v>
      </c>
      <c r="B347" s="21" t="s">
        <v>3995</v>
      </c>
      <c r="C347" s="7">
        <v>1</v>
      </c>
      <c r="D347" s="39" t="s">
        <v>3996</v>
      </c>
      <c r="E347" s="7">
        <v>4232</v>
      </c>
      <c r="F347" s="7" t="s">
        <v>3997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5"/>
        <v>10.734999999999999</v>
      </c>
      <c r="S347" s="18">
        <f t="shared" si="53"/>
        <v>0</v>
      </c>
      <c r="T347" s="19">
        <f t="shared" si="56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2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49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4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0"/>
        <v>0</v>
      </c>
      <c r="AV347" s="37">
        <f t="shared" si="51"/>
        <v>0</v>
      </c>
      <c r="AW347" s="37"/>
    </row>
    <row r="348" spans="1:49" ht="15.75" hidden="1" customHeight="1" x14ac:dyDescent="0.25">
      <c r="A348" s="6" t="s">
        <v>3994</v>
      </c>
      <c r="B348" s="21" t="s">
        <v>3998</v>
      </c>
      <c r="C348" s="7">
        <v>1</v>
      </c>
      <c r="D348" s="39" t="s">
        <v>3996</v>
      </c>
      <c r="E348" s="7">
        <v>4233</v>
      </c>
      <c r="F348" s="7" t="s">
        <v>3997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5"/>
        <v>10.734999999999999</v>
      </c>
      <c r="S348" s="18">
        <f t="shared" si="53"/>
        <v>0</v>
      </c>
      <c r="T348" s="19">
        <f t="shared" si="56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2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57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4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0"/>
        <v>0</v>
      </c>
      <c r="AV348" s="37">
        <f t="shared" si="51"/>
        <v>0</v>
      </c>
      <c r="AW348" s="37"/>
    </row>
    <row r="349" spans="1:49" ht="15.75" hidden="1" customHeight="1" x14ac:dyDescent="0.25">
      <c r="A349" s="6" t="s">
        <v>3994</v>
      </c>
      <c r="B349" s="21" t="s">
        <v>3998</v>
      </c>
      <c r="C349" s="7">
        <v>1</v>
      </c>
      <c r="D349" s="39" t="s">
        <v>3996</v>
      </c>
      <c r="E349" s="7">
        <v>4234</v>
      </c>
      <c r="F349" s="7" t="s">
        <v>3997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5"/>
        <v>10.734999999999999</v>
      </c>
      <c r="S349" s="18">
        <f t="shared" si="53"/>
        <v>0</v>
      </c>
      <c r="T349" s="19">
        <f t="shared" si="56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2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57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4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0"/>
        <v>0</v>
      </c>
      <c r="AV349" s="37">
        <f t="shared" si="51"/>
        <v>0</v>
      </c>
      <c r="AW349" s="37"/>
    </row>
    <row r="350" spans="1:49" ht="15.75" hidden="1" customHeight="1" x14ac:dyDescent="0.25">
      <c r="A350" s="6" t="s">
        <v>3994</v>
      </c>
      <c r="B350" s="21" t="s">
        <v>3999</v>
      </c>
      <c r="C350" s="7">
        <v>1</v>
      </c>
      <c r="D350" s="39" t="s">
        <v>3996</v>
      </c>
      <c r="E350" s="7">
        <v>4235</v>
      </c>
      <c r="F350" s="7" t="s">
        <v>3997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5"/>
        <v>18.809999999999999</v>
      </c>
      <c r="S350" s="18">
        <f t="shared" si="53"/>
        <v>0</v>
      </c>
      <c r="T350" s="19">
        <f t="shared" si="56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2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57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4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0"/>
        <v>0</v>
      </c>
      <c r="AV350" s="37">
        <f t="shared" si="51"/>
        <v>0</v>
      </c>
      <c r="AW350" s="37"/>
    </row>
    <row r="351" spans="1:49" ht="15.75" hidden="1" customHeight="1" x14ac:dyDescent="0.25">
      <c r="A351" s="6" t="s">
        <v>3994</v>
      </c>
      <c r="B351" s="21" t="s">
        <v>3999</v>
      </c>
      <c r="C351" s="7">
        <v>1</v>
      </c>
      <c r="D351" s="39" t="s">
        <v>3996</v>
      </c>
      <c r="E351" s="7">
        <v>4236</v>
      </c>
      <c r="F351" s="7" t="s">
        <v>3997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5"/>
        <v>18.809999999999999</v>
      </c>
      <c r="S351" s="18">
        <f t="shared" si="53"/>
        <v>0</v>
      </c>
      <c r="T351" s="19">
        <f t="shared" si="56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2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57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4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0"/>
        <v>0</v>
      </c>
      <c r="AV351" s="37">
        <f t="shared" si="51"/>
        <v>0</v>
      </c>
      <c r="AW351" s="37"/>
    </row>
    <row r="352" spans="1:49" ht="15.75" hidden="1" customHeight="1" x14ac:dyDescent="0.25">
      <c r="A352" s="6" t="s">
        <v>3994</v>
      </c>
      <c r="B352" s="21" t="s">
        <v>4000</v>
      </c>
      <c r="C352" s="7">
        <v>1</v>
      </c>
      <c r="D352" s="39" t="s">
        <v>3996</v>
      </c>
      <c r="E352" s="7">
        <v>4237</v>
      </c>
      <c r="F352" s="7" t="s">
        <v>3997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5"/>
        <v>23.654999999999998</v>
      </c>
      <c r="S352" s="18">
        <f t="shared" si="53"/>
        <v>0</v>
      </c>
      <c r="T352" s="19">
        <f t="shared" si="56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2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57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4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0"/>
        <v>0</v>
      </c>
      <c r="AV352" s="37">
        <f t="shared" si="51"/>
        <v>0</v>
      </c>
      <c r="AW352" s="37"/>
    </row>
    <row r="353" spans="1:49" ht="15.75" hidden="1" customHeight="1" x14ac:dyDescent="0.25">
      <c r="A353" s="6" t="s">
        <v>3994</v>
      </c>
      <c r="B353" s="21" t="s">
        <v>4000</v>
      </c>
      <c r="C353" s="7">
        <v>1</v>
      </c>
      <c r="D353" s="39" t="s">
        <v>3996</v>
      </c>
      <c r="E353" s="7">
        <v>4238</v>
      </c>
      <c r="F353" s="7" t="s">
        <v>3997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5"/>
        <v>23.654999999999998</v>
      </c>
      <c r="S353" s="18">
        <f t="shared" si="53"/>
        <v>0</v>
      </c>
      <c r="T353" s="19">
        <f t="shared" si="56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2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57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4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0"/>
        <v>0</v>
      </c>
      <c r="AV353" s="37">
        <f t="shared" si="51"/>
        <v>0</v>
      </c>
      <c r="AW353" s="37"/>
    </row>
    <row r="354" spans="1:49" ht="15.75" hidden="1" customHeight="1" x14ac:dyDescent="0.25">
      <c r="A354" s="6" t="s">
        <v>3994</v>
      </c>
      <c r="B354" s="21" t="s">
        <v>4001</v>
      </c>
      <c r="C354" s="7">
        <v>2</v>
      </c>
      <c r="D354" s="39" t="s">
        <v>3996</v>
      </c>
      <c r="E354" s="7">
        <v>4239</v>
      </c>
      <c r="F354" s="7" t="s">
        <v>3997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5"/>
        <v>70.3</v>
      </c>
      <c r="S354" s="18">
        <f t="shared" si="53"/>
        <v>0</v>
      </c>
      <c r="T354" s="19">
        <f t="shared" si="56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2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57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4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0"/>
        <v>0</v>
      </c>
      <c r="AV354" s="37">
        <f t="shared" si="51"/>
        <v>0</v>
      </c>
      <c r="AW354" s="37"/>
    </row>
    <row r="355" spans="1:49" ht="15.75" hidden="1" customHeight="1" x14ac:dyDescent="0.25">
      <c r="A355" s="6" t="s">
        <v>3994</v>
      </c>
      <c r="B355" s="21" t="s">
        <v>4001</v>
      </c>
      <c r="C355" s="7">
        <v>2</v>
      </c>
      <c r="D355" s="39" t="s">
        <v>3996</v>
      </c>
      <c r="E355" s="7">
        <v>4240</v>
      </c>
      <c r="F355" s="7" t="s">
        <v>3997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5"/>
        <v>70.3</v>
      </c>
      <c r="S355" s="18">
        <f t="shared" si="53"/>
        <v>0</v>
      </c>
      <c r="T355" s="19">
        <f t="shared" si="56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2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57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4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0"/>
        <v>0</v>
      </c>
      <c r="AV355" s="37">
        <f t="shared" si="51"/>
        <v>0</v>
      </c>
      <c r="AW355" s="37"/>
    </row>
    <row r="356" spans="1:49" ht="15.75" hidden="1" customHeight="1" x14ac:dyDescent="0.25">
      <c r="A356" s="6" t="s">
        <v>3994</v>
      </c>
      <c r="B356" s="21" t="s">
        <v>4002</v>
      </c>
      <c r="C356" s="7">
        <v>2</v>
      </c>
      <c r="D356" s="39" t="s">
        <v>3996</v>
      </c>
      <c r="E356" s="7">
        <v>4241</v>
      </c>
      <c r="F356" s="7" t="s">
        <v>3997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5"/>
        <v>61.75</v>
      </c>
      <c r="S356" s="18">
        <f t="shared" si="53"/>
        <v>0</v>
      </c>
      <c r="T356" s="19">
        <f t="shared" ref="T356:T419" si="58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59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57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4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0"/>
        <v>0</v>
      </c>
      <c r="AV356" s="37">
        <f t="shared" si="51"/>
        <v>0</v>
      </c>
      <c r="AW356" s="37"/>
    </row>
    <row r="357" spans="1:49" ht="15.75" hidden="1" customHeight="1" x14ac:dyDescent="0.25">
      <c r="A357" s="6" t="s">
        <v>3994</v>
      </c>
      <c r="B357" s="21" t="s">
        <v>4002</v>
      </c>
      <c r="C357" s="7">
        <v>2</v>
      </c>
      <c r="D357" s="39" t="s">
        <v>3996</v>
      </c>
      <c r="E357" s="7">
        <v>4242</v>
      </c>
      <c r="F357" s="7" t="s">
        <v>3997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5"/>
        <v>61.75</v>
      </c>
      <c r="S357" s="18">
        <f t="shared" si="53"/>
        <v>0</v>
      </c>
      <c r="T357" s="19">
        <f t="shared" si="58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59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57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4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0">IF(AH357="",0,IF(ISTEXT(AH357),H357*VALUE(SUBSTITUTE(AH357,"%",""))/100,H357*AH357))</f>
        <v>0</v>
      </c>
      <c r="AV357" s="37">
        <f t="shared" ref="AV357:AV420" si="61">IF(AG357="",0,IF(ISTEXT(AG357),H357*VALUE(SUBSTITUTE(AG357,"%",""))/100,H357*AG357))</f>
        <v>0</v>
      </c>
      <c r="AW357" s="37"/>
    </row>
    <row r="358" spans="1:49" ht="15.75" hidden="1" customHeight="1" x14ac:dyDescent="0.25">
      <c r="A358" s="6" t="s">
        <v>3774</v>
      </c>
      <c r="B358" s="21" t="s">
        <v>4003</v>
      </c>
      <c r="C358" s="7">
        <v>1</v>
      </c>
      <c r="D358" s="39" t="s">
        <v>4004</v>
      </c>
      <c r="E358" s="7">
        <v>4243</v>
      </c>
      <c r="F358" s="7" t="s">
        <v>3776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5"/>
        <v>151.80000000000001</v>
      </c>
      <c r="S358" s="18">
        <f t="shared" si="53"/>
        <v>151.80000000000001</v>
      </c>
      <c r="T358" s="19">
        <f t="shared" si="58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59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57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4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0"/>
        <v>151.80000000000001</v>
      </c>
      <c r="AV358" s="37">
        <f t="shared" si="61"/>
        <v>151.80000000000001</v>
      </c>
      <c r="AW358" s="37"/>
    </row>
    <row r="359" spans="1:49" ht="15.75" hidden="1" customHeight="1" x14ac:dyDescent="0.25">
      <c r="A359" s="6" t="s">
        <v>3774</v>
      </c>
      <c r="B359" s="21" t="s">
        <v>4003</v>
      </c>
      <c r="C359" s="7">
        <v>1</v>
      </c>
      <c r="D359" s="39" t="s">
        <v>4004</v>
      </c>
      <c r="E359" s="7">
        <v>4244</v>
      </c>
      <c r="F359" s="7" t="s">
        <v>3776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5"/>
        <v>151.80000000000001</v>
      </c>
      <c r="S359" s="18">
        <f t="shared" si="53"/>
        <v>151.80000000000001</v>
      </c>
      <c r="T359" s="19">
        <f t="shared" si="58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59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57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4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0"/>
        <v>151.80000000000001</v>
      </c>
      <c r="AV359" s="37">
        <f t="shared" si="61"/>
        <v>151.80000000000001</v>
      </c>
      <c r="AW359" s="37"/>
    </row>
    <row r="360" spans="1:49" ht="15.75" hidden="1" customHeight="1" x14ac:dyDescent="0.25">
      <c r="A360" s="6" t="s">
        <v>4005</v>
      </c>
      <c r="B360" s="21" t="s">
        <v>4006</v>
      </c>
      <c r="C360" s="7">
        <v>1</v>
      </c>
      <c r="D360" s="39" t="s">
        <v>4007</v>
      </c>
      <c r="E360" s="7">
        <v>4245</v>
      </c>
      <c r="F360" s="7" t="s">
        <v>4008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5"/>
        <v>17.899999999999999</v>
      </c>
      <c r="S360" s="18">
        <f t="shared" si="53"/>
        <v>0</v>
      </c>
      <c r="T360" s="19">
        <f t="shared" si="58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59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57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4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0"/>
        <v>0</v>
      </c>
      <c r="AV360" s="37">
        <f t="shared" si="61"/>
        <v>0</v>
      </c>
      <c r="AW360" s="37"/>
    </row>
    <row r="361" spans="1:49" ht="15.75" hidden="1" customHeight="1" x14ac:dyDescent="0.25">
      <c r="A361" s="6" t="s">
        <v>4005</v>
      </c>
      <c r="B361" s="21" t="s">
        <v>4006</v>
      </c>
      <c r="C361" s="7">
        <v>1</v>
      </c>
      <c r="D361" s="39" t="s">
        <v>4007</v>
      </c>
      <c r="E361" s="7">
        <v>4246</v>
      </c>
      <c r="F361" s="7" t="s">
        <v>4008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5"/>
        <v>17.899999999999999</v>
      </c>
      <c r="S361" s="18">
        <f t="shared" si="53"/>
        <v>0</v>
      </c>
      <c r="T361" s="19">
        <f t="shared" si="58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59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57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4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0"/>
        <v>0</v>
      </c>
      <c r="AV361" s="37">
        <f t="shared" si="61"/>
        <v>0</v>
      </c>
      <c r="AW361" s="37"/>
    </row>
    <row r="362" spans="1:49" ht="15.75" hidden="1" customHeight="1" x14ac:dyDescent="0.25">
      <c r="A362" s="6" t="s">
        <v>4005</v>
      </c>
      <c r="B362" s="21" t="s">
        <v>4009</v>
      </c>
      <c r="C362" s="7">
        <v>2</v>
      </c>
      <c r="D362" s="39" t="s">
        <v>4010</v>
      </c>
      <c r="E362" s="7">
        <v>4247</v>
      </c>
      <c r="F362" s="7" t="s">
        <v>4008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5"/>
        <v>7</v>
      </c>
      <c r="S362" s="18">
        <f t="shared" si="53"/>
        <v>0</v>
      </c>
      <c r="T362" s="19">
        <f t="shared" si="58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59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57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4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0"/>
        <v>0</v>
      </c>
      <c r="AV362" s="37">
        <f t="shared" si="61"/>
        <v>0</v>
      </c>
      <c r="AW362" s="37"/>
    </row>
    <row r="363" spans="1:49" ht="15.75" hidden="1" customHeight="1" x14ac:dyDescent="0.25">
      <c r="A363" s="6" t="s">
        <v>4005</v>
      </c>
      <c r="B363" s="21" t="s">
        <v>4009</v>
      </c>
      <c r="C363" s="7">
        <v>2</v>
      </c>
      <c r="D363" s="39" t="s">
        <v>4010</v>
      </c>
      <c r="E363" s="7">
        <v>4248</v>
      </c>
      <c r="F363" s="7" t="s">
        <v>4008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5"/>
        <v>7</v>
      </c>
      <c r="S363" s="18">
        <f t="shared" si="53"/>
        <v>0</v>
      </c>
      <c r="T363" s="19">
        <f t="shared" si="58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59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57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4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0"/>
        <v>0</v>
      </c>
      <c r="AV363" s="37">
        <f t="shared" si="61"/>
        <v>0</v>
      </c>
      <c r="AW363" s="37"/>
    </row>
    <row r="364" spans="1:49" ht="15.75" hidden="1" customHeight="1" x14ac:dyDescent="0.25">
      <c r="A364" s="6" t="s">
        <v>4005</v>
      </c>
      <c r="B364" s="21" t="s">
        <v>4011</v>
      </c>
      <c r="C364" s="7">
        <v>1</v>
      </c>
      <c r="D364" s="39" t="s">
        <v>2557</v>
      </c>
      <c r="E364" s="7">
        <v>4249</v>
      </c>
      <c r="F364" s="7" t="s">
        <v>4008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5"/>
        <v>8.4</v>
      </c>
      <c r="S364" s="18">
        <f t="shared" si="53"/>
        <v>0</v>
      </c>
      <c r="T364" s="19">
        <f t="shared" si="58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59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57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4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0"/>
        <v>0</v>
      </c>
      <c r="AV364" s="37">
        <f t="shared" si="61"/>
        <v>0</v>
      </c>
      <c r="AW364" s="37"/>
    </row>
    <row r="365" spans="1:49" ht="15.75" hidden="1" customHeight="1" x14ac:dyDescent="0.25">
      <c r="A365" s="6" t="s">
        <v>4005</v>
      </c>
      <c r="B365" s="21" t="s">
        <v>4011</v>
      </c>
      <c r="C365" s="7">
        <v>1</v>
      </c>
      <c r="D365" s="39" t="s">
        <v>2557</v>
      </c>
      <c r="E365" s="7">
        <v>4250</v>
      </c>
      <c r="F365" s="7" t="s">
        <v>4008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5"/>
        <v>8.4</v>
      </c>
      <c r="S365" s="18">
        <f t="shared" si="53"/>
        <v>0</v>
      </c>
      <c r="T365" s="19">
        <f t="shared" si="58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59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57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4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0"/>
        <v>0</v>
      </c>
      <c r="AV365" s="37">
        <f t="shared" si="61"/>
        <v>0</v>
      </c>
      <c r="AW365" s="37"/>
    </row>
    <row r="366" spans="1:49" ht="15.75" hidden="1" customHeight="1" x14ac:dyDescent="0.25">
      <c r="A366" s="6" t="s">
        <v>4005</v>
      </c>
      <c r="B366" s="21" t="s">
        <v>4012</v>
      </c>
      <c r="C366" s="7">
        <v>1</v>
      </c>
      <c r="D366" s="39" t="s">
        <v>4013</v>
      </c>
      <c r="E366" s="7">
        <v>4251</v>
      </c>
      <c r="F366" s="7" t="s">
        <v>4008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5"/>
        <v>0.5</v>
      </c>
      <c r="S366" s="18">
        <f t="shared" si="53"/>
        <v>0</v>
      </c>
      <c r="T366" s="19">
        <f t="shared" si="58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59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57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4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0"/>
        <v>0</v>
      </c>
      <c r="AV366" s="37">
        <f t="shared" si="61"/>
        <v>0</v>
      </c>
      <c r="AW366" s="37"/>
    </row>
    <row r="367" spans="1:49" ht="15.75" hidden="1" customHeight="1" x14ac:dyDescent="0.25">
      <c r="A367" s="6" t="s">
        <v>4005</v>
      </c>
      <c r="B367" s="21" t="s">
        <v>4012</v>
      </c>
      <c r="C367" s="7">
        <v>1</v>
      </c>
      <c r="D367" s="39" t="s">
        <v>4013</v>
      </c>
      <c r="E367" s="7">
        <v>4252</v>
      </c>
      <c r="F367" s="7" t="s">
        <v>4008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5"/>
        <v>0.5</v>
      </c>
      <c r="S367" s="18">
        <f t="shared" si="53"/>
        <v>0</v>
      </c>
      <c r="T367" s="19">
        <f t="shared" si="58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59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57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4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0"/>
        <v>0</v>
      </c>
      <c r="AV367" s="37">
        <f t="shared" si="61"/>
        <v>0</v>
      </c>
      <c r="AW367" s="37"/>
    </row>
    <row r="368" spans="1:49" ht="15.75" hidden="1" customHeight="1" x14ac:dyDescent="0.25">
      <c r="A368" s="6" t="s">
        <v>4005</v>
      </c>
      <c r="B368" s="21" t="s">
        <v>4014</v>
      </c>
      <c r="C368" s="7">
        <v>2</v>
      </c>
      <c r="D368" s="39" t="s">
        <v>4015</v>
      </c>
      <c r="E368" s="7">
        <v>4253</v>
      </c>
      <c r="F368" s="7" t="s">
        <v>4008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5"/>
        <v>6</v>
      </c>
      <c r="S368" s="18">
        <f t="shared" si="53"/>
        <v>0</v>
      </c>
      <c r="T368" s="19">
        <f t="shared" si="58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59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57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4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0"/>
        <v>0</v>
      </c>
      <c r="AV368" s="37">
        <f t="shared" si="61"/>
        <v>0</v>
      </c>
      <c r="AW368" s="37"/>
    </row>
    <row r="369" spans="1:49" ht="15.75" hidden="1" customHeight="1" x14ac:dyDescent="0.25">
      <c r="A369" s="6" t="s">
        <v>4005</v>
      </c>
      <c r="B369" s="21" t="s">
        <v>4014</v>
      </c>
      <c r="C369" s="7">
        <v>2</v>
      </c>
      <c r="D369" s="39" t="s">
        <v>4015</v>
      </c>
      <c r="E369" s="7">
        <v>4254</v>
      </c>
      <c r="F369" s="7" t="s">
        <v>4008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5"/>
        <v>6</v>
      </c>
      <c r="S369" s="18">
        <f t="shared" si="53"/>
        <v>0</v>
      </c>
      <c r="T369" s="19">
        <f t="shared" si="58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59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57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4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0"/>
        <v>0</v>
      </c>
      <c r="AV369" s="37">
        <f t="shared" si="61"/>
        <v>0</v>
      </c>
      <c r="AW369" s="37"/>
    </row>
    <row r="370" spans="1:49" ht="15.75" hidden="1" customHeight="1" x14ac:dyDescent="0.25">
      <c r="A370" s="6" t="s">
        <v>4016</v>
      </c>
      <c r="B370" s="21" t="s">
        <v>4017</v>
      </c>
      <c r="C370" s="7">
        <v>1</v>
      </c>
      <c r="D370" s="39" t="s">
        <v>4018</v>
      </c>
      <c r="E370" s="7">
        <v>4255</v>
      </c>
      <c r="F370" s="7" t="s">
        <v>4019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5"/>
        <v>0.4</v>
      </c>
      <c r="S370" s="18">
        <f t="shared" si="53"/>
        <v>0</v>
      </c>
      <c r="T370" s="19">
        <f t="shared" si="58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59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57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4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0"/>
        <v>0</v>
      </c>
      <c r="AV370" s="37">
        <f t="shared" si="61"/>
        <v>0</v>
      </c>
      <c r="AW370" s="37"/>
    </row>
    <row r="371" spans="1:49" ht="15.75" hidden="1" customHeight="1" x14ac:dyDescent="0.25">
      <c r="A371" s="6" t="s">
        <v>4016</v>
      </c>
      <c r="B371" s="21" t="s">
        <v>4017</v>
      </c>
      <c r="C371" s="7">
        <v>1</v>
      </c>
      <c r="D371" s="39" t="s">
        <v>4018</v>
      </c>
      <c r="E371" s="7">
        <v>4256</v>
      </c>
      <c r="F371" s="7" t="s">
        <v>4019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5"/>
        <v>0.4</v>
      </c>
      <c r="S371" s="18">
        <f t="shared" si="53"/>
        <v>0</v>
      </c>
      <c r="T371" s="19">
        <f t="shared" si="58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59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57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4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0"/>
        <v>0</v>
      </c>
      <c r="AV371" s="37">
        <f t="shared" si="61"/>
        <v>0</v>
      </c>
      <c r="AW371" s="37"/>
    </row>
    <row r="372" spans="1:49" ht="15.75" hidden="1" customHeight="1" x14ac:dyDescent="0.25">
      <c r="A372" s="6" t="s">
        <v>4016</v>
      </c>
      <c r="B372" s="21" t="s">
        <v>4020</v>
      </c>
      <c r="C372" s="7">
        <v>1</v>
      </c>
      <c r="D372" s="39" t="s">
        <v>4021</v>
      </c>
      <c r="E372" s="7">
        <v>4257</v>
      </c>
      <c r="F372" s="7" t="s">
        <v>4019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5"/>
        <v>0.4</v>
      </c>
      <c r="S372" s="18">
        <f t="shared" si="53"/>
        <v>0</v>
      </c>
      <c r="T372" s="19">
        <f t="shared" si="58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59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57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4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0"/>
        <v>0</v>
      </c>
      <c r="AV372" s="37">
        <f t="shared" si="61"/>
        <v>0</v>
      </c>
      <c r="AW372" s="37"/>
    </row>
    <row r="373" spans="1:49" ht="15.75" hidden="1" customHeight="1" x14ac:dyDescent="0.25">
      <c r="A373" s="6" t="s">
        <v>4016</v>
      </c>
      <c r="B373" s="21" t="s">
        <v>4020</v>
      </c>
      <c r="C373" s="7">
        <v>1</v>
      </c>
      <c r="D373" s="39" t="s">
        <v>4021</v>
      </c>
      <c r="E373" s="7">
        <v>4258</v>
      </c>
      <c r="F373" s="7" t="s">
        <v>4019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5"/>
        <v>0.4</v>
      </c>
      <c r="S373" s="18">
        <f t="shared" si="53"/>
        <v>0</v>
      </c>
      <c r="T373" s="19">
        <f t="shared" si="58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59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57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4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0"/>
        <v>0</v>
      </c>
      <c r="AV373" s="37">
        <f t="shared" si="61"/>
        <v>0</v>
      </c>
      <c r="AW373" s="37"/>
    </row>
    <row r="374" spans="1:49" ht="15.75" hidden="1" customHeight="1" x14ac:dyDescent="0.25">
      <c r="A374" s="6" t="s">
        <v>4016</v>
      </c>
      <c r="B374" s="21" t="s">
        <v>4022</v>
      </c>
      <c r="C374" s="7">
        <v>1</v>
      </c>
      <c r="D374" s="39" t="s">
        <v>4023</v>
      </c>
      <c r="E374" s="7">
        <v>4259</v>
      </c>
      <c r="F374" s="7" t="s">
        <v>4019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5"/>
        <v>0.2</v>
      </c>
      <c r="S374" s="18">
        <f t="shared" ref="S374:S437" si="62">IFERROR(H374*AG374,"")</f>
        <v>0</v>
      </c>
      <c r="T374" s="19">
        <f t="shared" si="58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59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57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4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0"/>
        <v>0</v>
      </c>
      <c r="AV374" s="37">
        <f t="shared" si="61"/>
        <v>0</v>
      </c>
      <c r="AW374" s="37"/>
    </row>
    <row r="375" spans="1:49" ht="15.75" hidden="1" customHeight="1" x14ac:dyDescent="0.25">
      <c r="A375" s="6" t="s">
        <v>4016</v>
      </c>
      <c r="B375" s="21" t="s">
        <v>4022</v>
      </c>
      <c r="C375" s="7">
        <v>1</v>
      </c>
      <c r="D375" s="39" t="s">
        <v>4023</v>
      </c>
      <c r="E375" s="7">
        <v>4260</v>
      </c>
      <c r="F375" s="7" t="s">
        <v>4019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5"/>
        <v>0.2</v>
      </c>
      <c r="S375" s="18">
        <f t="shared" si="62"/>
        <v>0</v>
      </c>
      <c r="T375" s="19">
        <f t="shared" si="58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59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57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4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0"/>
        <v>0</v>
      </c>
      <c r="AV375" s="37">
        <f t="shared" si="61"/>
        <v>0</v>
      </c>
      <c r="AW375" s="37"/>
    </row>
    <row r="376" spans="1:49" ht="15.75" hidden="1" customHeight="1" x14ac:dyDescent="0.25">
      <c r="A376" s="6" t="s">
        <v>4016</v>
      </c>
      <c r="B376" s="21" t="s">
        <v>4024</v>
      </c>
      <c r="C376" s="7">
        <v>2</v>
      </c>
      <c r="D376" s="39" t="s">
        <v>4025</v>
      </c>
      <c r="E376" s="7">
        <v>4261</v>
      </c>
      <c r="F376" s="7" t="s">
        <v>4019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5"/>
        <v>7.8</v>
      </c>
      <c r="S376" s="18">
        <f t="shared" si="62"/>
        <v>0</v>
      </c>
      <c r="T376" s="19">
        <f t="shared" si="58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59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57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4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0"/>
        <v>0</v>
      </c>
      <c r="AV376" s="37">
        <f t="shared" si="61"/>
        <v>0</v>
      </c>
      <c r="AW376" s="37"/>
    </row>
    <row r="377" spans="1:49" ht="15.75" hidden="1" customHeight="1" x14ac:dyDescent="0.25">
      <c r="A377" s="6" t="s">
        <v>4016</v>
      </c>
      <c r="B377" s="21" t="s">
        <v>4024</v>
      </c>
      <c r="C377" s="7">
        <v>2</v>
      </c>
      <c r="D377" s="39" t="s">
        <v>4025</v>
      </c>
      <c r="E377" s="7">
        <v>4262</v>
      </c>
      <c r="F377" s="7" t="s">
        <v>4019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5"/>
        <v>7.8</v>
      </c>
      <c r="S377" s="18">
        <f t="shared" si="62"/>
        <v>0</v>
      </c>
      <c r="T377" s="19">
        <f t="shared" si="58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59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57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4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0"/>
        <v>0</v>
      </c>
      <c r="AV377" s="37">
        <f t="shared" si="61"/>
        <v>0</v>
      </c>
      <c r="AW377" s="37"/>
    </row>
    <row r="378" spans="1:49" ht="15.75" hidden="1" customHeight="1" x14ac:dyDescent="0.25">
      <c r="A378" s="6" t="s">
        <v>4016</v>
      </c>
      <c r="B378" s="21" t="s">
        <v>4026</v>
      </c>
      <c r="C378" s="7">
        <v>4</v>
      </c>
      <c r="D378" s="39" t="s">
        <v>4027</v>
      </c>
      <c r="E378" s="7">
        <v>4263</v>
      </c>
      <c r="F378" s="7" t="s">
        <v>4019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5"/>
        <v>9.1999999999999993</v>
      </c>
      <c r="S378" s="18">
        <f t="shared" si="62"/>
        <v>0</v>
      </c>
      <c r="T378" s="19">
        <f t="shared" si="58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59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57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4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0"/>
        <v>0</v>
      </c>
      <c r="AV378" s="37">
        <f t="shared" si="61"/>
        <v>0</v>
      </c>
      <c r="AW378" s="37"/>
    </row>
    <row r="379" spans="1:49" ht="15.75" hidden="1" customHeight="1" x14ac:dyDescent="0.25">
      <c r="A379" s="6" t="s">
        <v>4016</v>
      </c>
      <c r="B379" s="21" t="s">
        <v>4026</v>
      </c>
      <c r="C379" s="7">
        <v>4</v>
      </c>
      <c r="D379" s="39" t="s">
        <v>4027</v>
      </c>
      <c r="E379" s="7">
        <v>4264</v>
      </c>
      <c r="F379" s="7" t="s">
        <v>4019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5"/>
        <v>9.1999999999999993</v>
      </c>
      <c r="S379" s="18">
        <f t="shared" si="62"/>
        <v>0</v>
      </c>
      <c r="T379" s="19">
        <f t="shared" si="58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59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57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4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0"/>
        <v>0</v>
      </c>
      <c r="AV379" s="37">
        <f t="shared" si="61"/>
        <v>0</v>
      </c>
      <c r="AW379" s="37"/>
    </row>
    <row r="380" spans="1:49" ht="15.75" hidden="1" customHeight="1" x14ac:dyDescent="0.25">
      <c r="A380" s="6" t="s">
        <v>4016</v>
      </c>
      <c r="B380" s="21" t="s">
        <v>4028</v>
      </c>
      <c r="C380" s="7">
        <v>1</v>
      </c>
      <c r="D380" s="39" t="s">
        <v>4029</v>
      </c>
      <c r="E380" s="7">
        <v>4265</v>
      </c>
      <c r="F380" s="7" t="s">
        <v>4019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5"/>
        <v>4.3</v>
      </c>
      <c r="S380" s="18">
        <f t="shared" si="62"/>
        <v>0</v>
      </c>
      <c r="T380" s="19">
        <f t="shared" si="58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59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57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4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0"/>
        <v>0</v>
      </c>
      <c r="AV380" s="37">
        <f t="shared" si="61"/>
        <v>0</v>
      </c>
      <c r="AW380" s="37"/>
    </row>
    <row r="381" spans="1:49" ht="15.75" hidden="1" customHeight="1" x14ac:dyDescent="0.25">
      <c r="A381" s="6" t="s">
        <v>4016</v>
      </c>
      <c r="B381" s="21" t="s">
        <v>4028</v>
      </c>
      <c r="C381" s="7">
        <v>1</v>
      </c>
      <c r="D381" s="39" t="s">
        <v>4029</v>
      </c>
      <c r="E381" s="7">
        <v>4266</v>
      </c>
      <c r="F381" s="7" t="s">
        <v>4019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5"/>
        <v>4.3</v>
      </c>
      <c r="S381" s="18">
        <f t="shared" si="62"/>
        <v>0</v>
      </c>
      <c r="T381" s="19">
        <f t="shared" si="58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59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57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4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0"/>
        <v>0</v>
      </c>
      <c r="AV381" s="37">
        <f t="shared" si="61"/>
        <v>0</v>
      </c>
      <c r="AW381" s="37"/>
    </row>
    <row r="382" spans="1:49" ht="15.75" hidden="1" customHeight="1" x14ac:dyDescent="0.25">
      <c r="A382" s="6" t="s">
        <v>4016</v>
      </c>
      <c r="B382" s="21" t="s">
        <v>4030</v>
      </c>
      <c r="C382" s="7">
        <v>1</v>
      </c>
      <c r="D382" s="39" t="s">
        <v>4029</v>
      </c>
      <c r="E382" s="7">
        <v>4267</v>
      </c>
      <c r="F382" s="7" t="s">
        <v>4019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5"/>
        <v>4</v>
      </c>
      <c r="S382" s="18">
        <f t="shared" si="62"/>
        <v>0</v>
      </c>
      <c r="T382" s="19">
        <f t="shared" si="58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59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57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4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0"/>
        <v>0</v>
      </c>
      <c r="AV382" s="37">
        <f t="shared" si="61"/>
        <v>0</v>
      </c>
      <c r="AW382" s="37"/>
    </row>
    <row r="383" spans="1:49" ht="15.75" hidden="1" customHeight="1" x14ac:dyDescent="0.25">
      <c r="A383" s="6" t="s">
        <v>4016</v>
      </c>
      <c r="B383" s="21" t="s">
        <v>4030</v>
      </c>
      <c r="C383" s="7">
        <v>1</v>
      </c>
      <c r="D383" s="39" t="s">
        <v>4029</v>
      </c>
      <c r="E383" s="7">
        <v>4268</v>
      </c>
      <c r="F383" s="7" t="s">
        <v>4019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5"/>
        <v>4</v>
      </c>
      <c r="S383" s="18">
        <f t="shared" si="62"/>
        <v>0</v>
      </c>
      <c r="T383" s="19">
        <f t="shared" si="58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59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57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4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0"/>
        <v>0</v>
      </c>
      <c r="AV383" s="37">
        <f t="shared" si="61"/>
        <v>0</v>
      </c>
      <c r="AW383" s="37"/>
    </row>
    <row r="384" spans="1:49" ht="15.75" hidden="1" customHeight="1" x14ac:dyDescent="0.25">
      <c r="A384" s="6" t="s">
        <v>4031</v>
      </c>
      <c r="B384" s="21" t="s">
        <v>4032</v>
      </c>
      <c r="C384" s="7">
        <v>1</v>
      </c>
      <c r="D384" s="39" t="s">
        <v>4033</v>
      </c>
      <c r="E384" s="7">
        <v>4269</v>
      </c>
      <c r="F384" s="7" t="s">
        <v>3997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5"/>
        <v>11.21</v>
      </c>
      <c r="S384" s="18">
        <f t="shared" si="62"/>
        <v>0</v>
      </c>
      <c r="T384" s="19">
        <f t="shared" si="58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59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57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4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0"/>
        <v>0</v>
      </c>
      <c r="AV384" s="37">
        <f t="shared" si="61"/>
        <v>0</v>
      </c>
      <c r="AW384" s="37"/>
    </row>
    <row r="385" spans="1:49" ht="15.75" hidden="1" customHeight="1" x14ac:dyDescent="0.25">
      <c r="A385" s="6" t="s">
        <v>4031</v>
      </c>
      <c r="B385" s="21" t="s">
        <v>4032</v>
      </c>
      <c r="C385" s="7">
        <v>1</v>
      </c>
      <c r="D385" s="39" t="s">
        <v>4033</v>
      </c>
      <c r="E385" s="7">
        <v>4270</v>
      </c>
      <c r="F385" s="7" t="s">
        <v>3997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5"/>
        <v>11.21</v>
      </c>
      <c r="S385" s="18">
        <f t="shared" si="62"/>
        <v>0</v>
      </c>
      <c r="T385" s="19">
        <f t="shared" si="58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59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57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4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0"/>
        <v>0</v>
      </c>
      <c r="AV385" s="37">
        <f t="shared" si="61"/>
        <v>0</v>
      </c>
      <c r="AW385" s="37"/>
    </row>
    <row r="386" spans="1:49" ht="15.75" hidden="1" customHeight="1" x14ac:dyDescent="0.25">
      <c r="A386" s="6" t="s">
        <v>4031</v>
      </c>
      <c r="B386" s="21" t="s">
        <v>4034</v>
      </c>
      <c r="C386" s="7">
        <v>1</v>
      </c>
      <c r="D386" s="39" t="s">
        <v>4033</v>
      </c>
      <c r="E386" s="7">
        <v>4271</v>
      </c>
      <c r="F386" s="7" t="s">
        <v>3997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5"/>
        <v>10.639999999999999</v>
      </c>
      <c r="S386" s="18">
        <f t="shared" si="62"/>
        <v>0</v>
      </c>
      <c r="T386" s="19">
        <f t="shared" si="58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59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57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4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0"/>
        <v>0</v>
      </c>
      <c r="AV386" s="37">
        <f t="shared" si="61"/>
        <v>0</v>
      </c>
      <c r="AW386" s="37"/>
    </row>
    <row r="387" spans="1:49" ht="15.75" hidden="1" customHeight="1" x14ac:dyDescent="0.25">
      <c r="A387" s="6" t="s">
        <v>4031</v>
      </c>
      <c r="B387" s="21" t="s">
        <v>4034</v>
      </c>
      <c r="C387" s="7">
        <v>1</v>
      </c>
      <c r="D387" s="39" t="s">
        <v>4033</v>
      </c>
      <c r="E387" s="7">
        <v>4272</v>
      </c>
      <c r="F387" s="7" t="s">
        <v>3997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5"/>
        <v>10.639999999999999</v>
      </c>
      <c r="S387" s="18">
        <f t="shared" si="62"/>
        <v>0</v>
      </c>
      <c r="T387" s="19">
        <f t="shared" si="58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59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57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4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0"/>
        <v>0</v>
      </c>
      <c r="AV387" s="37">
        <f t="shared" si="61"/>
        <v>0</v>
      </c>
      <c r="AW387" s="37"/>
    </row>
    <row r="388" spans="1:49" ht="15.75" hidden="1" customHeight="1" x14ac:dyDescent="0.25">
      <c r="A388" s="6" t="s">
        <v>4031</v>
      </c>
      <c r="B388" s="21" t="s">
        <v>4035</v>
      </c>
      <c r="C388" s="7">
        <v>2</v>
      </c>
      <c r="D388" s="39" t="s">
        <v>4033</v>
      </c>
      <c r="E388" s="7">
        <v>4273</v>
      </c>
      <c r="F388" s="7" t="s">
        <v>3997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5"/>
        <v>30.21</v>
      </c>
      <c r="S388" s="18">
        <f t="shared" si="62"/>
        <v>0</v>
      </c>
      <c r="T388" s="19">
        <f t="shared" si="58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59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57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4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0"/>
        <v>0</v>
      </c>
      <c r="AV388" s="37">
        <f t="shared" si="61"/>
        <v>0</v>
      </c>
      <c r="AW388" s="37"/>
    </row>
    <row r="389" spans="1:49" ht="15.75" hidden="1" customHeight="1" x14ac:dyDescent="0.25">
      <c r="A389" s="6" t="s">
        <v>4031</v>
      </c>
      <c r="B389" s="21" t="s">
        <v>4035</v>
      </c>
      <c r="C389" s="7">
        <v>2</v>
      </c>
      <c r="D389" s="39" t="s">
        <v>4033</v>
      </c>
      <c r="E389" s="7">
        <v>4274</v>
      </c>
      <c r="F389" s="7" t="s">
        <v>3997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5"/>
        <v>30.21</v>
      </c>
      <c r="S389" s="18">
        <f t="shared" si="62"/>
        <v>0</v>
      </c>
      <c r="T389" s="19">
        <f t="shared" si="58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59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57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3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0"/>
        <v>0</v>
      </c>
      <c r="AV389" s="37">
        <f t="shared" si="61"/>
        <v>0</v>
      </c>
      <c r="AW389" s="37"/>
    </row>
    <row r="390" spans="1:49" ht="15.75" hidden="1" customHeight="1" x14ac:dyDescent="0.25">
      <c r="A390" s="6" t="s">
        <v>4031</v>
      </c>
      <c r="B390" s="21" t="s">
        <v>4036</v>
      </c>
      <c r="C390" s="7">
        <v>3</v>
      </c>
      <c r="D390" s="39" t="s">
        <v>3782</v>
      </c>
      <c r="E390" s="7">
        <v>4275</v>
      </c>
      <c r="F390" s="7" t="s">
        <v>3997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5"/>
        <v>58.199999999999996</v>
      </c>
      <c r="S390" s="18">
        <f t="shared" si="62"/>
        <v>0</v>
      </c>
      <c r="T390" s="19">
        <f t="shared" si="58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59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57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3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0"/>
        <v>0</v>
      </c>
      <c r="AV390" s="37">
        <f t="shared" si="61"/>
        <v>0</v>
      </c>
      <c r="AW390" s="37"/>
    </row>
    <row r="391" spans="1:49" ht="15.75" hidden="1" customHeight="1" x14ac:dyDescent="0.25">
      <c r="A391" s="6" t="s">
        <v>4031</v>
      </c>
      <c r="B391" s="21" t="s">
        <v>4036</v>
      </c>
      <c r="C391" s="7">
        <v>3</v>
      </c>
      <c r="D391" s="39" t="s">
        <v>3782</v>
      </c>
      <c r="E391" s="7">
        <v>4276</v>
      </c>
      <c r="F391" s="7" t="s">
        <v>3997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5"/>
        <v>58.199999999999996</v>
      </c>
      <c r="S391" s="18">
        <f t="shared" si="62"/>
        <v>0</v>
      </c>
      <c r="T391" s="19">
        <f t="shared" si="58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59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57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3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0"/>
        <v>0</v>
      </c>
      <c r="AV391" s="37">
        <f t="shared" si="61"/>
        <v>0</v>
      </c>
      <c r="AW391" s="37"/>
    </row>
    <row r="392" spans="1:49" ht="15.75" hidden="1" customHeight="1" x14ac:dyDescent="0.25">
      <c r="A392" s="6" t="s">
        <v>4031</v>
      </c>
      <c r="B392" s="21" t="s">
        <v>4037</v>
      </c>
      <c r="C392" s="7">
        <v>1</v>
      </c>
      <c r="D392" s="39" t="s">
        <v>3782</v>
      </c>
      <c r="E392" s="7">
        <v>4277</v>
      </c>
      <c r="F392" s="7" t="s">
        <v>3997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5"/>
        <v>19.399999999999999</v>
      </c>
      <c r="S392" s="18">
        <f t="shared" si="62"/>
        <v>0</v>
      </c>
      <c r="T392" s="19">
        <f t="shared" si="58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59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57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3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0"/>
        <v>0</v>
      </c>
      <c r="AV392" s="37">
        <f t="shared" si="61"/>
        <v>0</v>
      </c>
      <c r="AW392" s="37"/>
    </row>
    <row r="393" spans="1:49" ht="15.75" hidden="1" customHeight="1" x14ac:dyDescent="0.25">
      <c r="A393" s="6" t="s">
        <v>4031</v>
      </c>
      <c r="B393" s="21" t="s">
        <v>4037</v>
      </c>
      <c r="C393" s="7">
        <v>1</v>
      </c>
      <c r="D393" s="39" t="s">
        <v>3782</v>
      </c>
      <c r="E393" s="7">
        <v>4278</v>
      </c>
      <c r="F393" s="7" t="s">
        <v>3997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5"/>
        <v>19.399999999999999</v>
      </c>
      <c r="S393" s="18">
        <f t="shared" si="62"/>
        <v>0</v>
      </c>
      <c r="T393" s="19">
        <f t="shared" si="58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59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57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3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0"/>
        <v>0</v>
      </c>
      <c r="AV393" s="37">
        <f t="shared" si="61"/>
        <v>0</v>
      </c>
      <c r="AW393" s="37"/>
    </row>
    <row r="394" spans="1:49" ht="15.75" hidden="1" customHeight="1" x14ac:dyDescent="0.25">
      <c r="A394" s="6" t="s">
        <v>4031</v>
      </c>
      <c r="B394" s="21" t="s">
        <v>4038</v>
      </c>
      <c r="C394" s="7">
        <v>18</v>
      </c>
      <c r="D394" s="39" t="s">
        <v>3416</v>
      </c>
      <c r="E394" s="7">
        <v>4279</v>
      </c>
      <c r="F394" s="7" t="s">
        <v>3997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5"/>
        <v>2.6999999999999997</v>
      </c>
      <c r="S394" s="18">
        <f t="shared" si="62"/>
        <v>0</v>
      </c>
      <c r="T394" s="19">
        <f t="shared" si="58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59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57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3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0"/>
        <v>0</v>
      </c>
      <c r="AV394" s="37">
        <f t="shared" si="61"/>
        <v>0</v>
      </c>
      <c r="AW394" s="37"/>
    </row>
    <row r="395" spans="1:49" ht="15.75" hidden="1" customHeight="1" x14ac:dyDescent="0.25">
      <c r="A395" s="6" t="s">
        <v>4031</v>
      </c>
      <c r="B395" s="21" t="s">
        <v>4038</v>
      </c>
      <c r="C395" s="7">
        <v>18</v>
      </c>
      <c r="D395" s="39" t="s">
        <v>3416</v>
      </c>
      <c r="E395" s="7">
        <v>4280</v>
      </c>
      <c r="F395" s="7" t="s">
        <v>3997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5"/>
        <v>2.6999999999999997</v>
      </c>
      <c r="S395" s="18">
        <f t="shared" si="62"/>
        <v>0</v>
      </c>
      <c r="T395" s="19">
        <f t="shared" si="58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59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57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3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0"/>
        <v>0</v>
      </c>
      <c r="AV395" s="37">
        <f t="shared" si="61"/>
        <v>0</v>
      </c>
      <c r="AW395" s="37"/>
    </row>
    <row r="396" spans="1:49" ht="15.75" hidden="1" customHeight="1" x14ac:dyDescent="0.25">
      <c r="A396" s="6" t="s">
        <v>4039</v>
      </c>
      <c r="B396" s="21" t="s">
        <v>4040</v>
      </c>
      <c r="C396" s="7">
        <v>1</v>
      </c>
      <c r="D396" s="39" t="s">
        <v>4041</v>
      </c>
      <c r="E396" s="7">
        <v>4281</v>
      </c>
      <c r="F396" s="7" t="s">
        <v>4008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5"/>
        <v>252.60499999999996</v>
      </c>
      <c r="S396" s="18">
        <f t="shared" si="62"/>
        <v>0</v>
      </c>
      <c r="T396" s="19">
        <f t="shared" si="58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59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57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3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0"/>
        <v>0</v>
      </c>
      <c r="AV396" s="37">
        <f t="shared" si="61"/>
        <v>0</v>
      </c>
      <c r="AW396" s="37"/>
    </row>
    <row r="397" spans="1:49" ht="15.75" hidden="1" customHeight="1" x14ac:dyDescent="0.25">
      <c r="A397" s="6" t="s">
        <v>4039</v>
      </c>
      <c r="B397" s="21" t="s">
        <v>4040</v>
      </c>
      <c r="C397" s="7">
        <v>1</v>
      </c>
      <c r="D397" s="39" t="s">
        <v>4041</v>
      </c>
      <c r="E397" s="7">
        <v>4282</v>
      </c>
      <c r="F397" s="7" t="s">
        <v>4008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5"/>
        <v>252.60499999999996</v>
      </c>
      <c r="S397" s="18">
        <f t="shared" si="62"/>
        <v>0</v>
      </c>
      <c r="T397" s="19">
        <f t="shared" si="58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59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57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3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0"/>
        <v>0</v>
      </c>
      <c r="AV397" s="37">
        <f t="shared" si="61"/>
        <v>0</v>
      </c>
      <c r="AW397" s="37"/>
    </row>
    <row r="398" spans="1:49" ht="15.75" hidden="1" customHeight="1" x14ac:dyDescent="0.25">
      <c r="A398" s="6" t="s">
        <v>4042</v>
      </c>
      <c r="B398" s="21" t="s">
        <v>4043</v>
      </c>
      <c r="C398" s="7">
        <v>1</v>
      </c>
      <c r="D398" s="39" t="s">
        <v>4044</v>
      </c>
      <c r="E398" s="7">
        <v>4283</v>
      </c>
      <c r="F398" s="7" t="s">
        <v>4008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5"/>
        <v>15.8</v>
      </c>
      <c r="S398" s="18">
        <f t="shared" si="62"/>
        <v>0</v>
      </c>
      <c r="T398" s="19">
        <f t="shared" si="58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59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57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3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0"/>
        <v>0</v>
      </c>
      <c r="AV398" s="37">
        <f t="shared" si="61"/>
        <v>0</v>
      </c>
      <c r="AW398" s="37"/>
    </row>
    <row r="399" spans="1:49" ht="15.75" hidden="1" customHeight="1" x14ac:dyDescent="0.25">
      <c r="A399" s="6" t="s">
        <v>4042</v>
      </c>
      <c r="B399" s="21" t="s">
        <v>4043</v>
      </c>
      <c r="C399" s="7">
        <v>1</v>
      </c>
      <c r="D399" s="39" t="s">
        <v>4044</v>
      </c>
      <c r="E399" s="7">
        <v>4284</v>
      </c>
      <c r="F399" s="7" t="s">
        <v>4008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5"/>
        <v>15.8</v>
      </c>
      <c r="S399" s="18">
        <f t="shared" si="62"/>
        <v>0</v>
      </c>
      <c r="T399" s="19">
        <f t="shared" si="58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59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57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3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0"/>
        <v>0</v>
      </c>
      <c r="AV399" s="37">
        <f t="shared" si="61"/>
        <v>0</v>
      </c>
      <c r="AW399" s="37"/>
    </row>
    <row r="400" spans="1:49" ht="15.75" hidden="1" customHeight="1" x14ac:dyDescent="0.25">
      <c r="A400" s="6" t="s">
        <v>3774</v>
      </c>
      <c r="B400" s="21" t="s">
        <v>4003</v>
      </c>
      <c r="C400" s="7">
        <v>1</v>
      </c>
      <c r="D400" s="39" t="s">
        <v>4045</v>
      </c>
      <c r="E400" s="7">
        <v>4285</v>
      </c>
      <c r="F400" s="7" t="s">
        <v>3776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5"/>
        <v>49.5</v>
      </c>
      <c r="S400" s="18">
        <f t="shared" si="62"/>
        <v>49.5</v>
      </c>
      <c r="T400" s="19">
        <f t="shared" si="58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59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57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3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0"/>
        <v>49.5</v>
      </c>
      <c r="AV400" s="37">
        <f t="shared" si="61"/>
        <v>49.5</v>
      </c>
      <c r="AW400" s="37"/>
    </row>
    <row r="401" spans="1:49" ht="15.75" hidden="1" customHeight="1" x14ac:dyDescent="0.25">
      <c r="A401" s="6" t="s">
        <v>3774</v>
      </c>
      <c r="B401" s="21" t="s">
        <v>4003</v>
      </c>
      <c r="C401" s="7">
        <v>1</v>
      </c>
      <c r="D401" s="39" t="s">
        <v>4045</v>
      </c>
      <c r="E401" s="7">
        <v>4286</v>
      </c>
      <c r="F401" s="7" t="s">
        <v>3776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5"/>
        <v>49.5</v>
      </c>
      <c r="S401" s="18">
        <f t="shared" si="62"/>
        <v>49.5</v>
      </c>
      <c r="T401" s="19">
        <f t="shared" si="58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59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57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3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0"/>
        <v>49.5</v>
      </c>
      <c r="AV401" s="37">
        <f t="shared" si="61"/>
        <v>49.5</v>
      </c>
      <c r="AW401" s="37"/>
    </row>
    <row r="402" spans="1:49" ht="15.75" hidden="1" customHeight="1" x14ac:dyDescent="0.25">
      <c r="A402" s="6" t="s">
        <v>3905</v>
      </c>
      <c r="B402" s="21" t="s">
        <v>3906</v>
      </c>
      <c r="C402" s="7">
        <v>1</v>
      </c>
      <c r="D402" s="39" t="s">
        <v>3907</v>
      </c>
      <c r="E402" s="7">
        <v>4287</v>
      </c>
      <c r="F402" s="7" t="s">
        <v>3904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5"/>
        <v>282</v>
      </c>
      <c r="S402" s="18">
        <f t="shared" si="62"/>
        <v>282</v>
      </c>
      <c r="T402" s="19">
        <f t="shared" si="58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59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57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3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0"/>
        <v>282</v>
      </c>
      <c r="AV402" s="37">
        <f t="shared" si="61"/>
        <v>282</v>
      </c>
      <c r="AW402" s="37"/>
    </row>
    <row r="403" spans="1:49" ht="15.75" hidden="1" customHeight="1" x14ac:dyDescent="0.25">
      <c r="A403" s="6" t="s">
        <v>3905</v>
      </c>
      <c r="B403" s="21" t="s">
        <v>3906</v>
      </c>
      <c r="C403" s="7">
        <v>1</v>
      </c>
      <c r="D403" s="39" t="s">
        <v>3907</v>
      </c>
      <c r="E403" s="7">
        <v>4288</v>
      </c>
      <c r="F403" s="7" t="s">
        <v>3904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5"/>
        <v>282</v>
      </c>
      <c r="S403" s="18">
        <f t="shared" si="62"/>
        <v>282</v>
      </c>
      <c r="T403" s="19">
        <f t="shared" si="58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59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57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3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0"/>
        <v>282</v>
      </c>
      <c r="AV403" s="37">
        <f t="shared" si="61"/>
        <v>282</v>
      </c>
      <c r="AW403" s="37"/>
    </row>
    <row r="404" spans="1:49" ht="15.75" hidden="1" customHeight="1" x14ac:dyDescent="0.25">
      <c r="A404" s="6" t="s">
        <v>3813</v>
      </c>
      <c r="B404" s="21" t="s">
        <v>4046</v>
      </c>
      <c r="C404" s="7">
        <v>4</v>
      </c>
      <c r="D404" s="39" t="s">
        <v>4047</v>
      </c>
      <c r="E404" s="7">
        <v>4289</v>
      </c>
      <c r="F404" s="7" t="s">
        <v>3790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3791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5"/>
        <v>140.13470000000001</v>
      </c>
      <c r="S404" s="18">
        <f t="shared" si="62"/>
        <v>0</v>
      </c>
      <c r="T404" s="19">
        <f t="shared" si="58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59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57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3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0"/>
        <v>0</v>
      </c>
      <c r="AV404" s="37">
        <f t="shared" si="61"/>
        <v>0</v>
      </c>
      <c r="AW404" s="37"/>
    </row>
    <row r="405" spans="1:49" ht="15.75" hidden="1" customHeight="1" x14ac:dyDescent="0.25">
      <c r="A405" s="6" t="s">
        <v>3829</v>
      </c>
      <c r="B405" s="21" t="s">
        <v>4048</v>
      </c>
      <c r="C405" s="7">
        <v>4</v>
      </c>
      <c r="D405" s="39" t="s">
        <v>4049</v>
      </c>
      <c r="E405" s="7">
        <v>4290</v>
      </c>
      <c r="F405" s="7" t="s">
        <v>3790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3791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5"/>
        <v>140.5</v>
      </c>
      <c r="S405" s="18">
        <f t="shared" si="62"/>
        <v>0</v>
      </c>
      <c r="T405" s="19">
        <f t="shared" si="58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59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57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3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0"/>
        <v>0</v>
      </c>
      <c r="AV405" s="37">
        <f t="shared" si="61"/>
        <v>0</v>
      </c>
      <c r="AW405" s="37"/>
    </row>
    <row r="406" spans="1:49" ht="15.75" hidden="1" customHeight="1" x14ac:dyDescent="0.25">
      <c r="A406" s="6" t="s">
        <v>4050</v>
      </c>
      <c r="B406" s="21" t="s">
        <v>4051</v>
      </c>
      <c r="C406" s="7">
        <v>1</v>
      </c>
      <c r="D406" s="39" t="s">
        <v>4052</v>
      </c>
      <c r="E406" s="7">
        <v>4291</v>
      </c>
      <c r="F406" s="7" t="s">
        <v>4053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5"/>
        <v>57.6</v>
      </c>
      <c r="S406" s="18">
        <f t="shared" si="62"/>
        <v>0</v>
      </c>
      <c r="T406" s="19">
        <f t="shared" si="58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59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57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3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0"/>
        <v>0</v>
      </c>
      <c r="AV406" s="37">
        <f t="shared" si="61"/>
        <v>0</v>
      </c>
      <c r="AW406" s="37"/>
    </row>
    <row r="407" spans="1:49" ht="15.75" hidden="1" customHeight="1" x14ac:dyDescent="0.25">
      <c r="A407" s="6" t="s">
        <v>4050</v>
      </c>
      <c r="B407" s="21" t="s">
        <v>4051</v>
      </c>
      <c r="C407" s="7">
        <v>1</v>
      </c>
      <c r="D407" s="39" t="s">
        <v>4052</v>
      </c>
      <c r="E407" s="7">
        <v>4292</v>
      </c>
      <c r="F407" s="7" t="s">
        <v>4053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5"/>
        <v>57.6</v>
      </c>
      <c r="S407" s="18">
        <f t="shared" si="62"/>
        <v>0</v>
      </c>
      <c r="T407" s="19">
        <f t="shared" si="58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59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57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3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0"/>
        <v>0</v>
      </c>
      <c r="AV407" s="37">
        <f t="shared" si="61"/>
        <v>0</v>
      </c>
      <c r="AW407" s="37"/>
    </row>
    <row r="408" spans="1:49" ht="15.75" hidden="1" customHeight="1" x14ac:dyDescent="0.25">
      <c r="A408" s="6" t="s">
        <v>4050</v>
      </c>
      <c r="B408" s="21" t="s">
        <v>4054</v>
      </c>
      <c r="C408" s="7">
        <v>1</v>
      </c>
      <c r="D408" s="39" t="s">
        <v>4052</v>
      </c>
      <c r="E408" s="7">
        <v>4293</v>
      </c>
      <c r="F408" s="7" t="s">
        <v>4053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5"/>
        <v>44.8</v>
      </c>
      <c r="S408" s="18">
        <f t="shared" si="62"/>
        <v>0</v>
      </c>
      <c r="T408" s="19">
        <f t="shared" si="58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59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57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3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0"/>
        <v>0</v>
      </c>
      <c r="AV408" s="37">
        <f t="shared" si="61"/>
        <v>0</v>
      </c>
      <c r="AW408" s="37"/>
    </row>
    <row r="409" spans="1:49" ht="15.75" hidden="1" customHeight="1" x14ac:dyDescent="0.25">
      <c r="A409" s="6" t="s">
        <v>4050</v>
      </c>
      <c r="B409" s="21" t="s">
        <v>4054</v>
      </c>
      <c r="C409" s="7">
        <v>1</v>
      </c>
      <c r="D409" s="39" t="s">
        <v>4052</v>
      </c>
      <c r="E409" s="7">
        <v>4294</v>
      </c>
      <c r="F409" s="7" t="s">
        <v>4053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5"/>
        <v>44.8</v>
      </c>
      <c r="S409" s="18">
        <f t="shared" si="62"/>
        <v>0</v>
      </c>
      <c r="T409" s="19">
        <f t="shared" si="58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59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57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3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0"/>
        <v>0</v>
      </c>
      <c r="AV409" s="37">
        <f t="shared" si="61"/>
        <v>0</v>
      </c>
      <c r="AW409" s="37"/>
    </row>
    <row r="410" spans="1:49" ht="15.75" hidden="1" customHeight="1" x14ac:dyDescent="0.25">
      <c r="A410" s="6" t="s">
        <v>4050</v>
      </c>
      <c r="B410" s="21" t="s">
        <v>4055</v>
      </c>
      <c r="C410" s="7">
        <v>1</v>
      </c>
      <c r="D410" s="39" t="s">
        <v>4052</v>
      </c>
      <c r="E410" s="7">
        <v>4295</v>
      </c>
      <c r="F410" s="7" t="s">
        <v>4053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4">IFERROR(H410*((AA410*0.25)+(AC410*0.25)+(AD410*0.225)+(AE410*0.225)+(AF410*0.05)),"")</f>
        <v>57.1</v>
      </c>
      <c r="S410" s="18">
        <f t="shared" si="62"/>
        <v>0</v>
      </c>
      <c r="T410" s="19">
        <f t="shared" si="58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59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57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3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0"/>
        <v>0</v>
      </c>
      <c r="AV410" s="37">
        <f t="shared" si="61"/>
        <v>0</v>
      </c>
      <c r="AW410" s="37"/>
    </row>
    <row r="411" spans="1:49" ht="15.75" hidden="1" customHeight="1" x14ac:dyDescent="0.25">
      <c r="A411" s="6" t="s">
        <v>4050</v>
      </c>
      <c r="B411" s="21" t="s">
        <v>4055</v>
      </c>
      <c r="C411" s="7">
        <v>1</v>
      </c>
      <c r="D411" s="39" t="s">
        <v>4052</v>
      </c>
      <c r="E411" s="7">
        <v>4296</v>
      </c>
      <c r="F411" s="7" t="s">
        <v>4053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4"/>
        <v>57.1</v>
      </c>
      <c r="S411" s="18">
        <f t="shared" si="62"/>
        <v>0</v>
      </c>
      <c r="T411" s="19">
        <f t="shared" si="58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59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57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3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0"/>
        <v>0</v>
      </c>
      <c r="AV411" s="37">
        <f t="shared" si="61"/>
        <v>0</v>
      </c>
      <c r="AW411" s="37"/>
    </row>
    <row r="412" spans="1:49" ht="15.75" hidden="1" customHeight="1" x14ac:dyDescent="0.25">
      <c r="A412" s="6" t="s">
        <v>4050</v>
      </c>
      <c r="B412" s="21" t="s">
        <v>4056</v>
      </c>
      <c r="C412" s="7">
        <v>1</v>
      </c>
      <c r="D412" s="39" t="s">
        <v>4052</v>
      </c>
      <c r="E412" s="7">
        <v>4297</v>
      </c>
      <c r="F412" s="7" t="s">
        <v>4053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4"/>
        <v>42.4</v>
      </c>
      <c r="S412" s="18">
        <f t="shared" si="62"/>
        <v>0</v>
      </c>
      <c r="T412" s="19">
        <f t="shared" si="58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59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5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3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0"/>
        <v>0</v>
      </c>
      <c r="AV412" s="37">
        <f t="shared" si="61"/>
        <v>0</v>
      </c>
      <c r="AW412" s="37"/>
    </row>
    <row r="413" spans="1:49" ht="15.75" hidden="1" customHeight="1" x14ac:dyDescent="0.25">
      <c r="A413" s="6" t="s">
        <v>4050</v>
      </c>
      <c r="B413" s="21" t="s">
        <v>4056</v>
      </c>
      <c r="C413" s="7">
        <v>1</v>
      </c>
      <c r="D413" s="39" t="s">
        <v>4052</v>
      </c>
      <c r="E413" s="7">
        <v>4298</v>
      </c>
      <c r="F413" s="7" t="s">
        <v>4053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4"/>
        <v>42.4</v>
      </c>
      <c r="S413" s="18">
        <f t="shared" si="62"/>
        <v>0</v>
      </c>
      <c r="T413" s="19">
        <f t="shared" si="58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59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5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3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0"/>
        <v>0</v>
      </c>
      <c r="AV413" s="37">
        <f t="shared" si="61"/>
        <v>0</v>
      </c>
      <c r="AW413" s="37"/>
    </row>
    <row r="414" spans="1:49" ht="15.75" hidden="1" customHeight="1" x14ac:dyDescent="0.25">
      <c r="A414" s="6" t="s">
        <v>4050</v>
      </c>
      <c r="B414" s="21" t="s">
        <v>4057</v>
      </c>
      <c r="C414" s="7">
        <v>1</v>
      </c>
      <c r="D414" s="39" t="s">
        <v>4052</v>
      </c>
      <c r="E414" s="7">
        <v>4299</v>
      </c>
      <c r="F414" s="7" t="s">
        <v>4053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4"/>
        <v>40.700000000000003</v>
      </c>
      <c r="S414" s="18">
        <f t="shared" si="62"/>
        <v>0</v>
      </c>
      <c r="T414" s="19">
        <f t="shared" si="58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59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5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3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0"/>
        <v>0</v>
      </c>
      <c r="AV414" s="37">
        <f t="shared" si="61"/>
        <v>0</v>
      </c>
      <c r="AW414" s="37"/>
    </row>
    <row r="415" spans="1:49" ht="15.75" hidden="1" customHeight="1" x14ac:dyDescent="0.25">
      <c r="A415" s="6" t="s">
        <v>4050</v>
      </c>
      <c r="B415" s="21" t="s">
        <v>4057</v>
      </c>
      <c r="C415" s="7">
        <v>1</v>
      </c>
      <c r="D415" s="39" t="s">
        <v>4052</v>
      </c>
      <c r="E415" s="7">
        <v>4300</v>
      </c>
      <c r="F415" s="7" t="s">
        <v>4053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4"/>
        <v>40.700000000000003</v>
      </c>
      <c r="S415" s="18">
        <f t="shared" si="62"/>
        <v>0</v>
      </c>
      <c r="T415" s="19">
        <f t="shared" si="58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59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5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3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0"/>
        <v>0</v>
      </c>
      <c r="AV415" s="37">
        <f t="shared" si="61"/>
        <v>0</v>
      </c>
      <c r="AW415" s="37"/>
    </row>
    <row r="416" spans="1:49" ht="15.75" hidden="1" customHeight="1" x14ac:dyDescent="0.25">
      <c r="A416" s="6" t="s">
        <v>4058</v>
      </c>
      <c r="B416" s="21" t="s">
        <v>4059</v>
      </c>
      <c r="C416" s="7">
        <v>1</v>
      </c>
      <c r="D416" s="39" t="s">
        <v>4052</v>
      </c>
      <c r="E416" s="7">
        <v>4301</v>
      </c>
      <c r="F416" s="7" t="s">
        <v>4053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4"/>
        <v>57.7</v>
      </c>
      <c r="S416" s="18">
        <f t="shared" si="62"/>
        <v>0</v>
      </c>
      <c r="T416" s="19">
        <f t="shared" si="58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59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5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3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0"/>
        <v>0</v>
      </c>
      <c r="AV416" s="37">
        <f t="shared" si="61"/>
        <v>0</v>
      </c>
      <c r="AW416" s="37"/>
    </row>
    <row r="417" spans="1:49" ht="15.75" hidden="1" customHeight="1" x14ac:dyDescent="0.25">
      <c r="A417" s="6" t="s">
        <v>4058</v>
      </c>
      <c r="B417" s="21" t="s">
        <v>4059</v>
      </c>
      <c r="C417" s="7">
        <v>1</v>
      </c>
      <c r="D417" s="39" t="s">
        <v>4052</v>
      </c>
      <c r="E417" s="7">
        <v>4302</v>
      </c>
      <c r="F417" s="7" t="s">
        <v>4053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4"/>
        <v>57.7</v>
      </c>
      <c r="S417" s="18">
        <f t="shared" si="62"/>
        <v>0</v>
      </c>
      <c r="T417" s="19">
        <f t="shared" si="58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59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5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3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0"/>
        <v>0</v>
      </c>
      <c r="AV417" s="37">
        <f t="shared" si="61"/>
        <v>0</v>
      </c>
      <c r="AW417" s="37"/>
    </row>
    <row r="418" spans="1:49" ht="15.75" hidden="1" customHeight="1" x14ac:dyDescent="0.25">
      <c r="A418" s="6" t="s">
        <v>4058</v>
      </c>
      <c r="B418" s="21" t="s">
        <v>4060</v>
      </c>
      <c r="C418" s="7">
        <v>1</v>
      </c>
      <c r="D418" s="39" t="s">
        <v>4052</v>
      </c>
      <c r="E418" s="7">
        <v>4303</v>
      </c>
      <c r="F418" s="7" t="s">
        <v>4053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4"/>
        <v>47.2</v>
      </c>
      <c r="S418" s="18">
        <f t="shared" si="62"/>
        <v>0</v>
      </c>
      <c r="T418" s="19">
        <f t="shared" si="58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59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5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3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0"/>
        <v>0</v>
      </c>
      <c r="AV418" s="37">
        <f t="shared" si="61"/>
        <v>0</v>
      </c>
      <c r="AW418" s="37"/>
    </row>
    <row r="419" spans="1:49" ht="15.75" hidden="1" customHeight="1" x14ac:dyDescent="0.25">
      <c r="A419" s="6" t="s">
        <v>4058</v>
      </c>
      <c r="B419" s="21" t="s">
        <v>4060</v>
      </c>
      <c r="C419" s="7">
        <v>1</v>
      </c>
      <c r="D419" s="39" t="s">
        <v>4052</v>
      </c>
      <c r="E419" s="7">
        <v>4304</v>
      </c>
      <c r="F419" s="7" t="s">
        <v>4053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4"/>
        <v>47.2</v>
      </c>
      <c r="S419" s="18">
        <f t="shared" si="62"/>
        <v>0</v>
      </c>
      <c r="T419" s="19">
        <f t="shared" si="58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59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5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3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0"/>
        <v>0</v>
      </c>
      <c r="AV419" s="37">
        <f t="shared" si="61"/>
        <v>0</v>
      </c>
      <c r="AW419" s="37"/>
    </row>
    <row r="420" spans="1:49" ht="15.75" hidden="1" customHeight="1" x14ac:dyDescent="0.25">
      <c r="A420" s="6" t="s">
        <v>4058</v>
      </c>
      <c r="B420" s="21" t="s">
        <v>4061</v>
      </c>
      <c r="C420" s="7">
        <v>1</v>
      </c>
      <c r="D420" s="39" t="s">
        <v>4052</v>
      </c>
      <c r="E420" s="7">
        <v>4305</v>
      </c>
      <c r="F420" s="7" t="s">
        <v>4053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4"/>
        <v>38.4</v>
      </c>
      <c r="S420" s="18">
        <f t="shared" si="62"/>
        <v>0</v>
      </c>
      <c r="T420" s="19">
        <f t="shared" ref="T420:T439" si="66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67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5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3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0"/>
        <v>0</v>
      </c>
      <c r="AV420" s="37">
        <f t="shared" si="61"/>
        <v>0</v>
      </c>
      <c r="AW420" s="37"/>
    </row>
    <row r="421" spans="1:49" ht="15.75" hidden="1" customHeight="1" x14ac:dyDescent="0.25">
      <c r="A421" s="6" t="s">
        <v>4058</v>
      </c>
      <c r="B421" s="21" t="s">
        <v>4061</v>
      </c>
      <c r="C421" s="7">
        <v>1</v>
      </c>
      <c r="D421" s="39" t="s">
        <v>4052</v>
      </c>
      <c r="E421" s="7">
        <v>4306</v>
      </c>
      <c r="F421" s="7" t="s">
        <v>4053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4"/>
        <v>38.4</v>
      </c>
      <c r="S421" s="18">
        <f t="shared" si="62"/>
        <v>0</v>
      </c>
      <c r="T421" s="19">
        <f t="shared" si="66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67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5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3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68">IF(AH421="",0,IF(ISTEXT(AH421),H421*VALUE(SUBSTITUTE(AH421,"%",""))/100,H421*AH421))</f>
        <v>0</v>
      </c>
      <c r="AV421" s="37">
        <f t="shared" ref="AV421:AV439" si="69">IF(AG421="",0,IF(ISTEXT(AG421),H421*VALUE(SUBSTITUTE(AG421,"%",""))/100,H421*AG421))</f>
        <v>0</v>
      </c>
      <c r="AW421" s="37"/>
    </row>
    <row r="422" spans="1:49" ht="15.75" hidden="1" customHeight="1" x14ac:dyDescent="0.25">
      <c r="A422" s="6" t="s">
        <v>4058</v>
      </c>
      <c r="B422" s="21" t="s">
        <v>4062</v>
      </c>
      <c r="C422" s="7">
        <v>1</v>
      </c>
      <c r="D422" s="39" t="s">
        <v>4052</v>
      </c>
      <c r="E422" s="7">
        <v>4307</v>
      </c>
      <c r="F422" s="7" t="s">
        <v>4053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4"/>
        <v>42.7</v>
      </c>
      <c r="S422" s="18">
        <f t="shared" si="62"/>
        <v>0</v>
      </c>
      <c r="T422" s="19">
        <f t="shared" si="66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67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5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3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68"/>
        <v>0</v>
      </c>
      <c r="AV422" s="37">
        <f t="shared" si="69"/>
        <v>0</v>
      </c>
      <c r="AW422" s="37"/>
    </row>
    <row r="423" spans="1:49" ht="15.75" hidden="1" customHeight="1" x14ac:dyDescent="0.25">
      <c r="A423" s="6" t="s">
        <v>4058</v>
      </c>
      <c r="B423" s="21" t="s">
        <v>4062</v>
      </c>
      <c r="C423" s="7">
        <v>1</v>
      </c>
      <c r="D423" s="39" t="s">
        <v>4052</v>
      </c>
      <c r="E423" s="7">
        <v>4308</v>
      </c>
      <c r="F423" s="7" t="s">
        <v>4053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4"/>
        <v>42.7</v>
      </c>
      <c r="S423" s="18">
        <f t="shared" si="62"/>
        <v>0</v>
      </c>
      <c r="T423" s="19">
        <f t="shared" si="66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67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5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3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68"/>
        <v>0</v>
      </c>
      <c r="AV423" s="37">
        <f t="shared" si="69"/>
        <v>0</v>
      </c>
      <c r="AW423" s="37"/>
    </row>
    <row r="424" spans="1:49" ht="15.75" hidden="1" customHeight="1" x14ac:dyDescent="0.25">
      <c r="A424" s="6" t="s">
        <v>3765</v>
      </c>
      <c r="B424" s="21" t="s">
        <v>3772</v>
      </c>
      <c r="C424" s="7">
        <v>24</v>
      </c>
      <c r="D424" s="39" t="s">
        <v>3416</v>
      </c>
      <c r="E424" s="7">
        <v>4309</v>
      </c>
      <c r="F424" s="7" t="s">
        <v>3768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4"/>
        <v>72</v>
      </c>
      <c r="S424" s="18">
        <f t="shared" si="62"/>
        <v>0</v>
      </c>
      <c r="T424" s="19">
        <f t="shared" si="66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67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5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3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68"/>
        <v>0</v>
      </c>
      <c r="AV424" s="37">
        <f t="shared" si="69"/>
        <v>0</v>
      </c>
      <c r="AW424" s="37"/>
    </row>
    <row r="425" spans="1:49" ht="15.75" hidden="1" customHeight="1" x14ac:dyDescent="0.25">
      <c r="A425" s="6" t="s">
        <v>3765</v>
      </c>
      <c r="B425" s="21" t="s">
        <v>3772</v>
      </c>
      <c r="C425" s="7">
        <v>24</v>
      </c>
      <c r="D425" s="39" t="s">
        <v>3416</v>
      </c>
      <c r="E425" s="7">
        <v>4310</v>
      </c>
      <c r="F425" s="7" t="s">
        <v>3768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4"/>
        <v>36</v>
      </c>
      <c r="S425" s="18">
        <f t="shared" si="62"/>
        <v>0</v>
      </c>
      <c r="T425" s="19">
        <f t="shared" si="66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67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5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3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68"/>
        <v>0</v>
      </c>
      <c r="AV425" s="37">
        <f t="shared" si="69"/>
        <v>0</v>
      </c>
      <c r="AW425" s="37"/>
    </row>
    <row r="426" spans="1:49" ht="15.75" hidden="1" customHeight="1" x14ac:dyDescent="0.25">
      <c r="A426" s="6" t="s">
        <v>3850</v>
      </c>
      <c r="B426" s="21" t="s">
        <v>4063</v>
      </c>
      <c r="C426" s="7">
        <v>2</v>
      </c>
      <c r="D426" s="39" t="s">
        <v>3416</v>
      </c>
      <c r="E426" s="7">
        <v>4311</v>
      </c>
      <c r="F426" s="7" t="s">
        <v>3790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3791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4"/>
        <v>27.26</v>
      </c>
      <c r="S426" s="18">
        <f t="shared" si="62"/>
        <v>0</v>
      </c>
      <c r="T426" s="19">
        <f t="shared" si="66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67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5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3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68"/>
        <v>0</v>
      </c>
      <c r="AV426" s="37">
        <f t="shared" si="69"/>
        <v>0</v>
      </c>
      <c r="AW426" s="37"/>
    </row>
    <row r="427" spans="1:49" ht="15.75" hidden="1" customHeight="1" x14ac:dyDescent="0.25">
      <c r="A427" s="6" t="s">
        <v>3850</v>
      </c>
      <c r="B427" s="21" t="s">
        <v>4064</v>
      </c>
      <c r="C427" s="7">
        <v>2</v>
      </c>
      <c r="D427" s="39" t="s">
        <v>3416</v>
      </c>
      <c r="E427" s="7">
        <v>4312</v>
      </c>
      <c r="F427" s="7" t="s">
        <v>3790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3791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4"/>
        <v>41.034999999999997</v>
      </c>
      <c r="S427" s="18">
        <f t="shared" si="62"/>
        <v>0</v>
      </c>
      <c r="T427" s="19">
        <f t="shared" si="66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67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5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3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68"/>
        <v>0</v>
      </c>
      <c r="AV427" s="37">
        <f t="shared" si="69"/>
        <v>0</v>
      </c>
      <c r="AW427" s="37"/>
    </row>
    <row r="428" spans="1:49" ht="15.75" hidden="1" customHeight="1" x14ac:dyDescent="0.25">
      <c r="A428" s="6" t="s">
        <v>4065</v>
      </c>
      <c r="B428" s="21" t="s">
        <v>3775</v>
      </c>
      <c r="C428" s="7">
        <v>1</v>
      </c>
      <c r="D428" s="39" t="s">
        <v>3778</v>
      </c>
      <c r="E428" s="7">
        <v>4313</v>
      </c>
      <c r="F428" s="7" t="s">
        <v>4066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4"/>
        <v>20.804999999999996</v>
      </c>
      <c r="S428" s="18">
        <f t="shared" si="62"/>
        <v>0</v>
      </c>
      <c r="T428" s="19">
        <f t="shared" si="66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67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5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3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68"/>
        <v>0</v>
      </c>
      <c r="AV428" s="37">
        <f t="shared" si="69"/>
        <v>0</v>
      </c>
      <c r="AW428" s="37"/>
    </row>
    <row r="429" spans="1:49" ht="15.75" hidden="1" customHeight="1" x14ac:dyDescent="0.25">
      <c r="A429" s="6" t="s">
        <v>4065</v>
      </c>
      <c r="B429" s="21" t="s">
        <v>3777</v>
      </c>
      <c r="C429" s="7">
        <v>4</v>
      </c>
      <c r="D429" s="39" t="s">
        <v>4067</v>
      </c>
      <c r="E429" s="7">
        <v>4314</v>
      </c>
      <c r="F429" s="7" t="s">
        <v>4066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4"/>
        <v>1.2000000000000002</v>
      </c>
      <c r="S429" s="18">
        <f t="shared" si="62"/>
        <v>0</v>
      </c>
      <c r="T429" s="19">
        <f t="shared" si="66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67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5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3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68"/>
        <v>0</v>
      </c>
      <c r="AV429" s="37">
        <f t="shared" si="69"/>
        <v>0</v>
      </c>
      <c r="AW429" s="37"/>
    </row>
    <row r="430" spans="1:49" ht="15.75" hidden="1" customHeight="1" x14ac:dyDescent="0.25">
      <c r="A430" s="6" t="s">
        <v>4065</v>
      </c>
      <c r="B430" s="21" t="s">
        <v>3779</v>
      </c>
      <c r="C430" s="7">
        <v>4</v>
      </c>
      <c r="D430" s="39" t="s">
        <v>4068</v>
      </c>
      <c r="E430" s="7">
        <v>4315</v>
      </c>
      <c r="F430" s="7" t="s">
        <v>4066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4"/>
        <v>2.7</v>
      </c>
      <c r="S430" s="18">
        <f t="shared" si="62"/>
        <v>0</v>
      </c>
      <c r="T430" s="19">
        <f t="shared" si="66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67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5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3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68"/>
        <v>0</v>
      </c>
      <c r="AV430" s="37">
        <f t="shared" si="69"/>
        <v>0</v>
      </c>
      <c r="AW430" s="37"/>
    </row>
    <row r="431" spans="1:49" ht="15.75" hidden="1" customHeight="1" x14ac:dyDescent="0.25">
      <c r="A431" s="6" t="s">
        <v>4065</v>
      </c>
      <c r="B431" s="21" t="s">
        <v>3984</v>
      </c>
      <c r="C431" s="7">
        <v>1</v>
      </c>
      <c r="D431" s="39" t="s">
        <v>4069</v>
      </c>
      <c r="E431" s="7">
        <v>4316</v>
      </c>
      <c r="F431" s="7" t="s">
        <v>4066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4"/>
        <v>3.3000000000000003</v>
      </c>
      <c r="S431" s="18">
        <f t="shared" si="62"/>
        <v>0</v>
      </c>
      <c r="T431" s="19">
        <f t="shared" si="66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67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5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3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68"/>
        <v>0</v>
      </c>
      <c r="AV431" s="37">
        <f t="shared" si="69"/>
        <v>0</v>
      </c>
      <c r="AW431" s="37"/>
    </row>
    <row r="432" spans="1:49" ht="15.75" hidden="1" customHeight="1" x14ac:dyDescent="0.25">
      <c r="A432" s="6" t="s">
        <v>4065</v>
      </c>
      <c r="B432" s="21" t="s">
        <v>4003</v>
      </c>
      <c r="C432" s="7">
        <v>1</v>
      </c>
      <c r="D432" s="39" t="s">
        <v>4069</v>
      </c>
      <c r="E432" s="7">
        <v>4317</v>
      </c>
      <c r="F432" s="7" t="s">
        <v>4066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4"/>
        <v>2.9249999999999998</v>
      </c>
      <c r="S432" s="18">
        <f t="shared" si="62"/>
        <v>0</v>
      </c>
      <c r="T432" s="19">
        <f t="shared" si="66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67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5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3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68"/>
        <v>0</v>
      </c>
      <c r="AV432" s="37">
        <f t="shared" si="69"/>
        <v>0</v>
      </c>
      <c r="AW432" s="37"/>
    </row>
    <row r="433" spans="1:49" ht="15.75" hidden="1" customHeight="1" x14ac:dyDescent="0.25">
      <c r="A433" s="6" t="s">
        <v>4065</v>
      </c>
      <c r="B433" s="21" t="s">
        <v>3775</v>
      </c>
      <c r="C433" s="7">
        <v>1</v>
      </c>
      <c r="D433" s="39" t="s">
        <v>3778</v>
      </c>
      <c r="E433" s="7">
        <v>4318</v>
      </c>
      <c r="F433" s="7" t="s">
        <v>4066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4"/>
        <v>20.804999999999996</v>
      </c>
      <c r="S433" s="18">
        <f t="shared" si="62"/>
        <v>0</v>
      </c>
      <c r="T433" s="19">
        <f t="shared" si="66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67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5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3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68"/>
        <v>0</v>
      </c>
      <c r="AV433" s="37">
        <f t="shared" si="69"/>
        <v>0</v>
      </c>
      <c r="AW433" s="37"/>
    </row>
    <row r="434" spans="1:49" ht="15.75" hidden="1" customHeight="1" x14ac:dyDescent="0.25">
      <c r="A434" s="6" t="s">
        <v>4065</v>
      </c>
      <c r="B434" s="21" t="s">
        <v>3777</v>
      </c>
      <c r="C434" s="7">
        <v>4</v>
      </c>
      <c r="D434" s="39" t="s">
        <v>4067</v>
      </c>
      <c r="E434" s="7">
        <v>4319</v>
      </c>
      <c r="F434" s="7" t="s">
        <v>4066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4"/>
        <v>1.6</v>
      </c>
      <c r="S434" s="18">
        <f t="shared" si="62"/>
        <v>0</v>
      </c>
      <c r="T434" s="19">
        <f t="shared" si="66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67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5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3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68"/>
        <v>0</v>
      </c>
      <c r="AV434" s="37">
        <f t="shared" si="69"/>
        <v>0</v>
      </c>
      <c r="AW434" s="37"/>
    </row>
    <row r="435" spans="1:49" ht="15.75" hidden="1" customHeight="1" x14ac:dyDescent="0.25">
      <c r="A435" s="6" t="s">
        <v>4065</v>
      </c>
      <c r="B435" s="21" t="s">
        <v>3779</v>
      </c>
      <c r="C435" s="7">
        <v>4</v>
      </c>
      <c r="D435" s="39" t="s">
        <v>4068</v>
      </c>
      <c r="E435" s="7">
        <v>4320</v>
      </c>
      <c r="F435" s="7" t="s">
        <v>4066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4"/>
        <v>3.6</v>
      </c>
      <c r="S435" s="18">
        <f t="shared" si="62"/>
        <v>0</v>
      </c>
      <c r="T435" s="19">
        <f t="shared" si="66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67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5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3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68"/>
        <v>0</v>
      </c>
      <c r="AV435" s="37">
        <f t="shared" si="69"/>
        <v>0</v>
      </c>
      <c r="AW435" s="37"/>
    </row>
    <row r="436" spans="1:49" ht="15.75" hidden="1" customHeight="1" x14ac:dyDescent="0.25">
      <c r="A436" s="6" t="s">
        <v>4065</v>
      </c>
      <c r="B436" s="21" t="s">
        <v>3984</v>
      </c>
      <c r="C436" s="7">
        <v>1</v>
      </c>
      <c r="D436" s="39" t="s">
        <v>4069</v>
      </c>
      <c r="E436" s="7">
        <v>4321</v>
      </c>
      <c r="F436" s="7" t="s">
        <v>4066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4"/>
        <v>3.3000000000000003</v>
      </c>
      <c r="S436" s="18">
        <f t="shared" si="62"/>
        <v>0</v>
      </c>
      <c r="T436" s="19">
        <f t="shared" si="66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67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5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3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68"/>
        <v>0</v>
      </c>
      <c r="AV436" s="37">
        <f t="shared" si="69"/>
        <v>0</v>
      </c>
      <c r="AW436" s="37"/>
    </row>
    <row r="437" spans="1:49" ht="15.75" hidden="1" customHeight="1" x14ac:dyDescent="0.25">
      <c r="A437" s="6" t="s">
        <v>4065</v>
      </c>
      <c r="B437" s="21" t="s">
        <v>4003</v>
      </c>
      <c r="C437" s="7">
        <v>1</v>
      </c>
      <c r="D437" s="39" t="s">
        <v>4069</v>
      </c>
      <c r="E437" s="7">
        <v>4322</v>
      </c>
      <c r="F437" s="7" t="s">
        <v>4066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4"/>
        <v>2.9249999999999998</v>
      </c>
      <c r="S437" s="18">
        <f t="shared" si="62"/>
        <v>0</v>
      </c>
      <c r="T437" s="19">
        <f t="shared" si="66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67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5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3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68"/>
        <v>0</v>
      </c>
      <c r="AV437" s="37">
        <f t="shared" si="69"/>
        <v>0</v>
      </c>
      <c r="AW437" s="37"/>
    </row>
    <row r="438" spans="1:49" ht="15.75" hidden="1" customHeight="1" x14ac:dyDescent="0.25">
      <c r="A438" s="6" t="s">
        <v>3865</v>
      </c>
      <c r="B438" s="21" t="s">
        <v>4070</v>
      </c>
      <c r="C438" s="7">
        <v>2</v>
      </c>
      <c r="D438" s="39" t="s">
        <v>4071</v>
      </c>
      <c r="E438" s="7">
        <v>4323</v>
      </c>
      <c r="F438" s="7" t="s">
        <v>3790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3791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4"/>
        <v>6.4960000000000004</v>
      </c>
      <c r="S438" s="18">
        <f t="shared" ref="S438:S509" si="70">IFERROR(H438*AG438,"")</f>
        <v>0</v>
      </c>
      <c r="T438" s="19">
        <f t="shared" si="66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67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5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3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68"/>
        <v>0</v>
      </c>
      <c r="AV438" s="37">
        <f t="shared" si="69"/>
        <v>0</v>
      </c>
      <c r="AW438" s="37"/>
    </row>
    <row r="439" spans="1:49" ht="15.75" hidden="1" customHeight="1" x14ac:dyDescent="0.25">
      <c r="A439" s="6" t="s">
        <v>3865</v>
      </c>
      <c r="B439" s="21" t="s">
        <v>4072</v>
      </c>
      <c r="C439" s="7">
        <v>2</v>
      </c>
      <c r="D439" s="39" t="s">
        <v>4073</v>
      </c>
      <c r="E439" s="7">
        <v>4324</v>
      </c>
      <c r="F439" s="7" t="s">
        <v>3790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3791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4"/>
        <v>85.106589999999997</v>
      </c>
      <c r="S439" s="18">
        <f t="shared" si="70"/>
        <v>0</v>
      </c>
      <c r="T439" s="19">
        <f t="shared" si="66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67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5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3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68"/>
        <v>0</v>
      </c>
      <c r="AV439" s="37">
        <f t="shared" si="69"/>
        <v>0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4299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4300</v>
      </c>
      <c r="K440" s="8" t="s">
        <v>23</v>
      </c>
      <c r="L440" s="9" t="s">
        <v>4301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1">IFERROR(H440*((AA440*0.25)+(AC440*0.25)+(AD440*0.225)+(AE440*0.225)+(AF440*0.05)),"")</f>
        <v>43.5</v>
      </c>
      <c r="S440" s="18">
        <f t="shared" si="70"/>
        <v>0</v>
      </c>
      <c r="T440" s="19">
        <f t="shared" ref="T440" si="72">IFERROR(S440-H440,"")</f>
        <v>-60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3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/>
      <c r="AF440" s="33"/>
      <c r="AG440" s="33"/>
      <c r="AH440" s="33"/>
      <c r="AI440" s="33" t="str">
        <f t="shared" si="65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4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75">IF(AH440="",0,IF(ISTEXT(AH440),H440*VALUE(SUBSTITUTE(AH440,"%",""))/100,H440*AH440))</f>
        <v>0</v>
      </c>
      <c r="AV440" s="37">
        <f t="shared" ref="AV440" si="76">IF(AG440="",0,IF(ISTEXT(AG440),H440*VALUE(SUBSTITUTE(AG440,"%",""))/100,H440*AG440))</f>
        <v>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4302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4300</v>
      </c>
      <c r="K441" s="8" t="s">
        <v>23</v>
      </c>
      <c r="L441" s="9" t="s">
        <v>4301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2" si="77">IFERROR(H441*((AA441*0.25)+(AC441*0.25)+(AD441*0.225)+(AE441*0.225)+(AF441*0.05)),"")</f>
        <v>54.375</v>
      </c>
      <c r="S441" s="18">
        <f t="shared" si="70"/>
        <v>0</v>
      </c>
      <c r="T441" s="19">
        <f t="shared" ref="T441:T512" si="78">IFERROR(S441-H441,"")</f>
        <v>-75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79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/>
      <c r="AF441" s="33"/>
      <c r="AG441" s="33"/>
      <c r="AH441" s="33"/>
      <c r="AI441" s="33" t="str">
        <f t="shared" si="65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0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2" si="81">IF(AH441="",0,IF(ISTEXT(AH441),H441*VALUE(SUBSTITUTE(AH441,"%",""))/100,H441*AH441))</f>
        <v>0</v>
      </c>
      <c r="AV441" s="37">
        <f t="shared" ref="AV441:AV512" si="82">IF(AG441="",0,IF(ISTEXT(AG441),H441*VALUE(SUBSTITUTE(AG441,"%",""))/100,H441*AG441))</f>
        <v>0</v>
      </c>
      <c r="AW441" s="37"/>
    </row>
    <row r="442" spans="1:49" ht="15.75" hidden="1" customHeight="1" x14ac:dyDescent="0.25">
      <c r="A442" s="6" t="s">
        <v>4304</v>
      </c>
      <c r="B442" s="21" t="s">
        <v>4305</v>
      </c>
      <c r="C442" s="7">
        <v>4</v>
      </c>
      <c r="D442" s="39" t="s">
        <v>4306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4307</v>
      </c>
      <c r="K442" s="8" t="s">
        <v>32</v>
      </c>
      <c r="L442" s="9" t="s">
        <v>4308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77"/>
        <v>0</v>
      </c>
      <c r="S442" s="18">
        <f t="shared" si="70"/>
        <v>0</v>
      </c>
      <c r="T442" s="19">
        <f t="shared" si="78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79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5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0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1"/>
        <v>0</v>
      </c>
      <c r="AV442" s="37">
        <f t="shared" si="82"/>
        <v>0</v>
      </c>
      <c r="AW442" s="37"/>
    </row>
    <row r="443" spans="1:49" ht="15.75" hidden="1" customHeight="1" x14ac:dyDescent="0.25">
      <c r="A443" s="6" t="s">
        <v>4312</v>
      </c>
      <c r="B443" s="21" t="s">
        <v>4313</v>
      </c>
      <c r="C443" s="7">
        <v>8</v>
      </c>
      <c r="D443" s="39" t="s">
        <v>4315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4303</v>
      </c>
      <c r="J443" s="8" t="s">
        <v>3045</v>
      </c>
      <c r="K443" s="8" t="s">
        <v>4324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77"/>
        <v>0</v>
      </c>
      <c r="S443" s="18">
        <f t="shared" si="70"/>
        <v>0</v>
      </c>
      <c r="T443" s="19">
        <f t="shared" si="78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79"/>
        <v>-8</v>
      </c>
      <c r="Z443" s="20">
        <f>Tabela1[[#This Row],[PESO TOTAL]]-Tabela1[[#This Row],[Peso Expedido]]</f>
        <v>9.6</v>
      </c>
      <c r="AA443" s="17"/>
      <c r="AB443" s="33"/>
      <c r="AC443" s="33"/>
      <c r="AD443" s="33"/>
      <c r="AE443" s="33"/>
      <c r="AF443" s="33"/>
      <c r="AG443" s="33"/>
      <c r="AH443" s="33"/>
      <c r="AI443" s="33" t="str">
        <f t="shared" si="65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0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1"/>
        <v>0</v>
      </c>
      <c r="AV443" s="37">
        <f t="shared" si="82"/>
        <v>0</v>
      </c>
      <c r="AW443" s="37"/>
    </row>
    <row r="444" spans="1:49" ht="15.75" hidden="1" customHeight="1" x14ac:dyDescent="0.25">
      <c r="A444" s="6" t="s">
        <v>4312</v>
      </c>
      <c r="B444" s="21" t="s">
        <v>4313</v>
      </c>
      <c r="C444" s="7">
        <v>8</v>
      </c>
      <c r="D444" s="39" t="s">
        <v>4314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4303</v>
      </c>
      <c r="J444" s="8" t="s">
        <v>3045</v>
      </c>
      <c r="K444" s="8" t="s">
        <v>4324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77"/>
        <v>0</v>
      </c>
      <c r="S444" s="18">
        <f t="shared" si="70"/>
        <v>0</v>
      </c>
      <c r="T444" s="19">
        <f t="shared" si="78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79"/>
        <v>-8</v>
      </c>
      <c r="Z444" s="20">
        <f>Tabela1[[#This Row],[PESO TOTAL]]-Tabela1[[#This Row],[Peso Expedido]]</f>
        <v>91.2</v>
      </c>
      <c r="AA444" s="17"/>
      <c r="AB444" s="33"/>
      <c r="AC444" s="33"/>
      <c r="AD444" s="33"/>
      <c r="AE444" s="33"/>
      <c r="AF444" s="33"/>
      <c r="AG444" s="33"/>
      <c r="AH444" s="33"/>
      <c r="AI444" s="33" t="str">
        <f t="shared" si="65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0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1"/>
        <v>0</v>
      </c>
      <c r="AV444" s="37">
        <f t="shared" si="82"/>
        <v>0</v>
      </c>
      <c r="AW444" s="37"/>
    </row>
    <row r="445" spans="1:49" ht="15.75" hidden="1" customHeight="1" x14ac:dyDescent="0.25">
      <c r="A445" s="6" t="s">
        <v>4312</v>
      </c>
      <c r="B445" s="21" t="s">
        <v>4313</v>
      </c>
      <c r="C445" s="7">
        <v>4</v>
      </c>
      <c r="D445" s="39" t="s">
        <v>4316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4303</v>
      </c>
      <c r="J445" s="8" t="s">
        <v>3045</v>
      </c>
      <c r="K445" s="8" t="s">
        <v>4324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77"/>
        <v>0</v>
      </c>
      <c r="S445" s="18">
        <f t="shared" si="70"/>
        <v>0</v>
      </c>
      <c r="T445" s="19">
        <f t="shared" si="78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79"/>
        <v>-4</v>
      </c>
      <c r="Z445" s="20">
        <f>Tabela1[[#This Row],[PESO TOTAL]]-Tabela1[[#This Row],[Peso Expedido]]</f>
        <v>205.2</v>
      </c>
      <c r="AA445" s="17"/>
      <c r="AB445" s="33"/>
      <c r="AC445" s="33"/>
      <c r="AD445" s="33"/>
      <c r="AE445" s="33"/>
      <c r="AF445" s="33"/>
      <c r="AG445" s="33"/>
      <c r="AH445" s="33"/>
      <c r="AI445" s="33" t="str">
        <f t="shared" si="65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0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1"/>
        <v>0</v>
      </c>
      <c r="AV445" s="37">
        <f t="shared" si="82"/>
        <v>0</v>
      </c>
      <c r="AW445" s="37"/>
    </row>
    <row r="446" spans="1:49" ht="15.75" hidden="1" customHeight="1" x14ac:dyDescent="0.25">
      <c r="A446" s="6" t="s">
        <v>4312</v>
      </c>
      <c r="B446" s="21" t="s">
        <v>4313</v>
      </c>
      <c r="C446" s="7">
        <v>8</v>
      </c>
      <c r="D446" s="39" t="s">
        <v>4317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4303</v>
      </c>
      <c r="J446" s="8" t="s">
        <v>3045</v>
      </c>
      <c r="K446" s="8" t="s">
        <v>4324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77"/>
        <v>0</v>
      </c>
      <c r="S446" s="18">
        <f t="shared" si="70"/>
        <v>0</v>
      </c>
      <c r="T446" s="19">
        <f t="shared" si="78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79"/>
        <v>-8</v>
      </c>
      <c r="Z446" s="20">
        <f>Tabela1[[#This Row],[PESO TOTAL]]-Tabela1[[#This Row],[Peso Expedido]]</f>
        <v>38.4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5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0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1"/>
        <v>0</v>
      </c>
      <c r="AV446" s="37">
        <f t="shared" si="82"/>
        <v>0</v>
      </c>
      <c r="AW446" s="37"/>
    </row>
    <row r="447" spans="1:49" ht="15.75" hidden="1" customHeight="1" x14ac:dyDescent="0.25">
      <c r="A447" s="6" t="s">
        <v>4312</v>
      </c>
      <c r="B447" s="21" t="s">
        <v>4313</v>
      </c>
      <c r="C447" s="7">
        <v>4</v>
      </c>
      <c r="D447" s="39" t="s">
        <v>4318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4303</v>
      </c>
      <c r="J447" s="8" t="s">
        <v>3045</v>
      </c>
      <c r="K447" s="8" t="s">
        <v>4324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-4</v>
      </c>
      <c r="R447" s="18">
        <f t="shared" si="77"/>
        <v>0</v>
      </c>
      <c r="S447" s="18">
        <f t="shared" si="70"/>
        <v>0</v>
      </c>
      <c r="T447" s="19">
        <f t="shared" si="78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79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5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0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1"/>
        <v>0</v>
      </c>
      <c r="AV447" s="37">
        <f t="shared" si="82"/>
        <v>0</v>
      </c>
      <c r="AW447" s="37"/>
    </row>
    <row r="448" spans="1:49" ht="15.75" hidden="1" customHeight="1" x14ac:dyDescent="0.25">
      <c r="A448" s="6" t="s">
        <v>4312</v>
      </c>
      <c r="B448" s="21" t="s">
        <v>4313</v>
      </c>
      <c r="C448" s="7">
        <v>24</v>
      </c>
      <c r="D448" s="39" t="s">
        <v>4319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4303</v>
      </c>
      <c r="J448" s="8" t="s">
        <v>3045</v>
      </c>
      <c r="K448" s="8" t="s">
        <v>4324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-24</v>
      </c>
      <c r="R448" s="18">
        <f t="shared" si="77"/>
        <v>0</v>
      </c>
      <c r="S448" s="18">
        <f t="shared" si="70"/>
        <v>0</v>
      </c>
      <c r="T448" s="19">
        <f t="shared" si="78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79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5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0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1"/>
        <v>0</v>
      </c>
      <c r="AV448" s="37">
        <f t="shared" si="82"/>
        <v>0</v>
      </c>
      <c r="AW448" s="37"/>
    </row>
    <row r="449" spans="1:49" ht="15.75" hidden="1" customHeight="1" x14ac:dyDescent="0.25">
      <c r="A449" s="6" t="s">
        <v>4312</v>
      </c>
      <c r="B449" s="21" t="s">
        <v>4313</v>
      </c>
      <c r="C449" s="7">
        <v>1</v>
      </c>
      <c r="D449" s="39" t="s">
        <v>4320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4303</v>
      </c>
      <c r="J449" s="8" t="s">
        <v>3045</v>
      </c>
      <c r="K449" s="8" t="s">
        <v>4324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77"/>
        <v>0</v>
      </c>
      <c r="S449" s="18">
        <f t="shared" si="70"/>
        <v>0</v>
      </c>
      <c r="T449" s="19">
        <f t="shared" si="78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79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5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0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1"/>
        <v>0</v>
      </c>
      <c r="AV449" s="37">
        <f t="shared" si="82"/>
        <v>0</v>
      </c>
      <c r="AW449" s="37"/>
    </row>
    <row r="450" spans="1:49" ht="15.75" hidden="1" customHeight="1" x14ac:dyDescent="0.25">
      <c r="A450" s="6" t="s">
        <v>4312</v>
      </c>
      <c r="B450" s="21" t="s">
        <v>4313</v>
      </c>
      <c r="C450" s="7">
        <v>1</v>
      </c>
      <c r="D450" s="39" t="s">
        <v>4321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4303</v>
      </c>
      <c r="J450" s="8" t="s">
        <v>3045</v>
      </c>
      <c r="K450" s="8" t="s">
        <v>4324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-1</v>
      </c>
      <c r="R450" s="18">
        <f t="shared" si="77"/>
        <v>0</v>
      </c>
      <c r="S450" s="18">
        <f t="shared" si="70"/>
        <v>0</v>
      </c>
      <c r="T450" s="19">
        <f t="shared" si="78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79"/>
        <v>-1</v>
      </c>
      <c r="Z450" s="20">
        <f>Tabela1[[#This Row],[PESO TOTAL]]-Tabela1[[#This Row],[Peso Expedido]]</f>
        <v>2.6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5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0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1"/>
        <v>0</v>
      </c>
      <c r="AV450" s="37">
        <f t="shared" si="82"/>
        <v>0</v>
      </c>
      <c r="AW450" s="37"/>
    </row>
    <row r="451" spans="1:49" ht="15.75" hidden="1" customHeight="1" x14ac:dyDescent="0.25">
      <c r="A451" s="6" t="s">
        <v>4312</v>
      </c>
      <c r="B451" s="21" t="s">
        <v>4313</v>
      </c>
      <c r="C451" s="7">
        <v>1</v>
      </c>
      <c r="D451" s="39" t="s">
        <v>4322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4303</v>
      </c>
      <c r="J451" s="8" t="s">
        <v>3045</v>
      </c>
      <c r="K451" s="8" t="s">
        <v>4324</v>
      </c>
      <c r="L451" s="9" t="s">
        <v>2984</v>
      </c>
      <c r="M451" s="10">
        <v>46211</v>
      </c>
      <c r="N451" s="8" t="s">
        <v>38</v>
      </c>
      <c r="O451" s="12"/>
      <c r="P451" s="13"/>
      <c r="Q451" s="14">
        <f>Tabela1[[#This Row],[QTDE/ Fabricação]]-Tabela1[[#This Row],[QTE]]</f>
        <v>-1</v>
      </c>
      <c r="R451" s="18">
        <f t="shared" si="77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5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hidden="1" customHeight="1" x14ac:dyDescent="0.25">
      <c r="A452" s="6" t="s">
        <v>4312</v>
      </c>
      <c r="B452" s="21" t="s">
        <v>4313</v>
      </c>
      <c r="C452" s="7">
        <v>2</v>
      </c>
      <c r="D452" s="39" t="s">
        <v>4323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4303</v>
      </c>
      <c r="J452" s="8" t="s">
        <v>3045</v>
      </c>
      <c r="K452" s="8" t="s">
        <v>4324</v>
      </c>
      <c r="L452" s="9" t="s">
        <v>2984</v>
      </c>
      <c r="M452" s="10">
        <v>46211</v>
      </c>
      <c r="N452" s="8" t="s">
        <v>38</v>
      </c>
      <c r="O452" s="12"/>
      <c r="P452" s="13"/>
      <c r="Q452" s="14">
        <f>Tabela1[[#This Row],[QTDE/ Fabricação]]-Tabela1[[#This Row],[QTE]]</f>
        <v>-2</v>
      </c>
      <c r="R452" s="18">
        <f t="shared" si="77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5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hidden="1" customHeight="1" x14ac:dyDescent="0.25">
      <c r="A453" s="6" t="s">
        <v>4421</v>
      </c>
      <c r="B453" s="21" t="s">
        <v>4422</v>
      </c>
      <c r="C453" s="7">
        <v>1</v>
      </c>
      <c r="D453" s="39" t="s">
        <v>4423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4514</v>
      </c>
      <c r="J453" s="8" t="s">
        <v>3045</v>
      </c>
      <c r="K453" s="8" t="s">
        <v>31</v>
      </c>
      <c r="L453" s="9" t="s">
        <v>2984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</v>
      </c>
      <c r="R453" s="18">
        <f t="shared" si="77"/>
        <v>0</v>
      </c>
      <c r="S453" s="18">
        <f t="shared" ref="S453:S461" si="83">IFERROR(H453*AG453,"")</f>
        <v>0</v>
      </c>
      <c r="T453" s="19">
        <f t="shared" ref="T453:T461" si="84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5">U453-C453</f>
        <v>-1</v>
      </c>
      <c r="Z453" s="20">
        <v>-748.2</v>
      </c>
      <c r="AA453" s="33"/>
      <c r="AB453" s="33"/>
      <c r="AC453" s="33"/>
      <c r="AD453" s="33"/>
      <c r="AE453" s="33"/>
      <c r="AF453" s="33"/>
      <c r="AG453" s="33"/>
      <c r="AH453" s="28"/>
      <c r="AI453" s="33" t="str">
        <f t="shared" si="65"/>
        <v>ok</v>
      </c>
    </row>
    <row r="454" spans="1:49" ht="15.75" hidden="1" customHeight="1" x14ac:dyDescent="0.25">
      <c r="A454" s="6" t="s">
        <v>4424</v>
      </c>
      <c r="B454" s="21" t="s">
        <v>4425</v>
      </c>
      <c r="C454" s="7">
        <v>5</v>
      </c>
      <c r="D454" s="39" t="s">
        <v>4426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4445</v>
      </c>
      <c r="J454" s="8" t="s">
        <v>3045</v>
      </c>
      <c r="K454" s="8" t="s">
        <v>31</v>
      </c>
      <c r="L454" s="9" t="s">
        <v>2984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</v>
      </c>
      <c r="R454" s="18">
        <f t="shared" si="77"/>
        <v>0</v>
      </c>
      <c r="S454" s="18">
        <f t="shared" si="83"/>
        <v>0</v>
      </c>
      <c r="T454" s="19">
        <f t="shared" si="84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5"/>
        <v>-5</v>
      </c>
      <c r="Z454" s="20">
        <v>-3651</v>
      </c>
      <c r="AA454" s="33"/>
      <c r="AB454" s="33"/>
      <c r="AC454" s="33"/>
      <c r="AD454" s="33"/>
      <c r="AE454" s="33"/>
      <c r="AF454" s="33"/>
      <c r="AG454" s="33"/>
      <c r="AH454" s="28"/>
      <c r="AI454" s="33" t="str">
        <f t="shared" si="65"/>
        <v>ok</v>
      </c>
    </row>
    <row r="455" spans="1:49" ht="15.75" hidden="1" customHeight="1" x14ac:dyDescent="0.25">
      <c r="A455" s="6" t="s">
        <v>101</v>
      </c>
      <c r="B455" s="21"/>
      <c r="C455" s="7">
        <v>18</v>
      </c>
      <c r="D455" s="39" t="s">
        <v>146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4427</v>
      </c>
      <c r="K455" s="8" t="s">
        <v>23</v>
      </c>
      <c r="L455" s="9" t="s">
        <v>4428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-18</v>
      </c>
      <c r="R455" s="18">
        <f t="shared" si="77"/>
        <v>2.25</v>
      </c>
      <c r="S455" s="18">
        <f t="shared" si="83"/>
        <v>0</v>
      </c>
      <c r="T455" s="19">
        <f t="shared" si="84"/>
        <v>-18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5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/>
      <c r="AD455" s="33"/>
      <c r="AE455" s="33"/>
      <c r="AF455" s="33"/>
      <c r="AG455" s="33"/>
      <c r="AH455" s="28"/>
      <c r="AI455" s="33" t="str">
        <f t="shared" si="65"/>
        <v/>
      </c>
    </row>
    <row r="456" spans="1:49" ht="15.75" hidden="1" customHeight="1" x14ac:dyDescent="0.25">
      <c r="A456" s="6" t="s">
        <v>814</v>
      </c>
      <c r="B456" s="21"/>
      <c r="C456" s="7">
        <v>53</v>
      </c>
      <c r="D456" s="39" t="s">
        <v>4429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4427</v>
      </c>
      <c r="K456" s="8" t="s">
        <v>23</v>
      </c>
      <c r="L456" s="9" t="s">
        <v>4428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-53</v>
      </c>
      <c r="R456" s="18">
        <f t="shared" si="77"/>
        <v>34.450000000000003</v>
      </c>
      <c r="S456" s="18">
        <f t="shared" si="83"/>
        <v>0</v>
      </c>
      <c r="T456" s="19">
        <f t="shared" si="84"/>
        <v>-275.60000000000002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5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/>
      <c r="AD456" s="33"/>
      <c r="AE456" s="33"/>
      <c r="AF456" s="33"/>
      <c r="AG456" s="33"/>
      <c r="AH456" s="28"/>
      <c r="AI456" s="33" t="str">
        <f t="shared" si="65"/>
        <v/>
      </c>
    </row>
    <row r="457" spans="1:49" ht="15.75" hidden="1" customHeight="1" x14ac:dyDescent="0.25">
      <c r="A457" s="6" t="s">
        <v>4430</v>
      </c>
      <c r="B457" s="21" t="s">
        <v>4431</v>
      </c>
      <c r="C457" s="7">
        <v>7</v>
      </c>
      <c r="D457" s="39" t="s">
        <v>4432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746</v>
      </c>
      <c r="J457" s="8" t="s">
        <v>4427</v>
      </c>
      <c r="K457" s="8" t="s">
        <v>33</v>
      </c>
      <c r="L457" s="9" t="s">
        <v>4428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-7</v>
      </c>
      <c r="R457" s="18">
        <f t="shared" si="77"/>
        <v>16.712500000000002</v>
      </c>
      <c r="S457" s="18">
        <f t="shared" si="83"/>
        <v>0</v>
      </c>
      <c r="T457" s="19">
        <f t="shared" si="84"/>
        <v>-133.70000000000002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5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/>
      <c r="AD457" s="33"/>
      <c r="AE457" s="33"/>
      <c r="AF457" s="33"/>
      <c r="AG457" s="33"/>
      <c r="AH457" s="28"/>
      <c r="AI457" s="33" t="str">
        <f t="shared" si="65"/>
        <v/>
      </c>
    </row>
    <row r="458" spans="1:49" ht="15.75" hidden="1" customHeight="1" x14ac:dyDescent="0.25">
      <c r="A458" s="6" t="s">
        <v>4433</v>
      </c>
      <c r="B458" s="21" t="s">
        <v>4434</v>
      </c>
      <c r="C458" s="7">
        <v>6</v>
      </c>
      <c r="D458" s="39" t="s">
        <v>4435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746</v>
      </c>
      <c r="J458" s="8" t="s">
        <v>4427</v>
      </c>
      <c r="K458" s="8" t="s">
        <v>33</v>
      </c>
      <c r="L458" s="9" t="s">
        <v>4428</v>
      </c>
      <c r="M458" s="10">
        <v>46218</v>
      </c>
      <c r="N458" s="8" t="s">
        <v>38</v>
      </c>
      <c r="O458" s="14"/>
      <c r="P458" s="18"/>
      <c r="Q458" s="14">
        <f>Tabela1[[#This Row],[QTDE/ Fabricação]]-Tabela1[[#This Row],[QTE]]</f>
        <v>-6</v>
      </c>
      <c r="R458" s="18">
        <f t="shared" si="77"/>
        <v>13.649999999999999</v>
      </c>
      <c r="S458" s="18">
        <f t="shared" si="83"/>
        <v>0</v>
      </c>
      <c r="T458" s="19">
        <f t="shared" si="84"/>
        <v>-109.19999999999999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5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/>
      <c r="AD458" s="33"/>
      <c r="AE458" s="33"/>
      <c r="AF458" s="33"/>
      <c r="AG458" s="33"/>
      <c r="AH458" s="28"/>
      <c r="AI458" s="33" t="str">
        <f t="shared" si="65"/>
        <v/>
      </c>
    </row>
    <row r="459" spans="1:49" ht="15.75" hidden="1" customHeight="1" x14ac:dyDescent="0.25">
      <c r="A459" s="6" t="s">
        <v>4436</v>
      </c>
      <c r="B459" s="21" t="s">
        <v>4437</v>
      </c>
      <c r="C459" s="7">
        <v>8</v>
      </c>
      <c r="D459" s="39" t="s">
        <v>4441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746</v>
      </c>
      <c r="J459" s="8" t="s">
        <v>4427</v>
      </c>
      <c r="K459" s="8" t="s">
        <v>33</v>
      </c>
      <c r="L459" s="9" t="s">
        <v>4428</v>
      </c>
      <c r="M459" s="10">
        <v>46218</v>
      </c>
      <c r="N459" s="8" t="s">
        <v>38</v>
      </c>
      <c r="O459" s="14"/>
      <c r="P459" s="18"/>
      <c r="Q459" s="14">
        <f>Tabela1[[#This Row],[QTDE/ Fabricação]]-Tabela1[[#This Row],[QTE]]</f>
        <v>-8</v>
      </c>
      <c r="R459" s="18">
        <f t="shared" si="77"/>
        <v>6</v>
      </c>
      <c r="S459" s="18">
        <f t="shared" si="83"/>
        <v>0</v>
      </c>
      <c r="T459" s="19">
        <f t="shared" si="84"/>
        <v>-48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5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/>
      <c r="AD459" s="33"/>
      <c r="AE459" s="33"/>
      <c r="AF459" s="33"/>
      <c r="AG459" s="33"/>
      <c r="AH459" s="28"/>
      <c r="AI459" s="33" t="str">
        <f t="shared" si="65"/>
        <v/>
      </c>
    </row>
    <row r="460" spans="1:49" ht="15.75" hidden="1" customHeight="1" x14ac:dyDescent="0.25">
      <c r="A460" s="6" t="s">
        <v>4438</v>
      </c>
      <c r="B460" s="21" t="s">
        <v>4439</v>
      </c>
      <c r="C460" s="7">
        <v>14</v>
      </c>
      <c r="D460" s="39" t="s">
        <v>4440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746</v>
      </c>
      <c r="J460" s="8" t="s">
        <v>4427</v>
      </c>
      <c r="K460" s="8" t="s">
        <v>33</v>
      </c>
      <c r="L460" s="9" t="s">
        <v>4428</v>
      </c>
      <c r="M460" s="10">
        <v>46218</v>
      </c>
      <c r="N460" s="8" t="s">
        <v>38</v>
      </c>
      <c r="O460" s="14"/>
      <c r="P460" s="18"/>
      <c r="Q460" s="16">
        <f>Tabela1[[#This Row],[QTDE/ Fabricação]]-Tabela1[[#This Row],[QTE]]</f>
        <v>-14</v>
      </c>
      <c r="R460" s="18">
        <f t="shared" si="77"/>
        <v>8.75</v>
      </c>
      <c r="S460" s="18">
        <f t="shared" si="83"/>
        <v>0</v>
      </c>
      <c r="T460" s="19">
        <f t="shared" si="84"/>
        <v>-70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5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/>
      <c r="AD460" s="33"/>
      <c r="AE460" s="33"/>
      <c r="AF460" s="28"/>
      <c r="AG460" s="28"/>
      <c r="AH460" s="28"/>
      <c r="AI460" s="33" t="str">
        <f t="shared" si="65"/>
        <v/>
      </c>
    </row>
    <row r="461" spans="1:49" ht="15.75" hidden="1" customHeight="1" x14ac:dyDescent="0.25">
      <c r="A461" s="6" t="s">
        <v>4442</v>
      </c>
      <c r="B461" s="21" t="s">
        <v>4443</v>
      </c>
      <c r="C461" s="7">
        <v>23</v>
      </c>
      <c r="D461" s="39" t="s">
        <v>4444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746</v>
      </c>
      <c r="J461" s="8" t="s">
        <v>4427</v>
      </c>
      <c r="K461" s="8" t="s">
        <v>33</v>
      </c>
      <c r="L461" s="9" t="s">
        <v>4428</v>
      </c>
      <c r="M461" s="10">
        <v>46218</v>
      </c>
      <c r="N461" s="8" t="s">
        <v>38</v>
      </c>
      <c r="O461" s="14"/>
      <c r="P461" s="18"/>
      <c r="Q461" s="16">
        <f>Tabela1[[#This Row],[QTDE/ Fabricação]]-Tabela1[[#This Row],[QTE]]</f>
        <v>-23</v>
      </c>
      <c r="R461" s="18">
        <f t="shared" si="77"/>
        <v>17.25</v>
      </c>
      <c r="S461" s="18">
        <f t="shared" si="83"/>
        <v>0</v>
      </c>
      <c r="T461" s="19">
        <f t="shared" si="84"/>
        <v>-138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5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/>
      <c r="AD461" s="33"/>
      <c r="AE461" s="33"/>
      <c r="AF461" s="28"/>
      <c r="AG461" s="28"/>
      <c r="AH461" s="28"/>
      <c r="AI461" s="33" t="str">
        <f t="shared" si="65"/>
        <v/>
      </c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2547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77"/>
        <v>13.1</v>
      </c>
      <c r="S462" s="18">
        <f t="shared" si="70"/>
        <v>13.1</v>
      </c>
      <c r="T462" s="19">
        <f t="shared" si="78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79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4513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0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1"/>
        <v>13.1</v>
      </c>
      <c r="AV462" s="37">
        <f t="shared" si="82"/>
        <v>13.1</v>
      </c>
      <c r="AW462" s="37"/>
    </row>
    <row r="463" spans="1:49" ht="15.75" hidden="1" customHeight="1" x14ac:dyDescent="0.25">
      <c r="A463" s="6" t="s">
        <v>2546</v>
      </c>
      <c r="B463" s="21"/>
      <c r="C463" s="7">
        <v>1</v>
      </c>
      <c r="D463" s="39" t="s">
        <v>2548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2550</v>
      </c>
      <c r="K463" s="8" t="s">
        <v>46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77"/>
        <v>13.1</v>
      </c>
      <c r="S463" s="18">
        <f t="shared" si="70"/>
        <v>13.1</v>
      </c>
      <c r="T463" s="19">
        <f t="shared" si="78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79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4513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0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1"/>
        <v>13.1</v>
      </c>
      <c r="AV463" s="37">
        <f t="shared" si="82"/>
        <v>13.1</v>
      </c>
      <c r="AW463" s="37"/>
    </row>
    <row r="464" spans="1:49" ht="15.75" hidden="1" customHeight="1" x14ac:dyDescent="0.25">
      <c r="A464" s="6" t="s">
        <v>2546</v>
      </c>
      <c r="B464" s="21"/>
      <c r="C464" s="7">
        <v>1</v>
      </c>
      <c r="D464" s="39" t="s">
        <v>2549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2550</v>
      </c>
      <c r="K464" s="8" t="s">
        <v>46</v>
      </c>
      <c r="L464" s="9" t="s">
        <v>2551</v>
      </c>
      <c r="M464" s="10">
        <v>46125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77"/>
        <v>6.2</v>
      </c>
      <c r="S464" s="18">
        <f t="shared" si="70"/>
        <v>6.2</v>
      </c>
      <c r="T464" s="19">
        <f t="shared" si="78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79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4513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0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1"/>
        <v>6.2</v>
      </c>
      <c r="AV464" s="37">
        <f t="shared" si="82"/>
        <v>6.2</v>
      </c>
      <c r="AW464" s="37"/>
    </row>
    <row r="465" spans="1:49" ht="15.75" hidden="1" customHeight="1" x14ac:dyDescent="0.25">
      <c r="A465" s="6" t="s">
        <v>4331</v>
      </c>
      <c r="B465" s="21"/>
      <c r="C465" s="7">
        <v>1</v>
      </c>
      <c r="D465" s="39" t="s">
        <v>4332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46125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77"/>
        <v>17.5</v>
      </c>
      <c r="S465" s="18">
        <f t="shared" si="70"/>
        <v>17.5</v>
      </c>
      <c r="T465" s="19">
        <f t="shared" si="78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79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4513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0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1"/>
        <v>17.5</v>
      </c>
      <c r="AV465" s="37">
        <f t="shared" si="82"/>
        <v>17.5</v>
      </c>
      <c r="AW465" s="37"/>
    </row>
    <row r="466" spans="1:49" ht="15.75" hidden="1" customHeight="1" x14ac:dyDescent="0.25">
      <c r="A466" s="6" t="s">
        <v>2552</v>
      </c>
      <c r="B466" s="21"/>
      <c r="C466" s="7">
        <v>4</v>
      </c>
      <c r="D466" s="39" t="s">
        <v>4333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-4</v>
      </c>
      <c r="R466" s="18">
        <f t="shared" si="77"/>
        <v>344.4</v>
      </c>
      <c r="S466" s="18">
        <f t="shared" si="70"/>
        <v>344.4</v>
      </c>
      <c r="T466" s="19">
        <f t="shared" si="78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79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4513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0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1"/>
        <v>344.4</v>
      </c>
      <c r="AV466" s="37">
        <f t="shared" si="82"/>
        <v>344.4</v>
      </c>
      <c r="AW466" s="37"/>
    </row>
    <row r="467" spans="1:49" ht="15.75" hidden="1" customHeight="1" x14ac:dyDescent="0.25">
      <c r="A467" s="6" t="s">
        <v>2552</v>
      </c>
      <c r="B467" s="21"/>
      <c r="C467" s="7">
        <v>1</v>
      </c>
      <c r="D467" s="39" t="s">
        <v>4334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77"/>
        <v>1.4</v>
      </c>
      <c r="S467" s="18">
        <f t="shared" si="70"/>
        <v>1.4</v>
      </c>
      <c r="T467" s="19">
        <f t="shared" si="78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79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4513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0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1"/>
        <v>1.4</v>
      </c>
      <c r="AV467" s="37">
        <f t="shared" si="82"/>
        <v>1.4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4335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77"/>
        <v>4.5999999999999996</v>
      </c>
      <c r="S468" s="18">
        <f t="shared" si="70"/>
        <v>4.5999999999999996</v>
      </c>
      <c r="T468" s="19">
        <f t="shared" si="78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79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4513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0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1"/>
        <v>4.5999999999999996</v>
      </c>
      <c r="AV468" s="37">
        <f t="shared" si="82"/>
        <v>4.5999999999999996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4336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77"/>
        <v>50.8</v>
      </c>
      <c r="S469" s="18">
        <f t="shared" si="70"/>
        <v>50.8</v>
      </c>
      <c r="T469" s="19">
        <f t="shared" si="78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79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4513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0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1"/>
        <v>50.8</v>
      </c>
      <c r="AV469" s="37">
        <f t="shared" si="82"/>
        <v>50.8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4337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77"/>
        <v>1.1000000000000001</v>
      </c>
      <c r="S470" s="18">
        <f t="shared" si="70"/>
        <v>1.1000000000000001</v>
      </c>
      <c r="T470" s="19">
        <f t="shared" si="78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79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4513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0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1"/>
        <v>1.1000000000000001</v>
      </c>
      <c r="AV470" s="37">
        <f t="shared" si="82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</v>
      </c>
      <c r="D471" s="39" t="s">
        <v>4338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</v>
      </c>
      <c r="R471" s="18">
        <f t="shared" si="77"/>
        <v>23.6</v>
      </c>
      <c r="S471" s="18">
        <f t="shared" si="70"/>
        <v>23.6</v>
      </c>
      <c r="T471" s="19">
        <f t="shared" si="78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79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4513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0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1"/>
        <v>23.6</v>
      </c>
      <c r="AV471" s="37">
        <f t="shared" si="82"/>
        <v>23.6</v>
      </c>
      <c r="AW471" s="37"/>
    </row>
    <row r="472" spans="1:49" ht="15.75" hidden="1" customHeight="1" x14ac:dyDescent="0.25">
      <c r="A472" s="6" t="s">
        <v>2553</v>
      </c>
      <c r="B472" s="21"/>
      <c r="C472" s="7">
        <v>1</v>
      </c>
      <c r="D472" s="39" t="s">
        <v>4339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-1</v>
      </c>
      <c r="R472" s="18">
        <f t="shared" si="77"/>
        <v>1.1000000000000001</v>
      </c>
      <c r="S472" s="18">
        <f t="shared" si="70"/>
        <v>1.1000000000000001</v>
      </c>
      <c r="T472" s="19">
        <f t="shared" si="78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79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4513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0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1"/>
        <v>1.1000000000000001</v>
      </c>
      <c r="AV472" s="37">
        <f t="shared" si="82"/>
        <v>1.1000000000000001</v>
      </c>
      <c r="AW472" s="37"/>
    </row>
    <row r="473" spans="1:49" ht="15.75" hidden="1" customHeight="1" x14ac:dyDescent="0.25">
      <c r="A473" s="6" t="s">
        <v>2553</v>
      </c>
      <c r="B473" s="21"/>
      <c r="C473" s="7">
        <v>19</v>
      </c>
      <c r="D473" s="39" t="s">
        <v>2554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-19</v>
      </c>
      <c r="R473" s="18">
        <f t="shared" si="77"/>
        <v>133</v>
      </c>
      <c r="S473" s="18">
        <f t="shared" si="70"/>
        <v>133</v>
      </c>
      <c r="T473" s="19">
        <f t="shared" si="78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79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4513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0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1"/>
        <v>133</v>
      </c>
      <c r="AV473" s="37">
        <f t="shared" si="82"/>
        <v>133</v>
      </c>
      <c r="AW473" s="37"/>
    </row>
    <row r="474" spans="1:49" ht="15.75" hidden="1" customHeight="1" x14ac:dyDescent="0.25">
      <c r="A474" s="6" t="s">
        <v>2555</v>
      </c>
      <c r="B474" s="21"/>
      <c r="C474" s="7">
        <v>2</v>
      </c>
      <c r="D474" s="39" t="s">
        <v>2548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2550</v>
      </c>
      <c r="K474" s="8" t="s">
        <v>31</v>
      </c>
      <c r="L474" s="9" t="s">
        <v>2551</v>
      </c>
      <c r="M474" s="10">
        <v>46120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77"/>
        <v>8</v>
      </c>
      <c r="S474" s="18">
        <f t="shared" si="70"/>
        <v>8</v>
      </c>
      <c r="T474" s="19">
        <f t="shared" si="78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79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4513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0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1"/>
        <v>8</v>
      </c>
      <c r="AV474" s="37">
        <f t="shared" si="82"/>
        <v>8</v>
      </c>
      <c r="AW474" s="37"/>
    </row>
    <row r="475" spans="1:49" ht="15.75" hidden="1" customHeight="1" x14ac:dyDescent="0.25">
      <c r="A475" s="6" t="s">
        <v>2555</v>
      </c>
      <c r="B475" s="21"/>
      <c r="C475" s="7">
        <v>4</v>
      </c>
      <c r="D475" s="39" t="s">
        <v>2549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2550</v>
      </c>
      <c r="K475" s="8" t="s">
        <v>31</v>
      </c>
      <c r="L475" s="9" t="s">
        <v>2551</v>
      </c>
      <c r="M475" s="10">
        <v>46120</v>
      </c>
      <c r="N475" s="11" t="s">
        <v>38</v>
      </c>
      <c r="O475" s="12"/>
      <c r="P475" s="13"/>
      <c r="Q475" s="14">
        <f>Tabela1[[#This Row],[QTDE/ Fabricação]]-Tabela1[[#This Row],[QTE]]</f>
        <v>-4</v>
      </c>
      <c r="R475" s="18">
        <f t="shared" si="77"/>
        <v>16</v>
      </c>
      <c r="S475" s="18">
        <f t="shared" si="70"/>
        <v>16</v>
      </c>
      <c r="T475" s="19">
        <f t="shared" si="78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79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4513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0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1"/>
        <v>16</v>
      </c>
      <c r="AV475" s="37">
        <f t="shared" si="82"/>
        <v>16</v>
      </c>
      <c r="AW475" s="37"/>
    </row>
    <row r="476" spans="1:49" ht="15.75" hidden="1" customHeight="1" x14ac:dyDescent="0.25">
      <c r="A476" s="6" t="s">
        <v>4340</v>
      </c>
      <c r="B476" s="21"/>
      <c r="C476" s="7">
        <v>4</v>
      </c>
      <c r="D476" s="39" t="s">
        <v>4341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2550</v>
      </c>
      <c r="K476" s="8" t="s">
        <v>31</v>
      </c>
      <c r="L476" s="9" t="s">
        <v>2551</v>
      </c>
      <c r="M476" s="10">
        <v>46112</v>
      </c>
      <c r="N476" s="11" t="s">
        <v>38</v>
      </c>
      <c r="O476" s="12"/>
      <c r="P476" s="13"/>
      <c r="Q476" s="14">
        <f>Tabela1[[#This Row],[QTDE/ Fabricação]]-Tabela1[[#This Row],[QTE]]</f>
        <v>-4</v>
      </c>
      <c r="R476" s="18">
        <f t="shared" si="77"/>
        <v>95.2</v>
      </c>
      <c r="S476" s="18">
        <f t="shared" si="70"/>
        <v>95.2</v>
      </c>
      <c r="T476" s="19">
        <f t="shared" si="78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79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4513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0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1"/>
        <v>95.2</v>
      </c>
      <c r="AV476" s="37">
        <f t="shared" si="82"/>
        <v>95.2</v>
      </c>
      <c r="AW476" s="37"/>
    </row>
    <row r="477" spans="1:49" ht="15.75" hidden="1" customHeight="1" x14ac:dyDescent="0.25">
      <c r="A477" s="6" t="s">
        <v>4342</v>
      </c>
      <c r="B477" s="21"/>
      <c r="C477" s="7">
        <v>2</v>
      </c>
      <c r="D477" s="39" t="s">
        <v>4343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-2</v>
      </c>
      <c r="R477" s="18">
        <f t="shared" si="77"/>
        <v>114</v>
      </c>
      <c r="S477" s="18">
        <f t="shared" si="70"/>
        <v>114</v>
      </c>
      <c r="T477" s="19">
        <f t="shared" si="78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79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4513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0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1"/>
        <v>114</v>
      </c>
      <c r="AV477" s="37">
        <f t="shared" si="82"/>
        <v>114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2550</v>
      </c>
      <c r="K478" s="8" t="s">
        <v>32</v>
      </c>
      <c r="L478" s="9" t="s">
        <v>2551</v>
      </c>
      <c r="M478" s="10">
        <v>46134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77"/>
        <v>29.1</v>
      </c>
      <c r="S478" s="18">
        <f t="shared" si="70"/>
        <v>29.1</v>
      </c>
      <c r="T478" s="19">
        <f t="shared" si="78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79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4513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0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1"/>
        <v>29.1</v>
      </c>
      <c r="AV478" s="37">
        <f t="shared" si="82"/>
        <v>29.1</v>
      </c>
      <c r="AW478" s="37"/>
    </row>
    <row r="479" spans="1:49" ht="15.75" hidden="1" customHeight="1" x14ac:dyDescent="0.25">
      <c r="A479" s="6" t="s">
        <v>4346</v>
      </c>
      <c r="B479" s="21"/>
      <c r="C479" s="7">
        <v>1</v>
      </c>
      <c r="D479" s="39" t="s">
        <v>4347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2550</v>
      </c>
      <c r="K479" s="8" t="s">
        <v>32</v>
      </c>
      <c r="L479" s="9" t="s">
        <v>2551</v>
      </c>
      <c r="M479" s="10">
        <v>46134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77"/>
        <v>0.5</v>
      </c>
      <c r="S479" s="18">
        <f t="shared" si="70"/>
        <v>0.5</v>
      </c>
      <c r="T479" s="19">
        <f t="shared" si="78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79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4513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0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1"/>
        <v>0.5</v>
      </c>
      <c r="AV479" s="37">
        <f t="shared" si="82"/>
        <v>0.5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77"/>
        <v>5</v>
      </c>
      <c r="S480" s="18">
        <f t="shared" si="70"/>
        <v>5</v>
      </c>
      <c r="T480" s="19">
        <f t="shared" si="78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79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4513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0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1"/>
        <v>5</v>
      </c>
      <c r="AV480" s="37">
        <f t="shared" si="82"/>
        <v>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2550</v>
      </c>
      <c r="K481" s="8" t="s">
        <v>31</v>
      </c>
      <c r="L481" s="9" t="s">
        <v>2551</v>
      </c>
      <c r="M481" s="10">
        <v>46112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77"/>
        <v>2</v>
      </c>
      <c r="S481" s="18">
        <f t="shared" si="70"/>
        <v>2</v>
      </c>
      <c r="T481" s="19">
        <f t="shared" si="78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79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4513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0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1"/>
        <v>2</v>
      </c>
      <c r="AV481" s="37">
        <f t="shared" si="82"/>
        <v>2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4351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46112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77"/>
        <v>5.0999999999999996</v>
      </c>
      <c r="S482" s="18">
        <f t="shared" si="70"/>
        <v>5.0999999999999996</v>
      </c>
      <c r="T482" s="19">
        <f t="shared" si="78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79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4513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0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1"/>
        <v>5.0999999999999996</v>
      </c>
      <c r="AV482" s="37">
        <f t="shared" si="82"/>
        <v>5.0999999999999996</v>
      </c>
      <c r="AW482" s="37"/>
    </row>
    <row r="483" spans="1:49" ht="15.75" hidden="1" customHeight="1" x14ac:dyDescent="0.25">
      <c r="A483" s="6" t="s">
        <v>4352</v>
      </c>
      <c r="B483" s="21"/>
      <c r="C483" s="7">
        <v>1</v>
      </c>
      <c r="D483" s="39" t="s">
        <v>4353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2550</v>
      </c>
      <c r="K483" s="8" t="s">
        <v>22</v>
      </c>
      <c r="L483" s="9" t="s">
        <v>2551</v>
      </c>
      <c r="M483" s="10">
        <v>46119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77"/>
        <v>628.70000000000005</v>
      </c>
      <c r="S483" s="18">
        <f t="shared" si="70"/>
        <v>628.70000000000005</v>
      </c>
      <c r="T483" s="19">
        <f t="shared" si="78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79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4513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0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1"/>
        <v>628.70000000000005</v>
      </c>
      <c r="AV483" s="37">
        <f t="shared" si="82"/>
        <v>628.70000000000005</v>
      </c>
      <c r="AW483" s="37"/>
    </row>
    <row r="484" spans="1:49" ht="15.75" hidden="1" customHeight="1" x14ac:dyDescent="0.25">
      <c r="A484" s="6" t="s">
        <v>4352</v>
      </c>
      <c r="B484" s="21"/>
      <c r="C484" s="7">
        <v>1</v>
      </c>
      <c r="D484" s="39" t="s">
        <v>4354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2550</v>
      </c>
      <c r="K484" s="8" t="s">
        <v>22</v>
      </c>
      <c r="L484" s="9" t="s">
        <v>2551</v>
      </c>
      <c r="M484" s="10">
        <v>46119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77"/>
        <v>11.1</v>
      </c>
      <c r="S484" s="18">
        <f t="shared" si="70"/>
        <v>11.1</v>
      </c>
      <c r="T484" s="19">
        <f t="shared" si="78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79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4513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0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1"/>
        <v>11.1</v>
      </c>
      <c r="AV484" s="37">
        <f t="shared" si="82"/>
        <v>11.1</v>
      </c>
      <c r="AW484" s="37"/>
    </row>
    <row r="485" spans="1:49" ht="15.75" hidden="1" customHeight="1" x14ac:dyDescent="0.25">
      <c r="A485" s="6" t="s">
        <v>4355</v>
      </c>
      <c r="B485" s="21"/>
      <c r="C485" s="7">
        <v>1</v>
      </c>
      <c r="D485" s="39" t="s">
        <v>4356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77"/>
        <v>25.3</v>
      </c>
      <c r="S485" s="18">
        <f t="shared" si="70"/>
        <v>25.3</v>
      </c>
      <c r="T485" s="19">
        <f t="shared" si="78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79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4513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0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1"/>
        <v>25.3</v>
      </c>
      <c r="AV485" s="37">
        <f t="shared" si="82"/>
        <v>25.3</v>
      </c>
      <c r="AW485" s="37"/>
    </row>
    <row r="486" spans="1:49" ht="15.75" hidden="1" customHeight="1" x14ac:dyDescent="0.25">
      <c r="A486" s="6" t="s">
        <v>4355</v>
      </c>
      <c r="B486" s="21"/>
      <c r="C486" s="7">
        <v>1</v>
      </c>
      <c r="D486" s="39" t="s">
        <v>4357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77"/>
        <v>12.3</v>
      </c>
      <c r="S486" s="18">
        <f t="shared" si="70"/>
        <v>12.3</v>
      </c>
      <c r="T486" s="19">
        <f t="shared" si="78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79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4513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0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1"/>
        <v>12.3</v>
      </c>
      <c r="AV486" s="37">
        <f t="shared" si="82"/>
        <v>12.3</v>
      </c>
      <c r="AW486" s="37"/>
    </row>
    <row r="487" spans="1:49" ht="15.75" hidden="1" customHeight="1" x14ac:dyDescent="0.25">
      <c r="A487" s="6" t="s">
        <v>4355</v>
      </c>
      <c r="B487" s="21"/>
      <c r="C487" s="7">
        <v>1</v>
      </c>
      <c r="D487" s="39" t="s">
        <v>4358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77"/>
        <v>4.2</v>
      </c>
      <c r="S487" s="18">
        <f t="shared" si="70"/>
        <v>4.2</v>
      </c>
      <c r="T487" s="19">
        <f t="shared" si="78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79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4513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0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1"/>
        <v>4.2</v>
      </c>
      <c r="AV487" s="37">
        <f t="shared" si="82"/>
        <v>4.2</v>
      </c>
      <c r="AW487" s="37"/>
    </row>
    <row r="488" spans="1:49" ht="15.75" hidden="1" customHeight="1" x14ac:dyDescent="0.25">
      <c r="A488" s="6" t="s">
        <v>4355</v>
      </c>
      <c r="B488" s="21"/>
      <c r="C488" s="7">
        <v>1</v>
      </c>
      <c r="D488" s="39" t="s">
        <v>4359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-1</v>
      </c>
      <c r="R488" s="18">
        <f t="shared" si="77"/>
        <v>0.5</v>
      </c>
      <c r="S488" s="18">
        <f t="shared" si="70"/>
        <v>0.5</v>
      </c>
      <c r="T488" s="19">
        <f t="shared" si="78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79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4513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0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1"/>
        <v>0.5</v>
      </c>
      <c r="AV488" s="37">
        <f t="shared" si="82"/>
        <v>0.5</v>
      </c>
      <c r="AW488" s="37"/>
    </row>
    <row r="489" spans="1:49" ht="15.75" hidden="1" customHeight="1" x14ac:dyDescent="0.25">
      <c r="A489" s="6" t="s">
        <v>4355</v>
      </c>
      <c r="B489" s="21"/>
      <c r="C489" s="7">
        <v>1</v>
      </c>
      <c r="D489" s="39" t="s">
        <v>4360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77"/>
        <v>0.2</v>
      </c>
      <c r="S489" s="18">
        <f t="shared" si="70"/>
        <v>0.2</v>
      </c>
      <c r="T489" s="19">
        <f t="shared" si="78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79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4513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0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1"/>
        <v>0.2</v>
      </c>
      <c r="AV489" s="37">
        <f t="shared" si="82"/>
        <v>0.2</v>
      </c>
      <c r="AW489" s="37"/>
    </row>
    <row r="490" spans="1:49" ht="15.75" hidden="1" customHeight="1" x14ac:dyDescent="0.25">
      <c r="A490" s="6" t="s">
        <v>4355</v>
      </c>
      <c r="B490" s="21"/>
      <c r="C490" s="7">
        <v>2</v>
      </c>
      <c r="D490" s="39" t="s">
        <v>4361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-2</v>
      </c>
      <c r="R490" s="18">
        <f t="shared" si="77"/>
        <v>14</v>
      </c>
      <c r="S490" s="18">
        <f t="shared" si="70"/>
        <v>14</v>
      </c>
      <c r="T490" s="19">
        <f t="shared" si="78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79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4513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0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1"/>
        <v>14</v>
      </c>
      <c r="AV490" s="37">
        <f t="shared" si="82"/>
        <v>14</v>
      </c>
      <c r="AW490" s="37"/>
    </row>
    <row r="491" spans="1:49" ht="15.75" hidden="1" customHeight="1" x14ac:dyDescent="0.25">
      <c r="A491" s="6" t="s">
        <v>4355</v>
      </c>
      <c r="B491" s="21"/>
      <c r="C491" s="7">
        <v>2</v>
      </c>
      <c r="D491" s="39" t="s">
        <v>4362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-2</v>
      </c>
      <c r="R491" s="18">
        <f t="shared" si="77"/>
        <v>1.6</v>
      </c>
      <c r="S491" s="18">
        <f t="shared" si="70"/>
        <v>1.6</v>
      </c>
      <c r="T491" s="19">
        <f t="shared" si="78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79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4513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0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1"/>
        <v>1.6</v>
      </c>
      <c r="AV491" s="37">
        <f t="shared" si="82"/>
        <v>1.6</v>
      </c>
      <c r="AW491" s="37"/>
    </row>
    <row r="492" spans="1:49" ht="15.75" hidden="1" customHeight="1" x14ac:dyDescent="0.25">
      <c r="A492" s="6" t="s">
        <v>4355</v>
      </c>
      <c r="B492" s="21"/>
      <c r="C492" s="7">
        <v>1</v>
      </c>
      <c r="D492" s="39" t="s">
        <v>4363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77"/>
        <v>0.6</v>
      </c>
      <c r="S492" s="18">
        <f t="shared" si="70"/>
        <v>0.6</v>
      </c>
      <c r="T492" s="19">
        <f t="shared" si="78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79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4513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0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1"/>
        <v>0.6</v>
      </c>
      <c r="AV492" s="37">
        <f t="shared" si="82"/>
        <v>0.6</v>
      </c>
      <c r="AW492" s="37"/>
    </row>
    <row r="493" spans="1:49" ht="15.75" hidden="1" customHeight="1" x14ac:dyDescent="0.25">
      <c r="A493" s="6" t="s">
        <v>4355</v>
      </c>
      <c r="B493" s="21"/>
      <c r="C493" s="7">
        <v>1</v>
      </c>
      <c r="D493" s="39" t="s">
        <v>4364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77"/>
        <v>0.1</v>
      </c>
      <c r="S493" s="18">
        <f t="shared" si="70"/>
        <v>0.1</v>
      </c>
      <c r="T493" s="19">
        <f t="shared" si="78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79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4513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0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1"/>
        <v>0.1</v>
      </c>
      <c r="AV493" s="37">
        <f t="shared" si="82"/>
        <v>0.1</v>
      </c>
      <c r="AW493" s="37"/>
    </row>
    <row r="494" spans="1:49" ht="15.75" hidden="1" customHeight="1" x14ac:dyDescent="0.25">
      <c r="A494" s="6" t="s">
        <v>4355</v>
      </c>
      <c r="B494" s="21"/>
      <c r="C494" s="7">
        <v>1</v>
      </c>
      <c r="D494" s="39" t="s">
        <v>4365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77"/>
        <v>0.1</v>
      </c>
      <c r="S494" s="18">
        <f t="shared" si="70"/>
        <v>0.1</v>
      </c>
      <c r="T494" s="19">
        <f t="shared" si="78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79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4513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0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1"/>
        <v>0.1</v>
      </c>
      <c r="AV494" s="37">
        <f t="shared" si="82"/>
        <v>0.1</v>
      </c>
      <c r="AW494" s="37"/>
    </row>
    <row r="495" spans="1:49" ht="15.75" hidden="1" customHeight="1" x14ac:dyDescent="0.25">
      <c r="A495" s="6" t="s">
        <v>4355</v>
      </c>
      <c r="B495" s="21"/>
      <c r="C495" s="7">
        <v>1</v>
      </c>
      <c r="D495" s="39" t="s">
        <v>4366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77"/>
        <v>0.1</v>
      </c>
      <c r="S495" s="18">
        <f t="shared" si="70"/>
        <v>0.1</v>
      </c>
      <c r="T495" s="19">
        <f t="shared" si="78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79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4513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0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1"/>
        <v>0.1</v>
      </c>
      <c r="AV495" s="37">
        <f t="shared" si="82"/>
        <v>0.1</v>
      </c>
      <c r="AW495" s="37"/>
    </row>
    <row r="496" spans="1:49" ht="15.75" hidden="1" customHeight="1" x14ac:dyDescent="0.25">
      <c r="A496" s="6" t="s">
        <v>4367</v>
      </c>
      <c r="B496" s="21"/>
      <c r="C496" s="7">
        <v>1</v>
      </c>
      <c r="D496" s="39" t="s">
        <v>4368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2550</v>
      </c>
      <c r="K496" s="8" t="s">
        <v>45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77"/>
        <v>0.2</v>
      </c>
      <c r="S496" s="18">
        <f t="shared" si="70"/>
        <v>0.2</v>
      </c>
      <c r="T496" s="19">
        <f t="shared" si="78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79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4513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0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1"/>
        <v>0.2</v>
      </c>
      <c r="AV496" s="37">
        <f t="shared" si="82"/>
        <v>0.2</v>
      </c>
      <c r="AW496" s="37"/>
    </row>
    <row r="497" spans="1:49" ht="15.75" hidden="1" customHeight="1" x14ac:dyDescent="0.25">
      <c r="A497" s="6" t="s">
        <v>4367</v>
      </c>
      <c r="B497" s="21"/>
      <c r="C497" s="7">
        <v>1</v>
      </c>
      <c r="D497" s="39" t="s">
        <v>4369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77"/>
        <v>0.4</v>
      </c>
      <c r="S497" s="18">
        <f t="shared" si="70"/>
        <v>0.4</v>
      </c>
      <c r="T497" s="19">
        <f t="shared" si="78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79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4513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0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1"/>
        <v>0.4</v>
      </c>
      <c r="AV497" s="37">
        <f t="shared" si="82"/>
        <v>0.4</v>
      </c>
      <c r="AW497" s="37"/>
    </row>
    <row r="498" spans="1:49" ht="15.75" hidden="1" customHeight="1" x14ac:dyDescent="0.25">
      <c r="A498" s="6" t="s">
        <v>4367</v>
      </c>
      <c r="B498" s="21"/>
      <c r="C498" s="7">
        <v>1</v>
      </c>
      <c r="D498" s="39" t="s">
        <v>2557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77"/>
        <v>0.6</v>
      </c>
      <c r="S498" s="18">
        <f t="shared" si="70"/>
        <v>0.6</v>
      </c>
      <c r="T498" s="19">
        <f t="shared" si="78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79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4513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0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1"/>
        <v>0.6</v>
      </c>
      <c r="AV498" s="37">
        <f t="shared" si="82"/>
        <v>0.6</v>
      </c>
      <c r="AW498" s="37"/>
    </row>
    <row r="499" spans="1:49" ht="15.75" hidden="1" customHeight="1" x14ac:dyDescent="0.25">
      <c r="A499" s="6" t="s">
        <v>4367</v>
      </c>
      <c r="B499" s="21"/>
      <c r="C499" s="7">
        <v>1</v>
      </c>
      <c r="D499" s="39" t="s">
        <v>4370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77"/>
        <v>0.4</v>
      </c>
      <c r="S499" s="18">
        <f t="shared" si="70"/>
        <v>0.4</v>
      </c>
      <c r="T499" s="19">
        <f t="shared" si="78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79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4513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0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1"/>
        <v>0.4</v>
      </c>
      <c r="AV499" s="37">
        <f t="shared" si="82"/>
        <v>0.4</v>
      </c>
      <c r="AW499" s="37"/>
    </row>
    <row r="500" spans="1:49" ht="15.75" hidden="1" customHeight="1" x14ac:dyDescent="0.25">
      <c r="A500" s="6" t="s">
        <v>4367</v>
      </c>
      <c r="B500" s="21"/>
      <c r="C500" s="7">
        <v>1</v>
      </c>
      <c r="D500" s="39" t="s">
        <v>4371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77"/>
        <v>9</v>
      </c>
      <c r="S500" s="18">
        <f t="shared" si="70"/>
        <v>9</v>
      </c>
      <c r="T500" s="19">
        <f t="shared" si="78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79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4513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0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1"/>
        <v>9</v>
      </c>
      <c r="AV500" s="37">
        <f t="shared" si="82"/>
        <v>9</v>
      </c>
      <c r="AW500" s="37"/>
    </row>
    <row r="501" spans="1:49" ht="15.75" hidden="1" customHeight="1" x14ac:dyDescent="0.25">
      <c r="A501" s="6" t="s">
        <v>4367</v>
      </c>
      <c r="B501" s="21"/>
      <c r="C501" s="7">
        <v>2</v>
      </c>
      <c r="D501" s="39" t="s">
        <v>4372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2550</v>
      </c>
      <c r="K501" s="8" t="s">
        <v>31</v>
      </c>
      <c r="L501" s="9" t="s">
        <v>2551</v>
      </c>
      <c r="M501" s="10">
        <v>46123</v>
      </c>
      <c r="N501" s="11" t="s">
        <v>38</v>
      </c>
      <c r="O501" s="12"/>
      <c r="P501" s="13"/>
      <c r="Q501" s="14">
        <f>Tabela1[[#This Row],[QTDE/ Fabricação]]-Tabela1[[#This Row],[QTE]]</f>
        <v>-2</v>
      </c>
      <c r="R501" s="18">
        <f t="shared" si="77"/>
        <v>10</v>
      </c>
      <c r="S501" s="18">
        <f t="shared" si="70"/>
        <v>10</v>
      </c>
      <c r="T501" s="19">
        <f t="shared" si="78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79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4513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0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1"/>
        <v>10</v>
      </c>
      <c r="AV501" s="37">
        <f t="shared" si="82"/>
        <v>10</v>
      </c>
      <c r="AW501" s="37"/>
    </row>
    <row r="502" spans="1:49" ht="15.75" hidden="1" customHeight="1" x14ac:dyDescent="0.25">
      <c r="A502" s="6" t="s">
        <v>4367</v>
      </c>
      <c r="B502" s="21"/>
      <c r="C502" s="7">
        <v>1</v>
      </c>
      <c r="D502" s="39" t="s">
        <v>4373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2550</v>
      </c>
      <c r="K502" s="8" t="s">
        <v>31</v>
      </c>
      <c r="L502" s="9" t="s">
        <v>2551</v>
      </c>
      <c r="M502" s="10">
        <v>46123</v>
      </c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77"/>
        <v>23.4</v>
      </c>
      <c r="S502" s="18">
        <f t="shared" si="70"/>
        <v>23.4</v>
      </c>
      <c r="T502" s="19">
        <f t="shared" si="78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79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4513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0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1"/>
        <v>23.4</v>
      </c>
      <c r="AV502" s="37">
        <f t="shared" si="82"/>
        <v>23.4</v>
      </c>
      <c r="AW502" s="37"/>
    </row>
    <row r="503" spans="1:49" ht="15.75" hidden="1" customHeight="1" x14ac:dyDescent="0.25">
      <c r="A503" s="6" t="s">
        <v>4374</v>
      </c>
      <c r="B503" s="21"/>
      <c r="C503" s="7">
        <v>1</v>
      </c>
      <c r="D503" s="39" t="s">
        <v>4375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77"/>
        <v>51.7</v>
      </c>
      <c r="S503" s="18">
        <f t="shared" si="70"/>
        <v>51.7</v>
      </c>
      <c r="T503" s="19">
        <f t="shared" si="78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79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4513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0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1"/>
        <v>51.7</v>
      </c>
      <c r="AV503" s="37">
        <f t="shared" si="82"/>
        <v>51.7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77"/>
        <v>232.8</v>
      </c>
      <c r="S504" s="18">
        <f t="shared" si="70"/>
        <v>232.8</v>
      </c>
      <c r="T504" s="19">
        <f t="shared" si="78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79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4513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0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1"/>
        <v>232.8</v>
      </c>
      <c r="AV504" s="37">
        <f t="shared" si="82"/>
        <v>232.8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77"/>
        <v>62</v>
      </c>
      <c r="S505" s="18">
        <f t="shared" si="70"/>
        <v>62</v>
      </c>
      <c r="T505" s="19">
        <f t="shared" si="78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79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4513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0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1"/>
        <v>62</v>
      </c>
      <c r="AV505" s="37">
        <f t="shared" si="82"/>
        <v>62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77"/>
        <v>45.4</v>
      </c>
      <c r="S506" s="18">
        <f t="shared" si="70"/>
        <v>45.4</v>
      </c>
      <c r="T506" s="19">
        <f t="shared" si="78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79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4513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0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1"/>
        <v>45.4</v>
      </c>
      <c r="AV506" s="37">
        <f t="shared" si="82"/>
        <v>45.4</v>
      </c>
      <c r="AW506" s="37"/>
    </row>
    <row r="507" spans="1:49" ht="15.75" hidden="1" customHeight="1" x14ac:dyDescent="0.25">
      <c r="A507" s="6" t="s">
        <v>4382</v>
      </c>
      <c r="B507" s="21"/>
      <c r="C507" s="7">
        <v>2</v>
      </c>
      <c r="D507" s="39" t="s">
        <v>4383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-2</v>
      </c>
      <c r="R507" s="18">
        <f t="shared" si="77"/>
        <v>48</v>
      </c>
      <c r="S507" s="18">
        <f t="shared" si="70"/>
        <v>48</v>
      </c>
      <c r="T507" s="19">
        <f t="shared" si="78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79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4513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0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1"/>
        <v>48</v>
      </c>
      <c r="AV507" s="37">
        <f t="shared" si="82"/>
        <v>48</v>
      </c>
      <c r="AW507" s="37"/>
    </row>
    <row r="508" spans="1:49" ht="15.75" hidden="1" customHeight="1" x14ac:dyDescent="0.25">
      <c r="A508" s="6" t="s">
        <v>4384</v>
      </c>
      <c r="B508" s="21"/>
      <c r="C508" s="7">
        <v>1</v>
      </c>
      <c r="D508" s="39" t="s">
        <v>4385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77"/>
        <v>28.1</v>
      </c>
      <c r="S508" s="18">
        <f t="shared" si="70"/>
        <v>28.1</v>
      </c>
      <c r="T508" s="19">
        <f t="shared" si="78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79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4513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0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1"/>
        <v>28.1</v>
      </c>
      <c r="AV508" s="37">
        <f t="shared" si="82"/>
        <v>28.1</v>
      </c>
      <c r="AW508" s="37"/>
    </row>
    <row r="509" spans="1:49" ht="15.75" hidden="1" customHeight="1" x14ac:dyDescent="0.25">
      <c r="A509" s="6" t="s">
        <v>4384</v>
      </c>
      <c r="B509" s="21"/>
      <c r="C509" s="7">
        <v>1</v>
      </c>
      <c r="D509" s="39" t="s">
        <v>4386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77"/>
        <v>2.9</v>
      </c>
      <c r="S509" s="18">
        <f t="shared" si="70"/>
        <v>2.9</v>
      </c>
      <c r="T509" s="19">
        <f t="shared" si="78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79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4513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0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1"/>
        <v>2.9</v>
      </c>
      <c r="AV509" s="37">
        <f t="shared" si="82"/>
        <v>2.9</v>
      </c>
      <c r="AW509" s="37"/>
    </row>
    <row r="510" spans="1:49" ht="15.75" hidden="1" customHeight="1" x14ac:dyDescent="0.25">
      <c r="A510" s="6" t="s">
        <v>4384</v>
      </c>
      <c r="B510" s="21"/>
      <c r="C510" s="7">
        <v>1</v>
      </c>
      <c r="D510" s="39" t="s">
        <v>4387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77"/>
        <v>3.3</v>
      </c>
      <c r="S510" s="18">
        <f t="shared" ref="S510:S573" si="86">IFERROR(H510*AG510,"")</f>
        <v>3.3</v>
      </c>
      <c r="T510" s="19">
        <f t="shared" si="78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79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4513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0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1"/>
        <v>3.3</v>
      </c>
      <c r="AV510" s="37">
        <f t="shared" si="82"/>
        <v>3.3</v>
      </c>
      <c r="AW510" s="37"/>
    </row>
    <row r="511" spans="1:49" ht="15.75" hidden="1" customHeight="1" x14ac:dyDescent="0.25">
      <c r="A511" s="6" t="s">
        <v>4384</v>
      </c>
      <c r="B511" s="21"/>
      <c r="C511" s="7">
        <v>1</v>
      </c>
      <c r="D511" s="39" t="s">
        <v>4388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77"/>
        <v>0.1</v>
      </c>
      <c r="S511" s="18">
        <f t="shared" si="86"/>
        <v>0.1</v>
      </c>
      <c r="T511" s="19">
        <f t="shared" si="78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79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4513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0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1"/>
        <v>0.1</v>
      </c>
      <c r="AV511" s="37">
        <f t="shared" si="82"/>
        <v>0.1</v>
      </c>
      <c r="AW511" s="37"/>
    </row>
    <row r="512" spans="1:49" ht="15.75" hidden="1" customHeight="1" x14ac:dyDescent="0.25">
      <c r="A512" s="6" t="s">
        <v>4384</v>
      </c>
      <c r="B512" s="21"/>
      <c r="C512" s="7">
        <v>1</v>
      </c>
      <c r="D512" s="39" t="s">
        <v>4389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77"/>
        <v>0.1</v>
      </c>
      <c r="S512" s="18">
        <f t="shared" si="86"/>
        <v>0.1</v>
      </c>
      <c r="T512" s="19">
        <f t="shared" si="78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79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4513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0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1"/>
        <v>0.1</v>
      </c>
      <c r="AV512" s="37">
        <f t="shared" si="82"/>
        <v>0.1</v>
      </c>
      <c r="AW512" s="37"/>
    </row>
    <row r="513" spans="1:49" ht="15.75" hidden="1" customHeight="1" x14ac:dyDescent="0.25">
      <c r="A513" s="6" t="s">
        <v>4384</v>
      </c>
      <c r="B513" s="21"/>
      <c r="C513" s="7">
        <v>1</v>
      </c>
      <c r="D513" s="39" t="s">
        <v>4390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ref="R513:R576" si="87">IFERROR(H513*((AA513*0.25)+(AC513*0.25)+(AD513*0.225)+(AE513*0.225)+(AF513*0.05)),"")</f>
        <v>0.1</v>
      </c>
      <c r="S513" s="18">
        <f t="shared" si="86"/>
        <v>0.1</v>
      </c>
      <c r="T513" s="19">
        <f t="shared" ref="T513:T576" si="88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89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4513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0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1">IF(AH513="",0,IF(ISTEXT(AH513),H513*VALUE(SUBSTITUTE(AH513,"%",""))/100,H513*AH513))</f>
        <v>0.1</v>
      </c>
      <c r="AV513" s="37">
        <f t="shared" ref="AV513:AV576" si="92">IF(AG513="",0,IF(ISTEXT(AG513),H513*VALUE(SUBSTITUTE(AG513,"%",""))/100,H513*AG513))</f>
        <v>0.1</v>
      </c>
      <c r="AW513" s="37"/>
    </row>
    <row r="514" spans="1:49" ht="15.75" hidden="1" customHeight="1" x14ac:dyDescent="0.25">
      <c r="A514" s="6" t="s">
        <v>4384</v>
      </c>
      <c r="B514" s="21"/>
      <c r="C514" s="7">
        <v>1</v>
      </c>
      <c r="D514" s="39" t="s">
        <v>4391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87"/>
        <v>0.1</v>
      </c>
      <c r="S514" s="18">
        <f t="shared" si="86"/>
        <v>0.1</v>
      </c>
      <c r="T514" s="19">
        <f t="shared" si="88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89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4513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0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1"/>
        <v>0.1</v>
      </c>
      <c r="AV514" s="37">
        <f t="shared" si="92"/>
        <v>0.1</v>
      </c>
      <c r="AW514" s="37"/>
    </row>
    <row r="515" spans="1:49" ht="15.75" hidden="1" customHeight="1" x14ac:dyDescent="0.25">
      <c r="A515" s="6" t="s">
        <v>4384</v>
      </c>
      <c r="B515" s="21"/>
      <c r="C515" s="7">
        <v>1</v>
      </c>
      <c r="D515" s="39" t="s">
        <v>4392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87"/>
        <v>0.1</v>
      </c>
      <c r="S515" s="18">
        <f t="shared" si="86"/>
        <v>0.1</v>
      </c>
      <c r="T515" s="19">
        <f t="shared" si="88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89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4513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0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1"/>
        <v>0.1</v>
      </c>
      <c r="AV515" s="37">
        <f t="shared" si="92"/>
        <v>0.1</v>
      </c>
      <c r="AW515" s="37"/>
    </row>
    <row r="516" spans="1:49" ht="15.75" hidden="1" customHeight="1" x14ac:dyDescent="0.25">
      <c r="A516" s="6" t="s">
        <v>4384</v>
      </c>
      <c r="B516" s="21"/>
      <c r="C516" s="7">
        <v>1</v>
      </c>
      <c r="D516" s="39" t="s">
        <v>4393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87"/>
        <v>0.1</v>
      </c>
      <c r="S516" s="18">
        <f t="shared" si="86"/>
        <v>0.1</v>
      </c>
      <c r="T516" s="19">
        <f t="shared" si="88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89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4513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0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1"/>
        <v>0.1</v>
      </c>
      <c r="AV516" s="37">
        <f t="shared" si="92"/>
        <v>0.1</v>
      </c>
      <c r="AW516" s="37"/>
    </row>
    <row r="517" spans="1:49" ht="15.75" hidden="1" customHeight="1" x14ac:dyDescent="0.25">
      <c r="A517" s="6" t="s">
        <v>4384</v>
      </c>
      <c r="B517" s="21"/>
      <c r="C517" s="7">
        <v>2</v>
      </c>
      <c r="D517" s="39" t="s">
        <v>4394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-2</v>
      </c>
      <c r="R517" s="18">
        <f t="shared" si="87"/>
        <v>0.2</v>
      </c>
      <c r="S517" s="18">
        <f t="shared" si="86"/>
        <v>0.2</v>
      </c>
      <c r="T517" s="19">
        <f t="shared" si="88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89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4513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0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1"/>
        <v>0.2</v>
      </c>
      <c r="AV517" s="37">
        <f t="shared" si="92"/>
        <v>0.2</v>
      </c>
      <c r="AW517" s="37"/>
    </row>
    <row r="518" spans="1:49" ht="15.75" hidden="1" customHeight="1" x14ac:dyDescent="0.25">
      <c r="A518" s="6" t="s">
        <v>4395</v>
      </c>
      <c r="B518" s="21"/>
      <c r="C518" s="7">
        <v>1</v>
      </c>
      <c r="D518" s="39" t="s">
        <v>4396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-1</v>
      </c>
      <c r="R518" s="18">
        <f t="shared" si="87"/>
        <v>2.4</v>
      </c>
      <c r="S518" s="18">
        <f t="shared" si="86"/>
        <v>2.4</v>
      </c>
      <c r="T518" s="19">
        <f t="shared" si="88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89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4513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0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1"/>
        <v>2.4</v>
      </c>
      <c r="AV518" s="37">
        <f t="shared" si="92"/>
        <v>2.4</v>
      </c>
      <c r="AW518" s="37"/>
    </row>
    <row r="519" spans="1:49" ht="15.75" hidden="1" customHeight="1" x14ac:dyDescent="0.25">
      <c r="A519" s="6" t="s">
        <v>4397</v>
      </c>
      <c r="B519" s="21"/>
      <c r="C519" s="7">
        <v>4</v>
      </c>
      <c r="D519" s="39" t="s">
        <v>4398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-4</v>
      </c>
      <c r="R519" s="18">
        <f t="shared" si="87"/>
        <v>24</v>
      </c>
      <c r="S519" s="18">
        <f t="shared" si="86"/>
        <v>24</v>
      </c>
      <c r="T519" s="19">
        <f t="shared" si="88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89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4513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0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1"/>
        <v>24</v>
      </c>
      <c r="AV519" s="37">
        <f t="shared" si="92"/>
        <v>24</v>
      </c>
      <c r="AW519" s="37"/>
    </row>
    <row r="520" spans="1:49" ht="15.75" hidden="1" customHeight="1" x14ac:dyDescent="0.25">
      <c r="A520" s="6" t="s">
        <v>4399</v>
      </c>
      <c r="B520" s="21"/>
      <c r="C520" s="7">
        <v>4</v>
      </c>
      <c r="D520" s="39" t="s">
        <v>4400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-4</v>
      </c>
      <c r="R520" s="18">
        <f t="shared" si="87"/>
        <v>16.399999999999999</v>
      </c>
      <c r="S520" s="18">
        <f t="shared" si="86"/>
        <v>16.399999999999999</v>
      </c>
      <c r="T520" s="19">
        <f t="shared" si="88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89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4513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0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1"/>
        <v>16.399999999999999</v>
      </c>
      <c r="AV520" s="37">
        <f t="shared" si="92"/>
        <v>16.399999999999999</v>
      </c>
      <c r="AW520" s="37"/>
    </row>
    <row r="521" spans="1:49" ht="15.75" hidden="1" customHeight="1" x14ac:dyDescent="0.25">
      <c r="A521" s="6" t="s">
        <v>2558</v>
      </c>
      <c r="B521" s="21"/>
      <c r="C521" s="7">
        <v>2</v>
      </c>
      <c r="D521" s="39" t="s">
        <v>2559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87"/>
        <v>852</v>
      </c>
      <c r="S521" s="18">
        <f t="shared" si="86"/>
        <v>852</v>
      </c>
      <c r="T521" s="19">
        <f t="shared" si="88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89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4513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0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1"/>
        <v>852</v>
      </c>
      <c r="AV521" s="37">
        <f t="shared" si="92"/>
        <v>852</v>
      </c>
      <c r="AW521" s="37"/>
    </row>
    <row r="522" spans="1:49" ht="15.75" hidden="1" customHeight="1" x14ac:dyDescent="0.25">
      <c r="A522" s="6" t="s">
        <v>4401</v>
      </c>
      <c r="B522" s="21"/>
      <c r="C522" s="7">
        <v>1</v>
      </c>
      <c r="D522" s="39" t="s">
        <v>4402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-1</v>
      </c>
      <c r="R522" s="18">
        <f t="shared" si="87"/>
        <v>24</v>
      </c>
      <c r="S522" s="18">
        <f t="shared" si="86"/>
        <v>24</v>
      </c>
      <c r="T522" s="19">
        <f t="shared" si="88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89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4513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0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1"/>
        <v>24</v>
      </c>
      <c r="AV522" s="37">
        <f t="shared" si="92"/>
        <v>24</v>
      </c>
      <c r="AW522" s="37"/>
    </row>
    <row r="523" spans="1:49" ht="15.75" hidden="1" customHeight="1" x14ac:dyDescent="0.25">
      <c r="A523" s="6" t="s">
        <v>4401</v>
      </c>
      <c r="B523" s="21"/>
      <c r="C523" s="7">
        <v>1</v>
      </c>
      <c r="D523" s="39" t="s">
        <v>4403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87"/>
        <v>20</v>
      </c>
      <c r="S523" s="18">
        <f t="shared" si="86"/>
        <v>20</v>
      </c>
      <c r="T523" s="19">
        <f t="shared" si="88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89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4513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0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1"/>
        <v>20</v>
      </c>
      <c r="AV523" s="37">
        <f t="shared" si="92"/>
        <v>20</v>
      </c>
      <c r="AW523" s="37"/>
    </row>
    <row r="524" spans="1:49" ht="15.75" hidden="1" customHeight="1" x14ac:dyDescent="0.25">
      <c r="A524" s="6" t="s">
        <v>4401</v>
      </c>
      <c r="B524" s="21"/>
      <c r="C524" s="7">
        <v>2</v>
      </c>
      <c r="D524" s="39" t="s">
        <v>4404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87"/>
        <v>6</v>
      </c>
      <c r="S524" s="18">
        <f t="shared" si="86"/>
        <v>6</v>
      </c>
      <c r="T524" s="19">
        <f t="shared" si="88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89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4513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0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1"/>
        <v>6</v>
      </c>
      <c r="AV524" s="37">
        <f t="shared" si="92"/>
        <v>6</v>
      </c>
      <c r="AW524" s="37"/>
    </row>
    <row r="525" spans="1:49" ht="15.75" hidden="1" customHeight="1" x14ac:dyDescent="0.25">
      <c r="A525" s="6" t="s">
        <v>4401</v>
      </c>
      <c r="B525" s="21"/>
      <c r="C525" s="7">
        <v>2</v>
      </c>
      <c r="D525" s="39" t="s">
        <v>4405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87"/>
        <v>6</v>
      </c>
      <c r="S525" s="18">
        <f t="shared" si="86"/>
        <v>6</v>
      </c>
      <c r="T525" s="19">
        <f t="shared" si="88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89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4513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0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1"/>
        <v>6</v>
      </c>
      <c r="AV525" s="37">
        <f t="shared" si="92"/>
        <v>6</v>
      </c>
      <c r="AW525" s="37"/>
    </row>
    <row r="526" spans="1:49" ht="15.75" hidden="1" customHeight="1" x14ac:dyDescent="0.25">
      <c r="A526" s="6" t="s">
        <v>4401</v>
      </c>
      <c r="B526" s="21"/>
      <c r="C526" s="7">
        <v>1</v>
      </c>
      <c r="D526" s="39" t="s">
        <v>4406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-1</v>
      </c>
      <c r="R526" s="18">
        <f t="shared" si="87"/>
        <v>0.2</v>
      </c>
      <c r="S526" s="18">
        <f t="shared" si="86"/>
        <v>0.2</v>
      </c>
      <c r="T526" s="19">
        <f t="shared" si="88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89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4513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0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1"/>
        <v>0.2</v>
      </c>
      <c r="AV526" s="37">
        <f t="shared" si="92"/>
        <v>0.2</v>
      </c>
      <c r="AW526" s="37"/>
    </row>
    <row r="527" spans="1:49" ht="15.75" hidden="1" customHeight="1" x14ac:dyDescent="0.25">
      <c r="A527" s="6" t="s">
        <v>4401</v>
      </c>
      <c r="B527" s="21"/>
      <c r="C527" s="7">
        <v>2</v>
      </c>
      <c r="D527" s="39" t="s">
        <v>4407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87"/>
        <v>0.4</v>
      </c>
      <c r="S527" s="18">
        <f t="shared" si="86"/>
        <v>0.4</v>
      </c>
      <c r="T527" s="19">
        <f t="shared" si="88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89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4513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0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1"/>
        <v>0.4</v>
      </c>
      <c r="AV527" s="37">
        <f t="shared" si="92"/>
        <v>0.4</v>
      </c>
      <c r="AW527" s="37"/>
    </row>
    <row r="528" spans="1:49" ht="15.75" hidden="1" customHeight="1" x14ac:dyDescent="0.25">
      <c r="A528" s="6" t="s">
        <v>4401</v>
      </c>
      <c r="B528" s="21"/>
      <c r="C528" s="7">
        <v>2</v>
      </c>
      <c r="D528" s="39" t="s">
        <v>4408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87"/>
        <v>0.4</v>
      </c>
      <c r="S528" s="18">
        <f t="shared" si="86"/>
        <v>0.4</v>
      </c>
      <c r="T528" s="19">
        <f t="shared" si="88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89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4513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0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1"/>
        <v>0.4</v>
      </c>
      <c r="AV528" s="37">
        <f t="shared" si="92"/>
        <v>0.4</v>
      </c>
      <c r="AW528" s="37"/>
    </row>
    <row r="529" spans="1:49" ht="15.75" hidden="1" customHeight="1" x14ac:dyDescent="0.25">
      <c r="A529" s="6" t="s">
        <v>4401</v>
      </c>
      <c r="B529" s="21"/>
      <c r="C529" s="7">
        <v>2</v>
      </c>
      <c r="D529" s="39" t="s">
        <v>4409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-2</v>
      </c>
      <c r="R529" s="18">
        <f t="shared" si="87"/>
        <v>28.4</v>
      </c>
      <c r="S529" s="18">
        <f t="shared" si="86"/>
        <v>28.4</v>
      </c>
      <c r="T529" s="19">
        <f t="shared" si="88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89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4513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0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1"/>
        <v>28.4</v>
      </c>
      <c r="AV529" s="37">
        <f t="shared" si="92"/>
        <v>28.4</v>
      </c>
      <c r="AW529" s="37"/>
    </row>
    <row r="530" spans="1:49" ht="15.75" hidden="1" customHeight="1" x14ac:dyDescent="0.25">
      <c r="A530" s="6" t="s">
        <v>2560</v>
      </c>
      <c r="B530" s="21"/>
      <c r="C530" s="7">
        <v>2</v>
      </c>
      <c r="D530" s="39" t="s">
        <v>2561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-2</v>
      </c>
      <c r="R530" s="18">
        <f t="shared" si="87"/>
        <v>143.19999999999999</v>
      </c>
      <c r="S530" s="18">
        <f t="shared" si="86"/>
        <v>143.19999999999999</v>
      </c>
      <c r="T530" s="19">
        <f t="shared" si="88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89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4513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0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1"/>
        <v>143.19999999999999</v>
      </c>
      <c r="AV530" s="37">
        <f t="shared" si="92"/>
        <v>143.19999999999999</v>
      </c>
      <c r="AW530" s="37"/>
    </row>
    <row r="531" spans="1:49" ht="15.75" hidden="1" customHeight="1" x14ac:dyDescent="0.25">
      <c r="A531" s="6" t="s">
        <v>4410</v>
      </c>
      <c r="B531" s="21"/>
      <c r="C531" s="7">
        <v>1</v>
      </c>
      <c r="D531" s="39" t="s">
        <v>4411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87"/>
        <v>24</v>
      </c>
      <c r="S531" s="18">
        <f t="shared" si="86"/>
        <v>24</v>
      </c>
      <c r="T531" s="19">
        <f t="shared" si="88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89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4513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0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1"/>
        <v>24</v>
      </c>
      <c r="AV531" s="37">
        <f t="shared" si="92"/>
        <v>24</v>
      </c>
      <c r="AW531" s="37"/>
    </row>
    <row r="532" spans="1:49" ht="15.75" hidden="1" customHeight="1" x14ac:dyDescent="0.25">
      <c r="A532" s="6" t="s">
        <v>4410</v>
      </c>
      <c r="B532" s="21"/>
      <c r="C532" s="7">
        <v>1</v>
      </c>
      <c r="D532" s="39" t="s">
        <v>4403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87"/>
        <v>27</v>
      </c>
      <c r="S532" s="18">
        <f t="shared" si="86"/>
        <v>27</v>
      </c>
      <c r="T532" s="19">
        <f t="shared" si="88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89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4513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0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1"/>
        <v>27</v>
      </c>
      <c r="AV532" s="37">
        <f t="shared" si="92"/>
        <v>27</v>
      </c>
      <c r="AW532" s="37"/>
    </row>
    <row r="533" spans="1:49" ht="15.75" hidden="1" customHeight="1" x14ac:dyDescent="0.25">
      <c r="A533" s="6" t="s">
        <v>4410</v>
      </c>
      <c r="B533" s="21"/>
      <c r="C533" s="7">
        <v>1</v>
      </c>
      <c r="D533" s="39" t="s">
        <v>4412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87"/>
        <v>1.5</v>
      </c>
      <c r="S533" s="18">
        <f t="shared" si="86"/>
        <v>1.5</v>
      </c>
      <c r="T533" s="19">
        <f t="shared" si="88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89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4513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0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1"/>
        <v>1.5</v>
      </c>
      <c r="AV533" s="37">
        <f t="shared" si="92"/>
        <v>1.5</v>
      </c>
      <c r="AW533" s="37"/>
    </row>
    <row r="534" spans="1:49" ht="15.75" hidden="1" customHeight="1" x14ac:dyDescent="0.25">
      <c r="A534" s="6" t="s">
        <v>4410</v>
      </c>
      <c r="B534" s="21"/>
      <c r="C534" s="7">
        <v>1</v>
      </c>
      <c r="D534" s="39" t="s">
        <v>4404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87"/>
        <v>1.5</v>
      </c>
      <c r="S534" s="18">
        <f t="shared" si="86"/>
        <v>1.5</v>
      </c>
      <c r="T534" s="19">
        <f t="shared" si="88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89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4513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0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1"/>
        <v>1.5</v>
      </c>
      <c r="AV534" s="37">
        <f t="shared" si="92"/>
        <v>1.5</v>
      </c>
      <c r="AW534" s="37"/>
    </row>
    <row r="535" spans="1:49" ht="15.75" hidden="1" customHeight="1" x14ac:dyDescent="0.25">
      <c r="A535" s="6" t="s">
        <v>4410</v>
      </c>
      <c r="B535" s="21"/>
      <c r="C535" s="7">
        <v>2</v>
      </c>
      <c r="D535" s="39" t="s">
        <v>4405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-2</v>
      </c>
      <c r="R535" s="18">
        <f t="shared" si="87"/>
        <v>6</v>
      </c>
      <c r="S535" s="18">
        <f t="shared" si="86"/>
        <v>6</v>
      </c>
      <c r="T535" s="19">
        <f t="shared" si="88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89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4513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0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1"/>
        <v>6</v>
      </c>
      <c r="AV535" s="37">
        <f t="shared" si="92"/>
        <v>6</v>
      </c>
      <c r="AW535" s="37"/>
    </row>
    <row r="536" spans="1:49" ht="15.75" hidden="1" customHeight="1" x14ac:dyDescent="0.25">
      <c r="A536" s="6" t="s">
        <v>4410</v>
      </c>
      <c r="B536" s="21"/>
      <c r="C536" s="7">
        <v>1</v>
      </c>
      <c r="D536" s="39" t="s">
        <v>4413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87"/>
        <v>0.1</v>
      </c>
      <c r="S536" s="18">
        <f t="shared" si="86"/>
        <v>0.1</v>
      </c>
      <c r="T536" s="19">
        <f t="shared" si="88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89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4513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0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1"/>
        <v>0.1</v>
      </c>
      <c r="AV536" s="37">
        <f t="shared" si="92"/>
        <v>0.1</v>
      </c>
      <c r="AW536" s="37"/>
    </row>
    <row r="537" spans="1:49" ht="15.75" hidden="1" customHeight="1" x14ac:dyDescent="0.25">
      <c r="A537" s="6" t="s">
        <v>4410</v>
      </c>
      <c r="B537" s="21"/>
      <c r="C537" s="7">
        <v>1</v>
      </c>
      <c r="D537" s="39" t="s">
        <v>4406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87"/>
        <v>0.2</v>
      </c>
      <c r="S537" s="18">
        <f t="shared" si="86"/>
        <v>0.2</v>
      </c>
      <c r="T537" s="19">
        <f t="shared" si="88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89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4513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0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1"/>
        <v>0.2</v>
      </c>
      <c r="AV537" s="37">
        <f t="shared" si="92"/>
        <v>0.2</v>
      </c>
      <c r="AW537" s="37"/>
    </row>
    <row r="538" spans="1:49" ht="15.75" hidden="1" customHeight="1" x14ac:dyDescent="0.25">
      <c r="A538" s="6" t="s">
        <v>4410</v>
      </c>
      <c r="B538" s="21"/>
      <c r="C538" s="7">
        <v>1</v>
      </c>
      <c r="D538" s="39" t="s">
        <v>4407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87"/>
        <v>0.1</v>
      </c>
      <c r="S538" s="18">
        <f t="shared" si="86"/>
        <v>0.1</v>
      </c>
      <c r="T538" s="19">
        <f t="shared" si="88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89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4513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0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1"/>
        <v>0.1</v>
      </c>
      <c r="AV538" s="37">
        <f t="shared" si="92"/>
        <v>0.1</v>
      </c>
      <c r="AW538" s="37"/>
    </row>
    <row r="539" spans="1:49" ht="15.75" hidden="1" customHeight="1" x14ac:dyDescent="0.25">
      <c r="A539" s="6" t="s">
        <v>4410</v>
      </c>
      <c r="B539" s="21"/>
      <c r="C539" s="7">
        <v>1</v>
      </c>
      <c r="D539" s="39" t="s">
        <v>4408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87"/>
        <v>0.1</v>
      </c>
      <c r="S539" s="18">
        <f t="shared" si="86"/>
        <v>0.1</v>
      </c>
      <c r="T539" s="19">
        <f t="shared" si="88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89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4513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0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1"/>
        <v>0.1</v>
      </c>
      <c r="AV539" s="37">
        <f t="shared" si="92"/>
        <v>0.1</v>
      </c>
      <c r="AW539" s="37"/>
    </row>
    <row r="540" spans="1:49" ht="15.75" hidden="1" customHeight="1" x14ac:dyDescent="0.25">
      <c r="A540" s="6" t="s">
        <v>4410</v>
      </c>
      <c r="B540" s="21"/>
      <c r="C540" s="7">
        <v>2</v>
      </c>
      <c r="D540" s="39" t="s">
        <v>4409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87"/>
        <v>14.2</v>
      </c>
      <c r="S540" s="18">
        <f t="shared" si="86"/>
        <v>14.2</v>
      </c>
      <c r="T540" s="19">
        <f t="shared" si="88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89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4513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0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1"/>
        <v>14.2</v>
      </c>
      <c r="AV540" s="37">
        <f t="shared" si="92"/>
        <v>14.2</v>
      </c>
      <c r="AW540" s="37"/>
    </row>
    <row r="541" spans="1:49" ht="15.75" hidden="1" customHeight="1" x14ac:dyDescent="0.25">
      <c r="A541" s="6" t="s">
        <v>4410</v>
      </c>
      <c r="B541" s="21"/>
      <c r="C541" s="7">
        <v>1</v>
      </c>
      <c r="D541" s="39" t="s">
        <v>4414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87"/>
        <v>0.1</v>
      </c>
      <c r="S541" s="18">
        <f t="shared" si="86"/>
        <v>0.1</v>
      </c>
      <c r="T541" s="19">
        <f t="shared" si="88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89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4513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0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1"/>
        <v>0.1</v>
      </c>
      <c r="AV541" s="37">
        <f t="shared" si="92"/>
        <v>0.1</v>
      </c>
      <c r="AW541" s="37"/>
    </row>
    <row r="542" spans="1:49" ht="15.75" hidden="1" customHeight="1" x14ac:dyDescent="0.25">
      <c r="A542" s="6" t="s">
        <v>2562</v>
      </c>
      <c r="B542" s="21"/>
      <c r="C542" s="7">
        <v>2</v>
      </c>
      <c r="D542" s="39" t="s">
        <v>2563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87"/>
        <v>48</v>
      </c>
      <c r="S542" s="18">
        <f t="shared" si="86"/>
        <v>48</v>
      </c>
      <c r="T542" s="19">
        <f t="shared" si="88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89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4513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0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1"/>
        <v>48</v>
      </c>
      <c r="AV542" s="37">
        <f t="shared" si="92"/>
        <v>48</v>
      </c>
      <c r="AW542" s="37"/>
    </row>
    <row r="543" spans="1:49" ht="15.75" hidden="1" customHeight="1" x14ac:dyDescent="0.25">
      <c r="A543" s="6" t="s">
        <v>2564</v>
      </c>
      <c r="B543" s="21"/>
      <c r="C543" s="7">
        <v>1</v>
      </c>
      <c r="D543" s="39" t="s">
        <v>2565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</v>
      </c>
      <c r="R543" s="18">
        <f t="shared" si="87"/>
        <v>951.2</v>
      </c>
      <c r="S543" s="18">
        <f t="shared" si="86"/>
        <v>951.2</v>
      </c>
      <c r="T543" s="19">
        <f t="shared" si="88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89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4513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0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1"/>
        <v>951.2</v>
      </c>
      <c r="AV543" s="37">
        <f t="shared" si="92"/>
        <v>951.2</v>
      </c>
      <c r="AW543" s="37"/>
    </row>
    <row r="544" spans="1:49" ht="15.75" hidden="1" customHeight="1" x14ac:dyDescent="0.25">
      <c r="A544" s="6" t="s">
        <v>2564</v>
      </c>
      <c r="B544" s="21"/>
      <c r="C544" s="7">
        <v>2</v>
      </c>
      <c r="D544" s="39" t="s">
        <v>2566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-2</v>
      </c>
      <c r="R544" s="18">
        <f t="shared" si="87"/>
        <v>6.8</v>
      </c>
      <c r="S544" s="18">
        <f t="shared" si="86"/>
        <v>6.8</v>
      </c>
      <c r="T544" s="19">
        <f t="shared" si="88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89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4513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0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1"/>
        <v>6.8</v>
      </c>
      <c r="AV544" s="37">
        <f t="shared" si="92"/>
        <v>6.8</v>
      </c>
      <c r="AW544" s="37"/>
    </row>
    <row r="545" spans="1:49" ht="15.75" hidden="1" customHeight="1" x14ac:dyDescent="0.25">
      <c r="A545" s="6" t="s">
        <v>2564</v>
      </c>
      <c r="B545" s="21"/>
      <c r="C545" s="7">
        <v>2</v>
      </c>
      <c r="D545" s="39" t="s">
        <v>2567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-2</v>
      </c>
      <c r="R545" s="18">
        <f t="shared" si="87"/>
        <v>6</v>
      </c>
      <c r="S545" s="18">
        <f t="shared" si="86"/>
        <v>6</v>
      </c>
      <c r="T545" s="19">
        <f t="shared" si="88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89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4513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0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1"/>
        <v>6</v>
      </c>
      <c r="AV545" s="37">
        <f t="shared" si="92"/>
        <v>6</v>
      </c>
      <c r="AW545" s="37"/>
    </row>
    <row r="546" spans="1:49" ht="15.75" hidden="1" customHeight="1" x14ac:dyDescent="0.25">
      <c r="A546" s="6" t="s">
        <v>2564</v>
      </c>
      <c r="B546" s="21"/>
      <c r="C546" s="7">
        <v>12</v>
      </c>
      <c r="D546" s="39" t="s">
        <v>2568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-12</v>
      </c>
      <c r="R546" s="18">
        <f t="shared" si="87"/>
        <v>273.60000000000002</v>
      </c>
      <c r="S546" s="18">
        <f t="shared" si="86"/>
        <v>273.60000000000002</v>
      </c>
      <c r="T546" s="19">
        <f t="shared" si="88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89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4513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0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1"/>
        <v>273.60000000000002</v>
      </c>
      <c r="AV546" s="37">
        <f t="shared" si="92"/>
        <v>273.60000000000002</v>
      </c>
      <c r="AW546" s="37"/>
    </row>
    <row r="547" spans="1:49" ht="15.75" hidden="1" customHeight="1" x14ac:dyDescent="0.25">
      <c r="A547" s="6" t="s">
        <v>2564</v>
      </c>
      <c r="B547" s="21"/>
      <c r="C547" s="7">
        <v>12</v>
      </c>
      <c r="D547" s="39" t="s">
        <v>2569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87"/>
        <v>244.79999999999998</v>
      </c>
      <c r="S547" s="18">
        <f t="shared" si="86"/>
        <v>244.79999999999998</v>
      </c>
      <c r="T547" s="19">
        <f t="shared" si="88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89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4513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0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1"/>
        <v>244.79999999999998</v>
      </c>
      <c r="AV547" s="37">
        <f t="shared" si="92"/>
        <v>244.79999999999998</v>
      </c>
      <c r="AW547" s="37"/>
    </row>
    <row r="548" spans="1:49" ht="15.75" hidden="1" customHeight="1" x14ac:dyDescent="0.25">
      <c r="A548" s="6" t="s">
        <v>2570</v>
      </c>
      <c r="B548" s="21"/>
      <c r="C548" s="7">
        <v>1</v>
      </c>
      <c r="D548" s="39" t="s">
        <v>2571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</v>
      </c>
      <c r="R548" s="18">
        <f t="shared" si="87"/>
        <v>961</v>
      </c>
      <c r="S548" s="18">
        <f t="shared" si="86"/>
        <v>961</v>
      </c>
      <c r="T548" s="19">
        <f t="shared" si="88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89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4513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0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1"/>
        <v>961</v>
      </c>
      <c r="AV548" s="37">
        <f t="shared" si="92"/>
        <v>961</v>
      </c>
      <c r="AW548" s="37"/>
    </row>
    <row r="549" spans="1:49" ht="15.75" hidden="1" customHeight="1" x14ac:dyDescent="0.25">
      <c r="A549" s="6" t="s">
        <v>2570</v>
      </c>
      <c r="B549" s="21"/>
      <c r="C549" s="7">
        <v>4</v>
      </c>
      <c r="D549" s="39" t="s">
        <v>2566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-4</v>
      </c>
      <c r="R549" s="18">
        <f t="shared" si="87"/>
        <v>27.2</v>
      </c>
      <c r="S549" s="18">
        <f t="shared" si="86"/>
        <v>27.2</v>
      </c>
      <c r="T549" s="19">
        <f t="shared" si="88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89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4513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0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1"/>
        <v>27.2</v>
      </c>
      <c r="AV549" s="37">
        <f t="shared" si="92"/>
        <v>27.2</v>
      </c>
      <c r="AW549" s="37"/>
    </row>
    <row r="550" spans="1:49" ht="15.75" hidden="1" customHeight="1" x14ac:dyDescent="0.25">
      <c r="A550" s="6" t="s">
        <v>2570</v>
      </c>
      <c r="B550" s="21"/>
      <c r="C550" s="7">
        <v>12</v>
      </c>
      <c r="D550" s="39" t="s">
        <v>2567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-12</v>
      </c>
      <c r="R550" s="18">
        <f t="shared" si="87"/>
        <v>273.60000000000002</v>
      </c>
      <c r="S550" s="18">
        <f t="shared" si="86"/>
        <v>273.60000000000002</v>
      </c>
      <c r="T550" s="19">
        <f t="shared" si="88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89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4513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0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1"/>
        <v>273.60000000000002</v>
      </c>
      <c r="AV550" s="37">
        <f t="shared" si="92"/>
        <v>273.60000000000002</v>
      </c>
      <c r="AW550" s="37"/>
    </row>
    <row r="551" spans="1:49" ht="15.75" hidden="1" customHeight="1" x14ac:dyDescent="0.25">
      <c r="A551" s="6" t="s">
        <v>2570</v>
      </c>
      <c r="B551" s="21"/>
      <c r="C551" s="7">
        <v>12</v>
      </c>
      <c r="D551" s="39" t="s">
        <v>2568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-12</v>
      </c>
      <c r="R551" s="18">
        <f t="shared" si="87"/>
        <v>288</v>
      </c>
      <c r="S551" s="18">
        <f t="shared" si="86"/>
        <v>288</v>
      </c>
      <c r="T551" s="19">
        <f t="shared" si="88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89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4513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0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1"/>
        <v>288</v>
      </c>
      <c r="AV551" s="37">
        <f t="shared" si="92"/>
        <v>288</v>
      </c>
      <c r="AW551" s="37"/>
    </row>
    <row r="552" spans="1:49" ht="15.75" hidden="1" customHeight="1" x14ac:dyDescent="0.25">
      <c r="A552" s="6" t="s">
        <v>2572</v>
      </c>
      <c r="B552" s="21"/>
      <c r="C552" s="7">
        <v>2</v>
      </c>
      <c r="D552" s="39" t="s">
        <v>2573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-2</v>
      </c>
      <c r="R552" s="18">
        <f t="shared" si="87"/>
        <v>3797.4</v>
      </c>
      <c r="S552" s="18">
        <f t="shared" si="86"/>
        <v>3797.4</v>
      </c>
      <c r="T552" s="19">
        <f t="shared" si="88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89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4513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0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1"/>
        <v>3797.4</v>
      </c>
      <c r="AV552" s="37">
        <f t="shared" si="92"/>
        <v>3797.4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2547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2550</v>
      </c>
      <c r="K553" s="8" t="s">
        <v>31</v>
      </c>
      <c r="L553" s="9" t="s">
        <v>2551</v>
      </c>
      <c r="M553" s="10">
        <v>46119</v>
      </c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87"/>
        <v>13</v>
      </c>
      <c r="S553" s="18">
        <f t="shared" si="86"/>
        <v>13</v>
      </c>
      <c r="T553" s="19">
        <f t="shared" si="88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89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4513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0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1"/>
        <v>13</v>
      </c>
      <c r="AV553" s="37">
        <f t="shared" si="92"/>
        <v>13</v>
      </c>
      <c r="AW553" s="37"/>
    </row>
    <row r="554" spans="1:49" ht="15.75" hidden="1" customHeight="1" x14ac:dyDescent="0.25">
      <c r="A554" s="6" t="s">
        <v>2546</v>
      </c>
      <c r="B554" s="21"/>
      <c r="C554" s="7">
        <v>1</v>
      </c>
      <c r="D554" s="39" t="s">
        <v>2548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2550</v>
      </c>
      <c r="K554" s="8" t="s">
        <v>31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87"/>
        <v>13</v>
      </c>
      <c r="S554" s="18">
        <f t="shared" si="86"/>
        <v>13</v>
      </c>
      <c r="T554" s="19">
        <f t="shared" si="88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89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4513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0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1"/>
        <v>13</v>
      </c>
      <c r="AV554" s="37">
        <f t="shared" si="92"/>
        <v>13</v>
      </c>
      <c r="AW554" s="37"/>
    </row>
    <row r="555" spans="1:49" ht="15.75" hidden="1" customHeight="1" x14ac:dyDescent="0.25">
      <c r="A555" s="6" t="s">
        <v>2546</v>
      </c>
      <c r="B555" s="21"/>
      <c r="C555" s="7">
        <v>1</v>
      </c>
      <c r="D555" s="39" t="s">
        <v>2549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2550</v>
      </c>
      <c r="K555" s="8" t="s">
        <v>31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87"/>
        <v>6</v>
      </c>
      <c r="S555" s="18">
        <f t="shared" si="86"/>
        <v>6</v>
      </c>
      <c r="T555" s="19">
        <f t="shared" si="88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89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4513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0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1"/>
        <v>6</v>
      </c>
      <c r="AV555" s="37">
        <f t="shared" si="92"/>
        <v>6</v>
      </c>
      <c r="AW555" s="37"/>
    </row>
    <row r="556" spans="1:49" ht="15.75" hidden="1" customHeight="1" x14ac:dyDescent="0.25">
      <c r="A556" s="6" t="s">
        <v>2555</v>
      </c>
      <c r="B556" s="21" t="s">
        <v>3170</v>
      </c>
      <c r="C556" s="7">
        <v>1</v>
      </c>
      <c r="D556" s="39" t="s">
        <v>2556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87"/>
        <v>192.3</v>
      </c>
      <c r="S556" s="18">
        <f t="shared" si="86"/>
        <v>192.3</v>
      </c>
      <c r="T556" s="19">
        <f t="shared" si="88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89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4513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0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1"/>
        <v>192.3</v>
      </c>
      <c r="AV556" s="37">
        <f t="shared" si="92"/>
        <v>192.3</v>
      </c>
      <c r="AW556" s="37"/>
    </row>
    <row r="557" spans="1:49" ht="15.75" hidden="1" customHeight="1" x14ac:dyDescent="0.25">
      <c r="A557" s="6" t="s">
        <v>2555</v>
      </c>
      <c r="B557" s="21"/>
      <c r="C557" s="7">
        <v>1</v>
      </c>
      <c r="D557" s="39" t="s">
        <v>2981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2550</v>
      </c>
      <c r="K557" s="8" t="s">
        <v>46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87"/>
        <v>4</v>
      </c>
      <c r="S557" s="18">
        <f t="shared" si="86"/>
        <v>4</v>
      </c>
      <c r="T557" s="19">
        <f t="shared" si="88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89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4513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0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1"/>
        <v>4</v>
      </c>
      <c r="AV557" s="37">
        <f t="shared" si="92"/>
        <v>4</v>
      </c>
      <c r="AW557" s="37"/>
    </row>
    <row r="558" spans="1:49" ht="15.75" hidden="1" customHeight="1" x14ac:dyDescent="0.25">
      <c r="A558" s="6" t="s">
        <v>2555</v>
      </c>
      <c r="B558" s="21"/>
      <c r="C558" s="7">
        <v>1</v>
      </c>
      <c r="D558" s="39" t="s">
        <v>2982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2550</v>
      </c>
      <c r="K558" s="8" t="s">
        <v>46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87"/>
        <v>4</v>
      </c>
      <c r="S558" s="18">
        <f t="shared" si="86"/>
        <v>4</v>
      </c>
      <c r="T558" s="19">
        <f t="shared" si="88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89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4513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0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1"/>
        <v>4</v>
      </c>
      <c r="AV558" s="37">
        <f t="shared" si="92"/>
        <v>4</v>
      </c>
      <c r="AW558" s="37"/>
    </row>
    <row r="559" spans="1:49" ht="15.75" hidden="1" customHeight="1" x14ac:dyDescent="0.25">
      <c r="A559" s="1" t="s">
        <v>4459</v>
      </c>
      <c r="B559" s="21"/>
      <c r="C559" s="1">
        <v>2</v>
      </c>
      <c r="D559" s="1" t="s">
        <v>4460</v>
      </c>
      <c r="E559" s="7">
        <v>4347</v>
      </c>
      <c r="F559" s="7" t="s">
        <v>4415</v>
      </c>
      <c r="G559" s="1">
        <v>45</v>
      </c>
      <c r="H559" s="34">
        <f>Tabela1[[#This Row],[PESO UNI]]*Tabela1[[#This Row],[QTE]]</f>
        <v>90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-2</v>
      </c>
      <c r="R559" s="18">
        <f t="shared" si="87"/>
        <v>90</v>
      </c>
      <c r="S559" s="18">
        <f t="shared" si="86"/>
        <v>90</v>
      </c>
      <c r="T559" s="19">
        <f t="shared" si="88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89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4513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0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1"/>
        <v>90</v>
      </c>
      <c r="AV559" s="37">
        <f t="shared" si="92"/>
        <v>90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4461</v>
      </c>
      <c r="E560" s="7">
        <v>4348</v>
      </c>
      <c r="F560" s="7" t="s">
        <v>4415</v>
      </c>
      <c r="G560" s="1">
        <v>85</v>
      </c>
      <c r="H560" s="34">
        <f>Tabela1[[#This Row],[PESO UNI]]*Tabela1[[#This Row],[QTE]]</f>
        <v>85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87"/>
        <v>85</v>
      </c>
      <c r="S560" s="18">
        <f t="shared" si="86"/>
        <v>85</v>
      </c>
      <c r="T560" s="19">
        <f t="shared" si="88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89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4513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0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1"/>
        <v>85</v>
      </c>
      <c r="AV560" s="37">
        <f t="shared" si="92"/>
        <v>85</v>
      </c>
      <c r="AW560" s="37"/>
    </row>
    <row r="561" spans="1:49" ht="15.75" hidden="1" customHeight="1" x14ac:dyDescent="0.25">
      <c r="A561" s="1" t="s">
        <v>4459</v>
      </c>
      <c r="B561" s="21"/>
      <c r="C561" s="1">
        <v>1</v>
      </c>
      <c r="D561" s="1" t="s">
        <v>4462</v>
      </c>
      <c r="E561" s="7">
        <v>4349</v>
      </c>
      <c r="F561" s="7" t="s">
        <v>4415</v>
      </c>
      <c r="G561" s="1">
        <v>65</v>
      </c>
      <c r="H561" s="34">
        <f>Tabela1[[#This Row],[PESO UNI]]*Tabela1[[#This Row],[QTE]]</f>
        <v>65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87"/>
        <v>65</v>
      </c>
      <c r="S561" s="18">
        <f t="shared" si="86"/>
        <v>65</v>
      </c>
      <c r="T561" s="19">
        <f t="shared" si="88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89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4513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0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1"/>
        <v>65</v>
      </c>
      <c r="AV561" s="37">
        <f t="shared" si="92"/>
        <v>65</v>
      </c>
      <c r="AW561" s="37"/>
    </row>
    <row r="562" spans="1:49" ht="15.75" hidden="1" customHeight="1" x14ac:dyDescent="0.25">
      <c r="A562" s="1" t="s">
        <v>4463</v>
      </c>
      <c r="B562" s="21"/>
      <c r="C562" s="1">
        <v>1</v>
      </c>
      <c r="D562" s="1" t="s">
        <v>4464</v>
      </c>
      <c r="E562" s="7">
        <v>4350</v>
      </c>
      <c r="F562" s="7" t="s">
        <v>4415</v>
      </c>
      <c r="G562" s="1">
        <v>7.2</v>
      </c>
      <c r="H562" s="34">
        <f>Tabela1[[#This Row],[PESO UNI]]*Tabela1[[#This Row],[QTE]]</f>
        <v>7.2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-1</v>
      </c>
      <c r="R562" s="18">
        <f t="shared" si="87"/>
        <v>7.2</v>
      </c>
      <c r="S562" s="18">
        <f t="shared" si="86"/>
        <v>7.2</v>
      </c>
      <c r="T562" s="19">
        <f t="shared" si="88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89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4513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0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1"/>
        <v>7.2</v>
      </c>
      <c r="AV562" s="37">
        <f t="shared" si="92"/>
        <v>7.2</v>
      </c>
      <c r="AW562" s="37"/>
    </row>
    <row r="563" spans="1:49" ht="15.75" hidden="1" customHeight="1" x14ac:dyDescent="0.25">
      <c r="A563" s="1" t="s">
        <v>4395</v>
      </c>
      <c r="B563" s="21"/>
      <c r="C563" s="1">
        <v>1</v>
      </c>
      <c r="D563" s="1" t="s">
        <v>4465</v>
      </c>
      <c r="E563" s="7">
        <v>4351</v>
      </c>
      <c r="F563" s="7" t="s">
        <v>4415</v>
      </c>
      <c r="G563" s="1">
        <v>0.03</v>
      </c>
      <c r="H563" s="34">
        <f>Tabela1[[#This Row],[PESO UNI]]*Tabela1[[#This Row],[QTE]]</f>
        <v>0.03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</v>
      </c>
      <c r="R563" s="18">
        <f t="shared" si="87"/>
        <v>0.03</v>
      </c>
      <c r="S563" s="18">
        <f t="shared" si="86"/>
        <v>0.03</v>
      </c>
      <c r="T563" s="19">
        <f t="shared" si="88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89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4513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0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1"/>
        <v>0.03</v>
      </c>
      <c r="AV563" s="37">
        <f t="shared" si="92"/>
        <v>0.03</v>
      </c>
      <c r="AW563" s="37"/>
    </row>
    <row r="564" spans="1:49" ht="15.75" hidden="1" customHeight="1" x14ac:dyDescent="0.25">
      <c r="A564" s="1" t="s">
        <v>4395</v>
      </c>
      <c r="B564" s="21"/>
      <c r="C564" s="1">
        <v>4</v>
      </c>
      <c r="D564" s="1" t="s">
        <v>4466</v>
      </c>
      <c r="E564" s="7">
        <v>4352</v>
      </c>
      <c r="F564" s="7" t="s">
        <v>4415</v>
      </c>
      <c r="G564" s="1">
        <v>0.02</v>
      </c>
      <c r="H564" s="34">
        <f>Tabela1[[#This Row],[PESO UNI]]*Tabela1[[#This Row],[QTE]]</f>
        <v>0.08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</v>
      </c>
      <c r="R564" s="18">
        <f t="shared" si="87"/>
        <v>0.08</v>
      </c>
      <c r="S564" s="18">
        <f t="shared" si="86"/>
        <v>0.08</v>
      </c>
      <c r="T564" s="19">
        <f t="shared" si="88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89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4513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0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1"/>
        <v>0.08</v>
      </c>
      <c r="AV564" s="37">
        <f t="shared" si="92"/>
        <v>0.08</v>
      </c>
      <c r="AW564" s="37"/>
    </row>
    <row r="565" spans="1:49" ht="15.75" hidden="1" customHeight="1" x14ac:dyDescent="0.25">
      <c r="A565" s="1" t="s">
        <v>4395</v>
      </c>
      <c r="B565" s="21"/>
      <c r="C565" s="1">
        <v>2</v>
      </c>
      <c r="D565" s="1" t="s">
        <v>4467</v>
      </c>
      <c r="E565" s="7">
        <v>4353</v>
      </c>
      <c r="F565" s="7" t="s">
        <v>4415</v>
      </c>
      <c r="G565" s="1">
        <v>0.02</v>
      </c>
      <c r="H565" s="34">
        <f>Tabela1[[#This Row],[PESO UNI]]*Tabela1[[#This Row],[QTE]]</f>
        <v>0.04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-2</v>
      </c>
      <c r="R565" s="18">
        <f t="shared" si="87"/>
        <v>0.04</v>
      </c>
      <c r="S565" s="18">
        <f t="shared" si="86"/>
        <v>0.04</v>
      </c>
      <c r="T565" s="19">
        <f t="shared" si="88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89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4513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0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1"/>
        <v>0.04</v>
      </c>
      <c r="AV565" s="37">
        <f t="shared" si="92"/>
        <v>0.04</v>
      </c>
      <c r="AW565" s="37"/>
    </row>
    <row r="566" spans="1:49" ht="15.75" hidden="1" customHeight="1" x14ac:dyDescent="0.25">
      <c r="A566" s="1" t="s">
        <v>4463</v>
      </c>
      <c r="B566" s="21"/>
      <c r="C566" s="1">
        <v>110</v>
      </c>
      <c r="D566" s="1" t="s">
        <v>4468</v>
      </c>
      <c r="E566" s="7">
        <v>4354</v>
      </c>
      <c r="F566" s="7" t="s">
        <v>4415</v>
      </c>
      <c r="G566" s="1">
        <v>1.55</v>
      </c>
      <c r="H566" s="34">
        <f>Tabela1[[#This Row],[PESO UNI]]*Tabela1[[#This Row],[QTE]]</f>
        <v>170.5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-110</v>
      </c>
      <c r="R566" s="18">
        <f t="shared" si="87"/>
        <v>170.5</v>
      </c>
      <c r="S566" s="18">
        <f t="shared" si="86"/>
        <v>170.5</v>
      </c>
      <c r="T566" s="19">
        <f t="shared" si="88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89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4513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0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1"/>
        <v>170.5</v>
      </c>
      <c r="AV566" s="37">
        <f t="shared" si="92"/>
        <v>170.5</v>
      </c>
      <c r="AW566" s="37"/>
    </row>
    <row r="567" spans="1:49" ht="15.75" hidden="1" customHeight="1" x14ac:dyDescent="0.25">
      <c r="A567" s="1" t="s">
        <v>4469</v>
      </c>
      <c r="B567" s="21"/>
      <c r="C567" s="1">
        <v>40</v>
      </c>
      <c r="D567" s="1" t="s">
        <v>4470</v>
      </c>
      <c r="E567" s="7">
        <v>4355</v>
      </c>
      <c r="F567" s="7" t="s">
        <v>4415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87"/>
        <v>11.6</v>
      </c>
      <c r="S567" s="18">
        <f t="shared" si="86"/>
        <v>11.6</v>
      </c>
      <c r="T567" s="19">
        <f t="shared" si="88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89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4513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0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1"/>
        <v>11.6</v>
      </c>
      <c r="AV567" s="37">
        <f t="shared" si="92"/>
        <v>11.6</v>
      </c>
      <c r="AW567" s="37"/>
    </row>
    <row r="568" spans="1:49" ht="15.75" hidden="1" customHeight="1" x14ac:dyDescent="0.25">
      <c r="A568" s="1" t="s">
        <v>4469</v>
      </c>
      <c r="B568" s="21"/>
      <c r="C568" s="1">
        <v>40</v>
      </c>
      <c r="D568" s="1" t="s">
        <v>4471</v>
      </c>
      <c r="E568" s="7">
        <v>4356</v>
      </c>
      <c r="F568" s="7" t="s">
        <v>4415</v>
      </c>
      <c r="G568" s="1">
        <v>0.02</v>
      </c>
      <c r="H568" s="34">
        <f>Tabela1[[#This Row],[PESO UNI]]*Tabela1[[#This Row],[QTE]]</f>
        <v>0.8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-40</v>
      </c>
      <c r="R568" s="18">
        <f t="shared" si="87"/>
        <v>0.8</v>
      </c>
      <c r="S568" s="18">
        <f t="shared" si="86"/>
        <v>0.8</v>
      </c>
      <c r="T568" s="19">
        <f t="shared" si="88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89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4513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0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1"/>
        <v>0.8</v>
      </c>
      <c r="AV568" s="37">
        <f t="shared" si="92"/>
        <v>0.8</v>
      </c>
      <c r="AW568" s="37"/>
    </row>
    <row r="569" spans="1:49" ht="15.75" hidden="1" customHeight="1" x14ac:dyDescent="0.25">
      <c r="A569" s="1" t="s">
        <v>4469</v>
      </c>
      <c r="B569" s="21"/>
      <c r="C569" s="1">
        <v>40</v>
      </c>
      <c r="D569" s="1" t="s">
        <v>4472</v>
      </c>
      <c r="E569" s="7">
        <v>4357</v>
      </c>
      <c r="F569" s="7" t="s">
        <v>4415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-40</v>
      </c>
      <c r="R569" s="18">
        <f t="shared" si="87"/>
        <v>2.2000000000000002</v>
      </c>
      <c r="S569" s="18">
        <f t="shared" si="86"/>
        <v>2.2000000000000002</v>
      </c>
      <c r="T569" s="19">
        <f t="shared" si="88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89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4513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0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1"/>
        <v>2.2000000000000002</v>
      </c>
      <c r="AV569" s="37">
        <f t="shared" si="92"/>
        <v>2.2000000000000002</v>
      </c>
      <c r="AW569" s="37"/>
    </row>
    <row r="570" spans="1:49" ht="15.75" hidden="1" customHeight="1" x14ac:dyDescent="0.25">
      <c r="A570" s="1" t="s">
        <v>4473</v>
      </c>
      <c r="B570" s="21"/>
      <c r="C570" s="1">
        <v>1</v>
      </c>
      <c r="D570" s="1" t="s">
        <v>4474</v>
      </c>
      <c r="E570" s="7">
        <v>4358</v>
      </c>
      <c r="F570" s="7" t="s">
        <v>4415</v>
      </c>
      <c r="G570" s="1">
        <v>6.5</v>
      </c>
      <c r="H570" s="34">
        <f>Tabela1[[#This Row],[PESO UNI]]*Tabela1[[#This Row],[QTE]]</f>
        <v>6.5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</v>
      </c>
      <c r="R570" s="18">
        <f t="shared" si="87"/>
        <v>6.5</v>
      </c>
      <c r="S570" s="18">
        <f t="shared" si="86"/>
        <v>6.5</v>
      </c>
      <c r="T570" s="19">
        <f t="shared" si="88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89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4513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0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1"/>
        <v>6.5</v>
      </c>
      <c r="AV570" s="37">
        <f t="shared" si="92"/>
        <v>6.5</v>
      </c>
      <c r="AW570" s="37"/>
    </row>
    <row r="571" spans="1:49" ht="15.75" hidden="1" customHeight="1" x14ac:dyDescent="0.25">
      <c r="A571" s="1" t="s">
        <v>4475</v>
      </c>
      <c r="B571" s="21"/>
      <c r="C571" s="1">
        <v>18</v>
      </c>
      <c r="D571" s="1" t="s">
        <v>4476</v>
      </c>
      <c r="E571" s="7">
        <v>4359</v>
      </c>
      <c r="F571" s="7" t="s">
        <v>4415</v>
      </c>
      <c r="G571" s="1">
        <v>0.02</v>
      </c>
      <c r="H571" s="34">
        <f>Tabela1[[#This Row],[PESO UNI]]*Tabela1[[#This Row],[QTE]]</f>
        <v>0.36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-18</v>
      </c>
      <c r="R571" s="18">
        <f t="shared" si="87"/>
        <v>0.36</v>
      </c>
      <c r="S571" s="18">
        <f t="shared" si="86"/>
        <v>0.36</v>
      </c>
      <c r="T571" s="19">
        <f t="shared" si="88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89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4513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0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1"/>
        <v>0.36</v>
      </c>
      <c r="AV571" s="37">
        <f t="shared" si="92"/>
        <v>0.36</v>
      </c>
      <c r="AW571" s="37"/>
    </row>
    <row r="572" spans="1:49" ht="15.75" hidden="1" customHeight="1" x14ac:dyDescent="0.25">
      <c r="A572" s="1" t="s">
        <v>4475</v>
      </c>
      <c r="B572" s="21"/>
      <c r="C572" s="1">
        <v>18</v>
      </c>
      <c r="D572" s="1" t="s">
        <v>4477</v>
      </c>
      <c r="E572" s="7">
        <v>4360</v>
      </c>
      <c r="F572" s="7" t="s">
        <v>4415</v>
      </c>
      <c r="G572" s="1">
        <v>0.03</v>
      </c>
      <c r="H572" s="34">
        <f>Tabela1[[#This Row],[PESO UNI]]*Tabela1[[#This Row],[QTE]]</f>
        <v>0.54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-18</v>
      </c>
      <c r="R572" s="18">
        <f t="shared" si="87"/>
        <v>0.54</v>
      </c>
      <c r="S572" s="18">
        <f t="shared" si="86"/>
        <v>0.54</v>
      </c>
      <c r="T572" s="19">
        <f t="shared" si="88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89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4513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0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1"/>
        <v>0.54</v>
      </c>
      <c r="AV572" s="37">
        <f t="shared" si="92"/>
        <v>0.54</v>
      </c>
      <c r="AW572" s="37"/>
    </row>
    <row r="573" spans="1:49" ht="15.75" hidden="1" customHeight="1" x14ac:dyDescent="0.25">
      <c r="A573" s="1" t="s">
        <v>4475</v>
      </c>
      <c r="B573" s="21"/>
      <c r="C573" s="1">
        <v>5</v>
      </c>
      <c r="D573" s="1" t="s">
        <v>4478</v>
      </c>
      <c r="E573" s="7">
        <v>4361</v>
      </c>
      <c r="F573" s="7" t="s">
        <v>4415</v>
      </c>
      <c r="G573" s="1">
        <v>0.02</v>
      </c>
      <c r="H573" s="34">
        <f>Tabela1[[#This Row],[PESO UNI]]*Tabela1[[#This Row],[QTE]]</f>
        <v>0.1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-5</v>
      </c>
      <c r="R573" s="18">
        <f t="shared" si="87"/>
        <v>0.1</v>
      </c>
      <c r="S573" s="18">
        <f t="shared" si="86"/>
        <v>0.1</v>
      </c>
      <c r="T573" s="19">
        <f t="shared" si="88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89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4513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0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1"/>
        <v>0.1</v>
      </c>
      <c r="AV573" s="37">
        <f t="shared" si="92"/>
        <v>0.1</v>
      </c>
      <c r="AW573" s="37"/>
    </row>
    <row r="574" spans="1:49" ht="15.75" hidden="1" customHeight="1" x14ac:dyDescent="0.25">
      <c r="A574" s="1" t="s">
        <v>4475</v>
      </c>
      <c r="B574" s="21"/>
      <c r="C574" s="1">
        <v>3</v>
      </c>
      <c r="D574" s="1" t="s">
        <v>4479</v>
      </c>
      <c r="E574" s="7">
        <v>4362</v>
      </c>
      <c r="F574" s="7" t="s">
        <v>4415</v>
      </c>
      <c r="G574" s="1">
        <v>0.04</v>
      </c>
      <c r="H574" s="34">
        <f>Tabela1[[#This Row],[PESO UNI]]*Tabela1[[#This Row],[QTE]]</f>
        <v>0.12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-3</v>
      </c>
      <c r="R574" s="18">
        <f t="shared" si="87"/>
        <v>0.12</v>
      </c>
      <c r="S574" s="18">
        <f t="shared" ref="S574:S607" si="93">IFERROR(H574*AG574,"")</f>
        <v>0.12</v>
      </c>
      <c r="T574" s="19">
        <f t="shared" si="88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89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4513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0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1"/>
        <v>0.12</v>
      </c>
      <c r="AV574" s="37">
        <f t="shared" si="92"/>
        <v>0.12</v>
      </c>
      <c r="AW574" s="37"/>
    </row>
    <row r="575" spans="1:49" ht="15.75" hidden="1" customHeight="1" x14ac:dyDescent="0.25">
      <c r="A575" s="1" t="s">
        <v>4475</v>
      </c>
      <c r="B575" s="21"/>
      <c r="C575" s="1">
        <v>3</v>
      </c>
      <c r="D575" s="1" t="s">
        <v>4480</v>
      </c>
      <c r="E575" s="7">
        <v>4363</v>
      </c>
      <c r="F575" s="7" t="s">
        <v>4415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-3</v>
      </c>
      <c r="R575" s="18">
        <f t="shared" si="87"/>
        <v>0.15000000000000002</v>
      </c>
      <c r="S575" s="18">
        <f t="shared" si="93"/>
        <v>0.15000000000000002</v>
      </c>
      <c r="T575" s="19">
        <f t="shared" si="88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89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4513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0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1"/>
        <v>0.15000000000000002</v>
      </c>
      <c r="AV575" s="37">
        <f t="shared" si="92"/>
        <v>0.15000000000000002</v>
      </c>
      <c r="AW575" s="37"/>
    </row>
    <row r="576" spans="1:49" ht="15.75" hidden="1" customHeight="1" x14ac:dyDescent="0.25">
      <c r="A576" s="1" t="s">
        <v>4475</v>
      </c>
      <c r="B576" s="21"/>
      <c r="C576" s="1">
        <v>10</v>
      </c>
      <c r="D576" s="1" t="s">
        <v>4481</v>
      </c>
      <c r="E576" s="7">
        <v>4364</v>
      </c>
      <c r="F576" s="7" t="s">
        <v>4415</v>
      </c>
      <c r="G576" s="1">
        <v>0.05</v>
      </c>
      <c r="H576" s="34">
        <f>Tabela1[[#This Row],[PESO UNI]]*Tabela1[[#This Row],[QTE]]</f>
        <v>0.5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-10</v>
      </c>
      <c r="R576" s="18">
        <f t="shared" si="87"/>
        <v>0.5</v>
      </c>
      <c r="S576" s="18">
        <f t="shared" si="93"/>
        <v>0.5</v>
      </c>
      <c r="T576" s="19">
        <f t="shared" si="88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89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4513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0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1"/>
        <v>0.5</v>
      </c>
      <c r="AV576" s="37">
        <f t="shared" si="92"/>
        <v>0.5</v>
      </c>
      <c r="AW576" s="37"/>
    </row>
    <row r="577" spans="1:49" ht="15.75" hidden="1" customHeight="1" x14ac:dyDescent="0.25">
      <c r="A577" s="1" t="s">
        <v>4475</v>
      </c>
      <c r="B577" s="21"/>
      <c r="C577" s="1">
        <v>10</v>
      </c>
      <c r="D577" s="1" t="s">
        <v>4482</v>
      </c>
      <c r="E577" s="7">
        <v>4365</v>
      </c>
      <c r="F577" s="7" t="s">
        <v>4415</v>
      </c>
      <c r="G577" s="1">
        <v>0.06</v>
      </c>
      <c r="H577" s="34">
        <f>Tabela1[[#This Row],[PESO UNI]]*Tabela1[[#This Row],[QTE]]</f>
        <v>0.6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-10</v>
      </c>
      <c r="R577" s="18">
        <f t="shared" ref="R577:R607" si="94">IFERROR(H577*((AA577*0.25)+(AC577*0.25)+(AD577*0.225)+(AE577*0.225)+(AF577*0.05)),"")</f>
        <v>0.6</v>
      </c>
      <c r="S577" s="18">
        <f t="shared" si="93"/>
        <v>0.6</v>
      </c>
      <c r="T577" s="19">
        <f t="shared" ref="T577:T607" si="95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96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4513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97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98">IF(AH577="",0,IF(ISTEXT(AH577),H577*VALUE(SUBSTITUTE(AH577,"%",""))/100,H577*AH577))</f>
        <v>0.6</v>
      </c>
      <c r="AV577" s="37">
        <f t="shared" ref="AV577:AV607" si="99">IF(AG577="",0,IF(ISTEXT(AG577),H577*VALUE(SUBSTITUTE(AG577,"%",""))/100,H577*AG577))</f>
        <v>0.6</v>
      </c>
      <c r="AW577" s="37"/>
    </row>
    <row r="578" spans="1:49" ht="15.75" hidden="1" customHeight="1" x14ac:dyDescent="0.25">
      <c r="A578" s="1" t="s">
        <v>4475</v>
      </c>
      <c r="B578" s="21"/>
      <c r="C578" s="1">
        <v>2</v>
      </c>
      <c r="D578" s="1" t="s">
        <v>4483</v>
      </c>
      <c r="E578" s="7">
        <v>4366</v>
      </c>
      <c r="F578" s="7" t="s">
        <v>4415</v>
      </c>
      <c r="G578" s="1">
        <v>0.03</v>
      </c>
      <c r="H578" s="34">
        <f>Tabela1[[#This Row],[PESO UNI]]*Tabela1[[#This Row],[QTE]]</f>
        <v>0.06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4"/>
        <v>0.06</v>
      </c>
      <c r="S578" s="18">
        <f t="shared" si="93"/>
        <v>0.06</v>
      </c>
      <c r="T578" s="19">
        <f t="shared" si="95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96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4513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97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98"/>
        <v>0.06</v>
      </c>
      <c r="AV578" s="37">
        <f t="shared" si="99"/>
        <v>0.06</v>
      </c>
      <c r="AW578" s="37"/>
    </row>
    <row r="579" spans="1:49" ht="15.75" hidden="1" customHeight="1" x14ac:dyDescent="0.25">
      <c r="A579" s="1" t="s">
        <v>4475</v>
      </c>
      <c r="B579" s="21"/>
      <c r="C579" s="1">
        <v>4</v>
      </c>
      <c r="D579" s="1" t="s">
        <v>4484</v>
      </c>
      <c r="E579" s="7">
        <v>4367</v>
      </c>
      <c r="F579" s="7" t="s">
        <v>4415</v>
      </c>
      <c r="G579" s="1">
        <v>0.04</v>
      </c>
      <c r="H579" s="34">
        <f>Tabela1[[#This Row],[PESO UNI]]*Tabela1[[#This Row],[QTE]]</f>
        <v>0.16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-4</v>
      </c>
      <c r="R579" s="18">
        <f t="shared" si="94"/>
        <v>0.16</v>
      </c>
      <c r="S579" s="18">
        <f t="shared" si="93"/>
        <v>0.16</v>
      </c>
      <c r="T579" s="19">
        <f t="shared" si="95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96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4513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97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98"/>
        <v>0.16</v>
      </c>
      <c r="AV579" s="37">
        <f t="shared" si="99"/>
        <v>0.16</v>
      </c>
      <c r="AW579" s="37"/>
    </row>
    <row r="580" spans="1:49" ht="15.75" hidden="1" customHeight="1" x14ac:dyDescent="0.25">
      <c r="A580" s="1" t="s">
        <v>4475</v>
      </c>
      <c r="B580" s="21"/>
      <c r="C580" s="1">
        <v>2</v>
      </c>
      <c r="D580" s="1" t="s">
        <v>4485</v>
      </c>
      <c r="E580" s="7">
        <v>4368</v>
      </c>
      <c r="F580" s="7" t="s">
        <v>4415</v>
      </c>
      <c r="G580" s="1">
        <v>0.02</v>
      </c>
      <c r="H580" s="34">
        <f>Tabela1[[#This Row],[PESO UNI]]*Tabela1[[#This Row],[QTE]]</f>
        <v>0.04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-2</v>
      </c>
      <c r="R580" s="18">
        <f t="shared" si="94"/>
        <v>0.04</v>
      </c>
      <c r="S580" s="18">
        <f t="shared" si="93"/>
        <v>0.04</v>
      </c>
      <c r="T580" s="19">
        <f t="shared" si="95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96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4513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97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98"/>
        <v>0.04</v>
      </c>
      <c r="AV580" s="37">
        <f t="shared" si="99"/>
        <v>0.04</v>
      </c>
      <c r="AW580" s="37"/>
    </row>
    <row r="581" spans="1:49" ht="15.75" hidden="1" customHeight="1" x14ac:dyDescent="0.25">
      <c r="A581" s="1" t="s">
        <v>4475</v>
      </c>
      <c r="B581" s="21"/>
      <c r="C581" s="1">
        <v>8</v>
      </c>
      <c r="D581" s="1" t="s">
        <v>4486</v>
      </c>
      <c r="E581" s="7">
        <v>4369</v>
      </c>
      <c r="F581" s="7" t="s">
        <v>4415</v>
      </c>
      <c r="G581" s="1">
        <v>0.04</v>
      </c>
      <c r="H581" s="34">
        <f>Tabela1[[#This Row],[PESO UNI]]*Tabela1[[#This Row],[QTE]]</f>
        <v>0.32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-8</v>
      </c>
      <c r="R581" s="18">
        <f t="shared" si="94"/>
        <v>0.32</v>
      </c>
      <c r="S581" s="18">
        <f t="shared" si="93"/>
        <v>0.32</v>
      </c>
      <c r="T581" s="19">
        <f t="shared" si="95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96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4513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97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98"/>
        <v>0.32</v>
      </c>
      <c r="AV581" s="37">
        <f t="shared" si="99"/>
        <v>0.32</v>
      </c>
      <c r="AW581" s="37"/>
    </row>
    <row r="582" spans="1:49" ht="15.75" hidden="1" customHeight="1" x14ac:dyDescent="0.25">
      <c r="A582" s="1" t="s">
        <v>4475</v>
      </c>
      <c r="B582" s="21"/>
      <c r="C582" s="1">
        <v>1</v>
      </c>
      <c r="D582" s="1" t="s">
        <v>4487</v>
      </c>
      <c r="E582" s="7">
        <v>4370</v>
      </c>
      <c r="F582" s="7" t="s">
        <v>4415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</v>
      </c>
      <c r="R582" s="18">
        <f t="shared" si="94"/>
        <v>2.2000000000000002</v>
      </c>
      <c r="S582" s="18">
        <f t="shared" si="93"/>
        <v>2.2000000000000002</v>
      </c>
      <c r="T582" s="19">
        <f t="shared" si="95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96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4513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97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98"/>
        <v>2.2000000000000002</v>
      </c>
      <c r="AV582" s="37">
        <f t="shared" si="99"/>
        <v>2.2000000000000002</v>
      </c>
      <c r="AW582" s="37"/>
    </row>
    <row r="583" spans="1:49" ht="15.75" hidden="1" customHeight="1" x14ac:dyDescent="0.25">
      <c r="A583" s="1" t="s">
        <v>4475</v>
      </c>
      <c r="B583" s="21"/>
      <c r="C583" s="1">
        <v>71</v>
      </c>
      <c r="D583" s="1" t="s">
        <v>4488</v>
      </c>
      <c r="E583" s="7">
        <v>4371</v>
      </c>
      <c r="F583" s="7" t="s">
        <v>4415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-71</v>
      </c>
      <c r="R583" s="18">
        <f t="shared" si="94"/>
        <v>9.0169999999999995</v>
      </c>
      <c r="S583" s="18">
        <f t="shared" si="93"/>
        <v>9.0169999999999995</v>
      </c>
      <c r="T583" s="19">
        <f t="shared" si="95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96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4513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97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98"/>
        <v>9.0169999999999995</v>
      </c>
      <c r="AV583" s="37">
        <f t="shared" si="99"/>
        <v>9.0169999999999995</v>
      </c>
      <c r="AW583" s="37"/>
    </row>
    <row r="584" spans="1:49" ht="15.75" hidden="1" customHeight="1" x14ac:dyDescent="0.25">
      <c r="A584" s="1" t="s">
        <v>4475</v>
      </c>
      <c r="B584" s="21"/>
      <c r="C584" s="1">
        <v>10</v>
      </c>
      <c r="D584" s="1" t="s">
        <v>4490</v>
      </c>
      <c r="E584" s="7">
        <v>4372</v>
      </c>
      <c r="F584" s="7" t="s">
        <v>4415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-10</v>
      </c>
      <c r="R584" s="18">
        <f t="shared" si="94"/>
        <v>1.4000000000000001</v>
      </c>
      <c r="S584" s="18">
        <f t="shared" si="93"/>
        <v>1.4000000000000001</v>
      </c>
      <c r="T584" s="19">
        <f t="shared" si="95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96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4513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97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98"/>
        <v>1.4000000000000001</v>
      </c>
      <c r="AV584" s="37">
        <f t="shared" si="99"/>
        <v>1.4000000000000001</v>
      </c>
      <c r="AW584" s="37"/>
    </row>
    <row r="585" spans="1:49" ht="15.75" hidden="1" customHeight="1" x14ac:dyDescent="0.25">
      <c r="A585" s="1" t="s">
        <v>4475</v>
      </c>
      <c r="B585" s="21"/>
      <c r="C585" s="1">
        <v>18</v>
      </c>
      <c r="D585" s="1" t="s">
        <v>4491</v>
      </c>
      <c r="E585" s="7">
        <v>4373</v>
      </c>
      <c r="F585" s="7" t="s">
        <v>4415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-18</v>
      </c>
      <c r="R585" s="18">
        <f t="shared" si="94"/>
        <v>6.6059999999999999</v>
      </c>
      <c r="S585" s="18">
        <f t="shared" si="93"/>
        <v>6.6059999999999999</v>
      </c>
      <c r="T585" s="19">
        <f t="shared" si="95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96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4513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97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98"/>
        <v>6.6059999999999999</v>
      </c>
      <c r="AV585" s="37">
        <f t="shared" si="99"/>
        <v>6.6059999999999999</v>
      </c>
      <c r="AW585" s="37"/>
    </row>
    <row r="586" spans="1:49" ht="15.75" hidden="1" customHeight="1" x14ac:dyDescent="0.25">
      <c r="A586" s="1" t="s">
        <v>4475</v>
      </c>
      <c r="B586" s="21"/>
      <c r="C586" s="1">
        <v>50</v>
      </c>
      <c r="D586" s="1" t="s">
        <v>4492</v>
      </c>
      <c r="E586" s="7">
        <v>4374</v>
      </c>
      <c r="F586" s="7" t="s">
        <v>4415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-50</v>
      </c>
      <c r="R586" s="18">
        <f t="shared" si="94"/>
        <v>28.499999999999996</v>
      </c>
      <c r="S586" s="18">
        <f t="shared" si="93"/>
        <v>28.499999999999996</v>
      </c>
      <c r="T586" s="19">
        <f t="shared" si="95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96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4513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97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98"/>
        <v>28.499999999999996</v>
      </c>
      <c r="AV586" s="37">
        <f t="shared" si="99"/>
        <v>28.499999999999996</v>
      </c>
      <c r="AW586" s="37"/>
    </row>
    <row r="587" spans="1:49" ht="15.75" hidden="1" customHeight="1" x14ac:dyDescent="0.25">
      <c r="A587" s="1" t="s">
        <v>4475</v>
      </c>
      <c r="B587" s="21"/>
      <c r="C587" s="1">
        <v>60</v>
      </c>
      <c r="D587" s="1" t="s">
        <v>4493</v>
      </c>
      <c r="E587" s="7">
        <v>4375</v>
      </c>
      <c r="F587" s="7" t="s">
        <v>4415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-60</v>
      </c>
      <c r="R587" s="18">
        <f t="shared" si="94"/>
        <v>9.9960000000000004</v>
      </c>
      <c r="S587" s="18">
        <f t="shared" si="93"/>
        <v>9.9960000000000004</v>
      </c>
      <c r="T587" s="19">
        <f t="shared" si="95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96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4513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97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98"/>
        <v>9.9960000000000004</v>
      </c>
      <c r="AV587" s="37">
        <f t="shared" si="99"/>
        <v>9.9960000000000004</v>
      </c>
      <c r="AW587" s="37"/>
    </row>
    <row r="588" spans="1:49" ht="15.75" hidden="1" customHeight="1" x14ac:dyDescent="0.25">
      <c r="A588" s="1" t="s">
        <v>4475</v>
      </c>
      <c r="B588" s="21"/>
      <c r="C588" s="1">
        <v>15</v>
      </c>
      <c r="D588" s="1" t="s">
        <v>4494</v>
      </c>
      <c r="E588" s="7">
        <v>4376</v>
      </c>
      <c r="F588" s="7" t="s">
        <v>4415</v>
      </c>
      <c r="G588" s="1">
        <v>0.16</v>
      </c>
      <c r="H588" s="34">
        <f>Tabela1[[#This Row],[PESO UNI]]*Tabela1[[#This Row],[QTE]]</f>
        <v>2.4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-15</v>
      </c>
      <c r="R588" s="18">
        <f t="shared" si="94"/>
        <v>2.4</v>
      </c>
      <c r="S588" s="18">
        <f t="shared" si="93"/>
        <v>2.4</v>
      </c>
      <c r="T588" s="19">
        <f t="shared" si="95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96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4513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97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98"/>
        <v>2.4</v>
      </c>
      <c r="AV588" s="37">
        <f t="shared" si="99"/>
        <v>2.4</v>
      </c>
      <c r="AW588" s="37"/>
    </row>
    <row r="589" spans="1:49" ht="15.75" hidden="1" customHeight="1" x14ac:dyDescent="0.25">
      <c r="A589" s="1" t="s">
        <v>4475</v>
      </c>
      <c r="B589" s="21"/>
      <c r="C589" s="1">
        <v>52</v>
      </c>
      <c r="D589" s="1" t="s">
        <v>4495</v>
      </c>
      <c r="E589" s="7">
        <v>4377</v>
      </c>
      <c r="F589" s="7" t="s">
        <v>4415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-52</v>
      </c>
      <c r="R589" s="18">
        <f t="shared" si="94"/>
        <v>23.192</v>
      </c>
      <c r="S589" s="18">
        <f t="shared" si="93"/>
        <v>23.192</v>
      </c>
      <c r="T589" s="19">
        <f t="shared" si="95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96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4513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97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98"/>
        <v>23.192</v>
      </c>
      <c r="AV589" s="37">
        <f t="shared" si="99"/>
        <v>23.192</v>
      </c>
      <c r="AW589" s="37"/>
    </row>
    <row r="590" spans="1:49" ht="15.75" hidden="1" customHeight="1" x14ac:dyDescent="0.25">
      <c r="A590" s="1" t="s">
        <v>4475</v>
      </c>
      <c r="B590" s="21"/>
      <c r="C590" s="1">
        <v>78</v>
      </c>
      <c r="D590" s="1" t="s">
        <v>4496</v>
      </c>
      <c r="E590" s="7">
        <v>4378</v>
      </c>
      <c r="F590" s="7" t="s">
        <v>4415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-78</v>
      </c>
      <c r="R590" s="18">
        <f t="shared" si="94"/>
        <v>11.543999999999999</v>
      </c>
      <c r="S590" s="18">
        <f t="shared" si="93"/>
        <v>11.543999999999999</v>
      </c>
      <c r="T590" s="19">
        <f t="shared" si="95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96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4513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97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98"/>
        <v>11.543999999999999</v>
      </c>
      <c r="AV590" s="37">
        <f t="shared" si="99"/>
        <v>11.543999999999999</v>
      </c>
      <c r="AW590" s="37"/>
    </row>
    <row r="591" spans="1:49" ht="15.75" hidden="1" customHeight="1" x14ac:dyDescent="0.25">
      <c r="A591" s="1" t="s">
        <v>4475</v>
      </c>
      <c r="B591" s="21"/>
      <c r="C591" s="1">
        <v>26</v>
      </c>
      <c r="D591" s="1" t="s">
        <v>4497</v>
      </c>
      <c r="E591" s="7">
        <v>4379</v>
      </c>
      <c r="F591" s="7" t="s">
        <v>4415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4"/>
        <v>4.3940000000000001</v>
      </c>
      <c r="S591" s="18">
        <f t="shared" si="93"/>
        <v>4.3940000000000001</v>
      </c>
      <c r="T591" s="19">
        <f t="shared" si="95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96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4513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97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98"/>
        <v>4.3940000000000001</v>
      </c>
      <c r="AV591" s="37">
        <f t="shared" si="99"/>
        <v>4.3940000000000001</v>
      </c>
      <c r="AW591" s="37"/>
    </row>
    <row r="592" spans="1:49" ht="15.75" hidden="1" customHeight="1" x14ac:dyDescent="0.25">
      <c r="A592" s="1" t="s">
        <v>4475</v>
      </c>
      <c r="B592" s="21"/>
      <c r="C592" s="1">
        <v>60</v>
      </c>
      <c r="D592" s="1" t="s">
        <v>4498</v>
      </c>
      <c r="E592" s="7">
        <v>4380</v>
      </c>
      <c r="F592" s="7" t="s">
        <v>4415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-60</v>
      </c>
      <c r="R592" s="18">
        <f t="shared" si="94"/>
        <v>39.96</v>
      </c>
      <c r="S592" s="18">
        <f t="shared" si="93"/>
        <v>39.96</v>
      </c>
      <c r="T592" s="19">
        <f t="shared" si="95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96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4513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97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98"/>
        <v>39.96</v>
      </c>
      <c r="AV592" s="37">
        <f t="shared" si="99"/>
        <v>39.96</v>
      </c>
      <c r="AW592" s="37"/>
    </row>
    <row r="593" spans="1:49" ht="15.75" hidden="1" customHeight="1" x14ac:dyDescent="0.25">
      <c r="A593" s="1" t="s">
        <v>4475</v>
      </c>
      <c r="B593" s="21"/>
      <c r="C593" s="1">
        <v>52</v>
      </c>
      <c r="D593" s="1" t="s">
        <v>4499</v>
      </c>
      <c r="E593" s="7">
        <v>4381</v>
      </c>
      <c r="F593" s="7" t="s">
        <v>4415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-52</v>
      </c>
      <c r="R593" s="18">
        <f t="shared" si="94"/>
        <v>10.972</v>
      </c>
      <c r="S593" s="18">
        <f t="shared" si="93"/>
        <v>10.972</v>
      </c>
      <c r="T593" s="19">
        <f t="shared" si="95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96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4513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97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98"/>
        <v>10.972</v>
      </c>
      <c r="AV593" s="37">
        <f t="shared" si="99"/>
        <v>10.972</v>
      </c>
      <c r="AW593" s="37"/>
    </row>
    <row r="594" spans="1:49" ht="15.75" hidden="1" customHeight="1" x14ac:dyDescent="0.25">
      <c r="A594" s="1" t="s">
        <v>4475</v>
      </c>
      <c r="B594" s="21"/>
      <c r="C594" s="1">
        <v>26</v>
      </c>
      <c r="D594" s="1" t="s">
        <v>4500</v>
      </c>
      <c r="E594" s="7">
        <v>4382</v>
      </c>
      <c r="F594" s="7" t="s">
        <v>4415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-26</v>
      </c>
      <c r="R594" s="18">
        <f t="shared" si="94"/>
        <v>10.997999999999999</v>
      </c>
      <c r="S594" s="18">
        <f t="shared" si="93"/>
        <v>10.997999999999999</v>
      </c>
      <c r="T594" s="19">
        <f t="shared" si="95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96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4513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97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98"/>
        <v>10.997999999999999</v>
      </c>
      <c r="AV594" s="37">
        <f t="shared" si="99"/>
        <v>10.997999999999999</v>
      </c>
      <c r="AW594" s="37"/>
    </row>
    <row r="595" spans="1:49" ht="15.75" hidden="1" customHeight="1" x14ac:dyDescent="0.25">
      <c r="A595" s="1" t="s">
        <v>4475</v>
      </c>
      <c r="B595" s="21"/>
      <c r="C595" s="1">
        <v>3</v>
      </c>
      <c r="D595" s="1" t="s">
        <v>4501</v>
      </c>
      <c r="E595" s="7">
        <v>4383</v>
      </c>
      <c r="F595" s="7" t="s">
        <v>4415</v>
      </c>
      <c r="G595" s="1">
        <v>3.5</v>
      </c>
      <c r="H595" s="34">
        <f>Tabela1[[#This Row],[PESO UNI]]*Tabela1[[#This Row],[QTE]]</f>
        <v>10.5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4"/>
        <v>10.5</v>
      </c>
      <c r="S595" s="18">
        <f t="shared" si="93"/>
        <v>10.5</v>
      </c>
      <c r="T595" s="19">
        <f t="shared" si="95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96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4513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97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98"/>
        <v>10.5</v>
      </c>
      <c r="AV595" s="37">
        <f t="shared" si="99"/>
        <v>10.5</v>
      </c>
      <c r="AW595" s="37"/>
    </row>
    <row r="596" spans="1:49" ht="15.75" hidden="1" customHeight="1" x14ac:dyDescent="0.25">
      <c r="A596" s="1" t="s">
        <v>4475</v>
      </c>
      <c r="B596" s="21"/>
      <c r="C596" s="1">
        <v>20</v>
      </c>
      <c r="D596" s="1" t="s">
        <v>4502</v>
      </c>
      <c r="E596" s="7">
        <v>4384</v>
      </c>
      <c r="F596" s="7" t="s">
        <v>4415</v>
      </c>
      <c r="G596" s="1">
        <v>0.3</v>
      </c>
      <c r="H596" s="34">
        <f>Tabela1[[#This Row],[PESO UNI]]*Tabela1[[#This Row],[QTE]]</f>
        <v>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-20</v>
      </c>
      <c r="R596" s="18">
        <f t="shared" si="94"/>
        <v>6</v>
      </c>
      <c r="S596" s="18">
        <f t="shared" si="93"/>
        <v>6</v>
      </c>
      <c r="T596" s="19">
        <f t="shared" si="95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96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4513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97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98"/>
        <v>6</v>
      </c>
      <c r="AV596" s="37">
        <f t="shared" si="99"/>
        <v>6</v>
      </c>
      <c r="AW596" s="37"/>
    </row>
    <row r="597" spans="1:49" ht="15.75" hidden="1" customHeight="1" x14ac:dyDescent="0.25">
      <c r="A597" s="1" t="s">
        <v>4475</v>
      </c>
      <c r="B597" s="21"/>
      <c r="C597" s="1">
        <v>6</v>
      </c>
      <c r="D597" s="1" t="s">
        <v>4503</v>
      </c>
      <c r="E597" s="7">
        <v>4385</v>
      </c>
      <c r="F597" s="7" t="s">
        <v>4415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4"/>
        <v>0.06</v>
      </c>
      <c r="S597" s="18">
        <f t="shared" si="93"/>
        <v>0.06</v>
      </c>
      <c r="T597" s="19">
        <f t="shared" si="95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96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4513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97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98"/>
        <v>0.06</v>
      </c>
      <c r="AV597" s="37">
        <f t="shared" si="99"/>
        <v>0.06</v>
      </c>
      <c r="AW597" s="37"/>
    </row>
    <row r="598" spans="1:49" ht="15.75" hidden="1" customHeight="1" x14ac:dyDescent="0.25">
      <c r="A598" s="1" t="s">
        <v>4475</v>
      </c>
      <c r="B598" s="21"/>
      <c r="C598" s="1">
        <v>3</v>
      </c>
      <c r="D598" s="1" t="s">
        <v>4504</v>
      </c>
      <c r="E598" s="7">
        <v>4386</v>
      </c>
      <c r="F598" s="7" t="s">
        <v>4415</v>
      </c>
      <c r="G598" s="1">
        <v>0.02</v>
      </c>
      <c r="H598" s="34">
        <f>Tabela1[[#This Row],[PESO UNI]]*Tabela1[[#This Row],[QTE]]</f>
        <v>0.06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-3</v>
      </c>
      <c r="R598" s="18">
        <f t="shared" si="94"/>
        <v>0.06</v>
      </c>
      <c r="S598" s="18">
        <f t="shared" si="93"/>
        <v>0.06</v>
      </c>
      <c r="T598" s="19">
        <f t="shared" si="95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96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4513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97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98"/>
        <v>0.06</v>
      </c>
      <c r="AV598" s="37">
        <f t="shared" si="99"/>
        <v>0.06</v>
      </c>
      <c r="AW598" s="37"/>
    </row>
    <row r="599" spans="1:49" ht="15.75" hidden="1" customHeight="1" x14ac:dyDescent="0.25">
      <c r="A599" s="1" t="s">
        <v>4475</v>
      </c>
      <c r="B599" s="21"/>
      <c r="C599" s="1">
        <v>6</v>
      </c>
      <c r="D599" s="1" t="s">
        <v>4505</v>
      </c>
      <c r="E599" s="7">
        <v>4387</v>
      </c>
      <c r="F599" s="7" t="s">
        <v>4415</v>
      </c>
      <c r="G599" s="1">
        <v>0.01</v>
      </c>
      <c r="H599" s="34">
        <f>Tabela1[[#This Row],[PESO UNI]]*Tabela1[[#This Row],[QTE]]</f>
        <v>0.06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-6</v>
      </c>
      <c r="R599" s="18">
        <f t="shared" si="94"/>
        <v>0.06</v>
      </c>
      <c r="S599" s="18">
        <f t="shared" si="93"/>
        <v>0.06</v>
      </c>
      <c r="T599" s="19">
        <f t="shared" si="95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96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4513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97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98"/>
        <v>0.06</v>
      </c>
      <c r="AV599" s="37">
        <f t="shared" si="99"/>
        <v>0.06</v>
      </c>
      <c r="AW599" s="37"/>
    </row>
    <row r="600" spans="1:49" ht="15.75" hidden="1" customHeight="1" x14ac:dyDescent="0.25">
      <c r="A600" s="1" t="s">
        <v>4475</v>
      </c>
      <c r="B600" s="21"/>
      <c r="C600" s="1">
        <v>15</v>
      </c>
      <c r="D600" s="1" t="s">
        <v>4506</v>
      </c>
      <c r="E600" s="7">
        <v>4388</v>
      </c>
      <c r="F600" s="7" t="s">
        <v>4415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-15</v>
      </c>
      <c r="R600" s="18">
        <f t="shared" si="94"/>
        <v>5.1899999999999995</v>
      </c>
      <c r="S600" s="18">
        <f t="shared" si="93"/>
        <v>5.1899999999999995</v>
      </c>
      <c r="T600" s="19">
        <f t="shared" si="95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96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4513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97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98"/>
        <v>5.1899999999999995</v>
      </c>
      <c r="AV600" s="37">
        <f t="shared" si="99"/>
        <v>5.1899999999999995</v>
      </c>
      <c r="AW600" s="37"/>
    </row>
    <row r="601" spans="1:49" ht="15.75" hidden="1" customHeight="1" x14ac:dyDescent="0.25">
      <c r="A601" s="1" t="s">
        <v>4475</v>
      </c>
      <c r="B601" s="21"/>
      <c r="C601" s="1">
        <v>12</v>
      </c>
      <c r="D601" s="1" t="s">
        <v>4507</v>
      </c>
      <c r="E601" s="7">
        <v>4389</v>
      </c>
      <c r="F601" s="7" t="s">
        <v>4415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-12</v>
      </c>
      <c r="R601" s="18">
        <f t="shared" si="94"/>
        <v>1.4040000000000001</v>
      </c>
      <c r="S601" s="18">
        <f t="shared" si="93"/>
        <v>1.4040000000000001</v>
      </c>
      <c r="T601" s="19">
        <f t="shared" si="95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96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4513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97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98"/>
        <v>1.4040000000000001</v>
      </c>
      <c r="AV601" s="37">
        <f t="shared" si="99"/>
        <v>1.4040000000000001</v>
      </c>
      <c r="AW601" s="37"/>
    </row>
    <row r="602" spans="1:49" ht="15.75" hidden="1" customHeight="1" x14ac:dyDescent="0.25">
      <c r="A602" s="1" t="s">
        <v>4463</v>
      </c>
      <c r="B602" s="21"/>
      <c r="C602" s="1">
        <v>4</v>
      </c>
      <c r="D602" s="1" t="s">
        <v>4508</v>
      </c>
      <c r="E602" s="7">
        <v>4390</v>
      </c>
      <c r="F602" s="7" t="s">
        <v>4415</v>
      </c>
      <c r="G602" s="1">
        <v>1</v>
      </c>
      <c r="H602" s="34">
        <f>Tabela1[[#This Row],[PESO UNI]]*Tabela1[[#This Row],[QTE]]</f>
        <v>4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-4</v>
      </c>
      <c r="R602" s="18">
        <f t="shared" si="94"/>
        <v>4</v>
      </c>
      <c r="S602" s="18">
        <f t="shared" si="93"/>
        <v>4</v>
      </c>
      <c r="T602" s="19">
        <f t="shared" si="95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96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4513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97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98"/>
        <v>4</v>
      </c>
      <c r="AV602" s="37">
        <f t="shared" si="99"/>
        <v>4</v>
      </c>
      <c r="AW602" s="37"/>
    </row>
    <row r="603" spans="1:49" ht="15.75" hidden="1" customHeight="1" x14ac:dyDescent="0.25">
      <c r="A603" s="1" t="s">
        <v>4475</v>
      </c>
      <c r="B603" s="21"/>
      <c r="C603" s="1">
        <v>1</v>
      </c>
      <c r="D603" s="1" t="s">
        <v>4509</v>
      </c>
      <c r="E603" s="7">
        <v>4391</v>
      </c>
      <c r="F603" s="7" t="s">
        <v>4415</v>
      </c>
      <c r="G603" s="1">
        <v>1.2</v>
      </c>
      <c r="H603" s="34">
        <f>Tabela1[[#This Row],[PESO UNI]]*Tabela1[[#This Row],[QTE]]</f>
        <v>1.2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4"/>
        <v>1.2</v>
      </c>
      <c r="S603" s="18">
        <f t="shared" si="93"/>
        <v>1.2</v>
      </c>
      <c r="T603" s="19">
        <f t="shared" si="95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96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4513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97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98"/>
        <v>1.2</v>
      </c>
      <c r="AV603" s="37">
        <f t="shared" si="99"/>
        <v>1.2</v>
      </c>
      <c r="AW603" s="37"/>
    </row>
    <row r="604" spans="1:49" ht="15.75" hidden="1" customHeight="1" x14ac:dyDescent="0.25">
      <c r="A604" s="1" t="s">
        <v>4475</v>
      </c>
      <c r="B604" s="21"/>
      <c r="C604" s="1">
        <v>1</v>
      </c>
      <c r="D604" s="1" t="s">
        <v>4451</v>
      </c>
      <c r="E604" s="7">
        <v>4392</v>
      </c>
      <c r="F604" s="7" t="s">
        <v>4415</v>
      </c>
      <c r="G604" s="1">
        <v>2.5</v>
      </c>
      <c r="H604" s="34">
        <f>Tabela1[[#This Row],[PESO UNI]]*Tabela1[[#This Row],[QTE]]</f>
        <v>2.5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4"/>
        <v>2.5</v>
      </c>
      <c r="S604" s="18">
        <f t="shared" si="93"/>
        <v>2.5</v>
      </c>
      <c r="T604" s="19">
        <f t="shared" si="95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96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4513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97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98"/>
        <v>2.5</v>
      </c>
      <c r="AV604" s="37">
        <f t="shared" si="99"/>
        <v>2.5</v>
      </c>
      <c r="AW604" s="37"/>
    </row>
    <row r="605" spans="1:49" ht="15.75" hidden="1" customHeight="1" x14ac:dyDescent="0.25">
      <c r="A605" s="1" t="s">
        <v>4510</v>
      </c>
      <c r="B605" s="21"/>
      <c r="C605" s="1">
        <v>1</v>
      </c>
      <c r="D605" s="1" t="s">
        <v>4511</v>
      </c>
      <c r="E605" s="7">
        <v>4393</v>
      </c>
      <c r="F605" s="7" t="s">
        <v>4415</v>
      </c>
      <c r="G605" s="1">
        <v>120</v>
      </c>
      <c r="H605" s="34">
        <f>Tabela1[[#This Row],[PESO UNI]]*Tabela1[[#This Row],[QTE]]</f>
        <v>120</v>
      </c>
      <c r="I605" s="7"/>
      <c r="J605" s="8" t="s">
        <v>2550</v>
      </c>
      <c r="K605" s="8" t="s">
        <v>45</v>
      </c>
      <c r="L605" s="9" t="s">
        <v>2551</v>
      </c>
      <c r="M605" s="10"/>
      <c r="N605" s="11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4"/>
        <v>120</v>
      </c>
      <c r="S605" s="18">
        <f t="shared" si="93"/>
        <v>120</v>
      </c>
      <c r="T605" s="19">
        <f t="shared" si="95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96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4513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97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98"/>
        <v>120</v>
      </c>
      <c r="AV605" s="37">
        <f t="shared" si="99"/>
        <v>120</v>
      </c>
      <c r="AW605" s="37"/>
    </row>
    <row r="606" spans="1:49" ht="15.75" hidden="1" customHeight="1" x14ac:dyDescent="0.25">
      <c r="A606" s="1" t="s">
        <v>4510</v>
      </c>
      <c r="B606" s="21"/>
      <c r="C606" s="1">
        <v>1</v>
      </c>
      <c r="D606" s="1" t="s">
        <v>4512</v>
      </c>
      <c r="E606" s="7">
        <v>4394</v>
      </c>
      <c r="F606" s="7" t="s">
        <v>4415</v>
      </c>
      <c r="G606" s="1">
        <v>0.5</v>
      </c>
      <c r="H606" s="34">
        <f>Tabela1[[#This Row],[PESO UNI]]*Tabela1[[#This Row],[QTE]]</f>
        <v>0.5</v>
      </c>
      <c r="I606" s="7"/>
      <c r="J606" s="8" t="s">
        <v>2550</v>
      </c>
      <c r="K606" s="8" t="s">
        <v>45</v>
      </c>
      <c r="L606" s="9" t="s">
        <v>2551</v>
      </c>
      <c r="M606" s="10"/>
      <c r="N606" s="11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94"/>
        <v>0.5</v>
      </c>
      <c r="S606" s="18">
        <f t="shared" si="93"/>
        <v>0.5</v>
      </c>
      <c r="T606" s="19">
        <f t="shared" si="95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96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4513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97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98"/>
        <v>0.5</v>
      </c>
      <c r="AV606" s="37">
        <f t="shared" si="99"/>
        <v>0.5</v>
      </c>
      <c r="AW606" s="37"/>
    </row>
    <row r="607" spans="1:49" ht="15.75" hidden="1" customHeight="1" x14ac:dyDescent="0.25">
      <c r="A607" s="6" t="s">
        <v>4515</v>
      </c>
      <c r="B607" s="21" t="s">
        <v>4516</v>
      </c>
      <c r="C607" s="7">
        <v>1</v>
      </c>
      <c r="D607" s="39" t="s">
        <v>4517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3045</v>
      </c>
      <c r="K607" s="8" t="s">
        <v>31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94"/>
        <v>0</v>
      </c>
      <c r="S607" s="18">
        <f t="shared" si="93"/>
        <v>0</v>
      </c>
      <c r="T607" s="19">
        <f t="shared" si="95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96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0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97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98"/>
        <v>0</v>
      </c>
      <c r="AV607" s="37">
        <f t="shared" si="99"/>
        <v>0</v>
      </c>
      <c r="AW607" s="37"/>
    </row>
    <row r="608" spans="1:49" ht="15.75" hidden="1" customHeight="1" x14ac:dyDescent="0.25">
      <c r="A608" s="1" t="s">
        <v>2552</v>
      </c>
      <c r="B608" s="196"/>
      <c r="C608" s="198">
        <v>47</v>
      </c>
      <c r="D608" s="209" t="s">
        <v>3737</v>
      </c>
      <c r="E608" s="195" t="s">
        <v>4450</v>
      </c>
      <c r="F608" s="198" t="s">
        <v>4415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2550</v>
      </c>
      <c r="K608" s="8" t="s">
        <v>4324</v>
      </c>
      <c r="L608" s="9" t="s">
        <v>2551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" si="101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" si="102">IFERROR(S608-H608,"")</f>
        <v>0</v>
      </c>
      <c r="U608" s="16">
        <f>IFERROR(SUMIF('LISTA DE EMBARQUE'!B:B,MICRO!E:E,'LISTA DE EMBARQUE'!G:G),"")</f>
        <v>47</v>
      </c>
      <c r="V608" s="12">
        <f>IFERROR(VLOOKUP(Tabela1[[#This Row],[COD.MDE]],'LISTA DE EMBARQUE'!B:L,11,0),"")</f>
        <v>1</v>
      </c>
      <c r="W608" s="13" t="str">
        <f>IFERROR(COUNTIF(#REF!,Tabela1[[#This Row],[Colunas5]]),"")</f>
        <v/>
      </c>
      <c r="X608" s="14">
        <f>Tabela1[[#This Row],[QIANTIDADE EXPEDIDA]]*Tabela1[[#This Row],[PESO UNI]]</f>
        <v>5704.86</v>
      </c>
      <c r="Y608" s="14">
        <f t="shared" ref="Y608" si="103">U608-C608</f>
        <v>0</v>
      </c>
      <c r="Z608" s="20">
        <f>Tabela1[[#This Row],[PESO TOTAL]]-Tabela1[[#This Row],[Peso Expedido]]</f>
        <v>0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4513</v>
      </c>
      <c r="AQ608" s="203"/>
      <c r="AR608" s="158"/>
      <c r="AS608" s="158"/>
      <c r="AT608" s="158"/>
      <c r="AU608" s="158"/>
      <c r="AV608" s="158"/>
      <c r="AW608" s="158"/>
    </row>
    <row r="609" spans="1:49" ht="15.75" hidden="1" customHeight="1" x14ac:dyDescent="0.25">
      <c r="A609" s="1" t="s">
        <v>4520</v>
      </c>
      <c r="B609" s="21" t="s">
        <v>4521</v>
      </c>
      <c r="C609" s="1">
        <v>1</v>
      </c>
      <c r="D609" s="1" t="s">
        <v>4522</v>
      </c>
      <c r="E609" s="7">
        <v>4396</v>
      </c>
      <c r="F609" s="7">
        <v>37</v>
      </c>
      <c r="G609" s="1">
        <v>1284.3</v>
      </c>
      <c r="H609" s="34">
        <f>Tabela1[[#This Row],[PESO UNI]]*Tabela1[[#This Row],[QTE]]</f>
        <v>1284.3</v>
      </c>
      <c r="I609" s="7">
        <v>0</v>
      </c>
      <c r="J609" s="8" t="s">
        <v>3140</v>
      </c>
      <c r="K609" s="8" t="s">
        <v>4324</v>
      </c>
      <c r="L609" s="9" t="s">
        <v>2984</v>
      </c>
      <c r="M609" s="10">
        <v>46220</v>
      </c>
      <c r="N609" s="8" t="s">
        <v>38</v>
      </c>
      <c r="O609" s="12"/>
      <c r="P609" s="13"/>
      <c r="Q609" s="14"/>
      <c r="R609" s="18"/>
      <c r="S609" s="18">
        <f t="shared" ref="S609" si="104">IFERROR(H609*AG609,"")</f>
        <v>0</v>
      </c>
      <c r="T609" s="19"/>
      <c r="U609" s="16"/>
      <c r="V609" s="12"/>
      <c r="W609" s="13"/>
      <c r="X609" s="14"/>
      <c r="Y609" s="14"/>
      <c r="Z609" s="20"/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4397</v>
      </c>
      <c r="F610" s="7">
        <v>37</v>
      </c>
      <c r="G610" s="1">
        <v>385.4</v>
      </c>
      <c r="H610" s="34">
        <f>Tabela1[[#This Row],[PESO UNI]]*Tabela1[[#This Row],[QTE]]</f>
        <v>385.4</v>
      </c>
      <c r="I610" s="7">
        <v>0</v>
      </c>
      <c r="J610" s="8" t="s">
        <v>3140</v>
      </c>
      <c r="K610" s="8" t="s">
        <v>4324</v>
      </c>
      <c r="L610" s="9" t="s">
        <v>2984</v>
      </c>
      <c r="M610" s="10">
        <v>46220</v>
      </c>
      <c r="N610" s="8" t="s">
        <v>38</v>
      </c>
      <c r="O610" s="12"/>
      <c r="P610" s="13"/>
      <c r="Q610" s="14"/>
      <c r="R610" s="18"/>
      <c r="S610" s="18">
        <f t="shared" ref="S610:S611" si="105">IFERROR(H610*AG610,"")</f>
        <v>0</v>
      </c>
      <c r="T610" s="19"/>
      <c r="U610" s="16"/>
      <c r="V610" s="12"/>
      <c r="W610" s="13"/>
      <c r="X610" s="14"/>
      <c r="Y610" s="14"/>
      <c r="Z610" s="20"/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4526</v>
      </c>
      <c r="B611" s="21" t="s">
        <v>4527</v>
      </c>
      <c r="C611" s="1">
        <v>1</v>
      </c>
      <c r="D611" s="1" t="s">
        <v>4528</v>
      </c>
      <c r="E611" s="7">
        <v>4398</v>
      </c>
      <c r="F611" s="7">
        <v>37</v>
      </c>
      <c r="G611" s="1">
        <v>159.80000000000001</v>
      </c>
      <c r="H611" s="34">
        <f>Tabela1[[#This Row],[PESO UNI]]*Tabela1[[#This Row],[QTE]]</f>
        <v>159.80000000000001</v>
      </c>
      <c r="I611" s="7">
        <v>0</v>
      </c>
      <c r="J611" s="8" t="s">
        <v>3140</v>
      </c>
      <c r="K611" s="8" t="s">
        <v>4324</v>
      </c>
      <c r="L611" s="9" t="s">
        <v>2984</v>
      </c>
      <c r="M611" s="10">
        <v>46220</v>
      </c>
      <c r="N611" s="8" t="s">
        <v>38</v>
      </c>
      <c r="O611" s="12"/>
      <c r="P611" s="13"/>
      <c r="Q611" s="14"/>
      <c r="R611" s="18"/>
      <c r="S611" s="18">
        <f t="shared" si="105"/>
        <v>0</v>
      </c>
      <c r="T611" s="19"/>
      <c r="U611" s="16"/>
      <c r="V611" s="12"/>
      <c r="W611" s="13"/>
      <c r="X611" s="14"/>
      <c r="Y611" s="14"/>
      <c r="Z611" s="20"/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4526</v>
      </c>
      <c r="B612" s="21" t="s">
        <v>4527</v>
      </c>
      <c r="C612" s="1">
        <v>1</v>
      </c>
      <c r="D612" s="1" t="s">
        <v>4529</v>
      </c>
      <c r="E612" s="7">
        <v>4399</v>
      </c>
      <c r="F612" s="7">
        <v>37</v>
      </c>
      <c r="G612" s="1">
        <v>28.6</v>
      </c>
      <c r="H612" s="34">
        <f>Tabela1[[#This Row],[PESO UNI]]*Tabela1[[#This Row],[QTE]]</f>
        <v>28.6</v>
      </c>
      <c r="I612" s="7">
        <v>0</v>
      </c>
      <c r="J612" s="8" t="s">
        <v>3140</v>
      </c>
      <c r="K612" s="8" t="s">
        <v>4324</v>
      </c>
      <c r="L612" s="9" t="s">
        <v>2984</v>
      </c>
      <c r="M612" s="10">
        <v>46220</v>
      </c>
      <c r="N612" s="8" t="s">
        <v>38</v>
      </c>
      <c r="O612" s="12"/>
      <c r="P612" s="13"/>
      <c r="Q612" s="14"/>
      <c r="R612" s="18"/>
      <c r="S612" s="18">
        <f>IFERROR(H612*AG612,"")</f>
        <v>0</v>
      </c>
      <c r="T612" s="19"/>
      <c r="U612" s="16"/>
      <c r="V612" s="12"/>
      <c r="W612" s="13"/>
      <c r="X612" s="14"/>
      <c r="Y612" s="14"/>
      <c r="Z612" s="20"/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4530</v>
      </c>
      <c r="B613" s="21" t="s">
        <v>4531</v>
      </c>
      <c r="C613" s="1">
        <v>1</v>
      </c>
      <c r="D613" s="1" t="s">
        <v>4532</v>
      </c>
      <c r="E613" s="7">
        <v>4400</v>
      </c>
      <c r="F613" s="7">
        <v>37</v>
      </c>
      <c r="G613" s="1">
        <v>126.7</v>
      </c>
      <c r="H613" s="34">
        <f>Tabela1[[#This Row],[PESO UNI]]*Tabela1[[#This Row],[QTE]]</f>
        <v>126.7</v>
      </c>
      <c r="I613" s="7">
        <v>0</v>
      </c>
      <c r="J613" s="8" t="s">
        <v>3140</v>
      </c>
      <c r="K613" s="8" t="s">
        <v>4324</v>
      </c>
      <c r="L613" s="9" t="s">
        <v>2984</v>
      </c>
      <c r="M613" s="10">
        <v>46220</v>
      </c>
      <c r="N613" s="8" t="s">
        <v>38</v>
      </c>
      <c r="O613" s="12"/>
      <c r="P613" s="13"/>
      <c r="Q613" s="14"/>
      <c r="R613" s="18"/>
      <c r="S613" s="18">
        <f>IFERROR(H613*AG613,"")</f>
        <v>0</v>
      </c>
      <c r="T613" s="19"/>
      <c r="U613" s="16"/>
      <c r="V613" s="12"/>
      <c r="W613" s="13"/>
      <c r="X613" s="14"/>
      <c r="Y613" s="14"/>
      <c r="Z613" s="20"/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4530</v>
      </c>
      <c r="B614" s="21" t="s">
        <v>4531</v>
      </c>
      <c r="C614" s="1">
        <v>1</v>
      </c>
      <c r="D614" s="1" t="s">
        <v>4533</v>
      </c>
      <c r="E614" s="7">
        <v>4401</v>
      </c>
      <c r="F614" s="7">
        <v>37</v>
      </c>
      <c r="G614" s="1">
        <v>126.7</v>
      </c>
      <c r="H614" s="34">
        <f>Tabela1[[#This Row],[PESO UNI]]*Tabela1[[#This Row],[QTE]]</f>
        <v>126.7</v>
      </c>
      <c r="I614" s="7">
        <v>0</v>
      </c>
      <c r="J614" s="8" t="s">
        <v>3140</v>
      </c>
      <c r="K614" s="8" t="s">
        <v>4324</v>
      </c>
      <c r="L614" s="9" t="s">
        <v>2984</v>
      </c>
      <c r="M614" s="10">
        <v>46220</v>
      </c>
      <c r="N614" s="8" t="s">
        <v>38</v>
      </c>
      <c r="O614" s="12"/>
      <c r="P614" s="13"/>
      <c r="Q614" s="14"/>
      <c r="R614" s="18"/>
      <c r="S614" s="18">
        <f t="shared" ref="S614:S618" si="106">IFERROR(H614*AG614,"")</f>
        <v>0</v>
      </c>
      <c r="T614" s="19"/>
      <c r="U614" s="16"/>
      <c r="V614" s="12"/>
      <c r="W614" s="13"/>
      <c r="X614" s="14"/>
      <c r="Y614" s="14"/>
      <c r="Z614" s="20"/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4534</v>
      </c>
      <c r="B615" s="21" t="s">
        <v>4535</v>
      </c>
      <c r="C615" s="1">
        <v>1</v>
      </c>
      <c r="D615" s="1" t="s">
        <v>4536</v>
      </c>
      <c r="E615" s="7">
        <v>4402</v>
      </c>
      <c r="F615" s="7">
        <v>37</v>
      </c>
      <c r="G615" s="1">
        <v>100.9</v>
      </c>
      <c r="H615" s="34">
        <f>Tabela1[[#This Row],[PESO UNI]]*Tabela1[[#This Row],[QTE]]</f>
        <v>100.9</v>
      </c>
      <c r="I615" s="7">
        <v>0</v>
      </c>
      <c r="J615" s="8" t="s">
        <v>3140</v>
      </c>
      <c r="K615" s="8" t="s">
        <v>4324</v>
      </c>
      <c r="L615" s="9" t="s">
        <v>2984</v>
      </c>
      <c r="M615" s="10">
        <v>46220</v>
      </c>
      <c r="N615" s="8" t="s">
        <v>38</v>
      </c>
      <c r="O615" s="12"/>
      <c r="P615" s="13"/>
      <c r="Q615" s="14"/>
      <c r="R615" s="18"/>
      <c r="S615" s="18">
        <f t="shared" si="106"/>
        <v>0</v>
      </c>
      <c r="T615" s="19"/>
      <c r="U615" s="16"/>
      <c r="V615" s="12"/>
      <c r="W615" s="13"/>
      <c r="X615" s="14"/>
      <c r="Y615" s="14"/>
      <c r="Z615" s="20"/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4534</v>
      </c>
      <c r="B616" s="21" t="s">
        <v>4535</v>
      </c>
      <c r="C616" s="1">
        <v>2</v>
      </c>
      <c r="D616" s="1" t="s">
        <v>4537</v>
      </c>
      <c r="E616" s="7">
        <v>4403</v>
      </c>
      <c r="F616" s="7">
        <v>37</v>
      </c>
      <c r="G616" s="1">
        <v>83.4</v>
      </c>
      <c r="H616" s="34">
        <f>Tabela1[[#This Row],[PESO UNI]]*Tabela1[[#This Row],[QTE]]</f>
        <v>166.8</v>
      </c>
      <c r="I616" s="7">
        <v>0</v>
      </c>
      <c r="J616" s="8" t="s">
        <v>3140</v>
      </c>
      <c r="K616" s="8" t="s">
        <v>4324</v>
      </c>
      <c r="L616" s="9" t="s">
        <v>2984</v>
      </c>
      <c r="M616" s="10">
        <v>46220</v>
      </c>
      <c r="N616" s="8" t="s">
        <v>38</v>
      </c>
      <c r="O616" s="12"/>
      <c r="P616" s="13"/>
      <c r="Q616" s="14"/>
      <c r="R616" s="18"/>
      <c r="S616" s="18">
        <f t="shared" si="106"/>
        <v>0</v>
      </c>
      <c r="T616" s="19"/>
      <c r="U616" s="16"/>
      <c r="V616" s="12"/>
      <c r="W616" s="13"/>
      <c r="X616" s="14"/>
      <c r="Y616" s="14"/>
      <c r="Z616" s="20"/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4534</v>
      </c>
      <c r="B617" s="21" t="s">
        <v>4535</v>
      </c>
      <c r="C617" s="1">
        <v>1</v>
      </c>
      <c r="D617" s="1" t="s">
        <v>4538</v>
      </c>
      <c r="E617" s="7">
        <v>4404</v>
      </c>
      <c r="F617" s="7">
        <v>37</v>
      </c>
      <c r="G617" s="1">
        <v>120.2</v>
      </c>
      <c r="H617" s="34">
        <f>Tabela1[[#This Row],[PESO UNI]]*Tabela1[[#This Row],[QTE]]</f>
        <v>120.2</v>
      </c>
      <c r="I617" s="7">
        <v>0</v>
      </c>
      <c r="J617" s="8" t="s">
        <v>3140</v>
      </c>
      <c r="K617" s="8" t="s">
        <v>4324</v>
      </c>
      <c r="L617" s="9" t="s">
        <v>2984</v>
      </c>
      <c r="M617" s="10">
        <v>46220</v>
      </c>
      <c r="N617" s="8" t="s">
        <v>38</v>
      </c>
      <c r="O617" s="12"/>
      <c r="P617" s="13"/>
      <c r="Q617" s="14"/>
      <c r="R617" s="18"/>
      <c r="S617" s="18">
        <f t="shared" si="106"/>
        <v>0</v>
      </c>
      <c r="T617" s="19"/>
      <c r="U617" s="16"/>
      <c r="V617" s="12"/>
      <c r="W617" s="13"/>
      <c r="X617" s="14"/>
      <c r="Y617" s="14"/>
      <c r="Z617" s="20"/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4534</v>
      </c>
      <c r="B618" s="21" t="s">
        <v>4535</v>
      </c>
      <c r="C618" s="1">
        <v>1</v>
      </c>
      <c r="D618" s="1" t="s">
        <v>4539</v>
      </c>
      <c r="E618" s="7">
        <v>4405</v>
      </c>
      <c r="F618" s="7">
        <v>37</v>
      </c>
      <c r="G618" s="1">
        <v>63.6</v>
      </c>
      <c r="H618" s="34">
        <f>Tabela1[[#This Row],[PESO UNI]]*Tabela1[[#This Row],[QTE]]</f>
        <v>63.6</v>
      </c>
      <c r="I618" s="7">
        <v>0</v>
      </c>
      <c r="J618" s="8" t="s">
        <v>3140</v>
      </c>
      <c r="K618" s="8" t="s">
        <v>4324</v>
      </c>
      <c r="L618" s="9" t="s">
        <v>2984</v>
      </c>
      <c r="M618" s="10">
        <v>46220</v>
      </c>
      <c r="N618" s="8" t="s">
        <v>38</v>
      </c>
      <c r="O618" s="12"/>
      <c r="P618" s="13"/>
      <c r="Q618" s="14"/>
      <c r="R618" s="18"/>
      <c r="S618" s="18">
        <f t="shared" si="106"/>
        <v>0</v>
      </c>
      <c r="T618" s="19"/>
      <c r="U618" s="16"/>
      <c r="V618" s="12"/>
      <c r="W618" s="13"/>
      <c r="X618" s="14"/>
      <c r="Y618" s="14"/>
      <c r="Z618" s="20"/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4534</v>
      </c>
      <c r="B619" s="21" t="s">
        <v>4535</v>
      </c>
      <c r="C619" s="1">
        <v>1</v>
      </c>
      <c r="D619" s="1" t="s">
        <v>4540</v>
      </c>
      <c r="E619" s="7">
        <v>4406</v>
      </c>
      <c r="F619" s="7">
        <v>37</v>
      </c>
      <c r="G619" s="1">
        <v>73.3</v>
      </c>
      <c r="H619" s="34">
        <f>Tabela1[[#This Row],[PESO UNI]]*Tabela1[[#This Row],[QTE]]</f>
        <v>73.3</v>
      </c>
      <c r="I619" s="7">
        <v>0</v>
      </c>
      <c r="J619" s="8" t="s">
        <v>3140</v>
      </c>
      <c r="K619" s="8" t="s">
        <v>4324</v>
      </c>
      <c r="L619" s="9" t="s">
        <v>2984</v>
      </c>
      <c r="M619" s="10">
        <v>46220</v>
      </c>
      <c r="N619" s="8" t="s">
        <v>38</v>
      </c>
      <c r="O619" s="12"/>
      <c r="P619" s="13"/>
      <c r="Q619" s="14"/>
      <c r="R619" s="18"/>
      <c r="S619" s="18">
        <f>IFERROR(H619*AG619,"")</f>
        <v>0</v>
      </c>
      <c r="T619" s="19"/>
      <c r="U619" s="16"/>
      <c r="V619" s="12"/>
      <c r="W619" s="13"/>
      <c r="X619" s="14"/>
      <c r="Y619" s="14"/>
      <c r="Z619" s="20"/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4542</v>
      </c>
      <c r="B620" s="21" t="s">
        <v>4543</v>
      </c>
      <c r="C620" s="1">
        <v>1</v>
      </c>
      <c r="D620" s="1" t="s">
        <v>4544</v>
      </c>
      <c r="E620" s="7">
        <v>4407</v>
      </c>
      <c r="F620" s="7">
        <v>38</v>
      </c>
      <c r="G620" s="1">
        <v>753.9</v>
      </c>
      <c r="H620" s="34">
        <f>Tabela1[[#This Row],[PESO UNI]]*Tabela1[[#This Row],[QTE]]</f>
        <v>753.9</v>
      </c>
      <c r="I620" s="7">
        <v>0</v>
      </c>
      <c r="J620" s="8" t="s">
        <v>3140</v>
      </c>
      <c r="K620" s="8" t="s">
        <v>4324</v>
      </c>
      <c r="L620" s="9" t="s">
        <v>2984</v>
      </c>
      <c r="M620" s="10">
        <v>46223</v>
      </c>
      <c r="N620" s="8"/>
      <c r="O620" s="12"/>
      <c r="P620" s="13"/>
      <c r="Q620" s="14"/>
      <c r="R620" s="18"/>
      <c r="S620" s="18">
        <f t="shared" ref="S620:S621" si="107">IFERROR(H620*AG620,"")</f>
        <v>0</v>
      </c>
      <c r="T620" s="19"/>
      <c r="U620" s="16"/>
      <c r="V620" s="12"/>
      <c r="W620" s="13"/>
      <c r="X620" s="14"/>
      <c r="Y620" s="14"/>
      <c r="Z620" s="20"/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4542</v>
      </c>
      <c r="B621" s="21" t="s">
        <v>4543</v>
      </c>
      <c r="C621" s="1">
        <v>2</v>
      </c>
      <c r="D621" s="1" t="s">
        <v>4545</v>
      </c>
      <c r="E621" s="7">
        <v>4408</v>
      </c>
      <c r="F621" s="7">
        <v>38</v>
      </c>
      <c r="G621" s="1">
        <v>81.099999999999994</v>
      </c>
      <c r="H621" s="34">
        <f>Tabela1[[#This Row],[PESO UNI]]*Tabela1[[#This Row],[QTE]]</f>
        <v>162.19999999999999</v>
      </c>
      <c r="I621" s="7">
        <v>0</v>
      </c>
      <c r="J621" s="8" t="s">
        <v>3140</v>
      </c>
      <c r="K621" s="8" t="s">
        <v>4324</v>
      </c>
      <c r="L621" s="9" t="s">
        <v>2984</v>
      </c>
      <c r="M621" s="10">
        <v>46223</v>
      </c>
      <c r="N621" s="8"/>
      <c r="O621" s="12"/>
      <c r="P621" s="13"/>
      <c r="Q621" s="14"/>
      <c r="R621" s="18"/>
      <c r="S621" s="18">
        <f t="shared" si="107"/>
        <v>0</v>
      </c>
      <c r="T621" s="19"/>
      <c r="U621" s="16"/>
      <c r="V621" s="12"/>
      <c r="W621" s="13"/>
      <c r="X621" s="14"/>
      <c r="Y621" s="14"/>
      <c r="Z621" s="20"/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4542</v>
      </c>
      <c r="B622" s="21" t="s">
        <v>4543</v>
      </c>
      <c r="C622" s="1">
        <v>2</v>
      </c>
      <c r="D622" s="1" t="s">
        <v>4546</v>
      </c>
      <c r="E622" s="7">
        <v>4409</v>
      </c>
      <c r="F622" s="7">
        <v>38</v>
      </c>
      <c r="G622" s="1">
        <v>51.8</v>
      </c>
      <c r="H622" s="34">
        <f>Tabela1[[#This Row],[PESO UNI]]*Tabela1[[#This Row],[QTE]]</f>
        <v>103.6</v>
      </c>
      <c r="I622" s="7">
        <v>0</v>
      </c>
      <c r="J622" s="8" t="s">
        <v>3140</v>
      </c>
      <c r="K622" s="8" t="s">
        <v>4324</v>
      </c>
      <c r="L622" s="9" t="s">
        <v>2984</v>
      </c>
      <c r="M622" s="10">
        <v>46223</v>
      </c>
      <c r="N622" s="8"/>
      <c r="O622" s="12"/>
      <c r="P622" s="13"/>
      <c r="Q622" s="14"/>
      <c r="R622" s="18"/>
      <c r="S622" s="18">
        <f t="shared" ref="S622:S623" si="108">IFERROR(H622*AG622,"")</f>
        <v>0</v>
      </c>
      <c r="T622" s="19"/>
      <c r="U622" s="16"/>
      <c r="V622" s="12"/>
      <c r="W622" s="13"/>
      <c r="X622" s="14"/>
      <c r="Y622" s="14"/>
      <c r="Z622" s="20"/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4542</v>
      </c>
      <c r="B623" s="21" t="s">
        <v>4543</v>
      </c>
      <c r="C623" s="1">
        <v>2</v>
      </c>
      <c r="D623" s="1" t="s">
        <v>4547</v>
      </c>
      <c r="E623" s="7">
        <v>4410</v>
      </c>
      <c r="F623" s="7">
        <v>38</v>
      </c>
      <c r="G623" s="1">
        <v>2.7</v>
      </c>
      <c r="H623" s="34">
        <f>Tabela1[[#This Row],[PESO UNI]]*Tabela1[[#This Row],[QTE]]</f>
        <v>5.4</v>
      </c>
      <c r="I623" s="7">
        <v>0</v>
      </c>
      <c r="J623" s="8" t="s">
        <v>3140</v>
      </c>
      <c r="K623" s="8" t="s">
        <v>4324</v>
      </c>
      <c r="L623" s="9" t="s">
        <v>2984</v>
      </c>
      <c r="M623" s="10">
        <v>46223</v>
      </c>
      <c r="N623" s="8"/>
      <c r="O623" s="12"/>
      <c r="P623" s="13"/>
      <c r="Q623" s="14"/>
      <c r="R623" s="18"/>
      <c r="S623" s="18">
        <f t="shared" si="108"/>
        <v>0</v>
      </c>
      <c r="T623" s="19"/>
      <c r="U623" s="16"/>
      <c r="V623" s="12"/>
      <c r="W623" s="13"/>
      <c r="X623" s="14"/>
      <c r="Y623" s="14"/>
      <c r="Z623" s="20"/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4542</v>
      </c>
      <c r="B624" s="21" t="s">
        <v>4543</v>
      </c>
      <c r="C624" s="1">
        <v>2</v>
      </c>
      <c r="D624" s="1" t="s">
        <v>4548</v>
      </c>
      <c r="E624" s="7">
        <v>4411</v>
      </c>
      <c r="F624" s="7">
        <v>38</v>
      </c>
      <c r="G624" s="1">
        <v>0.75</v>
      </c>
      <c r="H624" s="34">
        <f>Tabela1[[#This Row],[PESO UNI]]*Tabela1[[#This Row],[QTE]]</f>
        <v>1.5</v>
      </c>
      <c r="I624" s="7">
        <v>0</v>
      </c>
      <c r="J624" s="8" t="s">
        <v>3140</v>
      </c>
      <c r="K624" s="8" t="s">
        <v>4324</v>
      </c>
      <c r="L624" s="9" t="s">
        <v>2984</v>
      </c>
      <c r="M624" s="10">
        <v>46223</v>
      </c>
      <c r="N624" s="8"/>
      <c r="O624" s="12"/>
      <c r="P624" s="13"/>
      <c r="Q624" s="14"/>
      <c r="R624" s="18"/>
      <c r="S624" s="18">
        <f>IFERROR(H624*AG624,"")</f>
        <v>0</v>
      </c>
      <c r="T624" s="19"/>
      <c r="U624" s="16"/>
      <c r="V624" s="12"/>
      <c r="W624" s="13"/>
      <c r="X624" s="14"/>
      <c r="Y624" s="14"/>
      <c r="Z624" s="20"/>
      <c r="AA624" s="17"/>
      <c r="AB624" s="33"/>
      <c r="AC624" s="33"/>
      <c r="AD624" s="33"/>
      <c r="AE624" s="33"/>
      <c r="AF624" s="33"/>
      <c r="AG624" s="33"/>
      <c r="AH624" s="33"/>
      <c r="AI624" s="33"/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4542</v>
      </c>
      <c r="B625" s="21" t="s">
        <v>4543</v>
      </c>
      <c r="C625" s="1">
        <v>2</v>
      </c>
      <c r="D625" s="1" t="s">
        <v>4549</v>
      </c>
      <c r="E625" s="7">
        <v>4412</v>
      </c>
      <c r="F625" s="7">
        <v>38</v>
      </c>
      <c r="G625" s="1">
        <v>0.8</v>
      </c>
      <c r="H625" s="34">
        <f>Tabela1[[#This Row],[PESO UNI]]*Tabela1[[#This Row],[QTE]]</f>
        <v>1.6</v>
      </c>
      <c r="I625" s="7">
        <v>0</v>
      </c>
      <c r="J625" s="8" t="s">
        <v>3140</v>
      </c>
      <c r="K625" s="8" t="s">
        <v>4324</v>
      </c>
      <c r="L625" s="9" t="s">
        <v>2984</v>
      </c>
      <c r="M625" s="10">
        <v>46223</v>
      </c>
      <c r="N625" s="8"/>
      <c r="O625" s="12"/>
      <c r="P625" s="13"/>
      <c r="Q625" s="14"/>
      <c r="R625" s="18"/>
      <c r="S625" s="18"/>
      <c r="T625" s="19"/>
      <c r="U625" s="16"/>
      <c r="V625" s="12"/>
      <c r="W625" s="13"/>
      <c r="X625" s="14"/>
      <c r="Y625" s="14"/>
      <c r="Z625" s="20"/>
      <c r="AA625" s="17"/>
      <c r="AB625" s="33"/>
      <c r="AC625" s="33"/>
      <c r="AD625" s="33"/>
      <c r="AE625" s="33"/>
      <c r="AF625" s="33"/>
      <c r="AG625" s="33"/>
      <c r="AH625" s="33"/>
      <c r="AI625" s="33"/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</sheetData>
  <phoneticPr fontId="6" type="noConversion"/>
  <conditionalFormatting sqref="B567:B606 I567:I606 M567:M606 H580:H606 A607:D608 H607:J608">
    <cfRule type="expression" dxfId="44" priority="26829">
      <formula>#REF!="OK"</formula>
    </cfRule>
  </conditionalFormatting>
  <conditionalFormatting sqref="H579">
    <cfRule type="expression" dxfId="43" priority="26827">
      <formula>$AI607="OK"</formula>
    </cfRule>
  </conditionalFormatting>
  <conditionalFormatting sqref="J608:J625 AA608:AI625 E609:E625">
    <cfRule type="expression" dxfId="42" priority="1">
      <formula>$AI608="OK"</formula>
    </cfRule>
  </conditionalFormatting>
  <conditionalFormatting sqref="K154:K439">
    <cfRule type="expression" dxfId="41" priority="76">
      <formula>#REF!="OK"</formula>
    </cfRule>
  </conditionalFormatting>
  <conditionalFormatting sqref="K559:K625 F567:F625 O567:Z625 L607:N625 B609:B625 H609:I625">
    <cfRule type="expression" dxfId="40" priority="2">
      <formula>#REF!="OK"</formula>
    </cfRule>
  </conditionalFormatting>
  <conditionalFormatting sqref="L2:L27">
    <cfRule type="expression" dxfId="39" priority="26603">
      <formula>$AI33="OK"</formula>
    </cfRule>
  </conditionalFormatting>
  <conditionalFormatting sqref="L215:L257 L397:L409">
    <cfRule type="expression" dxfId="38" priority="26540">
      <formula>$AI258="OK"</formula>
    </cfRule>
  </conditionalFormatting>
  <conditionalFormatting sqref="L410:L439 L451:L452">
    <cfRule type="expression" dxfId="37" priority="26705">
      <formula>$AI462="OK"</formula>
    </cfRule>
  </conditionalFormatting>
  <conditionalFormatting sqref="N2:N461 K446:K461">
    <cfRule type="expression" dxfId="36" priority="26393">
      <formula>#REF!="OK"</formula>
    </cfRule>
  </conditionalFormatting>
  <conditionalFormatting sqref="N559:N606">
    <cfRule type="expression" dxfId="35" priority="7">
      <formula>$AI559="OK"</formula>
    </cfRule>
  </conditionalFormatting>
  <conditionalFormatting sqref="O453:O461 Q462:Q625">
    <cfRule type="cellIs" dxfId="34" priority="23" operator="greaterThanOrEqual">
      <formula>0</formula>
    </cfRule>
  </conditionalFormatting>
  <conditionalFormatting sqref="O456:P456">
    <cfRule type="expression" dxfId="33" priority="33">
      <formula>#REF!="OK"</formula>
    </cfRule>
  </conditionalFormatting>
  <conditionalFormatting sqref="O2:Z27 A2:D27 F2:F27 H2:K27 M2:M27 H154:H420 H462:H574">
    <cfRule type="expression" dxfId="32" priority="26636">
      <formula>$AI34="OK"</formula>
    </cfRule>
  </conditionalFormatting>
  <conditionalFormatting sqref="O562:Z565 Z563:Z566 B562:B565 F562:F565 I562:I565 M562:M565 H575:H578">
    <cfRule type="expression" dxfId="31" priority="26790">
      <formula>#REF!="OK"</formula>
    </cfRule>
  </conditionalFormatting>
  <conditionalFormatting sqref="O566:Z566 H421:H439 B566 F566 I566 M566">
    <cfRule type="expression" dxfId="30" priority="26704">
      <formula>$AI462="OK"</formula>
    </cfRule>
  </conditionalFormatting>
  <conditionalFormatting sqref="Q2:Q459">
    <cfRule type="cellIs" dxfId="29" priority="26302" operator="lessThan">
      <formula>0</formula>
    </cfRule>
    <cfRule type="cellIs" dxfId="28" priority="26303" operator="greaterThanOrEqual">
      <formula>0</formula>
    </cfRule>
  </conditionalFormatting>
  <conditionalFormatting sqref="Q462:Q625 O453:O461">
    <cfRule type="cellIs" dxfId="27" priority="22" operator="lessThan">
      <formula>0</formula>
    </cfRule>
  </conditionalFormatting>
  <conditionalFormatting sqref="S212">
    <cfRule type="expression" dxfId="26" priority="74">
      <formula>#REF!="OK"</formula>
    </cfRule>
  </conditionalFormatting>
  <conditionalFormatting sqref="S213:S256">
    <cfRule type="expression" dxfId="25" priority="73">
      <formula>$AI257="OK"</formula>
    </cfRule>
  </conditionalFormatting>
  <conditionalFormatting sqref="S394">
    <cfRule type="expression" dxfId="24" priority="75">
      <formula>#REF!="OK"</formula>
    </cfRule>
  </conditionalFormatting>
  <conditionalFormatting sqref="S449:Z449 O449:Q449 A449:D449 F449 J449 M449 L450:L452 A456:D456 F456 M456 L457:L461">
    <cfRule type="expression" dxfId="23" priority="26660">
      <formula>#REF!="OK"</formula>
    </cfRule>
  </conditionalFormatting>
  <conditionalFormatting sqref="T2:T625 Y2:Z625">
    <cfRule type="cellIs" dxfId="22" priority="26305" operator="greaterThanOrEqual">
      <formula>0</formula>
    </cfRule>
  </conditionalFormatting>
  <conditionalFormatting sqref="T28:Z212 T258:Z394 O503:Z561 O28:R212 O258:R394 H28:K153 S28:S211 A28:D212 F28:F212 M28:M212 I154:J212 S257:S393 A258:D394 F258:F394 I258:J394 M258:M394 B559:B561 F559:F561 I559:I561 M559:M561">
    <cfRule type="expression" dxfId="21" priority="26334">
      <formula>$AI73="OK"</formula>
    </cfRule>
  </conditionalFormatting>
  <conditionalFormatting sqref="T213:Z213 O213:R213 A213:D213 F213 I213:J213 M213">
    <cfRule type="expression" dxfId="20" priority="26514">
      <formula>#REF!="OK"</formula>
    </cfRule>
  </conditionalFormatting>
  <conditionalFormatting sqref="T214:Z257 T396:Z406 O407:Z408 O462:Z502 Z503:Z504 Z508:Z518 Z520:Z521 Z530 Z542:Z543 Z548 Z552 Z559:Z562 O214:R257 O396:R406 L28:L214 A214:D257 F214:F257 I214:J257 M214:M257 L258:L395 S395:S406 A396:D408 F396:F408 I396:J408 M396:M408">
    <cfRule type="expression" dxfId="19" priority="26402">
      <formula>$AI72="OK"</formula>
    </cfRule>
  </conditionalFormatting>
  <conditionalFormatting sqref="T395:Z395 O395:R395 A395:D395 F395 I395:J395 M395 L396">
    <cfRule type="expression" dxfId="18" priority="26565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17" priority="26675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16" priority="26661">
      <formula>$AI493="OK"</formula>
    </cfRule>
  </conditionalFormatting>
  <conditionalFormatting sqref="T608:Z608 Q608:R608 H608">
    <cfRule type="expression" dxfId="15" priority="26842">
      <formula>$AI670="OK"</formula>
    </cfRule>
  </conditionalFormatting>
  <conditionalFormatting sqref="V453:Y454 R453:T461 V455:Z461">
    <cfRule type="expression" dxfId="14" priority="26760">
      <formula>$AI490="OK"</formula>
    </cfRule>
  </conditionalFormatting>
  <conditionalFormatting sqref="Y2:Z625 T2:T625">
    <cfRule type="cellIs" dxfId="13" priority="26304" operator="lessThan">
      <formula>0</formula>
    </cfRule>
  </conditionalFormatting>
  <conditionalFormatting sqref="Z453:Z454">
    <cfRule type="expression" dxfId="12" priority="6">
      <formula>$AI497="OK"</formula>
    </cfRule>
  </conditionalFormatting>
  <conditionalFormatting sqref="Z567">
    <cfRule type="expression" dxfId="11" priority="26820">
      <formula>$AI607="OK"</formula>
    </cfRule>
  </conditionalFormatting>
  <conditionalFormatting sqref="Z608">
    <cfRule type="expression" dxfId="10" priority="26845">
      <formula>$AI669="OK"</formula>
    </cfRule>
  </conditionalFormatting>
  <conditionalFormatting sqref="AA489:AH607 AI489:AI613 E559:E607 L608">
    <cfRule type="expression" dxfId="9" priority="67">
      <formula>$AI489="OK"</formula>
    </cfRule>
  </conditionalFormatting>
  <conditionalFormatting sqref="AA2:AI28 E2:E461 AA29:AH452 AI29:AI462 AA453:AG459 AA460:AE461 AA462:AH462 A462:G558 I462:N558 AA463:AI606 J559:J606 L559:L606">
    <cfRule type="expression" dxfId="8" priority="26300">
      <formula>$AI2="OK"</formula>
    </cfRule>
  </conditionalFormatting>
  <conditionalFormatting sqref="AA2:AI28 AA29:AH452 AI29:AI462 AJ154:AW154 AA453:AG459 AA460:AE461 AA462:AH462 AA463:AI625">
    <cfRule type="cellIs" dxfId="7" priority="26301" operator="greaterThanOrEqual">
      <formula>1</formula>
    </cfRule>
  </conditionalFormatting>
  <conditionalFormatting sqref="AJ154:AW154">
    <cfRule type="expression" dxfId="6" priority="78">
      <formula>$AI154="OK"</formula>
    </cfRule>
  </conditionalFormatting>
  <pageMargins left="0" right="0" top="0" bottom="0" header="0" footer="0"/>
  <pageSetup paperSize="8" scale="4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4"/>
  <sheetViews>
    <sheetView workbookViewId="0">
      <selection activeCell="E2" sqref="E2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ht="45" x14ac:dyDescent="0.25">
      <c r="A2" s="184">
        <v>188</v>
      </c>
      <c r="B2" s="107" t="s">
        <v>2071</v>
      </c>
      <c r="C2" s="185">
        <v>46188</v>
      </c>
      <c r="D2" s="185">
        <v>46230</v>
      </c>
      <c r="E2" s="192" t="s">
        <v>4519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3169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187">
        <v>200</v>
      </c>
      <c r="B5" s="191" t="s">
        <v>2994</v>
      </c>
      <c r="C5" s="189">
        <v>46219</v>
      </c>
      <c r="D5" s="189"/>
      <c r="E5" s="193" t="s">
        <v>496</v>
      </c>
      <c r="F5" s="107" t="s">
        <v>2993</v>
      </c>
    </row>
    <row r="6" spans="1:6" ht="30" x14ac:dyDescent="0.25">
      <c r="A6" s="187">
        <v>201</v>
      </c>
      <c r="B6" s="191" t="s">
        <v>2992</v>
      </c>
      <c r="C6" s="189">
        <v>46198</v>
      </c>
      <c r="D6" s="189"/>
      <c r="E6" s="193" t="s">
        <v>3167</v>
      </c>
      <c r="F6" s="107" t="s">
        <v>2991</v>
      </c>
    </row>
    <row r="7" spans="1:6" ht="75" x14ac:dyDescent="0.25">
      <c r="A7" s="187">
        <v>202</v>
      </c>
      <c r="B7" s="191" t="s">
        <v>3007</v>
      </c>
      <c r="C7" s="194">
        <v>46198</v>
      </c>
      <c r="D7" s="189"/>
      <c r="E7" s="193" t="s">
        <v>4518</v>
      </c>
      <c r="F7" s="107" t="s">
        <v>3006</v>
      </c>
    </row>
    <row r="8" spans="1:6" ht="45" x14ac:dyDescent="0.25">
      <c r="A8" s="187">
        <v>203</v>
      </c>
      <c r="B8" s="188" t="s">
        <v>3164</v>
      </c>
      <c r="C8" s="189">
        <v>46202</v>
      </c>
      <c r="D8" s="189">
        <v>46230</v>
      </c>
      <c r="E8" s="193" t="s">
        <v>4330</v>
      </c>
      <c r="F8" s="107" t="s">
        <v>3009</v>
      </c>
    </row>
    <row r="9" spans="1:6" ht="45" x14ac:dyDescent="0.25">
      <c r="A9" s="187">
        <v>204</v>
      </c>
      <c r="B9" s="188" t="s">
        <v>3164</v>
      </c>
      <c r="C9" s="189">
        <v>46226</v>
      </c>
      <c r="D9" s="189"/>
      <c r="E9" s="193" t="s">
        <v>3315</v>
      </c>
      <c r="F9" s="107" t="s">
        <v>3009</v>
      </c>
    </row>
    <row r="10" spans="1:6" x14ac:dyDescent="0.25">
      <c r="A10" s="187">
        <v>205</v>
      </c>
      <c r="B10" s="188" t="s">
        <v>3166</v>
      </c>
      <c r="C10" s="189">
        <v>46235</v>
      </c>
      <c r="D10" s="189"/>
      <c r="E10" s="190" t="s">
        <v>1875</v>
      </c>
      <c r="F10" s="107" t="s">
        <v>3165</v>
      </c>
    </row>
    <row r="11" spans="1:6" ht="30" x14ac:dyDescent="0.25">
      <c r="A11" s="184">
        <v>207</v>
      </c>
      <c r="B11" s="208" t="s">
        <v>3293</v>
      </c>
      <c r="C11" s="185">
        <v>46336</v>
      </c>
      <c r="D11" s="185"/>
      <c r="E11" s="186" t="s">
        <v>3294</v>
      </c>
      <c r="F11" s="107" t="s">
        <v>3292</v>
      </c>
    </row>
    <row r="12" spans="1:6" ht="33" customHeight="1" x14ac:dyDescent="0.25">
      <c r="A12" s="187">
        <v>208</v>
      </c>
      <c r="B12" s="191" t="s">
        <v>4310</v>
      </c>
      <c r="C12" s="189">
        <v>46233</v>
      </c>
      <c r="D12" s="189"/>
      <c r="E12" s="193" t="s">
        <v>1875</v>
      </c>
      <c r="F12" s="188" t="s">
        <v>4309</v>
      </c>
    </row>
    <row r="13" spans="1:6" ht="21" customHeight="1" x14ac:dyDescent="0.25">
      <c r="A13" s="187">
        <v>209</v>
      </c>
      <c r="B13" s="188" t="s">
        <v>4311</v>
      </c>
      <c r="C13" s="189">
        <v>46280</v>
      </c>
      <c r="D13" s="189"/>
      <c r="E13" s="190" t="s">
        <v>1875</v>
      </c>
      <c r="F13" s="188" t="s">
        <v>4327</v>
      </c>
    </row>
    <row r="14" spans="1:6" ht="121.15" customHeight="1" x14ac:dyDescent="0.25">
      <c r="A14" s="187">
        <v>898</v>
      </c>
      <c r="B14" s="191" t="s">
        <v>4447</v>
      </c>
      <c r="C14" s="189">
        <v>46270</v>
      </c>
      <c r="D14" s="189"/>
      <c r="E14" s="190" t="s">
        <v>1875</v>
      </c>
      <c r="F14" s="188" t="s">
        <v>4446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C25" activePane="bottomRight" state="frozen"/>
      <selection pane="topRight" activeCell="D1" sqref="D1"/>
      <selection pane="bottomLeft" activeCell="A6" sqref="A6"/>
      <selection pane="bottomRight" activeCell="I21" sqref="I21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56" t="e" vm="1">
        <v>#VALUE!</v>
      </c>
      <c r="D2" s="257"/>
      <c r="E2" s="260" t="s">
        <v>320</v>
      </c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/>
      <c r="S2" s="260"/>
      <c r="T2" s="261"/>
      <c r="U2" s="264" t="s">
        <v>246</v>
      </c>
      <c r="V2" s="254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58"/>
      <c r="D3" s="259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3"/>
      <c r="U3" s="265"/>
      <c r="V3" s="255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24" t="s">
        <v>2070</v>
      </c>
      <c r="D6" s="227" t="s">
        <v>2069</v>
      </c>
      <c r="E6" s="230" t="s">
        <v>2071</v>
      </c>
      <c r="F6" s="233">
        <v>46183</v>
      </c>
      <c r="G6" s="245">
        <v>46220</v>
      </c>
      <c r="H6" s="248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42">
        <f>T9/T6</f>
        <v>0.89224694357961887</v>
      </c>
      <c r="V6" s="221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25"/>
      <c r="D7" s="228"/>
      <c r="E7" s="231"/>
      <c r="F7" s="234"/>
      <c r="G7" s="246"/>
      <c r="H7" s="249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43"/>
      <c r="V7" s="22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25"/>
      <c r="D8" s="228"/>
      <c r="E8" s="231"/>
      <c r="F8" s="234"/>
      <c r="G8" s="246"/>
      <c r="H8" s="249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3"/>
      <c r="V8" s="22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25"/>
      <c r="D9" s="228"/>
      <c r="E9" s="231"/>
      <c r="F9" s="234"/>
      <c r="G9" s="246"/>
      <c r="H9" s="249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3"/>
      <c r="V9" s="22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26"/>
      <c r="D10" s="229"/>
      <c r="E10" s="232"/>
      <c r="F10" s="235"/>
      <c r="G10" s="247"/>
      <c r="H10" s="250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44"/>
      <c r="V10" s="22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24" t="s">
        <v>2987</v>
      </c>
      <c r="D12" s="227" t="s">
        <v>2551</v>
      </c>
      <c r="E12" s="230" t="s">
        <v>2986</v>
      </c>
      <c r="F12" s="233">
        <v>46205</v>
      </c>
      <c r="G12" s="245"/>
      <c r="H12" s="251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2">
        <f>T15/T12</f>
        <v>0.76586952907929418</v>
      </c>
      <c r="V12" s="221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25"/>
      <c r="D13" s="228"/>
      <c r="E13" s="231"/>
      <c r="F13" s="234"/>
      <c r="G13" s="246"/>
      <c r="H13" s="252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3"/>
      <c r="V13" s="22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25"/>
      <c r="D14" s="228"/>
      <c r="E14" s="231"/>
      <c r="F14" s="234"/>
      <c r="G14" s="246"/>
      <c r="H14" s="252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3"/>
      <c r="V14" s="22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25"/>
      <c r="D15" s="228"/>
      <c r="E15" s="231"/>
      <c r="F15" s="234"/>
      <c r="G15" s="246"/>
      <c r="H15" s="252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3"/>
      <c r="V15" s="22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26"/>
      <c r="D16" s="229"/>
      <c r="E16" s="232"/>
      <c r="F16" s="235"/>
      <c r="G16" s="247"/>
      <c r="H16" s="253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44"/>
      <c r="V16" s="22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24" t="s">
        <v>2983</v>
      </c>
      <c r="D18" s="227" t="s">
        <v>2984</v>
      </c>
      <c r="E18" s="230" t="s">
        <v>2985</v>
      </c>
      <c r="F18" s="233">
        <v>46289</v>
      </c>
      <c r="G18" s="245"/>
      <c r="H18" s="239" t="s">
        <v>4328</v>
      </c>
      <c r="I18" s="127" t="s">
        <v>3031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42">
        <f>T21/T18</f>
        <v>0.32605272021629422</v>
      </c>
      <c r="V18" s="221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25"/>
      <c r="D19" s="228"/>
      <c r="E19" s="231"/>
      <c r="F19" s="234"/>
      <c r="G19" s="246"/>
      <c r="H19" s="240"/>
      <c r="I19" s="129" t="s">
        <v>3028</v>
      </c>
      <c r="J19" s="130">
        <f t="shared" ref="J19" si="17">J18-J20</f>
        <v>5.6496000000000004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9.1053999999999995</v>
      </c>
      <c r="N19" s="130">
        <f>N18-N20</f>
        <v>7.5901000000000014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27.855200000000004</v>
      </c>
      <c r="U19" s="243"/>
      <c r="V19" s="22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25"/>
      <c r="D20" s="228"/>
      <c r="E20" s="231"/>
      <c r="F20" s="234"/>
      <c r="G20" s="246"/>
      <c r="H20" s="240"/>
      <c r="I20" s="129" t="s">
        <v>3030</v>
      </c>
      <c r="J20" s="131">
        <f>SUMIF(PERFORMANCE!$N:$N,W18,PERFORMANCE!$Q:$Q)/1000</f>
        <v>1.9764000000000002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0.17599999999999999</v>
      </c>
      <c r="N20" s="131">
        <f>SUMIF(PERFORMANCE!$N:$N,AA18,PERFORMANCE!$Q:$Q)/1000</f>
        <v>2.9474999999999998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5.0998999999999999</v>
      </c>
      <c r="U20" s="243"/>
      <c r="V20" s="22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25"/>
      <c r="D21" s="228"/>
      <c r="E21" s="231"/>
      <c r="F21" s="234"/>
      <c r="G21" s="246"/>
      <c r="H21" s="240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3.1549999999999998</v>
      </c>
      <c r="N21" s="131">
        <f>SUMIF(PERFORMANCE!$N:$N,MACRO!AA18,PERFORMANCE!$R:$R)/1000</f>
        <v>7.5900999999999996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10.745099999999999</v>
      </c>
      <c r="U21" s="243"/>
      <c r="V21" s="22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26"/>
      <c r="D22" s="229"/>
      <c r="E22" s="232"/>
      <c r="F22" s="235"/>
      <c r="G22" s="247"/>
      <c r="H22" s="241"/>
      <c r="I22" s="133" t="s">
        <v>3029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6.1264000000000003</v>
      </c>
      <c r="N22" s="134">
        <f t="shared" si="28"/>
        <v>2.9475000000000016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22.21</v>
      </c>
      <c r="U22" s="244"/>
      <c r="V22" s="22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24" t="s">
        <v>3292</v>
      </c>
      <c r="D24" s="227" t="s">
        <v>3291</v>
      </c>
      <c r="E24" s="230" t="s">
        <v>3293</v>
      </c>
      <c r="F24" s="233">
        <v>46336</v>
      </c>
      <c r="G24" s="236"/>
      <c r="H24" s="239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2">
        <v>0</v>
      </c>
      <c r="V24" s="22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25"/>
      <c r="D25" s="228"/>
      <c r="E25" s="231"/>
      <c r="F25" s="234"/>
      <c r="G25" s="237"/>
      <c r="H25" s="240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3"/>
      <c r="V25" s="22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25"/>
      <c r="D26" s="228"/>
      <c r="E26" s="231"/>
      <c r="F26" s="234"/>
      <c r="G26" s="237"/>
      <c r="H26" s="240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3"/>
      <c r="V26" s="22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25"/>
      <c r="D27" s="228"/>
      <c r="E27" s="231"/>
      <c r="F27" s="234"/>
      <c r="G27" s="237"/>
      <c r="H27" s="240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3"/>
      <c r="V27" s="22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26"/>
      <c r="D28" s="229"/>
      <c r="E28" s="232"/>
      <c r="F28" s="235"/>
      <c r="G28" s="238"/>
      <c r="H28" s="241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44"/>
      <c r="V28" s="22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24" t="s">
        <v>2993</v>
      </c>
      <c r="D30" s="227" t="s">
        <v>2989</v>
      </c>
      <c r="E30" s="230" t="s">
        <v>2994</v>
      </c>
      <c r="F30" s="233">
        <v>46219</v>
      </c>
      <c r="G30" s="236"/>
      <c r="H30" s="248" t="s">
        <v>3314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2">
        <v>0</v>
      </c>
      <c r="V30" s="22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25"/>
      <c r="D31" s="228"/>
      <c r="E31" s="231"/>
      <c r="F31" s="234"/>
      <c r="G31" s="237"/>
      <c r="H31" s="249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3"/>
      <c r="V31" s="22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25"/>
      <c r="D32" s="228"/>
      <c r="E32" s="231"/>
      <c r="F32" s="234"/>
      <c r="G32" s="237"/>
      <c r="H32" s="249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3"/>
      <c r="V32" s="22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25"/>
      <c r="D33" s="228"/>
      <c r="E33" s="231"/>
      <c r="F33" s="234"/>
      <c r="G33" s="237"/>
      <c r="H33" s="249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3"/>
      <c r="V33" s="22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26"/>
      <c r="D34" s="229"/>
      <c r="E34" s="232"/>
      <c r="F34" s="235"/>
      <c r="G34" s="238"/>
      <c r="H34" s="250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44"/>
      <c r="V34" s="22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24" t="s">
        <v>2995</v>
      </c>
      <c r="D36" s="227" t="s">
        <v>2990</v>
      </c>
      <c r="E36" s="230" t="s">
        <v>2992</v>
      </c>
      <c r="F36" s="233">
        <v>46198</v>
      </c>
      <c r="G36" s="266"/>
      <c r="H36" s="251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2">
        <v>0</v>
      </c>
      <c r="V36" s="22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25"/>
      <c r="D37" s="228"/>
      <c r="E37" s="231"/>
      <c r="F37" s="234"/>
      <c r="G37" s="267"/>
      <c r="H37" s="252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43"/>
      <c r="V37" s="22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25"/>
      <c r="D38" s="228"/>
      <c r="E38" s="231"/>
      <c r="F38" s="234"/>
      <c r="G38" s="267"/>
      <c r="H38" s="252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43"/>
      <c r="V38" s="22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25"/>
      <c r="D39" s="228"/>
      <c r="E39" s="231"/>
      <c r="F39" s="234"/>
      <c r="G39" s="267"/>
      <c r="H39" s="252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43"/>
      <c r="V39" s="22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26"/>
      <c r="D40" s="229"/>
      <c r="E40" s="232"/>
      <c r="F40" s="235"/>
      <c r="G40" s="268"/>
      <c r="H40" s="253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44"/>
      <c r="V40" s="22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24" t="s">
        <v>3006</v>
      </c>
      <c r="D42" s="227" t="s">
        <v>3004</v>
      </c>
      <c r="E42" s="230" t="s">
        <v>3007</v>
      </c>
      <c r="F42" s="233">
        <v>46188</v>
      </c>
      <c r="G42" s="266">
        <v>46220</v>
      </c>
      <c r="H42" s="248" t="s">
        <v>4329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2">
        <v>0</v>
      </c>
      <c r="V42" s="22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25"/>
      <c r="D43" s="228"/>
      <c r="E43" s="231"/>
      <c r="F43" s="234"/>
      <c r="G43" s="267"/>
      <c r="H43" s="249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43"/>
      <c r="V43" s="22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25"/>
      <c r="D44" s="228"/>
      <c r="E44" s="231"/>
      <c r="F44" s="234"/>
      <c r="G44" s="267"/>
      <c r="H44" s="249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43"/>
      <c r="V44" s="22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25"/>
      <c r="D45" s="228"/>
      <c r="E45" s="231"/>
      <c r="F45" s="234"/>
      <c r="G45" s="267"/>
      <c r="H45" s="249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43"/>
      <c r="V45" s="22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26"/>
      <c r="D46" s="229"/>
      <c r="E46" s="232"/>
      <c r="F46" s="235"/>
      <c r="G46" s="268"/>
      <c r="H46" s="250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44"/>
      <c r="V46" s="22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24" t="s">
        <v>3009</v>
      </c>
      <c r="D48" s="227" t="s">
        <v>3005</v>
      </c>
      <c r="E48" s="230" t="s">
        <v>3008</v>
      </c>
      <c r="F48" s="233">
        <v>46202</v>
      </c>
      <c r="G48" s="266">
        <v>46233</v>
      </c>
      <c r="H48" s="248" t="s">
        <v>4330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2">
        <v>0</v>
      </c>
      <c r="V48" s="22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25"/>
      <c r="D49" s="228"/>
      <c r="E49" s="231"/>
      <c r="F49" s="234"/>
      <c r="G49" s="267"/>
      <c r="H49" s="249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3"/>
      <c r="V49" s="22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25"/>
      <c r="D50" s="228"/>
      <c r="E50" s="231"/>
      <c r="F50" s="234"/>
      <c r="G50" s="267"/>
      <c r="H50" s="249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3"/>
      <c r="V50" s="22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25"/>
      <c r="D51" s="228"/>
      <c r="E51" s="231"/>
      <c r="F51" s="234"/>
      <c r="G51" s="267"/>
      <c r="H51" s="249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43"/>
      <c r="V51" s="22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26"/>
      <c r="D52" s="229"/>
      <c r="E52" s="232"/>
      <c r="F52" s="235"/>
      <c r="G52" s="268"/>
      <c r="H52" s="250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44"/>
      <c r="V52" s="22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24" t="s">
        <v>3009</v>
      </c>
      <c r="D54" s="227" t="s">
        <v>3111</v>
      </c>
      <c r="E54" s="230" t="s">
        <v>3164</v>
      </c>
      <c r="F54" s="233">
        <v>46226</v>
      </c>
      <c r="G54" s="236"/>
      <c r="H54" s="248" t="s">
        <v>3315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2">
        <v>0</v>
      </c>
      <c r="V54" s="22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25"/>
      <c r="D55" s="228"/>
      <c r="E55" s="231"/>
      <c r="F55" s="234"/>
      <c r="G55" s="237"/>
      <c r="H55" s="249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3"/>
      <c r="V55" s="22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25"/>
      <c r="D56" s="228"/>
      <c r="E56" s="231"/>
      <c r="F56" s="234"/>
      <c r="G56" s="237"/>
      <c r="H56" s="249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3"/>
      <c r="V56" s="22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25"/>
      <c r="D57" s="228"/>
      <c r="E57" s="231"/>
      <c r="F57" s="234"/>
      <c r="G57" s="237"/>
      <c r="H57" s="249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43"/>
      <c r="V57" s="22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26"/>
      <c r="D58" s="229"/>
      <c r="E58" s="232"/>
      <c r="F58" s="235"/>
      <c r="G58" s="238"/>
      <c r="H58" s="250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44"/>
      <c r="V58" s="22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24" t="s">
        <v>3165</v>
      </c>
      <c r="D60" s="227" t="s">
        <v>3163</v>
      </c>
      <c r="E60" s="230" t="s">
        <v>3166</v>
      </c>
      <c r="F60" s="233">
        <v>46235</v>
      </c>
      <c r="G60" s="236"/>
      <c r="H60" s="239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2">
        <v>0</v>
      </c>
      <c r="V60" s="22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25"/>
      <c r="D61" s="228"/>
      <c r="E61" s="231"/>
      <c r="F61" s="234"/>
      <c r="G61" s="237"/>
      <c r="H61" s="240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43"/>
      <c r="V61" s="22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25"/>
      <c r="D62" s="228"/>
      <c r="E62" s="231"/>
      <c r="F62" s="234"/>
      <c r="G62" s="237"/>
      <c r="H62" s="240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43"/>
      <c r="V62" s="22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25"/>
      <c r="D63" s="228"/>
      <c r="E63" s="231"/>
      <c r="F63" s="234"/>
      <c r="G63" s="237"/>
      <c r="H63" s="240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43"/>
      <c r="V63" s="22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26"/>
      <c r="D64" s="229"/>
      <c r="E64" s="232"/>
      <c r="F64" s="235"/>
      <c r="G64" s="238"/>
      <c r="H64" s="241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44"/>
      <c r="V64" s="22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24" t="s">
        <v>4309</v>
      </c>
      <c r="D66" s="227" t="s">
        <v>4301</v>
      </c>
      <c r="E66" s="230" t="s">
        <v>4310</v>
      </c>
      <c r="F66" s="233">
        <v>46233</v>
      </c>
      <c r="G66" s="236"/>
      <c r="H66" s="239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2">
        <v>0</v>
      </c>
      <c r="V66" s="22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25"/>
      <c r="D67" s="228"/>
      <c r="E67" s="231"/>
      <c r="F67" s="234"/>
      <c r="G67" s="237"/>
      <c r="H67" s="240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43"/>
      <c r="V67" s="22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25"/>
      <c r="D68" s="228"/>
      <c r="E68" s="231"/>
      <c r="F68" s="234"/>
      <c r="G68" s="237"/>
      <c r="H68" s="240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43"/>
      <c r="V68" s="22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25"/>
      <c r="D69" s="228"/>
      <c r="E69" s="231"/>
      <c r="F69" s="234"/>
      <c r="G69" s="237"/>
      <c r="H69" s="240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3"/>
      <c r="V69" s="22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26"/>
      <c r="D70" s="229"/>
      <c r="E70" s="232"/>
      <c r="F70" s="235"/>
      <c r="G70" s="238"/>
      <c r="H70" s="241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44"/>
      <c r="V70" s="22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24" t="s">
        <v>3165</v>
      </c>
      <c r="D72" s="227" t="s">
        <v>4308</v>
      </c>
      <c r="E72" s="230" t="s">
        <v>4311</v>
      </c>
      <c r="F72" s="233">
        <v>46280</v>
      </c>
      <c r="G72" s="236"/>
      <c r="H72" s="239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2">
        <v>0</v>
      </c>
      <c r="V72" s="22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25"/>
      <c r="D73" s="228"/>
      <c r="E73" s="231"/>
      <c r="F73" s="234"/>
      <c r="G73" s="237"/>
      <c r="H73" s="240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3"/>
      <c r="V73" s="22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25"/>
      <c r="D74" s="228"/>
      <c r="E74" s="231"/>
      <c r="F74" s="234"/>
      <c r="G74" s="237"/>
      <c r="H74" s="240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3"/>
      <c r="V74" s="22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25"/>
      <c r="D75" s="228"/>
      <c r="E75" s="231"/>
      <c r="F75" s="234"/>
      <c r="G75" s="237"/>
      <c r="H75" s="240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3"/>
      <c r="V75" s="22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26"/>
      <c r="D76" s="229"/>
      <c r="E76" s="232"/>
      <c r="F76" s="235"/>
      <c r="G76" s="238"/>
      <c r="H76" s="241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44"/>
      <c r="V76" s="22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9" t="s">
        <v>326</v>
      </c>
      <c r="E79" s="271" t="s">
        <v>891</v>
      </c>
      <c r="F79" s="272"/>
      <c r="G79" s="272"/>
      <c r="H79" s="272"/>
      <c r="I79" s="272"/>
      <c r="J79" s="273"/>
      <c r="K79" s="274" t="s">
        <v>331</v>
      </c>
      <c r="L79" s="275"/>
      <c r="M79" s="275"/>
      <c r="N79" s="276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0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6.6255999999999986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9.3223999999999982</v>
      </c>
      <c r="I83" s="141">
        <f t="shared" ref="I83:M83" si="233">I81-I85</f>
        <v>7.6869000000000014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29.148599999999998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18.076400000000003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3.6992000000000003</v>
      </c>
      <c r="I85" s="144">
        <f t="shared" si="234"/>
        <v>4.9574999999999996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67.786799999999999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5.8249999999999993</v>
      </c>
      <c r="I86" s="98">
        <f t="shared" si="235"/>
        <v>9.6000999999999994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64.571100000000001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7.2016000000000009</v>
      </c>
      <c r="I87" s="146">
        <f t="shared" si="236"/>
        <v>3.0447000000000015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31.996100000000002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796"/>
  <sheetViews>
    <sheetView zoomScaleNormal="100" workbookViewId="0">
      <pane ySplit="1" topLeftCell="A4537" activePane="bottomLeft" state="frozen"/>
      <selection pane="bottomLeft" activeCell="B1" sqref="B1"/>
    </sheetView>
  </sheetViews>
  <sheetFormatPr defaultRowHeight="15" x14ac:dyDescent="0.25"/>
  <cols>
    <col min="2" max="2" width="9.42578125" customWidth="1"/>
    <col min="3" max="3" width="46.85546875" bestFit="1" customWidth="1"/>
    <col min="4" max="4" width="37.7109375" customWidth="1"/>
    <col min="5" max="5" width="9.85546875" bestFit="1" customWidth="1"/>
    <col min="6" max="6" width="36.14062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3306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3307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3308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3334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3335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3335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3336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3336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3337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3338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3339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3340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3341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3342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3343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3344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3345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3346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3347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3348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3349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3350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3351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3352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3353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3354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3355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3356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3357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3358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3359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3360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3337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3334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3361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3362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3363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3364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3365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3365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3365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3365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3349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3350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3366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3367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3368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3369</v>
      </c>
      <c r="D3972" s="1"/>
      <c r="E3972" s="1" t="s">
        <v>746</v>
      </c>
      <c r="F3972" s="1" t="s">
        <v>3370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3371</v>
      </c>
      <c r="D3973" s="1"/>
      <c r="E3973" s="1" t="s">
        <v>746</v>
      </c>
      <c r="F3973" s="1" t="s">
        <v>3370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3372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3373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3374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3375</v>
      </c>
      <c r="D4029" s="1"/>
      <c r="E4029" s="1"/>
      <c r="F4029" s="1" t="s">
        <v>3376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3375</v>
      </c>
      <c r="D4030" s="1"/>
      <c r="E4030" s="1"/>
      <c r="F4030" s="1" t="s">
        <v>3377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3375</v>
      </c>
      <c r="D4031" s="1"/>
      <c r="E4031" s="1"/>
      <c r="F4031" s="1" t="s">
        <v>3378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3379</v>
      </c>
      <c r="D4032" s="1"/>
      <c r="E4032" s="1" t="s">
        <v>2</v>
      </c>
      <c r="F4032" s="1" t="s">
        <v>3380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3379</v>
      </c>
      <c r="D4033" s="1"/>
      <c r="E4033" s="1" t="s">
        <v>43</v>
      </c>
      <c r="F4033" s="1" t="s">
        <v>3381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3379</v>
      </c>
      <c r="D4034" s="1"/>
      <c r="E4034" s="1" t="s">
        <v>746</v>
      </c>
      <c r="F4034" s="1" t="s">
        <v>3382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3370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3370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3370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3370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3383</v>
      </c>
      <c r="D4043" s="1"/>
      <c r="E4043" s="1"/>
      <c r="F4043" s="1" t="s">
        <v>3384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3383</v>
      </c>
      <c r="D4044" s="1"/>
      <c r="E4044" s="1"/>
      <c r="F4044" s="1" t="s">
        <v>3385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3383</v>
      </c>
      <c r="D4045" s="1"/>
      <c r="E4045" s="1"/>
      <c r="F4045" s="1" t="s">
        <v>3386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3387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3388</v>
      </c>
      <c r="D4047" s="1"/>
      <c r="E4047" s="1"/>
      <c r="F4047" s="1" t="s">
        <v>3389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3388</v>
      </c>
      <c r="D4048" s="1"/>
      <c r="E4048" s="1"/>
      <c r="F4048" s="1" t="s">
        <v>3390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3388</v>
      </c>
      <c r="D4049" s="1"/>
      <c r="E4049" s="1"/>
      <c r="F4049" s="1" t="s">
        <v>3391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3388</v>
      </c>
      <c r="D4050" s="1"/>
      <c r="E4050" s="1"/>
      <c r="F4050" s="1" t="s">
        <v>3392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3393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3394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3395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3396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3397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3398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3399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3400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3401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3402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3403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3404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3405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3406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3407</v>
      </c>
      <c r="F4094" s="1" t="s">
        <v>3408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3410</v>
      </c>
      <c r="F4095" s="1" t="s">
        <v>3411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3413</v>
      </c>
      <c r="F4096" s="1" t="s">
        <v>3414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3415</v>
      </c>
      <c r="F4097" s="1" t="s">
        <v>3416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3410</v>
      </c>
      <c r="F4098" s="1" t="s">
        <v>3411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3413</v>
      </c>
      <c r="F4099" s="1" t="s">
        <v>3417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3415</v>
      </c>
      <c r="F4100" s="1" t="s">
        <v>3414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3418</v>
      </c>
      <c r="F4101" s="1" t="s">
        <v>3419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3420</v>
      </c>
      <c r="F4102" s="1" t="s">
        <v>3421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3422</v>
      </c>
      <c r="F4103" s="1" t="s">
        <v>3414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3423</v>
      </c>
      <c r="F4104" s="1" t="s">
        <v>3424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3425</v>
      </c>
      <c r="F4105" s="1" t="s">
        <v>3426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3427</v>
      </c>
      <c r="F4106" s="1" t="s">
        <v>3428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3429</v>
      </c>
      <c r="F4107" s="1" t="s">
        <v>3430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3431</v>
      </c>
      <c r="F4108" s="1" t="s">
        <v>3432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3433</v>
      </c>
      <c r="F4109" s="1" t="s">
        <v>3434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3435</v>
      </c>
      <c r="F4110" s="1" t="s">
        <v>3436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3437</v>
      </c>
      <c r="F4111" s="1" t="s">
        <v>3411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3438</v>
      </c>
      <c r="F4112" s="1" t="s">
        <v>3414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3467</v>
      </c>
      <c r="F4113" s="1" t="s">
        <v>3468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3469</v>
      </c>
      <c r="F4114" s="1" t="s">
        <v>3470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3445</v>
      </c>
      <c r="F4115" s="1" t="s">
        <v>3471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3447</v>
      </c>
      <c r="F4116" s="1" t="s">
        <v>3472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3449</v>
      </c>
      <c r="F4117" s="1" t="s">
        <v>3473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3474</v>
      </c>
      <c r="F4118" s="1" t="s">
        <v>3475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3476</v>
      </c>
      <c r="F4119" s="1" t="s">
        <v>3477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3478</v>
      </c>
      <c r="F4120" s="1" t="s">
        <v>3479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3480</v>
      </c>
      <c r="F4121" s="1" t="s">
        <v>3481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3482</v>
      </c>
      <c r="F4122" s="1" t="s">
        <v>3483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3484</v>
      </c>
      <c r="F4123" s="1" t="s">
        <v>3485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3486</v>
      </c>
      <c r="F4124" s="1" t="s">
        <v>3485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3487</v>
      </c>
      <c r="F4125" s="1" t="s">
        <v>3485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3488</v>
      </c>
      <c r="F4126" s="1" t="s">
        <v>3489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3490</v>
      </c>
      <c r="F4127" s="1" t="s">
        <v>3489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3491</v>
      </c>
      <c r="F4128" s="1" t="s">
        <v>3489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3497</v>
      </c>
      <c r="F4129" s="1" t="s">
        <v>3498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3499</v>
      </c>
      <c r="F4130" s="1" t="s">
        <v>3500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3501</v>
      </c>
      <c r="F4131" s="1" t="s">
        <v>3498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3502</v>
      </c>
      <c r="F4132" s="1" t="s">
        <v>3485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3503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3504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3505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3506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3507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3513</v>
      </c>
      <c r="F4138" s="1" t="s">
        <v>3416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3542</v>
      </c>
      <c r="F4139" s="1" t="s">
        <v>3489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3543</v>
      </c>
      <c r="F4140" s="1" t="s">
        <v>3489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3544</v>
      </c>
      <c r="F4141" s="1" t="s">
        <v>3489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3545</v>
      </c>
      <c r="F4142" s="1" t="s">
        <v>3489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3546</v>
      </c>
      <c r="F4143" s="1" t="s">
        <v>3489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3547</v>
      </c>
      <c r="F4144" s="1" t="s">
        <v>3489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3548</v>
      </c>
      <c r="F4145" s="1" t="s">
        <v>3489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3549</v>
      </c>
      <c r="F4146" s="1" t="s">
        <v>3489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3550</v>
      </c>
      <c r="F4147" s="1" t="s">
        <v>3489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3551</v>
      </c>
      <c r="F4148" s="1" t="s">
        <v>3489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3552</v>
      </c>
      <c r="F4149" s="1" t="s">
        <v>3489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3553</v>
      </c>
      <c r="F4150" s="1" t="s">
        <v>3419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3554</v>
      </c>
      <c r="F4151" s="1" t="s">
        <v>3419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3491</v>
      </c>
      <c r="F4173" s="1" t="s">
        <v>3489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3625</v>
      </c>
      <c r="F4174" s="1" t="s">
        <v>3489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3626</v>
      </c>
      <c r="F4175" s="1" t="s">
        <v>3416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3627</v>
      </c>
      <c r="F4176" s="1" t="s">
        <v>3416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3628</v>
      </c>
      <c r="F4177" s="1" t="s">
        <v>3416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3629</v>
      </c>
      <c r="F4178" s="1" t="s">
        <v>3416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3630</v>
      </c>
      <c r="F4179" s="1" t="s">
        <v>3416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3631</v>
      </c>
      <c r="F4180" s="1" t="s">
        <v>3416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3632</v>
      </c>
      <c r="F4181" s="1" t="s">
        <v>3416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3633</v>
      </c>
      <c r="F4182" s="1" t="s">
        <v>3416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3407</v>
      </c>
      <c r="F4183" s="1" t="s">
        <v>3408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3634</v>
      </c>
      <c r="F4184" s="1" t="s">
        <v>3635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3636</v>
      </c>
      <c r="F4185" s="1" t="s">
        <v>3637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3634</v>
      </c>
      <c r="F4186" s="1" t="s">
        <v>3635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3636</v>
      </c>
      <c r="F4187" s="1" t="s">
        <v>3637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3638</v>
      </c>
      <c r="F4188" s="1" t="s">
        <v>3639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3513</v>
      </c>
      <c r="F4189" s="1" t="s">
        <v>3416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3640</v>
      </c>
      <c r="F4190" s="1" t="s">
        <v>3641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3642</v>
      </c>
      <c r="F4191" s="1" t="s">
        <v>3643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3640</v>
      </c>
      <c r="F4192" s="1" t="s">
        <v>3641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3642</v>
      </c>
      <c r="F4193" s="1" t="s">
        <v>3643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3409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3407</v>
      </c>
      <c r="F4195" s="1" t="s">
        <v>3408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3407</v>
      </c>
      <c r="F4196" s="1" t="s">
        <v>3412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3407</v>
      </c>
      <c r="F4197" s="1" t="s">
        <v>3408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3407</v>
      </c>
      <c r="F4198" s="1" t="s">
        <v>3412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3407</v>
      </c>
      <c r="F4199" s="1" t="s">
        <v>3408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3407</v>
      </c>
      <c r="F4200" s="1" t="s">
        <v>3412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3439</v>
      </c>
      <c r="D4201" s="1"/>
      <c r="E4201" s="1"/>
      <c r="F4201" s="1" t="s">
        <v>3440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3439</v>
      </c>
      <c r="D4202" s="1"/>
      <c r="E4202" s="1"/>
      <c r="F4202" s="1" t="s">
        <v>3441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3439</v>
      </c>
      <c r="D4203" s="1"/>
      <c r="E4203" s="1"/>
      <c r="F4203" s="1" t="s">
        <v>3442</v>
      </c>
      <c r="G4203" s="1">
        <v>1</v>
      </c>
      <c r="H4203" s="1" t="s">
        <v>19</v>
      </c>
      <c r="I4203" s="1" t="s">
        <v>3443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3439</v>
      </c>
      <c r="D4204" s="1"/>
      <c r="E4204" s="1"/>
      <c r="F4204" s="1" t="s">
        <v>3444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3445</v>
      </c>
      <c r="F4205" s="1" t="s">
        <v>3446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3447</v>
      </c>
      <c r="F4206" s="1" t="s">
        <v>3448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3449</v>
      </c>
      <c r="F4207" s="1" t="s">
        <v>3450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3451</v>
      </c>
      <c r="F4208" s="1" t="s">
        <v>3452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3453</v>
      </c>
      <c r="F4209" s="1" t="s">
        <v>3454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3455</v>
      </c>
      <c r="F4210" s="1" t="s">
        <v>3456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3457</v>
      </c>
      <c r="F4211" s="1" t="s">
        <v>3458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3459</v>
      </c>
      <c r="F4212" s="1" t="s">
        <v>3460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3461</v>
      </c>
      <c r="F4213" s="1" t="s">
        <v>3462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3463</v>
      </c>
      <c r="F4214" s="1" t="s">
        <v>3464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3465</v>
      </c>
      <c r="F4215" s="1" t="s">
        <v>3466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3492</v>
      </c>
      <c r="F4216" s="1" t="s">
        <v>3493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3494</v>
      </c>
      <c r="F4217" s="1" t="s">
        <v>3493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3495</v>
      </c>
      <c r="F4218" s="1" t="s">
        <v>3493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3496</v>
      </c>
      <c r="F4219" s="1" t="s">
        <v>3493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3508</v>
      </c>
      <c r="D4220" s="1"/>
      <c r="E4220" s="1" t="s">
        <v>3509</v>
      </c>
      <c r="F4220" s="1" t="s">
        <v>3510</v>
      </c>
      <c r="G4220" s="1">
        <v>1</v>
      </c>
      <c r="H4220" s="1" t="s">
        <v>19</v>
      </c>
      <c r="I4220" s="1" t="s">
        <v>3508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3508</v>
      </c>
      <c r="D4221" s="1"/>
      <c r="E4221" s="1" t="s">
        <v>3511</v>
      </c>
      <c r="F4221" s="1" t="s">
        <v>3512</v>
      </c>
      <c r="G4221" s="1">
        <v>1</v>
      </c>
      <c r="H4221" s="1" t="s">
        <v>19</v>
      </c>
      <c r="I4221" s="1" t="s">
        <v>3508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3514</v>
      </c>
      <c r="D4222" s="1"/>
      <c r="E4222" s="1" t="s">
        <v>3515</v>
      </c>
      <c r="F4222" s="1" t="s">
        <v>3516</v>
      </c>
      <c r="G4222" s="1">
        <v>1</v>
      </c>
      <c r="H4222" s="1" t="s">
        <v>19</v>
      </c>
      <c r="I4222" s="1" t="s">
        <v>3514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3514</v>
      </c>
      <c r="D4223" s="1"/>
      <c r="E4223" s="1" t="s">
        <v>3517</v>
      </c>
      <c r="F4223" s="1" t="s">
        <v>3518</v>
      </c>
      <c r="G4223" s="1">
        <v>1</v>
      </c>
      <c r="H4223" s="1" t="s">
        <v>19</v>
      </c>
      <c r="I4223" s="1" t="s">
        <v>3514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3514</v>
      </c>
      <c r="D4224" s="1"/>
      <c r="E4224" s="1" t="s">
        <v>3519</v>
      </c>
      <c r="F4224" s="1" t="s">
        <v>3520</v>
      </c>
      <c r="G4224" s="1">
        <v>1</v>
      </c>
      <c r="H4224" s="1" t="s">
        <v>19</v>
      </c>
      <c r="I4224" s="1" t="s">
        <v>3514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3521</v>
      </c>
      <c r="D4225" s="1"/>
      <c r="E4225" s="1" t="s">
        <v>3522</v>
      </c>
      <c r="F4225" s="1" t="s">
        <v>3520</v>
      </c>
      <c r="G4225" s="1">
        <v>1</v>
      </c>
      <c r="H4225" s="1" t="s">
        <v>19</v>
      </c>
      <c r="I4225" s="1" t="s">
        <v>3521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3521</v>
      </c>
      <c r="D4226" s="1"/>
      <c r="E4226" s="1" t="s">
        <v>3523</v>
      </c>
      <c r="F4226" s="1" t="s">
        <v>3524</v>
      </c>
      <c r="G4226" s="1">
        <v>1</v>
      </c>
      <c r="H4226" s="1" t="s">
        <v>19</v>
      </c>
      <c r="I4226" s="1" t="s">
        <v>3521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3521</v>
      </c>
      <c r="D4227" s="1"/>
      <c r="E4227" s="1" t="s">
        <v>3525</v>
      </c>
      <c r="F4227" s="1" t="s">
        <v>3524</v>
      </c>
      <c r="G4227" s="1">
        <v>1</v>
      </c>
      <c r="H4227" s="1" t="s">
        <v>19</v>
      </c>
      <c r="I4227" s="1" t="s">
        <v>3521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3526</v>
      </c>
      <c r="D4228" s="1"/>
      <c r="E4228" s="1" t="s">
        <v>3527</v>
      </c>
      <c r="F4228" s="1" t="s">
        <v>3528</v>
      </c>
      <c r="G4228" s="1">
        <v>1</v>
      </c>
      <c r="H4228" s="1" t="s">
        <v>19</v>
      </c>
      <c r="I4228" s="1" t="s">
        <v>3526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3529</v>
      </c>
      <c r="D4229" s="1"/>
      <c r="E4229" s="1" t="s">
        <v>3530</v>
      </c>
      <c r="F4229" s="1" t="s">
        <v>3524</v>
      </c>
      <c r="G4229" s="1">
        <v>1</v>
      </c>
      <c r="H4229" s="1" t="s">
        <v>19</v>
      </c>
      <c r="I4229" s="1" t="s">
        <v>3529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3529</v>
      </c>
      <c r="D4230" s="1"/>
      <c r="E4230" s="1" t="s">
        <v>3531</v>
      </c>
      <c r="F4230" s="1" t="s">
        <v>3524</v>
      </c>
      <c r="G4230" s="1">
        <v>1</v>
      </c>
      <c r="H4230" s="1" t="s">
        <v>19</v>
      </c>
      <c r="I4230" s="1" t="s">
        <v>3529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3532</v>
      </c>
      <c r="D4231" s="1"/>
      <c r="E4231" s="1" t="s">
        <v>3533</v>
      </c>
      <c r="F4231" s="1" t="s">
        <v>3534</v>
      </c>
      <c r="G4231" s="1">
        <v>1</v>
      </c>
      <c r="H4231" s="1" t="s">
        <v>19</v>
      </c>
      <c r="I4231" s="1" t="s">
        <v>3532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3532</v>
      </c>
      <c r="D4232" s="1"/>
      <c r="E4232" s="1" t="s">
        <v>3535</v>
      </c>
      <c r="F4232" s="1" t="s">
        <v>3536</v>
      </c>
      <c r="G4232" s="1">
        <v>1</v>
      </c>
      <c r="H4232" s="1" t="s">
        <v>19</v>
      </c>
      <c r="I4232" s="1" t="s">
        <v>3532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3532</v>
      </c>
      <c r="D4233" s="1"/>
      <c r="E4233" s="1" t="s">
        <v>3537</v>
      </c>
      <c r="F4233" s="1" t="s">
        <v>3538</v>
      </c>
      <c r="G4233" s="1">
        <v>1</v>
      </c>
      <c r="H4233" s="1" t="s">
        <v>19</v>
      </c>
      <c r="I4233" s="1" t="s">
        <v>3532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3532</v>
      </c>
      <c r="D4234" s="1"/>
      <c r="E4234" s="1" t="s">
        <v>3539</v>
      </c>
      <c r="F4234" s="1" t="s">
        <v>3536</v>
      </c>
      <c r="G4234" s="1">
        <v>1</v>
      </c>
      <c r="H4234" s="1" t="s">
        <v>19</v>
      </c>
      <c r="I4234" s="1" t="s">
        <v>3532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3532</v>
      </c>
      <c r="D4235" s="1"/>
      <c r="E4235" s="1" t="s">
        <v>3540</v>
      </c>
      <c r="F4235" s="1" t="s">
        <v>3536</v>
      </c>
      <c r="G4235" s="1">
        <v>1</v>
      </c>
      <c r="H4235" s="1" t="s">
        <v>19</v>
      </c>
      <c r="I4235" s="1" t="s">
        <v>3532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3508</v>
      </c>
      <c r="D4236" s="1"/>
      <c r="E4236" s="1" t="s">
        <v>3541</v>
      </c>
      <c r="F4236" s="1" t="s">
        <v>3524</v>
      </c>
      <c r="G4236" s="1">
        <v>1</v>
      </c>
      <c r="H4236" s="1" t="s">
        <v>19</v>
      </c>
      <c r="I4236" s="1" t="s">
        <v>3508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3555</v>
      </c>
      <c r="F4237" s="1" t="s">
        <v>3493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3556</v>
      </c>
      <c r="D4238" s="1" t="s">
        <v>3557</v>
      </c>
      <c r="E4238" s="1" t="s">
        <v>3558</v>
      </c>
      <c r="F4238" s="1" t="s">
        <v>3559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3560</v>
      </c>
      <c r="D4239" s="1" t="s">
        <v>3561</v>
      </c>
      <c r="E4239" s="1" t="s">
        <v>3558</v>
      </c>
      <c r="F4239" s="1" t="s">
        <v>3559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3521</v>
      </c>
      <c r="D4240" s="1"/>
      <c r="E4240" s="1" t="s">
        <v>1107</v>
      </c>
      <c r="F4240" s="1" t="s">
        <v>3562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3521</v>
      </c>
      <c r="D4241" s="1"/>
      <c r="E4241" s="1" t="s">
        <v>1108</v>
      </c>
      <c r="F4241" s="1" t="s">
        <v>3563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3521</v>
      </c>
      <c r="D4242" s="1"/>
      <c r="E4242" s="1" t="s">
        <v>1109</v>
      </c>
      <c r="F4242" s="1" t="s">
        <v>3564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3521</v>
      </c>
      <c r="D4243" s="1"/>
      <c r="E4243" s="1" t="s">
        <v>1110</v>
      </c>
      <c r="F4243" s="1" t="s">
        <v>3565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3521</v>
      </c>
      <c r="D4244" s="1"/>
      <c r="E4244" s="1" t="s">
        <v>1111</v>
      </c>
      <c r="F4244" s="1" t="s">
        <v>3566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3521</v>
      </c>
      <c r="D4245" s="1"/>
      <c r="E4245" s="1" t="s">
        <v>1113</v>
      </c>
      <c r="F4245" s="1" t="s">
        <v>3567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3521</v>
      </c>
      <c r="D4246" s="1"/>
      <c r="E4246" s="1" t="s">
        <v>1115</v>
      </c>
      <c r="F4246" s="1" t="s">
        <v>3568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3521</v>
      </c>
      <c r="D4247" s="1"/>
      <c r="E4247" s="1" t="s">
        <v>2435</v>
      </c>
      <c r="F4247" s="1" t="s">
        <v>3569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3521</v>
      </c>
      <c r="D4248" s="1"/>
      <c r="E4248" s="1" t="s">
        <v>11</v>
      </c>
      <c r="F4248" s="1" t="s">
        <v>3570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3521</v>
      </c>
      <c r="D4249" s="1"/>
      <c r="E4249" s="1" t="s">
        <v>2185</v>
      </c>
      <c r="F4249" s="1" t="s">
        <v>3571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3521</v>
      </c>
      <c r="D4250" s="1"/>
      <c r="E4250" s="1" t="s">
        <v>1835</v>
      </c>
      <c r="F4250" s="1" t="s">
        <v>3572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3521</v>
      </c>
      <c r="D4251" s="1"/>
      <c r="E4251" s="1" t="s">
        <v>1837</v>
      </c>
      <c r="F4251" s="1" t="s">
        <v>3573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3521</v>
      </c>
      <c r="D4252" s="1"/>
      <c r="E4252" s="1" t="s">
        <v>2574</v>
      </c>
      <c r="F4252" s="1" t="s">
        <v>3574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3526</v>
      </c>
      <c r="D4253" s="1"/>
      <c r="E4253" s="1" t="s">
        <v>746</v>
      </c>
      <c r="F4253" s="1" t="s">
        <v>3575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3526</v>
      </c>
      <c r="D4254" s="1"/>
      <c r="E4254" s="1" t="s">
        <v>1101</v>
      </c>
      <c r="F4254" s="1" t="s">
        <v>3576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3526</v>
      </c>
      <c r="D4255" s="1"/>
      <c r="E4255" s="1" t="s">
        <v>100</v>
      </c>
      <c r="F4255" s="1" t="s">
        <v>3577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3526</v>
      </c>
      <c r="D4256" s="1"/>
      <c r="E4256" s="1" t="s">
        <v>173</v>
      </c>
      <c r="F4256" s="1" t="s">
        <v>3578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3526</v>
      </c>
      <c r="D4257" s="1"/>
      <c r="E4257" s="1" t="s">
        <v>461</v>
      </c>
      <c r="F4257" s="1" t="s">
        <v>3579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3526</v>
      </c>
      <c r="D4258" s="1"/>
      <c r="E4258" s="1" t="s">
        <v>464</v>
      </c>
      <c r="F4258" s="1" t="s">
        <v>3580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3526</v>
      </c>
      <c r="D4259" s="1"/>
      <c r="E4259" s="1" t="s">
        <v>1103</v>
      </c>
      <c r="F4259" s="1" t="s">
        <v>3581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3526</v>
      </c>
      <c r="D4260" s="1"/>
      <c r="E4260" s="1" t="s">
        <v>1104</v>
      </c>
      <c r="F4260" s="1" t="s">
        <v>3582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3529</v>
      </c>
      <c r="D4261" s="1"/>
      <c r="E4261" s="1" t="s">
        <v>1107</v>
      </c>
      <c r="F4261" s="1" t="s">
        <v>3583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3529</v>
      </c>
      <c r="D4262" s="1"/>
      <c r="E4262" s="1" t="s">
        <v>1108</v>
      </c>
      <c r="F4262" s="1" t="s">
        <v>3563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3529</v>
      </c>
      <c r="D4263" s="1"/>
      <c r="E4263" s="1" t="s">
        <v>1109</v>
      </c>
      <c r="F4263" s="1" t="s">
        <v>3564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3529</v>
      </c>
      <c r="D4264" s="1"/>
      <c r="E4264" s="1" t="s">
        <v>1110</v>
      </c>
      <c r="F4264" s="1" t="s">
        <v>3565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3529</v>
      </c>
      <c r="D4265" s="1"/>
      <c r="E4265" s="1" t="s">
        <v>1111</v>
      </c>
      <c r="F4265" s="1" t="s">
        <v>3566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3529</v>
      </c>
      <c r="D4266" s="1"/>
      <c r="E4266" s="1" t="s">
        <v>1113</v>
      </c>
      <c r="F4266" s="1" t="s">
        <v>3567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3529</v>
      </c>
      <c r="D4267" s="1"/>
      <c r="E4267" s="1" t="s">
        <v>1115</v>
      </c>
      <c r="F4267" s="1" t="s">
        <v>3568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3529</v>
      </c>
      <c r="D4268" s="1"/>
      <c r="E4268" s="1" t="s">
        <v>213</v>
      </c>
      <c r="F4268" s="1" t="s">
        <v>3577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3529</v>
      </c>
      <c r="D4269" s="1"/>
      <c r="E4269" s="1" t="s">
        <v>1114</v>
      </c>
      <c r="F4269" s="1" t="s">
        <v>3584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3529</v>
      </c>
      <c r="D4270" s="1"/>
      <c r="E4270" s="1" t="s">
        <v>3335</v>
      </c>
      <c r="F4270" s="1" t="s">
        <v>3585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3529</v>
      </c>
      <c r="D4271" s="1"/>
      <c r="E4271" s="1" t="s">
        <v>1106</v>
      </c>
      <c r="F4271" s="1" t="s">
        <v>3586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3529</v>
      </c>
      <c r="D4272" s="1"/>
      <c r="E4272" s="1" t="s">
        <v>1112</v>
      </c>
      <c r="F4272" s="1" t="s">
        <v>3579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3587</v>
      </c>
      <c r="E4273" s="1"/>
      <c r="F4273" s="1" t="s">
        <v>3588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3587</v>
      </c>
      <c r="E4274" s="1"/>
      <c r="F4274" s="1" t="s">
        <v>3589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3587</v>
      </c>
      <c r="E4275" s="1"/>
      <c r="F4275" s="1" t="s">
        <v>3590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3587</v>
      </c>
      <c r="E4276" s="1"/>
      <c r="F4276" s="1" t="s">
        <v>3591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3587</v>
      </c>
      <c r="E4277" s="1"/>
      <c r="F4277" s="1" t="s">
        <v>3592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3587</v>
      </c>
      <c r="E4278" s="1"/>
      <c r="F4278" s="1" t="s">
        <v>3593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3587</v>
      </c>
      <c r="E4279" s="1"/>
      <c r="F4279" s="1" t="s">
        <v>3594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3587</v>
      </c>
      <c r="E4280" s="1"/>
      <c r="F4280" s="1" t="s">
        <v>3595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3587</v>
      </c>
      <c r="E4281" s="1"/>
      <c r="F4281" s="1" t="s">
        <v>3596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3597</v>
      </c>
      <c r="D4282" s="1" t="s">
        <v>3598</v>
      </c>
      <c r="E4282" s="1"/>
      <c r="F4282" s="1" t="s">
        <v>3599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3597</v>
      </c>
      <c r="D4283" s="1" t="s">
        <v>3598</v>
      </c>
      <c r="E4283" s="1"/>
      <c r="F4283" s="1" t="s">
        <v>3600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3597</v>
      </c>
      <c r="D4284" s="1" t="s">
        <v>3598</v>
      </c>
      <c r="E4284" s="1"/>
      <c r="F4284" s="1" t="s">
        <v>3601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3597</v>
      </c>
      <c r="D4285" s="1" t="s">
        <v>3598</v>
      </c>
      <c r="E4285" s="1"/>
      <c r="F4285" s="1" t="s">
        <v>3602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3597</v>
      </c>
      <c r="D4286" s="1" t="s">
        <v>3598</v>
      </c>
      <c r="E4286" s="1"/>
      <c r="F4286" s="1" t="s">
        <v>3603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3597</v>
      </c>
      <c r="D4287" s="1" t="s">
        <v>3598</v>
      </c>
      <c r="E4287" s="1"/>
      <c r="F4287" s="1" t="s">
        <v>3604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3597</v>
      </c>
      <c r="D4288" s="1" t="s">
        <v>3598</v>
      </c>
      <c r="E4288" s="1"/>
      <c r="F4288" s="1" t="s">
        <v>3605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3597</v>
      </c>
      <c r="D4289" s="1" t="s">
        <v>3598</v>
      </c>
      <c r="E4289" s="1"/>
      <c r="F4289" s="1" t="s">
        <v>3606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3597</v>
      </c>
      <c r="D4290" s="1" t="s">
        <v>3598</v>
      </c>
      <c r="E4290" s="1"/>
      <c r="F4290" s="1" t="s">
        <v>3607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3597</v>
      </c>
      <c r="D4291" s="1" t="s">
        <v>3598</v>
      </c>
      <c r="E4291" s="1"/>
      <c r="F4291" s="1" t="s">
        <v>3608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3609</v>
      </c>
      <c r="E4292" s="1"/>
      <c r="F4292" s="1" t="s">
        <v>3610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3609</v>
      </c>
      <c r="E4293" s="1"/>
      <c r="F4293" s="1" t="s">
        <v>3611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3609</v>
      </c>
      <c r="E4294" s="1"/>
      <c r="F4294" s="1" t="s">
        <v>3612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3609</v>
      </c>
      <c r="E4295" s="1"/>
      <c r="F4295" s="1" t="s">
        <v>3613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3609</v>
      </c>
      <c r="E4296" s="1"/>
      <c r="F4296" s="1" t="s">
        <v>3614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3609</v>
      </c>
      <c r="E4297" s="1"/>
      <c r="F4297" s="1" t="s">
        <v>3615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3609</v>
      </c>
      <c r="E4298" s="1"/>
      <c r="F4298" s="1" t="s">
        <v>3616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3617</v>
      </c>
      <c r="D4299" s="1" t="s">
        <v>3618</v>
      </c>
      <c r="E4299" s="1"/>
      <c r="F4299" s="1" t="s">
        <v>3619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3617</v>
      </c>
      <c r="D4300" s="1" t="s">
        <v>3618</v>
      </c>
      <c r="E4300" s="1"/>
      <c r="F4300" s="1" t="s">
        <v>3620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3617</v>
      </c>
      <c r="D4301" s="1" t="s">
        <v>3618</v>
      </c>
      <c r="E4301" s="1"/>
      <c r="F4301" s="1" t="s">
        <v>3621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3617</v>
      </c>
      <c r="D4302" s="1" t="s">
        <v>3618</v>
      </c>
      <c r="E4302" s="1"/>
      <c r="F4302" s="1" t="s">
        <v>3622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3617</v>
      </c>
      <c r="D4303" s="1" t="s">
        <v>3618</v>
      </c>
      <c r="E4303" s="1"/>
      <c r="F4303" s="1" t="s">
        <v>3623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3617</v>
      </c>
      <c r="D4304" s="1" t="s">
        <v>3618</v>
      </c>
      <c r="E4304" s="1"/>
      <c r="F4304" s="1" t="s">
        <v>3624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3409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3641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3644</v>
      </c>
      <c r="F4307" s="1" t="s">
        <v>3643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3641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3644</v>
      </c>
      <c r="F4309" s="1" t="s">
        <v>3643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3645</v>
      </c>
      <c r="F4310" s="1" t="s">
        <v>3416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3646</v>
      </c>
      <c r="F4311" s="1" t="s">
        <v>3416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3647</v>
      </c>
      <c r="F4312" s="1" t="s">
        <v>3416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3648</v>
      </c>
      <c r="F4313" s="1" t="s">
        <v>3416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3649</v>
      </c>
      <c r="F4314" s="1" t="s">
        <v>3416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3650</v>
      </c>
      <c r="F4315" s="1" t="s">
        <v>3416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3651</v>
      </c>
      <c r="F4316" s="1" t="s">
        <v>3416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3652</v>
      </c>
      <c r="F4317" s="1" t="s">
        <v>3416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3653</v>
      </c>
      <c r="F4318" s="1" t="s">
        <v>3416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3514</v>
      </c>
      <c r="D4319" s="1"/>
      <c r="E4319" s="1" t="s">
        <v>3654</v>
      </c>
      <c r="F4319" s="1" t="s">
        <v>3655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3521</v>
      </c>
      <c r="D4320" s="1"/>
      <c r="E4320" s="1" t="s">
        <v>3656</v>
      </c>
      <c r="F4320" s="1" t="s">
        <v>3657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3521</v>
      </c>
      <c r="D4321" s="1"/>
      <c r="E4321" s="1" t="s">
        <v>3658</v>
      </c>
      <c r="F4321" s="1" t="s">
        <v>3657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3521</v>
      </c>
      <c r="D4322" s="1"/>
      <c r="E4322" s="1" t="s">
        <v>3659</v>
      </c>
      <c r="F4322" s="1" t="s">
        <v>3657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3521</v>
      </c>
      <c r="D4323" s="1"/>
      <c r="E4323" s="1" t="s">
        <v>3660</v>
      </c>
      <c r="F4323" s="1" t="s">
        <v>3657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3521</v>
      </c>
      <c r="D4324" s="1"/>
      <c r="E4324" s="1" t="s">
        <v>3661</v>
      </c>
      <c r="F4324" s="1" t="s">
        <v>3657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3521</v>
      </c>
      <c r="D4325" s="1"/>
      <c r="E4325" s="1" t="s">
        <v>3662</v>
      </c>
      <c r="F4325" s="1" t="s">
        <v>3657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3521</v>
      </c>
      <c r="D4326" s="1"/>
      <c r="E4326" s="1" t="s">
        <v>3663</v>
      </c>
      <c r="F4326" s="1" t="s">
        <v>3657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3521</v>
      </c>
      <c r="D4327" s="1"/>
      <c r="E4327" s="1" t="s">
        <v>3664</v>
      </c>
      <c r="F4327" s="1" t="s">
        <v>3657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3521</v>
      </c>
      <c r="D4328" s="1"/>
      <c r="E4328" s="1" t="s">
        <v>3665</v>
      </c>
      <c r="F4328" s="1" t="s">
        <v>3657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3521</v>
      </c>
      <c r="D4329" s="1"/>
      <c r="E4329" s="1" t="s">
        <v>3666</v>
      </c>
      <c r="F4329" s="1" t="s">
        <v>3524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3521</v>
      </c>
      <c r="D4330" s="1"/>
      <c r="E4330" s="1" t="s">
        <v>3667</v>
      </c>
      <c r="F4330" s="1" t="s">
        <v>3524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3521</v>
      </c>
      <c r="D4331" s="1"/>
      <c r="E4331" s="1" t="s">
        <v>3668</v>
      </c>
      <c r="F4331" s="1" t="s">
        <v>3524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3526</v>
      </c>
      <c r="D4332" s="1"/>
      <c r="E4332" s="1" t="s">
        <v>3669</v>
      </c>
      <c r="F4332" s="1" t="s">
        <v>3528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3529</v>
      </c>
      <c r="D4333" s="1"/>
      <c r="E4333" s="1" t="s">
        <v>3670</v>
      </c>
      <c r="F4333" s="1" t="s">
        <v>3657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3529</v>
      </c>
      <c r="D4334" s="1"/>
      <c r="E4334" s="1" t="s">
        <v>3671</v>
      </c>
      <c r="F4334" s="1" t="s">
        <v>3657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3529</v>
      </c>
      <c r="D4335" s="1"/>
      <c r="E4335" s="1" t="s">
        <v>3672</v>
      </c>
      <c r="F4335" s="1" t="s">
        <v>3657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3529</v>
      </c>
      <c r="D4336" s="1"/>
      <c r="E4336" s="1" t="s">
        <v>3673</v>
      </c>
      <c r="F4336" s="1" t="s">
        <v>3657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3529</v>
      </c>
      <c r="D4337" s="1"/>
      <c r="E4337" s="1" t="s">
        <v>3674</v>
      </c>
      <c r="F4337" s="1" t="s">
        <v>3657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3529</v>
      </c>
      <c r="D4338" s="1"/>
      <c r="E4338" s="1" t="s">
        <v>3675</v>
      </c>
      <c r="F4338" s="1" t="s">
        <v>3657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3529</v>
      </c>
      <c r="D4339" s="1"/>
      <c r="E4339" s="1" t="s">
        <v>3676</v>
      </c>
      <c r="F4339" s="1" t="s">
        <v>3657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3529</v>
      </c>
      <c r="D4340" s="1"/>
      <c r="E4340" s="1" t="s">
        <v>3677</v>
      </c>
      <c r="F4340" s="1" t="s">
        <v>3657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3529</v>
      </c>
      <c r="D4341" s="1"/>
      <c r="E4341" s="1" t="s">
        <v>3678</v>
      </c>
      <c r="F4341" s="1" t="s">
        <v>3679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3532</v>
      </c>
      <c r="D4342" s="1"/>
      <c r="E4342" s="1" t="s">
        <v>3680</v>
      </c>
      <c r="F4342" s="1" t="s">
        <v>3516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3508</v>
      </c>
      <c r="D4343" s="1"/>
      <c r="E4343" s="1" t="s">
        <v>3681</v>
      </c>
      <c r="F4343" s="1" t="s">
        <v>3655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3682</v>
      </c>
      <c r="D4344" s="1"/>
      <c r="E4344" s="1" t="s">
        <v>3683</v>
      </c>
      <c r="F4344" s="1" t="s">
        <v>3684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3682</v>
      </c>
      <c r="D4345" s="1"/>
      <c r="E4345" s="1" t="s">
        <v>3685</v>
      </c>
      <c r="F4345" s="1" t="s">
        <v>3686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3682</v>
      </c>
      <c r="D4346" s="1"/>
      <c r="E4346" s="1" t="s">
        <v>3685</v>
      </c>
      <c r="F4346" s="1" t="s">
        <v>3687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3682</v>
      </c>
      <c r="D4347" s="1"/>
      <c r="E4347" s="1" t="s">
        <v>3688</v>
      </c>
      <c r="F4347" s="1" t="s">
        <v>3689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3682</v>
      </c>
      <c r="D4348" s="1"/>
      <c r="E4348" s="1" t="s">
        <v>3690</v>
      </c>
      <c r="F4348" s="1" t="s">
        <v>3684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3682</v>
      </c>
      <c r="D4349" s="1"/>
      <c r="E4349" s="1" t="s">
        <v>3685</v>
      </c>
      <c r="F4349" s="1" t="s">
        <v>3686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3682</v>
      </c>
      <c r="D4350" s="1"/>
      <c r="E4350" s="1" t="s">
        <v>3685</v>
      </c>
      <c r="F4350" s="1" t="s">
        <v>3687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3682</v>
      </c>
      <c r="D4351" s="1"/>
      <c r="E4351" s="1" t="s">
        <v>3688</v>
      </c>
      <c r="F4351" s="1" t="s">
        <v>3689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3691</v>
      </c>
      <c r="D4352" s="1"/>
      <c r="E4352" s="1" t="s">
        <v>3692</v>
      </c>
      <c r="F4352" s="1" t="s">
        <v>3686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3691</v>
      </c>
      <c r="D4353" s="1"/>
      <c r="E4353" s="1" t="s">
        <v>3692</v>
      </c>
      <c r="F4353" s="1" t="s">
        <v>3693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3691</v>
      </c>
      <c r="D4354" s="1"/>
      <c r="E4354" s="1" t="s">
        <v>3694</v>
      </c>
      <c r="F4354" s="1" t="s">
        <v>3689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3691</v>
      </c>
      <c r="D4355" s="1"/>
      <c r="E4355" s="1" t="s">
        <v>3695</v>
      </c>
      <c r="F4355" s="1" t="s">
        <v>3686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3691</v>
      </c>
      <c r="D4356" s="1"/>
      <c r="E4356" s="1" t="s">
        <v>3695</v>
      </c>
      <c r="F4356" s="1" t="s">
        <v>3693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3691</v>
      </c>
      <c r="D4357" s="1"/>
      <c r="E4357" s="1" t="s">
        <v>3694</v>
      </c>
      <c r="F4357" s="1" t="s">
        <v>3689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3696</v>
      </c>
      <c r="G4358" s="1">
        <v>2</v>
      </c>
      <c r="H4358" s="1" t="s">
        <v>19</v>
      </c>
      <c r="I4358" s="1" t="s">
        <v>3697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3698</v>
      </c>
      <c r="G4359" s="1">
        <v>2</v>
      </c>
      <c r="H4359" s="1" t="s">
        <v>19</v>
      </c>
      <c r="I4359" s="1" t="s">
        <v>3697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3699</v>
      </c>
      <c r="G4360" s="1">
        <v>1</v>
      </c>
      <c r="H4360" s="1" t="s">
        <v>19</v>
      </c>
      <c r="I4360" s="1" t="s">
        <v>3700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3701</v>
      </c>
      <c r="G4361" s="1">
        <v>1</v>
      </c>
      <c r="H4361" s="1" t="s">
        <v>19</v>
      </c>
      <c r="I4361" s="1" t="s">
        <v>3700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3702</v>
      </c>
      <c r="G4362" s="1">
        <v>2</v>
      </c>
      <c r="H4362" s="1" t="s">
        <v>19</v>
      </c>
      <c r="I4362" s="1" t="s">
        <v>3700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3703</v>
      </c>
      <c r="G4363" s="1">
        <v>4</v>
      </c>
      <c r="H4363" s="1" t="s">
        <v>19</v>
      </c>
      <c r="I4363" s="1" t="s">
        <v>3700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3704</v>
      </c>
      <c r="G4364" s="1">
        <v>1</v>
      </c>
      <c r="H4364" s="1" t="s">
        <v>19</v>
      </c>
      <c r="I4364" s="1" t="s">
        <v>3700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3701</v>
      </c>
      <c r="G4365" s="1">
        <v>1</v>
      </c>
      <c r="H4365" s="1" t="s">
        <v>19</v>
      </c>
      <c r="I4365" s="1" t="s">
        <v>3700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3705</v>
      </c>
      <c r="G4366" s="1">
        <v>2</v>
      </c>
      <c r="H4366" s="1" t="s">
        <v>19</v>
      </c>
      <c r="I4366" s="1" t="s">
        <v>3700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3706</v>
      </c>
      <c r="G4367" s="1">
        <v>4</v>
      </c>
      <c r="H4367" s="1" t="s">
        <v>19</v>
      </c>
      <c r="I4367" s="1" t="s">
        <v>3700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3617</v>
      </c>
      <c r="D4368" s="1" t="s">
        <v>3707</v>
      </c>
      <c r="E4368" s="1"/>
      <c r="F4368" s="1" t="s">
        <v>3708</v>
      </c>
      <c r="G4368" s="1">
        <v>1</v>
      </c>
      <c r="H4368" s="1" t="s">
        <v>19</v>
      </c>
      <c r="I4368" s="1" t="s">
        <v>3709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3617</v>
      </c>
      <c r="D4369" s="1" t="s">
        <v>3710</v>
      </c>
      <c r="E4369" s="1"/>
      <c r="F4369" s="1" t="s">
        <v>3711</v>
      </c>
      <c r="G4369" s="1">
        <v>2</v>
      </c>
      <c r="H4369" s="1" t="s">
        <v>19</v>
      </c>
      <c r="I4369" s="1" t="s">
        <v>3709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3617</v>
      </c>
      <c r="D4370" s="1" t="s">
        <v>3712</v>
      </c>
      <c r="E4370" s="1"/>
      <c r="F4370" s="1" t="s">
        <v>3713</v>
      </c>
      <c r="G4370" s="1">
        <v>1</v>
      </c>
      <c r="H4370" s="1" t="s">
        <v>19</v>
      </c>
      <c r="I4370" s="1" t="s">
        <v>3709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3617</v>
      </c>
      <c r="D4371" s="1" t="s">
        <v>3712</v>
      </c>
      <c r="E4371" s="1"/>
      <c r="F4371" s="1" t="s">
        <v>3714</v>
      </c>
      <c r="G4371" s="1">
        <v>2</v>
      </c>
      <c r="H4371" s="1" t="s">
        <v>19</v>
      </c>
      <c r="I4371" s="1" t="s">
        <v>3709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3715</v>
      </c>
      <c r="E4372" s="1"/>
      <c r="F4372" s="1" t="s">
        <v>3716</v>
      </c>
      <c r="G4372" s="1">
        <v>1</v>
      </c>
      <c r="H4372" s="1" t="s">
        <v>19</v>
      </c>
      <c r="I4372" s="1" t="s">
        <v>3715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3715</v>
      </c>
      <c r="E4373" s="1"/>
      <c r="F4373" s="1" t="s">
        <v>3717</v>
      </c>
      <c r="G4373" s="1">
        <v>1</v>
      </c>
      <c r="H4373" s="1" t="s">
        <v>19</v>
      </c>
      <c r="I4373" s="1" t="s">
        <v>3715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3718</v>
      </c>
      <c r="D4374" s="1" t="s">
        <v>3719</v>
      </c>
      <c r="E4374" s="1"/>
      <c r="F4374" s="1" t="s">
        <v>3720</v>
      </c>
      <c r="G4374" s="1">
        <v>1</v>
      </c>
      <c r="H4374" s="1" t="s">
        <v>19</v>
      </c>
      <c r="I4374" s="1" t="s">
        <v>3719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3718</v>
      </c>
      <c r="D4375" s="1" t="s">
        <v>3719</v>
      </c>
      <c r="E4375" s="1"/>
      <c r="F4375" s="1" t="s">
        <v>3721</v>
      </c>
      <c r="G4375" s="1">
        <v>1</v>
      </c>
      <c r="H4375" s="1" t="s">
        <v>19</v>
      </c>
      <c r="I4375" s="1" t="s">
        <v>3719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3722</v>
      </c>
      <c r="G4376" s="1">
        <v>1</v>
      </c>
      <c r="H4376" s="1" t="s">
        <v>19</v>
      </c>
      <c r="I4376" s="1" t="s">
        <v>3697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3723</v>
      </c>
      <c r="G4377" s="1">
        <v>1</v>
      </c>
      <c r="H4377" s="1" t="s">
        <v>19</v>
      </c>
      <c r="I4377" s="1" t="s">
        <v>3709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3597</v>
      </c>
      <c r="D4378" s="1"/>
      <c r="E4378" s="1"/>
      <c r="F4378" s="1" t="s">
        <v>3724</v>
      </c>
      <c r="G4378" s="1">
        <v>1</v>
      </c>
      <c r="H4378" s="1" t="s">
        <v>19</v>
      </c>
      <c r="I4378" s="1" t="s">
        <v>3725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3617</v>
      </c>
      <c r="D4379" s="1"/>
      <c r="E4379" s="1"/>
      <c r="F4379" s="1" t="s">
        <v>3726</v>
      </c>
      <c r="G4379" s="1">
        <v>1</v>
      </c>
      <c r="H4379" s="1" t="s">
        <v>19</v>
      </c>
      <c r="I4379" s="1" t="s">
        <v>3727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3728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3729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 t="s">
        <v>4450</v>
      </c>
      <c r="C4382" s="1" t="s">
        <v>2552</v>
      </c>
      <c r="D4382" s="1"/>
      <c r="E4382" s="1"/>
      <c r="F4382" s="1" t="s">
        <v>3737</v>
      </c>
      <c r="G4382" s="1">
        <v>47</v>
      </c>
      <c r="H4382" s="1" t="s">
        <v>19</v>
      </c>
      <c r="I4382" s="1" t="s">
        <v>3738</v>
      </c>
      <c r="J4382" s="1">
        <v>121.38</v>
      </c>
      <c r="K4382" s="1">
        <v>5704.86</v>
      </c>
      <c r="L4382" s="42">
        <v>1</v>
      </c>
      <c r="M4382" s="43">
        <v>46146</v>
      </c>
      <c r="N4382" s="1" t="str">
        <f>VLOOKUP(B4382,MICRO!E:L,8,0)</f>
        <v>P-190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3738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3738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3738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3738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3738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3739</v>
      </c>
      <c r="D4388" s="1"/>
      <c r="E4388" s="1"/>
      <c r="F4388" s="1" t="s">
        <v>3740</v>
      </c>
      <c r="G4388" s="1">
        <v>2</v>
      </c>
      <c r="H4388" s="1" t="s">
        <v>19</v>
      </c>
      <c r="I4388" s="1" t="s">
        <v>3741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3742</v>
      </c>
      <c r="G4389" s="1">
        <v>4</v>
      </c>
      <c r="H4389" s="1" t="s">
        <v>19</v>
      </c>
      <c r="I4389" s="1" t="s">
        <v>3738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3738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3738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3738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3743</v>
      </c>
      <c r="D4393" s="1"/>
      <c r="E4393" s="1"/>
      <c r="F4393" s="1" t="s">
        <v>3744</v>
      </c>
      <c r="G4393" s="1">
        <v>1</v>
      </c>
      <c r="H4393" s="1" t="s">
        <v>19</v>
      </c>
      <c r="I4393" s="1" t="s">
        <v>3738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3743</v>
      </c>
      <c r="D4394" s="1"/>
      <c r="E4394" s="1"/>
      <c r="F4394" s="1" t="s">
        <v>3745</v>
      </c>
      <c r="G4394" s="1">
        <v>18</v>
      </c>
      <c r="H4394" s="1" t="s">
        <v>19</v>
      </c>
      <c r="I4394" s="1" t="s">
        <v>3738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3743</v>
      </c>
      <c r="D4395" s="1"/>
      <c r="E4395" s="1"/>
      <c r="F4395" s="1" t="s">
        <v>3746</v>
      </c>
      <c r="G4395" s="1">
        <v>1</v>
      </c>
      <c r="H4395" s="1" t="s">
        <v>19</v>
      </c>
      <c r="I4395" s="1" t="s">
        <v>3738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3743</v>
      </c>
      <c r="D4396" s="1"/>
      <c r="E4396" s="1"/>
      <c r="F4396" s="1" t="s">
        <v>3747</v>
      </c>
      <c r="G4396" s="1">
        <v>1</v>
      </c>
      <c r="H4396" s="1" t="s">
        <v>19</v>
      </c>
      <c r="I4396" s="1" t="s">
        <v>3738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3743</v>
      </c>
      <c r="D4397" s="1"/>
      <c r="E4397" s="1"/>
      <c r="F4397" s="1" t="s">
        <v>3748</v>
      </c>
      <c r="G4397" s="1">
        <v>1</v>
      </c>
      <c r="H4397" s="1" t="s">
        <v>19</v>
      </c>
      <c r="I4397" s="1" t="s">
        <v>3738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3743</v>
      </c>
      <c r="D4398" s="1"/>
      <c r="E4398" s="1"/>
      <c r="F4398" s="1" t="s">
        <v>3749</v>
      </c>
      <c r="G4398" s="1">
        <v>1</v>
      </c>
      <c r="H4398" s="1" t="s">
        <v>19</v>
      </c>
      <c r="I4398" s="1" t="s">
        <v>3738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3743</v>
      </c>
      <c r="D4399" s="1"/>
      <c r="E4399" s="1"/>
      <c r="F4399" s="1" t="s">
        <v>3750</v>
      </c>
      <c r="G4399" s="1">
        <v>1</v>
      </c>
      <c r="H4399" s="1" t="s">
        <v>19</v>
      </c>
      <c r="I4399" s="1" t="s">
        <v>3738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3751</v>
      </c>
      <c r="D4400" s="1"/>
      <c r="E4400" s="1"/>
      <c r="F4400" s="1" t="s">
        <v>3752</v>
      </c>
      <c r="G4400" s="1">
        <v>1</v>
      </c>
      <c r="H4400" s="1" t="s">
        <v>19</v>
      </c>
      <c r="I4400" s="1" t="s">
        <v>3738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3751</v>
      </c>
      <c r="D4401" s="1"/>
      <c r="E4401" s="1"/>
      <c r="F4401" s="1" t="s">
        <v>3753</v>
      </c>
      <c r="G4401" s="1">
        <v>1</v>
      </c>
      <c r="H4401" s="1" t="s">
        <v>19</v>
      </c>
      <c r="I4401" s="1" t="s">
        <v>3738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3751</v>
      </c>
      <c r="D4402" s="1"/>
      <c r="E4402" s="1"/>
      <c r="F4402" s="1" t="s">
        <v>3754</v>
      </c>
      <c r="G4402" s="1">
        <v>8</v>
      </c>
      <c r="H4402" s="1" t="s">
        <v>19</v>
      </c>
      <c r="I4402" s="1" t="s">
        <v>3738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3751</v>
      </c>
      <c r="D4403" s="1"/>
      <c r="E4403" s="1"/>
      <c r="F4403" s="1" t="s">
        <v>3755</v>
      </c>
      <c r="G4403" s="1">
        <v>1</v>
      </c>
      <c r="H4403" s="1" t="s">
        <v>19</v>
      </c>
      <c r="I4403" s="1" t="s">
        <v>3738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3751</v>
      </c>
      <c r="D4404" s="1"/>
      <c r="E4404" s="1"/>
      <c r="F4404" s="1" t="s">
        <v>3756</v>
      </c>
      <c r="G4404" s="1">
        <v>1</v>
      </c>
      <c r="H4404" s="1" t="s">
        <v>19</v>
      </c>
      <c r="I4404" s="1" t="s">
        <v>3738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3751</v>
      </c>
      <c r="D4405" s="1"/>
      <c r="E4405" s="1"/>
      <c r="F4405" s="1" t="s">
        <v>3757</v>
      </c>
      <c r="G4405" s="1">
        <v>1</v>
      </c>
      <c r="H4405" s="1" t="s">
        <v>19</v>
      </c>
      <c r="I4405" s="1" t="s">
        <v>3738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3751</v>
      </c>
      <c r="D4406" s="1"/>
      <c r="E4406" s="1"/>
      <c r="F4406" s="1" t="s">
        <v>3758</v>
      </c>
      <c r="G4406" s="1">
        <v>1</v>
      </c>
      <c r="H4406" s="1" t="s">
        <v>19</v>
      </c>
      <c r="I4406" s="1" t="s">
        <v>3738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3759</v>
      </c>
      <c r="D4407" s="1"/>
      <c r="E4407" s="1" t="s">
        <v>2</v>
      </c>
      <c r="F4407" s="1" t="s">
        <v>3761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3759</v>
      </c>
      <c r="D4408" s="1"/>
      <c r="E4408" s="1" t="s">
        <v>2</v>
      </c>
      <c r="F4408" s="1" t="s">
        <v>3761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3774</v>
      </c>
      <c r="D4409" s="1"/>
      <c r="E4409" s="1" t="s">
        <v>2</v>
      </c>
      <c r="F4409" s="1" t="s">
        <v>3761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3774</v>
      </c>
      <c r="D4410" s="1"/>
      <c r="E4410" s="1" t="s">
        <v>2</v>
      </c>
      <c r="F4410" s="1" t="s">
        <v>3761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3765</v>
      </c>
      <c r="D4411" s="1"/>
      <c r="E4411" s="1" t="s">
        <v>746</v>
      </c>
      <c r="F4411" s="1" t="s">
        <v>4074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3765</v>
      </c>
      <c r="D4412" s="1"/>
      <c r="E4412" s="1" t="s">
        <v>746</v>
      </c>
      <c r="F4412" s="1" t="s">
        <v>4074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4075</v>
      </c>
      <c r="D4413" s="1"/>
      <c r="E4413" s="1"/>
      <c r="F4413" s="1" t="s">
        <v>4076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4075</v>
      </c>
      <c r="D4414" s="1"/>
      <c r="E4414" s="1"/>
      <c r="F4414" s="1" t="s">
        <v>4077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4078</v>
      </c>
      <c r="D4419" s="1"/>
      <c r="E4419" s="1" t="s">
        <v>2</v>
      </c>
      <c r="F4419" s="1" t="s">
        <v>4079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4078</v>
      </c>
      <c r="D4420" s="1"/>
      <c r="E4420" s="1" t="s">
        <v>2</v>
      </c>
      <c r="F4420" s="1" t="s">
        <v>4079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4080</v>
      </c>
      <c r="D4421" s="1"/>
      <c r="E4421" s="1" t="s">
        <v>2</v>
      </c>
      <c r="F4421" s="1" t="s">
        <v>4081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4080</v>
      </c>
      <c r="D4422" s="1"/>
      <c r="E4422" s="1" t="s">
        <v>2</v>
      </c>
      <c r="F4422" s="1" t="s">
        <v>4081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4082</v>
      </c>
      <c r="D4423" s="1"/>
      <c r="E4423" s="1"/>
      <c r="F4423" s="1" t="s">
        <v>4083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4082</v>
      </c>
      <c r="D4424" s="1"/>
      <c r="E4424" s="1"/>
      <c r="F4424" s="1" t="s">
        <v>4083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4082</v>
      </c>
      <c r="D4425" s="1"/>
      <c r="E4425" s="1"/>
      <c r="F4425" s="1" t="s">
        <v>4084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4082</v>
      </c>
      <c r="D4426" s="1"/>
      <c r="E4426" s="1"/>
      <c r="F4426" s="1" t="s">
        <v>4084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4085</v>
      </c>
      <c r="D4427" s="1"/>
      <c r="E4427" s="1"/>
      <c r="F4427" s="1" t="s">
        <v>4086</v>
      </c>
      <c r="G4427" s="1">
        <v>8</v>
      </c>
      <c r="H4427" s="1" t="s">
        <v>19</v>
      </c>
      <c r="I4427" s="1" t="s">
        <v>4087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4085</v>
      </c>
      <c r="D4428" s="1"/>
      <c r="E4428" s="1"/>
      <c r="F4428" s="1" t="s">
        <v>4088</v>
      </c>
      <c r="G4428" s="1">
        <v>24</v>
      </c>
      <c r="H4428" s="1" t="s">
        <v>19</v>
      </c>
      <c r="I4428" s="1" t="s">
        <v>4087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4085</v>
      </c>
      <c r="D4429" s="1"/>
      <c r="E4429" s="1"/>
      <c r="F4429" s="1" t="s">
        <v>4089</v>
      </c>
      <c r="G4429" s="1">
        <v>32</v>
      </c>
      <c r="H4429" s="1" t="s">
        <v>19</v>
      </c>
      <c r="I4429" s="1" t="s">
        <v>4087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4085</v>
      </c>
      <c r="D4430" s="1"/>
      <c r="E4430" s="1"/>
      <c r="F4430" s="1" t="s">
        <v>4090</v>
      </c>
      <c r="G4430" s="1">
        <v>4</v>
      </c>
      <c r="H4430" s="1" t="s">
        <v>19</v>
      </c>
      <c r="I4430" s="1" t="s">
        <v>4087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4085</v>
      </c>
      <c r="D4431" s="1"/>
      <c r="E4431" s="1"/>
      <c r="F4431" s="1" t="s">
        <v>4091</v>
      </c>
      <c r="G4431" s="1">
        <v>8</v>
      </c>
      <c r="H4431" s="1" t="s">
        <v>19</v>
      </c>
      <c r="I4431" s="1" t="s">
        <v>4087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4085</v>
      </c>
      <c r="D4432" s="1"/>
      <c r="E4432" s="1"/>
      <c r="F4432" s="1" t="s">
        <v>4086</v>
      </c>
      <c r="G4432" s="1">
        <v>4</v>
      </c>
      <c r="H4432" s="1" t="s">
        <v>19</v>
      </c>
      <c r="I4432" s="1" t="s">
        <v>4087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4085</v>
      </c>
      <c r="D4433" s="1"/>
      <c r="E4433" s="1"/>
      <c r="F4433" s="1" t="s">
        <v>4092</v>
      </c>
      <c r="G4433" s="1">
        <v>4</v>
      </c>
      <c r="H4433" s="1" t="s">
        <v>19</v>
      </c>
      <c r="I4433" s="1" t="s">
        <v>4087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4093</v>
      </c>
      <c r="D4434" s="1"/>
      <c r="E4434" s="1"/>
      <c r="F4434" s="1" t="s">
        <v>4094</v>
      </c>
      <c r="G4434" s="1">
        <v>100</v>
      </c>
      <c r="H4434" s="1" t="s">
        <v>19</v>
      </c>
      <c r="I4434" s="1" t="s">
        <v>4087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4093</v>
      </c>
      <c r="D4435" s="1"/>
      <c r="E4435" s="1"/>
      <c r="F4435" s="1" t="s">
        <v>4095</v>
      </c>
      <c r="G4435" s="1">
        <v>100</v>
      </c>
      <c r="H4435" s="1" t="s">
        <v>19</v>
      </c>
      <c r="I4435" s="1" t="s">
        <v>4087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3994</v>
      </c>
      <c r="D4436" s="1"/>
      <c r="E4436" s="1"/>
      <c r="F4436" s="1" t="s">
        <v>4096</v>
      </c>
      <c r="G4436" s="1">
        <v>64</v>
      </c>
      <c r="H4436" s="1" t="s">
        <v>19</v>
      </c>
      <c r="I4436" s="1" t="s">
        <v>4087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4031</v>
      </c>
      <c r="D4437" s="1"/>
      <c r="E4437" s="1"/>
      <c r="F4437" s="1" t="s">
        <v>4097</v>
      </c>
      <c r="G4437" s="1">
        <v>20</v>
      </c>
      <c r="H4437" s="1" t="s">
        <v>19</v>
      </c>
      <c r="I4437" s="1" t="s">
        <v>4087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4098</v>
      </c>
      <c r="D4438" s="1"/>
      <c r="E4438" s="1"/>
      <c r="F4438" s="1" t="s">
        <v>4099</v>
      </c>
      <c r="G4438" s="1">
        <v>8</v>
      </c>
      <c r="H4438" s="1" t="s">
        <v>19</v>
      </c>
      <c r="I4438" s="1" t="s">
        <v>4087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4098</v>
      </c>
      <c r="D4439" s="1"/>
      <c r="E4439" s="1"/>
      <c r="F4439" s="1" t="s">
        <v>4100</v>
      </c>
      <c r="G4439" s="1">
        <v>8</v>
      </c>
      <c r="H4439" s="1" t="s">
        <v>19</v>
      </c>
      <c r="I4439" s="1" t="s">
        <v>4087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4098</v>
      </c>
      <c r="D4440" s="1"/>
      <c r="E4440" s="1"/>
      <c r="F4440" s="1" t="s">
        <v>4101</v>
      </c>
      <c r="G4440" s="1">
        <v>8</v>
      </c>
      <c r="H4440" s="1" t="s">
        <v>19</v>
      </c>
      <c r="I4440" s="1" t="s">
        <v>4087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4102</v>
      </c>
      <c r="D4441" s="1"/>
      <c r="E4441" s="1"/>
      <c r="F4441" s="1" t="s">
        <v>4103</v>
      </c>
      <c r="G4441" s="1">
        <v>2</v>
      </c>
      <c r="H4441" s="1" t="s">
        <v>19</v>
      </c>
      <c r="I4441" s="1" t="s">
        <v>4087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4104</v>
      </c>
      <c r="D4442" s="1"/>
      <c r="E4442" s="1"/>
      <c r="F4442" s="1" t="s">
        <v>4105</v>
      </c>
      <c r="G4442" s="1">
        <v>112</v>
      </c>
      <c r="H4442" s="1" t="s">
        <v>19</v>
      </c>
      <c r="I4442" s="1" t="s">
        <v>4087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4104</v>
      </c>
      <c r="D4443" s="1"/>
      <c r="E4443" s="1"/>
      <c r="F4443" s="1" t="s">
        <v>4106</v>
      </c>
      <c r="G4443" s="1">
        <v>112</v>
      </c>
      <c r="H4443" s="1" t="s">
        <v>19</v>
      </c>
      <c r="I4443" s="1" t="s">
        <v>4087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4104</v>
      </c>
      <c r="D4444" s="1"/>
      <c r="E4444" s="1"/>
      <c r="F4444" s="1" t="s">
        <v>4107</v>
      </c>
      <c r="G4444" s="1">
        <v>112</v>
      </c>
      <c r="H4444" s="1" t="s">
        <v>19</v>
      </c>
      <c r="I4444" s="1" t="s">
        <v>4087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4104</v>
      </c>
      <c r="D4445" s="1"/>
      <c r="E4445" s="1"/>
      <c r="F4445" s="1" t="s">
        <v>4108</v>
      </c>
      <c r="G4445" s="1">
        <v>38</v>
      </c>
      <c r="H4445" s="1" t="s">
        <v>19</v>
      </c>
      <c r="I4445" s="1" t="s">
        <v>4087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4104</v>
      </c>
      <c r="D4446" s="1"/>
      <c r="E4446" s="1"/>
      <c r="F4446" s="1" t="s">
        <v>4109</v>
      </c>
      <c r="G4446" s="1">
        <v>32</v>
      </c>
      <c r="H4446" s="1" t="s">
        <v>19</v>
      </c>
      <c r="I4446" s="1" t="s">
        <v>4087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4104</v>
      </c>
      <c r="D4447" s="1"/>
      <c r="E4447" s="1"/>
      <c r="F4447" s="1" t="s">
        <v>4110</v>
      </c>
      <c r="G4447" s="1">
        <v>32</v>
      </c>
      <c r="H4447" s="1" t="s">
        <v>19</v>
      </c>
      <c r="I4447" s="1" t="s">
        <v>4087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4111</v>
      </c>
      <c r="D4448" s="1"/>
      <c r="E4448" s="1"/>
      <c r="F4448" s="1" t="s">
        <v>4112</v>
      </c>
      <c r="G4448" s="1">
        <v>572</v>
      </c>
      <c r="H4448" s="1" t="s">
        <v>19</v>
      </c>
      <c r="I4448" s="1" t="s">
        <v>4087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3949</v>
      </c>
      <c r="D4449" s="1"/>
      <c r="E4449" s="1"/>
      <c r="F4449" s="1" t="s">
        <v>4113</v>
      </c>
      <c r="G4449" s="1">
        <v>304</v>
      </c>
      <c r="H4449" s="1" t="s">
        <v>19</v>
      </c>
      <c r="I4449" s="1" t="s">
        <v>4087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3949</v>
      </c>
      <c r="D4450" s="1"/>
      <c r="E4450" s="1"/>
      <c r="F4450" s="1" t="s">
        <v>4114</v>
      </c>
      <c r="G4450" s="1">
        <v>304</v>
      </c>
      <c r="H4450" s="1" t="s">
        <v>19</v>
      </c>
      <c r="I4450" s="1" t="s">
        <v>4087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3949</v>
      </c>
      <c r="D4451" s="1"/>
      <c r="E4451" s="1"/>
      <c r="F4451" s="1" t="s">
        <v>4115</v>
      </c>
      <c r="G4451" s="1">
        <v>304</v>
      </c>
      <c r="H4451" s="1" t="s">
        <v>19</v>
      </c>
      <c r="I4451" s="1" t="s">
        <v>4087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3949</v>
      </c>
      <c r="D4452" s="1"/>
      <c r="E4452" s="1"/>
      <c r="F4452" s="1" t="s">
        <v>4116</v>
      </c>
      <c r="G4452" s="1">
        <v>64</v>
      </c>
      <c r="H4452" s="1" t="s">
        <v>19</v>
      </c>
      <c r="I4452" s="1" t="s">
        <v>4087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3949</v>
      </c>
      <c r="D4453" s="1"/>
      <c r="E4453" s="1"/>
      <c r="F4453" s="1" t="s">
        <v>4117</v>
      </c>
      <c r="G4453" s="1">
        <v>64</v>
      </c>
      <c r="H4453" s="1" t="s">
        <v>19</v>
      </c>
      <c r="I4453" s="1" t="s">
        <v>4087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4118</v>
      </c>
      <c r="D4454" s="1"/>
      <c r="E4454" s="1"/>
      <c r="F4454" s="1" t="s">
        <v>4119</v>
      </c>
      <c r="G4454" s="1">
        <v>8</v>
      </c>
      <c r="H4454" s="1" t="s">
        <v>19</v>
      </c>
      <c r="I4454" s="1" t="s">
        <v>4087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4118</v>
      </c>
      <c r="D4455" s="1"/>
      <c r="E4455" s="1"/>
      <c r="F4455" s="1" t="s">
        <v>4120</v>
      </c>
      <c r="G4455" s="1">
        <v>32</v>
      </c>
      <c r="H4455" s="1" t="s">
        <v>19</v>
      </c>
      <c r="I4455" s="1" t="s">
        <v>4087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4118</v>
      </c>
      <c r="D4456" s="1"/>
      <c r="E4456" s="1"/>
      <c r="F4456" s="1" t="s">
        <v>4121</v>
      </c>
      <c r="G4456" s="1">
        <v>32</v>
      </c>
      <c r="H4456" s="1" t="s">
        <v>19</v>
      </c>
      <c r="I4456" s="1" t="s">
        <v>4087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4118</v>
      </c>
      <c r="D4457" s="1"/>
      <c r="E4457" s="1"/>
      <c r="F4457" s="1" t="s">
        <v>4122</v>
      </c>
      <c r="G4457" s="1">
        <v>32</v>
      </c>
      <c r="H4457" s="1" t="s">
        <v>19</v>
      </c>
      <c r="I4457" s="1" t="s">
        <v>4087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4118</v>
      </c>
      <c r="D4458" s="1"/>
      <c r="E4458" s="1"/>
      <c r="F4458" s="1" t="s">
        <v>4123</v>
      </c>
      <c r="G4458" s="1">
        <v>16</v>
      </c>
      <c r="H4458" s="1" t="s">
        <v>19</v>
      </c>
      <c r="I4458" s="1" t="s">
        <v>4087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4118</v>
      </c>
      <c r="D4459" s="1"/>
      <c r="E4459" s="1"/>
      <c r="F4459" s="1" t="s">
        <v>4124</v>
      </c>
      <c r="G4459" s="1">
        <v>16</v>
      </c>
      <c r="H4459" s="1" t="s">
        <v>19</v>
      </c>
      <c r="I4459" s="1" t="s">
        <v>4087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4118</v>
      </c>
      <c r="D4460" s="1"/>
      <c r="E4460" s="1"/>
      <c r="F4460" s="1" t="s">
        <v>4125</v>
      </c>
      <c r="G4460" s="1">
        <v>16</v>
      </c>
      <c r="H4460" s="1" t="s">
        <v>19</v>
      </c>
      <c r="I4460" s="1" t="s">
        <v>4087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4126</v>
      </c>
      <c r="D4461" s="1"/>
      <c r="E4461" s="1"/>
      <c r="F4461" s="1" t="s">
        <v>4127</v>
      </c>
      <c r="G4461" s="1">
        <v>48</v>
      </c>
      <c r="H4461" s="1" t="s">
        <v>19</v>
      </c>
      <c r="I4461" s="1" t="s">
        <v>4087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4126</v>
      </c>
      <c r="D4462" s="1"/>
      <c r="E4462" s="1"/>
      <c r="F4462" s="1" t="s">
        <v>4128</v>
      </c>
      <c r="G4462" s="1">
        <v>48</v>
      </c>
      <c r="H4462" s="1" t="s">
        <v>19</v>
      </c>
      <c r="I4462" s="1" t="s">
        <v>4087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4126</v>
      </c>
      <c r="D4463" s="1"/>
      <c r="E4463" s="1"/>
      <c r="F4463" s="1" t="s">
        <v>4129</v>
      </c>
      <c r="G4463" s="1">
        <v>48</v>
      </c>
      <c r="H4463" s="1" t="s">
        <v>19</v>
      </c>
      <c r="I4463" s="1" t="s">
        <v>4087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4126</v>
      </c>
      <c r="D4464" s="1"/>
      <c r="E4464" s="1"/>
      <c r="F4464" s="1" t="s">
        <v>4130</v>
      </c>
      <c r="G4464" s="1">
        <v>144</v>
      </c>
      <c r="H4464" s="1" t="s">
        <v>19</v>
      </c>
      <c r="I4464" s="1" t="s">
        <v>4087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4126</v>
      </c>
      <c r="D4465" s="1"/>
      <c r="E4465" s="1"/>
      <c r="F4465" s="1" t="s">
        <v>4131</v>
      </c>
      <c r="G4465" s="1">
        <v>44</v>
      </c>
      <c r="H4465" s="1" t="s">
        <v>19</v>
      </c>
      <c r="I4465" s="1" t="s">
        <v>4087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4126</v>
      </c>
      <c r="D4466" s="1"/>
      <c r="E4466" s="1"/>
      <c r="F4466" s="1" t="s">
        <v>4132</v>
      </c>
      <c r="G4466" s="1">
        <v>20</v>
      </c>
      <c r="H4466" s="1" t="s">
        <v>1253</v>
      </c>
      <c r="I4466" s="1" t="s">
        <v>4087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3959</v>
      </c>
      <c r="D4467" s="1"/>
      <c r="E4467" s="1"/>
      <c r="F4467" s="1" t="s">
        <v>4133</v>
      </c>
      <c r="G4467" s="1">
        <v>12</v>
      </c>
      <c r="H4467" s="1" t="s">
        <v>19</v>
      </c>
      <c r="I4467" s="1" t="s">
        <v>4087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3959</v>
      </c>
      <c r="D4468" s="1"/>
      <c r="E4468" s="1"/>
      <c r="F4468" s="1" t="s">
        <v>4134</v>
      </c>
      <c r="G4468" s="1">
        <v>6</v>
      </c>
      <c r="H4468" s="1" t="s">
        <v>19</v>
      </c>
      <c r="I4468" s="1" t="s">
        <v>4087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3959</v>
      </c>
      <c r="D4469" s="1"/>
      <c r="E4469" s="1"/>
      <c r="F4469" s="1" t="s">
        <v>4135</v>
      </c>
      <c r="G4469" s="1">
        <v>6</v>
      </c>
      <c r="H4469" s="1" t="s">
        <v>19</v>
      </c>
      <c r="I4469" s="1" t="s">
        <v>4087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3959</v>
      </c>
      <c r="D4470" s="1"/>
      <c r="E4470" s="1"/>
      <c r="F4470" s="1" t="s">
        <v>4136</v>
      </c>
      <c r="G4470" s="1">
        <v>12</v>
      </c>
      <c r="H4470" s="1" t="s">
        <v>19</v>
      </c>
      <c r="I4470" s="1" t="s">
        <v>4087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3959</v>
      </c>
      <c r="D4471" s="1"/>
      <c r="E4471" s="1"/>
      <c r="F4471" s="1" t="s">
        <v>4137</v>
      </c>
      <c r="G4471" s="1">
        <v>132</v>
      </c>
      <c r="H4471" s="1" t="s">
        <v>19</v>
      </c>
      <c r="I4471" s="1" t="s">
        <v>4087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3959</v>
      </c>
      <c r="D4472" s="1"/>
      <c r="E4472" s="1"/>
      <c r="F4472" s="1" t="s">
        <v>4138</v>
      </c>
      <c r="G4472" s="1">
        <v>12</v>
      </c>
      <c r="H4472" s="1" t="s">
        <v>19</v>
      </c>
      <c r="I4472" s="1" t="s">
        <v>4087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3959</v>
      </c>
      <c r="D4473" s="1"/>
      <c r="E4473" s="1"/>
      <c r="F4473" s="1" t="s">
        <v>4139</v>
      </c>
      <c r="G4473" s="1">
        <v>72</v>
      </c>
      <c r="H4473" s="1" t="s">
        <v>19</v>
      </c>
      <c r="I4473" s="1" t="s">
        <v>4087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3959</v>
      </c>
      <c r="D4474" s="1"/>
      <c r="E4474" s="1"/>
      <c r="F4474" s="1" t="s">
        <v>4138</v>
      </c>
      <c r="G4474" s="1">
        <v>72</v>
      </c>
      <c r="H4474" s="1" t="s">
        <v>19</v>
      </c>
      <c r="I4474" s="1" t="s">
        <v>4087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3959</v>
      </c>
      <c r="D4475" s="1"/>
      <c r="E4475" s="1"/>
      <c r="F4475" s="1" t="s">
        <v>4137</v>
      </c>
      <c r="G4475" s="1">
        <v>72</v>
      </c>
      <c r="H4475" s="1" t="s">
        <v>19</v>
      </c>
      <c r="I4475" s="1" t="s">
        <v>4087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4140</v>
      </c>
      <c r="D4476" s="1"/>
      <c r="E4476" s="1"/>
      <c r="F4476" s="1" t="s">
        <v>4141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4140</v>
      </c>
      <c r="D4477" s="1"/>
      <c r="E4477" s="1"/>
      <c r="F4477" s="1" t="s">
        <v>4142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4140</v>
      </c>
      <c r="D4478" s="1"/>
      <c r="E4478" s="1"/>
      <c r="F4478" s="1" t="s">
        <v>4143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4140</v>
      </c>
      <c r="D4479" s="1"/>
      <c r="E4479" s="1"/>
      <c r="F4479" s="1" t="s">
        <v>4144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4145</v>
      </c>
      <c r="D4480" s="1"/>
      <c r="E4480" s="1"/>
      <c r="F4480" s="1" t="s">
        <v>4146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4145</v>
      </c>
      <c r="D4481" s="1"/>
      <c r="E4481" s="1"/>
      <c r="F4481" s="1" t="s">
        <v>4147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4145</v>
      </c>
      <c r="D4482" s="1"/>
      <c r="E4482" s="1"/>
      <c r="F4482" s="1" t="s">
        <v>4148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4145</v>
      </c>
      <c r="D4483" s="1"/>
      <c r="E4483" s="1"/>
      <c r="F4483" s="1" t="s">
        <v>4149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4150</v>
      </c>
      <c r="D4484" s="1"/>
      <c r="E4484" s="1"/>
      <c r="F4484" s="1" t="s">
        <v>4151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4150</v>
      </c>
      <c r="D4485" s="1"/>
      <c r="E4485" s="1"/>
      <c r="F4485" s="1" t="s">
        <v>4152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4150</v>
      </c>
      <c r="D4486" s="1"/>
      <c r="E4486" s="1"/>
      <c r="F4486" s="1" t="s">
        <v>4153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4150</v>
      </c>
      <c r="D4487" s="1"/>
      <c r="E4487" s="1"/>
      <c r="F4487" s="1" t="s">
        <v>4154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4155</v>
      </c>
      <c r="D4488" s="1"/>
      <c r="E4488" s="1"/>
      <c r="F4488" s="1" t="s">
        <v>4156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4157</v>
      </c>
      <c r="D4489" s="1"/>
      <c r="E4489" s="1"/>
      <c r="F4489" s="1" t="s">
        <v>4158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4157</v>
      </c>
      <c r="D4490" s="1"/>
      <c r="E4490" s="1"/>
      <c r="F4490" s="1" t="s">
        <v>4159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4157</v>
      </c>
      <c r="D4491" s="1"/>
      <c r="E4491" s="1"/>
      <c r="F4491" s="1" t="s">
        <v>4160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4157</v>
      </c>
      <c r="D4492" s="1"/>
      <c r="E4492" s="1"/>
      <c r="F4492" s="1" t="s">
        <v>4161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4162</v>
      </c>
      <c r="D4493" s="1"/>
      <c r="E4493" s="1"/>
      <c r="F4493" s="1" t="s">
        <v>4163</v>
      </c>
      <c r="G4493" s="1">
        <v>720</v>
      </c>
      <c r="H4493" s="1" t="s">
        <v>19</v>
      </c>
      <c r="I4493" s="1" t="s">
        <v>4087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4162</v>
      </c>
      <c r="D4494" s="1"/>
      <c r="E4494" s="1"/>
      <c r="F4494" s="1" t="s">
        <v>4164</v>
      </c>
      <c r="G4494" s="1">
        <v>360</v>
      </c>
      <c r="H4494" s="1" t="s">
        <v>19</v>
      </c>
      <c r="I4494" s="1" t="s">
        <v>4165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4162</v>
      </c>
      <c r="D4495" s="1"/>
      <c r="E4495" s="1"/>
      <c r="F4495" s="1" t="s">
        <v>4166</v>
      </c>
      <c r="G4495" s="1">
        <v>360</v>
      </c>
      <c r="H4495" s="1" t="s">
        <v>19</v>
      </c>
      <c r="I4495" s="1" t="s">
        <v>4165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4167</v>
      </c>
      <c r="D4496" s="1"/>
      <c r="E4496" s="1"/>
      <c r="F4496" s="1" t="s">
        <v>4168</v>
      </c>
      <c r="G4496" s="1">
        <v>432</v>
      </c>
      <c r="H4496" s="1" t="s">
        <v>19</v>
      </c>
      <c r="I4496" s="1" t="s">
        <v>4087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4167</v>
      </c>
      <c r="D4497" s="1"/>
      <c r="E4497" s="1"/>
      <c r="F4497" s="1" t="s">
        <v>4169</v>
      </c>
      <c r="G4497" s="1">
        <v>216</v>
      </c>
      <c r="H4497" s="1" t="s">
        <v>19</v>
      </c>
      <c r="I4497" s="1" t="s">
        <v>4087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4167</v>
      </c>
      <c r="D4498" s="1"/>
      <c r="E4498" s="1"/>
      <c r="F4498" s="1" t="s">
        <v>4170</v>
      </c>
      <c r="G4498" s="1">
        <v>216</v>
      </c>
      <c r="H4498" s="1" t="s">
        <v>19</v>
      </c>
      <c r="I4498" s="1" t="s">
        <v>4087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4171</v>
      </c>
      <c r="D4499" s="1"/>
      <c r="E4499" s="1"/>
      <c r="F4499" s="1" t="s">
        <v>4172</v>
      </c>
      <c r="G4499" s="1">
        <v>176</v>
      </c>
      <c r="H4499" s="1" t="s">
        <v>19</v>
      </c>
      <c r="I4499" s="1" t="s">
        <v>4087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4171</v>
      </c>
      <c r="D4500" s="1"/>
      <c r="E4500" s="1"/>
      <c r="F4500" s="1" t="s">
        <v>4173</v>
      </c>
      <c r="G4500" s="1">
        <v>176</v>
      </c>
      <c r="H4500" s="1" t="s">
        <v>19</v>
      </c>
      <c r="I4500" s="1" t="s">
        <v>4087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4174</v>
      </c>
      <c r="D4501" s="1"/>
      <c r="E4501" s="1"/>
      <c r="F4501" s="1" t="s">
        <v>4175</v>
      </c>
      <c r="G4501" s="1">
        <v>160</v>
      </c>
      <c r="H4501" s="1" t="s">
        <v>19</v>
      </c>
      <c r="I4501" s="1" t="s">
        <v>4165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4174</v>
      </c>
      <c r="D4502" s="1"/>
      <c r="E4502" s="1"/>
      <c r="F4502" s="1" t="s">
        <v>4176</v>
      </c>
      <c r="G4502" s="1">
        <v>160</v>
      </c>
      <c r="H4502" s="1" t="s">
        <v>19</v>
      </c>
      <c r="I4502" s="1" t="s">
        <v>4087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4177</v>
      </c>
      <c r="D4503" s="1"/>
      <c r="E4503" s="1"/>
      <c r="F4503" s="1" t="s">
        <v>4178</v>
      </c>
      <c r="G4503" s="1">
        <v>192</v>
      </c>
      <c r="H4503" s="1" t="s">
        <v>19</v>
      </c>
      <c r="I4503" s="1" t="s">
        <v>4087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4177</v>
      </c>
      <c r="D4504" s="1"/>
      <c r="E4504" s="1"/>
      <c r="F4504" s="1" t="s">
        <v>4179</v>
      </c>
      <c r="G4504" s="1">
        <v>96</v>
      </c>
      <c r="H4504" s="1" t="s">
        <v>19</v>
      </c>
      <c r="I4504" s="1" t="s">
        <v>4087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4180</v>
      </c>
      <c r="D4505" s="1"/>
      <c r="E4505" s="1"/>
      <c r="F4505" s="1" t="s">
        <v>4181</v>
      </c>
      <c r="G4505" s="1">
        <v>192</v>
      </c>
      <c r="H4505" s="1" t="s">
        <v>19</v>
      </c>
      <c r="I4505" s="1" t="s">
        <v>4087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4180</v>
      </c>
      <c r="D4506" s="1"/>
      <c r="E4506" s="1"/>
      <c r="F4506" s="1" t="s">
        <v>4182</v>
      </c>
      <c r="G4506" s="1">
        <v>96</v>
      </c>
      <c r="H4506" s="1" t="s">
        <v>19</v>
      </c>
      <c r="I4506" s="1" t="s">
        <v>4087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4183</v>
      </c>
      <c r="D4507" s="1"/>
      <c r="E4507" s="1"/>
      <c r="F4507" s="1" t="s">
        <v>4184</v>
      </c>
      <c r="G4507" s="1">
        <v>112</v>
      </c>
      <c r="H4507" s="1" t="s">
        <v>19</v>
      </c>
      <c r="I4507" s="1" t="s">
        <v>4087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4183</v>
      </c>
      <c r="D4508" s="1"/>
      <c r="E4508" s="1"/>
      <c r="F4508" s="1" t="s">
        <v>4185</v>
      </c>
      <c r="G4508" s="1">
        <v>56</v>
      </c>
      <c r="H4508" s="1" t="s">
        <v>19</v>
      </c>
      <c r="I4508" s="1" t="s">
        <v>4087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4186</v>
      </c>
      <c r="D4509" s="1"/>
      <c r="E4509" s="1"/>
      <c r="F4509" s="1" t="s">
        <v>4187</v>
      </c>
      <c r="G4509" s="1">
        <v>128</v>
      </c>
      <c r="H4509" s="1" t="s">
        <v>19</v>
      </c>
      <c r="I4509" s="1" t="s">
        <v>4087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4186</v>
      </c>
      <c r="D4510" s="1"/>
      <c r="E4510" s="1"/>
      <c r="F4510" s="1" t="s">
        <v>4188</v>
      </c>
      <c r="G4510" s="1">
        <v>128</v>
      </c>
      <c r="H4510" s="1" t="s">
        <v>19</v>
      </c>
      <c r="I4510" s="1" t="s">
        <v>4087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4189</v>
      </c>
      <c r="D4511" s="1"/>
      <c r="E4511" s="1"/>
      <c r="F4511" s="1" t="s">
        <v>4190</v>
      </c>
      <c r="G4511" s="1">
        <v>112</v>
      </c>
      <c r="H4511" s="1" t="s">
        <v>19</v>
      </c>
      <c r="I4511" s="1" t="s">
        <v>4087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4189</v>
      </c>
      <c r="D4512" s="1"/>
      <c r="E4512" s="1"/>
      <c r="F4512" s="1" t="s">
        <v>4191</v>
      </c>
      <c r="G4512" s="1">
        <v>112</v>
      </c>
      <c r="H4512" s="1" t="s">
        <v>19</v>
      </c>
      <c r="I4512" s="1" t="s">
        <v>4087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4189</v>
      </c>
      <c r="D4513" s="1"/>
      <c r="E4513" s="1"/>
      <c r="F4513" s="1" t="s">
        <v>4192</v>
      </c>
      <c r="G4513" s="1">
        <v>112</v>
      </c>
      <c r="H4513" s="1" t="s">
        <v>19</v>
      </c>
      <c r="I4513" s="1" t="s">
        <v>4087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4193</v>
      </c>
      <c r="D4514" s="1"/>
      <c r="E4514" s="1"/>
      <c r="F4514" s="1" t="s">
        <v>4194</v>
      </c>
      <c r="G4514" s="1">
        <v>96</v>
      </c>
      <c r="H4514" s="1" t="s">
        <v>19</v>
      </c>
      <c r="I4514" s="1" t="s">
        <v>4087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4193</v>
      </c>
      <c r="D4515" s="1"/>
      <c r="E4515" s="1"/>
      <c r="F4515" s="1" t="s">
        <v>4195</v>
      </c>
      <c r="G4515" s="1">
        <v>96</v>
      </c>
      <c r="H4515" s="1" t="s">
        <v>19</v>
      </c>
      <c r="I4515" s="1" t="s">
        <v>4087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4193</v>
      </c>
      <c r="D4516" s="1"/>
      <c r="E4516" s="1"/>
      <c r="F4516" s="1" t="s">
        <v>4196</v>
      </c>
      <c r="G4516" s="1">
        <v>96</v>
      </c>
      <c r="H4516" s="1" t="s">
        <v>19</v>
      </c>
      <c r="I4516" s="1" t="s">
        <v>4087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4197</v>
      </c>
      <c r="D4517" s="1"/>
      <c r="E4517" s="1"/>
      <c r="F4517" s="1" t="s">
        <v>4198</v>
      </c>
      <c r="G4517" s="1">
        <v>112</v>
      </c>
      <c r="H4517" s="1" t="s">
        <v>19</v>
      </c>
      <c r="I4517" s="1" t="s">
        <v>4087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4197</v>
      </c>
      <c r="D4518" s="1"/>
      <c r="E4518" s="1"/>
      <c r="F4518" s="1" t="s">
        <v>4199</v>
      </c>
      <c r="G4518" s="1">
        <v>112</v>
      </c>
      <c r="H4518" s="1" t="s">
        <v>19</v>
      </c>
      <c r="I4518" s="1" t="s">
        <v>4087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4197</v>
      </c>
      <c r="D4519" s="1"/>
      <c r="E4519" s="1"/>
      <c r="F4519" s="1" t="s">
        <v>4200</v>
      </c>
      <c r="G4519" s="1">
        <v>112</v>
      </c>
      <c r="H4519" s="1" t="s">
        <v>19</v>
      </c>
      <c r="I4519" s="1" t="s">
        <v>4087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4201</v>
      </c>
      <c r="D4520" s="1"/>
      <c r="E4520" s="1"/>
      <c r="F4520" s="1" t="s">
        <v>4202</v>
      </c>
      <c r="G4520" s="1">
        <v>112</v>
      </c>
      <c r="H4520" s="1" t="s">
        <v>19</v>
      </c>
      <c r="I4520" s="1" t="s">
        <v>4087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4201</v>
      </c>
      <c r="D4521" s="1"/>
      <c r="E4521" s="1"/>
      <c r="F4521" s="1" t="s">
        <v>4203</v>
      </c>
      <c r="G4521" s="1">
        <v>112</v>
      </c>
      <c r="H4521" s="1" t="s">
        <v>19</v>
      </c>
      <c r="I4521" s="1" t="s">
        <v>4087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4201</v>
      </c>
      <c r="D4522" s="1"/>
      <c r="E4522" s="1"/>
      <c r="F4522" s="1" t="s">
        <v>4204</v>
      </c>
      <c r="G4522" s="1">
        <v>112</v>
      </c>
      <c r="H4522" s="1" t="s">
        <v>19</v>
      </c>
      <c r="I4522" s="1" t="s">
        <v>4087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4205</v>
      </c>
      <c r="D4523" s="1"/>
      <c r="E4523" s="1"/>
      <c r="F4523" s="1" t="s">
        <v>4206</v>
      </c>
      <c r="G4523" s="1">
        <v>416</v>
      </c>
      <c r="H4523" s="1" t="s">
        <v>19</v>
      </c>
      <c r="I4523" s="1" t="s">
        <v>4087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4205</v>
      </c>
      <c r="D4524" s="1"/>
      <c r="E4524" s="1"/>
      <c r="F4524" s="1" t="s">
        <v>4207</v>
      </c>
      <c r="G4524" s="1">
        <v>208</v>
      </c>
      <c r="H4524" s="1" t="s">
        <v>19</v>
      </c>
      <c r="I4524" s="1" t="s">
        <v>4087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4208</v>
      </c>
      <c r="D4525" s="1"/>
      <c r="E4525" s="1"/>
      <c r="F4525" s="1" t="s">
        <v>4209</v>
      </c>
      <c r="G4525" s="1">
        <v>96</v>
      </c>
      <c r="H4525" s="1" t="s">
        <v>19</v>
      </c>
      <c r="I4525" s="1" t="s">
        <v>4087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4208</v>
      </c>
      <c r="D4526" s="1"/>
      <c r="E4526" s="1"/>
      <c r="F4526" s="1" t="s">
        <v>4210</v>
      </c>
      <c r="G4526" s="1">
        <v>96</v>
      </c>
      <c r="H4526" s="1" t="s">
        <v>19</v>
      </c>
      <c r="I4526" s="1" t="s">
        <v>4087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4208</v>
      </c>
      <c r="D4527" s="1"/>
      <c r="E4527" s="1"/>
      <c r="F4527" s="1" t="s">
        <v>4211</v>
      </c>
      <c r="G4527" s="1">
        <v>96</v>
      </c>
      <c r="H4527" s="1" t="s">
        <v>19</v>
      </c>
      <c r="I4527" s="1" t="s">
        <v>4087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4212</v>
      </c>
      <c r="D4528" s="1"/>
      <c r="E4528" s="1"/>
      <c r="F4528" s="1" t="s">
        <v>4213</v>
      </c>
      <c r="G4528" s="1">
        <v>8</v>
      </c>
      <c r="H4528" s="1" t="s">
        <v>19</v>
      </c>
      <c r="I4528" s="1" t="s">
        <v>4087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4212</v>
      </c>
      <c r="D4529" s="1"/>
      <c r="E4529" s="1"/>
      <c r="F4529" s="1" t="s">
        <v>4214</v>
      </c>
      <c r="G4529" s="1">
        <v>16</v>
      </c>
      <c r="H4529" s="1" t="s">
        <v>19</v>
      </c>
      <c r="I4529" s="1" t="s">
        <v>4087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4212</v>
      </c>
      <c r="D4530" s="1"/>
      <c r="E4530" s="1"/>
      <c r="F4530" s="1" t="s">
        <v>4215</v>
      </c>
      <c r="G4530" s="1">
        <v>8</v>
      </c>
      <c r="H4530" s="1" t="s">
        <v>19</v>
      </c>
      <c r="I4530" s="1" t="s">
        <v>4087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4212</v>
      </c>
      <c r="D4531" s="1"/>
      <c r="E4531" s="1"/>
      <c r="F4531" s="1" t="s">
        <v>4216</v>
      </c>
      <c r="G4531" s="1">
        <v>8</v>
      </c>
      <c r="H4531" s="1" t="s">
        <v>19</v>
      </c>
      <c r="I4531" s="1" t="s">
        <v>4087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4212</v>
      </c>
      <c r="D4532" s="1"/>
      <c r="E4532" s="1"/>
      <c r="F4532" s="1" t="s">
        <v>4217</v>
      </c>
      <c r="G4532" s="1">
        <v>8</v>
      </c>
      <c r="H4532" s="1" t="s">
        <v>19</v>
      </c>
      <c r="I4532" s="1" t="s">
        <v>4087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4212</v>
      </c>
      <c r="D4533" s="1"/>
      <c r="E4533" s="1"/>
      <c r="F4533" s="1" t="s">
        <v>4218</v>
      </c>
      <c r="G4533" s="1">
        <v>8</v>
      </c>
      <c r="H4533" s="1" t="s">
        <v>19</v>
      </c>
      <c r="I4533" s="1" t="s">
        <v>4087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4212</v>
      </c>
      <c r="D4534" s="1"/>
      <c r="E4534" s="1"/>
      <c r="F4534" s="1" t="s">
        <v>4219</v>
      </c>
      <c r="G4534" s="1">
        <v>64</v>
      </c>
      <c r="H4534" s="1" t="s">
        <v>19</v>
      </c>
      <c r="I4534" s="1" t="s">
        <v>4087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4212</v>
      </c>
      <c r="D4535" s="1"/>
      <c r="E4535" s="1"/>
      <c r="F4535" s="1" t="s">
        <v>4220</v>
      </c>
      <c r="G4535" s="1">
        <v>64</v>
      </c>
      <c r="H4535" s="1" t="s">
        <v>19</v>
      </c>
      <c r="I4535" s="1" t="s">
        <v>4087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4212</v>
      </c>
      <c r="D4536" s="1"/>
      <c r="E4536" s="1"/>
      <c r="F4536" s="1" t="s">
        <v>4221</v>
      </c>
      <c r="G4536" s="1">
        <v>64</v>
      </c>
      <c r="H4536" s="1" t="s">
        <v>19</v>
      </c>
      <c r="I4536" s="1" t="s">
        <v>4087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4212</v>
      </c>
      <c r="D4537" s="1"/>
      <c r="E4537" s="1"/>
      <c r="F4537" s="1" t="s">
        <v>4222</v>
      </c>
      <c r="G4537" s="1">
        <v>32</v>
      </c>
      <c r="H4537" s="1" t="s">
        <v>19</v>
      </c>
      <c r="I4537" s="1" t="s">
        <v>4087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4212</v>
      </c>
      <c r="D4538" s="1"/>
      <c r="E4538" s="1"/>
      <c r="F4538" s="1" t="s">
        <v>4223</v>
      </c>
      <c r="G4538" s="1">
        <v>32</v>
      </c>
      <c r="H4538" s="1" t="s">
        <v>19</v>
      </c>
      <c r="I4538" s="1" t="s">
        <v>4087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4212</v>
      </c>
      <c r="D4539" s="1"/>
      <c r="E4539" s="1"/>
      <c r="F4539" s="1" t="s">
        <v>4224</v>
      </c>
      <c r="G4539" s="1">
        <v>16</v>
      </c>
      <c r="H4539" s="1" t="s">
        <v>19</v>
      </c>
      <c r="I4539" s="1" t="s">
        <v>4087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4212</v>
      </c>
      <c r="D4540" s="1"/>
      <c r="E4540" s="1"/>
      <c r="F4540" s="1" t="s">
        <v>4225</v>
      </c>
      <c r="G4540" s="1">
        <v>16</v>
      </c>
      <c r="H4540" s="1" t="s">
        <v>19</v>
      </c>
      <c r="I4540" s="1" t="s">
        <v>4087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4226</v>
      </c>
      <c r="D4541" s="1"/>
      <c r="E4541" s="1"/>
      <c r="F4541" s="1" t="s">
        <v>4227</v>
      </c>
      <c r="G4541" s="1">
        <v>2</v>
      </c>
      <c r="H4541" s="1" t="s">
        <v>19</v>
      </c>
      <c r="I4541" s="1" t="s">
        <v>4087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4226</v>
      </c>
      <c r="D4542" s="1"/>
      <c r="E4542" s="1"/>
      <c r="F4542" s="1" t="s">
        <v>4228</v>
      </c>
      <c r="G4542" s="1">
        <v>2</v>
      </c>
      <c r="H4542" s="1" t="s">
        <v>19</v>
      </c>
      <c r="I4542" s="1" t="s">
        <v>4087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4226</v>
      </c>
      <c r="D4543" s="1"/>
      <c r="E4543" s="1"/>
      <c r="F4543" s="1" t="s">
        <v>4229</v>
      </c>
      <c r="G4543" s="1">
        <v>2</v>
      </c>
      <c r="H4543" s="1" t="s">
        <v>19</v>
      </c>
      <c r="I4543" s="1" t="s">
        <v>4087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4226</v>
      </c>
      <c r="D4544" s="1"/>
      <c r="E4544" s="1"/>
      <c r="F4544" s="1" t="s">
        <v>4230</v>
      </c>
      <c r="G4544" s="1">
        <v>2</v>
      </c>
      <c r="H4544" s="1" t="s">
        <v>19</v>
      </c>
      <c r="I4544" s="1" t="s">
        <v>4087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4226</v>
      </c>
      <c r="D4545" s="1"/>
      <c r="E4545" s="1"/>
      <c r="F4545" s="1" t="s">
        <v>4231</v>
      </c>
      <c r="G4545" s="1">
        <v>2</v>
      </c>
      <c r="H4545" s="1" t="s">
        <v>19</v>
      </c>
      <c r="I4545" s="1" t="s">
        <v>4087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4232</v>
      </c>
      <c r="D4546" s="1"/>
      <c r="E4546" s="1"/>
      <c r="F4546" s="1" t="s">
        <v>4233</v>
      </c>
      <c r="G4546" s="1">
        <v>20</v>
      </c>
      <c r="H4546" s="1" t="s">
        <v>19</v>
      </c>
      <c r="I4546" s="1" t="s">
        <v>4087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4232</v>
      </c>
      <c r="D4547" s="1"/>
      <c r="E4547" s="1"/>
      <c r="F4547" s="1" t="s">
        <v>4234</v>
      </c>
      <c r="G4547" s="1">
        <v>20</v>
      </c>
      <c r="H4547" s="1" t="s">
        <v>19</v>
      </c>
      <c r="I4547" s="1" t="s">
        <v>4087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4235</v>
      </c>
      <c r="D4548" s="1"/>
      <c r="E4548" s="1"/>
      <c r="F4548" s="1" t="s">
        <v>4236</v>
      </c>
      <c r="G4548" s="1">
        <v>664</v>
      </c>
      <c r="H4548" s="1" t="s">
        <v>19</v>
      </c>
      <c r="I4548" s="1" t="s">
        <v>4087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4235</v>
      </c>
      <c r="D4549" s="1"/>
      <c r="E4549" s="1"/>
      <c r="F4549" s="1" t="s">
        <v>4237</v>
      </c>
      <c r="G4549" s="1">
        <v>664</v>
      </c>
      <c r="H4549" s="1" t="s">
        <v>19</v>
      </c>
      <c r="I4549" s="1" t="s">
        <v>4087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4235</v>
      </c>
      <c r="D4550" s="1"/>
      <c r="E4550" s="1"/>
      <c r="F4550" s="1" t="s">
        <v>4238</v>
      </c>
      <c r="G4550" s="1">
        <v>1928</v>
      </c>
      <c r="H4550" s="1" t="s">
        <v>19</v>
      </c>
      <c r="I4550" s="1" t="s">
        <v>4087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4235</v>
      </c>
      <c r="D4551" s="1"/>
      <c r="E4551" s="1"/>
      <c r="F4551" s="1" t="s">
        <v>4239</v>
      </c>
      <c r="G4551" s="1">
        <v>1168</v>
      </c>
      <c r="H4551" s="1" t="s">
        <v>19</v>
      </c>
      <c r="I4551" s="1" t="s">
        <v>4087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4235</v>
      </c>
      <c r="D4552" s="1"/>
      <c r="E4552" s="1"/>
      <c r="F4552" s="1" t="s">
        <v>4240</v>
      </c>
      <c r="G4552" s="1">
        <v>800</v>
      </c>
      <c r="H4552" s="1" t="s">
        <v>19</v>
      </c>
      <c r="I4552" s="1" t="s">
        <v>4087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4235</v>
      </c>
      <c r="D4553" s="1"/>
      <c r="E4553" s="1"/>
      <c r="F4553" s="1" t="s">
        <v>4241</v>
      </c>
      <c r="G4553" s="1">
        <v>336</v>
      </c>
      <c r="H4553" s="1" t="s">
        <v>19</v>
      </c>
      <c r="I4553" s="1" t="s">
        <v>4087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4145</v>
      </c>
      <c r="D4554" s="1"/>
      <c r="E4554" s="1"/>
      <c r="F4554" s="1" t="s">
        <v>4242</v>
      </c>
      <c r="G4554" s="1">
        <v>32</v>
      </c>
      <c r="H4554" s="1" t="s">
        <v>19</v>
      </c>
      <c r="I4554" s="1" t="s">
        <v>4087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4145</v>
      </c>
      <c r="D4555" s="1"/>
      <c r="E4555" s="1"/>
      <c r="F4555" s="1" t="s">
        <v>4243</v>
      </c>
      <c r="G4555" s="1">
        <v>32</v>
      </c>
      <c r="H4555" s="1" t="s">
        <v>19</v>
      </c>
      <c r="I4555" s="1" t="s">
        <v>4087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4244</v>
      </c>
      <c r="D4556" s="1"/>
      <c r="E4556" s="1"/>
      <c r="F4556" s="1" t="s">
        <v>4245</v>
      </c>
      <c r="G4556" s="1">
        <v>32</v>
      </c>
      <c r="H4556" s="1" t="s">
        <v>19</v>
      </c>
      <c r="I4556" s="1" t="s">
        <v>4087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4244</v>
      </c>
      <c r="D4557" s="1"/>
      <c r="E4557" s="1"/>
      <c r="F4557" s="1" t="s">
        <v>4246</v>
      </c>
      <c r="G4557" s="1">
        <v>32</v>
      </c>
      <c r="H4557" s="1" t="s">
        <v>19</v>
      </c>
      <c r="I4557" s="1" t="s">
        <v>4087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4244</v>
      </c>
      <c r="D4558" s="1"/>
      <c r="E4558" s="1"/>
      <c r="F4558" s="1" t="s">
        <v>4247</v>
      </c>
      <c r="G4558" s="1">
        <v>16</v>
      </c>
      <c r="H4558" s="1" t="s">
        <v>19</v>
      </c>
      <c r="I4558" s="1" t="s">
        <v>4087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4244</v>
      </c>
      <c r="D4559" s="1"/>
      <c r="E4559" s="1"/>
      <c r="F4559" s="1" t="s">
        <v>4248</v>
      </c>
      <c r="G4559" s="1">
        <v>16</v>
      </c>
      <c r="H4559" s="1" t="s">
        <v>19</v>
      </c>
      <c r="I4559" s="1" t="s">
        <v>4087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4244</v>
      </c>
      <c r="D4560" s="1"/>
      <c r="E4560" s="1"/>
      <c r="F4560" s="1" t="s">
        <v>4249</v>
      </c>
      <c r="G4560" s="1">
        <v>8</v>
      </c>
      <c r="H4560" s="1" t="s">
        <v>19</v>
      </c>
      <c r="I4560" s="1" t="s">
        <v>4087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4250</v>
      </c>
      <c r="D4561" s="1"/>
      <c r="E4561" s="1"/>
      <c r="F4561" s="1" t="s">
        <v>4251</v>
      </c>
      <c r="G4561" s="1">
        <v>72</v>
      </c>
      <c r="H4561" s="1" t="s">
        <v>19</v>
      </c>
      <c r="I4561" s="1" t="s">
        <v>4087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4250</v>
      </c>
      <c r="D4562" s="1"/>
      <c r="E4562" s="1"/>
      <c r="F4562" s="1" t="s">
        <v>4252</v>
      </c>
      <c r="G4562" s="1">
        <v>72</v>
      </c>
      <c r="H4562" s="1" t="s">
        <v>19</v>
      </c>
      <c r="I4562" s="1" t="s">
        <v>4087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3763</v>
      </c>
      <c r="D4563" s="1"/>
      <c r="E4563" s="1" t="s">
        <v>3764</v>
      </c>
      <c r="F4563" s="1" t="s">
        <v>3761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3763</v>
      </c>
      <c r="D4564" s="1"/>
      <c r="E4564" s="1" t="s">
        <v>3764</v>
      </c>
      <c r="F4564" s="1" t="s">
        <v>3761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3803</v>
      </c>
      <c r="D4565" s="1"/>
      <c r="E4565" s="1" t="s">
        <v>3808</v>
      </c>
      <c r="F4565" s="1" t="s">
        <v>3809</v>
      </c>
      <c r="G4565" s="1">
        <v>8</v>
      </c>
      <c r="H4565" s="1" t="s">
        <v>19</v>
      </c>
      <c r="I4565" s="1" t="s">
        <v>3791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3803</v>
      </c>
      <c r="D4566" s="1"/>
      <c r="E4566" s="1" t="s">
        <v>3810</v>
      </c>
      <c r="F4566" s="1" t="s">
        <v>3809</v>
      </c>
      <c r="G4566" s="1">
        <v>2</v>
      </c>
      <c r="H4566" s="1" t="s">
        <v>19</v>
      </c>
      <c r="I4566" s="1" t="s">
        <v>3791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3803</v>
      </c>
      <c r="D4567" s="1"/>
      <c r="E4567" s="1" t="s">
        <v>3811</v>
      </c>
      <c r="F4567" s="1" t="s">
        <v>3809</v>
      </c>
      <c r="G4567" s="1">
        <v>4</v>
      </c>
      <c r="H4567" s="1" t="s">
        <v>19</v>
      </c>
      <c r="I4567" s="1" t="s">
        <v>3791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3803</v>
      </c>
      <c r="D4568" s="1"/>
      <c r="E4568" s="1" t="s">
        <v>3812</v>
      </c>
      <c r="F4568" s="1" t="s">
        <v>3809</v>
      </c>
      <c r="G4568" s="1">
        <v>2</v>
      </c>
      <c r="H4568" s="1" t="s">
        <v>19</v>
      </c>
      <c r="I4568" s="1" t="s">
        <v>3791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3822</v>
      </c>
      <c r="D4569" s="1"/>
      <c r="E4569" s="1" t="s">
        <v>3825</v>
      </c>
      <c r="F4569" s="1" t="s">
        <v>3809</v>
      </c>
      <c r="G4569" s="1">
        <v>2</v>
      </c>
      <c r="H4569" s="1" t="s">
        <v>19</v>
      </c>
      <c r="I4569" s="1" t="s">
        <v>3791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3822</v>
      </c>
      <c r="D4570" s="1"/>
      <c r="E4570" s="1" t="s">
        <v>3826</v>
      </c>
      <c r="F4570" s="1" t="s">
        <v>3809</v>
      </c>
      <c r="G4570" s="1">
        <v>2</v>
      </c>
      <c r="H4570" s="1" t="s">
        <v>19</v>
      </c>
      <c r="I4570" s="1" t="s">
        <v>3791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3822</v>
      </c>
      <c r="D4571" s="1"/>
      <c r="E4571" s="1" t="s">
        <v>3827</v>
      </c>
      <c r="F4571" s="1" t="s">
        <v>3809</v>
      </c>
      <c r="G4571" s="1">
        <v>6</v>
      </c>
      <c r="H4571" s="1" t="s">
        <v>19</v>
      </c>
      <c r="I4571" s="1" t="s">
        <v>3791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3822</v>
      </c>
      <c r="D4572" s="1"/>
      <c r="E4572" s="1" t="s">
        <v>3828</v>
      </c>
      <c r="F4572" s="1" t="s">
        <v>3809</v>
      </c>
      <c r="G4572" s="1">
        <v>4</v>
      </c>
      <c r="H4572" s="1" t="s">
        <v>19</v>
      </c>
      <c r="I4572" s="1" t="s">
        <v>3791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3859</v>
      </c>
      <c r="D4573" s="1"/>
      <c r="E4573" s="1" t="s">
        <v>3862</v>
      </c>
      <c r="F4573" s="1" t="s">
        <v>3809</v>
      </c>
      <c r="G4573" s="1">
        <v>10</v>
      </c>
      <c r="H4573" s="1" t="s">
        <v>19</v>
      </c>
      <c r="I4573" s="1" t="s">
        <v>3791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3859</v>
      </c>
      <c r="D4574" s="1"/>
      <c r="E4574" s="1" t="s">
        <v>3863</v>
      </c>
      <c r="F4574" s="1" t="s">
        <v>3809</v>
      </c>
      <c r="G4574" s="1">
        <v>2</v>
      </c>
      <c r="H4574" s="1" t="s">
        <v>19</v>
      </c>
      <c r="I4574" s="1" t="s">
        <v>3791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3859</v>
      </c>
      <c r="D4575" s="1"/>
      <c r="E4575" s="1" t="s">
        <v>3864</v>
      </c>
      <c r="F4575" s="1" t="s">
        <v>3809</v>
      </c>
      <c r="G4575" s="1">
        <v>2</v>
      </c>
      <c r="H4575" s="1" t="s">
        <v>19</v>
      </c>
      <c r="I4575" s="1" t="s">
        <v>3791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3865</v>
      </c>
      <c r="D4576" s="1"/>
      <c r="E4576" s="1" t="s">
        <v>3868</v>
      </c>
      <c r="F4576" s="1" t="s">
        <v>3809</v>
      </c>
      <c r="G4576" s="1">
        <v>2</v>
      </c>
      <c r="H4576" s="1" t="s">
        <v>19</v>
      </c>
      <c r="I4576" s="1" t="s">
        <v>3791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3865</v>
      </c>
      <c r="D4577" s="1"/>
      <c r="E4577" s="1" t="s">
        <v>3869</v>
      </c>
      <c r="F4577" s="1" t="s">
        <v>3809</v>
      </c>
      <c r="G4577" s="1">
        <v>2</v>
      </c>
      <c r="H4577" s="1" t="s">
        <v>19</v>
      </c>
      <c r="I4577" s="1" t="s">
        <v>3791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3865</v>
      </c>
      <c r="D4578" s="1"/>
      <c r="E4578" s="1" t="s">
        <v>3870</v>
      </c>
      <c r="F4578" s="1" t="s">
        <v>3809</v>
      </c>
      <c r="G4578" s="1">
        <v>2</v>
      </c>
      <c r="H4578" s="1" t="s">
        <v>19</v>
      </c>
      <c r="I4578" s="1" t="s">
        <v>3791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3865</v>
      </c>
      <c r="D4579" s="1"/>
      <c r="E4579" s="1" t="s">
        <v>3871</v>
      </c>
      <c r="F4579" s="1" t="s">
        <v>3809</v>
      </c>
      <c r="G4579" s="1">
        <v>2</v>
      </c>
      <c r="H4579" s="1" t="s">
        <v>19</v>
      </c>
      <c r="I4579" s="1" t="s">
        <v>3791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3865</v>
      </c>
      <c r="D4580" s="1"/>
      <c r="E4580" s="1" t="s">
        <v>3872</v>
      </c>
      <c r="F4580" s="1" t="s">
        <v>3809</v>
      </c>
      <c r="G4580" s="1">
        <v>2</v>
      </c>
      <c r="H4580" s="1" t="s">
        <v>19</v>
      </c>
      <c r="I4580" s="1" t="s">
        <v>3791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3865</v>
      </c>
      <c r="D4581" s="1"/>
      <c r="E4581" s="1" t="s">
        <v>3873</v>
      </c>
      <c r="F4581" s="1" t="s">
        <v>3809</v>
      </c>
      <c r="G4581" s="1">
        <v>4</v>
      </c>
      <c r="H4581" s="1" t="s">
        <v>19</v>
      </c>
      <c r="I4581" s="1" t="s">
        <v>3791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3874</v>
      </c>
      <c r="D4582" s="1"/>
      <c r="E4582" s="1" t="s">
        <v>3875</v>
      </c>
      <c r="F4582" s="1" t="s">
        <v>3809</v>
      </c>
      <c r="G4582" s="1">
        <v>12</v>
      </c>
      <c r="H4582" s="1" t="s">
        <v>19</v>
      </c>
      <c r="I4582" s="1" t="s">
        <v>3791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3876</v>
      </c>
      <c r="D4583" s="1"/>
      <c r="E4583" s="1" t="s">
        <v>3879</v>
      </c>
      <c r="F4583" s="1" t="s">
        <v>3809</v>
      </c>
      <c r="G4583" s="1">
        <v>12</v>
      </c>
      <c r="H4583" s="1" t="s">
        <v>19</v>
      </c>
      <c r="I4583" s="1" t="s">
        <v>3791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3905</v>
      </c>
      <c r="D4584" s="1"/>
      <c r="E4584" s="1" t="s">
        <v>3906</v>
      </c>
      <c r="F4584" s="1" t="s">
        <v>3907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3905</v>
      </c>
      <c r="D4585" s="1"/>
      <c r="E4585" s="1" t="s">
        <v>3908</v>
      </c>
      <c r="F4585" s="1" t="s">
        <v>3909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3905</v>
      </c>
      <c r="D4586" s="1"/>
      <c r="E4586" s="1" t="s">
        <v>3908</v>
      </c>
      <c r="F4586" s="1" t="s">
        <v>3909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3780</v>
      </c>
      <c r="D4587" s="1"/>
      <c r="E4587" s="1" t="s">
        <v>3781</v>
      </c>
      <c r="F4587" s="1" t="s">
        <v>3782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3780</v>
      </c>
      <c r="D4588" s="1"/>
      <c r="E4588" s="1" t="s">
        <v>3781</v>
      </c>
      <c r="F4588" s="1" t="s">
        <v>3782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3784</v>
      </c>
      <c r="D4589" s="1"/>
      <c r="E4589" s="1" t="s">
        <v>3785</v>
      </c>
      <c r="F4589" s="1" t="s">
        <v>3782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3784</v>
      </c>
      <c r="D4590" s="1"/>
      <c r="E4590" s="1" t="s">
        <v>3785</v>
      </c>
      <c r="F4590" s="1" t="s">
        <v>3782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3914</v>
      </c>
      <c r="D4591" s="1"/>
      <c r="E4591" s="1" t="s">
        <v>3915</v>
      </c>
      <c r="F4591" s="1" t="s">
        <v>3916</v>
      </c>
      <c r="G4591" s="1">
        <v>30</v>
      </c>
      <c r="H4591" s="1" t="s">
        <v>19</v>
      </c>
      <c r="I4591" s="1" t="s">
        <v>3791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3914</v>
      </c>
      <c r="D4592" s="1"/>
      <c r="E4592" s="1" t="s">
        <v>3918</v>
      </c>
      <c r="F4592" s="1" t="s">
        <v>3919</v>
      </c>
      <c r="G4592" s="1">
        <v>30</v>
      </c>
      <c r="H4592" s="1" t="s">
        <v>19</v>
      </c>
      <c r="I4592" s="1" t="s">
        <v>3791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3914</v>
      </c>
      <c r="D4593" s="1"/>
      <c r="E4593" s="1" t="s">
        <v>3920</v>
      </c>
      <c r="F4593" s="1" t="s">
        <v>3921</v>
      </c>
      <c r="G4593" s="1">
        <v>40</v>
      </c>
      <c r="H4593" s="1" t="s">
        <v>19</v>
      </c>
      <c r="I4593" s="1" t="s">
        <v>3791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3914</v>
      </c>
      <c r="D4594" s="1"/>
      <c r="E4594" s="1" t="s">
        <v>3922</v>
      </c>
      <c r="F4594" s="1" t="s">
        <v>3923</v>
      </c>
      <c r="G4594" s="1">
        <v>10</v>
      </c>
      <c r="H4594" s="1" t="s">
        <v>19</v>
      </c>
      <c r="I4594" s="1" t="s">
        <v>3791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3914</v>
      </c>
      <c r="D4595" s="1"/>
      <c r="E4595" s="1" t="s">
        <v>3924</v>
      </c>
      <c r="F4595" s="1" t="s">
        <v>3925</v>
      </c>
      <c r="G4595" s="1">
        <v>10</v>
      </c>
      <c r="H4595" s="1" t="s">
        <v>19</v>
      </c>
      <c r="I4595" s="1" t="s">
        <v>3791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3914</v>
      </c>
      <c r="D4596" s="1"/>
      <c r="E4596" s="1" t="s">
        <v>3926</v>
      </c>
      <c r="F4596" s="1" t="s">
        <v>3927</v>
      </c>
      <c r="G4596" s="1">
        <v>22</v>
      </c>
      <c r="H4596" s="1" t="s">
        <v>19</v>
      </c>
      <c r="I4596" s="1" t="s">
        <v>3791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3914</v>
      </c>
      <c r="D4597" s="1"/>
      <c r="E4597" s="1" t="s">
        <v>3928</v>
      </c>
      <c r="F4597" s="1" t="s">
        <v>3929</v>
      </c>
      <c r="G4597" s="1">
        <v>2</v>
      </c>
      <c r="H4597" s="1" t="s">
        <v>19</v>
      </c>
      <c r="I4597" s="1" t="s">
        <v>3791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3774</v>
      </c>
      <c r="D4598" s="1"/>
      <c r="E4598" s="1" t="s">
        <v>3779</v>
      </c>
      <c r="F4598" s="1" t="s">
        <v>3778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3774</v>
      </c>
      <c r="D4599" s="1"/>
      <c r="E4599" s="1" t="s">
        <v>3779</v>
      </c>
      <c r="F4599" s="1" t="s">
        <v>3778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3865</v>
      </c>
      <c r="D4600" s="1"/>
      <c r="E4600" s="1" t="s">
        <v>4253</v>
      </c>
      <c r="F4600" s="1" t="s">
        <v>3805</v>
      </c>
      <c r="G4600" s="1">
        <v>2</v>
      </c>
      <c r="H4600" s="1" t="s">
        <v>19</v>
      </c>
      <c r="I4600" s="1" t="s">
        <v>3791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3931</v>
      </c>
      <c r="D4601" s="1"/>
      <c r="E4601" s="1" t="s">
        <v>3932</v>
      </c>
      <c r="F4601" s="1" t="s">
        <v>3782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3931</v>
      </c>
      <c r="D4602" s="1"/>
      <c r="E4602" s="1" t="s">
        <v>3932</v>
      </c>
      <c r="F4602" s="1" t="s">
        <v>3782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3934</v>
      </c>
      <c r="D4603" s="1"/>
      <c r="E4603" s="1" t="s">
        <v>3935</v>
      </c>
      <c r="F4603" s="1" t="s">
        <v>3782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3934</v>
      </c>
      <c r="D4604" s="1"/>
      <c r="E4604" s="1" t="s">
        <v>3935</v>
      </c>
      <c r="F4604" s="1" t="s">
        <v>3782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3936</v>
      </c>
      <c r="D4605" s="1"/>
      <c r="E4605" s="1" t="s">
        <v>3937</v>
      </c>
      <c r="F4605" s="1" t="s">
        <v>3938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3936</v>
      </c>
      <c r="D4606" s="1"/>
      <c r="E4606" s="1" t="s">
        <v>3939</v>
      </c>
      <c r="F4606" s="1" t="s">
        <v>3938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3936</v>
      </c>
      <c r="D4607" s="1"/>
      <c r="E4607" s="1" t="s">
        <v>3940</v>
      </c>
      <c r="F4607" s="1" t="s">
        <v>3938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3936</v>
      </c>
      <c r="D4608" s="1"/>
      <c r="E4608" s="1" t="s">
        <v>3941</v>
      </c>
      <c r="F4608" s="1" t="s">
        <v>3938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3936</v>
      </c>
      <c r="D4609" s="1"/>
      <c r="E4609" s="1" t="s">
        <v>3943</v>
      </c>
      <c r="F4609" s="1" t="s">
        <v>3938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3936</v>
      </c>
      <c r="D4610" s="1"/>
      <c r="E4610" s="1" t="s">
        <v>3944</v>
      </c>
      <c r="F4610" s="1" t="s">
        <v>3938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3936</v>
      </c>
      <c r="D4611" s="1"/>
      <c r="E4611" s="1" t="s">
        <v>3937</v>
      </c>
      <c r="F4611" s="1" t="s">
        <v>3938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3936</v>
      </c>
      <c r="D4612" s="1"/>
      <c r="E4612" s="1" t="s">
        <v>3939</v>
      </c>
      <c r="F4612" s="1" t="s">
        <v>3938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3936</v>
      </c>
      <c r="D4613" s="1"/>
      <c r="E4613" s="1" t="s">
        <v>3940</v>
      </c>
      <c r="F4613" s="1" t="s">
        <v>3938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3936</v>
      </c>
      <c r="D4614" s="1"/>
      <c r="E4614" s="1" t="s">
        <v>3941</v>
      </c>
      <c r="F4614" s="1" t="s">
        <v>3938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3936</v>
      </c>
      <c r="D4615" s="1"/>
      <c r="E4615" s="1" t="s">
        <v>3943</v>
      </c>
      <c r="F4615" s="1" t="s">
        <v>3938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3936</v>
      </c>
      <c r="D4616" s="1"/>
      <c r="E4616" s="1" t="s">
        <v>3944</v>
      </c>
      <c r="F4616" s="1" t="s">
        <v>3938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3972</v>
      </c>
      <c r="D4617" s="1"/>
      <c r="E4617" s="1" t="s">
        <v>3978</v>
      </c>
      <c r="F4617" s="1" t="s">
        <v>3979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3972</v>
      </c>
      <c r="D4618" s="1"/>
      <c r="E4618" s="1" t="s">
        <v>3978</v>
      </c>
      <c r="F4618" s="1" t="s">
        <v>3979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3980</v>
      </c>
      <c r="D4619" s="1"/>
      <c r="E4619" s="1" t="s">
        <v>3981</v>
      </c>
      <c r="F4619" s="1" t="s">
        <v>3982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3980</v>
      </c>
      <c r="D4620" s="1"/>
      <c r="E4620" s="1" t="s">
        <v>3981</v>
      </c>
      <c r="F4620" s="1" t="s">
        <v>3982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3813</v>
      </c>
      <c r="D4621" s="1"/>
      <c r="E4621" s="1" t="s">
        <v>3814</v>
      </c>
      <c r="F4621" s="1" t="s">
        <v>3815</v>
      </c>
      <c r="G4621" s="1">
        <v>3</v>
      </c>
      <c r="H4621" s="1" t="s">
        <v>19</v>
      </c>
      <c r="I4621" s="1" t="s">
        <v>3791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3876</v>
      </c>
      <c r="D4622" s="1"/>
      <c r="E4622" s="1" t="s">
        <v>3877</v>
      </c>
      <c r="F4622" s="1" t="s">
        <v>3805</v>
      </c>
      <c r="G4622" s="1">
        <v>2</v>
      </c>
      <c r="H4622" s="1" t="s">
        <v>19</v>
      </c>
      <c r="I4622" s="1" t="s">
        <v>3791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3876</v>
      </c>
      <c r="D4623" s="1"/>
      <c r="E4623" s="1" t="s">
        <v>3878</v>
      </c>
      <c r="F4623" s="1" t="s">
        <v>3807</v>
      </c>
      <c r="G4623" s="1">
        <v>2</v>
      </c>
      <c r="H4623" s="1" t="s">
        <v>19</v>
      </c>
      <c r="I4623" s="1" t="s">
        <v>3791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3838</v>
      </c>
      <c r="D4624" s="1"/>
      <c r="E4624" s="1" t="s">
        <v>3841</v>
      </c>
      <c r="F4624" s="1" t="s">
        <v>3819</v>
      </c>
      <c r="G4624" s="1">
        <v>2</v>
      </c>
      <c r="H4624" s="1" t="s">
        <v>19</v>
      </c>
      <c r="I4624" s="1" t="s">
        <v>3791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3838</v>
      </c>
      <c r="D4625" s="1"/>
      <c r="E4625" s="1" t="s">
        <v>3842</v>
      </c>
      <c r="F4625" s="1" t="s">
        <v>3821</v>
      </c>
      <c r="G4625" s="1">
        <v>2</v>
      </c>
      <c r="H4625" s="1" t="s">
        <v>19</v>
      </c>
      <c r="I4625" s="1" t="s">
        <v>3791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3843</v>
      </c>
      <c r="D4626" s="1"/>
      <c r="E4626" s="1" t="s">
        <v>3844</v>
      </c>
      <c r="F4626" s="1" t="s">
        <v>3845</v>
      </c>
      <c r="G4626" s="1">
        <v>2</v>
      </c>
      <c r="H4626" s="1" t="s">
        <v>19</v>
      </c>
      <c r="I4626" s="1" t="s">
        <v>3791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3829</v>
      </c>
      <c r="D4627" s="1"/>
      <c r="E4627" s="1" t="s">
        <v>3830</v>
      </c>
      <c r="F4627" s="1" t="s">
        <v>3815</v>
      </c>
      <c r="G4627" s="1">
        <v>4</v>
      </c>
      <c r="H4627" s="1" t="s">
        <v>19</v>
      </c>
      <c r="I4627" s="1" t="s">
        <v>3791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3833</v>
      </c>
      <c r="D4628" s="1"/>
      <c r="E4628" s="1" t="s">
        <v>3834</v>
      </c>
      <c r="F4628" s="1" t="s">
        <v>3815</v>
      </c>
      <c r="G4628" s="1">
        <v>2</v>
      </c>
      <c r="H4628" s="1" t="s">
        <v>19</v>
      </c>
      <c r="I4628" s="1" t="s">
        <v>3791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3833</v>
      </c>
      <c r="D4629" s="1"/>
      <c r="E4629" s="1" t="s">
        <v>3835</v>
      </c>
      <c r="F4629" s="1" t="s">
        <v>3817</v>
      </c>
      <c r="G4629" s="1">
        <v>2</v>
      </c>
      <c r="H4629" s="1" t="s">
        <v>19</v>
      </c>
      <c r="I4629" s="1" t="s">
        <v>3791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3833</v>
      </c>
      <c r="D4630" s="1"/>
      <c r="E4630" s="1" t="s">
        <v>3836</v>
      </c>
      <c r="F4630" s="1" t="s">
        <v>3819</v>
      </c>
      <c r="G4630" s="1">
        <v>2</v>
      </c>
      <c r="H4630" s="1" t="s">
        <v>19</v>
      </c>
      <c r="I4630" s="1" t="s">
        <v>3791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3838</v>
      </c>
      <c r="D4631" s="1"/>
      <c r="E4631" s="1" t="s">
        <v>3839</v>
      </c>
      <c r="F4631" s="1" t="s">
        <v>3815</v>
      </c>
      <c r="G4631" s="1">
        <v>2</v>
      </c>
      <c r="H4631" s="1" t="s">
        <v>19</v>
      </c>
      <c r="I4631" s="1" t="s">
        <v>3791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3813</v>
      </c>
      <c r="D4632" s="1"/>
      <c r="E4632" s="1" t="s">
        <v>3814</v>
      </c>
      <c r="F4632" s="1" t="s">
        <v>3815</v>
      </c>
      <c r="G4632" s="1">
        <v>1</v>
      </c>
      <c r="H4632" s="1" t="s">
        <v>19</v>
      </c>
      <c r="I4632" s="1" t="s">
        <v>3791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3833</v>
      </c>
      <c r="D4633" s="1"/>
      <c r="E4633" s="1" t="s">
        <v>3837</v>
      </c>
      <c r="F4633" s="1" t="s">
        <v>3821</v>
      </c>
      <c r="G4633" s="1">
        <v>2</v>
      </c>
      <c r="H4633" s="1" t="s">
        <v>19</v>
      </c>
      <c r="I4633" s="1" t="s">
        <v>3791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3843</v>
      </c>
      <c r="D4634" s="1"/>
      <c r="E4634" s="1" t="s">
        <v>3846</v>
      </c>
      <c r="F4634" s="1" t="s">
        <v>3847</v>
      </c>
      <c r="G4634" s="1">
        <v>4</v>
      </c>
      <c r="H4634" s="1" t="s">
        <v>19</v>
      </c>
      <c r="I4634" s="1" t="s">
        <v>3791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3865</v>
      </c>
      <c r="D4635" s="1"/>
      <c r="E4635" s="1" t="s">
        <v>3867</v>
      </c>
      <c r="F4635" s="1" t="s">
        <v>3807</v>
      </c>
      <c r="G4635" s="1">
        <v>2</v>
      </c>
      <c r="H4635" s="1" t="s">
        <v>19</v>
      </c>
      <c r="I4635" s="1" t="s">
        <v>3791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3850</v>
      </c>
      <c r="D4636" s="1"/>
      <c r="E4636" s="1" t="s">
        <v>3851</v>
      </c>
      <c r="F4636" s="1" t="s">
        <v>3815</v>
      </c>
      <c r="G4636" s="1">
        <v>4</v>
      </c>
      <c r="H4636" s="1" t="s">
        <v>19</v>
      </c>
      <c r="I4636" s="1" t="s">
        <v>3791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3850</v>
      </c>
      <c r="D4637" s="1"/>
      <c r="E4637" s="1" t="s">
        <v>3852</v>
      </c>
      <c r="F4637" s="1" t="s">
        <v>3817</v>
      </c>
      <c r="G4637" s="1">
        <v>2</v>
      </c>
      <c r="H4637" s="1" t="s">
        <v>19</v>
      </c>
      <c r="I4637" s="1" t="s">
        <v>3791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3850</v>
      </c>
      <c r="D4638" s="1"/>
      <c r="E4638" s="1" t="s">
        <v>3853</v>
      </c>
      <c r="F4638" s="1" t="s">
        <v>3819</v>
      </c>
      <c r="G4638" s="1">
        <v>2</v>
      </c>
      <c r="H4638" s="1" t="s">
        <v>19</v>
      </c>
      <c r="I4638" s="1" t="s">
        <v>3791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3850</v>
      </c>
      <c r="D4639" s="1"/>
      <c r="E4639" s="1" t="s">
        <v>3854</v>
      </c>
      <c r="F4639" s="1" t="s">
        <v>3821</v>
      </c>
      <c r="G4639" s="1">
        <v>2</v>
      </c>
      <c r="H4639" s="1" t="s">
        <v>19</v>
      </c>
      <c r="I4639" s="1" t="s">
        <v>3791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3850</v>
      </c>
      <c r="D4640" s="1"/>
      <c r="E4640" s="1" t="s">
        <v>3855</v>
      </c>
      <c r="F4640" s="1" t="s">
        <v>3845</v>
      </c>
      <c r="G4640" s="1">
        <v>2</v>
      </c>
      <c r="H4640" s="1" t="s">
        <v>19</v>
      </c>
      <c r="I4640" s="1" t="s">
        <v>3791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3803</v>
      </c>
      <c r="D4641" s="1"/>
      <c r="E4641" s="1" t="s">
        <v>3804</v>
      </c>
      <c r="F4641" s="1" t="s">
        <v>3805</v>
      </c>
      <c r="G4641" s="1">
        <v>2</v>
      </c>
      <c r="H4641" s="1" t="s">
        <v>19</v>
      </c>
      <c r="I4641" s="1" t="s">
        <v>3791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3803</v>
      </c>
      <c r="D4642" s="1"/>
      <c r="E4642" s="1" t="s">
        <v>3806</v>
      </c>
      <c r="F4642" s="1" t="s">
        <v>3807</v>
      </c>
      <c r="G4642" s="1">
        <v>2</v>
      </c>
      <c r="H4642" s="1" t="s">
        <v>19</v>
      </c>
      <c r="I4642" s="1" t="s">
        <v>3791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3874</v>
      </c>
      <c r="D4643" s="1"/>
      <c r="E4643" s="1" t="s">
        <v>4254</v>
      </c>
      <c r="F4643" s="1" t="s">
        <v>3815</v>
      </c>
      <c r="G4643" s="1">
        <v>4</v>
      </c>
      <c r="H4643" s="1" t="s">
        <v>19</v>
      </c>
      <c r="I4643" s="1" t="s">
        <v>3791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3874</v>
      </c>
      <c r="D4644" s="1"/>
      <c r="E4644" s="1" t="s">
        <v>4255</v>
      </c>
      <c r="F4644" s="1" t="s">
        <v>3817</v>
      </c>
      <c r="G4644" s="1">
        <v>4</v>
      </c>
      <c r="H4644" s="1" t="s">
        <v>19</v>
      </c>
      <c r="I4644" s="1" t="s">
        <v>3791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3876</v>
      </c>
      <c r="D4645" s="1"/>
      <c r="E4645" s="1" t="s">
        <v>3878</v>
      </c>
      <c r="F4645" s="1" t="s">
        <v>3880</v>
      </c>
      <c r="G4645" s="1">
        <v>8</v>
      </c>
      <c r="H4645" s="1" t="s">
        <v>19</v>
      </c>
      <c r="I4645" s="1" t="s">
        <v>3791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3859</v>
      </c>
      <c r="D4646" s="1"/>
      <c r="E4646" s="1" t="s">
        <v>4256</v>
      </c>
      <c r="F4646" s="1" t="s">
        <v>3805</v>
      </c>
      <c r="G4646" s="1">
        <v>2</v>
      </c>
      <c r="H4646" s="1" t="s">
        <v>19</v>
      </c>
      <c r="I4646" s="1" t="s">
        <v>3791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3874</v>
      </c>
      <c r="D4647" s="1"/>
      <c r="E4647" s="1" t="s">
        <v>4257</v>
      </c>
      <c r="F4647" s="1" t="s">
        <v>3805</v>
      </c>
      <c r="G4647" s="1">
        <v>2</v>
      </c>
      <c r="H4647" s="1" t="s">
        <v>19</v>
      </c>
      <c r="I4647" s="1" t="s">
        <v>3791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3874</v>
      </c>
      <c r="D4648" s="1"/>
      <c r="E4648" s="1" t="s">
        <v>4258</v>
      </c>
      <c r="F4648" s="1" t="s">
        <v>3807</v>
      </c>
      <c r="G4648" s="1">
        <v>2</v>
      </c>
      <c r="H4648" s="1" t="s">
        <v>19</v>
      </c>
      <c r="I4648" s="1" t="s">
        <v>3791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3780</v>
      </c>
      <c r="D4649" s="1"/>
      <c r="E4649" s="1" t="s">
        <v>3947</v>
      </c>
      <c r="F4649" s="1" t="s">
        <v>3948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3780</v>
      </c>
      <c r="D4650" s="1"/>
      <c r="E4650" s="1" t="s">
        <v>3947</v>
      </c>
      <c r="F4650" s="1" t="s">
        <v>3948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4259</v>
      </c>
      <c r="D4651" s="1"/>
      <c r="E4651" s="1"/>
      <c r="F4651" s="1" t="s">
        <v>4260</v>
      </c>
      <c r="G4651" s="1">
        <v>32</v>
      </c>
      <c r="H4651" s="1" t="s">
        <v>19</v>
      </c>
      <c r="I4651" s="1" t="s">
        <v>4087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4261</v>
      </c>
      <c r="D4652" s="1"/>
      <c r="E4652" s="1"/>
      <c r="F4652" s="1" t="s">
        <v>4262</v>
      </c>
      <c r="G4652" s="1">
        <v>1144</v>
      </c>
      <c r="H4652" s="1" t="s">
        <v>19</v>
      </c>
      <c r="I4652" s="1" t="s">
        <v>4087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3949</v>
      </c>
      <c r="D4653" s="1"/>
      <c r="E4653" s="1"/>
      <c r="F4653" s="1" t="s">
        <v>4263</v>
      </c>
      <c r="G4653" s="1">
        <v>264</v>
      </c>
      <c r="H4653" s="1" t="s">
        <v>19</v>
      </c>
      <c r="I4653" s="1" t="s">
        <v>4087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3949</v>
      </c>
      <c r="D4654" s="1"/>
      <c r="E4654" s="1"/>
      <c r="F4654" s="1" t="s">
        <v>4264</v>
      </c>
      <c r="G4654" s="1">
        <v>672</v>
      </c>
      <c r="H4654" s="1" t="s">
        <v>19</v>
      </c>
      <c r="I4654" s="1" t="s">
        <v>4087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3881</v>
      </c>
      <c r="D4655" s="1"/>
      <c r="E4655" s="1"/>
      <c r="F4655" s="1" t="s">
        <v>4265</v>
      </c>
      <c r="G4655" s="1">
        <v>8</v>
      </c>
      <c r="H4655" s="1" t="s">
        <v>19</v>
      </c>
      <c r="I4655" s="1" t="s">
        <v>4087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3910</v>
      </c>
      <c r="D4656" s="1"/>
      <c r="E4656" s="1"/>
      <c r="F4656" s="1" t="s">
        <v>4266</v>
      </c>
      <c r="G4656" s="1">
        <v>8</v>
      </c>
      <c r="H4656" s="1" t="s">
        <v>19</v>
      </c>
      <c r="I4656" s="1" t="s">
        <v>4087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4267</v>
      </c>
      <c r="D4657" s="1"/>
      <c r="E4657" s="1"/>
      <c r="F4657" s="1" t="s">
        <v>4268</v>
      </c>
      <c r="G4657" s="1">
        <v>4</v>
      </c>
      <c r="H4657" s="1" t="s">
        <v>19</v>
      </c>
      <c r="I4657" s="1" t="s">
        <v>4087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4267</v>
      </c>
      <c r="D4658" s="1"/>
      <c r="E4658" s="1"/>
      <c r="F4658" s="1" t="s">
        <v>4269</v>
      </c>
      <c r="G4658" s="1">
        <v>40</v>
      </c>
      <c r="H4658" s="1" t="s">
        <v>19</v>
      </c>
      <c r="I4658" s="1" t="s">
        <v>4087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3980</v>
      </c>
      <c r="D4659" s="1"/>
      <c r="E4659" s="1"/>
      <c r="F4659" s="1" t="s">
        <v>4270</v>
      </c>
      <c r="G4659" s="1">
        <v>50</v>
      </c>
      <c r="H4659" s="1" t="s">
        <v>1253</v>
      </c>
      <c r="I4659" s="1" t="s">
        <v>4087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3774</v>
      </c>
      <c r="D4660" s="1"/>
      <c r="E4660" s="1"/>
      <c r="F4660" s="1" t="s">
        <v>4243</v>
      </c>
      <c r="G4660" s="1">
        <v>32</v>
      </c>
      <c r="H4660" s="1" t="s">
        <v>19</v>
      </c>
      <c r="I4660" s="1" t="s">
        <v>4087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4271</v>
      </c>
      <c r="D4661" s="1"/>
      <c r="E4661" s="1"/>
      <c r="F4661" s="1" t="s">
        <v>4272</v>
      </c>
      <c r="G4661" s="1">
        <v>32</v>
      </c>
      <c r="H4661" s="1" t="s">
        <v>19</v>
      </c>
      <c r="I4661" s="1" t="s">
        <v>4087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4271</v>
      </c>
      <c r="D4662" s="1"/>
      <c r="E4662" s="1"/>
      <c r="F4662" s="1" t="s">
        <v>4273</v>
      </c>
      <c r="G4662" s="1">
        <v>16</v>
      </c>
      <c r="H4662" s="1" t="s">
        <v>19</v>
      </c>
      <c r="I4662" s="1" t="s">
        <v>4087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4271</v>
      </c>
      <c r="D4663" s="1"/>
      <c r="E4663" s="1"/>
      <c r="F4663" s="1" t="s">
        <v>4274</v>
      </c>
      <c r="G4663" s="1">
        <v>4</v>
      </c>
      <c r="H4663" s="1" t="s">
        <v>19</v>
      </c>
      <c r="I4663" s="1" t="s">
        <v>4087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4275</v>
      </c>
      <c r="D4664" s="1"/>
      <c r="E4664" s="1"/>
      <c r="F4664" s="1" t="s">
        <v>4276</v>
      </c>
      <c r="G4664" s="1">
        <v>72</v>
      </c>
      <c r="H4664" s="1" t="s">
        <v>19</v>
      </c>
      <c r="I4664" s="1" t="s">
        <v>4087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4145</v>
      </c>
      <c r="D4665" s="1"/>
      <c r="E4665" s="1"/>
      <c r="F4665" s="1" t="s">
        <v>4277</v>
      </c>
      <c r="G4665" s="1">
        <v>8</v>
      </c>
      <c r="H4665" s="1" t="s">
        <v>19</v>
      </c>
      <c r="I4665" s="1" t="s">
        <v>4087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4145</v>
      </c>
      <c r="D4666" s="1"/>
      <c r="E4666" s="1"/>
      <c r="F4666" s="1" t="s">
        <v>4278</v>
      </c>
      <c r="G4666" s="1">
        <v>8</v>
      </c>
      <c r="H4666" s="1" t="s">
        <v>19</v>
      </c>
      <c r="I4666" s="1" t="s">
        <v>4087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4145</v>
      </c>
      <c r="D4667" s="1"/>
      <c r="E4667" s="1"/>
      <c r="F4667" s="1" t="s">
        <v>4279</v>
      </c>
      <c r="G4667" s="1">
        <v>8</v>
      </c>
      <c r="H4667" s="1" t="s">
        <v>19</v>
      </c>
      <c r="I4667" s="1" t="s">
        <v>4087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4162</v>
      </c>
      <c r="D4668" s="1"/>
      <c r="E4668" s="1"/>
      <c r="F4668" s="1" t="s">
        <v>4280</v>
      </c>
      <c r="G4668" s="1">
        <v>360</v>
      </c>
      <c r="H4668" s="1" t="s">
        <v>19</v>
      </c>
      <c r="I4668" s="1" t="s">
        <v>4087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4167</v>
      </c>
      <c r="D4669" s="1"/>
      <c r="E4669" s="1"/>
      <c r="F4669" s="1" t="s">
        <v>4281</v>
      </c>
      <c r="G4669" s="1">
        <v>216</v>
      </c>
      <c r="H4669" s="1" t="s">
        <v>19</v>
      </c>
      <c r="I4669" s="1" t="s">
        <v>4087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4167</v>
      </c>
      <c r="D4670" s="1"/>
      <c r="E4670" s="1"/>
      <c r="F4670" s="1" t="s">
        <v>4282</v>
      </c>
      <c r="G4670" s="1">
        <v>216</v>
      </c>
      <c r="H4670" s="1" t="s">
        <v>19</v>
      </c>
      <c r="I4670" s="1" t="s">
        <v>4087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4171</v>
      </c>
      <c r="D4671" s="1"/>
      <c r="E4671" s="1"/>
      <c r="F4671" s="1" t="s">
        <v>4283</v>
      </c>
      <c r="G4671" s="1">
        <v>176</v>
      </c>
      <c r="H4671" s="1" t="s">
        <v>19</v>
      </c>
      <c r="I4671" s="1" t="s">
        <v>4087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4174</v>
      </c>
      <c r="D4672" s="1"/>
      <c r="E4672" s="1"/>
      <c r="F4672" s="1" t="s">
        <v>4284</v>
      </c>
      <c r="G4672" s="1">
        <v>160</v>
      </c>
      <c r="H4672" s="1" t="s">
        <v>19</v>
      </c>
      <c r="I4672" s="1" t="s">
        <v>4087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4177</v>
      </c>
      <c r="D4673" s="1"/>
      <c r="E4673" s="1"/>
      <c r="F4673" s="1" t="s">
        <v>4285</v>
      </c>
      <c r="G4673" s="1">
        <v>96</v>
      </c>
      <c r="H4673" s="1" t="s">
        <v>19</v>
      </c>
      <c r="I4673" s="1" t="s">
        <v>4087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4180</v>
      </c>
      <c r="D4674" s="1"/>
      <c r="E4674" s="1"/>
      <c r="F4674" s="1" t="s">
        <v>4286</v>
      </c>
      <c r="G4674" s="1">
        <v>96</v>
      </c>
      <c r="H4674" s="1" t="s">
        <v>19</v>
      </c>
      <c r="I4674" s="1" t="s">
        <v>4087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4183</v>
      </c>
      <c r="D4675" s="1"/>
      <c r="E4675" s="1"/>
      <c r="F4675" s="1" t="s">
        <v>4287</v>
      </c>
      <c r="G4675" s="1">
        <v>56</v>
      </c>
      <c r="H4675" s="1" t="s">
        <v>19</v>
      </c>
      <c r="I4675" s="1" t="s">
        <v>4087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4186</v>
      </c>
      <c r="D4676" s="1"/>
      <c r="E4676" s="1"/>
      <c r="F4676" s="1" t="s">
        <v>4288</v>
      </c>
      <c r="G4676" s="1">
        <v>128</v>
      </c>
      <c r="H4676" s="1" t="s">
        <v>19</v>
      </c>
      <c r="I4676" s="1" t="s">
        <v>4087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4189</v>
      </c>
      <c r="D4677" s="1"/>
      <c r="E4677" s="1"/>
      <c r="F4677" s="1" t="s">
        <v>4289</v>
      </c>
      <c r="G4677" s="1">
        <v>112</v>
      </c>
      <c r="H4677" s="1" t="s">
        <v>19</v>
      </c>
      <c r="I4677" s="1" t="s">
        <v>4087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4193</v>
      </c>
      <c r="D4678" s="1"/>
      <c r="E4678" s="1"/>
      <c r="F4678" s="1" t="s">
        <v>4290</v>
      </c>
      <c r="G4678" s="1">
        <v>96</v>
      </c>
      <c r="H4678" s="1" t="s">
        <v>19</v>
      </c>
      <c r="I4678" s="1" t="s">
        <v>4087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4197</v>
      </c>
      <c r="D4679" s="1"/>
      <c r="E4679" s="1"/>
      <c r="F4679" s="1" t="s">
        <v>4291</v>
      </c>
      <c r="G4679" s="1">
        <v>112</v>
      </c>
      <c r="H4679" s="1" t="s">
        <v>19</v>
      </c>
      <c r="I4679" s="1" t="s">
        <v>4087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4201</v>
      </c>
      <c r="D4680" s="1"/>
      <c r="E4680" s="1"/>
      <c r="F4680" s="1" t="s">
        <v>4292</v>
      </c>
      <c r="G4680" s="1">
        <v>112</v>
      </c>
      <c r="H4680" s="1" t="s">
        <v>19</v>
      </c>
      <c r="I4680" s="1" t="s">
        <v>4087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4205</v>
      </c>
      <c r="D4681" s="1"/>
      <c r="E4681" s="1"/>
      <c r="F4681" s="1" t="s">
        <v>4292</v>
      </c>
      <c r="G4681" s="1">
        <v>208</v>
      </c>
      <c r="H4681" s="1" t="s">
        <v>19</v>
      </c>
      <c r="I4681" s="1" t="s">
        <v>4087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4205</v>
      </c>
      <c r="D4682" s="1"/>
      <c r="E4682" s="1"/>
      <c r="F4682" s="1" t="s">
        <v>4293</v>
      </c>
      <c r="G4682" s="1">
        <v>208</v>
      </c>
      <c r="H4682" s="1" t="s">
        <v>19</v>
      </c>
      <c r="I4682" s="1" t="s">
        <v>4087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4208</v>
      </c>
      <c r="D4683" s="1"/>
      <c r="E4683" s="1"/>
      <c r="F4683" s="1" t="s">
        <v>4294</v>
      </c>
      <c r="G4683" s="1">
        <v>384</v>
      </c>
      <c r="H4683" s="1" t="s">
        <v>19</v>
      </c>
      <c r="I4683" s="1" t="s">
        <v>4087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4212</v>
      </c>
      <c r="D4684" s="1"/>
      <c r="E4684" s="1"/>
      <c r="F4684" s="1" t="s">
        <v>4295</v>
      </c>
      <c r="G4684" s="1">
        <v>8</v>
      </c>
      <c r="H4684" s="1" t="s">
        <v>19</v>
      </c>
      <c r="I4684" s="1" t="s">
        <v>4087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4235</v>
      </c>
      <c r="D4685" s="1"/>
      <c r="E4685" s="1"/>
      <c r="F4685" s="1" t="s">
        <v>4296</v>
      </c>
      <c r="G4685" s="1">
        <v>664</v>
      </c>
      <c r="H4685" s="1" t="s">
        <v>19</v>
      </c>
      <c r="I4685" s="1" t="s">
        <v>4087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3765</v>
      </c>
      <c r="D4686" s="1"/>
      <c r="E4686" s="1" t="s">
        <v>3766</v>
      </c>
      <c r="F4686" s="1" t="s">
        <v>3767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3765</v>
      </c>
      <c r="D4687" s="1"/>
      <c r="E4687" s="1" t="s">
        <v>3769</v>
      </c>
      <c r="F4687" s="1" t="s">
        <v>3767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3765</v>
      </c>
      <c r="D4688" s="1"/>
      <c r="E4688" s="1" t="s">
        <v>3766</v>
      </c>
      <c r="F4688" s="1" t="s">
        <v>3767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3765</v>
      </c>
      <c r="D4689" s="1"/>
      <c r="E4689" s="1" t="s">
        <v>3769</v>
      </c>
      <c r="F4689" s="1" t="s">
        <v>3767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3774</v>
      </c>
      <c r="D4690" s="1"/>
      <c r="E4690" s="1" t="s">
        <v>3777</v>
      </c>
      <c r="F4690" s="1" t="s">
        <v>3778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3774</v>
      </c>
      <c r="D4691" s="1"/>
      <c r="E4691" s="1" t="s">
        <v>3777</v>
      </c>
      <c r="F4691" s="1" t="s">
        <v>3778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3843</v>
      </c>
      <c r="D4692" s="1"/>
      <c r="E4692" s="1" t="s">
        <v>4297</v>
      </c>
      <c r="F4692" s="1" t="s">
        <v>3849</v>
      </c>
      <c r="G4692" s="1">
        <v>4</v>
      </c>
      <c r="H4692" s="1" t="s">
        <v>19</v>
      </c>
      <c r="I4692" s="1" t="s">
        <v>3791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3901</v>
      </c>
      <c r="D4693" s="1"/>
      <c r="E4693" s="1" t="s">
        <v>3902</v>
      </c>
      <c r="F4693" s="1" t="s">
        <v>3903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3901</v>
      </c>
      <c r="D4694" s="1"/>
      <c r="E4694" s="1" t="s">
        <v>3902</v>
      </c>
      <c r="F4694" s="1" t="s">
        <v>3903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3914</v>
      </c>
      <c r="D4695" s="1"/>
      <c r="E4695" s="1" t="s">
        <v>4298</v>
      </c>
      <c r="F4695" s="1" t="s">
        <v>3898</v>
      </c>
      <c r="G4695" s="1">
        <v>60</v>
      </c>
      <c r="H4695" s="1" t="s">
        <v>19</v>
      </c>
      <c r="I4695" s="1" t="s">
        <v>3791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3936</v>
      </c>
      <c r="D4696" s="1"/>
      <c r="E4696" s="1" t="s">
        <v>3942</v>
      </c>
      <c r="F4696" s="1" t="s">
        <v>3938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3936</v>
      </c>
      <c r="D4697" s="1"/>
      <c r="E4697" s="1" t="s">
        <v>3942</v>
      </c>
      <c r="F4697" s="1" t="s">
        <v>3938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3972</v>
      </c>
      <c r="D4698" s="1"/>
      <c r="E4698" s="1" t="s">
        <v>3973</v>
      </c>
      <c r="F4698" s="1" t="s">
        <v>3974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3972</v>
      </c>
      <c r="D4699" s="1"/>
      <c r="E4699" s="1" t="s">
        <v>3976</v>
      </c>
      <c r="F4699" s="1" t="s">
        <v>3977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3972</v>
      </c>
      <c r="D4700" s="1"/>
      <c r="E4700" s="1" t="s">
        <v>3976</v>
      </c>
      <c r="F4700" s="1" t="s">
        <v>3977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3980</v>
      </c>
      <c r="D4701" s="1"/>
      <c r="E4701" s="1" t="s">
        <v>3981</v>
      </c>
      <c r="F4701" s="1" t="s">
        <v>3983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3980</v>
      </c>
      <c r="D4702" s="1"/>
      <c r="E4702" s="1" t="s">
        <v>3981</v>
      </c>
      <c r="F4702" s="1" t="s">
        <v>3983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3905</v>
      </c>
      <c r="D4703" s="1"/>
      <c r="E4703" s="1" t="s">
        <v>3906</v>
      </c>
      <c r="F4703" s="1" t="s">
        <v>3907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3905</v>
      </c>
      <c r="D4704" s="1"/>
      <c r="E4704" s="1" t="s">
        <v>3906</v>
      </c>
      <c r="F4704" s="1" t="s">
        <v>3907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3813</v>
      </c>
      <c r="D4705" s="1"/>
      <c r="E4705" s="1" t="s">
        <v>3816</v>
      </c>
      <c r="F4705" s="1" t="s">
        <v>3817</v>
      </c>
      <c r="G4705" s="1">
        <v>4</v>
      </c>
      <c r="H4705" s="1" t="s">
        <v>19</v>
      </c>
      <c r="I4705" s="1" t="s">
        <v>3791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3813</v>
      </c>
      <c r="D4706" s="1"/>
      <c r="E4706" s="1" t="s">
        <v>3818</v>
      </c>
      <c r="F4706" s="1" t="s">
        <v>3819</v>
      </c>
      <c r="G4706" s="1">
        <v>4</v>
      </c>
      <c r="H4706" s="1" t="s">
        <v>19</v>
      </c>
      <c r="I4706" s="1" t="s">
        <v>3791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3822</v>
      </c>
      <c r="D4707" s="1"/>
      <c r="E4707" s="1" t="s">
        <v>3823</v>
      </c>
      <c r="F4707" s="1" t="s">
        <v>3805</v>
      </c>
      <c r="G4707" s="1">
        <v>2</v>
      </c>
      <c r="H4707" s="1" t="s">
        <v>19</v>
      </c>
      <c r="I4707" s="1" t="s">
        <v>3791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3822</v>
      </c>
      <c r="D4708" s="1"/>
      <c r="E4708" s="1" t="s">
        <v>3824</v>
      </c>
      <c r="F4708" s="1" t="s">
        <v>3807</v>
      </c>
      <c r="G4708" s="1">
        <v>2</v>
      </c>
      <c r="H4708" s="1" t="s">
        <v>19</v>
      </c>
      <c r="I4708" s="1" t="s">
        <v>3791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3829</v>
      </c>
      <c r="D4709" s="1"/>
      <c r="E4709" s="1" t="s">
        <v>3831</v>
      </c>
      <c r="F4709" s="1" t="s">
        <v>3817</v>
      </c>
      <c r="G4709" s="1">
        <v>4</v>
      </c>
      <c r="H4709" s="1" t="s">
        <v>19</v>
      </c>
      <c r="I4709" s="1" t="s">
        <v>3791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3838</v>
      </c>
      <c r="D4710" s="1"/>
      <c r="E4710" s="1" t="s">
        <v>3840</v>
      </c>
      <c r="F4710" s="1" t="s">
        <v>3817</v>
      </c>
      <c r="G4710" s="1">
        <v>4</v>
      </c>
      <c r="H4710" s="1" t="s">
        <v>19</v>
      </c>
      <c r="I4710" s="1" t="s">
        <v>3791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3859</v>
      </c>
      <c r="D4711" s="1"/>
      <c r="E4711" s="1" t="s">
        <v>3861</v>
      </c>
      <c r="F4711" s="1" t="s">
        <v>3807</v>
      </c>
      <c r="G4711" s="1">
        <v>2</v>
      </c>
      <c r="H4711" s="1" t="s">
        <v>19</v>
      </c>
      <c r="I4711" s="1" t="s">
        <v>3791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3972</v>
      </c>
      <c r="D4712" s="1"/>
      <c r="E4712" s="1" t="s">
        <v>3973</v>
      </c>
      <c r="F4712" s="1" t="s">
        <v>3974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3774</v>
      </c>
      <c r="D4713" s="1"/>
      <c r="E4713" s="1" t="s">
        <v>4003</v>
      </c>
      <c r="F4713" s="1" t="s">
        <v>4004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3774</v>
      </c>
      <c r="D4714" s="1"/>
      <c r="E4714" s="1" t="s">
        <v>4003</v>
      </c>
      <c r="F4714" s="1" t="s">
        <v>4004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4448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4449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3738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3738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3738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4331</v>
      </c>
      <c r="D4719" s="1"/>
      <c r="E4719" s="1"/>
      <c r="F4719" s="1" t="s">
        <v>4332</v>
      </c>
      <c r="G4719" s="1">
        <v>2</v>
      </c>
      <c r="H4719" s="1" t="s">
        <v>19</v>
      </c>
      <c r="I4719" s="1" t="s">
        <v>3738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4335</v>
      </c>
      <c r="G4720" s="1">
        <v>1</v>
      </c>
      <c r="H4720" s="1" t="s">
        <v>19</v>
      </c>
      <c r="I4720" s="1" t="s">
        <v>3738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4336</v>
      </c>
      <c r="G4721" s="1">
        <v>1</v>
      </c>
      <c r="H4721" s="1" t="s">
        <v>19</v>
      </c>
      <c r="I4721" s="1" t="s">
        <v>3738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4337</v>
      </c>
      <c r="G4722" s="1">
        <v>1</v>
      </c>
      <c r="H4722" s="1" t="s">
        <v>19</v>
      </c>
      <c r="I4722" s="1" t="s">
        <v>3738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4338</v>
      </c>
      <c r="G4723" s="1">
        <v>1</v>
      </c>
      <c r="H4723" s="1" t="s">
        <v>19</v>
      </c>
      <c r="I4723" s="1" t="s">
        <v>3738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4339</v>
      </c>
      <c r="G4724" s="1">
        <v>1</v>
      </c>
      <c r="H4724" s="1" t="s">
        <v>19</v>
      </c>
      <c r="I4724" s="1" t="s">
        <v>3738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4452</v>
      </c>
      <c r="D4725" s="1"/>
      <c r="E4725" s="1"/>
      <c r="F4725" s="1" t="s">
        <v>4453</v>
      </c>
      <c r="G4725" s="1">
        <v>1</v>
      </c>
      <c r="H4725" s="1" t="s">
        <v>19</v>
      </c>
      <c r="I4725" s="1" t="s">
        <v>3738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4454</v>
      </c>
      <c r="D4726" s="1"/>
      <c r="E4726" s="1"/>
      <c r="F4726" s="1" t="s">
        <v>4455</v>
      </c>
      <c r="G4726" s="1">
        <v>2</v>
      </c>
      <c r="H4726" s="1" t="s">
        <v>19</v>
      </c>
      <c r="I4726" s="1" t="s">
        <v>3738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4456</v>
      </c>
      <c r="D4727" s="1"/>
      <c r="E4727" s="1"/>
      <c r="F4727" s="1" t="s">
        <v>4457</v>
      </c>
      <c r="G4727" s="1">
        <v>2</v>
      </c>
      <c r="H4727" s="1" t="s">
        <v>19</v>
      </c>
      <c r="I4727" s="1" t="s">
        <v>3738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4346</v>
      </c>
      <c r="D4728" s="1"/>
      <c r="E4728" s="1" t="s">
        <v>2</v>
      </c>
      <c r="F4728" s="1" t="s">
        <v>4347</v>
      </c>
      <c r="G4728" s="1">
        <v>1</v>
      </c>
      <c r="H4728" s="1" t="s">
        <v>19</v>
      </c>
      <c r="I4728" s="1" t="s">
        <v>3738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4348</v>
      </c>
      <c r="D4729" s="1"/>
      <c r="E4729" s="1" t="s">
        <v>2</v>
      </c>
      <c r="F4729" s="1" t="s">
        <v>4349</v>
      </c>
      <c r="G4729" s="1">
        <v>1</v>
      </c>
      <c r="H4729" s="1" t="s">
        <v>19</v>
      </c>
      <c r="I4729" s="1" t="s">
        <v>3738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4348</v>
      </c>
      <c r="D4730" s="1"/>
      <c r="E4730" s="1" t="s">
        <v>43</v>
      </c>
      <c r="F4730" s="1" t="s">
        <v>4350</v>
      </c>
      <c r="G4730" s="1">
        <v>1</v>
      </c>
      <c r="H4730" s="1" t="s">
        <v>19</v>
      </c>
      <c r="I4730" s="1" t="s">
        <v>3738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4348</v>
      </c>
      <c r="D4731" s="1"/>
      <c r="E4731" s="1" t="s">
        <v>746</v>
      </c>
      <c r="F4731" s="1" t="s">
        <v>4351</v>
      </c>
      <c r="G4731" s="1">
        <v>1</v>
      </c>
      <c r="H4731" s="1" t="s">
        <v>19</v>
      </c>
      <c r="I4731" s="1" t="s">
        <v>3738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4352</v>
      </c>
      <c r="D4732" s="1"/>
      <c r="E4732" s="1" t="s">
        <v>2</v>
      </c>
      <c r="F4732" s="1" t="s">
        <v>4353</v>
      </c>
      <c r="G4732" s="1">
        <v>1</v>
      </c>
      <c r="H4732" s="1" t="s">
        <v>19</v>
      </c>
      <c r="I4732" s="1" t="s">
        <v>3738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4352</v>
      </c>
      <c r="D4733" s="1"/>
      <c r="E4733" s="1" t="s">
        <v>43</v>
      </c>
      <c r="F4733" s="1" t="s">
        <v>4354</v>
      </c>
      <c r="G4733" s="1">
        <v>1</v>
      </c>
      <c r="H4733" s="1" t="s">
        <v>19</v>
      </c>
      <c r="I4733" s="1" t="s">
        <v>3738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4374</v>
      </c>
      <c r="D4734" s="1"/>
      <c r="E4734" s="1"/>
      <c r="F4734" s="1" t="s">
        <v>4375</v>
      </c>
      <c r="G4734" s="1">
        <v>1</v>
      </c>
      <c r="H4734" s="1" t="s">
        <v>19</v>
      </c>
      <c r="I4734" s="1" t="s">
        <v>3738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4376</v>
      </c>
      <c r="D4735" s="1"/>
      <c r="E4735" s="1"/>
      <c r="F4735" s="1" t="s">
        <v>4377</v>
      </c>
      <c r="G4735" s="1">
        <v>1</v>
      </c>
      <c r="H4735" s="1" t="s">
        <v>19</v>
      </c>
      <c r="I4735" s="1" t="s">
        <v>3738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4384</v>
      </c>
      <c r="D4736" s="1"/>
      <c r="E4736" s="1" t="s">
        <v>2</v>
      </c>
      <c r="F4736" s="1" t="s">
        <v>4385</v>
      </c>
      <c r="G4736" s="1">
        <v>1</v>
      </c>
      <c r="H4736" s="1" t="s">
        <v>19</v>
      </c>
      <c r="I4736" s="1" t="s">
        <v>3738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4384</v>
      </c>
      <c r="D4737" s="1"/>
      <c r="E4737" s="1" t="s">
        <v>43</v>
      </c>
      <c r="F4737" s="1" t="s">
        <v>4458</v>
      </c>
      <c r="G4737" s="1">
        <v>1</v>
      </c>
      <c r="H4737" s="1" t="s">
        <v>19</v>
      </c>
      <c r="I4737" s="1" t="s">
        <v>3738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4384</v>
      </c>
      <c r="D4738" s="1"/>
      <c r="E4738" s="1" t="s">
        <v>746</v>
      </c>
      <c r="F4738" s="1" t="s">
        <v>4386</v>
      </c>
      <c r="G4738" s="1">
        <v>1</v>
      </c>
      <c r="H4738" s="1" t="s">
        <v>19</v>
      </c>
      <c r="I4738" s="1" t="s">
        <v>3738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4384</v>
      </c>
      <c r="D4739" s="1"/>
      <c r="E4739" s="1" t="s">
        <v>1101</v>
      </c>
      <c r="F4739" s="1" t="s">
        <v>4387</v>
      </c>
      <c r="G4739" s="1">
        <v>1</v>
      </c>
      <c r="H4739" s="1" t="s">
        <v>19</v>
      </c>
      <c r="I4739" s="1" t="s">
        <v>3738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4384</v>
      </c>
      <c r="D4740" s="1"/>
      <c r="E4740" s="1" t="s">
        <v>100</v>
      </c>
      <c r="F4740" s="1" t="s">
        <v>4388</v>
      </c>
      <c r="G4740" s="1">
        <v>1</v>
      </c>
      <c r="H4740" s="1" t="s">
        <v>19</v>
      </c>
      <c r="I4740" s="1" t="s">
        <v>3738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4384</v>
      </c>
      <c r="D4741" s="1"/>
      <c r="E4741" s="1" t="s">
        <v>173</v>
      </c>
      <c r="F4741" s="1" t="s">
        <v>4389</v>
      </c>
      <c r="G4741" s="1">
        <v>1</v>
      </c>
      <c r="H4741" s="1" t="s">
        <v>19</v>
      </c>
      <c r="I4741" s="1" t="s">
        <v>3738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4384</v>
      </c>
      <c r="D4742" s="1"/>
      <c r="E4742" s="1" t="s">
        <v>461</v>
      </c>
      <c r="F4742" s="1" t="s">
        <v>4390</v>
      </c>
      <c r="G4742" s="1">
        <v>1</v>
      </c>
      <c r="H4742" s="1" t="s">
        <v>19</v>
      </c>
      <c r="I4742" s="1" t="s">
        <v>3738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4384</v>
      </c>
      <c r="D4743" s="1"/>
      <c r="E4743" s="1" t="s">
        <v>464</v>
      </c>
      <c r="F4743" s="1" t="s">
        <v>4391</v>
      </c>
      <c r="G4743" s="1">
        <v>1</v>
      </c>
      <c r="H4743" s="1" t="s">
        <v>19</v>
      </c>
      <c r="I4743" s="1" t="s">
        <v>3738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4384</v>
      </c>
      <c r="D4744" s="1"/>
      <c r="E4744" s="1" t="s">
        <v>1102</v>
      </c>
      <c r="F4744" s="1" t="s">
        <v>4392</v>
      </c>
      <c r="G4744" s="1">
        <v>1</v>
      </c>
      <c r="H4744" s="1" t="s">
        <v>19</v>
      </c>
      <c r="I4744" s="1" t="s">
        <v>3738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4384</v>
      </c>
      <c r="D4745" s="1"/>
      <c r="E4745" s="1" t="s">
        <v>1103</v>
      </c>
      <c r="F4745" s="1" t="s">
        <v>4393</v>
      </c>
      <c r="G4745" s="1">
        <v>1</v>
      </c>
      <c r="H4745" s="1" t="s">
        <v>19</v>
      </c>
      <c r="I4745" s="1" t="s">
        <v>3738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4384</v>
      </c>
      <c r="D4746" s="1"/>
      <c r="E4746" s="1" t="s">
        <v>1105</v>
      </c>
      <c r="F4746" s="1" t="s">
        <v>4394</v>
      </c>
      <c r="G4746" s="1">
        <v>2</v>
      </c>
      <c r="H4746" s="1" t="s">
        <v>19</v>
      </c>
      <c r="I4746" s="1" t="s">
        <v>3738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4395</v>
      </c>
      <c r="D4747" s="1"/>
      <c r="E4747" s="1"/>
      <c r="F4747" s="1" t="s">
        <v>4396</v>
      </c>
      <c r="G4747" s="1">
        <v>1</v>
      </c>
      <c r="H4747" s="1" t="s">
        <v>19</v>
      </c>
      <c r="I4747" s="1" t="s">
        <v>3738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4399</v>
      </c>
      <c r="D4748" s="1"/>
      <c r="E4748" s="1"/>
      <c r="F4748" s="1" t="s">
        <v>4400</v>
      </c>
      <c r="G4748" s="1">
        <v>4</v>
      </c>
      <c r="H4748" s="1" t="s">
        <v>19</v>
      </c>
      <c r="I4748" s="1" t="s">
        <v>3738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5">
        <v>4347</v>
      </c>
      <c r="C4749" s="1" t="s">
        <v>4459</v>
      </c>
      <c r="D4749" s="1"/>
      <c r="E4749" s="1"/>
      <c r="F4749" s="1" t="s">
        <v>4460</v>
      </c>
      <c r="G4749" s="1">
        <v>2</v>
      </c>
      <c r="H4749" s="1" t="s">
        <v>19</v>
      </c>
      <c r="I4749" s="1" t="s">
        <v>3738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4459</v>
      </c>
      <c r="D4750" s="1"/>
      <c r="E4750" s="1"/>
      <c r="F4750" s="1" t="s">
        <v>4461</v>
      </c>
      <c r="G4750" s="1">
        <v>1</v>
      </c>
      <c r="H4750" s="1" t="s">
        <v>19</v>
      </c>
      <c r="I4750" s="1" t="s">
        <v>3738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5">
        <v>4349</v>
      </c>
      <c r="C4751" s="1" t="s">
        <v>4459</v>
      </c>
      <c r="D4751" s="1"/>
      <c r="E4751" s="1"/>
      <c r="F4751" s="1" t="s">
        <v>4462</v>
      </c>
      <c r="G4751" s="1">
        <v>1</v>
      </c>
      <c r="H4751" s="1" t="s">
        <v>19</v>
      </c>
      <c r="I4751" s="1" t="s">
        <v>3738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4463</v>
      </c>
      <c r="D4752" s="1"/>
      <c r="E4752" s="1"/>
      <c r="F4752" s="1" t="s">
        <v>4464</v>
      </c>
      <c r="G4752" s="1">
        <v>1</v>
      </c>
      <c r="H4752" s="1" t="s">
        <v>19</v>
      </c>
      <c r="I4752" s="1" t="s">
        <v>3738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5">
        <v>4351</v>
      </c>
      <c r="C4753" s="1" t="s">
        <v>4395</v>
      </c>
      <c r="D4753" s="1"/>
      <c r="E4753" s="1"/>
      <c r="F4753" s="1" t="s">
        <v>4465</v>
      </c>
      <c r="G4753" s="1">
        <v>1</v>
      </c>
      <c r="H4753" s="1" t="s">
        <v>19</v>
      </c>
      <c r="I4753" s="1" t="s">
        <v>3738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4395</v>
      </c>
      <c r="D4754" s="1"/>
      <c r="E4754" s="1"/>
      <c r="F4754" s="1" t="s">
        <v>4466</v>
      </c>
      <c r="G4754" s="1">
        <v>4</v>
      </c>
      <c r="H4754" s="1" t="s">
        <v>19</v>
      </c>
      <c r="I4754" s="1" t="s">
        <v>3738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5">
        <v>4353</v>
      </c>
      <c r="C4755" s="1" t="s">
        <v>4395</v>
      </c>
      <c r="D4755" s="1"/>
      <c r="E4755" s="1"/>
      <c r="F4755" s="1" t="s">
        <v>4467</v>
      </c>
      <c r="G4755" s="1">
        <v>2</v>
      </c>
      <c r="H4755" s="1" t="s">
        <v>19</v>
      </c>
      <c r="I4755" s="1" t="s">
        <v>3738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4463</v>
      </c>
      <c r="D4756" s="1"/>
      <c r="E4756" s="1"/>
      <c r="F4756" s="1" t="s">
        <v>4468</v>
      </c>
      <c r="G4756" s="1">
        <v>110</v>
      </c>
      <c r="H4756" s="1" t="s">
        <v>1253</v>
      </c>
      <c r="I4756" s="1" t="s">
        <v>3738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5">
        <v>4355</v>
      </c>
      <c r="C4757" s="1" t="s">
        <v>4469</v>
      </c>
      <c r="D4757" s="1"/>
      <c r="E4757" s="1"/>
      <c r="F4757" s="1" t="s">
        <v>4470</v>
      </c>
      <c r="G4757" s="1">
        <v>40</v>
      </c>
      <c r="H4757" s="1" t="s">
        <v>19</v>
      </c>
      <c r="I4757" s="1" t="s">
        <v>3738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4469</v>
      </c>
      <c r="D4758" s="1"/>
      <c r="E4758" s="1"/>
      <c r="F4758" s="1" t="s">
        <v>4471</v>
      </c>
      <c r="G4758" s="1">
        <v>40</v>
      </c>
      <c r="H4758" s="1" t="s">
        <v>19</v>
      </c>
      <c r="I4758" s="1" t="s">
        <v>3738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5">
        <v>4357</v>
      </c>
      <c r="C4759" s="1" t="s">
        <v>4469</v>
      </c>
      <c r="D4759" s="1"/>
      <c r="E4759" s="1"/>
      <c r="F4759" s="1" t="s">
        <v>4472</v>
      </c>
      <c r="G4759" s="1">
        <v>40</v>
      </c>
      <c r="H4759" s="1" t="s">
        <v>19</v>
      </c>
      <c r="I4759" s="1" t="s">
        <v>3738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4473</v>
      </c>
      <c r="D4760" s="1"/>
      <c r="E4760" s="1"/>
      <c r="F4760" s="1" t="s">
        <v>4474</v>
      </c>
      <c r="G4760" s="1">
        <v>1</v>
      </c>
      <c r="H4760" s="1" t="s">
        <v>19</v>
      </c>
      <c r="I4760" s="1" t="s">
        <v>3738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5">
        <v>4359</v>
      </c>
      <c r="C4761" s="1" t="s">
        <v>4475</v>
      </c>
      <c r="D4761" s="1"/>
      <c r="E4761" s="1"/>
      <c r="F4761" s="1" t="s">
        <v>4476</v>
      </c>
      <c r="G4761" s="1">
        <v>18</v>
      </c>
      <c r="H4761" s="1" t="s">
        <v>19</v>
      </c>
      <c r="I4761" s="1" t="s">
        <v>3738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4475</v>
      </c>
      <c r="D4762" s="1"/>
      <c r="E4762" s="1"/>
      <c r="F4762" s="1" t="s">
        <v>4477</v>
      </c>
      <c r="G4762" s="1">
        <v>18</v>
      </c>
      <c r="H4762" s="1" t="s">
        <v>19</v>
      </c>
      <c r="I4762" s="1" t="s">
        <v>3738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5">
        <v>4361</v>
      </c>
      <c r="C4763" s="1" t="s">
        <v>4475</v>
      </c>
      <c r="D4763" s="1"/>
      <c r="E4763" s="1"/>
      <c r="F4763" s="1" t="s">
        <v>4478</v>
      </c>
      <c r="G4763" s="1">
        <v>5</v>
      </c>
      <c r="H4763" s="1" t="s">
        <v>19</v>
      </c>
      <c r="I4763" s="1" t="s">
        <v>3738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4475</v>
      </c>
      <c r="D4764" s="1"/>
      <c r="E4764" s="1"/>
      <c r="F4764" s="1" t="s">
        <v>4479</v>
      </c>
      <c r="G4764" s="1">
        <v>3</v>
      </c>
      <c r="H4764" s="1" t="s">
        <v>19</v>
      </c>
      <c r="I4764" s="1" t="s">
        <v>3738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5">
        <v>4363</v>
      </c>
      <c r="C4765" s="1" t="s">
        <v>4475</v>
      </c>
      <c r="D4765" s="1"/>
      <c r="E4765" s="1"/>
      <c r="F4765" s="1" t="s">
        <v>4480</v>
      </c>
      <c r="G4765" s="1">
        <v>3</v>
      </c>
      <c r="H4765" s="1" t="s">
        <v>19</v>
      </c>
      <c r="I4765" s="1" t="s">
        <v>3738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4475</v>
      </c>
      <c r="D4766" s="1"/>
      <c r="E4766" s="1"/>
      <c r="F4766" s="1" t="s">
        <v>4481</v>
      </c>
      <c r="G4766" s="1">
        <v>10</v>
      </c>
      <c r="H4766" s="1" t="s">
        <v>19</v>
      </c>
      <c r="I4766" s="1" t="s">
        <v>3738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5">
        <v>4365</v>
      </c>
      <c r="C4767" s="1" t="s">
        <v>4475</v>
      </c>
      <c r="D4767" s="1"/>
      <c r="E4767" s="1"/>
      <c r="F4767" s="1" t="s">
        <v>4482</v>
      </c>
      <c r="G4767" s="1">
        <v>10</v>
      </c>
      <c r="H4767" s="1" t="s">
        <v>19</v>
      </c>
      <c r="I4767" s="1" t="s">
        <v>3738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4475</v>
      </c>
      <c r="D4768" s="1"/>
      <c r="E4768" s="1"/>
      <c r="F4768" s="1" t="s">
        <v>4483</v>
      </c>
      <c r="G4768" s="1">
        <v>2</v>
      </c>
      <c r="H4768" s="1" t="s">
        <v>19</v>
      </c>
      <c r="I4768" s="1" t="s">
        <v>3738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5">
        <v>4367</v>
      </c>
      <c r="C4769" s="1" t="s">
        <v>4475</v>
      </c>
      <c r="D4769" s="1"/>
      <c r="E4769" s="1"/>
      <c r="F4769" s="1" t="s">
        <v>4484</v>
      </c>
      <c r="G4769" s="1">
        <v>4</v>
      </c>
      <c r="H4769" s="1" t="s">
        <v>19</v>
      </c>
      <c r="I4769" s="1" t="s">
        <v>3738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4475</v>
      </c>
      <c r="D4770" s="1"/>
      <c r="E4770" s="1"/>
      <c r="F4770" s="1" t="s">
        <v>4485</v>
      </c>
      <c r="G4770" s="1">
        <v>2</v>
      </c>
      <c r="H4770" s="1" t="s">
        <v>19</v>
      </c>
      <c r="I4770" s="1" t="s">
        <v>3738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5">
        <v>4369</v>
      </c>
      <c r="C4771" s="1" t="s">
        <v>4475</v>
      </c>
      <c r="D4771" s="1"/>
      <c r="E4771" s="1"/>
      <c r="F4771" s="1" t="s">
        <v>4486</v>
      </c>
      <c r="G4771" s="1">
        <v>8</v>
      </c>
      <c r="H4771" s="1" t="s">
        <v>19</v>
      </c>
      <c r="I4771" s="1" t="s">
        <v>3738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4475</v>
      </c>
      <c r="D4772" s="1"/>
      <c r="E4772" s="1"/>
      <c r="F4772" s="1" t="s">
        <v>4487</v>
      </c>
      <c r="G4772" s="1">
        <v>1</v>
      </c>
      <c r="H4772" s="1" t="s">
        <v>19</v>
      </c>
      <c r="I4772" s="1" t="s">
        <v>3738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5">
        <v>4371</v>
      </c>
      <c r="C4773" s="1" t="s">
        <v>4475</v>
      </c>
      <c r="D4773" s="1"/>
      <c r="E4773" s="1"/>
      <c r="F4773" s="1" t="s">
        <v>4488</v>
      </c>
      <c r="G4773" s="1">
        <v>71</v>
      </c>
      <c r="H4773" s="1" t="s">
        <v>4489</v>
      </c>
      <c r="I4773" s="1" t="s">
        <v>3738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4475</v>
      </c>
      <c r="D4774" s="1"/>
      <c r="E4774" s="1"/>
      <c r="F4774" s="1" t="s">
        <v>4490</v>
      </c>
      <c r="G4774" s="1">
        <v>10</v>
      </c>
      <c r="H4774" s="1" t="s">
        <v>4489</v>
      </c>
      <c r="I4774" s="1" t="s">
        <v>3738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5">
        <v>4373</v>
      </c>
      <c r="C4775" s="1" t="s">
        <v>4475</v>
      </c>
      <c r="D4775" s="1"/>
      <c r="E4775" s="1"/>
      <c r="F4775" s="1" t="s">
        <v>4491</v>
      </c>
      <c r="G4775" s="1">
        <v>18</v>
      </c>
      <c r="H4775" s="1" t="s">
        <v>4489</v>
      </c>
      <c r="I4775" s="1" t="s">
        <v>3738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4475</v>
      </c>
      <c r="D4776" s="1"/>
      <c r="E4776" s="1"/>
      <c r="F4776" s="1" t="s">
        <v>4492</v>
      </c>
      <c r="G4776" s="1">
        <v>50</v>
      </c>
      <c r="H4776" s="1" t="s">
        <v>4489</v>
      </c>
      <c r="I4776" s="1" t="s">
        <v>3738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5">
        <v>4375</v>
      </c>
      <c r="C4777" s="1" t="s">
        <v>4475</v>
      </c>
      <c r="D4777" s="1"/>
      <c r="E4777" s="1"/>
      <c r="F4777" s="1" t="s">
        <v>4493</v>
      </c>
      <c r="G4777" s="1">
        <v>60</v>
      </c>
      <c r="H4777" s="1" t="s">
        <v>4489</v>
      </c>
      <c r="I4777" s="1" t="s">
        <v>3738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4475</v>
      </c>
      <c r="D4778" s="1"/>
      <c r="E4778" s="1"/>
      <c r="F4778" s="1" t="s">
        <v>4494</v>
      </c>
      <c r="G4778" s="1">
        <v>15</v>
      </c>
      <c r="H4778" s="1" t="s">
        <v>4489</v>
      </c>
      <c r="I4778" s="1" t="s">
        <v>3738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5">
        <v>4377</v>
      </c>
      <c r="C4779" s="1" t="s">
        <v>4475</v>
      </c>
      <c r="D4779" s="1"/>
      <c r="E4779" s="1"/>
      <c r="F4779" s="1" t="s">
        <v>4495</v>
      </c>
      <c r="G4779" s="1">
        <v>52</v>
      </c>
      <c r="H4779" s="1" t="s">
        <v>4489</v>
      </c>
      <c r="I4779" s="1" t="s">
        <v>3738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4475</v>
      </c>
      <c r="D4780" s="1"/>
      <c r="E4780" s="1"/>
      <c r="F4780" s="1" t="s">
        <v>4496</v>
      </c>
      <c r="G4780" s="1">
        <v>78</v>
      </c>
      <c r="H4780" s="1" t="s">
        <v>4489</v>
      </c>
      <c r="I4780" s="1" t="s">
        <v>3738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5">
        <v>4379</v>
      </c>
      <c r="C4781" s="1" t="s">
        <v>4475</v>
      </c>
      <c r="D4781" s="1"/>
      <c r="E4781" s="1"/>
      <c r="F4781" s="1" t="s">
        <v>4497</v>
      </c>
      <c r="G4781" s="1">
        <v>26</v>
      </c>
      <c r="H4781" s="1" t="s">
        <v>4489</v>
      </c>
      <c r="I4781" s="1" t="s">
        <v>3738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4475</v>
      </c>
      <c r="D4782" s="1"/>
      <c r="E4782" s="1"/>
      <c r="F4782" s="1" t="s">
        <v>4498</v>
      </c>
      <c r="G4782" s="1">
        <v>60</v>
      </c>
      <c r="H4782" s="1" t="s">
        <v>4489</v>
      </c>
      <c r="I4782" s="1" t="s">
        <v>3738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5">
        <v>4381</v>
      </c>
      <c r="C4783" s="1" t="s">
        <v>4475</v>
      </c>
      <c r="D4783" s="1"/>
      <c r="E4783" s="1"/>
      <c r="F4783" s="1" t="s">
        <v>4499</v>
      </c>
      <c r="G4783" s="1">
        <v>52</v>
      </c>
      <c r="H4783" s="1" t="s">
        <v>4489</v>
      </c>
      <c r="I4783" s="1" t="s">
        <v>3738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4475</v>
      </c>
      <c r="D4784" s="1"/>
      <c r="E4784" s="1"/>
      <c r="F4784" s="1" t="s">
        <v>4500</v>
      </c>
      <c r="G4784" s="1">
        <v>26</v>
      </c>
      <c r="H4784" s="1" t="s">
        <v>4489</v>
      </c>
      <c r="I4784" s="1" t="s">
        <v>3738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5">
        <v>4383</v>
      </c>
      <c r="C4785" s="1" t="s">
        <v>4475</v>
      </c>
      <c r="D4785" s="1"/>
      <c r="E4785" s="1"/>
      <c r="F4785" s="1" t="s">
        <v>4501</v>
      </c>
      <c r="G4785" s="1">
        <v>3</v>
      </c>
      <c r="H4785" s="1" t="s">
        <v>4489</v>
      </c>
      <c r="I4785" s="1" t="s">
        <v>3738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4475</v>
      </c>
      <c r="D4786" s="1"/>
      <c r="E4786" s="1"/>
      <c r="F4786" s="1" t="s">
        <v>4502</v>
      </c>
      <c r="G4786" s="1">
        <v>20</v>
      </c>
      <c r="H4786" s="1" t="s">
        <v>4489</v>
      </c>
      <c r="I4786" s="1" t="s">
        <v>3738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5">
        <v>4385</v>
      </c>
      <c r="C4787" s="1" t="s">
        <v>4475</v>
      </c>
      <c r="D4787" s="1"/>
      <c r="E4787" s="1"/>
      <c r="F4787" s="1" t="s">
        <v>4503</v>
      </c>
      <c r="G4787" s="1">
        <v>6</v>
      </c>
      <c r="H4787" s="1" t="s">
        <v>4489</v>
      </c>
      <c r="I4787" s="1" t="s">
        <v>3738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4475</v>
      </c>
      <c r="D4788" s="1"/>
      <c r="E4788" s="1"/>
      <c r="F4788" s="1" t="s">
        <v>4504</v>
      </c>
      <c r="G4788" s="1">
        <v>3</v>
      </c>
      <c r="H4788" s="1" t="s">
        <v>4489</v>
      </c>
      <c r="I4788" s="1" t="s">
        <v>3738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5">
        <v>4387</v>
      </c>
      <c r="C4789" s="1" t="s">
        <v>4475</v>
      </c>
      <c r="D4789" s="1"/>
      <c r="E4789" s="1"/>
      <c r="F4789" s="1" t="s">
        <v>4505</v>
      </c>
      <c r="G4789" s="1">
        <v>6</v>
      </c>
      <c r="H4789" s="1" t="s">
        <v>4489</v>
      </c>
      <c r="I4789" s="1" t="s">
        <v>3738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4475</v>
      </c>
      <c r="D4790" s="1"/>
      <c r="E4790" s="1"/>
      <c r="F4790" s="1" t="s">
        <v>4506</v>
      </c>
      <c r="G4790" s="1">
        <v>15</v>
      </c>
      <c r="H4790" s="1" t="s">
        <v>4489</v>
      </c>
      <c r="I4790" s="1" t="s">
        <v>3738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5">
        <v>4389</v>
      </c>
      <c r="C4791" s="1" t="s">
        <v>4475</v>
      </c>
      <c r="D4791" s="1"/>
      <c r="E4791" s="1"/>
      <c r="F4791" s="1" t="s">
        <v>4507</v>
      </c>
      <c r="G4791" s="1">
        <v>12</v>
      </c>
      <c r="H4791" s="1" t="s">
        <v>4489</v>
      </c>
      <c r="I4791" s="1" t="s">
        <v>3738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4463</v>
      </c>
      <c r="D4792" s="1"/>
      <c r="E4792" s="1"/>
      <c r="F4792" s="1" t="s">
        <v>4508</v>
      </c>
      <c r="G4792" s="1">
        <v>4</v>
      </c>
      <c r="H4792" s="1" t="s">
        <v>19</v>
      </c>
      <c r="I4792" s="1" t="s">
        <v>3738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5">
        <v>4391</v>
      </c>
      <c r="C4793" s="1" t="s">
        <v>4475</v>
      </c>
      <c r="D4793" s="1"/>
      <c r="E4793" s="1"/>
      <c r="F4793" s="1" t="s">
        <v>4509</v>
      </c>
      <c r="G4793" s="1">
        <v>1</v>
      </c>
      <c r="H4793" s="1" t="s">
        <v>19</v>
      </c>
      <c r="I4793" s="1" t="s">
        <v>4475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4475</v>
      </c>
      <c r="D4794" s="1"/>
      <c r="E4794" s="1"/>
      <c r="F4794" s="1" t="s">
        <v>4451</v>
      </c>
      <c r="G4794" s="1">
        <v>1</v>
      </c>
      <c r="H4794" s="1" t="s">
        <v>19</v>
      </c>
      <c r="I4794" s="1" t="s">
        <v>4475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5">
        <v>4393</v>
      </c>
      <c r="C4795" s="1" t="s">
        <v>4510</v>
      </c>
      <c r="D4795" s="1"/>
      <c r="E4795" s="1"/>
      <c r="F4795" s="1" t="s">
        <v>4511</v>
      </c>
      <c r="G4795" s="1">
        <v>1</v>
      </c>
      <c r="H4795" s="1" t="s">
        <v>19</v>
      </c>
      <c r="I4795" s="1" t="s">
        <v>4510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4510</v>
      </c>
      <c r="D4796" s="1"/>
      <c r="E4796" s="1"/>
      <c r="F4796" s="1" t="s">
        <v>4512</v>
      </c>
      <c r="G4796" s="1">
        <v>1</v>
      </c>
      <c r="H4796" s="1" t="s">
        <v>19</v>
      </c>
      <c r="I4796" s="1" t="s">
        <v>4510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</sheetData>
  <autoFilter ref="A1:N4796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conditionalFormatting sqref="B4749:B4796">
    <cfRule type="expression" dxfId="2" priority="1">
      <formula>$AI4749="OK"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1332.5</v>
      </c>
      <c r="L335" s="114">
        <f t="shared" ref="L335:L395" si="126">IF(G335&lt;&gt;0,SUM(K335/G335*1),"0%")</f>
        <v>1</v>
      </c>
      <c r="M335" s="113">
        <f t="shared" ref="M335:M395" si="127">G335-K335</f>
        <v>0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1332.5</v>
      </c>
      <c r="L336" s="114">
        <f t="shared" si="126"/>
        <v>1</v>
      </c>
      <c r="M336" s="113">
        <f t="shared" si="127"/>
        <v>0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60.637500000000003</v>
      </c>
      <c r="I354" s="113">
        <f>SUMIF(MICRO!AP:AP,O:O,MICRO!T:T)</f>
        <v>-99</v>
      </c>
      <c r="J354" s="114">
        <f t="shared" si="130"/>
        <v>0.61250000000000004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2837.08</v>
      </c>
      <c r="I357" s="113">
        <f>SUMIF(MICRO!AP:AP,O:O,MICRO!T:T)</f>
        <v>-4351.2000000000007</v>
      </c>
      <c r="J357" s="114">
        <f t="shared" si="130"/>
        <v>0.44836588912067771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1976.4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0</v>
      </c>
      <c r="I359" s="113">
        <f>SUMIF(MICRO!AP:AP,O:O,MICRO!T:T)</f>
        <v>-1298.4000000000001</v>
      </c>
      <c r="J359" s="114">
        <f t="shared" si="130"/>
        <v>0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1446.93</v>
      </c>
      <c r="I361" s="113">
        <f>SUMIF(MICRO!AP:AP,O:O,MICRO!T:T)</f>
        <v>-167.60000000000002</v>
      </c>
      <c r="J361" s="114">
        <f t="shared" si="130"/>
        <v>0.98190146579804571</v>
      </c>
      <c r="K361" s="113">
        <f>SUMIF(MICRO!AP:AP,O:O,MICRO!X:X)</f>
        <v>1306</v>
      </c>
      <c r="L361" s="114">
        <f t="shared" si="131"/>
        <v>0.88626492942453861</v>
      </c>
      <c r="M361" s="113">
        <f t="shared" si="132"/>
        <v>167.59999999999991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1306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1670.2250000000001</v>
      </c>
      <c r="I362" s="113">
        <f>SUMIF(MICRO!AP:AP,O:O,MICRO!T:T)</f>
        <v>-2483.8000000000002</v>
      </c>
      <c r="J362" s="114">
        <f t="shared" ref="J362:J388" si="135">IF(G362 = 0,0,H362/G362)</f>
        <v>0.4989022641734871</v>
      </c>
      <c r="K362" s="113">
        <f>SUMIF(MICRO!AP:AP,O:O,MICRO!X:X)</f>
        <v>864</v>
      </c>
      <c r="L362" s="114">
        <f t="shared" ref="L362:L388" si="136">IF(G362&lt;&gt;0,SUM(K362/G362*1),"0%")</f>
        <v>0.25807993309038768</v>
      </c>
      <c r="M362" s="113">
        <f t="shared" ref="M362:M388" si="137">G362-K362</f>
        <v>2483.8000000000002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864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1810.73</v>
      </c>
      <c r="I363" s="113">
        <f>SUMIF(MICRO!AP:AP,O:O,MICRO!T:T)</f>
        <v>-2711.6</v>
      </c>
      <c r="J363" s="114">
        <f t="shared" si="135"/>
        <v>0.5102660204024122</v>
      </c>
      <c r="K363" s="113">
        <f>SUMIF(MICRO!AP:AP,O:O,MICRO!X:X)</f>
        <v>661</v>
      </c>
      <c r="L363" s="114">
        <f t="shared" si="136"/>
        <v>0.18627064194330159</v>
      </c>
      <c r="M363" s="113">
        <f t="shared" si="137"/>
        <v>2887.6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176</v>
      </c>
      <c r="R363">
        <f>SUMIF(MICRO!AP:AP,O:O,MICRO!AU:AU)</f>
        <v>661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426.79499999999996</v>
      </c>
      <c r="I364" s="113">
        <f>SUMIF(MICRO!AP:AP,O:O,MICRO!T:T)</f>
        <v>-587.4</v>
      </c>
      <c r="J364" s="114">
        <f t="shared" si="135"/>
        <v>0.4682850559578669</v>
      </c>
      <c r="K364" s="113">
        <f>SUMIF(MICRO!AP:AP,O:O,MICRO!X:X)</f>
        <v>324</v>
      </c>
      <c r="L364" s="114">
        <f t="shared" si="136"/>
        <v>0.35549703752468725</v>
      </c>
      <c r="M364" s="113">
        <f t="shared" si="137"/>
        <v>587.40000000000009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324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1663.6</v>
      </c>
      <c r="L365" s="114">
        <f t="shared" si="136"/>
        <v>0.79151203730136066</v>
      </c>
      <c r="M365" s="113">
        <f t="shared" si="137"/>
        <v>438.20000000000027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438.2</v>
      </c>
      <c r="R365">
        <f>SUMIF(MICRO!AP:AP,O:O,MICRO!AU:AU)</f>
        <v>1663.6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2289.4</v>
      </c>
      <c r="L366" s="114">
        <f t="shared" si="136"/>
        <v>0.56517231164214465</v>
      </c>
      <c r="M366" s="113">
        <f t="shared" si="137"/>
        <v>1761.4000000000005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1761.4000000000003</v>
      </c>
      <c r="R366">
        <f>SUMIF(MICRO!AP:AP,O:O,MICRO!AU:AU)</f>
        <v>2289.3999999999996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3234.3</v>
      </c>
      <c r="L367" s="114">
        <f t="shared" si="136"/>
        <v>0.93791323512353575</v>
      </c>
      <c r="M367" s="113">
        <f t="shared" si="137"/>
        <v>214.09999999999945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214.10000000000002</v>
      </c>
      <c r="R367">
        <f>SUMIF(MICRO!AP:AP,O:O,MICRO!AU:AU)</f>
        <v>3234.3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402.8</v>
      </c>
      <c r="L368" s="114">
        <f t="shared" si="136"/>
        <v>0.43006619688234043</v>
      </c>
      <c r="M368" s="113">
        <f t="shared" si="137"/>
        <v>533.79999999999995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533.79999999999995</v>
      </c>
      <c r="R368">
        <f>SUMIF(MICRO!AP:AP,O:O,MICRO!AU:AU)</f>
        <v>402.8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75.337499999999991</v>
      </c>
      <c r="I381" s="113">
        <f>SUMIF(MICRO!AP:AP,O:O,MICRO!T:T)</f>
        <v>-122.99999999999999</v>
      </c>
      <c r="J381" s="114">
        <f t="shared" si="135"/>
        <v>0.61250000000000004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70.469999999999985</v>
      </c>
      <c r="I382" s="113">
        <f>SUMIF(MICRO!AP:AP,O:O,MICRO!T:T)</f>
        <v>-97.199999999999989</v>
      </c>
      <c r="J382" s="114">
        <f t="shared" si="135"/>
        <v>0.72499999999999998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0</v>
      </c>
    </row>
    <row r="383" spans="4:18" ht="18.75" thickBot="1" x14ac:dyDescent="0.3">
      <c r="D383" s="110" t="s">
        <v>4300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97.875</v>
      </c>
      <c r="I383" s="113">
        <f>SUMIF(MICRO!AP:AP,O:O,MICRO!T:T)</f>
        <v>-135</v>
      </c>
      <c r="J383" s="114">
        <f t="shared" si="135"/>
        <v>0.72499999999999998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0</v>
      </c>
    </row>
    <row r="384" spans="4:18" ht="18.75" thickBot="1" x14ac:dyDescent="0.3">
      <c r="D384" s="110" t="s">
        <v>4307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2026-07-07T11:51:44Z</cp:lastPrinted>
  <dcterms:created xsi:type="dcterms:W3CDTF">2022-04-15T01:30:45Z</dcterms:created>
  <dcterms:modified xsi:type="dcterms:W3CDTF">2026-07-21T12:20:21Z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