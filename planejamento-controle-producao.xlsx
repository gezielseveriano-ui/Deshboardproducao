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5172" documentId="8_{FDD42E6F-94E1-48F3-8613-54A91AB43A68}" xr6:coauthVersionLast="47" xr6:coauthVersionMax="47" xr10:uidLastSave="{5D0B66C7-1359-4AC9-BABA-F690F2CD5750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39" i="6" l="1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Q1067" i="1"/>
  <c r="U1067" i="1"/>
  <c r="V1067" i="1"/>
  <c r="W1067" i="1"/>
  <c r="H1067" i="1"/>
  <c r="Q1066" i="1"/>
  <c r="U1066" i="1"/>
  <c r="V1066" i="1"/>
  <c r="W1066" i="1"/>
  <c r="H1066" i="1"/>
  <c r="Q1065" i="1"/>
  <c r="U1065" i="1"/>
  <c r="V1065" i="1"/>
  <c r="W1065" i="1"/>
  <c r="H1065" i="1"/>
  <c r="Q1064" i="1"/>
  <c r="U1064" i="1"/>
  <c r="V1064" i="1"/>
  <c r="W1064" i="1"/>
  <c r="H1064" i="1"/>
  <c r="Q1063" i="1"/>
  <c r="U1063" i="1"/>
  <c r="V1063" i="1"/>
  <c r="W1063" i="1"/>
  <c r="H1063" i="1"/>
  <c r="Q1062" i="1"/>
  <c r="U1062" i="1"/>
  <c r="V1062" i="1"/>
  <c r="W1062" i="1"/>
  <c r="H1062" i="1"/>
  <c r="Q1061" i="1"/>
  <c r="U1061" i="1"/>
  <c r="V1061" i="1"/>
  <c r="W1061" i="1"/>
  <c r="H1061" i="1"/>
  <c r="Q1060" i="1"/>
  <c r="U1060" i="1"/>
  <c r="V1060" i="1"/>
  <c r="W1060" i="1"/>
  <c r="H1060" i="1"/>
  <c r="Q1059" i="1"/>
  <c r="U1059" i="1"/>
  <c r="V1059" i="1"/>
  <c r="W1059" i="1"/>
  <c r="H1059" i="1"/>
  <c r="Q1058" i="1"/>
  <c r="U1058" i="1"/>
  <c r="V1058" i="1"/>
  <c r="W1058" i="1"/>
  <c r="H1058" i="1"/>
  <c r="Q1057" i="1"/>
  <c r="U1057" i="1"/>
  <c r="V1057" i="1"/>
  <c r="W1057" i="1"/>
  <c r="H1057" i="1"/>
  <c r="Q1056" i="1"/>
  <c r="U1056" i="1"/>
  <c r="V1056" i="1"/>
  <c r="W1056" i="1"/>
  <c r="H1056" i="1"/>
  <c r="Q1055" i="1"/>
  <c r="U1055" i="1"/>
  <c r="V1055" i="1"/>
  <c r="W1055" i="1"/>
  <c r="H1055" i="1"/>
  <c r="Q1054" i="1"/>
  <c r="U1054" i="1"/>
  <c r="V1054" i="1"/>
  <c r="W1054" i="1"/>
  <c r="H1054" i="1"/>
  <c r="Q1053" i="1"/>
  <c r="U1053" i="1"/>
  <c r="V1053" i="1"/>
  <c r="W1053" i="1"/>
  <c r="H1053" i="1"/>
  <c r="Q1052" i="1"/>
  <c r="U1052" i="1"/>
  <c r="V1052" i="1"/>
  <c r="W1052" i="1"/>
  <c r="H1052" i="1"/>
  <c r="Q1051" i="1"/>
  <c r="U1051" i="1"/>
  <c r="V1051" i="1"/>
  <c r="W1051" i="1"/>
  <c r="H1051" i="1"/>
  <c r="Q1050" i="1"/>
  <c r="U1050" i="1"/>
  <c r="V1050" i="1"/>
  <c r="W1050" i="1"/>
  <c r="H1050" i="1"/>
  <c r="Q1049" i="1"/>
  <c r="U1049" i="1"/>
  <c r="V1049" i="1"/>
  <c r="W1049" i="1"/>
  <c r="H1049" i="1"/>
  <c r="Q1048" i="1"/>
  <c r="U1048" i="1"/>
  <c r="V1048" i="1"/>
  <c r="W1048" i="1"/>
  <c r="H1048" i="1"/>
  <c r="Q1047" i="1"/>
  <c r="U1047" i="1"/>
  <c r="V1047" i="1"/>
  <c r="W1047" i="1"/>
  <c r="H1047" i="1"/>
  <c r="Q1046" i="1"/>
  <c r="U1046" i="1"/>
  <c r="V1046" i="1"/>
  <c r="W1046" i="1"/>
  <c r="H1046" i="1"/>
  <c r="Q1045" i="1"/>
  <c r="U1045" i="1"/>
  <c r="V1045" i="1"/>
  <c r="W1045" i="1"/>
  <c r="H1045" i="1"/>
  <c r="Q1044" i="1"/>
  <c r="U1044" i="1"/>
  <c r="V1044" i="1"/>
  <c r="W1044" i="1"/>
  <c r="H1044" i="1"/>
  <c r="Q1043" i="1"/>
  <c r="U1043" i="1"/>
  <c r="V1043" i="1"/>
  <c r="W1043" i="1"/>
  <c r="H1043" i="1"/>
  <c r="Q1042" i="1"/>
  <c r="U1042" i="1"/>
  <c r="V1042" i="1"/>
  <c r="W1042" i="1"/>
  <c r="H1042" i="1"/>
  <c r="Q1041" i="1"/>
  <c r="U1041" i="1"/>
  <c r="V1041" i="1"/>
  <c r="W1041" i="1"/>
  <c r="H1041" i="1"/>
  <c r="Q1040" i="1"/>
  <c r="U1040" i="1"/>
  <c r="V1040" i="1"/>
  <c r="W1040" i="1"/>
  <c r="H1040" i="1"/>
  <c r="Q1039" i="1"/>
  <c r="U1039" i="1"/>
  <c r="V1039" i="1"/>
  <c r="W1039" i="1"/>
  <c r="H1039" i="1"/>
  <c r="W1038" i="1"/>
  <c r="V1038" i="1"/>
  <c r="U1038" i="1"/>
  <c r="Y1038" i="1" s="1"/>
  <c r="Q1038" i="1"/>
  <c r="H1038" i="1"/>
  <c r="S1038" i="1" s="1"/>
  <c r="T1038" i="1" s="1"/>
  <c r="W1037" i="1"/>
  <c r="V1037" i="1"/>
  <c r="U1037" i="1"/>
  <c r="Y1037" i="1" s="1"/>
  <c r="Q1037" i="1"/>
  <c r="H1037" i="1"/>
  <c r="S1037" i="1" s="1"/>
  <c r="T1037" i="1" s="1"/>
  <c r="W1036" i="1"/>
  <c r="V1036" i="1"/>
  <c r="U1036" i="1"/>
  <c r="Y1036" i="1" s="1"/>
  <c r="Q1036" i="1"/>
  <c r="H1036" i="1"/>
  <c r="W1035" i="1"/>
  <c r="V1035" i="1"/>
  <c r="U1035" i="1"/>
  <c r="Y1035" i="1" s="1"/>
  <c r="Q1035" i="1"/>
  <c r="H1035" i="1"/>
  <c r="W1034" i="1"/>
  <c r="V1034" i="1"/>
  <c r="U1034" i="1"/>
  <c r="Y1034" i="1" s="1"/>
  <c r="Q1034" i="1"/>
  <c r="H1034" i="1"/>
  <c r="W1033" i="1"/>
  <c r="V1033" i="1"/>
  <c r="U1033" i="1"/>
  <c r="Y1033" i="1" s="1"/>
  <c r="Q1033" i="1"/>
  <c r="H1033" i="1"/>
  <c r="S1033" i="1" s="1"/>
  <c r="T1033" i="1" s="1"/>
  <c r="W1032" i="1"/>
  <c r="V1032" i="1"/>
  <c r="U1032" i="1"/>
  <c r="Y1032" i="1" s="1"/>
  <c r="Q1032" i="1"/>
  <c r="H1032" i="1"/>
  <c r="W1031" i="1"/>
  <c r="V1031" i="1"/>
  <c r="U1031" i="1"/>
  <c r="Y1031" i="1" s="1"/>
  <c r="Q1031" i="1"/>
  <c r="H1031" i="1"/>
  <c r="S1031" i="1" s="1"/>
  <c r="T1031" i="1" s="1"/>
  <c r="W1030" i="1"/>
  <c r="V1030" i="1"/>
  <c r="U1030" i="1"/>
  <c r="Y1030" i="1" s="1"/>
  <c r="Q1030" i="1"/>
  <c r="H1030" i="1"/>
  <c r="W1029" i="1"/>
  <c r="V1029" i="1"/>
  <c r="U1029" i="1"/>
  <c r="X1029" i="1" s="1"/>
  <c r="Q1029" i="1"/>
  <c r="H1029" i="1"/>
  <c r="S1029" i="1" s="1"/>
  <c r="T1029" i="1" s="1"/>
  <c r="W1028" i="1"/>
  <c r="V1028" i="1"/>
  <c r="U1028" i="1"/>
  <c r="Y1028" i="1" s="1"/>
  <c r="Q1028" i="1"/>
  <c r="H1028" i="1"/>
  <c r="R1028" i="1" s="1"/>
  <c r="W1027" i="1"/>
  <c r="V1027" i="1"/>
  <c r="U1027" i="1"/>
  <c r="X1027" i="1" s="1"/>
  <c r="Q1027" i="1"/>
  <c r="H1027" i="1"/>
  <c r="S1027" i="1" s="1"/>
  <c r="T1027" i="1" s="1"/>
  <c r="W1026" i="1"/>
  <c r="V1026" i="1"/>
  <c r="U1026" i="1"/>
  <c r="Y1026" i="1" s="1"/>
  <c r="Q1026" i="1"/>
  <c r="H1026" i="1"/>
  <c r="S1026" i="1" s="1"/>
  <c r="T1026" i="1" s="1"/>
  <c r="W1025" i="1"/>
  <c r="V1025" i="1"/>
  <c r="U1025" i="1"/>
  <c r="Y1025" i="1" s="1"/>
  <c r="Q1025" i="1"/>
  <c r="H1025" i="1"/>
  <c r="W1024" i="1"/>
  <c r="V1024" i="1"/>
  <c r="U1024" i="1"/>
  <c r="Y1024" i="1" s="1"/>
  <c r="Q1024" i="1"/>
  <c r="H1024" i="1"/>
  <c r="S1024" i="1" s="1"/>
  <c r="T1024" i="1" s="1"/>
  <c r="W1023" i="1"/>
  <c r="V1023" i="1"/>
  <c r="U1023" i="1"/>
  <c r="Y1023" i="1" s="1"/>
  <c r="Q1023" i="1"/>
  <c r="H1023" i="1"/>
  <c r="S1023" i="1" s="1"/>
  <c r="T1023" i="1" s="1"/>
  <c r="W1022" i="1"/>
  <c r="V1022" i="1"/>
  <c r="U1022" i="1"/>
  <c r="Y1022" i="1" s="1"/>
  <c r="Q1022" i="1"/>
  <c r="H1022" i="1"/>
  <c r="W1021" i="1"/>
  <c r="V1021" i="1"/>
  <c r="U1021" i="1"/>
  <c r="Y1021" i="1" s="1"/>
  <c r="Q1021" i="1"/>
  <c r="H1021" i="1"/>
  <c r="S1021" i="1" s="1"/>
  <c r="T1021" i="1" s="1"/>
  <c r="W1020" i="1"/>
  <c r="V1020" i="1"/>
  <c r="U1020" i="1"/>
  <c r="X1020" i="1" s="1"/>
  <c r="Q1020" i="1"/>
  <c r="H1020" i="1"/>
  <c r="R1020" i="1" s="1"/>
  <c r="W1019" i="1"/>
  <c r="V1019" i="1"/>
  <c r="U1019" i="1"/>
  <c r="X1019" i="1" s="1"/>
  <c r="Q1019" i="1"/>
  <c r="H1019" i="1"/>
  <c r="R1019" i="1" s="1"/>
  <c r="W1018" i="1"/>
  <c r="V1018" i="1"/>
  <c r="U1018" i="1"/>
  <c r="Y1018" i="1" s="1"/>
  <c r="Q1018" i="1"/>
  <c r="H1018" i="1"/>
  <c r="S1018" i="1" s="1"/>
  <c r="T1018" i="1" s="1"/>
  <c r="W1017" i="1"/>
  <c r="V1017" i="1"/>
  <c r="U1017" i="1"/>
  <c r="Y1017" i="1" s="1"/>
  <c r="Q1017" i="1"/>
  <c r="H1017" i="1"/>
  <c r="S1017" i="1" s="1"/>
  <c r="T1017" i="1" s="1"/>
  <c r="Z1029" i="1" l="1"/>
  <c r="Y1067" i="1"/>
  <c r="X1067" i="1"/>
  <c r="Z1067" i="1" s="1"/>
  <c r="R1067" i="1"/>
  <c r="S1067" i="1"/>
  <c r="T1067" i="1" s="1"/>
  <c r="Y1066" i="1"/>
  <c r="X1066" i="1"/>
  <c r="Z1066" i="1" s="1"/>
  <c r="R1066" i="1"/>
  <c r="S1066" i="1"/>
  <c r="T1066" i="1" s="1"/>
  <c r="X1065" i="1"/>
  <c r="Y1065" i="1"/>
  <c r="R1065" i="1"/>
  <c r="S1065" i="1"/>
  <c r="T1065" i="1" s="1"/>
  <c r="Z1065" i="1"/>
  <c r="Y1064" i="1"/>
  <c r="X1064" i="1"/>
  <c r="Z1064" i="1" s="1"/>
  <c r="R1064" i="1"/>
  <c r="S1064" i="1"/>
  <c r="T1064" i="1" s="1"/>
  <c r="Y1063" i="1"/>
  <c r="X1063" i="1"/>
  <c r="Z1063" i="1" s="1"/>
  <c r="R1063" i="1"/>
  <c r="S1063" i="1"/>
  <c r="T1063" i="1" s="1"/>
  <c r="X1062" i="1"/>
  <c r="Z1062" i="1" s="1"/>
  <c r="Y1062" i="1"/>
  <c r="R1062" i="1"/>
  <c r="S1062" i="1"/>
  <c r="T1062" i="1" s="1"/>
  <c r="X1061" i="1"/>
  <c r="Y1061" i="1"/>
  <c r="R1061" i="1"/>
  <c r="S1061" i="1"/>
  <c r="T1061" i="1" s="1"/>
  <c r="Z1061" i="1"/>
  <c r="Y1060" i="1"/>
  <c r="X1060" i="1"/>
  <c r="Z1060" i="1" s="1"/>
  <c r="R1060" i="1"/>
  <c r="S1060" i="1"/>
  <c r="T1060" i="1" s="1"/>
  <c r="Y1059" i="1"/>
  <c r="X1059" i="1"/>
  <c r="R1059" i="1"/>
  <c r="S1059" i="1"/>
  <c r="T1059" i="1" s="1"/>
  <c r="Z1059" i="1"/>
  <c r="X1058" i="1"/>
  <c r="Y1058" i="1"/>
  <c r="R1058" i="1"/>
  <c r="S1058" i="1"/>
  <c r="T1058" i="1" s="1"/>
  <c r="Z1058" i="1"/>
  <c r="X1057" i="1"/>
  <c r="Z1057" i="1" s="1"/>
  <c r="Y1057" i="1"/>
  <c r="R1057" i="1"/>
  <c r="S1057" i="1"/>
  <c r="T1057" i="1" s="1"/>
  <c r="X1056" i="1"/>
  <c r="Y1056" i="1"/>
  <c r="R1056" i="1"/>
  <c r="S1056" i="1"/>
  <c r="T1056" i="1" s="1"/>
  <c r="Z1056" i="1"/>
  <c r="Y1055" i="1"/>
  <c r="X1055" i="1"/>
  <c r="Z1055" i="1" s="1"/>
  <c r="R1055" i="1"/>
  <c r="S1055" i="1"/>
  <c r="T1055" i="1" s="1"/>
  <c r="Y1054" i="1"/>
  <c r="X1054" i="1"/>
  <c r="Z1054" i="1" s="1"/>
  <c r="R1054" i="1"/>
  <c r="S1054" i="1"/>
  <c r="T1054" i="1" s="1"/>
  <c r="X1053" i="1"/>
  <c r="Y1053" i="1"/>
  <c r="R1053" i="1"/>
  <c r="S1053" i="1"/>
  <c r="T1053" i="1" s="1"/>
  <c r="Z1053" i="1"/>
  <c r="X1052" i="1"/>
  <c r="Y1052" i="1"/>
  <c r="R1052" i="1"/>
  <c r="S1052" i="1"/>
  <c r="T1052" i="1" s="1"/>
  <c r="Z1052" i="1"/>
  <c r="X1051" i="1"/>
  <c r="Y1051" i="1"/>
  <c r="R1051" i="1"/>
  <c r="S1051" i="1"/>
  <c r="T1051" i="1" s="1"/>
  <c r="Z1051" i="1"/>
  <c r="X1050" i="1"/>
  <c r="Z1050" i="1" s="1"/>
  <c r="Y1050" i="1"/>
  <c r="R1050" i="1"/>
  <c r="S1050" i="1"/>
  <c r="T1050" i="1" s="1"/>
  <c r="X1049" i="1"/>
  <c r="Z1049" i="1" s="1"/>
  <c r="Y1049" i="1"/>
  <c r="R1049" i="1"/>
  <c r="S1049" i="1"/>
  <c r="T1049" i="1" s="1"/>
  <c r="X1048" i="1"/>
  <c r="Y1048" i="1"/>
  <c r="R1048" i="1"/>
  <c r="S1048" i="1"/>
  <c r="T1048" i="1" s="1"/>
  <c r="Z1048" i="1"/>
  <c r="X1047" i="1"/>
  <c r="Y1047" i="1"/>
  <c r="R1047" i="1"/>
  <c r="S1047" i="1"/>
  <c r="T1047" i="1" s="1"/>
  <c r="Z1047" i="1"/>
  <c r="X1046" i="1"/>
  <c r="Y1046" i="1"/>
  <c r="R1046" i="1"/>
  <c r="S1046" i="1"/>
  <c r="T1046" i="1" s="1"/>
  <c r="Z1046" i="1"/>
  <c r="Y1045" i="1"/>
  <c r="X1045" i="1"/>
  <c r="R1045" i="1"/>
  <c r="S1045" i="1"/>
  <c r="T1045" i="1" s="1"/>
  <c r="Z1045" i="1"/>
  <c r="X1044" i="1"/>
  <c r="Y1044" i="1"/>
  <c r="S1044" i="1"/>
  <c r="T1044" i="1" s="1"/>
  <c r="Z1044" i="1"/>
  <c r="R1044" i="1"/>
  <c r="X1043" i="1"/>
  <c r="Y1043" i="1"/>
  <c r="R1043" i="1"/>
  <c r="S1043" i="1"/>
  <c r="T1043" i="1" s="1"/>
  <c r="Z1043" i="1"/>
  <c r="Y1042" i="1"/>
  <c r="X1042" i="1"/>
  <c r="Z1042" i="1" s="1"/>
  <c r="R1042" i="1"/>
  <c r="S1042" i="1"/>
  <c r="T1042" i="1" s="1"/>
  <c r="X1041" i="1"/>
  <c r="Z1041" i="1" s="1"/>
  <c r="Y1041" i="1"/>
  <c r="R1041" i="1"/>
  <c r="S1041" i="1"/>
  <c r="T1041" i="1" s="1"/>
  <c r="X1040" i="1"/>
  <c r="Y1040" i="1"/>
  <c r="R1040" i="1"/>
  <c r="S1040" i="1"/>
  <c r="T1040" i="1" s="1"/>
  <c r="Z1040" i="1"/>
  <c r="Y1039" i="1"/>
  <c r="X1039" i="1"/>
  <c r="Z1039" i="1" s="1"/>
  <c r="R1039" i="1"/>
  <c r="S1039" i="1"/>
  <c r="T1039" i="1" s="1"/>
  <c r="R1038" i="1"/>
  <c r="X1038" i="1"/>
  <c r="Z1038" i="1" s="1"/>
  <c r="R1037" i="1"/>
  <c r="X1037" i="1"/>
  <c r="Z1037" i="1" s="1"/>
  <c r="R1036" i="1"/>
  <c r="S1036" i="1"/>
  <c r="T1036" i="1" s="1"/>
  <c r="X1036" i="1"/>
  <c r="Z1036" i="1" s="1"/>
  <c r="R1035" i="1"/>
  <c r="S1035" i="1"/>
  <c r="T1035" i="1" s="1"/>
  <c r="X1035" i="1"/>
  <c r="Z1035" i="1" s="1"/>
  <c r="S1034" i="1"/>
  <c r="T1034" i="1" s="1"/>
  <c r="X1034" i="1"/>
  <c r="Z1034" i="1" s="1"/>
  <c r="R1034" i="1"/>
  <c r="R1033" i="1"/>
  <c r="X1033" i="1"/>
  <c r="Z1033" i="1" s="1"/>
  <c r="R1032" i="1"/>
  <c r="S1032" i="1"/>
  <c r="T1032" i="1" s="1"/>
  <c r="X1032" i="1"/>
  <c r="Z1032" i="1" s="1"/>
  <c r="Z1027" i="1"/>
  <c r="Z1020" i="1"/>
  <c r="S1020" i="1"/>
  <c r="T1020" i="1" s="1"/>
  <c r="R1031" i="1"/>
  <c r="X1031" i="1"/>
  <c r="Z1031" i="1" s="1"/>
  <c r="R1030" i="1"/>
  <c r="S1030" i="1"/>
  <c r="T1030" i="1" s="1"/>
  <c r="X1030" i="1"/>
  <c r="Z1030" i="1" s="1"/>
  <c r="S1028" i="1"/>
  <c r="T1028" i="1" s="1"/>
  <c r="Y1029" i="1"/>
  <c r="R1029" i="1"/>
  <c r="X1028" i="1"/>
  <c r="Z1028" i="1" s="1"/>
  <c r="R1027" i="1"/>
  <c r="Y1027" i="1"/>
  <c r="R1026" i="1"/>
  <c r="X1026" i="1"/>
  <c r="Z1026" i="1" s="1"/>
  <c r="R1025" i="1"/>
  <c r="S1025" i="1"/>
  <c r="T1025" i="1" s="1"/>
  <c r="X1025" i="1"/>
  <c r="Z1025" i="1" s="1"/>
  <c r="X1024" i="1"/>
  <c r="Z1024" i="1" s="1"/>
  <c r="R1024" i="1"/>
  <c r="X1023" i="1"/>
  <c r="Z1023" i="1" s="1"/>
  <c r="R1023" i="1"/>
  <c r="R1022" i="1"/>
  <c r="S1022" i="1"/>
  <c r="T1022" i="1" s="1"/>
  <c r="Y1020" i="1"/>
  <c r="R1021" i="1"/>
  <c r="X1022" i="1"/>
  <c r="Z1022" i="1" s="1"/>
  <c r="X1021" i="1"/>
  <c r="Z1021" i="1" s="1"/>
  <c r="S1019" i="1"/>
  <c r="T1019" i="1" s="1"/>
  <c r="Y1019" i="1"/>
  <c r="Z1019" i="1"/>
  <c r="R1018" i="1"/>
  <c r="X1018" i="1"/>
  <c r="Z1018" i="1" s="1"/>
  <c r="X1017" i="1"/>
  <c r="Z1017" i="1" s="1"/>
  <c r="R1017" i="1"/>
  <c r="W1016" i="1"/>
  <c r="V1016" i="1"/>
  <c r="U1016" i="1"/>
  <c r="Y1016" i="1" s="1"/>
  <c r="Q1016" i="1"/>
  <c r="H1016" i="1"/>
  <c r="W1015" i="1"/>
  <c r="V1015" i="1"/>
  <c r="U1015" i="1"/>
  <c r="Y1015" i="1" s="1"/>
  <c r="Q1015" i="1"/>
  <c r="H1015" i="1"/>
  <c r="S1015" i="1" s="1"/>
  <c r="T1015" i="1" s="1"/>
  <c r="W1014" i="1"/>
  <c r="V1014" i="1"/>
  <c r="U1014" i="1"/>
  <c r="Y1014" i="1" s="1"/>
  <c r="Q1014" i="1"/>
  <c r="H1014" i="1"/>
  <c r="W1013" i="1"/>
  <c r="V1013" i="1"/>
  <c r="U1013" i="1"/>
  <c r="Y1013" i="1" s="1"/>
  <c r="Q1013" i="1"/>
  <c r="H1013" i="1"/>
  <c r="S1013" i="1" s="1"/>
  <c r="T1013" i="1" s="1"/>
  <c r="W1012" i="1"/>
  <c r="V1012" i="1"/>
  <c r="U1012" i="1"/>
  <c r="Y1012" i="1" s="1"/>
  <c r="Q1012" i="1"/>
  <c r="H1012" i="1"/>
  <c r="S1012" i="1" s="1"/>
  <c r="T1012" i="1" s="1"/>
  <c r="W1011" i="1"/>
  <c r="V1011" i="1"/>
  <c r="U1011" i="1"/>
  <c r="Y1011" i="1" s="1"/>
  <c r="Q1011" i="1"/>
  <c r="H1011" i="1"/>
  <c r="S1011" i="1" s="1"/>
  <c r="T1011" i="1" s="1"/>
  <c r="W1010" i="1"/>
  <c r="V1010" i="1"/>
  <c r="U1010" i="1"/>
  <c r="Y1010" i="1" s="1"/>
  <c r="Q1010" i="1"/>
  <c r="H1010" i="1"/>
  <c r="W1009" i="1"/>
  <c r="V1009" i="1"/>
  <c r="U1009" i="1"/>
  <c r="Y1009" i="1" s="1"/>
  <c r="Q1009" i="1"/>
  <c r="H1009" i="1"/>
  <c r="W1008" i="1"/>
  <c r="V1008" i="1"/>
  <c r="U1008" i="1"/>
  <c r="Y1008" i="1" s="1"/>
  <c r="Q1008" i="1"/>
  <c r="H1008" i="1"/>
  <c r="H1007" i="1"/>
  <c r="R1007" i="1" s="1"/>
  <c r="W1007" i="1"/>
  <c r="V1007" i="1"/>
  <c r="U1007" i="1"/>
  <c r="Y1007" i="1" s="1"/>
  <c r="Q1007" i="1"/>
  <c r="W1006" i="1"/>
  <c r="V1006" i="1"/>
  <c r="U1006" i="1"/>
  <c r="Y1006" i="1" s="1"/>
  <c r="Q1006" i="1"/>
  <c r="H1006" i="1"/>
  <c r="R1006" i="1" s="1"/>
  <c r="H986" i="1"/>
  <c r="R986" i="1" s="1"/>
  <c r="Q986" i="1"/>
  <c r="U986" i="1"/>
  <c r="X986" i="1" s="1"/>
  <c r="V986" i="1"/>
  <c r="W986" i="1"/>
  <c r="W1005" i="1"/>
  <c r="V1005" i="1"/>
  <c r="U1005" i="1"/>
  <c r="Y1005" i="1" s="1"/>
  <c r="Q1005" i="1"/>
  <c r="H1005" i="1"/>
  <c r="S1005" i="1" s="1"/>
  <c r="T1005" i="1" s="1"/>
  <c r="Q1004" i="1"/>
  <c r="U1004" i="1"/>
  <c r="Y1004" i="1" s="1"/>
  <c r="V1004" i="1"/>
  <c r="W1004" i="1"/>
  <c r="H1004" i="1"/>
  <c r="S1004" i="1" s="1"/>
  <c r="T1004" i="1" s="1"/>
  <c r="Q1003" i="1"/>
  <c r="U1003" i="1"/>
  <c r="Y1003" i="1" s="1"/>
  <c r="V1003" i="1"/>
  <c r="W1003" i="1"/>
  <c r="H1003" i="1"/>
  <c r="R1003" i="1" s="1"/>
  <c r="Q1002" i="1"/>
  <c r="U1002" i="1"/>
  <c r="Y1002" i="1" s="1"/>
  <c r="V1002" i="1"/>
  <c r="W1002" i="1"/>
  <c r="H1002" i="1"/>
  <c r="S1002" i="1" s="1"/>
  <c r="T1002" i="1" s="1"/>
  <c r="Q1001" i="1"/>
  <c r="U1001" i="1"/>
  <c r="Y1001" i="1" s="1"/>
  <c r="V1001" i="1"/>
  <c r="W1001" i="1"/>
  <c r="H1001" i="1"/>
  <c r="S1001" i="1" s="1"/>
  <c r="T1001" i="1" s="1"/>
  <c r="Q1000" i="1"/>
  <c r="U1000" i="1"/>
  <c r="Y1000" i="1" s="1"/>
  <c r="V1000" i="1"/>
  <c r="W1000" i="1"/>
  <c r="H1000" i="1"/>
  <c r="R1000" i="1" s="1"/>
  <c r="Q999" i="1"/>
  <c r="U999" i="1"/>
  <c r="Y999" i="1" s="1"/>
  <c r="V999" i="1"/>
  <c r="W999" i="1"/>
  <c r="H999" i="1"/>
  <c r="R999" i="1" s="1"/>
  <c r="Q998" i="1"/>
  <c r="U998" i="1"/>
  <c r="Y998" i="1" s="1"/>
  <c r="V998" i="1"/>
  <c r="W998" i="1"/>
  <c r="H998" i="1"/>
  <c r="R998" i="1" s="1"/>
  <c r="Q997" i="1"/>
  <c r="U997" i="1"/>
  <c r="Y997" i="1" s="1"/>
  <c r="V997" i="1"/>
  <c r="W997" i="1"/>
  <c r="H997" i="1"/>
  <c r="S997" i="1" s="1"/>
  <c r="T997" i="1" s="1"/>
  <c r="Q996" i="1"/>
  <c r="U996" i="1"/>
  <c r="Y996" i="1" s="1"/>
  <c r="V996" i="1"/>
  <c r="W996" i="1"/>
  <c r="H996" i="1"/>
  <c r="R996" i="1" s="1"/>
  <c r="Q995" i="1"/>
  <c r="U995" i="1"/>
  <c r="Y995" i="1" s="1"/>
  <c r="V995" i="1"/>
  <c r="W995" i="1"/>
  <c r="H995" i="1"/>
  <c r="S995" i="1" s="1"/>
  <c r="T995" i="1" s="1"/>
  <c r="Q994" i="1"/>
  <c r="U994" i="1"/>
  <c r="Y994" i="1" s="1"/>
  <c r="V994" i="1"/>
  <c r="W994" i="1"/>
  <c r="H994" i="1"/>
  <c r="R994" i="1" s="1"/>
  <c r="Q993" i="1"/>
  <c r="U993" i="1"/>
  <c r="Y993" i="1" s="1"/>
  <c r="V993" i="1"/>
  <c r="W993" i="1"/>
  <c r="H993" i="1"/>
  <c r="S993" i="1" s="1"/>
  <c r="T993" i="1" s="1"/>
  <c r="Q992" i="1"/>
  <c r="U992" i="1"/>
  <c r="Y992" i="1" s="1"/>
  <c r="V992" i="1"/>
  <c r="W992" i="1"/>
  <c r="H992" i="1"/>
  <c r="S992" i="1" s="1"/>
  <c r="T992" i="1" s="1"/>
  <c r="Q991" i="1"/>
  <c r="U991" i="1"/>
  <c r="Y991" i="1" s="1"/>
  <c r="V991" i="1"/>
  <c r="W991" i="1"/>
  <c r="H991" i="1"/>
  <c r="R991" i="1" s="1"/>
  <c r="Q990" i="1"/>
  <c r="U990" i="1"/>
  <c r="Y990" i="1" s="1"/>
  <c r="V990" i="1"/>
  <c r="W990" i="1"/>
  <c r="H990" i="1"/>
  <c r="R990" i="1" s="1"/>
  <c r="Q989" i="1"/>
  <c r="U989" i="1"/>
  <c r="Y989" i="1" s="1"/>
  <c r="V989" i="1"/>
  <c r="W989" i="1"/>
  <c r="H989" i="1"/>
  <c r="S989" i="1" s="1"/>
  <c r="T989" i="1" s="1"/>
  <c r="Q988" i="1"/>
  <c r="U988" i="1"/>
  <c r="Y988" i="1" s="1"/>
  <c r="V988" i="1"/>
  <c r="W988" i="1"/>
  <c r="H988" i="1"/>
  <c r="S988" i="1" s="1"/>
  <c r="T988" i="1" s="1"/>
  <c r="Q987" i="1"/>
  <c r="U987" i="1"/>
  <c r="Y987" i="1" s="1"/>
  <c r="V987" i="1"/>
  <c r="W987" i="1"/>
  <c r="H987" i="1"/>
  <c r="R987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V132" i="1"/>
  <c r="H133" i="1"/>
  <c r="Q133" i="1"/>
  <c r="U133" i="1"/>
  <c r="X133" i="1" s="1"/>
  <c r="V133" i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Q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Z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3" i="1"/>
  <c r="R853" i="1" s="1"/>
  <c r="Q853" i="1"/>
  <c r="U853" i="1"/>
  <c r="V853" i="1"/>
  <c r="W853" i="1"/>
  <c r="H854" i="1"/>
  <c r="Q854" i="1"/>
  <c r="U854" i="1"/>
  <c r="Y854" i="1" s="1"/>
  <c r="V854" i="1"/>
  <c r="W854" i="1"/>
  <c r="H855" i="1"/>
  <c r="S855" i="1" s="1"/>
  <c r="T855" i="1" s="1"/>
  <c r="Q855" i="1"/>
  <c r="U855" i="1"/>
  <c r="X855" i="1" s="1"/>
  <c r="V855" i="1"/>
  <c r="W855" i="1"/>
  <c r="H856" i="1"/>
  <c r="Q856" i="1"/>
  <c r="U856" i="1"/>
  <c r="X856" i="1" s="1"/>
  <c r="V856" i="1"/>
  <c r="W856" i="1"/>
  <c r="H857" i="1"/>
  <c r="R857" i="1" s="1"/>
  <c r="Q857" i="1"/>
  <c r="U857" i="1"/>
  <c r="V857" i="1"/>
  <c r="W857" i="1"/>
  <c r="H858" i="1"/>
  <c r="R858" i="1" s="1"/>
  <c r="Q858" i="1"/>
  <c r="U858" i="1"/>
  <c r="X858" i="1" s="1"/>
  <c r="V858" i="1"/>
  <c r="W858" i="1"/>
  <c r="H859" i="1"/>
  <c r="Q859" i="1"/>
  <c r="U859" i="1"/>
  <c r="X859" i="1" s="1"/>
  <c r="V859" i="1"/>
  <c r="W859" i="1"/>
  <c r="H861" i="1"/>
  <c r="R861" i="1" s="1"/>
  <c r="Q861" i="1"/>
  <c r="U861" i="1"/>
  <c r="Y861" i="1" s="1"/>
  <c r="V861" i="1"/>
  <c r="W861" i="1"/>
  <c r="H862" i="1"/>
  <c r="R862" i="1" s="1"/>
  <c r="Q862" i="1"/>
  <c r="U862" i="1"/>
  <c r="Y862" i="1" s="1"/>
  <c r="V862" i="1"/>
  <c r="W862" i="1"/>
  <c r="H863" i="1"/>
  <c r="S863" i="1" s="1"/>
  <c r="T863" i="1" s="1"/>
  <c r="Q863" i="1"/>
  <c r="U863" i="1"/>
  <c r="V863" i="1"/>
  <c r="W863" i="1"/>
  <c r="H864" i="1"/>
  <c r="Q864" i="1"/>
  <c r="U864" i="1"/>
  <c r="X864" i="1" s="1"/>
  <c r="V864" i="1"/>
  <c r="W864" i="1"/>
  <c r="H865" i="1"/>
  <c r="S865" i="1" s="1"/>
  <c r="T865" i="1" s="1"/>
  <c r="Q865" i="1"/>
  <c r="U865" i="1"/>
  <c r="Y865" i="1" s="1"/>
  <c r="V865" i="1"/>
  <c r="W865" i="1"/>
  <c r="H866" i="1"/>
  <c r="R866" i="1" s="1"/>
  <c r="Q866" i="1"/>
  <c r="U866" i="1"/>
  <c r="X866" i="1" s="1"/>
  <c r="V866" i="1"/>
  <c r="W866" i="1"/>
  <c r="H985" i="1"/>
  <c r="S985" i="1" s="1"/>
  <c r="T985" i="1" s="1"/>
  <c r="Q985" i="1"/>
  <c r="U985" i="1"/>
  <c r="Y985" i="1" s="1"/>
  <c r="V985" i="1"/>
  <c r="W985" i="1"/>
  <c r="H872" i="1"/>
  <c r="R872" i="1" s="1"/>
  <c r="Q872" i="1"/>
  <c r="U872" i="1"/>
  <c r="Y872" i="1" s="1"/>
  <c r="V872" i="1"/>
  <c r="W872" i="1"/>
  <c r="H873" i="1"/>
  <c r="S873" i="1" s="1"/>
  <c r="T873" i="1" s="1"/>
  <c r="Q873" i="1"/>
  <c r="U873" i="1"/>
  <c r="Y873" i="1" s="1"/>
  <c r="V873" i="1"/>
  <c r="W873" i="1"/>
  <c r="H874" i="1"/>
  <c r="Q874" i="1"/>
  <c r="U874" i="1"/>
  <c r="Y874" i="1" s="1"/>
  <c r="V874" i="1"/>
  <c r="W874" i="1"/>
  <c r="H875" i="1"/>
  <c r="S875" i="1" s="1"/>
  <c r="T875" i="1" s="1"/>
  <c r="Q875" i="1"/>
  <c r="U875" i="1"/>
  <c r="X875" i="1" s="1"/>
  <c r="V875" i="1"/>
  <c r="W875" i="1"/>
  <c r="H876" i="1"/>
  <c r="S876" i="1" s="1"/>
  <c r="T876" i="1" s="1"/>
  <c r="Q876" i="1"/>
  <c r="U876" i="1"/>
  <c r="X876" i="1" s="1"/>
  <c r="V876" i="1"/>
  <c r="W876" i="1"/>
  <c r="H877" i="1"/>
  <c r="R877" i="1" s="1"/>
  <c r="Q877" i="1"/>
  <c r="U877" i="1"/>
  <c r="X877" i="1" s="1"/>
  <c r="V877" i="1"/>
  <c r="W877" i="1"/>
  <c r="H878" i="1"/>
  <c r="Q878" i="1"/>
  <c r="U878" i="1"/>
  <c r="X878" i="1" s="1"/>
  <c r="V878" i="1"/>
  <c r="W878" i="1"/>
  <c r="H879" i="1"/>
  <c r="S879" i="1" s="1"/>
  <c r="T879" i="1" s="1"/>
  <c r="Q879" i="1"/>
  <c r="U879" i="1"/>
  <c r="X879" i="1" s="1"/>
  <c r="V879" i="1"/>
  <c r="W879" i="1"/>
  <c r="H880" i="1"/>
  <c r="R880" i="1" s="1"/>
  <c r="Q880" i="1"/>
  <c r="U880" i="1"/>
  <c r="Y880" i="1" s="1"/>
  <c r="V880" i="1"/>
  <c r="W880" i="1"/>
  <c r="H881" i="1"/>
  <c r="R881" i="1" s="1"/>
  <c r="Q881" i="1"/>
  <c r="U881" i="1"/>
  <c r="Y881" i="1" s="1"/>
  <c r="V881" i="1"/>
  <c r="W881" i="1"/>
  <c r="H882" i="1"/>
  <c r="Q882" i="1"/>
  <c r="U882" i="1"/>
  <c r="Y882" i="1" s="1"/>
  <c r="V882" i="1"/>
  <c r="W882" i="1"/>
  <c r="H883" i="1"/>
  <c r="R883" i="1" s="1"/>
  <c r="Q883" i="1"/>
  <c r="U883" i="1"/>
  <c r="X883" i="1" s="1"/>
  <c r="V883" i="1"/>
  <c r="W883" i="1"/>
  <c r="H884" i="1"/>
  <c r="Q884" i="1"/>
  <c r="U884" i="1"/>
  <c r="X884" i="1" s="1"/>
  <c r="V884" i="1"/>
  <c r="W884" i="1"/>
  <c r="H885" i="1"/>
  <c r="R885" i="1" s="1"/>
  <c r="Q885" i="1"/>
  <c r="U885" i="1"/>
  <c r="X885" i="1" s="1"/>
  <c r="V885" i="1"/>
  <c r="W885" i="1"/>
  <c r="H886" i="1"/>
  <c r="R886" i="1" s="1"/>
  <c r="Q886" i="1"/>
  <c r="U886" i="1"/>
  <c r="X886" i="1" s="1"/>
  <c r="V886" i="1"/>
  <c r="W886" i="1"/>
  <c r="H887" i="1"/>
  <c r="S887" i="1" s="1"/>
  <c r="T887" i="1" s="1"/>
  <c r="Q887" i="1"/>
  <c r="U887" i="1"/>
  <c r="X887" i="1" s="1"/>
  <c r="V887" i="1"/>
  <c r="W887" i="1"/>
  <c r="H888" i="1"/>
  <c r="S888" i="1" s="1"/>
  <c r="T888" i="1" s="1"/>
  <c r="Q888" i="1"/>
  <c r="U888" i="1"/>
  <c r="Y888" i="1" s="1"/>
  <c r="V888" i="1"/>
  <c r="W888" i="1"/>
  <c r="H889" i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R891" i="1" s="1"/>
  <c r="Q891" i="1"/>
  <c r="U891" i="1"/>
  <c r="V891" i="1"/>
  <c r="W891" i="1"/>
  <c r="H892" i="1"/>
  <c r="Q892" i="1"/>
  <c r="U892" i="1"/>
  <c r="X892" i="1" s="1"/>
  <c r="V892" i="1"/>
  <c r="W892" i="1"/>
  <c r="H893" i="1"/>
  <c r="R893" i="1" s="1"/>
  <c r="Q893" i="1"/>
  <c r="U893" i="1"/>
  <c r="X893" i="1" s="1"/>
  <c r="V893" i="1"/>
  <c r="W893" i="1"/>
  <c r="H894" i="1"/>
  <c r="Q894" i="1"/>
  <c r="U894" i="1"/>
  <c r="Y894" i="1" s="1"/>
  <c r="V894" i="1"/>
  <c r="W894" i="1"/>
  <c r="H895" i="1"/>
  <c r="S895" i="1" s="1"/>
  <c r="T895" i="1" s="1"/>
  <c r="Q895" i="1"/>
  <c r="U895" i="1"/>
  <c r="X895" i="1" s="1"/>
  <c r="V895" i="1"/>
  <c r="W895" i="1"/>
  <c r="H896" i="1"/>
  <c r="R896" i="1" s="1"/>
  <c r="Q896" i="1"/>
  <c r="U896" i="1"/>
  <c r="V896" i="1"/>
  <c r="W896" i="1"/>
  <c r="H897" i="1"/>
  <c r="S897" i="1" s="1"/>
  <c r="T897" i="1" s="1"/>
  <c r="Q897" i="1"/>
  <c r="U897" i="1"/>
  <c r="X897" i="1" s="1"/>
  <c r="V897" i="1"/>
  <c r="W897" i="1"/>
  <c r="H898" i="1"/>
  <c r="S898" i="1" s="1"/>
  <c r="T898" i="1" s="1"/>
  <c r="Q898" i="1"/>
  <c r="U898" i="1"/>
  <c r="Y898" i="1" s="1"/>
  <c r="V898" i="1"/>
  <c r="W898" i="1"/>
  <c r="H899" i="1"/>
  <c r="R899" i="1" s="1"/>
  <c r="Q899" i="1"/>
  <c r="U899" i="1"/>
  <c r="X899" i="1" s="1"/>
  <c r="V899" i="1"/>
  <c r="W899" i="1"/>
  <c r="H900" i="1"/>
  <c r="S900" i="1" s="1"/>
  <c r="T900" i="1" s="1"/>
  <c r="Q900" i="1"/>
  <c r="U900" i="1"/>
  <c r="V900" i="1"/>
  <c r="W900" i="1"/>
  <c r="H901" i="1"/>
  <c r="R901" i="1" s="1"/>
  <c r="Q901" i="1"/>
  <c r="U901" i="1"/>
  <c r="X901" i="1" s="1"/>
  <c r="V901" i="1"/>
  <c r="W901" i="1"/>
  <c r="H902" i="1"/>
  <c r="Q902" i="1"/>
  <c r="U902" i="1"/>
  <c r="Y902" i="1" s="1"/>
  <c r="V902" i="1"/>
  <c r="W902" i="1"/>
  <c r="H903" i="1"/>
  <c r="S903" i="1" s="1"/>
  <c r="T903" i="1" s="1"/>
  <c r="Q903" i="1"/>
  <c r="U903" i="1"/>
  <c r="Y903" i="1" s="1"/>
  <c r="V903" i="1"/>
  <c r="W903" i="1"/>
  <c r="H904" i="1"/>
  <c r="R904" i="1" s="1"/>
  <c r="Q904" i="1"/>
  <c r="U904" i="1"/>
  <c r="X904" i="1" s="1"/>
  <c r="V904" i="1"/>
  <c r="W904" i="1"/>
  <c r="H905" i="1"/>
  <c r="S905" i="1" s="1"/>
  <c r="T905" i="1" s="1"/>
  <c r="Q905" i="1"/>
  <c r="U905" i="1"/>
  <c r="Y905" i="1" s="1"/>
  <c r="V905" i="1"/>
  <c r="W905" i="1"/>
  <c r="H906" i="1"/>
  <c r="S906" i="1" s="1"/>
  <c r="T906" i="1" s="1"/>
  <c r="Q906" i="1"/>
  <c r="U906" i="1"/>
  <c r="Y906" i="1" s="1"/>
  <c r="V906" i="1"/>
  <c r="W906" i="1"/>
  <c r="H907" i="1"/>
  <c r="S907" i="1" s="1"/>
  <c r="T907" i="1" s="1"/>
  <c r="Q907" i="1"/>
  <c r="U907" i="1"/>
  <c r="V907" i="1"/>
  <c r="W907" i="1"/>
  <c r="H908" i="1"/>
  <c r="S908" i="1" s="1"/>
  <c r="T908" i="1" s="1"/>
  <c r="Q908" i="1"/>
  <c r="U908" i="1"/>
  <c r="X908" i="1" s="1"/>
  <c r="V908" i="1"/>
  <c r="W908" i="1"/>
  <c r="H909" i="1"/>
  <c r="R909" i="1" s="1"/>
  <c r="Q909" i="1"/>
  <c r="U909" i="1"/>
  <c r="V909" i="1"/>
  <c r="W909" i="1"/>
  <c r="H910" i="1"/>
  <c r="S910" i="1" s="1"/>
  <c r="T910" i="1" s="1"/>
  <c r="Q910" i="1"/>
  <c r="U910" i="1"/>
  <c r="X910" i="1" s="1"/>
  <c r="V910" i="1"/>
  <c r="W910" i="1"/>
  <c r="H911" i="1"/>
  <c r="Q911" i="1"/>
  <c r="U911" i="1"/>
  <c r="X911" i="1" s="1"/>
  <c r="V911" i="1"/>
  <c r="W911" i="1"/>
  <c r="H912" i="1"/>
  <c r="S912" i="1" s="1"/>
  <c r="T912" i="1" s="1"/>
  <c r="Q912" i="1"/>
  <c r="U912" i="1"/>
  <c r="V912" i="1"/>
  <c r="W912" i="1"/>
  <c r="H913" i="1"/>
  <c r="R913" i="1" s="1"/>
  <c r="Q913" i="1"/>
  <c r="U913" i="1"/>
  <c r="Y913" i="1" s="1"/>
  <c r="V913" i="1"/>
  <c r="W913" i="1"/>
  <c r="H914" i="1"/>
  <c r="R914" i="1" s="1"/>
  <c r="Q914" i="1"/>
  <c r="U914" i="1"/>
  <c r="V914" i="1"/>
  <c r="W914" i="1"/>
  <c r="H915" i="1"/>
  <c r="Q915" i="1"/>
  <c r="U915" i="1"/>
  <c r="Y915" i="1" s="1"/>
  <c r="V915" i="1"/>
  <c r="W915" i="1"/>
  <c r="H916" i="1"/>
  <c r="Q916" i="1"/>
  <c r="U916" i="1"/>
  <c r="Y916" i="1" s="1"/>
  <c r="V916" i="1"/>
  <c r="W916" i="1"/>
  <c r="H917" i="1"/>
  <c r="R917" i="1" s="1"/>
  <c r="Q917" i="1"/>
  <c r="U917" i="1"/>
  <c r="X917" i="1" s="1"/>
  <c r="V917" i="1"/>
  <c r="W917" i="1"/>
  <c r="H918" i="1"/>
  <c r="S918" i="1" s="1"/>
  <c r="T918" i="1" s="1"/>
  <c r="Q918" i="1"/>
  <c r="U918" i="1"/>
  <c r="Y918" i="1" s="1"/>
  <c r="V918" i="1"/>
  <c r="W918" i="1"/>
  <c r="H919" i="1"/>
  <c r="R919" i="1" s="1"/>
  <c r="Q919" i="1"/>
  <c r="U919" i="1"/>
  <c r="X919" i="1" s="1"/>
  <c r="V919" i="1"/>
  <c r="W919" i="1"/>
  <c r="H920" i="1"/>
  <c r="S920" i="1" s="1"/>
  <c r="T920" i="1" s="1"/>
  <c r="Q920" i="1"/>
  <c r="U920" i="1"/>
  <c r="Y920" i="1" s="1"/>
  <c r="V920" i="1"/>
  <c r="W920" i="1"/>
  <c r="H921" i="1"/>
  <c r="R921" i="1" s="1"/>
  <c r="Q921" i="1"/>
  <c r="U921" i="1"/>
  <c r="X921" i="1" s="1"/>
  <c r="V921" i="1"/>
  <c r="W921" i="1"/>
  <c r="H922" i="1"/>
  <c r="R922" i="1" s="1"/>
  <c r="Q922" i="1"/>
  <c r="U922" i="1"/>
  <c r="X922" i="1" s="1"/>
  <c r="V922" i="1"/>
  <c r="W922" i="1"/>
  <c r="H923" i="1"/>
  <c r="S923" i="1" s="1"/>
  <c r="T923" i="1" s="1"/>
  <c r="Q923" i="1"/>
  <c r="U923" i="1"/>
  <c r="X923" i="1" s="1"/>
  <c r="V923" i="1"/>
  <c r="W923" i="1"/>
  <c r="H924" i="1"/>
  <c r="Q924" i="1"/>
  <c r="U924" i="1"/>
  <c r="Y924" i="1" s="1"/>
  <c r="V924" i="1"/>
  <c r="W924" i="1"/>
  <c r="H925" i="1"/>
  <c r="R925" i="1" s="1"/>
  <c r="Q925" i="1"/>
  <c r="U925" i="1"/>
  <c r="X925" i="1" s="1"/>
  <c r="V925" i="1"/>
  <c r="W925" i="1"/>
  <c r="H926" i="1"/>
  <c r="S926" i="1" s="1"/>
  <c r="T926" i="1" s="1"/>
  <c r="Q926" i="1"/>
  <c r="U926" i="1"/>
  <c r="Y926" i="1" s="1"/>
  <c r="V926" i="1"/>
  <c r="W926" i="1"/>
  <c r="H927" i="1"/>
  <c r="R927" i="1" s="1"/>
  <c r="Q927" i="1"/>
  <c r="U927" i="1"/>
  <c r="V927" i="1"/>
  <c r="W927" i="1"/>
  <c r="H928" i="1"/>
  <c r="S928" i="1" s="1"/>
  <c r="T928" i="1" s="1"/>
  <c r="Q928" i="1"/>
  <c r="U928" i="1"/>
  <c r="X928" i="1" s="1"/>
  <c r="V928" i="1"/>
  <c r="W928" i="1"/>
  <c r="H929" i="1"/>
  <c r="R929" i="1" s="1"/>
  <c r="Q929" i="1"/>
  <c r="U929" i="1"/>
  <c r="X929" i="1" s="1"/>
  <c r="V929" i="1"/>
  <c r="W929" i="1"/>
  <c r="H930" i="1"/>
  <c r="Q930" i="1"/>
  <c r="U930" i="1"/>
  <c r="X930" i="1" s="1"/>
  <c r="V930" i="1"/>
  <c r="W930" i="1"/>
  <c r="H931" i="1"/>
  <c r="S931" i="1" s="1"/>
  <c r="T931" i="1" s="1"/>
  <c r="Q931" i="1"/>
  <c r="U931" i="1"/>
  <c r="X931" i="1" s="1"/>
  <c r="V931" i="1"/>
  <c r="W931" i="1"/>
  <c r="H932" i="1"/>
  <c r="Q932" i="1"/>
  <c r="U932" i="1"/>
  <c r="Y932" i="1" s="1"/>
  <c r="V932" i="1"/>
  <c r="W932" i="1"/>
  <c r="H933" i="1"/>
  <c r="R933" i="1" s="1"/>
  <c r="Q933" i="1"/>
  <c r="U933" i="1"/>
  <c r="X933" i="1" s="1"/>
  <c r="V933" i="1"/>
  <c r="W933" i="1"/>
  <c r="H934" i="1"/>
  <c r="Q934" i="1"/>
  <c r="U934" i="1"/>
  <c r="Y934" i="1" s="1"/>
  <c r="V934" i="1"/>
  <c r="W934" i="1"/>
  <c r="H935" i="1"/>
  <c r="R935" i="1" s="1"/>
  <c r="Q935" i="1"/>
  <c r="U935" i="1"/>
  <c r="V935" i="1"/>
  <c r="W935" i="1"/>
  <c r="H936" i="1"/>
  <c r="S936" i="1" s="1"/>
  <c r="T936" i="1" s="1"/>
  <c r="Q936" i="1"/>
  <c r="U936" i="1"/>
  <c r="Y936" i="1" s="1"/>
  <c r="V936" i="1"/>
  <c r="W936" i="1"/>
  <c r="H937" i="1"/>
  <c r="R937" i="1" s="1"/>
  <c r="Q937" i="1"/>
  <c r="U937" i="1"/>
  <c r="X937" i="1" s="1"/>
  <c r="V937" i="1"/>
  <c r="W937" i="1"/>
  <c r="H938" i="1"/>
  <c r="R938" i="1" s="1"/>
  <c r="Q938" i="1"/>
  <c r="U938" i="1"/>
  <c r="X938" i="1" s="1"/>
  <c r="V938" i="1"/>
  <c r="W938" i="1"/>
  <c r="H939" i="1"/>
  <c r="S939" i="1" s="1"/>
  <c r="T939" i="1" s="1"/>
  <c r="Q939" i="1"/>
  <c r="U939" i="1"/>
  <c r="X939" i="1" s="1"/>
  <c r="V939" i="1"/>
  <c r="W939" i="1"/>
  <c r="H940" i="1"/>
  <c r="Q940" i="1"/>
  <c r="U940" i="1"/>
  <c r="Y940" i="1" s="1"/>
  <c r="V940" i="1"/>
  <c r="W940" i="1"/>
  <c r="H941" i="1"/>
  <c r="R941" i="1" s="1"/>
  <c r="Q941" i="1"/>
  <c r="U941" i="1"/>
  <c r="Y941" i="1" s="1"/>
  <c r="V941" i="1"/>
  <c r="W941" i="1"/>
  <c r="H942" i="1"/>
  <c r="S942" i="1" s="1"/>
  <c r="T942" i="1" s="1"/>
  <c r="Q942" i="1"/>
  <c r="U942" i="1"/>
  <c r="Y942" i="1" s="1"/>
  <c r="V942" i="1"/>
  <c r="W942" i="1"/>
  <c r="H943" i="1"/>
  <c r="R943" i="1" s="1"/>
  <c r="Q943" i="1"/>
  <c r="U943" i="1"/>
  <c r="X943" i="1" s="1"/>
  <c r="V943" i="1"/>
  <c r="W943" i="1"/>
  <c r="H944" i="1"/>
  <c r="S944" i="1" s="1"/>
  <c r="T944" i="1" s="1"/>
  <c r="Q944" i="1"/>
  <c r="U944" i="1"/>
  <c r="X944" i="1" s="1"/>
  <c r="V944" i="1"/>
  <c r="W944" i="1"/>
  <c r="H945" i="1"/>
  <c r="S945" i="1" s="1"/>
  <c r="T945" i="1" s="1"/>
  <c r="Q945" i="1"/>
  <c r="U945" i="1"/>
  <c r="X945" i="1" s="1"/>
  <c r="V945" i="1"/>
  <c r="W945" i="1"/>
  <c r="H946" i="1"/>
  <c r="Q946" i="1"/>
  <c r="U946" i="1"/>
  <c r="X946" i="1" s="1"/>
  <c r="V946" i="1"/>
  <c r="W946" i="1"/>
  <c r="H947" i="1"/>
  <c r="S947" i="1" s="1"/>
  <c r="T947" i="1" s="1"/>
  <c r="Q947" i="1"/>
  <c r="U947" i="1"/>
  <c r="Y947" i="1" s="1"/>
  <c r="V947" i="1"/>
  <c r="W947" i="1"/>
  <c r="H948" i="1"/>
  <c r="R948" i="1" s="1"/>
  <c r="Q948" i="1"/>
  <c r="U948" i="1"/>
  <c r="X948" i="1" s="1"/>
  <c r="V948" i="1"/>
  <c r="W948" i="1"/>
  <c r="H949" i="1"/>
  <c r="R949" i="1" s="1"/>
  <c r="Q949" i="1"/>
  <c r="U949" i="1"/>
  <c r="X949" i="1" s="1"/>
  <c r="V949" i="1"/>
  <c r="W949" i="1"/>
  <c r="H950" i="1"/>
  <c r="R950" i="1" s="1"/>
  <c r="Q950" i="1"/>
  <c r="U950" i="1"/>
  <c r="Y950" i="1" s="1"/>
  <c r="V950" i="1"/>
  <c r="W950" i="1"/>
  <c r="H951" i="1"/>
  <c r="R951" i="1" s="1"/>
  <c r="Q951" i="1"/>
  <c r="U951" i="1"/>
  <c r="X951" i="1" s="1"/>
  <c r="V951" i="1"/>
  <c r="W951" i="1"/>
  <c r="H952" i="1"/>
  <c r="S952" i="1" s="1"/>
  <c r="T952" i="1" s="1"/>
  <c r="Q952" i="1"/>
  <c r="U952" i="1"/>
  <c r="X952" i="1" s="1"/>
  <c r="V952" i="1"/>
  <c r="W952" i="1"/>
  <c r="H953" i="1"/>
  <c r="S953" i="1" s="1"/>
  <c r="T953" i="1" s="1"/>
  <c r="Q953" i="1"/>
  <c r="U953" i="1"/>
  <c r="X953" i="1" s="1"/>
  <c r="V953" i="1"/>
  <c r="W953" i="1"/>
  <c r="H954" i="1"/>
  <c r="S954" i="1" s="1"/>
  <c r="T954" i="1" s="1"/>
  <c r="Q954" i="1"/>
  <c r="U954" i="1"/>
  <c r="Y954" i="1" s="1"/>
  <c r="V954" i="1"/>
  <c r="W954" i="1"/>
  <c r="H955" i="1"/>
  <c r="R955" i="1" s="1"/>
  <c r="Q955" i="1"/>
  <c r="U955" i="1"/>
  <c r="X955" i="1" s="1"/>
  <c r="V955" i="1"/>
  <c r="W955" i="1"/>
  <c r="H956" i="1"/>
  <c r="S956" i="1" s="1"/>
  <c r="T956" i="1" s="1"/>
  <c r="Q956" i="1"/>
  <c r="U956" i="1"/>
  <c r="X956" i="1" s="1"/>
  <c r="V956" i="1"/>
  <c r="W956" i="1"/>
  <c r="H957" i="1"/>
  <c r="R957" i="1" s="1"/>
  <c r="Q957" i="1"/>
  <c r="U957" i="1"/>
  <c r="X957" i="1" s="1"/>
  <c r="V957" i="1"/>
  <c r="W957" i="1"/>
  <c r="H958" i="1"/>
  <c r="R958" i="1" s="1"/>
  <c r="Q958" i="1"/>
  <c r="U958" i="1"/>
  <c r="Y958" i="1" s="1"/>
  <c r="V958" i="1"/>
  <c r="W958" i="1"/>
  <c r="H959" i="1"/>
  <c r="R959" i="1" s="1"/>
  <c r="Q959" i="1"/>
  <c r="U959" i="1"/>
  <c r="X959" i="1" s="1"/>
  <c r="V959" i="1"/>
  <c r="W959" i="1"/>
  <c r="H960" i="1"/>
  <c r="R960" i="1" s="1"/>
  <c r="Q960" i="1"/>
  <c r="U960" i="1"/>
  <c r="X960" i="1" s="1"/>
  <c r="V960" i="1"/>
  <c r="W960" i="1"/>
  <c r="H961" i="1"/>
  <c r="R961" i="1" s="1"/>
  <c r="Q961" i="1"/>
  <c r="U961" i="1"/>
  <c r="X961" i="1" s="1"/>
  <c r="V961" i="1"/>
  <c r="W961" i="1"/>
  <c r="H962" i="1"/>
  <c r="S962" i="1" s="1"/>
  <c r="T962" i="1" s="1"/>
  <c r="Q962" i="1"/>
  <c r="U962" i="1"/>
  <c r="Y962" i="1" s="1"/>
  <c r="V962" i="1"/>
  <c r="W962" i="1"/>
  <c r="H963" i="1"/>
  <c r="R963" i="1" s="1"/>
  <c r="Q963" i="1"/>
  <c r="U963" i="1"/>
  <c r="X963" i="1" s="1"/>
  <c r="V963" i="1"/>
  <c r="W963" i="1"/>
  <c r="H964" i="1"/>
  <c r="S964" i="1" s="1"/>
  <c r="T964" i="1" s="1"/>
  <c r="Q964" i="1"/>
  <c r="U964" i="1"/>
  <c r="X964" i="1" s="1"/>
  <c r="V964" i="1"/>
  <c r="W964" i="1"/>
  <c r="H965" i="1"/>
  <c r="S965" i="1" s="1"/>
  <c r="T965" i="1" s="1"/>
  <c r="Q965" i="1"/>
  <c r="U965" i="1"/>
  <c r="X965" i="1" s="1"/>
  <c r="V965" i="1"/>
  <c r="W965" i="1"/>
  <c r="H966" i="1"/>
  <c r="S966" i="1" s="1"/>
  <c r="T966" i="1" s="1"/>
  <c r="Q966" i="1"/>
  <c r="U966" i="1"/>
  <c r="Y966" i="1" s="1"/>
  <c r="V966" i="1"/>
  <c r="W966" i="1"/>
  <c r="H967" i="1"/>
  <c r="R967" i="1" s="1"/>
  <c r="Q967" i="1"/>
  <c r="U967" i="1"/>
  <c r="X967" i="1" s="1"/>
  <c r="V967" i="1"/>
  <c r="W967" i="1"/>
  <c r="H968" i="1"/>
  <c r="R968" i="1" s="1"/>
  <c r="Q968" i="1"/>
  <c r="U968" i="1"/>
  <c r="X968" i="1" s="1"/>
  <c r="V968" i="1"/>
  <c r="W968" i="1"/>
  <c r="H969" i="1"/>
  <c r="R969" i="1" s="1"/>
  <c r="Q969" i="1"/>
  <c r="U969" i="1"/>
  <c r="X969" i="1" s="1"/>
  <c r="V969" i="1"/>
  <c r="W969" i="1"/>
  <c r="H970" i="1"/>
  <c r="S970" i="1" s="1"/>
  <c r="T970" i="1" s="1"/>
  <c r="Q970" i="1"/>
  <c r="U970" i="1"/>
  <c r="Y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X972" i="1" s="1"/>
  <c r="V972" i="1"/>
  <c r="W972" i="1"/>
  <c r="H973" i="1"/>
  <c r="R973" i="1" s="1"/>
  <c r="Q973" i="1"/>
  <c r="U973" i="1"/>
  <c r="X973" i="1" s="1"/>
  <c r="V973" i="1"/>
  <c r="W973" i="1"/>
  <c r="H974" i="1"/>
  <c r="R974" i="1" s="1"/>
  <c r="Q974" i="1"/>
  <c r="U974" i="1"/>
  <c r="Y974" i="1" s="1"/>
  <c r="V974" i="1"/>
  <c r="W974" i="1"/>
  <c r="H975" i="1"/>
  <c r="R975" i="1" s="1"/>
  <c r="Q975" i="1"/>
  <c r="U975" i="1"/>
  <c r="Y975" i="1" s="1"/>
  <c r="V975" i="1"/>
  <c r="W975" i="1"/>
  <c r="H976" i="1"/>
  <c r="R976" i="1" s="1"/>
  <c r="Q976" i="1"/>
  <c r="U976" i="1"/>
  <c r="X976" i="1" s="1"/>
  <c r="V976" i="1"/>
  <c r="W976" i="1"/>
  <c r="H977" i="1"/>
  <c r="S977" i="1" s="1"/>
  <c r="T977" i="1" s="1"/>
  <c r="Q977" i="1"/>
  <c r="U977" i="1"/>
  <c r="X977" i="1" s="1"/>
  <c r="V977" i="1"/>
  <c r="W977" i="1"/>
  <c r="H978" i="1"/>
  <c r="S978" i="1" s="1"/>
  <c r="T978" i="1" s="1"/>
  <c r="Q978" i="1"/>
  <c r="U978" i="1"/>
  <c r="Y978" i="1" s="1"/>
  <c r="V978" i="1"/>
  <c r="W978" i="1"/>
  <c r="H979" i="1"/>
  <c r="R979" i="1" s="1"/>
  <c r="Q979" i="1"/>
  <c r="U979" i="1"/>
  <c r="X979" i="1" s="1"/>
  <c r="V979" i="1"/>
  <c r="W979" i="1"/>
  <c r="H980" i="1"/>
  <c r="S980" i="1" s="1"/>
  <c r="T980" i="1" s="1"/>
  <c r="Q980" i="1"/>
  <c r="U980" i="1"/>
  <c r="X980" i="1" s="1"/>
  <c r="V980" i="1"/>
  <c r="W980" i="1"/>
  <c r="H981" i="1"/>
  <c r="R981" i="1" s="1"/>
  <c r="Q981" i="1"/>
  <c r="U981" i="1"/>
  <c r="X981" i="1" s="1"/>
  <c r="V981" i="1"/>
  <c r="W981" i="1"/>
  <c r="H982" i="1"/>
  <c r="R982" i="1" s="1"/>
  <c r="Q982" i="1"/>
  <c r="U982" i="1"/>
  <c r="Y982" i="1" s="1"/>
  <c r="V982" i="1"/>
  <c r="W982" i="1"/>
  <c r="H983" i="1"/>
  <c r="R983" i="1" s="1"/>
  <c r="Q983" i="1"/>
  <c r="U983" i="1"/>
  <c r="X983" i="1" s="1"/>
  <c r="V983" i="1"/>
  <c r="W983" i="1"/>
  <c r="H984" i="1"/>
  <c r="R984" i="1" s="1"/>
  <c r="Q984" i="1"/>
  <c r="U984" i="1"/>
  <c r="X984" i="1" s="1"/>
  <c r="V984" i="1"/>
  <c r="W984" i="1"/>
  <c r="N5137" i="6"/>
  <c r="N5138" i="6"/>
  <c r="N5136" i="6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W869" i="1"/>
  <c r="V869" i="1"/>
  <c r="U869" i="1"/>
  <c r="Y869" i="1" s="1"/>
  <c r="Q869" i="1"/>
  <c r="H869" i="1"/>
  <c r="W868" i="1"/>
  <c r="V868" i="1"/>
  <c r="U868" i="1"/>
  <c r="Y868" i="1" s="1"/>
  <c r="Q868" i="1"/>
  <c r="H868" i="1"/>
  <c r="S868" i="1" s="1"/>
  <c r="T868" i="1" s="1"/>
  <c r="W867" i="1"/>
  <c r="V867" i="1"/>
  <c r="U867" i="1"/>
  <c r="Y867" i="1" s="1"/>
  <c r="Q867" i="1"/>
  <c r="H867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0" i="1"/>
  <c r="V860" i="1"/>
  <c r="U860" i="1"/>
  <c r="Y860" i="1" s="1"/>
  <c r="Q860" i="1"/>
  <c r="H860" i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622" i="1" l="1"/>
  <c r="T622" i="1" s="1"/>
  <c r="R622" i="1"/>
  <c r="R1016" i="1"/>
  <c r="S1016" i="1"/>
  <c r="T1016" i="1" s="1"/>
  <c r="X1016" i="1"/>
  <c r="Z1016" i="1" s="1"/>
  <c r="R1015" i="1"/>
  <c r="X1015" i="1"/>
  <c r="Z1015" i="1" s="1"/>
  <c r="R1014" i="1"/>
  <c r="S1014" i="1"/>
  <c r="T1014" i="1" s="1"/>
  <c r="X1014" i="1"/>
  <c r="Z1014" i="1" s="1"/>
  <c r="R1013" i="1"/>
  <c r="X1013" i="1"/>
  <c r="Z1013" i="1" s="1"/>
  <c r="R1012" i="1"/>
  <c r="X1012" i="1"/>
  <c r="Z1012" i="1" s="1"/>
  <c r="R1011" i="1"/>
  <c r="X1011" i="1"/>
  <c r="Z1011" i="1" s="1"/>
  <c r="R1010" i="1"/>
  <c r="S1010" i="1"/>
  <c r="T1010" i="1" s="1"/>
  <c r="X1010" i="1"/>
  <c r="Z1010" i="1" s="1"/>
  <c r="R1009" i="1"/>
  <c r="S1009" i="1"/>
  <c r="T1009" i="1" s="1"/>
  <c r="X1009" i="1"/>
  <c r="Z1009" i="1" s="1"/>
  <c r="R1008" i="1"/>
  <c r="S1008" i="1"/>
  <c r="T1008" i="1" s="1"/>
  <c r="X1008" i="1"/>
  <c r="Z1008" i="1" s="1"/>
  <c r="S1007" i="1"/>
  <c r="T1007" i="1" s="1"/>
  <c r="X1007" i="1"/>
  <c r="Z1007" i="1" s="1"/>
  <c r="S1006" i="1"/>
  <c r="T1006" i="1" s="1"/>
  <c r="X1006" i="1"/>
  <c r="Z1006" i="1" s="1"/>
  <c r="S986" i="1"/>
  <c r="T986" i="1" s="1"/>
  <c r="Z986" i="1"/>
  <c r="Y986" i="1"/>
  <c r="R1005" i="1"/>
  <c r="X1005" i="1"/>
  <c r="Z1005" i="1" s="1"/>
  <c r="X998" i="1"/>
  <c r="Z998" i="1" s="1"/>
  <c r="X999" i="1"/>
  <c r="Z999" i="1" s="1"/>
  <c r="X997" i="1"/>
  <c r="Z997" i="1" s="1"/>
  <c r="X1001" i="1"/>
  <c r="Z1001" i="1" s="1"/>
  <c r="X996" i="1"/>
  <c r="Z996" i="1" s="1"/>
  <c r="X1004" i="1"/>
  <c r="Z1004" i="1" s="1"/>
  <c r="X995" i="1"/>
  <c r="Z995" i="1" s="1"/>
  <c r="R997" i="1"/>
  <c r="X1003" i="1"/>
  <c r="Z1003" i="1" s="1"/>
  <c r="X1002" i="1"/>
  <c r="Z1002" i="1" s="1"/>
  <c r="R1004" i="1"/>
  <c r="S1003" i="1"/>
  <c r="T1003" i="1" s="1"/>
  <c r="R1002" i="1"/>
  <c r="R1001" i="1"/>
  <c r="X1000" i="1"/>
  <c r="Z1000" i="1" s="1"/>
  <c r="S1000" i="1"/>
  <c r="T1000" i="1" s="1"/>
  <c r="S999" i="1"/>
  <c r="T999" i="1" s="1"/>
  <c r="S998" i="1"/>
  <c r="T998" i="1" s="1"/>
  <c r="S996" i="1"/>
  <c r="T996" i="1" s="1"/>
  <c r="R995" i="1"/>
  <c r="X994" i="1"/>
  <c r="Z994" i="1" s="1"/>
  <c r="S994" i="1"/>
  <c r="T994" i="1" s="1"/>
  <c r="R992" i="1"/>
  <c r="X990" i="1"/>
  <c r="Z990" i="1" s="1"/>
  <c r="R59" i="1"/>
  <c r="X993" i="1"/>
  <c r="Z993" i="1" s="1"/>
  <c r="S82" i="1"/>
  <c r="T82" i="1" s="1"/>
  <c r="X992" i="1"/>
  <c r="Z992" i="1" s="1"/>
  <c r="R993" i="1"/>
  <c r="X991" i="1"/>
  <c r="Z991" i="1" s="1"/>
  <c r="S991" i="1"/>
  <c r="T991" i="1" s="1"/>
  <c r="S990" i="1"/>
  <c r="T990" i="1" s="1"/>
  <c r="R83" i="1"/>
  <c r="Z47" i="1"/>
  <c r="AI47" i="1" s="1"/>
  <c r="Z41" i="1"/>
  <c r="AI41" i="1" s="1"/>
  <c r="R50" i="1"/>
  <c r="S787" i="1"/>
  <c r="T787" i="1" s="1"/>
  <c r="X920" i="1"/>
  <c r="Z920" i="1" s="1"/>
  <c r="X950" i="1"/>
  <c r="Z950" i="1" s="1"/>
  <c r="X839" i="1"/>
  <c r="Z839" i="1" s="1"/>
  <c r="R42" i="1"/>
  <c r="S93" i="1"/>
  <c r="T93" i="1" s="1"/>
  <c r="X975" i="1"/>
  <c r="Z975" i="1" s="1"/>
  <c r="Z885" i="1"/>
  <c r="R918" i="1"/>
  <c r="Z910" i="1"/>
  <c r="X865" i="1"/>
  <c r="Z865" i="1" s="1"/>
  <c r="S829" i="1"/>
  <c r="T829" i="1" s="1"/>
  <c r="Z805" i="1"/>
  <c r="R66" i="1"/>
  <c r="X611" i="1"/>
  <c r="Z611" i="1" s="1"/>
  <c r="R58" i="1"/>
  <c r="X989" i="1"/>
  <c r="Z989" i="1" s="1"/>
  <c r="R906" i="1"/>
  <c r="X988" i="1"/>
  <c r="Z988" i="1" s="1"/>
  <c r="Z856" i="1"/>
  <c r="Z787" i="1"/>
  <c r="X987" i="1"/>
  <c r="Z987" i="1" s="1"/>
  <c r="R123" i="1"/>
  <c r="S857" i="1"/>
  <c r="T857" i="1" s="1"/>
  <c r="Y797" i="1"/>
  <c r="S98" i="1"/>
  <c r="T98" i="1" s="1"/>
  <c r="R51" i="1"/>
  <c r="R988" i="1"/>
  <c r="R989" i="1"/>
  <c r="S987" i="1"/>
  <c r="T987" i="1" s="1"/>
  <c r="X962" i="1"/>
  <c r="Z962" i="1" s="1"/>
  <c r="Z961" i="1"/>
  <c r="R888" i="1"/>
  <c r="S885" i="1"/>
  <c r="T885" i="1" s="1"/>
  <c r="S841" i="1"/>
  <c r="T841" i="1" s="1"/>
  <c r="X146" i="1"/>
  <c r="Z146" i="1" s="1"/>
  <c r="AI146" i="1" s="1"/>
  <c r="Z69" i="1"/>
  <c r="AI69" i="1" s="1"/>
  <c r="Z946" i="1"/>
  <c r="Z925" i="1"/>
  <c r="Z919" i="1"/>
  <c r="Z838" i="1"/>
  <c r="Y448" i="1"/>
  <c r="S69" i="1"/>
  <c r="T69" i="1" s="1"/>
  <c r="Z108" i="1"/>
  <c r="AI108" i="1" s="1"/>
  <c r="S883" i="1"/>
  <c r="T883" i="1" s="1"/>
  <c r="Y777" i="1"/>
  <c r="R111" i="1"/>
  <c r="Z42" i="1"/>
  <c r="AI42" i="1" s="1"/>
  <c r="Z957" i="1"/>
  <c r="Z948" i="1"/>
  <c r="Y858" i="1"/>
  <c r="Y814" i="1"/>
  <c r="S90" i="1"/>
  <c r="T90" i="1" s="1"/>
  <c r="S957" i="1"/>
  <c r="T957" i="1" s="1"/>
  <c r="R954" i="1"/>
  <c r="S948" i="1"/>
  <c r="T948" i="1" s="1"/>
  <c r="R945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974" i="1"/>
  <c r="T974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45" i="1"/>
  <c r="Z930" i="1"/>
  <c r="S919" i="1"/>
  <c r="T919" i="1" s="1"/>
  <c r="R910" i="1"/>
  <c r="R907" i="1"/>
  <c r="Z886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46" i="1"/>
  <c r="T946" i="1" s="1"/>
  <c r="Y938" i="1"/>
  <c r="Y791" i="1"/>
  <c r="X618" i="1"/>
  <c r="Z618" i="1" s="1"/>
  <c r="Y617" i="1"/>
  <c r="X610" i="1"/>
  <c r="Z610" i="1" s="1"/>
  <c r="Y443" i="1"/>
  <c r="Y92" i="1"/>
  <c r="R54" i="1"/>
  <c r="S979" i="1"/>
  <c r="T979" i="1" s="1"/>
  <c r="Z956" i="1"/>
  <c r="R946" i="1"/>
  <c r="X915" i="1"/>
  <c r="Z915" i="1" s="1"/>
  <c r="Z899" i="1"/>
  <c r="Y876" i="1"/>
  <c r="S866" i="1"/>
  <c r="T866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980" i="1"/>
  <c r="R956" i="1"/>
  <c r="R905" i="1"/>
  <c r="X903" i="1"/>
  <c r="Z903" i="1" s="1"/>
  <c r="S899" i="1"/>
  <c r="T899" i="1" s="1"/>
  <c r="X894" i="1"/>
  <c r="Z894" i="1" s="1"/>
  <c r="Z875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980" i="1"/>
  <c r="R863" i="1"/>
  <c r="S816" i="1"/>
  <c r="T816" i="1" s="1"/>
  <c r="R106" i="1"/>
  <c r="S99" i="1"/>
  <c r="T99" i="1" s="1"/>
  <c r="S92" i="1"/>
  <c r="T92" i="1" s="1"/>
  <c r="R55" i="1"/>
  <c r="R46" i="1"/>
  <c r="Y964" i="1"/>
  <c r="Z448" i="1"/>
  <c r="AI448" i="1" s="1"/>
  <c r="Y88" i="1"/>
  <c r="Z937" i="1"/>
  <c r="S930" i="1"/>
  <c r="T930" i="1" s="1"/>
  <c r="R912" i="1"/>
  <c r="Z893" i="1"/>
  <c r="X137" i="1"/>
  <c r="Z137" i="1" s="1"/>
  <c r="AI137" i="1" s="1"/>
  <c r="X131" i="1"/>
  <c r="Z131" i="1" s="1"/>
  <c r="AI131" i="1" s="1"/>
  <c r="Y128" i="1"/>
  <c r="R112" i="1"/>
  <c r="R107" i="1"/>
  <c r="Z981" i="1"/>
  <c r="Z969" i="1"/>
  <c r="X966" i="1"/>
  <c r="Z966" i="1" s="1"/>
  <c r="Z965" i="1"/>
  <c r="S958" i="1"/>
  <c r="T958" i="1" s="1"/>
  <c r="Y951" i="1"/>
  <c r="S949" i="1"/>
  <c r="T949" i="1" s="1"/>
  <c r="Z944" i="1"/>
  <c r="S941" i="1"/>
  <c r="T941" i="1" s="1"/>
  <c r="S937" i="1"/>
  <c r="T937" i="1" s="1"/>
  <c r="R936" i="1"/>
  <c r="Z928" i="1"/>
  <c r="Z921" i="1"/>
  <c r="R908" i="1"/>
  <c r="S893" i="1"/>
  <c r="T893" i="1" s="1"/>
  <c r="X881" i="1"/>
  <c r="Z881" i="1" s="1"/>
  <c r="Y877" i="1"/>
  <c r="R875" i="1"/>
  <c r="Z864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981" i="1"/>
  <c r="T981" i="1" s="1"/>
  <c r="X978" i="1"/>
  <c r="Z978" i="1" s="1"/>
  <c r="S969" i="1"/>
  <c r="T969" i="1" s="1"/>
  <c r="R965" i="1"/>
  <c r="Y939" i="1"/>
  <c r="Y928" i="1"/>
  <c r="S917" i="1"/>
  <c r="T917" i="1" s="1"/>
  <c r="S913" i="1"/>
  <c r="T913" i="1" s="1"/>
  <c r="S909" i="1"/>
  <c r="T909" i="1" s="1"/>
  <c r="X902" i="1"/>
  <c r="Z902" i="1" s="1"/>
  <c r="Z901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974" i="1"/>
  <c r="Z974" i="1" s="1"/>
  <c r="Y967" i="1"/>
  <c r="Y929" i="1"/>
  <c r="X882" i="1"/>
  <c r="Z882" i="1" s="1"/>
  <c r="Y878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AI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79" i="1"/>
  <c r="Z877" i="1"/>
  <c r="R873" i="1"/>
  <c r="Y864" i="1"/>
  <c r="Z855" i="1"/>
  <c r="Z777" i="1"/>
  <c r="S610" i="1"/>
  <c r="T610" i="1" s="1"/>
  <c r="S121" i="1"/>
  <c r="T121" i="1" s="1"/>
  <c r="Z89" i="1"/>
  <c r="AI89" i="1" s="1"/>
  <c r="Z72" i="1"/>
  <c r="AI72" i="1" s="1"/>
  <c r="R978" i="1"/>
  <c r="S955" i="1"/>
  <c r="T955" i="1" s="1"/>
  <c r="Z952" i="1"/>
  <c r="Z943" i="1"/>
  <c r="Y897" i="1"/>
  <c r="Z878" i="1"/>
  <c r="R855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972" i="1"/>
  <c r="Z883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977" i="1"/>
  <c r="R966" i="1"/>
  <c r="R953" i="1"/>
  <c r="Z938" i="1"/>
  <c r="Y912" i="1"/>
  <c r="X912" i="1"/>
  <c r="Z912" i="1" s="1"/>
  <c r="S856" i="1"/>
  <c r="T856" i="1" s="1"/>
  <c r="R856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6" i="1"/>
  <c r="T886" i="1" s="1"/>
  <c r="S861" i="1"/>
  <c r="T861" i="1" s="1"/>
  <c r="Y856" i="1"/>
  <c r="X854" i="1"/>
  <c r="Z854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37" i="1"/>
  <c r="X934" i="1"/>
  <c r="Z934" i="1" s="1"/>
  <c r="Z933" i="1"/>
  <c r="R930" i="1"/>
  <c r="S929" i="1"/>
  <c r="T929" i="1" s="1"/>
  <c r="S927" i="1"/>
  <c r="T927" i="1" s="1"/>
  <c r="R926" i="1"/>
  <c r="S925" i="1"/>
  <c r="T925" i="1" s="1"/>
  <c r="S914" i="1"/>
  <c r="T914" i="1" s="1"/>
  <c r="X905" i="1"/>
  <c r="Z905" i="1" s="1"/>
  <c r="Y904" i="1"/>
  <c r="Y883" i="1"/>
  <c r="X985" i="1"/>
  <c r="Z985" i="1" s="1"/>
  <c r="Y863" i="1"/>
  <c r="X863" i="1"/>
  <c r="Z863" i="1" s="1"/>
  <c r="S862" i="1"/>
  <c r="T862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982" i="1"/>
  <c r="T982" i="1" s="1"/>
  <c r="Z973" i="1"/>
  <c r="Z972" i="1"/>
  <c r="S971" i="1"/>
  <c r="T971" i="1" s="1"/>
  <c r="R970" i="1"/>
  <c r="S961" i="1"/>
  <c r="T961" i="1" s="1"/>
  <c r="S943" i="1"/>
  <c r="T943" i="1" s="1"/>
  <c r="X936" i="1"/>
  <c r="Z936" i="1" s="1"/>
  <c r="S933" i="1"/>
  <c r="T933" i="1" s="1"/>
  <c r="S922" i="1"/>
  <c r="T922" i="1" s="1"/>
  <c r="S921" i="1"/>
  <c r="T921" i="1" s="1"/>
  <c r="Y910" i="1"/>
  <c r="Y908" i="1"/>
  <c r="S901" i="1"/>
  <c r="T901" i="1" s="1"/>
  <c r="Y892" i="1"/>
  <c r="R890" i="1"/>
  <c r="Y887" i="1"/>
  <c r="Y884" i="1"/>
  <c r="S877" i="1"/>
  <c r="T877" i="1" s="1"/>
  <c r="R865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973" i="1"/>
  <c r="T973" i="1" s="1"/>
  <c r="R972" i="1"/>
  <c r="Y959" i="1"/>
  <c r="X958" i="1"/>
  <c r="Z958" i="1" s="1"/>
  <c r="Z949" i="1"/>
  <c r="X947" i="1"/>
  <c r="Z947" i="1" s="1"/>
  <c r="Y946" i="1"/>
  <c r="R944" i="1"/>
  <c r="X941" i="1"/>
  <c r="Z941" i="1" s="1"/>
  <c r="Y931" i="1"/>
  <c r="Y930" i="1"/>
  <c r="R928" i="1"/>
  <c r="Y923" i="1"/>
  <c r="Z922" i="1"/>
  <c r="Y911" i="1"/>
  <c r="S896" i="1"/>
  <c r="T896" i="1" s="1"/>
  <c r="S891" i="1"/>
  <c r="T891" i="1" s="1"/>
  <c r="X888" i="1"/>
  <c r="Z888" i="1" s="1"/>
  <c r="Y886" i="1"/>
  <c r="Y885" i="1"/>
  <c r="X873" i="1"/>
  <c r="Z873" i="1" s="1"/>
  <c r="X872" i="1"/>
  <c r="Z872" i="1" s="1"/>
  <c r="S864" i="1"/>
  <c r="T864" i="1" s="1"/>
  <c r="Y859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64" i="1"/>
  <c r="S963" i="1"/>
  <c r="T963" i="1" s="1"/>
  <c r="R962" i="1"/>
  <c r="Y956" i="1"/>
  <c r="X954" i="1"/>
  <c r="Z954" i="1" s="1"/>
  <c r="Y922" i="1"/>
  <c r="X918" i="1"/>
  <c r="Z918" i="1" s="1"/>
  <c r="X909" i="1"/>
  <c r="Z909" i="1" s="1"/>
  <c r="Y909" i="1"/>
  <c r="S880" i="1"/>
  <c r="T880" i="1" s="1"/>
  <c r="R876" i="1"/>
  <c r="R864" i="1"/>
  <c r="R833" i="1"/>
  <c r="X821" i="1"/>
  <c r="Z821" i="1" s="1"/>
  <c r="Y821" i="1"/>
  <c r="Z819" i="1"/>
  <c r="R126" i="1"/>
  <c r="S126" i="1"/>
  <c r="T126" i="1" s="1"/>
  <c r="Z126" i="1"/>
  <c r="AI126" i="1" s="1"/>
  <c r="Y983" i="1"/>
  <c r="X982" i="1"/>
  <c r="Z982" i="1" s="1"/>
  <c r="Y980" i="1"/>
  <c r="Z977" i="1"/>
  <c r="R964" i="1"/>
  <c r="Z953" i="1"/>
  <c r="Y944" i="1"/>
  <c r="S938" i="1"/>
  <c r="T938" i="1" s="1"/>
  <c r="S935" i="1"/>
  <c r="T935" i="1" s="1"/>
  <c r="X926" i="1"/>
  <c r="Z926" i="1" s="1"/>
  <c r="Y925" i="1"/>
  <c r="X924" i="1"/>
  <c r="Z924" i="1" s="1"/>
  <c r="Y901" i="1"/>
  <c r="R898" i="1"/>
  <c r="Y889" i="1"/>
  <c r="S881" i="1"/>
  <c r="T881" i="1" s="1"/>
  <c r="S878" i="1"/>
  <c r="T878" i="1" s="1"/>
  <c r="R878" i="1"/>
  <c r="Z876" i="1"/>
  <c r="S854" i="1"/>
  <c r="T854" i="1" s="1"/>
  <c r="R854" i="1"/>
  <c r="Y805" i="1"/>
  <c r="Y785" i="1"/>
  <c r="X784" i="1"/>
  <c r="Z784" i="1" s="1"/>
  <c r="Y784" i="1"/>
  <c r="R614" i="1"/>
  <c r="S614" i="1"/>
  <c r="T614" i="1" s="1"/>
  <c r="Y607" i="1"/>
  <c r="X970" i="1"/>
  <c r="Z970" i="1" s="1"/>
  <c r="Y943" i="1"/>
  <c r="S934" i="1"/>
  <c r="T934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29" i="1"/>
  <c r="Z917" i="1"/>
  <c r="Z866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16" i="1"/>
  <c r="S916" i="1"/>
  <c r="T916" i="1" s="1"/>
  <c r="R915" i="1"/>
  <c r="R911" i="1"/>
  <c r="Z911" i="1"/>
  <c r="S911" i="1"/>
  <c r="T911" i="1" s="1"/>
  <c r="X900" i="1"/>
  <c r="Z900" i="1" s="1"/>
  <c r="Y900" i="1"/>
  <c r="X891" i="1"/>
  <c r="Z891" i="1" s="1"/>
  <c r="Y891" i="1"/>
  <c r="X862" i="1"/>
  <c r="Z862" i="1" s="1"/>
  <c r="X857" i="1"/>
  <c r="Z857" i="1" s="1"/>
  <c r="Y857" i="1"/>
  <c r="R832" i="1"/>
  <c r="R779" i="1"/>
  <c r="S779" i="1"/>
  <c r="T779" i="1" s="1"/>
  <c r="Y977" i="1"/>
  <c r="Y969" i="1"/>
  <c r="Y961" i="1"/>
  <c r="Y953" i="1"/>
  <c r="X913" i="1"/>
  <c r="Z913" i="1" s="1"/>
  <c r="Z889" i="1"/>
  <c r="R889" i="1"/>
  <c r="S889" i="1"/>
  <c r="T889" i="1" s="1"/>
  <c r="S884" i="1"/>
  <c r="T884" i="1" s="1"/>
  <c r="Z884" i="1"/>
  <c r="R884" i="1"/>
  <c r="X853" i="1"/>
  <c r="Z853" i="1" s="1"/>
  <c r="Y853" i="1"/>
  <c r="X835" i="1"/>
  <c r="Z835" i="1" s="1"/>
  <c r="Y816" i="1"/>
  <c r="X816" i="1"/>
  <c r="Z816" i="1" s="1"/>
  <c r="S812" i="1"/>
  <c r="T812" i="1" s="1"/>
  <c r="R812" i="1"/>
  <c r="S984" i="1"/>
  <c r="T984" i="1" s="1"/>
  <c r="Z979" i="1"/>
  <c r="S976" i="1"/>
  <c r="T976" i="1" s="1"/>
  <c r="Z971" i="1"/>
  <c r="S968" i="1"/>
  <c r="T968" i="1" s="1"/>
  <c r="Z963" i="1"/>
  <c r="S960" i="1"/>
  <c r="T960" i="1" s="1"/>
  <c r="Z955" i="1"/>
  <c r="R952" i="1"/>
  <c r="X942" i="1"/>
  <c r="Z942" i="1" s="1"/>
  <c r="S940" i="1"/>
  <c r="T940" i="1" s="1"/>
  <c r="R934" i="1"/>
  <c r="R924" i="1"/>
  <c r="S924" i="1"/>
  <c r="T924" i="1" s="1"/>
  <c r="R923" i="1"/>
  <c r="Z923" i="1"/>
  <c r="Y917" i="1"/>
  <c r="X916" i="1"/>
  <c r="Z916" i="1" s="1"/>
  <c r="Z897" i="1"/>
  <c r="R897" i="1"/>
  <c r="S882" i="1"/>
  <c r="T882" i="1" s="1"/>
  <c r="R882" i="1"/>
  <c r="R823" i="1"/>
  <c r="S823" i="1"/>
  <c r="T823" i="1" s="1"/>
  <c r="R822" i="1"/>
  <c r="Z822" i="1"/>
  <c r="R814" i="1"/>
  <c r="Z814" i="1"/>
  <c r="S814" i="1"/>
  <c r="T814" i="1" s="1"/>
  <c r="Z984" i="1"/>
  <c r="Y979" i="1"/>
  <c r="Z976" i="1"/>
  <c r="Y971" i="1"/>
  <c r="Z968" i="1"/>
  <c r="Y963" i="1"/>
  <c r="Z960" i="1"/>
  <c r="Y955" i="1"/>
  <c r="Y949" i="1"/>
  <c r="R940" i="1"/>
  <c r="R902" i="1"/>
  <c r="S902" i="1"/>
  <c r="T902" i="1" s="1"/>
  <c r="S874" i="1"/>
  <c r="T874" i="1" s="1"/>
  <c r="R874" i="1"/>
  <c r="X831" i="1"/>
  <c r="Z831" i="1" s="1"/>
  <c r="Y831" i="1"/>
  <c r="S802" i="1"/>
  <c r="T802" i="1" s="1"/>
  <c r="R802" i="1"/>
  <c r="Y793" i="1"/>
  <c r="X793" i="1"/>
  <c r="Z793" i="1" s="1"/>
  <c r="Y984" i="1"/>
  <c r="Y976" i="1"/>
  <c r="Y968" i="1"/>
  <c r="Y960" i="1"/>
  <c r="Y952" i="1"/>
  <c r="S951" i="1"/>
  <c r="T951" i="1" s="1"/>
  <c r="Y945" i="1"/>
  <c r="R932" i="1"/>
  <c r="S932" i="1"/>
  <c r="T932" i="1" s="1"/>
  <c r="R931" i="1"/>
  <c r="Z931" i="1"/>
  <c r="Y914" i="1"/>
  <c r="X914" i="1"/>
  <c r="Z914" i="1" s="1"/>
  <c r="R824" i="1"/>
  <c r="S824" i="1"/>
  <c r="T824" i="1" s="1"/>
  <c r="X811" i="1"/>
  <c r="Z811" i="1" s="1"/>
  <c r="Y811" i="1"/>
  <c r="S983" i="1"/>
  <c r="T983" i="1" s="1"/>
  <c r="Y981" i="1"/>
  <c r="S975" i="1"/>
  <c r="T975" i="1" s="1"/>
  <c r="Y973" i="1"/>
  <c r="S967" i="1"/>
  <c r="T967" i="1" s="1"/>
  <c r="Y965" i="1"/>
  <c r="S959" i="1"/>
  <c r="T959" i="1" s="1"/>
  <c r="Y957" i="1"/>
  <c r="Z951" i="1"/>
  <c r="Y948" i="1"/>
  <c r="X940" i="1"/>
  <c r="Z940" i="1" s="1"/>
  <c r="R939" i="1"/>
  <c r="Z939" i="1"/>
  <c r="X927" i="1"/>
  <c r="Z927" i="1" s="1"/>
  <c r="Y927" i="1"/>
  <c r="Y896" i="1"/>
  <c r="X896" i="1"/>
  <c r="Z896" i="1" s="1"/>
  <c r="S892" i="1"/>
  <c r="T892" i="1" s="1"/>
  <c r="Z892" i="1"/>
  <c r="R892" i="1"/>
  <c r="Y866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983" i="1"/>
  <c r="Z967" i="1"/>
  <c r="Z959" i="1"/>
  <c r="S950" i="1"/>
  <c r="T950" i="1" s="1"/>
  <c r="Y933" i="1"/>
  <c r="X932" i="1"/>
  <c r="Z932" i="1" s="1"/>
  <c r="Y921" i="1"/>
  <c r="R920" i="1"/>
  <c r="S915" i="1"/>
  <c r="T915" i="1" s="1"/>
  <c r="R894" i="1"/>
  <c r="S894" i="1"/>
  <c r="T894" i="1" s="1"/>
  <c r="Y819" i="1"/>
  <c r="Z817" i="1"/>
  <c r="AI817" i="1" s="1"/>
  <c r="R817" i="1"/>
  <c r="Y795" i="1"/>
  <c r="X795" i="1"/>
  <c r="Z795" i="1" s="1"/>
  <c r="R947" i="1"/>
  <c r="R942" i="1"/>
  <c r="X935" i="1"/>
  <c r="Z935" i="1" s="1"/>
  <c r="Y935" i="1"/>
  <c r="X907" i="1"/>
  <c r="Z907" i="1" s="1"/>
  <c r="Y907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08" i="1"/>
  <c r="S904" i="1"/>
  <c r="T904" i="1" s="1"/>
  <c r="X898" i="1"/>
  <c r="Z898" i="1" s="1"/>
  <c r="Y893" i="1"/>
  <c r="X874" i="1"/>
  <c r="Z874" i="1" s="1"/>
  <c r="S872" i="1"/>
  <c r="T872" i="1" s="1"/>
  <c r="X861" i="1"/>
  <c r="Z861" i="1" s="1"/>
  <c r="R859" i="1"/>
  <c r="Z859" i="1"/>
  <c r="S858" i="1"/>
  <c r="T858" i="1" s="1"/>
  <c r="Y855" i="1"/>
  <c r="S853" i="1"/>
  <c r="T853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04" i="1"/>
  <c r="R900" i="1"/>
  <c r="R887" i="1"/>
  <c r="Z887" i="1"/>
  <c r="Z858" i="1"/>
  <c r="R837" i="1"/>
  <c r="R826" i="1"/>
  <c r="R806" i="1"/>
  <c r="Y619" i="1"/>
  <c r="X619" i="1"/>
  <c r="Z619" i="1" s="1"/>
  <c r="R985" i="1"/>
  <c r="X789" i="1"/>
  <c r="Z789" i="1" s="1"/>
  <c r="Y789" i="1"/>
  <c r="R445" i="1"/>
  <c r="S445" i="1"/>
  <c r="T445" i="1" s="1"/>
  <c r="R903" i="1"/>
  <c r="R895" i="1"/>
  <c r="Z895" i="1"/>
  <c r="R815" i="1"/>
  <c r="Z815" i="1"/>
  <c r="Y919" i="1"/>
  <c r="Y899" i="1"/>
  <c r="Y895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06" i="1"/>
  <c r="Z906" i="1" s="1"/>
  <c r="X890" i="1"/>
  <c r="Z890" i="1" s="1"/>
  <c r="X880" i="1"/>
  <c r="Z880" i="1" s="1"/>
  <c r="R879" i="1"/>
  <c r="Z879" i="1"/>
  <c r="Y875" i="1"/>
  <c r="S859" i="1"/>
  <c r="T859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AI133" i="1" s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1" i="1"/>
  <c r="S871" i="1"/>
  <c r="T871" i="1" s="1"/>
  <c r="X871" i="1"/>
  <c r="Z871" i="1" s="1"/>
  <c r="R870" i="1"/>
  <c r="S870" i="1"/>
  <c r="T870" i="1" s="1"/>
  <c r="X870" i="1"/>
  <c r="Z870" i="1" s="1"/>
  <c r="R869" i="1"/>
  <c r="R868" i="1"/>
  <c r="S869" i="1"/>
  <c r="T869" i="1" s="1"/>
  <c r="X869" i="1"/>
  <c r="Z869" i="1" s="1"/>
  <c r="X868" i="1"/>
  <c r="Z868" i="1" s="1"/>
  <c r="R867" i="1"/>
  <c r="S867" i="1"/>
  <c r="T867" i="1" s="1"/>
  <c r="X867" i="1"/>
  <c r="Z867" i="1" s="1"/>
  <c r="R860" i="1"/>
  <c r="S860" i="1"/>
  <c r="T860" i="1" s="1"/>
  <c r="X860" i="1"/>
  <c r="Z860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W834" i="1" l="1"/>
  <c r="V834" i="1"/>
  <c r="U834" i="1"/>
  <c r="Y834" i="1" s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5" i="1" l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AT115" i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<sst xmlns="http://schemas.openxmlformats.org/spreadsheetml/2006/main" count="31596" uniqueCount="5417">
  <si>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</si>
  <si>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</si>
  <si>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</si>
  <si>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</si>
  <si>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</si>
  <si>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</si>
  <si>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</si>
  <si>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</si>
  <si>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</si>
  <si>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</si>
  <si>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</si>
  <si>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</si>
  <si>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</si>
  <si>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</si>
  <si>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</si>
  <si>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</si>
  <si>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</si>
  <si>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</si>
  <si>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</si>
  <si>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</si>
  <si>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</si>
  <si>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</si>
  <si>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</si>
  <si>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</si>
  <si>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</si>
  <si>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</si>
  <si>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</si>
  <si>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</si>
  <si>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</si>
  <si>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</si>
  <si>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</si>
  <si>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</si>
  <si>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</si>
  <si>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</si>
  <si>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</si>
  <si>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</si>
  <si>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</si>
  <si>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</si>
  <si>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</si>
  <si>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</si>
  <si>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</si>
  <si>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</si>
  <si>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</si>
  <si>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</si>
  <si>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</si>
  <si>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</si>
  <si>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</si>
  <si>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</si>
  <si>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</si>
  <si>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</si>
  <si>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</si>
  <si>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</si>
  <si>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</si>
  <si>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</si>
  <si>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</si>
  <si>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</si>
  <si>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</si>
  <si>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</si>
  <si>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</si>
  <si>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</si>
  <si>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</si>
  <si>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</si>
  <si>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</si>
  <si>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</si>
  <si>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</si>
  <si>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</si>
  <si>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</si>
  <si>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</si>
  <si>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</si>
  <si>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</si>
  <si>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</si>
  <si>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</si>
  <si>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</si>
  <si>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</si>
  <si>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</si>
  <si>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</si>
  <si>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</si>
  <si>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</si>
  <si>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</si>
  <si>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</si>
  <si>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</si>
  <si>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</si>
  <si>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</si>
  <si>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</si>
  <si>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</si>
  <si>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</si>
  <si>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</si>
  <si>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</si>
  <si>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</si>
  <si>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</si>
  <si>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</si>
  <si>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</si>
  <si>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</si>
  <si>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</si>
  <si>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</si>
  <si>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</si>
  <si>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</si>
  <si>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</si>
  <si>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</si>
  <si>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</si>
  <si>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</si>
  <si>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</si>
  <si>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</si>
  <si>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</si>
  <si>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</si>
  <si>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</si>
  <si>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</si>
  <si>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</si>
  <si>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</si>
  <si>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</si>
  <si>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</si>
  <si>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</si>
  <si>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</si>
  <si>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</si>
  <si>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</si>
  <si>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</si>
  <si>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</si>
  <si>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</si>
  <si>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</si>
  <si>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</si>
  <si>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</si>
  <si>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</si>
  <si>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</si>
  <si>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</si>
  <si>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</si>
  <si>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</si>
  <si>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</si>
  <si>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</si>
  <si>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</si>
  <si>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</si>
  <si>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</si>
  <si>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</si>
  <si>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</si>
  <si>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</si>
  <si>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</si>
  <si>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</si>
  <si>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</si>
  <si>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</si>
  <si>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</si>
  <si>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</si>
  <si>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</si>
  <si>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</si>
  <si>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</si>
  <si>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</si>
  <si>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</si>
  <si>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</si>
  <si>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</si>
  <si>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</si>
  <si>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</si>
  <si>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</si>
  <si>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</si>
  <si>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</si>
  <si>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</si>
  <si>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</si>
  <si>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</si>
  <si>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</si>
  <si>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</si>
  <si>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</si>
  <si>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</si>
  <si>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</si>
  <si>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</si>
  <si>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</si>
  <si>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</si>
  <si>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</si>
  <si>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</si>
  <si>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</si>
  <si>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</si>
  <si>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</si>
  <si>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</si>
  <si>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</si>
  <si>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</si>
  <si>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</si>
  <si>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</si>
  <si>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</si>
  <si>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</si>
  <si>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</si>
  <si>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</si>
  <si>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</si>
  <si>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</si>
  <si>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</si>
  <si>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</si>
  <si>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</si>
  <si>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</si>
  <si>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</si>
  <si>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</si>
  <si>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</si>
  <si>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</si>
  <si>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</si>
  <si>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</si>
  <si>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</si>
  <si>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</si>
  <si>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</si>
  <si>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</si>
  <si>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</si>
  <si>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</si>
  <si>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</si>
  <si>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</si>
  <si>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</si>
  <si>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</si>
  <si>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</si>
  <si>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</si>
  <si>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</si>
  <si>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</si>
  <si>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</si>
  <si>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</si>
  <si>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</si>
  <si>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</si>
  <si>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</si>
  <si>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</si>
  <si>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</si>
  <si>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</si>
  <si>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</si>
  <si>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</si>
  <si>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</si>
  <si>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</si>
  <si>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</si>
  <si>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</si>
  <si>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</si>
  <si>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</si>
  <si>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</si>
  <si>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</si>
  <si>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</si>
  <si>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</si>
  <si>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</si>
  <si>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</si>
  <si>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</si>
  <si>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</si>
  <si>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</si>
  <si>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</si>
  <si>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</si>
  <si>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</si>
  <si>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</si>
  <si>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</si>
  <si>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</si>
  <si>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</si>
  <si>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</si>
  <si>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</si>
  <si>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</si>
  <si>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</si>
  <si>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</si>
  <si>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</si>
  <si>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</si>
  <si>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</si>
  <si>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</si>
  <si>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</si>
  <si>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</si>
  <si>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</si>
  <si>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</si>
  <si>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</si>
  <si>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</si>
  <si>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</si>
  <si>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</si>
  <si>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</si>
  <si>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</si>
  <si>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</si>
  <si>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</si>
  <si>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</si>
  <si>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</si>
  <si>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</si>
  <si>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</si>
  <si>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</si>
  <si>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</si>
  <si>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</si>
  <si>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</si>
  <si>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</si>
  <si>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</si>
  <si>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</si>
  <si>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</si>
  <si>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</si>
  <si>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</si>
  <si>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</si>
  <si>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</si>
  <si>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</si>
  <si>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</si>
  <si>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</si>
  <si>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</si>
  <si>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</si>
  <si>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</si>
  <si>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</si>
  <si>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</si>
  <si>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</si>
  <si>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</si>
  <si>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</si>
  <si>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</si>
  <si>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</si>
  <si>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</si>
  <si>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</si>
  <si>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</si>
  <si>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</si>
  <si>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</si>
  <si>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</si>
  <si>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</si>
  <si>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</si>
  <si>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</si>
  <si>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</si>
  <si>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</si>
  <si>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</si>
  <si>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</si>
  <si>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</si>
  <si>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</si>
  <si>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</si>
  <si>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</si>
  <si>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</si>
  <si>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</si>
  <si>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</si>
  <si>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</si>
  <si>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</si>
  <si>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</si>
  <si>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</si>
  <si>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</si>
  <si>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</si>
  <si>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</si>
  <si>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</si>
  <si>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</si>
  <si>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</si>
  <si>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</si>
  <si>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</si>
  <si>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</si>
  <si>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</si>
  <si>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</si>
  <si>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</si>
  <si>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</si>
  <si>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</si>
  <si>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</si>
  <si>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</si>
  <si>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</si>
  <si>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</si>
  <si>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</si>
  <si>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</si>
  <si>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</si>
  <si>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</si>
  <si>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</si>
  <si>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</si>
  <si>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</si>
  <si>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</si>
  <si>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</si>
  <si>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</si>
  <si>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</si>
  <si>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</si>
  <si>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</si>
  <si>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</si>
  <si>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</si>
  <si>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</si>
  <si>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</si>
  <si>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</si>
  <si>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</si>
  <si>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</si>
  <si>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</si>
  <si>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</si>
  <si>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</si>
  <si>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</si>
  <si>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</si>
  <si>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</si>
  <si>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</si>
  <si>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</si>
  <si>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</si>
  <si>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</si>
  <si>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</si>
  <si>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</si>
  <si>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</si>
  <si>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</si>
  <si>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</si>
  <si>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</si>
  <si>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</si>
  <si>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</si>
  <si>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</si>
  <si>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</si>
  <si>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</si>
  <si>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</si>
  <si>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</si>
  <si>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</si>
  <si>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</si>
  <si>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</si>
  <si>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</si>
  <si>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</si>
  <si>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</si>
  <si>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</si>
  <si>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</si>
  <si>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</si>
  <si>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</si>
  <si>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</si>
  <si>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</si>
  <si>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</si>
  <si>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</si>
  <si>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</si>
  <si>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</si>
  <si>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</si>
  <si>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</si>
  <si>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</si>
  <si>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</si>
  <si>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</si>
  <si>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</si>
  <si>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</si>
  <si>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</si>
  <si>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</si>
  <si>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</si>
  <si>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</si>
  <si>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</si>
  <si>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</si>
  <si>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</si>
  <si>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</si>
  <si>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</si>
  <si>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</si>
  <si>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</si>
  <si>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</si>
  <si>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</si>
  <si>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</si>
  <si>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</si>
  <si>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</si>
  <si>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</si>
  <si>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</si>
  <si>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</si>
  <si>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</si>
  <si>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</si>
  <si>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</si>
  <si>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</si>
  <si>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</si>
  <si>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</si>
  <si>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</si>
  <si>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</si>
  <si>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</si>
  <si>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</si>
  <si>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</si>
  <si>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</si>
  <si>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</si>
  <si>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</si>
  <si>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</si>
  <si>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</si>
  <si>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</si>
  <si>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</si>
  <si>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</si>
  <si>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</si>
  <si>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</si>
  <si>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</si>
  <si>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</si>
  <si>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</si>
  <si>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</si>
  <si>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</si>
  <si>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</si>
  <si>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</si>
  <si>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</si>
  <si>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</si>
  <si>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</si>
  <si>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</si>
  <si>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</si>
  <si>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</si>
  <si>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</si>
  <si>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</si>
  <si>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</si>
  <si>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</si>
  <si>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</si>
  <si>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</si>
  <si>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</si>
  <si>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</si>
  <si>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</si>
  <si>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</si>
  <si>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</si>
  <si>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</si>
  <si>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</si>
  <si>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</si>
  <si>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</si>
  <si>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</si>
  <si>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</si>
  <si>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</si>
  <si>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</si>
  <si>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</si>
  <si>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</si>
  <si>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</si>
  <si>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</si>
  <si>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</si>
  <si>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</si>
  <si>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</si>
  <si>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</si>
  <si>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</si>
  <si>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</si>
  <si>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</si>
  <si>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</si>
  <si>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</si>
  <si>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</si>
  <si>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</si>
  <si>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</si>
  <si>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</si>
  <si>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</si>
  <si>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</si>
  <si>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</si>
  <si>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</si>
  <si>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</si>
  <si>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</si>
  <si>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</si>
  <si>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</si>
  <si>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</si>
  <si>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</si>
  <si>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</si>
  <si>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</si>
  <si>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</si>
  <si>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</si>
  <si>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</si>
  <si>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</si>
  <si>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</si>
  <si>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</si>
  <si>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</si>
  <si>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</si>
  <si>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</si>
  <si>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</si>
  <si>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</si>
  <si>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</si>
  <si>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</si>
  <si>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</si>
  <si>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</si>
  <si>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</si>
  <si>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</si>
  <si>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</si>
  <si>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</si>
  <si>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</si>
  <si>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</si>
  <si>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</si>
  <si>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</si>
  <si>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</si>
  <si>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</si>
  <si>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</si>
  <si>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</si>
  <si>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</si>
  <si>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</si>
  <si>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</si>
  <si>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</si>
  <si>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</si>
  <si>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</si>
  <si>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</si>
  <si>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</si>
  <si>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</si>
  <si>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</si>
  <si>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</si>
  <si>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</si>
  <si>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</si>
  <si>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</si>
  <si>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</si>
  <si>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</si>
  <si>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</si>
  <si>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</si>
  <si>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</si>
  <si>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</si>
  <si>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</si>
  <si>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</si>
  <si>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</si>
  <si>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</si>
  <si>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</si>
  <si>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</si>
  <si>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</si>
  <si>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</si>
  <si>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</si>
  <si>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</si>
  <si>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</si>
  <si>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</si>
  <si>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</si>
  <si>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</si>
  <si>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</si>
  <si>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</si>
  <si>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</si>
  <si>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</si>
  <si>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</si>
  <si>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</si>
  <si>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</si>
  <si>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</si>
  <si>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</si>
  <si>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</si>
  <si>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</si>
  <si>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</si>
  <si>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</si>
  <si>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</si>
  <si>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</si>
  <si>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</si>
  <si>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</si>
  <si>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</si>
  <si>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</si>
  <si>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</si>
  <si>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</si>
  <si>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</si>
  <si>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</si>
  <si>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</si>
  <si>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</si>
  <si>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</si>
  <si>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</si>
  <si>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</si>
  <si>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</si>
  <si>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</si>
  <si>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</si>
  <si>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</si>
  <si>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</si>
  <si>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</si>
  <si>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</si>
  <si>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</si>
  <si>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</si>
  <si>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</si>
  <si>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</si>
  <si>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</si>
  <si>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</si>
  <si>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</si>
  <si>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</si>
  <si>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</si>
  <si>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</si>
  <si>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</si>
  <si>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</si>
  <si>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</si>
  <si>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</si>
  <si>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</si>
  <si>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</si>
  <si>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</si>
  <si>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</si>
  <si>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</si>
  <si>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</si>
  <si>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</si>
  <si>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</si>
  <si>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</si>
  <si>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</si>
  <si>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</si>
  <si>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</si>
  <si>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</si>
  <si>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</si>
  <si>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</si>
  <si>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</si>
  <si>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</si>
  <si>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</si>
  <si>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</si>
  <si>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</si>
  <si>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</si>
  <si>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</si>
  <si>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</si>
  <si>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</si>
  <si>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</si>
  <si>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</si>
  <si>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</si>
  <si>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</si>
  <si>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</si>
  <si>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</si>
  <si>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</si>
  <si>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</si>
  <si>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</si>
  <si>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</si>
  <si>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</si>
  <si>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</si>
  <si>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</si>
  <si>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</si>
  <si>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</si>
  <si>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</si>
  <si>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</si>
  <si>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</si>
  <si>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</si>
  <si>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</si>
  <si>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</si>
  <si>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</si>
  <si>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</si>
  <si>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</si>
  <si>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</si>
  <si>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</si>
  <si>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</si>
  <si>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</si>
  <si>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</si>
  <si>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</si>
  <si>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</si>
  <si>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</si>
  <si>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</si>
  <si>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</si>
  <si>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</si>
  <si>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</si>
  <si>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</si>
  <si>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</si>
  <si>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</si>
  <si>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</si>
  <si>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</si>
  <si>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</si>
  <si>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</si>
  <si>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</si>
  <si>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</si>
  <si>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</si>
  <si>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</si>
  <si>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</si>
  <si>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</si>
  <si>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</si>
  <si>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</si>
  <si>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</si>
  <si>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</si>
  <si>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</si>
  <si>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</si>
  <si>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</si>
  <si>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</si>
  <si>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</si>
  <si>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</si>
  <si>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</si>
  <si>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</si>
  <si>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</si>
  <si>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</si>
  <si>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</si>
  <si>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</si>
  <si>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</si>
  <si>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</si>
  <si>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</si>
  <si>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</si>
  <si>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</si>
  <si>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</si>
  <si>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</si>
  <si>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</si>
  <si>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</si>
  <si>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</si>
  <si>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</si>
  <si>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</si>
  <si>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</si>
  <si>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</si>
  <si>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</si>
  <si>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</si>
  <si>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</si>
  <si>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</si>
  <si>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</si>
  <si>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</si>
  <si>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</si>
  <si>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</si>
  <si>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</si>
  <si>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</si>
  <si>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</si>
  <si>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</si>
  <si>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</si>
  <si>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</si>
  <si>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</si>
  <si>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</si>
  <si>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</si>
  <si>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</si>
  <si>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</si>
  <si>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</si>
  <si>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</si>
  <si>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</si>
  <si>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</si>
  <si>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</si>
  <si>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</si>
  <si>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</si>
  <si>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</si>
  <si>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</si>
  <si>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</si>
  <si>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</si>
  <si>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</si>
  <si>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</si>
  <si>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</si>
  <si>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</si>
  <si>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</si>
  <si>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</si>
  <si>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</si>
  <si>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</si>
  <si>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</si>
  <si>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</si>
  <si>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</si>
  <si>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</si>
  <si>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</si>
  <si>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</si>
  <si>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</si>
  <si>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</si>
  <si>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</si>
  <si>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</si>
  <si>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</si>
  <si>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</si>
  <si>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</si>
  <si>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</si>
  <si>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</si>
  <si>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</si>
  <si>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</si>
  <si>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</si>
  <si>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</si>
  <si>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</si>
  <si>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</si>
  <si>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</si>
  <si>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</si>
  <si>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</si>
  <si>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</si>
  <si>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</si>
  <si>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</si>
  <si>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</si>
  <si>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</si>
  <si>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</si>
  <si>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</si>
  <si>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</si>
  <si>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</si>
  <si>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</si>
  <si>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</si>
  <si>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</si>
  <si>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</si>
  <si>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</si>
  <si>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</si>
  <si>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</si>
  <si>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</si>
  <si>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</si>
  <si>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</si>
  <si>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</si>
  <si>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</si>
  <si>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</si>
  <si>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</si>
  <si>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</si>
  <si>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</si>
  <si>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</si>
  <si>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</si>
  <si>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</si>
  <si>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</si>
  <si>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</si>
  <si>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</si>
  <si>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</si>
  <si>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</si>
  <si>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</si>
  <si>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</si>
  <si>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</si>
  <si>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</si>
  <si>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</si>
  <si>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</si>
  <si>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</si>
  <si>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</si>
  <si>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</si>
  <si>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</si>
  <si>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</si>
  <si>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</si>
  <si>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</si>
  <si>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</si>
  <si>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</si>
  <si>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</si>
  <si>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</si>
  <si>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</si>
  <si>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</si>
  <si>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</si>
  <si>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</si>
  <si>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</si>
  <si>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</si>
  <si>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</si>
  <si>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</si>
  <si>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</si>
  <si>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</si>
  <si>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</si>
  <si>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</si>
  <si>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</si>
  <si>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</si>
  <si>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</si>
  <si>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</si>
  <si>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</si>
  <si>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</si>
  <si>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</si>
  <si>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</si>
  <si>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</si>
  <si>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</si>
  <si>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</si>
  <si>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</si>
  <si>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</si>
  <si>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</si>
  <si>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</si>
  <si>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</si>
  <si>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</si>
  <si>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</si>
  <si>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</si>
  <si>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</si>
  <si>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</si>
  <si>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</si>
  <si>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</si>
  <si>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</si>
  <si>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</si>
  <si>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</si>
  <si>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</si>
  <si>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</si>
  <si>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</si>
  <si>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</si>
  <si>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</si>
  <si>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</si>
  <si>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</si>
  <si>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</si>
  <si>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</si>
  <si>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</si>
  <si>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</si>
  <si>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</si>
  <si>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</si>
  <si>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</si>
  <si>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</si>
  <si>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</si>
  <si>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</si>
  <si>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</si>
  <si>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</si>
  <si>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</si>
  <si>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</si>
  <si>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</si>
  <si>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</si>
  <si>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</si>
  <si>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</si>
  <si>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</si>
  <si>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</si>
  <si>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</si>
  <si>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</si>
  <si>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</si>
  <si>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</si>
  <si>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</si>
  <si>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</si>
  <si>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</si>
  <si>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</si>
  <si>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</si>
  <si>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</si>
  <si>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</si>
  <si>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</si>
  <si>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</si>
  <si>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</si>
  <si>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</si>
  <si>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</si>
  <si>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</si>
  <si>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</si>
  <si>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</si>
  <si>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</si>
  <si>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</si>
  <si>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</si>
  <si>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</si>
  <si>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</si>
  <si>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</si>
  <si>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</si>
  <si>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</si>
  <si>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</si>
  <si>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</si>
  <si>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</si>
  <si>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</si>
  <si>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</si>
  <si>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</si>
  <si>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</si>
  <si>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</si>
  <si>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</si>
  <si>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</si>
  <si>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</si>
  <si>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</si>
  <si>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</si>
  <si>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</si>
  <si>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</si>
  <si>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</si>
  <si>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</si>
  <si>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</si>
  <si>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</si>
  <si>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</si>
  <si>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</si>
  <si>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</si>
  <si>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</si>
  <si>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</si>
  <si>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</si>
  <si>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</si>
  <si>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</si>
  <si>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</si>
  <si>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</si>
  <si>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</si>
  <si>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</si>
  <si>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</si>
  <si>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</si>
  <si>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</si>
  <si>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</si>
  <si>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</si>
  <si>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</si>
  <si>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</si>
  <si>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</si>
  <si>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</si>
  <si>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</si>
  <si>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</si>
  <si>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</si>
  <si>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</si>
  <si>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</si>
  <si>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</si>
  <si>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</si>
  <si>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</si>
  <si>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</si>
  <si>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</si>
  <si>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</si>
  <si>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</si>
  <si>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</si>
  <si>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</si>
  <si>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</si>
  <si>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</si>
  <si>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</si>
  <si>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</si>
  <si>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</si>
  <si>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</si>
  <si>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</si>
  <si>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</si>
  <si>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</si>
  <si>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</si>
  <si>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</si>
  <si>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</si>
  <si>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</si>
  <si>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</si>
  <si>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</si>
  <si>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</si>
  <si>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</si>
  <si>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</si>
  <si>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</si>
  <si>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</si>
  <si>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</si>
  <si>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</si>
  <si>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</si>
  <si>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</si>
  <si>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</si>
  <si>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</si>
  <si>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</si>
  <si>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</si>
  <si>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</si>
  <si>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</si>
  <si>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</si>
  <si>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</si>
  <si>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</si>
  <si>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</si>
  <si>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</si>
  <si>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</si>
  <si>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</si>
  <si>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</si>
  <si>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</si>
  <si>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</si>
  <si>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</si>
  <si>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</si>
  <si>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</si>
  <si>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</si>
  <si>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</si>
  <si>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</si>
  <si>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</si>
  <si>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</si>
  <si>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</si>
  <si>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</si>
  <si>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</si>
  <si>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</si>
  <si>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</si>
  <si>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</si>
  <si>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</si>
  <si>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</si>
  <si>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</si>
  <si>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</si>
  <si>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</si>
  <si>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</si>
  <si>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</si>
  <si>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</si>
  <si>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</si>
  <si>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</si>
  <si>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</si>
  <si>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</si>
  <si>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</si>
  <si>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</si>
  <si>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</si>
  <si>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</si>
  <si>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</si>
  <si>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</si>
  <si>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</si>
  <si>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</si>
  <si>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</si>
  <si>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</si>
  <si>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</si>
  <si>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</si>
  <si>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</si>
  <si>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</si>
  <si>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</si>
  <si>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</si>
  <si>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</si>
  <si>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</si>
  <si>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</si>
  <si>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</si>
  <si>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</si>
  <si>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</si>
  <si>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</si>
  <si>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</si>
  <si>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</si>
  <si>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</si>
  <si>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</si>
  <si>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</si>
  <si>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</si>
  <si>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</si>
  <si>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</si>
  <si>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</si>
  <si>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</si>
  <si>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</si>
  <si>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</si>
  <si>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</si>
  <si>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</si>
  <si>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</si>
  <si>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</si>
  <si>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</si>
  <si>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</si>
  <si>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</si>
  <si>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</si>
  <si>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</si>
  <si>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</si>
  <si>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</si>
  <si>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</si>
  <si>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</si>
  <si>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</si>
  <si>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</si>
  <si>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</si>
  <si>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</si>
  <si>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</si>
  <si>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</si>
  <si>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</si>
  <si>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</si>
  <si>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</si>
  <si>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</si>
  <si>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</si>
  <si>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</si>
  <si>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</si>
  <si>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</si>
  <si>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</si>
  <si>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</si>
  <si>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</si>
  <si>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</si>
  <si>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</si>
  <si>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</si>
  <si>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</si>
  <si>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</si>
  <si>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</si>
  <si>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</si>
  <si>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</si>
  <si>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</si>
  <si>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</si>
  <si>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</si>
  <si>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</si>
  <si>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</si>
  <si>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</si>
  <si>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</si>
  <si>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</si>
  <si>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</si>
  <si>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</si>
  <si>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</si>
  <si>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</si>
  <si>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</si>
  <si>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</si>
  <si>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</si>
  <si>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</si>
  <si>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</si>
  <si>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</si>
  <si>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</si>
  <si>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</si>
  <si>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</si>
  <si>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</si>
  <si>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</si>
  <si>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</si>
  <si>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</si>
  <si>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</si>
  <si>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</si>
  <si>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</si>
  <si>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</si>
  <si>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</si>
  <si>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</si>
  <si>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</si>
  <si>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</si>
  <si>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</si>
  <si>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</si>
  <si>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</si>
  <si>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</si>
  <si>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</si>
  <si>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</si>
  <si>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</si>
  <si>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</si>
  <si>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</si>
  <si>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</si>
  <si>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</si>
  <si>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</si>
  <si>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</si>
  <si>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</si>
  <si>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</si>
  <si>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</si>
  <si>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</si>
  <si>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</si>
  <si>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</si>
  <si>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</si>
  <si>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</si>
  <si>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</si>
  <si>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</si>
  <si>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</si>
  <si>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</si>
  <si>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</si>
  <si>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</si>
  <si>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</si>
  <si>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</si>
  <si>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</si>
  <si>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</si>
  <si>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</si>
  <si>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</si>
  <si>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</si>
  <si>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</si>
  <si>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</si>
  <si>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</si>
  <si>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</si>
  <si>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</si>
  <si>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</si>
  <si>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</si>
  <si>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</si>
  <si>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</si>
  <si>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</si>
  <si>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</si>
  <si>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</si>
  <si>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</si>
  <si>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</si>
  <si>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</si>
  <si>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</si>
  <si>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</si>
  <si>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</si>
  <si>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</si>
  <si>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</si>
  <si>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</si>
  <si>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</si>
  <si>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</si>
  <si>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</si>
  <si>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</si>
  <si>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</si>
  <si>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</si>
  <si>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</si>
  <si>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</si>
  <si>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</si>
  <si>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</si>
  <si>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</si>
  <si>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</si>
  <si>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</si>
  <si>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</si>
  <si>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</si>
  <si>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</si>
  <si>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</si>
  <si>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</si>
  <si>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</si>
  <si>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</si>
  <si>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</si>
  <si>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</si>
  <si>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</si>
  <si>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</si>
  <si>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</si>
  <si>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</si>
  <si>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</si>
  <si>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</si>
  <si>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</si>
  <si>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</si>
  <si>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</si>
  <si>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</si>
  <si>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</si>
  <si>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</si>
  <si>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</si>
  <si>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</si>
  <si>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</si>
  <si>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</si>
  <si>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</si>
  <si>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</si>
  <si>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</si>
  <si>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</si>
  <si>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</si>
  <si>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</si>
  <si>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</si>
  <si>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</si>
  <si>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</si>
  <si>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</si>
  <si>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</si>
  <si>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</si>
  <si>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</si>
  <si>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</si>
  <si>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</si>
  <si>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</si>
  <si>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</si>
  <si>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</si>
  <si>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</si>
  <si>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</si>
  <si>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</si>
  <si>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</si>
  <si>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</si>
  <si>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</si>
  <si>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</si>
  <si>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</si>
  <si>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</si>
  <si>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</si>
  <si>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</si>
  <si>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</si>
  <si>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</si>
  <si>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</si>
  <si>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</si>
  <si>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</si>
  <si>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</si>
  <si>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</si>
  <si>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</si>
  <si>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</si>
  <si>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</si>
  <si>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</si>
  <si>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</si>
  <si>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</si>
  <si>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</si>
  <si>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</si>
  <si>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</si>
  <si>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</si>
  <si>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</si>
  <si>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</si>
  <si>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</si>
  <si>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</si>
  <si>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</si>
  <si>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</si>
  <si>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</si>
  <si>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</si>
  <si>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</si>
  <si>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</si>
  <si>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</si>
  <si>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</si>
  <si>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</si>
  <si>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</si>
  <si>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</si>
  <si>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</si>
  <si>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</si>
  <si>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</si>
  <si>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</si>
  <si>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</si>
  <si>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</si>
  <si>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</si>
  <si>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</si>
  <si>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</si>
  <si>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</si>
  <si>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</si>
  <si>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</si>
  <si>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</si>
  <si>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</si>
  <si>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</si>
  <si>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</si>
  <si>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</si>
  <si>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</si>
  <si>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</si>
  <si>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</si>
  <si>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</si>
  <si>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</si>
  <si>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</si>
  <si>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</si>
  <si>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</si>
  <si>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</si>
  <si>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</si>
  <si>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</si>
  <si>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</si>
  <si>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</si>
  <si>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</si>
  <si>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</si>
  <si>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</si>
  <si>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</si>
  <si>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</si>
  <si>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</si>
  <si>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</si>
  <si>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</si>
  <si>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</si>
  <si>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</si>
  <si>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</si>
  <si>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</si>
  <si>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</si>
  <si>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</si>
  <si>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</si>
  <si>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</si>
  <si>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</si>
  <si>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</si>
  <si>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</si>
  <si>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</si>
  <si>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</si>
  <si>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</si>
  <si>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</si>
  <si>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</si>
  <si>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</si>
  <si>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</si>
  <si>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</si>
  <si>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</si>
  <si>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</si>
  <si>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</si>
  <si>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</si>
  <si>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</si>
  <si>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</si>
  <si>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</si>
  <si>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</si>
  <si>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</si>
  <si>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</si>
  <si>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</si>
  <si>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</si>
  <si>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</si>
  <si>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</si>
  <si>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</si>
  <si>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</si>
  <si>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</si>
  <si>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</si>
  <si>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</si>
  <si>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</si>
  <si>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</si>
  <si>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</si>
  <si>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</si>
  <si>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</si>
  <si>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</si>
  <si>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</si>
  <si>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</si>
  <si>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</si>
  <si>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</si>
  <si>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</si>
  <si>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</si>
  <si>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</si>
  <si>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</si>
  <si>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</si>
  <si>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</si>
  <si>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</si>
  <si>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</si>
  <si>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</si>
  <si>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</si>
  <si>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</si>
  <si>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</si>
  <si>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</si>
  <si>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</si>
  <si>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</si>
  <si>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</si>
  <si>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</si>
  <si>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</si>
  <si>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</si>
  <si>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</si>
  <si>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</si>
  <si>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</si>
  <si>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</si>
  <si>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</si>
  <si>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</si>
  <si>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</si>
  <si>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</si>
  <si>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</si>
  <si>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</si>
  <si>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</si>
  <si>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</si>
  <si>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</si>
  <si>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</si>
  <si>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</si>
  <si>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</si>
  <si>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</si>
  <si>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</si>
  <si>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</si>
  <si>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</si>
  <si>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</si>
  <si>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</si>
  <si>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</si>
  <si>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</si>
  <si>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</si>
  <si>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</si>
  <si>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</si>
  <si>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</si>
  <si>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</si>
  <si>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</si>
  <si>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</si>
  <si>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</si>
  <si>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</si>
  <si>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</si>
  <si>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</si>
  <si>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</si>
  <si>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</si>
  <si>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</si>
  <si>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</si>
  <si>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</si>
  <si>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</si>
  <si>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</si>
  <si>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</si>
  <si>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</si>
  <si>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</si>
  <si>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</si>
  <si>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</si>
  <si>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</si>
  <si>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</si>
  <si>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</si>
  <si>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</si>
  <si>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</si>
  <si>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</si>
  <si>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</si>
  <si>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</si>
  <si>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</si>
  <si>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</si>
  <si>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</si>
  <si>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</si>
  <si>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</si>
  <si>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</si>
  <si>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</si>
  <si>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</si>
  <si>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</si>
  <si>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</si>
  <si>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</si>
  <si>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</si>
  <si>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</si>
  <si>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</si>
  <si>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</si>
  <si>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</si>
  <si>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</si>
  <si>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</si>
  <si>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</si>
  <si>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</si>
  <si>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</si>
  <si>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</si>
  <si>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</si>
  <si>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</si>
  <si>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</si>
  <si>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</si>
  <si>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</si>
  <si>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</si>
  <si>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</si>
  <si>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</si>
  <si>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</si>
  <si>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</si>
  <si>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</si>
  <si>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</si>
  <si>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</si>
  <si>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</si>
  <si>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</si>
  <si>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</si>
  <si>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</si>
  <si>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</si>
  <si>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</si>
  <si>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</si>
  <si>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</si>
  <si>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</si>
  <si>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</si>
  <si>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</si>
  <si>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</si>
  <si>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</si>
  <si>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</si>
  <si>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</si>
  <si>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</si>
  <si>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</si>
  <si>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</si>
  <si>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</si>
  <si>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</si>
  <si>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</si>
  <si>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</si>
  <si>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</si>
  <si>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</si>
  <si>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</si>
  <si>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</si>
  <si>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</si>
  <si>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</si>
  <si>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</si>
  <si>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</si>
  <si>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</si>
  <si>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</si>
  <si>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</si>
  <si>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</si>
  <si>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</si>
  <si>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</si>
  <si>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</si>
  <si>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</si>
  <si>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</si>
  <si>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</si>
  <si>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</si>
  <si>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</si>
  <si>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</si>
  <si>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</si>
  <si>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</si>
  <si>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</si>
  <si>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</si>
  <si>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</si>
  <si>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</si>
  <si>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</si>
  <si>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</si>
  <si>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</si>
  <si>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</si>
  <si>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</si>
  <si>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</si>
  <si>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</si>
  <si>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</si>
  <si>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</si>
  <si>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</si>
  <si>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</si>
  <si>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</si>
  <si>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</si>
  <si>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</si>
  <si>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</si>
  <si>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</si>
  <si>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</si>
  <si>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</si>
  <si>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</si>
  <si>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</si>
  <si>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</si>
  <si>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</si>
  <si>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</si>
  <si>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</si>
  <si>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</si>
  <si>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</si>
  <si>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</si>
  <si>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</si>
  <si>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</si>
  <si>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</si>
  <si>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</si>
  <si>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</si>
  <si>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</si>
  <si>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</si>
  <si>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</si>
  <si>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</si>
  <si>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</si>
  <si>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</si>
  <si>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</si>
  <si>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</si>
  <si>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</si>
  <si>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</si>
  <si>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</si>
  <si>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</si>
  <si>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</si>
  <si>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</si>
  <si>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</si>
  <si>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</si>
  <si>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</si>
  <si>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</si>
  <si>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</si>
  <si>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</si>
  <si>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</si>
  <si>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</si>
  <si>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</si>
  <si>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</si>
  <si>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</si>
  <si>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</si>
  <si>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</si>
  <si>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</si>
  <si>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</si>
  <si>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</si>
  <si>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</si>
  <si>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</si>
  <si>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</si>
  <si>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</si>
  <si>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</si>
  <si>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</si>
  <si>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</si>
  <si>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</si>
  <si>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</si>
  <si>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</si>
  <si>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</si>
  <si>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</si>
  <si>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</si>
  <si>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</si>
  <si>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</si>
  <si>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</si>
  <si>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</si>
  <si>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</si>
  <si>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</si>
  <si>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</si>
  <si>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</si>
  <si>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</si>
  <si>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</si>
  <si>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</si>
  <si>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</si>
  <si>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</si>
  <si>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</si>
  <si>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</si>
  <si>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</si>
  <si>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</si>
  <si>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</si>
  <si>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</si>
  <si>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</si>
  <si>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</si>
  <si>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</si>
  <si>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</si>
  <si>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</si>
  <si>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</si>
  <si>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</si>
  <si>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</si>
  <si>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</si>
  <si>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</si>
  <si>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</si>
  <si>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</si>
  <si>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</si>
  <si>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</si>
  <si>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</si>
  <si>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</si>
  <si>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</si>
  <si>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</si>
  <si>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</si>
  <si>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</si>
  <si>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</si>
  <si>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</si>
  <si>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</si>
  <si>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</si>
  <si>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</si>
  <si>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</si>
  <si>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</si>
  <si>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</si>
  <si>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</si>
  <si>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</si>
  <si>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</si>
  <si>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</si>
  <si>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</si>
  <si>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</si>
  <si>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</si>
  <si>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</si>
  <si>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</si>
  <si>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</si>
  <si>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</si>
  <si>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</si>
  <si>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</si>
  <si>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</si>
  <si>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</si>
  <si>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</si>
  <si>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</si>
  <si>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</si>
  <si>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</si>
  <si>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</si>
  <si>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</si>
  <si>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</si>
  <si>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</si>
  <si>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</si>
  <si>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</si>
  <si>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</si>
  <si>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</si>
  <si>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</si>
  <si>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</si>
  <si>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</si>
  <si>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</si>
  <si>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</si>
  <si>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</si>
  <si>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</si>
  <si>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</si>
  <si>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</si>
  <si>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</si>
  <si>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</si>
  <si>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</si>
  <si>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</si>
  <si>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</si>
  <si>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</si>
  <si>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</si>
  <si>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</si>
  <si>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</si>
  <si>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</si>
  <si>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</si>
  <si>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</si>
  <si>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</si>
  <si>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</si>
  <si>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</si>
  <si>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</si>
  <si>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</si>
  <si>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</si>
  <si>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</si>
  <si>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</si>
  <si>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</si>
  <si>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</si>
  <si>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</si>
  <si>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</si>
  <si>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</si>
  <si>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</si>
  <si>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</si>
  <si>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</si>
  <si>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</si>
  <si>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</si>
  <si>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</si>
  <si>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</si>
  <si>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</si>
  <si>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</si>
  <si>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</si>
  <si>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</si>
  <si>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</si>
  <si>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</si>
  <si>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</si>
  <si>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</si>
  <si>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</si>
  <si>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</si>
  <si>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</si>
  <si>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</si>
  <si>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</si>
  <si>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</si>
  <si>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</si>
  <si>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</si>
  <si>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</si>
  <si>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</si>
  <si>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</si>
  <si>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</si>
  <si>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</si>
  <si>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</si>
  <si>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</si>
  <si>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</si>
  <si>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</si>
  <si>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</si>
  <si>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</si>
  <si>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</si>
  <si>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</si>
  <si>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</si>
  <si>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</si>
  <si>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</si>
  <si>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</si>
  <si>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</si>
  <si>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</si>
  <si>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</si>
  <si>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</si>
  <si>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</si>
  <si>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</si>
  <si>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</si>
  <si>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</si>
  <si>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</si>
  <si>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</si>
  <si>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</si>
  <si>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</si>
  <si>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</si>
  <si>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</si>
  <si>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</si>
  <si>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</si>
  <si>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</si>
  <si>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</si>
  <si>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</si>
  <si>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</si>
  <si>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</si>
  <si>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</si>
  <si>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</si>
  <si>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</si>
  <si>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</si>
  <si>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</si>
  <si>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</si>
  <si>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</si>
  <si>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</si>
  <si>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</si>
  <si>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</si>
  <si>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</si>
  <si>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</si>
  <si>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</si>
  <si>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</si>
  <si>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</si>
  <si>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</si>
  <si>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</si>
  <si>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</si>
  <si>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</si>
  <si>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</si>
  <si>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</si>
  <si>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</si>
  <si>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</si>
  <si>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</si>
  <si>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</si>
  <si>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</si>
  <si>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</si>
  <si>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</si>
  <si>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</si>
  <si>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</si>
  <si>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</si>
  <si>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</si>
  <si>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</si>
  <si>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</si>
  <si>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</si>
  <si>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</si>
  <si>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</si>
  <si>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</si>
  <si>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</si>
  <si>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</si>
  <si>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</si>
  <si>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</si>
  <si>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</si>
  <si>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</si>
  <si>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</si>
  <si>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</si>
  <si>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</si>
  <si>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</si>
  <si>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</si>
  <si>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</si>
  <si>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</si>
  <si>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</si>
  <si>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</si>
  <si>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</si>
  <si>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</si>
  <si>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</si>
  <si>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</si>
  <si>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</si>
  <si>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</si>
  <si>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</si>
  <si>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</si>
  <si>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</si>
  <si>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</si>
  <si>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</si>
  <si>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</si>
  <si>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</si>
  <si>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</si>
  <si>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</si>
  <si>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</si>
  <si>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</si>
  <si>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</si>
  <si>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</si>
  <si>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</si>
  <si>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</si>
  <si>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</si>
  <si>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</si>
  <si>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</si>
  <si>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</si>
  <si>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</si>
  <si>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</si>
  <si>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</si>
  <si>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</si>
  <si>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</si>
  <si>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</si>
  <si>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</si>
  <si>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</si>
  <si>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</si>
  <si>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</si>
  <si>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</si>
  <si>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</si>
  <si>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</si>
  <si>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</si>
  <si>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</si>
  <si>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</si>
  <si>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</si>
  <si>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</si>
  <si>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</si>
  <si>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</si>
  <si>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</si>
  <si>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</si>
  <si>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</si>
  <si>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</si>
  <si>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</si>
  <si>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</si>
  <si>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</si>
  <si>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</si>
  <si>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</si>
  <si>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</si>
  <si>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</si>
  <si>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</si>
  <si>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</si>
  <si>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</si>
  <si>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</si>
  <si>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</si>
  <si>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</si>
  <si>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</si>
  <si>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</si>
  <si>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</si>
  <si>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</si>
  <si>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</si>
  <si>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</si>
  <si>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</si>
  <si>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</si>
  <si>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</si>
  <si>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</si>
  <si>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</si>
  <si>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</si>
  <si>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</si>
  <si>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</si>
  <si>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</si>
  <si>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</si>
  <si>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</si>
  <si>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</si>
  <si>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</si>
  <si>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</si>
  <si>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</si>
  <si>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</si>
  <si>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</si>
  <si>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</si>
  <si>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</si>
  <si>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</si>
  <si>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</si>
  <si>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</si>
  <si>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</si>
  <si>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</si>
  <si>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</si>
  <si>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</si>
  <si>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</si>
  <si>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</si>
  <si>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</si>
  <si>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</si>
  <si>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</si>
  <si>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</si>
  <si>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</si>
  <si>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</si>
  <si>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</si>
  <si>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</si>
  <si>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</si>
  <si>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</si>
  <si>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</si>
  <si>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</si>
  <si>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</si>
  <si>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</si>
  <si>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</si>
  <si>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</si>
  <si>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</si>
  <si>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</si>
  <si>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</si>
  <si>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</si>
  <si>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</si>
  <si>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</si>
  <si>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</si>
  <si>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</si>
  <si>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</si>
  <si>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</si>
  <si>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</si>
  <si>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</si>
  <si>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</si>
  <si>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</si>
  <si>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</si>
  <si>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</si>
  <si>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</si>
  <si>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</si>
  <si>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</si>
  <si>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</si>
  <si>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</si>
  <si>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</si>
  <si>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</si>
  <si>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</si>
  <si>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</si>
  <si>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</si>
  <si>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</si>
  <si>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</si>
  <si>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</si>
  <si>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</si>
  <si>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</si>
  <si>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</si>
  <si>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</si>
  <si>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</si>
  <si>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</si>
  <si>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</si>
  <si>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</si>
  <si>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</si>
  <si>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</si>
  <si>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</si>
  <si>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</si>
  <si>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</si>
  <si>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</si>
  <si>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</si>
  <si>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</si>
  <si>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</si>
  <si>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</si>
  <si>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</si>
  <si>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</si>
  <si>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</si>
  <si>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</si>
  <si>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</si>
  <si>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</si>
  <si>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</si>
  <si>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</si>
  <si>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</si>
  <si>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</si>
  <si>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</si>
  <si>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</si>
  <si>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</si>
  <si>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</si>
  <si>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</si>
  <si>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</si>
  <si>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</si>
  <si>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</si>
  <si>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</si>
  <si>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</si>
  <si>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</si>
  <si>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</si>
  <si>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</si>
  <si>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</si>
  <si>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</si>
  <si>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</si>
  <si>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</si>
  <si>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</si>
  <si>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</si>
  <si>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</si>
  <si>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</si>
  <si>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</si>
  <si>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</si>
  <si>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</si>
  <si>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</si>
  <si>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</si>
  <si>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</si>
  <si>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</si>
  <si>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</si>
  <si>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</si>
  <si>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</si>
  <si>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</si>
  <si>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</si>
  <si>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</si>
  <si>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</si>
  <si>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</si>
  <si>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</si>
  <si>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</si>
  <si>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</si>
  <si>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</si>
  <si>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</si>
  <si>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</si>
  <si>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</si>
  <si>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</si>
  <si>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</si>
  <si>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</si>
  <si>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</si>
  <si>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</si>
  <si>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</si>
  <si>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</si>
  <si>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</si>
  <si>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</si>
  <si>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</si>
  <si>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</si>
  <si>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</si>
  <si>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</si>
  <si>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</si>
  <si>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</si>
  <si>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</si>
  <si>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</si>
  <si>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</si>
  <si>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</si>
  <si>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</si>
  <si>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</si>
  <si>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</si>
  <si>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</si>
  <si>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</si>
  <si>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</si>
  <si>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</si>
  <si>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</si>
  <si>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</si>
  <si>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</si>
  <si>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</si>
  <si>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</si>
  <si>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</si>
  <si>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</si>
  <si>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</si>
  <si>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</si>
  <si>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</si>
  <si>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</si>
  <si>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</si>
  <si>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</si>
  <si>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</si>
  <si>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</si>
  <si>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</si>
  <si>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</si>
  <si>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</si>
  <si>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</si>
  <si>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</si>
  <si>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</si>
  <si>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</si>
  <si>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</si>
  <si>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</si>
  <si>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</si>
  <si>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</si>
  <si>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</si>
  <si>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</si>
  <si>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</si>
  <si>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</si>
  <si>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</si>
  <si>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</si>
  <si>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</si>
  <si>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</si>
  <si>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</si>
  <si>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</si>
  <si>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</si>
  <si>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</si>
  <si>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</si>
  <si>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</si>
  <si>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</si>
  <si>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</si>
  <si>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</si>
  <si>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</si>
  <si>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</si>
  <si>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</si>
  <si>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</si>
  <si>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</si>
  <si>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</si>
  <si>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</si>
  <si>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</si>
  <si>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</si>
  <si>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</si>
  <si>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</si>
  <si>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</si>
  <si>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</si>
  <si>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</si>
  <si>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</si>
  <si>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</si>
  <si>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</si>
  <si>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</si>
  <si>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</si>
  <si>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</si>
  <si>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</si>
  <si>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</si>
  <si>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</si>
  <si>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</si>
  <si>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</si>
  <si>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</si>
  <si>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</si>
  <si>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</si>
  <si>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</si>
  <si>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</si>
  <si>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</si>
  <si>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</si>
  <si>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</si>
  <si>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</si>
  <si>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</si>
  <si>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</si>
  <si>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</si>
  <si>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</si>
  <si>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</si>
  <si>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</si>
  <si>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</si>
  <si>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</si>
  <si>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</si>
  <si>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</si>
  <si>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</si>
  <si>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</si>
  <si>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</si>
  <si>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</si>
  <si>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</si>
  <si>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</si>
  <si>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</si>
  <si>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</si>
  <si>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</si>
  <si>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</si>
  <si>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</si>
  <si>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</si>
  <si>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</si>
  <si>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</si>
  <si>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</si>
  <si>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</si>
  <si>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</si>
  <si>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</si>
  <si>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</si>
  <si>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</si>
  <si>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</si>
  <si>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</si>
  <si>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</si>
  <si>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</si>
  <si>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</si>
  <si>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</si>
  <si>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</si>
  <si>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</si>
  <si>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</si>
  <si>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</si>
  <si>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</si>
  <si>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</si>
  <si>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</si>
  <si>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</si>
  <si>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</si>
  <si>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</si>
  <si>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</si>
  <si>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</si>
  <si>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</si>
  <si>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</si>
  <si>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</si>
  <si>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</si>
  <si>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</si>
  <si>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</si>
  <si>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</si>
  <si>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</si>
  <si>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</si>
  <si>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</si>
  <si>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</si>
  <si>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</si>
  <si>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</si>
  <si>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</si>
  <si>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</si>
  <si>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</si>
  <si>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</si>
  <si>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</si>
  <si>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</si>
  <si>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</si>
  <si>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</si>
  <si>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</si>
  <si>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</si>
  <si>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</si>
  <si>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</si>
  <si>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</si>
  <si>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</si>
  <si>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</si>
  <si>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</si>
  <si>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</si>
  <si>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</si>
  <si>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</si>
  <si>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</si>
  <si>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</si>
  <si>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</si>
  <si>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</si>
  <si>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</si>
  <si>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</si>
  <si>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</si>
  <si>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</si>
  <si>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</si>
  <si>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</si>
  <si>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</si>
  <si>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</si>
  <si>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</si>
  <si>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</si>
  <si>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</si>
  <si>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</si>
  <si>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</si>
  <si>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</si>
  <si>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</si>
  <si>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</si>
  <si>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</si>
  <si>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</si>
  <si>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</si>
  <si>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</si>
  <si>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</si>
  <si>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</si>
  <si>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</si>
  <si>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</si>
  <si>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</si>
  <si>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</si>
  <si>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</si>
  <si>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</si>
  <si>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</si>
  <si>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</si>
  <si>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</si>
  <si>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</si>
  <si>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</si>
  <si>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</si>
  <si>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</si>
  <si>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</si>
  <si>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</si>
  <si>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</si>
  <si>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</si>
  <si>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</si>
  <si>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</si>
  <si>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</si>
  <si>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</si>
  <si>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</si>
  <si>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</si>
  <si>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</si>
  <si>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</si>
  <si>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</si>
  <si>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</si>
  <si>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</si>
  <si>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</si>
  <si>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</si>
  <si>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</si>
  <si>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</si>
  <si>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</si>
  <si>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</si>
  <si>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</si>
  <si>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</si>
  <si>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</si>
  <si>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</si>
  <si>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</si>
  <si>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</si>
  <si>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</si>
  <si>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</si>
  <si>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</si>
  <si>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</si>
  <si>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</si>
  <si>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</si>
  <si>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</si>
  <si>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</si>
  <si>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</si>
  <si>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</si>
  <si>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</si>
  <si>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</si>
  <si>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</si>
  <si>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</si>
  <si>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</si>
  <si>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</si>
  <si>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</si>
  <si>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</si>
  <si>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</si>
  <si>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</si>
  <si>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</si>
  <si>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</si>
  <si>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</si>
  <si>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</si>
  <si>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</si>
  <si>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</si>
  <si>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</si>
  <si>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</si>
  <si>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</si>
  <si>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</si>
  <si>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</si>
  <si>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</si>
  <si>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</si>
  <si>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</si>
  <si>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</si>
  <si>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</si>
  <si>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</si>
  <si>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</si>
  <si>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</si>
  <si>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</si>
  <si>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</si>
  <si>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</si>
  <si>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</si>
  <si>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</si>
  <si>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</si>
  <si>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</si>
  <si>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</si>
  <si>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</si>
  <si>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</si>
  <si>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</si>
  <si>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</si>
  <si>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</si>
  <si>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</si>
  <si>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</si>
  <si>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</si>
  <si>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</si>
  <si>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</si>
  <si>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</si>
  <si>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</si>
  <si>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</si>
  <si>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</si>
  <si>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</si>
  <si>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</si>
  <si>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</si>
  <si>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</si>
  <si>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</si>
  <si>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</si>
  <si>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</si>
  <si>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</si>
  <si>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</si>
  <si>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</si>
  <si>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</si>
  <si>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</si>
  <si>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</si>
  <si>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</si>
  <si>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</si>
  <si>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</si>
  <si>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</si>
  <si>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</si>
  <si>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</si>
  <si>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</si>
  <si>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</si>
  <si>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</si>
  <si>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</si>
  <si>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</si>
  <si>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</si>
  <si>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</si>
  <si>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</si>
  <si>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</si>
  <si>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</si>
  <si>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</si>
  <si>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</si>
  <si>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</si>
  <si>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</si>
  <si>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</si>
  <si>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</si>
  <si>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</si>
  <si>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</si>
  <si>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</si>
  <si>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</si>
  <si>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</si>
  <si>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</si>
  <si>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</si>
  <si>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</si>
  <si>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</si>
  <si>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</si>
  <si>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</si>
  <si>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</si>
  <si>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</si>
  <si>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</si>
  <si>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</si>
  <si>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</si>
  <si>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</si>
  <si>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</si>
  <si>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</si>
  <si>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</si>
  <si>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</si>
  <si>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</si>
  <si>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</si>
  <si>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</si>
  <si>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</si>
  <si>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</si>
  <si>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</si>
  <si>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</si>
  <si>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</si>
  <si>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</si>
  <si>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</si>
  <si>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</si>
  <si>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</si>
  <si>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</si>
  <si>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</si>
  <si>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</si>
  <si>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</si>
  <si>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</si>
  <si>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</si>
  <si>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</si>
  <si>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</si>
  <si>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</si>
  <si>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</si>
  <si>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</si>
  <si>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</si>
  <si>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</si>
  <si>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</si>
  <si>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</si>
  <si>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</si>
  <si>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</si>
  <si>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</si>
  <si>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</si>
  <si>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</si>
  <si>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</si>
  <si>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</si>
  <si>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</si>
  <si>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</si>
  <si>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</si>
  <si>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</si>
  <si>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</si>
  <si>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</si>
  <si>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</si>
  <si>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</si>
  <si>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</si>
  <si>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</si>
  <si>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</si>
  <si>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</si>
  <si>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</si>
  <si>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</si>
  <si>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</si>
  <si>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</si>
  <si>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</si>
  <si>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</si>
  <si>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</si>
  <si>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</si>
  <si>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</si>
  <si>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</si>
  <si>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</si>
  <si>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</si>
  <si>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</si>
  <si>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</si>
  <si>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</si>
  <si>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</si>
  <si>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</si>
  <si>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</si>
  <si>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</si>
  <si>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</si>
  <si>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</si>
  <si>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</si>
  <si>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</si>
  <si>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</si>
  <si>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</si>
  <si>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</si>
  <si>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</si>
  <si>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</si>
  <si>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</si>
  <si>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</si>
  <si>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</si>
  <si>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</si>
  <si>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</si>
  <si>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</si>
  <si>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</si>
  <si>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</si>
  <si>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</si>
  <si>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</si>
  <si>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</si>
  <si>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</si>
  <si>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</si>
  <si>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</si>
  <si>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</si>
  <si>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</si>
  <si>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</si>
  <si>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</si>
  <si>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</si>
  <si>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</si>
  <si>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</si>
  <si>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</si>
  <si>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</si>
  <si>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</si>
  <si>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</si>
  <si>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</si>
  <si>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</si>
  <si>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</si>
  <si>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</si>
  <si>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</si>
  <si>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</si>
  <si>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</si>
  <si>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</si>
  <si>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</si>
  <si>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</si>
  <si>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</si>
  <si>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</si>
  <si>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</si>
  <si>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</si>
  <si>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</si>
  <si>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</si>
  <si>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</si>
  <si>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</si>
  <si>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</si>
  <si>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</si>
  <si>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</si>
  <si>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</si>
  <si>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</si>
  <si>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</si>
  <si>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</si>
  <si>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</si>
  <si>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</si>
  <si>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</si>
  <si>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</si>
  <si>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</si>
  <si>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</si>
  <si>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</si>
  <si>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</si>
  <si>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</si>
  <si>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</si>
  <si>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</si>
  <si>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</si>
  <si>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</si>
  <si>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</si>
  <si>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</si>
  <si>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</si>
  <si>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</si>
  <si>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</si>
  <si>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</si>
  <si>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</si>
  <si>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</si>
  <si>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</si>
  <si>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</si>
  <si>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</si>
  <si>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</si>
  <si>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</si>
  <si>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</si>
  <si>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</si>
  <si>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</si>
  <si>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</si>
  <si>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</si>
  <si>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</si>
  <si>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</si>
  <si>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</si>
  <si>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</si>
  <si>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</si>
  <si>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</si>
  <si>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</si>
  <si>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</si>
  <si>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</si>
  <si>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</si>
  <si>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</si>
  <si>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</si>
  <si>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</si>
  <si>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</si>
  <si>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</si>
  <si>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</si>
  <si>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</si>
  <si>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</si>
  <si>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</si>
  <si>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</si>
  <si>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</si>
  <si>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</si>
  <si>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</si>
  <si>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</si>
  <si>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</si>
  <si>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</si>
  <si>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</si>
  <si>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</si>
  <si>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</si>
  <si>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</si>
  <si>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</si>
  <si>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</si>
  <si>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</si>
  <si>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</si>
  <si>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</si>
  <si>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</si>
  <si>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</si>
  <si>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</si>
  <si>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</si>
  <si>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</si>
  <si>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</si>
  <si>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</si>
  <si>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</si>
  <si>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</si>
  <si>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</si>
  <si>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</si>
  <si>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</si>
  <si>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</si>
  <si>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</si>
  <si>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</si>
  <si>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</si>
  <si>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</si>
  <si>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</si>
  <si>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</si>
  <si>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</si>
  <si>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</si>
  <si>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</si>
  <si>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</si>
  <si>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</si>
  <si>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</si>
  <si>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</si>
  <si>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</si>
  <si>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</si>
  <si>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</si>
  <si>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</si>
  <si>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</si>
  <si>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</si>
  <si>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</si>
  <si>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</si>
  <si>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</si>
  <si>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</si>
  <si>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</si>
  <si>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</si>
  <si>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</si>
  <si>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</si>
  <si>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</si>
  <si>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</si>
  <si>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</si>
  <si>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</si>
  <si>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</si>
  <si>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</si>
  <si>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</si>
  <si>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</si>
  <si>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</si>
  <si>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</si>
  <si>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</si>
  <si>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</si>
  <si>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</si>
  <si>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</si>
  <si>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</si>
  <si>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</si>
  <si>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</si>
  <si>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</si>
  <si>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</si>
  <si>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</si>
  <si>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</si>
  <si>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</si>
  <si>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</si>
  <si>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</si>
  <si>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</si>
  <si>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</si>
  <si>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</si>
  <si>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</si>
  <si>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</si>
  <si>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</si>
  <si>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</si>
  <si>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</si>
  <si>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</si>
  <si>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</si>
  <si>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</si>
  <si>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</si>
  <si>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</si>
  <si>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</si>
  <si>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</si>
  <si>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</si>
  <si>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</si>
  <si>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</si>
  <si>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</si>
  <si>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</si>
  <si>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</si>
  <si>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</si>
  <si>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</si>
  <si>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</si>
  <si>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</si>
  <si>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</si>
  <si>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</si>
  <si>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</si>
  <si>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</si>
  <si>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</si>
  <si>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</si>
  <si>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</si>
  <si>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</si>
  <si>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</si>
  <si>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</si>
  <si>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</si>
  <si>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</si>
  <si>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</si>
  <si>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</si>
  <si>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</si>
  <si>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</si>
  <si>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</si>
  <si>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</si>
  <si>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</si>
  <si>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</si>
  <si>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</si>
  <si>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</si>
  <si>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</si>
  <si>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</si>
  <si>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</si>
  <si>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</si>
  <si>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</si>
  <si>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</si>
  <si>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</si>
  <si>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</si>
  <si>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</si>
  <si>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</si>
  <si>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</si>
  <si>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</si>
  <si>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</si>
  <si>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</si>
  <si>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</si>
  <si>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</si>
  <si>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</si>
  <si>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</si>
  <si>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</si>
  <si>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</si>
  <si>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</si>
  <si>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</si>
  <si>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</si>
  <si>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</si>
  <si>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</si>
  <si>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</si>
  <si>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</si>
  <si>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</si>
  <si>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</si>
  <si>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</si>
  <si>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</si>
  <si>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</si>
  <si>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</si>
  <si>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</si>
  <si>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</si>
  <si>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</si>
  <si>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</si>
  <si>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</si>
  <si>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</si>
  <si>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</si>
  <si>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</si>
  <si>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</si>
  <si>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</si>
  <si>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</si>
  <si>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</si>
  <si>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</si>
  <si>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</si>
  <si>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</si>
  <si>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</si>
  <si>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</si>
  <si>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</si>
  <si>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</si>
  <si>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</si>
  <si>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</si>
  <si>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</si>
  <si>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</si>
  <si>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</si>
  <si>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</si>
  <si>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</si>
  <si>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</si>
  <si>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</si>
  <si>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</si>
  <si>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</si>
  <si>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</si>
  <si>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</si>
  <si>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</si>
  <si>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</si>
  <si>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</si>
  <si>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</si>
  <si>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</si>
  <si>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</si>
  <si>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</si>
  <si>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</si>
  <si>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</si>
  <si>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</si>
  <si>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</si>
  <si>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</si>
  <si>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</si>
  <si>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</si>
  <si>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</si>
  <si>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</si>
  <si>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</si>
  <si>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</si>
  <si>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</si>
  <si>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</si>
  <si>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</si>
  <si>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</si>
  <si>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</si>
  <si>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</si>
  <si>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</si>
  <si>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</si>
  <si>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</si>
  <si>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</si>
  <si>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</si>
  <si>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</si>
  <si>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</si>
  <si>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</si>
  <si>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</si>
  <si>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</si>
  <si>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</si>
  <si>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</si>
  <si>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</si>
  <si>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</si>
  <si>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</si>
  <si>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</si>
  <si>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</si>
  <si>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</si>
  <si>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</si>
  <si>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</si>
  <si>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</si>
  <si>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</si>
  <si>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</si>
  <si>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</si>
  <si>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</si>
  <si>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</si>
  <si>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</si>
  <si>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</si>
  <si>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</si>
  <si>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</si>
  <si>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</si>
  <si>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</si>
  <si>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</si>
  <si>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</si>
  <si>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</si>
  <si>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</si>
  <si>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</si>
  <si>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</si>
  <si>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</si>
  <si>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</si>
  <si>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</si>
  <si>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</si>
  <si>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</si>
  <si>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</si>
  <si>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</si>
  <si>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</si>
  <si>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</si>
  <si>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</si>
  <si>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</si>
  <si>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</si>
  <si>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</si>
  <si>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</si>
  <si>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</si>
  <si>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</si>
  <si>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</si>
  <si>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</si>
  <si>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</si>
  <si>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</si>
  <si>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</si>
  <si>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</si>
  <si>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</si>
  <si>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</si>
  <si>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</si>
  <si>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</si>
  <si>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</si>
  <si>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</si>
  <si>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</si>
  <si>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</si>
  <si>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</si>
  <si>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</si>
  <si>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</si>
  <si>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</si>
  <si>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</si>
  <si>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</si>
  <si>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</si>
  <si>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</si>
  <si>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</si>
  <si>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</si>
  <si>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</si>
  <si>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</si>
  <si>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</si>
  <si>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</si>
  <si>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</si>
  <si>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</si>
  <si>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</si>
  <si>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</si>
  <si>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</si>
  <si>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</si>
  <si>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</si>
  <si>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</si>
  <si>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</si>
  <si>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</si>
  <si>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</si>
  <si>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</si>
  <si>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</si>
  <si>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</si>
  <si>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</si>
  <si>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</si>
  <si>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</si>
  <si>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</si>
  <si>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</si>
  <si>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</si>
  <si>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</si>
  <si>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</si>
  <si>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</si>
  <si>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</si>
  <si>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</si>
  <si>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</si>
  <si>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</si>
  <si>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</si>
  <si>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</si>
  <si>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</si>
  <si>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</si>
  <si>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</si>
  <si>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</si>
  <si>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</si>
  <si>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</si>
  <si>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</si>
  <si>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</si>
  <si>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</si>
  <si>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</si>
  <si>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</si>
  <si>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</si>
  <si>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</si>
  <si>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</si>
  <si>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</si>
  <si>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</si>
  <si>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</si>
  <si>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</si>
  <si>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</si>
  <si>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</si>
  <si>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</si>
  <si>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</si>
  <si>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</si>
  <si>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</si>
  <si>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</si>
  <si>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</si>
  <si>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</si>
  <si>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</si>
  <si>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</si>
  <si>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</si>
  <si>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</si>
  <si>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</si>
  <si>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</si>
  <si>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</si>
  <si>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</si>
  <si>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</si>
  <si>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</si>
  <si>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</si>
  <si>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</si>
  <si>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</si>
  <si>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</si>
  <si>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</si>
  <si>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</si>
  <si>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</si>
  <si>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</si>
  <si>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</si>
  <si>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</si>
  <si>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</si>
  <si>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</si>
  <si>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</si>
  <si>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</si>
  <si>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</si>
  <si>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</si>
  <si>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</si>
  <si>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</si>
  <si>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</si>
  <si>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</si>
  <si>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</si>
  <si>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</si>
  <si>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</si>
  <si>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</si>
  <si>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</si>
  <si>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</si>
  <si>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</si>
  <si>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</si>
  <si>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</si>
  <si>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</si>
  <si>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</si>
  <si>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</si>
  <si>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</si>
  <si>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</si>
  <si>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</si>
  <si>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</si>
  <si>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</si>
  <si>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</si>
  <si>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</si>
  <si>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</si>
  <si>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</si>
  <si>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</si>
  <si>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</si>
  <si>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</si>
  <si>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</si>
  <si>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</si>
  <si>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</si>
  <si>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</si>
  <si>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</si>
  <si>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</si>
  <si>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</si>
  <si>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</si>
  <si>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</si>
  <si>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</si>
  <si>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</si>
  <si>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</si>
  <si>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</si>
  <si>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</si>
  <si>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</si>
  <si>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</si>
  <si>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</si>
  <si>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</si>
  <si>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</si>
  <si>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</si>
  <si>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</si>
  <si>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</si>
  <si>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</si>
  <si>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</si>
  <si>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</si>
  <si>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</si>
  <si>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</si>
  <si>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</si>
  <si>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</si>
  <si>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</si>
  <si>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</si>
  <si>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</si>
  <si>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</si>
  <si>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</si>
  <si>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</si>
  <si>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</si>
  <si>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</si>
  <si>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</si>
  <si>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</si>
  <si>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</si>
  <si>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</si>
  <si>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</si>
  <si>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</si>
  <si>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</si>
  <si>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</si>
  <si>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</si>
  <si>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</si>
  <si>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</si>
  <si>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</si>
  <si>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</si>
  <si>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</si>
  <si>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</si>
  <si>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</si>
  <si>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</si>
  <si>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</si>
  <si>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</si>
  <si>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</si>
  <si>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</si>
  <si>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</si>
  <si>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</si>
  <si>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</si>
  <si>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</si>
  <si>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</si>
  <si>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</si>
  <si>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</si>
  <si>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</si>
  <si>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</si>
  <si>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</si>
  <si>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</si>
  <si>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</si>
  <si>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</si>
  <si>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</si>
  <si>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</si>
  <si>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</si>
  <si>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</si>
  <si>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</si>
  <si>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</si>
  <si>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</si>
  <si>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</si>
  <si>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</si>
  <si>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</si>
  <si>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</si>
  <si>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</si>
  <si>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</si>
  <si>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</si>
  <si>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</si>
  <si>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</si>
  <si>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</si>
  <si>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</si>
  <si>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</si>
  <si>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</si>
  <si>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</si>
  <si>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</si>
  <si>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</si>
  <si>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</si>
  <si>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</si>
  <si>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</si>
  <si>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</si>
  <si>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</si>
  <si>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</si>
  <si>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</si>
  <si>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</si>
  <si>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</si>
  <si>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</si>
  <si>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</si>
  <si>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</si>
  <si>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</si>
  <si>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</si>
  <si>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</si>
  <si>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</si>
  <si>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</si>
  <si>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</si>
  <si>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</si>
  <si>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</si>
  <si>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</si>
  <si>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</si>
  <si>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</si>
  <si>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</si>
  <si>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</si>
  <si>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</si>
  <si>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</si>
  <si>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</si>
  <si>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</si>
  <si>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</si>
  <si>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</si>
  <si>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</si>
  <si>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</si>
  <si>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</si>
  <si>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</si>
  <si>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</si>
  <si>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</si>
  <si>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</si>
  <si>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</si>
  <si>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</si>
  <si>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</si>
  <si>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</si>
  <si>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</si>
  <si>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</si>
  <si>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</si>
  <si>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</si>
  <si>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</si>
  <si>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</si>
  <si>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</si>
  <si>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</si>
  <si>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</si>
  <si>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</si>
  <si>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</si>
  <si>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</si>
  <si>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</si>
  <si>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</si>
  <si>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</si>
  <si>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</si>
  <si>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</si>
  <si>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</si>
  <si>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</si>
  <si>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</si>
  <si>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</si>
  <si>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</si>
  <si>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</si>
  <si>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</si>
  <si>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</si>
  <si>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</si>
  <si>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</si>
  <si>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</si>
  <si>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</si>
  <si>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</si>
  <si>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</si>
  <si>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</si>
  <si>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</si>
  <si>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</si>
  <si>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</si>
  <si>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</si>
  <si>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</si>
  <si>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</si>
  <si>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</si>
  <si>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</si>
  <si>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</si>
  <si>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</si>
  <si>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</si>
  <si>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</si>
  <si>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</si>
  <si>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</si>
  <si>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</si>
  <si>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</si>
  <si>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</si>
  <si>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</si>
  <si>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</si>
  <si>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</si>
  <si>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</si>
  <si>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</si>
  <si>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</si>
  <si>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</si>
  <si>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</si>
  <si>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</si>
  <si>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</si>
  <si>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</si>
  <si>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</si>
  <si>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</si>
  <si>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</si>
  <si>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</si>
  <si>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</si>
  <si>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</si>
  <si>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</si>
  <si>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</si>
  <si>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</si>
  <si>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</si>
  <si>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</si>
  <si>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</si>
  <si>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</si>
  <si>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</si>
  <si>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</si>
  <si>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</si>
  <si>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</si>
  <si>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</si>
  <si>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</si>
  <si>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</si>
  <si>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</si>
  <si>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</si>
  <si>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</si>
  <si>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</si>
  <si>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</si>
  <si>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</si>
  <si>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</si>
  <si>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</si>
  <si>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</si>
  <si>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</si>
  <si>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</si>
  <si>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</si>
  <si>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</si>
  <si>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</si>
  <si>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</si>
  <si>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</si>
  <si>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</si>
  <si>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</si>
  <si>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</si>
  <si>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</si>
  <si>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</si>
  <si>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</si>
  <si>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</si>
  <si>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</si>
  <si>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</si>
  <si>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</si>
  <si>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</si>
  <si>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</si>
  <si>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</si>
  <si>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</si>
  <si>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</si>
  <si>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</si>
  <si>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</si>
  <si>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</si>
  <si>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</si>
  <si>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</si>
  <si>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</si>
  <si>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</si>
  <si>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</si>
  <si>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</si>
  <si>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</si>
  <si>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</si>
  <si>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</si>
  <si>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</si>
  <si>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</si>
  <si>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</si>
  <si>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</si>
  <si>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</si>
  <si>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</si>
  <si>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</si>
  <si>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</si>
  <si>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</si>
  <si>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</si>
  <si>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</si>
  <si>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</si>
  <si>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</si>
  <si>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</si>
  <si>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</si>
  <si>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</si>
  <si>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</si>
  <si>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</si>
  <si>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</si>
  <si>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</si>
  <si>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</si>
  <si>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</si>
  <si>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</si>
  <si>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</si>
  <si>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</si>
  <si>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</si>
  <si>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</si>
  <si>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</si>
  <si>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</si>
  <si>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</si>
  <si>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</si>
  <si>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</si>
  <si>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</si>
  <si>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</si>
  <si>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</si>
  <si>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</si>
  <si>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</si>
  <si>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</si>
  <si>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</si>
  <si>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</si>
  <si>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</si>
  <si>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</si>
  <si>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</si>
  <si>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</si>
  <si>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</si>
  <si>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</si>
  <si>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</si>
  <si>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</si>
  <si>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</si>
  <si>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</si>
  <si>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</si>
  <si>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</si>
  <si>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</si>
  <si>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</si>
  <si>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</si>
  <si>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</si>
  <si>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</si>
  <si>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</si>
  <si>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</si>
  <si>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</si>
  <si>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</si>
  <si>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</si>
  <si>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</si>
  <si>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</si>
  <si>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</si>
  <si>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</si>
  <si>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</si>
  <si>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</si>
  <si>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</si>
  <si>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</si>
  <si>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</si>
  <si>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</si>
  <si>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</si>
  <si>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</si>
  <si>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</si>
  <si>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</si>
  <si>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</si>
  <si>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</si>
  <si>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</si>
  <si>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</si>
  <si>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</si>
  <si>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</si>
  <si>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</si>
  <si>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</si>
  <si>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</si>
  <si>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</si>
  <si>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</si>
  <si>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</si>
  <si>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</si>
  <si>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</si>
  <si>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</si>
  <si>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</si>
  <si>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</si>
  <si>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</si>
  <si>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</si>
  <si>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</si>
  <si>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</si>
  <si>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</si>
  <si>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</si>
  <si>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</si>
  <si>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</si>
  <si>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</si>
  <si>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</si>
  <si>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</si>
  <si>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</si>
  <si>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</si>
  <si>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</si>
  <si>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</si>
  <si>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</si>
  <si>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</si>
  <si>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</si>
  <si>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</si>
  <si>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</si>
  <si>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</si>
  <si>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</si>
  <si>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</si>
  <si>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</si>
  <si>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</si>
  <si>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</si>
  <si>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</si>
  <si>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</si>
  <si>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</si>
  <si>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</si>
  <si>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</si>
  <si>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</si>
  <si>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</si>
  <si>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</si>
  <si>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</si>
  <si>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</si>
  <si>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</si>
  <si>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</si>
  <si>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</si>
  <si>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</si>
  <si>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</si>
  <si>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</si>
  <si>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</si>
  <si>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</si>
  <si>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</si>
  <si>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</si>
  <si>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</si>
  <si>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</si>
  <si>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</si>
  <si>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</si>
  <si>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</si>
  <si>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</si>
  <si>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</si>
  <si>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</si>
  <si>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</si>
  <si>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</si>
  <si>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</si>
  <si>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</si>
  <si>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</si>
  <si>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</si>
  <si>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</si>
  <si>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</si>
  <si>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</si>
  <si>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</si>
  <si>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</si>
  <si>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</si>
  <si>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</si>
  <si>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</si>
  <si>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</si>
  <si>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</si>
  <si>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</si>
  <si>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</si>
  <si>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</si>
  <si>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</si>
  <si>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</si>
  <si>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</si>
  <si>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</si>
  <si>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</si>
  <si>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</si>
  <si>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</si>
  <si>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</si>
  <si>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</si>
  <si>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</si>
  <si>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</si>
  <si>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</si>
  <si>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</si>
  <si>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</si>
  <si>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</si>
  <si>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</si>
  <si>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</si>
  <si>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</si>
  <si>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</si>
  <si>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</si>
  <si>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</si>
  <si>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</si>
  <si>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</si>
  <si>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</si>
  <si>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</si>
  <si>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</si>
  <si>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</si>
  <si>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</si>
  <si>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</si>
  <si>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</si>
  <si>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</si>
  <si>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</si>
  <si>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</si>
  <si>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</si>
  <si>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</si>
  <si>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</si>
  <si>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</si>
  <si>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</si>
  <si>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</si>
  <si>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</si>
  <si>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</si>
  <si>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</si>
  <si>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</si>
  <si>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</si>
  <si>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</si>
  <si>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</si>
  <si>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</si>
  <si>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</si>
  <si>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</si>
  <si>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</si>
  <si>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</si>
  <si>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</si>
  <si>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</si>
  <si>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</si>
  <si>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</si>
  <si>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</si>
  <si>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</si>
  <si>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</si>
  <si>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</si>
  <si>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</si>
  <si>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</si>
  <si>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</si>
  <si>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</si>
  <si>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</si>
  <si>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</si>
  <si>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</si>
  <si>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</si>
  <si>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</si>
  <si>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</si>
  <si>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</si>
  <si>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</si>
  <si>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</si>
  <si>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</si>
  <si>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</si>
  <si>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</si>
  <si>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</si>
  <si>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</si>
  <si>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</si>
  <si>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</si>
  <si>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</si>
  <si>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</si>
  <si>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</si>
  <si>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</si>
  <si>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</si>
  <si>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</si>
  <si>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</si>
  <si>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</si>
  <si>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</si>
  <si>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</si>
  <si>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</si>
  <si>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</si>
  <si>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</si>
  <si>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</si>
  <si>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</si>
  <si>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</si>
  <si>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</si>
  <si>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</si>
  <si>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</si>
  <si>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</si>
  <si>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</si>
  <si>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</si>
  <si>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</si>
  <si>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</si>
  <si>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</si>
  <si>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</si>
  <si>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</si>
  <si>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</si>
  <si>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</si>
  <si>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</si>
  <si>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</si>
  <si>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</si>
  <si>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</si>
  <si>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</si>
  <si>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</si>
  <si>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</si>
  <si>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</si>
  <si>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</si>
  <si>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</si>
  <si>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</si>
  <si>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</si>
  <si>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</si>
  <si>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</si>
  <si>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</si>
  <si>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</si>
  <si>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</si>
  <si>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</si>
  <si>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</si>
  <si>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</si>
  <si>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</si>
  <si>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</si>
  <si>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</si>
  <si>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</si>
  <si>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</si>
  <si>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</si>
  <si>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</si>
  <si>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</si>
  <si>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</si>
  <si>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</si>
  <si>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</si>
  <si>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</si>
  <si>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</si>
  <si>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</si>
  <si>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</si>
  <si>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</si>
  <si>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</si>
  <si>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</si>
  <si>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</si>
  <si>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</si>
  <si>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</si>
  <si>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</si>
  <si>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</si>
  <si>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</si>
  <si>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</si>
  <si>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</si>
  <si>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</si>
  <si>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</si>
  <si>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</si>
  <si>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</si>
  <si>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</si>
  <si>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</si>
  <si>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</si>
  <si>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</si>
  <si>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</si>
  <si>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</si>
  <si>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</si>
  <si>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</si>
  <si>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</si>
  <si>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</si>
  <si>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</si>
  <si>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</si>
  <si>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</si>
  <si>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</si>
  <si>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</si>
  <si>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</si>
  <si>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</si>
  <si>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</si>
  <si>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</si>
  <si>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</si>
  <si>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</si>
  <si>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</si>
  <si>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</si>
  <si>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</si>
  <si>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</si>
  <si>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</si>
  <si>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</si>
  <si>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</si>
  <si>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</si>
  <si>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</si>
  <si>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</si>
  <si>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</si>
  <si>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</si>
  <si>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</si>
  <si>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</si>
  <si>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</si>
  <si>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</si>
  <si>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</si>
  <si>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</si>
  <si>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</si>
  <si>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</si>
  <si>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</si>
  <si>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</si>
  <si>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</si>
  <si>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</si>
  <si>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</si>
  <si>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</si>
  <si>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</si>
  <si>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</si>
  <si>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</si>
  <si>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</si>
  <si>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</si>
  <si>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</si>
  <si>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</si>
  <si>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</si>
  <si>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</si>
  <si>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</si>
  <si>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</si>
  <si>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</si>
  <si>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</si>
  <si>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</si>
  <si>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</si>
  <si>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</si>
  <si>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</si>
  <si>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</si>
  <si>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</si>
  <si>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</si>
  <si>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</si>
  <si>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</si>
  <si>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</si>
  <si>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</si>
  <si>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</si>
  <si>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</si>
  <si>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</si>
  <si>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</si>
  <si>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</si>
  <si>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</si>
  <si>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</si>
  <si>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</si>
  <si>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</si>
  <si>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</si>
  <si>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</si>
  <si>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</si>
  <si>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</si>
  <si>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</si>
  <si>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</si>
  <si>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</si>
  <si>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</si>
  <si>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</si>
  <si>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</si>
  <si>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</si>
  <si>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</si>
  <si>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</si>
  <si>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</si>
  <si>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</si>
  <si>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</si>
  <si>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</si>
  <si>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</si>
  <si>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</si>
  <si>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</si>
  <si>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</si>
  <si>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</si>
  <si>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</si>
  <si>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</si>
  <si>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</si>
  <si>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</si>
  <si>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</si>
  <si>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</si>
  <si>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</si>
  <si>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</si>
  <si>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</si>
  <si>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</si>
  <si>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</si>
  <si>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</si>
  <si>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</si>
  <si>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</si>
  <si>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</si>
  <si>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</si>
  <si>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</si>
  <si>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</si>
  <si>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</si>
  <si>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</si>
  <si>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</si>
  <si>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</si>
  <si>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</si>
  <si>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</si>
  <si>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</si>
  <si>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</si>
  <si>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</si>
  <si>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</si>
  <si>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</si>
  <si>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</si>
  <si>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</si>
  <si>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</si>
  <si>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</si>
  <si>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</si>
  <si>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</si>
  <si>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</si>
  <si>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</si>
  <si>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</si>
  <si>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</si>
  <si>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</si>
  <si>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</si>
  <si>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</si>
  <si>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</si>
  <si>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</si>
  <si>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</si>
  <si>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</si>
  <si>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</si>
  <si>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</si>
  <si>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</si>
  <si>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</si>
  <si>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</si>
  <si>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</si>
  <si>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</si>
  <si>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</si>
  <si>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</si>
  <si>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</si>
  <si>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</si>
  <si>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</si>
  <si>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</si>
  <si>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</si>
  <si>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</si>
  <si>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</si>
  <si>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</si>
  <si>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</si>
  <si>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</si>
  <si>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</si>
  <si>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</si>
  <si>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</si>
  <si>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</si>
  <si>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</si>
  <si>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</si>
  <si>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</si>
  <si>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</si>
  <si>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</si>
  <si>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</si>
  <si>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</si>
  <si>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</si>
  <si>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</si>
  <si>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</si>
  <si>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</si>
  <si>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</si>
  <si>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</si>
  <si>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</si>
  <si>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</si>
  <si>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</si>
  <si>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</si>
  <si>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</si>
  <si>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</si>
  <si>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</si>
  <si>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</si>
  <si>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</si>
  <si>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</si>
  <si>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</si>
  <si>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</si>
  <si>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</si>
  <si>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</si>
  <si>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</si>
  <si>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</si>
  <si>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</si>
  <si>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</si>
  <si>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</si>
  <si>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</si>
  <si>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</si>
  <si>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</si>
  <si>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</si>
  <si>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</si>
  <si>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</si>
  <si>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</si>
  <si>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</si>
  <si>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</si>
  <si>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</si>
  <si>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</si>
  <si>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</si>
  <si>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</si>
  <si>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</si>
  <si>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</si>
  <si>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</si>
  <si>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</si>
  <si>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</si>
  <si>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</si>
  <si>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</si>
  <si>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</si>
  <si>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</si>
  <si>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</si>
  <si>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</si>
  <si>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</si>
  <si>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</si>
  <si>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</si>
  <si>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</si>
  <si>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</si>
  <si>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</si>
  <si>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</si>
  <si>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</si>
  <si>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</si>
  <si>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</si>
  <si>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</si>
  <si>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</si>
  <si>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</si>
  <si>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</si>
  <si>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</si>
  <si>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</si>
  <si>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</si>
  <si>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</si>
  <si>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</si>
  <si>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</si>
  <si>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</si>
  <si>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</si>
  <si>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</si>
  <si>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</si>
  <si>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</si>
  <si>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</si>
  <si>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</si>
  <si>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</si>
  <si>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</si>
  <si>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</si>
  <si>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</si>
  <si>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</si>
  <si>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</si>
  <si>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</si>
  <si>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</si>
  <si>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</si>
  <si>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</si>
  <si>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</si>
  <si>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</si>
  <si>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</si>
  <si>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</si>
  <si>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</si>
  <si>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</si>
  <si>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</si>
  <si>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</si>
  <si>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</si>
  <si>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</si>
  <si>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</si>
  <si>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</si>
  <si>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</si>
  <si>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</si>
  <si>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</si>
  <si>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</si>
  <si>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</si>
  <si>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</si>
  <si>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</si>
  <si>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</si>
  <si>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</si>
  <si>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</si>
  <si>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</si>
  <si>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</si>
  <si>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</si>
  <si>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</si>
  <si>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</si>
  <si>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</si>
  <si>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</si>
  <si>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</si>
  <si>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</si>
  <si>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</si>
  <si>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</si>
  <si>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</si>
  <si>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</si>
  <si>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</si>
  <si>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</si>
  <si>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</si>
  <si>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</si>
  <si>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</si>
  <si>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</si>
  <si>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</si>
  <si>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</si>
  <si>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</si>
  <si>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</si>
  <si>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</si>
  <si>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</si>
  <si>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</si>
  <si>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</si>
  <si>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</si>
  <si>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</si>
  <si>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</si>
  <si>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</si>
  <si>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</si>
  <si>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</si>
  <si>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</si>
  <si>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</si>
  <si>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</si>
  <si>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</si>
  <si>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</si>
  <si>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</si>
  <si>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</si>
  <si>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</si>
  <si>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</si>
  <si>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</si>
  <si>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</si>
  <si>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</si>
  <si>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</si>
  <si>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</si>
  <si>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</si>
  <si>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</si>
  <si>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</si>
  <si>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</si>
  <si>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</si>
  <si>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</si>
  <si>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</si>
  <si>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</si>
  <si>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</si>
  <si>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</si>
  <si>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</si>
  <si>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</si>
  <si>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</si>
  <si>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</si>
  <si>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</si>
  <si>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</si>
  <si>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</si>
  <si>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</si>
  <si>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</si>
  <si>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</si>
  <si>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</si>
  <si>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</si>
  <si>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</si>
  <si>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</si>
  <si>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</si>
  <si>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</si>
  <si>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</si>
  <si>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</si>
  <si>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</si>
  <si>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</si>
  <si>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</si>
  <si>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</si>
  <si>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</si>
  <si>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</si>
  <si>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</si>
  <si>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</si>
  <si>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</si>
  <si>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</si>
  <si>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</si>
  <si>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</si>
  <si>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</si>
  <si>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</si>
  <si>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</si>
  <si>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</si>
  <si>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</si>
  <si>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</si>
  <si>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</si>
  <si>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</si>
  <si>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</si>
  <si>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</si>
  <si>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</si>
  <si>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</si>
  <si>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</si>
  <si>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</si>
  <si>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</si>
  <si>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</si>
  <si>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</si>
  <si>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</si>
  <si>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</si>
  <si>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</si>
  <si>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</si>
  <si>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</si>
  <si>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</si>
  <si>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</si>
  <si>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</si>
  <si>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</si>
  <si>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</si>
  <si>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</si>
  <si>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</si>
  <si>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</si>
  <si>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</si>
  <si>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</si>
  <si>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</si>
  <si>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</si>
  <si>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</si>
  <si>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</si>
  <si>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</si>
  <si>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</si>
  <si>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</si>
  <si>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</si>
  <si>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</si>
  <si>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</si>
  <si>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</si>
  <si>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</si>
  <si>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</si>
  <si>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</si>
  <si>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</si>
  <si>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</si>
  <si>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</si>
  <si>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</si>
  <si>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</si>
  <si>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</si>
  <si>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</si>
  <si>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</si>
  <si>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</si>
  <si>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</si>
  <si>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</si>
  <si>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</si>
  <si>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</si>
  <si>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</si>
  <si>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</si>
  <si>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</si>
  <si>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</si>
  <si>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</si>
  <si>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</si>
  <si>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</si>
  <si>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</si>
  <si>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</si>
  <si>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</si>
  <si>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</si>
  <si>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</si>
  <si>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</si>
  <si>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</si>
  <si>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</si>
  <si>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</si>
  <si>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</si>
  <si>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</si>
  <si>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</si>
  <si>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</si>
  <si>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</si>
  <si>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</si>
  <si>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</si>
  <si>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</si>
  <si>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</si>
  <si>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</si>
  <si>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</si>
  <si>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</si>
  <si>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</si>
  <si>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</si>
  <si>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</si>
  <si>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</si>
  <si>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</si>
  <si>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</si>
  <si>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</si>
  <si>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</si>
  <si>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</si>
  <si>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</si>
  <si>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</si>
  <si>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</si>
  <si>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</si>
  <si>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</si>
  <si>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</si>
  <si>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</si>
  <si>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</si>
  <si>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</si>
  <si>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</si>
  <si>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</si>
  <si>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</si>
  <si>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</si>
  <si>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</si>
  <si>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</si>
  <si>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</si>
  <si>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</si>
  <si>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</si>
  <si>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</si>
  <si>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</si>
  <si>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</si>
  <si>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</si>
  <si>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</si>
  <si>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</si>
  <si>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</si>
  <si>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</si>
  <si>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</si>
  <si>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</si>
  <si>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</si>
  <si>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</si>
  <si>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</si>
  <si>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</si>
  <si>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</si>
  <si>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</si>
  <si>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</si>
  <si>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</si>
  <si>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</si>
  <si>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</si>
  <si>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</si>
  <si>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</si>
  <si>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</si>
  <si>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</si>
  <si>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</si>
  <si>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</si>
  <si>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</si>
  <si>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</si>
  <si>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</si>
  <si>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</si>
  <si>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</si>
  <si>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</si>
  <si>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</si>
  <si>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</si>
  <si>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</si>
  <si>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</si>
  <si>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</si>
  <si>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</si>
  <si>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</si>
  <si>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</si>
  <si>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</si>
  <si>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</si>
  <si>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</si>
  <si>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</si>
  <si>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</si>
  <si>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</si>
  <si>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</si>
  <si>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</si>
  <si>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</si>
  <si>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</si>
  <si>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</si>
  <si>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</si>
  <si>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</si>
  <si>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</si>
  <si>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</si>
  <si>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</si>
  <si>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</si>
  <si>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</si>
  <si>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</si>
  <si>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</si>
  <si>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</si>
  <si>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</si>
  <si>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</si>
  <si>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</si>
  <si>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</si>
  <si>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</si>
  <si>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</si>
  <si>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</si>
  <si>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</si>
  <si>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</si>
  <si>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</si>
  <si>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</si>
  <si>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</si>
  <si>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</si>
  <si>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</si>
  <si>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</si>
  <si>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</si>
  <si>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</si>
  <si>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</si>
  <si>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</si>
  <si>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</si>
  <si>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</si>
  <si>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</si>
  <si>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</si>
  <si>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</si>
  <si>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</si>
  <si>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</si>
  <si>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</si>
  <si>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</si>
  <si>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</si>
  <si>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</si>
  <si>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</si>
  <si>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</si>
  <si>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</si>
  <si>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</si>
  <si>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</si>
  <si>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</si>
  <si>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</si>
  <si>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</si>
  <si>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</si>
  <si>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</si>
  <si>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</si>
  <si>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</si>
  <si>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</si>
  <si>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</si>
  <si>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</si>
  <si>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</si>
  <si>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</si>
  <si>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</si>
  <si>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</si>
  <si>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</si>
  <si>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</si>
  <si>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</si>
  <si>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</si>
  <si>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</si>
  <si>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</si>
  <si>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</si>
  <si>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</si>
  <si>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</si>
  <si>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</si>
  <si>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</si>
  <si>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</si>
  <si>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</si>
  <si>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</si>
  <si>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</si>
  <si>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</si>
  <si>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</si>
  <si>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</si>
  <si>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</si>
  <si>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</si>
  <si>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</si>
  <si>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</si>
  <si>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</si>
  <si>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</si>
  <si>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</si>
  <si>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</si>
  <si>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</si>
  <si>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</si>
  <si>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</si>
  <si>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</si>
  <si>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</si>
  <si>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</si>
  <si>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</si>
  <si>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</si>
  <si>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</si>
  <si>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</si>
  <si>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</si>
  <si>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</si>
  <si>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</si>
  <si>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</si>
  <si>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</si>
  <si>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</si>
  <si>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</si>
  <si>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</si>
  <si>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</si>
  <si>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</si>
  <si>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</si>
  <si>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</si>
  <si>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</si>
  <si>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</si>
  <si>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</si>
  <si>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</si>
  <si>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</si>
  <si>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</si>
  <si>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</si>
  <si>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</si>
  <si>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</si>
  <si>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</si>
  <si>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</si>
  <si>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</si>
  <si>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</si>
  <si>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</si>
  <si>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</si>
  <si>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</si>
  <si>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</si>
  <si>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</si>
  <si>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</si>
  <si>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</si>
  <si>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</si>
  <si>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</si>
  <si>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</si>
  <si>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</si>
  <si>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</si>
  <si>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</si>
  <si>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</si>
  <si>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</si>
  <si>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</si>
  <si>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</si>
  <si>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</si>
  <si>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</si>
  <si>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</si>
  <si>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</si>
  <si>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</si>
  <si>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</si>
  <si>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</si>
  <si>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</si>
  <si>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</si>
  <si>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</si>
  <si>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</si>
  <si>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</si>
  <si>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</si>
  <si>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</si>
  <si>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</si>
  <si>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</si>
  <si>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</si>
  <si>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</si>
  <si>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</si>
  <si>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</si>
  <si>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</si>
  <si>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</si>
  <si>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</si>
  <si>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</si>
  <si>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</si>
  <si>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</si>
  <si>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</si>
  <si>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</si>
  <si>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</si>
  <si>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</si>
  <si>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</si>
  <si>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</si>
  <si>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</si>
  <si>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</si>
  <si>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</si>
  <si>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</si>
  <si>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</si>
  <si>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</si>
  <si>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</si>
  <si>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</si>
  <si>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</si>
  <si>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</si>
  <si>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</si>
  <si>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</si>
  <si>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</si>
  <si>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</si>
  <si>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</si>
  <si>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</si>
  <si>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</si>
  <si>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</si>
  <si>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</si>
  <si>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</si>
  <si>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</si>
  <si>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</si>
  <si>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</si>
  <si>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</si>
  <si>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</si>
  <si>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</si>
  <si>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</si>
  <si>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</si>
  <si>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</si>
  <si>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</si>
  <si>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</si>
  <si>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</si>
  <si>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</si>
  <si>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</si>
  <si>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</si>
  <si>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</si>
  <si>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</si>
  <si>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</si>
  <si>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</si>
  <si>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</si>
  <si>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</si>
  <si>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</si>
  <si>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</si>
  <si>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</si>
  <si>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</si>
  <si>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</si>
  <si>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</si>
  <si>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</si>
  <si>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</si>
  <si>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</si>
  <si>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</si>
  <si>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</si>
  <si>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</si>
  <si>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</si>
  <si>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</si>
  <si>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</si>
  <si>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</si>
  <si>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</si>
  <si>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</si>
  <si>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</si>
  <si>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</si>
  <si>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</si>
  <si>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</si>
  <si>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</si>
  <si>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</si>
  <si>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</si>
  <si>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</si>
  <si>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</si>
  <si>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</si>
  <si>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</si>
  <si>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</si>
  <si>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</si>
  <si>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</si>
  <si>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</si>
  <si>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</si>
  <si>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</si>
  <si>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</si>
  <si>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</si>
  <si>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</si>
  <si>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</si>
  <si>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</si>
  <si>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</si>
  <si>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</si>
  <si>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</si>
  <si>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</si>
  <si>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</si>
  <si>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</si>
  <si>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</si>
  <si>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</si>
  <si>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</si>
  <si>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</si>
  <si>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</si>
  <si>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</si>
  <si>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</si>
  <si>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</si>
  <si>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</si>
  <si>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</si>
  <si>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</si>
  <si>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</si>
  <si>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</si>
  <si>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</si>
  <si>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</si>
  <si>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</si>
  <si>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</si>
  <si>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</si>
  <si>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</si>
  <si>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</si>
  <si>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</si>
  <si>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</si>
  <si>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</si>
  <si>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</si>
  <si>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</si>
  <si>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</si>
  <si>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</si>
  <si>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</si>
  <si>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</si>
  <si>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</si>
  <si>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</si>
  <si>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</si>
  <si>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</si>
  <si>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</si>
  <si>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</si>
  <si>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</si>
  <si>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</si>
  <si>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</si>
  <si>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</si>
  <si>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</si>
  <si>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</si>
  <si>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</si>
  <si>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</si>
  <si>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</si>
  <si>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</si>
  <si>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</si>
  <si>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</si>
  <si>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</si>
  <si>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</si>
  <si>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</si>
  <si>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</si>
  <si>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</si>
  <si>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</si>
  <si>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</si>
  <si>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</si>
  <si>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</si>
  <si>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</si>
  <si>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</si>
  <si>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</si>
  <si>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</si>
  <si>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</si>
  <si>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</si>
  <si>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</si>
  <si>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</si>
  <si>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</si>
  <si>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</si>
  <si>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</si>
  <si>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</si>
  <si>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</si>
  <si>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</si>
  <si>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</si>
  <si>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</si>
  <si>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</si>
  <si>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</si>
  <si>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</si>
  <si>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</si>
  <si>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</si>
  <si>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</si>
  <si>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</si>
  <si>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</si>
  <si>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</si>
  <si>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</si>
  <si>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</si>
  <si>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</si>
  <si>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</si>
  <si>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</si>
  <si>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</si>
  <si>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</si>
  <si>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</si>
  <si>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</si>
  <si>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</si>
  <si>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</si>
  <si>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</si>
  <si>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</si>
  <si>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</si>
  <si>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</si>
  <si>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</si>
  <si>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</si>
  <si>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</si>
  <si>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</si>
  <si>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</si>
  <si>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</si>
  <si>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</si>
  <si>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</si>
  <si>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</si>
  <si>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</si>
  <si>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</si>
  <si>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</si>
  <si>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</si>
  <si>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</si>
  <si>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</si>
  <si>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</si>
  <si>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</si>
  <si>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</si>
  <si>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</si>
  <si>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</si>
  <si>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</si>
  <si>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</si>
  <si>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</si>
  <si>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</si>
  <si>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</si>
  <si>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</si>
  <si>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</si>
  <si>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</si>
  <si>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</si>
  <si>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</si>
  <si>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</si>
  <si>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</si>
  <si>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</si>
  <si>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</si>
  <si>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</si>
  <si>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</si>
  <si>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</si>
  <si>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</si>
  <si>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</si>
  <si>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</si>
  <si>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</si>
  <si>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</si>
  <si>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</si>
  <si>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</si>
  <si>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</si>
  <si>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</si>
  <si>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</si>
  <si>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</si>
  <si>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</si>
  <si>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</si>
  <si>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</si>
  <si>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</si>
  <si>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</si>
  <si>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</si>
  <si>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</si>
  <si>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</si>
  <si>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</si>
  <si>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</si>
  <si>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</si>
  <si>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</si>
  <si>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</si>
  <si>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</si>
  <si>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</si>
  <si>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</si>
  <si>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</si>
  <si>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</si>
  <si>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</si>
  <si>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</si>
  <si>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</si>
  <si>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</si>
  <si>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</si>
  <si>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</si>
  <si>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</si>
  <si>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</si>
  <si>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</si>
  <si>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</si>
  <si>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</si>
  <si>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</si>
  <si>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</si>
  <si>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</si>
  <si>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</si>
  <si>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</si>
  <si>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</si>
  <si>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</si>
  <si>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</si>
  <si>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</si>
  <si>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</si>
  <si>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</si>
  <si>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</si>
  <si>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</si>
  <si>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</si>
  <si>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</si>
  <si>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</si>
  <si>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</si>
  <si>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</si>
  <si>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</si>
  <si>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</si>
  <si>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</si>
  <si>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</si>
  <si>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</si>
  <si>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</si>
  <si>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</si>
  <si>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</si>
  <si>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</si>
  <si>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</si>
  <si>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</si>
  <si>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</si>
  <si>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</si>
  <si>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</si>
  <si>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</si>
  <si>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</si>
  <si>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</si>
  <si>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</si>
  <si>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</si>
  <si>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</si>
  <si>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</si>
  <si>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</si>
  <si>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</si>
  <si>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</si>
  <si>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</si>
  <si>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</si>
  <si>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</si>
  <si>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</si>
  <si>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</si>
  <si>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</si>
  <si>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</si>
  <si>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</si>
  <si>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</si>
  <si>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</si>
  <si>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</si>
  <si>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</si>
  <si>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</si>
  <si>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</si>
  <si>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</si>
  <si>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</si>
  <si>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</si>
  <si>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</si>
  <si>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</si>
  <si>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</si>
  <si>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</si>
  <si>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</si>
  <si>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</si>
  <si>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</si>
  <si>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</si>
  <si>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</si>
  <si>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</si>
  <si>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</si>
  <si>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</si>
  <si>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</si>
  <si>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</si>
  <si>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</si>
  <si>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</si>
  <si>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</si>
  <si>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</si>
  <si>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</si>
  <si>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</si>
  <si>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</si>
  <si>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</si>
  <si>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</si>
  <si>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</si>
  <si>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</si>
  <si>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</si>
  <si>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</si>
  <si>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</si>
  <si>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</si>
  <si>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</si>
  <si>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</si>
  <si>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</si>
  <si>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</si>
  <si>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</si>
  <si>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</si>
  <si>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</si>
  <si>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</si>
  <si>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</si>
  <si>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</si>
  <si>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</si>
  <si>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</si>
  <si>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</si>
  <si>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</si>
  <si>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</si>
  <si>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</si>
  <si>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</si>
  <si>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</si>
  <si>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</si>
  <si>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</si>
  <si>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</si>
  <si>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</si>
  <si>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</si>
  <si>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</si>
  <si>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</si>
  <si>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</si>
  <si>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</si>
  <si>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</si>
  <si>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</si>
  <si>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</si>
  <si>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</si>
  <si>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</si>
  <si>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</si>
  <si>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</si>
  <si>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</si>
  <si>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</si>
  <si>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</si>
  <si>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</si>
  <si>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</si>
  <si>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</si>
  <si>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</si>
  <si>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</si>
  <si>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</si>
  <si>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</si>
  <si>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</si>
  <si>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</si>
  <si>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</si>
  <si>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</si>
  <si>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</si>
  <si>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</si>
  <si>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</si>
  <si>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</si>
  <si>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</si>
  <si>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</si>
  <si>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</si>
  <si>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</si>
  <si>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</si>
  <si>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</si>
  <si>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</si>
  <si>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</si>
  <si>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</si>
  <si>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</si>
  <si>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</si>
  <si>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</si>
  <si>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</si>
  <si>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</si>
  <si>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</si>
  <si>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</si>
  <si>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</si>
  <si>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</si>
  <si>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</si>
  <si>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</si>
  <si>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</si>
  <si>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</si>
  <si>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</si>
  <si>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</si>
  <si>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</si>
  <si>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</si>
  <si>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</si>
  <si>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</si>
  <si>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</si>
  <si>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</si>
  <si>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</si>
  <si>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</si>
  <si>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</si>
  <si>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</si>
  <si>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</si>
  <si>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</si>
  <si>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</si>
  <si>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</si>
  <si>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</si>
  <si>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</si>
  <si>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</si>
  <si>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</si>
  <si>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</si>
  <si>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</si>
  <si>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</si>
  <si>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</si>
  <si>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</si>
  <si>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</si>
  <si>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</si>
  <si>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</si>
  <si>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</si>
  <si>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</si>
  <si>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</si>
  <si>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</si>
  <si>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</si>
  <si>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</si>
  <si>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</si>
  <si>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</si>
  <si>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</si>
  <si>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</si>
  <si>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</si>
  <si>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</si>
  <si>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</si>
  <si>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</si>
  <si>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</si>
  <si>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</si>
  <si>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</si>
  <si>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</si>
  <si>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</si>
  <si>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</si>
  <si>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</si>
  <si>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</si>
  <si>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</si>
  <si>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</si>
  <si>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</si>
  <si>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</si>
  <si>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</si>
  <si>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</si>
  <si>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</si>
  <si>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</si>
  <si>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</si>
  <si>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</si>
  <si>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</si>
  <si>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</si>
  <si>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</si>
  <si>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</si>
  <si>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</si>
  <si>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</si>
  <si>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</si>
  <si>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</si>
  <si>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</si>
  <si>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</si>
  <si>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</si>
  <si>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</si>
  <si>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</si>
  <si>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</si>
  <si>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</si>
  <si>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</si>
  <si>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</si>
  <si>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</si>
  <si>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</si>
  <si>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</si>
  <si>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</si>
  <si>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</si>
  <si>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</si>
  <si>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</si>
  <si>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</si>
  <si>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</si>
  <si>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</si>
  <si>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</si>
  <si>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</si>
  <si>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</si>
  <si>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</si>
  <si>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</si>
  <si>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</si>
  <si>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</si>
  <si>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</si>
  <si>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</si>
  <si>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</si>
  <si>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</si>
  <si>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</si>
  <si>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</si>
  <si>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</si>
  <si>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</si>
  <si>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</si>
  <si>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</si>
  <si>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</si>
  <si>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</si>
  <si>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</si>
  <si>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</si>
  <si>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</si>
  <si>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</si>
  <si>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</si>
  <si>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</si>
  <si>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</si>
  <si>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</si>
  <si>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</si>
  <si>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</si>
  <si>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</si>
  <si>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</si>
  <si>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</si>
  <si>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</si>
  <si>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</si>
  <si>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</si>
  <si>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</si>
  <si>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</si>
  <si>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</si>
  <si>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</si>
  <si>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</si>
  <si>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</si>
  <si>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</si>
  <si>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</si>
  <si>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</si>
  <si>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</si>
  <si>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</si>
  <si>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</si>
  <si>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</si>
  <si>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</si>
  <si>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</si>
  <si>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</si>
  <si>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</si>
  <si>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</si>
  <si>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</si>
  <si>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</si>
  <si>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</si>
  <si>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</si>
  <si>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</si>
  <si>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</si>
  <si>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</si>
  <si>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</si>
  <si>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</si>
  <si>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</si>
  <si>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</si>
  <si>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</si>
  <si>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</si>
  <si>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</si>
  <si>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</si>
  <si>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</si>
  <si>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</si>
  <si>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</si>
  <si>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</si>
  <si>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</si>
  <si>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</si>
  <si>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</si>
  <si>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</si>
  <si>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</si>
  <si>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</si>
  <si>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</si>
  <si>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</si>
  <si>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</si>
  <si>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</si>
  <si>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</si>
  <si>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</si>
  <si>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</si>
  <si>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</si>
  <si>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</si>
  <si>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</si>
  <si>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</si>
  <si>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</si>
  <si>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</si>
  <si>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</si>
  <si>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</si>
  <si>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</si>
  <si>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</si>
  <si>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</si>
  <si>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</si>
  <si>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</si>
  <si>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</si>
  <si>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</si>
  <si>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</si>
  <si>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</si>
  <si>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</si>
  <si>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</si>
  <si>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</si>
  <si>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</si>
  <si>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</si>
  <si>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</si>
  <si>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</si>
  <si>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</si>
  <si>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</si>
  <si>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</si>
  <si>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</si>
  <si>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</si>
  <si>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</si>
  <si>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</si>
  <si>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</si>
  <si>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</si>
  <si>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</si>
  <si>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</si>
  <si>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</si>
  <si>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</si>
  <si>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</si>
  <si>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</si>
  <si>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</si>
  <si>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</si>
  <si>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</si>
  <si>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</si>
  <si>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</si>
  <si>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</si>
  <si>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</si>
  <si>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</si>
  <si>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</si>
  <si>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</si>
  <si>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</si>
  <si>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</si>
  <si>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</si>
  <si>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</si>
  <si>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</si>
  <si>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</si>
  <si>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</si>
  <si>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</si>
  <si>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</si>
  <si>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</si>
  <si>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</si>
  <si>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</si>
  <si>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</si>
  <si>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</si>
  <si>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</si>
  <si>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</si>
  <si>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</si>
  <si>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</si>
  <si>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</si>
  <si>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</si>
  <si>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</si>
  <si>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</si>
  <si>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</si>
  <si>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</si>
  <si>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</si>
  <si>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</si>
  <si>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</si>
  <si>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</si>
  <si>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</si>
  <si>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</si>
  <si>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</si>
  <si>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</si>
  <si>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</si>
  <si>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</si>
  <si>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</si>
  <si>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</si>
  <si>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</si>
  <si>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</si>
  <si>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</si>
  <si>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</si>
  <si>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</si>
  <si>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</si>
  <si>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</si>
  <si>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</si>
  <si>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</si>
  <si>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</si>
  <si>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</si>
  <si>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</si>
  <si>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</si>
  <si>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</si>
  <si>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</si>
  <si>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</si>
  <si>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</si>
  <si>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</si>
  <si>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</si>
  <si>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</si>
  <si>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</si>
  <si>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</si>
  <si>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</si>
  <si>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</si>
  <si>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</si>
  <si>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</si>
  <si>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</si>
  <si>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</si>
  <si>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</si>
  <si>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</si>
  <si>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</si>
  <si>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</si>
  <si>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</si>
  <si>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</si>
  <si>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</si>
  <si>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</si>
  <si>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</si>
  <si>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</si>
  <si>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</si>
  <si>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</si>
  <si>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</si>
  <si>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</si>
  <si>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</si>
  <si>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</si>
  <si>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</si>
  <si>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</si>
  <si>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</si>
  <si>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</si>
  <si>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</si>
  <si>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</si>
  <si>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</si>
  <si>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</si>
  <si>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</si>
  <si>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</si>
  <si>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</si>
  <si>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</si>
  <si>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</si>
  <si>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</si>
  <si>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</si>
  <si>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</si>
  <si>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</si>
  <si>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</si>
  <si>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</si>
  <si>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</si>
  <si>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</si>
  <si>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</si>
  <si>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</si>
  <si>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</si>
  <si>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</si>
  <si>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</si>
  <si>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</si>
  <si>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</si>
  <si>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</si>
  <si>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</si>
  <si>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</si>
  <si>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</si>
  <si>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</si>
  <si>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</si>
  <si>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</si>
  <si>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</si>
  <si>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</si>
  <si>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</si>
  <si>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</si>
  <si>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</si>
  <si>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</si>
  <si>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</si>
  <si>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10 ROLOS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</si>
  <si>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</si>
  <si>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</si>
  <si>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</si>
  <si>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</si>
  <si>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</si>
  <si>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</si>
  <si>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</si>
  <si>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</si>
  <si>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</si>
  <si>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</si>
  <si>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</si>
  <si>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</si>
  <si>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</si>
  <si>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</si>
  <si>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</si>
  <si>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</si>
  <si>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</si>
  <si>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</si>
  <si>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</si>
  <si>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</si>
  <si>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</si>
  <si>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</si>
  <si>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</si>
  <si>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</si>
  <si>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</si>
  <si>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</si>
  <si>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</si>
  <si>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</si>
  <si>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</si>
  <si>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</si>
  <si>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</si>
  <si>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</si>
  <si>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</si>
  <si>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</si>
  <si>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</si>
  <si>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</si>
  <si>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</si>
  <si>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</si>
  <si>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</si>
  <si>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</si>
  <si>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</si>
  <si>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</si>
  <si>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</si>
  <si>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</si>
  <si>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</si>
  <si>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</si>
  <si>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</si>
  <si>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</si>
  <si>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</si>
  <si>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</si>
  <si>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</si>
  <si>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</si>
  <si>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</si>
  <si>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</si>
  <si>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</si>
  <si>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</si>
  <si>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</si>
  <si>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</si>
  <si>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</si>
  <si>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</si>
  <si>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</si>
  <si>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</si>
  <si>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</si>
  <si>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</si>
  <si>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</si>
  <si>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</si>
  <si>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T-073759-1</t>
  </si>
  <si>
    <t>MI-D-148-ME-DF-0138</t>
  </si>
  <si>
    <t xml:space="preserve">CHUTE DE DESCARGA CHAPA DE DESGATE - DETALHES (CHAPA DE DESGASTE - PARTE INTRMEDIÁRIA-02) </t>
  </si>
  <si>
    <t xml:space="preserve">CHUTE DE DESCARGA CHAPA DE DESGATE - DETALHES (CHAPA DE DESGASTE - PARTE INTRMEDIÁRIA-03) </t>
  </si>
  <si>
    <t xml:space="preserve">CHUTE DE DESCARGA CHAPA DE DESGATE - DETALHES (CHAPA DE DESGASTE - PARTE INFERIOR) 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</si>
  <si>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</si>
  <si>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</si>
  <si>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</si>
  <si>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</si>
  <si>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</si>
  <si>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</si>
  <si>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</si>
  <si>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</si>
  <si>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</si>
  <si>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</si>
  <si>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</si>
  <si>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</si>
  <si>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</si>
  <si>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</si>
  <si>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</si>
  <si>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</si>
  <si>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</si>
  <si>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</si>
  <si>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</si>
  <si>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</si>
  <si>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</si>
  <si>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</si>
  <si>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</si>
  <si>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</si>
  <si>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</si>
  <si>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</si>
  <si>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</si>
  <si>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</si>
  <si>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</si>
  <si>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</si>
  <si>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</si>
  <si>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</si>
  <si>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</si>
  <si>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</si>
  <si>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</si>
  <si>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</si>
  <si>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</si>
  <si>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</si>
  <si>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</si>
  <si>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</si>
  <si>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</si>
  <si>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</si>
  <si>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</si>
  <si>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</si>
  <si>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</si>
  <si>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</si>
  <si>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</si>
  <si>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</si>
  <si>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</si>
  <si>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</si>
  <si>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</si>
  <si>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</si>
  <si>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</si>
  <si>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</si>
  <si>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</si>
  <si>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</si>
  <si>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</si>
  <si>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</si>
  <si>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</si>
  <si>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</si>
  <si>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</si>
  <si>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</si>
  <si>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</si>
  <si>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</si>
  <si>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</si>
  <si>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</si>
  <si>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</si>
  <si>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</si>
  <si>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</si>
  <si>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</si>
  <si>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</si>
  <si>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</si>
  <si>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</si>
  <si>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</si>
  <si>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</si>
  <si>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</si>
  <si>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</si>
  <si>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</si>
  <si>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</si>
  <si>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</si>
  <si>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</si>
  <si>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</si>
  <si>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</si>
  <si>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</si>
  <si>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</si>
  <si>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</si>
  <si>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</si>
  <si>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</si>
  <si>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</si>
  <si>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</si>
  <si>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</si>
  <si>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</si>
  <si>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</si>
  <si>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</si>
  <si>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</si>
  <si>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</si>
  <si>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</si>
  <si>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</si>
  <si>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</si>
  <si>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</si>
  <si>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</si>
  <si>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</si>
  <si>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</si>
  <si>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</si>
  <si>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</si>
  <si>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</si>
  <si>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</si>
  <si>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</si>
  <si>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</si>
  <si>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</si>
  <si>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</si>
  <si>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</si>
  <si>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</si>
  <si>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</si>
  <si>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</si>
  <si>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</si>
  <si>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</si>
  <si>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</si>
  <si>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</si>
  <si>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</si>
  <si>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</si>
  <si>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</si>
  <si>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</si>
  <si>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</si>
  <si>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</si>
  <si>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</si>
  <si>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</si>
  <si>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</si>
  <si>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</si>
  <si>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</si>
  <si>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</si>
  <si>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</si>
  <si>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</si>
  <si>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</si>
  <si>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</si>
  <si>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</si>
  <si>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</si>
  <si>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</si>
  <si>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</si>
  <si>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</si>
  <si>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</si>
  <si>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</si>
  <si>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</si>
  <si>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</si>
  <si>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</si>
  <si>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</si>
  <si>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</si>
  <si>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</si>
  <si>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</si>
  <si>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</si>
  <si>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</si>
  <si>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</si>
  <si>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</si>
  <si>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</si>
  <si>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</si>
  <si>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</si>
  <si>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</si>
  <si>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</si>
  <si>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</si>
  <si>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</si>
  <si>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</si>
  <si>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</si>
  <si>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</si>
  <si>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</si>
  <si>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</si>
  <si>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</si>
  <si>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</si>
  <si>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</si>
  <si>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</si>
  <si>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</si>
  <si>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</si>
  <si>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</si>
  <si>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</si>
  <si>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</si>
  <si>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</si>
  <si>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</si>
  <si>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</si>
  <si>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</si>
  <si>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</si>
  <si>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</si>
  <si>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</si>
  <si>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</si>
  <si>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</si>
  <si>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</si>
  <si>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</si>
  <si>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</si>
  <si>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</si>
  <si>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</si>
  <si>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</si>
  <si>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</si>
  <si>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</si>
  <si>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</si>
  <si>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</si>
  <si>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</si>
  <si>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</si>
  <si>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</si>
  <si>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</si>
  <si>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</si>
  <si>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</si>
  <si>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</si>
  <si>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</si>
  <si>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</si>
  <si>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</si>
  <si>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</si>
  <si>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</si>
  <si>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</si>
  <si>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</si>
  <si>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</si>
  <si>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</si>
  <si>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</si>
  <si>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</si>
  <si>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</si>
  <si>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</si>
  <si>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</si>
  <si>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</si>
  <si>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</si>
  <si>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</si>
  <si>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</si>
  <si>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</si>
  <si>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</si>
  <si>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</si>
  <si>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</si>
  <si>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</si>
  <si>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</si>
  <si>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</si>
  <si>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</si>
  <si>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</si>
  <si>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</si>
  <si>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</si>
  <si>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</si>
  <si>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</si>
  <si>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</si>
  <si>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</si>
  <si>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</si>
  <si>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</si>
  <si>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</si>
  <si>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</si>
  <si>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</si>
  <si>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</si>
  <si>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</si>
  <si>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</si>
  <si>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</si>
  <si>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</si>
  <si>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</si>
  <si>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</si>
  <si>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</si>
  <si>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</si>
  <si>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</si>
  <si>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</si>
  <si>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</si>
  <si>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</si>
  <si>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</si>
  <si>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</si>
  <si>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</si>
  <si>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</si>
  <si>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</si>
  <si>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</si>
  <si>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</si>
  <si>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</si>
  <si>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</si>
  <si>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</si>
  <si>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</si>
  <si>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</si>
  <si>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</si>
  <si>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</si>
  <si>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</si>
  <si>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</si>
  <si>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</si>
  <si>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</si>
  <si>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</si>
  <si>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</si>
  <si>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</si>
  <si>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</si>
  <si>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</si>
  <si>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</si>
  <si>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</si>
  <si>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</si>
  <si>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</si>
  <si>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</si>
  <si>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</si>
  <si>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</si>
  <si>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</si>
  <si>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AXION INDUSTRIALIZAÇÃO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</si>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</sst>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2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0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91" fillId="0" borderId="79" xfId="0" applyFont="1" applyFill="1" applyBorder="1" applyAlignment="1" applyProtection="1">
      <alignment horizontal="center" vertical="center"/>
      <protection locked="0"/>
    </xf>
    <xf numFmtId="0" fontId="5" fillId="0" borderId="0" xfId="0" applyNumberFormat="1" applyFont="1"/>
    <xf numFmtId="164" fontId="1" fillId="0" borderId="1" xfId="0" applyNumberFormat="1" applyFont="1" applyBorder="1" applyAlignment="1" applyProtection="1">
      <alignment horizontal="center" vertical="center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907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906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8.8104999999999976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10.076400000000001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34.965899999999998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16.374600000000001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2.7479999999999998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62.632599999999996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20.229399999999998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11.948399999999999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80.688099999999991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4.5556999999999981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0.73800000000000043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16.403799999999997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067" totalsRowShown="0" headerRowDxfId="905" tableBorderDxfId="904">
  <autoFilter ref="A1:AW1067" xr:uid="{00000000-000C-0000-FFFF-FFFF00000000}">
    <filterColumn colId="11">
      <filters>
        <filter val="P-198"/>
      </filters>
    </filterColumn>
    <filterColumn colId="13">
      <filters>
        <filter val="AXION INDUSTRIALIZAÇÃO"/>
      </filters>
    </filterColumn>
  </autoFilter>
  <tableColumns count="49">
    <tableColumn id="1" xr3:uid="{00000000-0010-0000-0000-000001000000}" name="DESENHO_x000a_MDE" dataDxfId="903"/>
    <tableColumn id="43" xr3:uid="{56981E1B-CD3E-434D-AB02-C5F83A6F3E43}" name="DESENHO_x000a_CLIENTE" dataDxfId="902"/>
    <tableColumn id="2" xr3:uid="{00000000-0010-0000-0000-000002000000}" name="QTE" dataDxfId="901"/>
    <tableColumn id="3" xr3:uid="{00000000-0010-0000-0000-000003000000}" name="DESCRIÇÃO" dataDxfId="900"/>
    <tableColumn id="41" xr3:uid="{00000000-0010-0000-0000-000029000000}" name="COD.MDE" dataDxfId="899"/>
    <tableColumn id="40" xr3:uid="{00000000-0010-0000-0000-000028000000}" name="REMESSA" dataDxfId="898"/>
    <tableColumn id="4" xr3:uid="{00000000-0010-0000-0000-000004000000}" name="PESO UNI" dataDxfId="897"/>
    <tableColumn id="5" xr3:uid="{00000000-0010-0000-0000-000005000000}" name="PESO TOTAL" dataDxfId="896"/>
    <tableColumn id="6" xr3:uid="{00000000-0010-0000-0000-000006000000}" name="Revisão" dataDxfId="895"/>
    <tableColumn id="7" xr3:uid="{00000000-0010-0000-0000-000007000000}" name="TAG" dataDxfId="894"/>
    <tableColumn id="38" xr3:uid="{00000000-0010-0000-0000-000026000000}" name="PRODUTO" dataDxfId="893"/>
    <tableColumn id="8" xr3:uid="{00000000-0010-0000-0000-000008000000}" name="PEDIDO" dataDxfId="892"/>
    <tableColumn id="9" xr3:uid="{00000000-0010-0000-0000-000009000000}" name="Engenharia" dataDxfId="891"/>
    <tableColumn id="10" xr3:uid="{00000000-0010-0000-0000-00000A000000}" name="FORNECEDOR" dataDxfId="890"/>
    <tableColumn id="11" xr3:uid="{00000000-0010-0000-0000-00000B000000}" name="QTDE/ Fabricação" dataDxfId="889"/>
    <tableColumn id="12" xr3:uid="{00000000-0010-0000-0000-00000C000000}" name="DATA/Fabricação" dataDxfId="888"/>
    <tableColumn id="13" xr3:uid="{00000000-0010-0000-0000-00000D000000}" name="SALDO PENDENTE/Fabricação" dataDxfId="887"/>
    <tableColumn id="14" xr3:uid="{00000000-0010-0000-0000-00000E000000}" name="EVOLUÇÃO PRETO / Fabricação_x000a_(kg)" dataDxfId="886"/>
    <tableColumn id="15" xr3:uid="{00000000-0010-0000-0000-00000F000000}" name="PRONTO ACABADO kg" dataDxfId="885">
      <calculatedColumnFormula>IFERROR(H2*AG2,"")</calculatedColumnFormula>
    </tableColumn>
    <tableColumn id="16" xr3:uid="{00000000-0010-0000-0000-000010000000}" name="Pendencia  / Fabricação_x000a_EM KG" dataDxfId="884"/>
    <tableColumn id="17" xr3:uid="{00000000-0010-0000-0000-000011000000}" name="QIANTIDADE EXPEDIDA" dataDxfId="883"/>
    <tableColumn id="18" xr3:uid="{00000000-0010-0000-0000-000012000000}" name="ROMANEIO " dataDxfId="882"/>
    <tableColumn id="19" xr3:uid="{00000000-0010-0000-0000-000013000000}" name="DATA EXPEDIÇÃO" dataDxfId="881"/>
    <tableColumn id="20" xr3:uid="{00000000-0010-0000-0000-000014000000}" name="Peso Expedido" dataDxfId="880"/>
    <tableColumn id="21" xr3:uid="{00000000-0010-0000-0000-000015000000}" name="QUANTIDADE PENDENTE/Expedição" dataDxfId="879"/>
    <tableColumn id="22" xr3:uid="{00000000-0010-0000-0000-000016000000}" name="PESO PENDENTE/Expedição" dataDxfId="878"/>
    <tableColumn id="23" xr3:uid="{00000000-0010-0000-0000-000017000000}" name="MATÉRIA PRIMA" dataDxfId="877"/>
    <tableColumn id="24" xr3:uid="{00000000-0010-0000-0000-000018000000}" name="RELATORIO" dataDxfId="876"/>
    <tableColumn id="25" xr3:uid="{00000000-0010-0000-0000-000019000000}" name="PREPARAÇÃO " dataDxfId="875"/>
    <tableColumn id="26" xr3:uid="{00000000-0010-0000-0000-00001A000000}" name="CALDEIRARIA" dataDxfId="874"/>
    <tableColumn id="27" xr3:uid="{00000000-0010-0000-0000-00001B000000}" name="SOLDA" dataDxfId="873"/>
    <tableColumn id="28" xr3:uid="{00000000-0010-0000-0000-00001C000000}" name="ACABAMENTO" dataDxfId="872"/>
    <tableColumn id="29" xr3:uid="{00000000-0010-0000-0000-00001D000000}" name="PRONTO ACABADO" dataDxfId="871"/>
    <tableColumn id="30" xr3:uid="{00000000-0010-0000-0000-00001E000000}" name="EXPEDIÇÃO " dataDxfId="870"/>
    <tableColumn id="31" xr3:uid="{00000000-0010-0000-0000-00001F000000}" name="FINALIZADO " dataDxfId="869"/>
    <tableColumn id="32" xr3:uid="{00000000-0010-0000-0000-000020000000}" name="Coluna1" dataDxfId="868"/>
    <tableColumn id="33" xr3:uid="{00000000-0010-0000-0000-000021000000}" name="Coluna2" dataDxfId="867"/>
    <tableColumn id="34" xr3:uid="{00000000-0010-0000-0000-000022000000}" name="Coluna3" dataDxfId="866"/>
    <tableColumn id="35" xr3:uid="{00000000-0010-0000-0000-000023000000}" name="Coluna4" dataDxfId="865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864"/>
    <tableColumn id="42" xr3:uid="{44772FB5-94B9-4683-9D51-42A525419432}" name="Colunas7" dataDxfId="863"/>
    <tableColumn id="44" xr3:uid="{7DBCA215-A831-41EC-8668-4217050D7CEF}" name="Coluna5" dataDxfId="862"/>
    <tableColumn id="52" xr3:uid="{0F1E3E30-ACD2-41A7-9FEB-CFC4141C720F}" name="PRONTO NO PRETO" dataDxfId="861"/>
    <tableColumn id="53" xr3:uid="{7B42991E-C57D-449B-9CA4-FF51ED3B7EE1}" name="PRONTO ACABADO3" dataDxfId="860"/>
    <tableColumn id="54" xr3:uid="{B185D57F-2904-41B4-A913-414AD30553DC}" name="PESO EXPEDIDO2" dataDxfId="859"/>
    <tableColumn id="55" xr3:uid="{216FC5C0-1E81-4ACF-B1FE-D38AAA1F26E6}" name="PRONTO ACABADO2" dataDxfId="858"/>
    <tableColumn id="57" xr3:uid="{58807113-78D0-4422-B88A-8E66792B9681}" name="Coluna7" dataDxfId="857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3" totalsRowShown="0" headerRowDxfId="856" headerRowBorderDxfId="855" tableBorderDxfId="854" totalsRowBorderDxfId="853">
  <autoFilter ref="A1:F23" xr:uid="{9E04BDB3-7991-400D-A075-6EF4E207F167}"/>
  <tableColumns count="6">
    <tableColumn id="1" xr3:uid="{0986BF72-EBA9-4CAA-A22C-20021A2F0193}" name="PEDIDO" dataDxfId="852"/>
    <tableColumn id="2" xr3:uid="{1E29E510-3230-4D4A-9101-BF1603DA1959}" name="EQUIPAMENTO" dataDxfId="851"/>
    <tableColumn id="3" xr3:uid="{27EA8246-98FE-4DF0-AB4F-2563340E3A33}" name="DATA PREVISTA " dataDxfId="850"/>
    <tableColumn id="4" xr3:uid="{178705E0-20E1-4EA8-BD6A-04EDA09B960F}" name="DATA REPROGRAMADA" dataDxfId="849"/>
    <tableColumn id="5" xr3:uid="{D69E8AE6-FCF7-4D70-8443-DFF41092DBA5}" name="Observação" dataDxfId="848"/>
    <tableColumn id="6" xr3:uid="{7ED96CF2-6F65-4A02-A0B9-FFDE23E894EB}" name="CLIENTE" dataDxfId="84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846">
  <autoFilter ref="D3:R395" xr:uid="{D635AFD0-01A4-4F4C-B4BB-2C0A84AFA373}"/>
  <tableColumns count="15">
    <tableColumn id="1" xr3:uid="{71019319-E348-41C4-90A8-BD800AFA385A}" name="TAG" dataDxfId="845"/>
    <tableColumn id="2" xr3:uid="{6205B1F5-4B96-401E-A8F0-D0B582A87E91}" name="PEDIDO" dataDxfId="844">
      <calculatedColumnFormula>VLOOKUP(Tabela2[[#This Row],[TAG]],MICRO!J:L,3,0)</calculatedColumnFormula>
    </tableColumn>
    <tableColumn id="3" xr3:uid="{EBC41BBB-459B-4DB5-8152-2C7C2C7ADFAA}" name="FORNECEDOR" dataDxfId="843" dataCellStyle="Normal 2"/>
    <tableColumn id="4" xr3:uid="{EE719B42-3B82-4AC6-AB4D-66A5AF76AAFC}" name="RECEBIDO ENGENHARIA (kg)" dataDxfId="842">
      <calculatedColumnFormula>SUMIF(MICRO!AP:AP,O:O,MICRO!H:H)</calculatedColumnFormula>
    </tableColumn>
    <tableColumn id="5" xr3:uid="{F8EF71F0-2467-40E6-8596-0C50AE8B2E56}" name="EM AVANÇO NO PRETO (kg)" dataDxfId="841">
      <calculatedColumnFormula>SUMIF(MICRO!AP:AP,O:O,MICRO!R:R)</calculatedColumnFormula>
    </tableColumn>
    <tableColumn id="6" xr3:uid="{70FA8036-1726-409E-865E-BBD68DD0CF2B}" name="Pendencia  / Fabricação_x000a_EM KG _x000a_(Kg)" dataDxfId="840">
      <calculatedColumnFormula>SUMIF(MICRO!AP:AP,O:O,MICRO!T:T)</calculatedColumnFormula>
    </tableColumn>
    <tableColumn id="7" xr3:uid="{2EDBF5C8-B6A0-4234-9B37-F4D245CBE335}" name="EVOLUÇÃO %" dataDxfId="839">
      <calculatedColumnFormula>IF(G4 = 0,0,H4/G4)</calculatedColumnFormula>
    </tableColumn>
    <tableColumn id="8" xr3:uid="{981D372E-5C81-43AA-82CF-C526D0CD7BC5}" name="PESO EXPEDIDO" dataDxfId="838">
      <calculatedColumnFormula>SUMIF(MICRO!AP:AP,O:O,MICRO!X:X)</calculatedColumnFormula>
    </tableColumn>
    <tableColumn id="9" xr3:uid="{9581E1B5-4976-4A66-B050-5EDFF64499FF}" name="% EXPEDIDO" dataDxfId="837">
      <calculatedColumnFormula>IF(G4&lt;&gt;0,SUM(K4/G4*1),"0%")</calculatedColumnFormula>
    </tableColumn>
    <tableColumn id="10" xr3:uid="{5A0DEF47-FBD5-46D6-A019-DB5E3CF46E5B}" name="PESO PENDENTE4" dataDxfId="836">
      <calculatedColumnFormula>G4-K4</calculatedColumnFormula>
    </tableColumn>
    <tableColumn id="11" xr3:uid="{AD13F8E0-0652-4176-B922-E74BEC175E7A}" name="Coluna1" dataDxfId="835">
      <calculatedColumnFormula>E4&amp;F4</calculatedColumnFormula>
    </tableColumn>
    <tableColumn id="12" xr3:uid="{9AB5E2D8-1AD6-4B63-A9ED-66372E94A48F}" name="Coluna2" dataDxfId="834">
      <calculatedColumnFormula>D4&amp;E4&amp;F4</calculatedColumnFormula>
    </tableColumn>
    <tableColumn id="13" xr3:uid="{ED15B1A8-5672-4E4D-9246-3BC797332C64}" name="PRONTO NO PRETO" dataDxfId="833">
      <calculatedColumnFormula>SUMIF(MICRO!AP:AP,O4,MICRO!AS:AS)</calculatedColumnFormula>
    </tableColumn>
    <tableColumn id="14" xr3:uid="{986427E9-0E8F-46D1-987F-01DBA908B397}" name="PRONTO ACABADO" dataDxfId="832">
      <calculatedColumnFormula>SUMIF(MICRO!AP:AP,O4,MICRO!AT:AT)</calculatedColumnFormula>
    </tableColumn>
    <tableColumn id="15" xr3:uid="{4361E9F4-014E-4677-9D4A-8DBAE707BA31}" name="PESO EXPEDIDO2" dataDxfId="831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36" t="s">
        <v>326</v>
      </c>
      <c r="B1" s="238" t="s">
        <v>891</v>
      </c>
      <c r="C1" s="239"/>
      <c r="D1" s="239"/>
      <c r="E1" s="239"/>
      <c r="F1" s="239"/>
      <c r="G1" s="240"/>
      <c r="H1" s="233" t="s">
        <v>331</v>
      </c>
      <c r="I1" s="234"/>
      <c r="J1" s="234"/>
      <c r="K1" s="235"/>
    </row>
    <row r="2" spans="1:11" x14ac:dyDescent="0.25">
      <c r="A2" s="23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5119</v>
      </c>
      <c r="J2" s="181" t="s">
        <v>5291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30"/>
      <c r="B5" s="231"/>
      <c r="C5" s="231"/>
      <c r="D5" s="231"/>
      <c r="E5" s="231"/>
      <c r="F5" s="231"/>
      <c r="G5" s="231"/>
      <c r="H5" s="231"/>
      <c r="I5" s="231"/>
      <c r="J5" s="231"/>
      <c r="K5" s="232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067"/>
  <sheetViews>
    <sheetView showGridLines="0" tabSelected="1" topLeftCell="E1" zoomScale="77" zoomScaleNormal="77" workbookViewId="0">
      <pane ySplit="1" topLeftCell="A610" activePane="bottomLeft" state="frozen"/>
      <selection activeCell="N830" sqref="N830"/>
      <selection pane="bottomLeft" activeCell="I844" sqref="I844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20.925000000000001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1.125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7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8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7"/>
        <v>0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52.762499999999996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42.525000000000006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>
        <v>0.5</v>
      </c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7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8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7"/>
        <v>0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1.2375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1.3499999999999999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>
        <v>0.5</v>
      </c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3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ref="AI115:AI154" si="33">IF(Z115&lt;=0,"ok","")</f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9"/>
        <v>0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39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9"/>
        <v>0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39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9"/>
        <v>0</v>
      </c>
      <c r="AV133" s="37">
        <f t="shared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44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44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44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44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8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45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46"/>
        <v>0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8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45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46"/>
        <v>0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8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45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46"/>
        <v>0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8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45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46"/>
        <v>0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8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45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46"/>
        <v>0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8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45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46"/>
        <v>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71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9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72"/>
        <v>0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71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9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72"/>
        <v>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9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9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0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9.1199999999999992</v>
      </c>
      <c r="S442" s="18">
        <f t="shared" ref="S442:S451" si="96">IFERROR(H442*AG442,"")</f>
        <v>0</v>
      </c>
      <c r="T442" s="19">
        <f t="shared" ref="T442:T451" si="97">IFERROR(S442-H442,"")</f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ref="Y442:Y451" si="98">U442-C442</f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ref="AI442:AI451" si="99">IF(Z442&lt;=0,"ok","")</f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36.479999999999997</v>
      </c>
      <c r="S445" s="18">
        <f t="shared" si="96"/>
        <v>0</v>
      </c>
      <c r="T445" s="19">
        <f t="shared" si="97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98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9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0</v>
      </c>
      <c r="AV445" s="37">
        <f t="shared" si="94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2.4699999999999998</v>
      </c>
      <c r="S448" s="18">
        <f t="shared" si="96"/>
        <v>0</v>
      </c>
      <c r="T448" s="19">
        <f t="shared" si="97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98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9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0</v>
      </c>
      <c r="AV448" s="37">
        <f t="shared" si="94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 t="s">
        <v>38</v>
      </c>
      <c r="O605" s="200"/>
      <c r="P605" s="201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576.94499999999994</v>
      </c>
      <c r="S606" s="18">
        <f t="shared" si="117"/>
        <v>0</v>
      </c>
      <c r="T606" s="19">
        <f t="shared" ref="T606:T624" si="122">IFERROR(S606-H606,"")</f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ref="Y606:Y624" si="123">U606-C606</f>
        <v>-1</v>
      </c>
      <c r="Z606" s="20">
        <f>Tabela1[[#This Row],[PESO TOTAL]]-Tabela1[[#This Row],[Peso Expedido]]</f>
        <v>1282.0999999999999</v>
      </c>
      <c r="AA606" s="17">
        <v>0.9</v>
      </c>
      <c r="AB606" s="33"/>
      <c r="AC606" s="33">
        <v>0.9</v>
      </c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177.93</v>
      </c>
      <c r="S607" s="18">
        <f t="shared" si="117"/>
        <v>0</v>
      </c>
      <c r="T607" s="19">
        <f t="shared" si="122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23"/>
        <v>-1</v>
      </c>
      <c r="Z607" s="20">
        <f>Tabela1[[#This Row],[PESO TOTAL]]-Tabela1[[#This Row],[Peso Expedido]]</f>
        <v>395.4</v>
      </c>
      <c r="AA607" s="17">
        <v>0.9</v>
      </c>
      <c r="AB607" s="33"/>
      <c r="AC607" s="33">
        <v>0.9</v>
      </c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74.7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5401</v>
      </c>
      <c r="O610" s="12"/>
      <c r="P610" s="13"/>
      <c r="Q610" s="14">
        <f>Tabela1[[#This Row],[QTDE/ Fabricação]]-Tabela1[[#This Row],[QTE]]</f>
        <v>-1</v>
      </c>
      <c r="R610" s="18">
        <f t="shared" si="121"/>
        <v>31.675000000000001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5401</v>
      </c>
      <c r="O611" s="12"/>
      <c r="P611" s="13"/>
      <c r="Q611" s="14">
        <f>Tabela1[[#This Row],[QTDE/ Fabricação]]-Tabela1[[#This Row],[QTE]]</f>
        <v>-1</v>
      </c>
      <c r="R611" s="18">
        <f t="shared" si="121"/>
        <v>31.675000000000001</v>
      </c>
      <c r="S611" s="18">
        <f t="shared" si="117"/>
        <v>0</v>
      </c>
      <c r="T611" s="19">
        <f t="shared" si="122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45.405000000000001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75.06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54.09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28.62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34.11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339.255</v>
      </c>
      <c r="S617" s="18">
        <f t="shared" si="117"/>
        <v>0</v>
      </c>
      <c r="T617" s="19">
        <f t="shared" si="122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23"/>
        <v>-1</v>
      </c>
      <c r="Z617" s="20">
        <f>Tabela1[[#This Row],[PESO TOTAL]]-Tabela1[[#This Row],[Peso Expedido]]</f>
        <v>753.9</v>
      </c>
      <c r="AA617" s="17">
        <v>0.9</v>
      </c>
      <c r="AB617" s="33"/>
      <c r="AC617" s="33">
        <v>0.9</v>
      </c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72.989999999999995</v>
      </c>
      <c r="S618" s="18">
        <f t="shared" si="117"/>
        <v>0</v>
      </c>
      <c r="T618" s="19">
        <f t="shared" si="122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23"/>
        <v>-2</v>
      </c>
      <c r="Z618" s="20">
        <f>Tabela1[[#This Row],[PESO TOTAL]]-Tabela1[[#This Row],[Peso Expedido]]</f>
        <v>162.19999999999999</v>
      </c>
      <c r="AA618" s="17">
        <v>0.9</v>
      </c>
      <c r="AB618" s="33"/>
      <c r="AC618" s="33">
        <v>0.9</v>
      </c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46.62</v>
      </c>
      <c r="S619" s="18">
        <f t="shared" si="117"/>
        <v>0</v>
      </c>
      <c r="T619" s="19">
        <f t="shared" si="122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0.9</v>
      </c>
      <c r="AB619" s="33"/>
      <c r="AC619" s="33">
        <v>0.9</v>
      </c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2.4300000000000002</v>
      </c>
      <c r="S620" s="18">
        <f t="shared" si="117"/>
        <v>0</v>
      </c>
      <c r="T620" s="19">
        <f t="shared" si="122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0.9</v>
      </c>
      <c r="AB620" s="33"/>
      <c r="AC620" s="33">
        <v>0.9</v>
      </c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0.67500000000000004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0.9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0.72000000000000008</v>
      </c>
      <c r="S622" s="18">
        <f t="shared" si="117"/>
        <v>0</v>
      </c>
      <c r="T622" s="19">
        <f t="shared" si="122"/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0.9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6.08</v>
      </c>
      <c r="S762" s="18">
        <f t="shared" ref="S762" si="141">IFERROR(H762*AG762,"")</f>
        <v>0</v>
      </c>
      <c r="T762" s="19">
        <f t="shared" ref="T762" si="142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19.575000000000003</v>
      </c>
      <c r="S765" s="18">
        <f t="shared" ref="S765:S769" si="145">IFERROR(H765*AG765,"")</f>
        <v>0</v>
      </c>
      <c r="T765" s="19">
        <f t="shared" ref="T765:T769" si="146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6.6990000000000016</v>
      </c>
      <c r="S766" s="18">
        <f t="shared" si="145"/>
        <v>0</v>
      </c>
      <c r="T766" s="19">
        <f t="shared" si="146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19.440000000000001</v>
      </c>
      <c r="T767" s="19">
        <f t="shared" si="146"/>
        <v>-174.96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0.1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1.4500000000000002</v>
      </c>
      <c r="S768" s="18">
        <f t="shared" si="145"/>
        <v>0</v>
      </c>
      <c r="T768" s="19">
        <f t="shared" si="146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9.24</v>
      </c>
      <c r="T769" s="19">
        <f t="shared" si="146"/>
        <v>-83.160000000000011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0.1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0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0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950.00000000000011</v>
      </c>
      <c r="S774" s="18">
        <f t="shared" si="149"/>
        <v>900</v>
      </c>
      <c r="T774" s="19">
        <f t="shared" si="150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56.16</v>
      </c>
      <c r="S776" s="18">
        <f t="shared" si="153"/>
        <v>0</v>
      </c>
      <c r="T776" s="19">
        <f t="shared" si="154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124.8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19.71</v>
      </c>
      <c r="S778" s="18">
        <f t="shared" si="153"/>
        <v>0</v>
      </c>
      <c r="T778" s="19">
        <f t="shared" si="154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9</v>
      </c>
      <c r="S779" s="18">
        <f t="shared" si="153"/>
        <v>0</v>
      </c>
      <c r="T779" s="19">
        <f t="shared" si="154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0.9</v>
      </c>
      <c r="AB779" s="33"/>
      <c r="AC779" s="33">
        <v>0.9</v>
      </c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7.38</v>
      </c>
      <c r="S780" s="18">
        <f t="shared" si="153"/>
        <v>0</v>
      </c>
      <c r="T780" s="19">
        <f t="shared" si="154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0.9</v>
      </c>
      <c r="AB780" s="33"/>
      <c r="AC780" s="33">
        <v>0.9</v>
      </c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5397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65.52</v>
      </c>
      <c r="S781" s="18">
        <f t="shared" si="153"/>
        <v>0</v>
      </c>
      <c r="T781" s="19">
        <f t="shared" si="154"/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145.6</v>
      </c>
      <c r="AA781" s="17">
        <v>0.9</v>
      </c>
      <c r="AB781" s="33"/>
      <c r="AC781" s="33">
        <v>0.9</v>
      </c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5397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14.58</v>
      </c>
      <c r="S782" s="18">
        <f t="shared" si="153"/>
        <v>0</v>
      </c>
      <c r="T782" s="19">
        <f t="shared" si="154"/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si="155"/>
        <v>-4</v>
      </c>
      <c r="Z782" s="20">
        <f>Tabela1[[#This Row],[PESO TOTAL]]-Tabela1[[#This Row],[Peso Expedido]]</f>
        <v>32.4</v>
      </c>
      <c r="AA782" s="17">
        <v>0.9</v>
      </c>
      <c r="AB782" s="33"/>
      <c r="AC782" s="33">
        <v>0.9</v>
      </c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5397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1.08</v>
      </c>
      <c r="S783" s="18">
        <f t="shared" si="153"/>
        <v>0</v>
      </c>
      <c r="T783" s="19">
        <f t="shared" si="154"/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si="155"/>
        <v>-4</v>
      </c>
      <c r="Z783" s="20">
        <f>Tabela1[[#This Row],[PESO TOTAL]]-Tabela1[[#This Row],[Peso Expedido]]</f>
        <v>2.4</v>
      </c>
      <c r="AA783" s="17">
        <v>0.9</v>
      </c>
      <c r="AB783" s="33"/>
      <c r="AC783" s="33">
        <v>0.9</v>
      </c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5397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10.8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5397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5397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5397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5397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5397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5397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5397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5397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5397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63.989999999999995</v>
      </c>
      <c r="S793" s="18">
        <f t="shared" si="153"/>
        <v>0</v>
      </c>
      <c r="T793" s="19">
        <f t="shared" si="154"/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142.19999999999999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5397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14.58</v>
      </c>
      <c r="S794" s="18">
        <f t="shared" si="153"/>
        <v>0</v>
      </c>
      <c r="T794" s="19">
        <f t="shared" si="154"/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si="155"/>
        <v>-4</v>
      </c>
      <c r="Z794" s="20">
        <f>Tabela1[[#This Row],[PESO TOTAL]]-Tabela1[[#This Row],[Peso Expedido]]</f>
        <v>32.4</v>
      </c>
      <c r="AA794" s="17">
        <v>0.9</v>
      </c>
      <c r="AB794" s="33"/>
      <c r="AC794" s="33">
        <v>0.9</v>
      </c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5397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1.08</v>
      </c>
      <c r="S795" s="18">
        <f t="shared" si="153"/>
        <v>0</v>
      </c>
      <c r="T795" s="19">
        <f t="shared" si="154"/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si="155"/>
        <v>-4</v>
      </c>
      <c r="Z795" s="20">
        <f>Tabela1[[#This Row],[PESO TOTAL]]-Tabela1[[#This Row],[Peso Expedido]]</f>
        <v>2.4</v>
      </c>
      <c r="AA795" s="17">
        <v>0.9</v>
      </c>
      <c r="AB795" s="33"/>
      <c r="AC795" s="33">
        <v>0.9</v>
      </c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5397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10.8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5397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98.28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5397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5397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5397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5397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5397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5397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5397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5397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5397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58.32</v>
      </c>
      <c r="S806" s="18">
        <f t="shared" si="153"/>
        <v>0</v>
      </c>
      <c r="T806" s="19">
        <f t="shared" si="154"/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si="155"/>
        <v>-16</v>
      </c>
      <c r="Z806" s="20">
        <f>Tabela1[[#This Row],[PESO TOTAL]]-Tabela1[[#This Row],[Peso Expedido]]</f>
        <v>129.6</v>
      </c>
      <c r="AA806" s="17">
        <v>0.9</v>
      </c>
      <c r="AB806" s="33"/>
      <c r="AC806" s="33">
        <v>0.9</v>
      </c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5397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4.32</v>
      </c>
      <c r="S807" s="18">
        <f t="shared" ref="S807:S833" si="158">IFERROR(H807*AG807,"")</f>
        <v>0</v>
      </c>
      <c r="T807" s="19">
        <f t="shared" ref="T807:T833" si="159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:Y833" si="160">U807-C807</f>
        <v>-16</v>
      </c>
      <c r="Z807" s="20">
        <f>Tabela1[[#This Row],[PESO TOTAL]]-Tabela1[[#This Row],[Peso Expedido]]</f>
        <v>9.6</v>
      </c>
      <c r="AA807" s="17">
        <v>0.9</v>
      </c>
      <c r="AB807" s="33"/>
      <c r="AC807" s="33">
        <v>0.9</v>
      </c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5397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40.32</v>
      </c>
      <c r="S808" s="18">
        <f t="shared" si="158"/>
        <v>0</v>
      </c>
      <c r="T808" s="19">
        <f t="shared" si="159"/>
        <v>-89.6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si="160"/>
        <v>-8</v>
      </c>
      <c r="Z808" s="20">
        <f>Tabela1[[#This Row],[PESO TOTAL]]-Tabela1[[#This Row],[Peso Expedido]]</f>
        <v>89.6</v>
      </c>
      <c r="AA808" s="17">
        <v>0.9</v>
      </c>
      <c r="AB808" s="33"/>
      <c r="AC808" s="33">
        <v>0.9</v>
      </c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5397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43.2</v>
      </c>
      <c r="S809" s="18">
        <f t="shared" si="158"/>
        <v>0</v>
      </c>
      <c r="T809" s="19">
        <f t="shared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5397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5397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81.45</v>
      </c>
      <c r="S811" s="18">
        <f t="shared" si="158"/>
        <v>0</v>
      </c>
      <c r="T811" s="19">
        <f t="shared" si="159"/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-2</v>
      </c>
      <c r="Z811" s="20">
        <f>Tabela1[[#This Row],[PESO TOTAL]]-Tabela1[[#This Row],[Peso Expedido]]</f>
        <v>181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5397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14.58</v>
      </c>
      <c r="S812" s="18">
        <f t="shared" si="158"/>
        <v>0</v>
      </c>
      <c r="T812" s="19">
        <f t="shared" si="159"/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si="160"/>
        <v>-4</v>
      </c>
      <c r="Z812" s="20">
        <f>Tabela1[[#This Row],[PESO TOTAL]]-Tabela1[[#This Row],[Peso Expedido]]</f>
        <v>32.4</v>
      </c>
      <c r="AA812" s="17">
        <v>0.9</v>
      </c>
      <c r="AB812" s="33"/>
      <c r="AC812" s="33">
        <v>0.9</v>
      </c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5397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1.08</v>
      </c>
      <c r="S813" s="18">
        <f t="shared" si="158"/>
        <v>0</v>
      </c>
      <c r="T813" s="19">
        <f t="shared" si="159"/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si="160"/>
        <v>-4</v>
      </c>
      <c r="Z813" s="20">
        <f>Tabela1[[#This Row],[PESO TOTAL]]-Tabela1[[#This Row],[Peso Expedido]]</f>
        <v>2.4</v>
      </c>
      <c r="AA813" s="17">
        <v>0.9</v>
      </c>
      <c r="AB813" s="33"/>
      <c r="AC813" s="33">
        <v>0.9</v>
      </c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5397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10.08</v>
      </c>
      <c r="S814" s="18">
        <f t="shared" si="158"/>
        <v>0</v>
      </c>
      <c r="T814" s="19">
        <f t="shared" si="159"/>
        <v>-22.4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si="160"/>
        <v>-2</v>
      </c>
      <c r="Z814" s="20">
        <f>Tabela1[[#This Row],[PESO TOTAL]]-Tabela1[[#This Row],[Peso Expedido]]</f>
        <v>22.4</v>
      </c>
      <c r="AA814" s="17">
        <v>0.9</v>
      </c>
      <c r="AB814" s="33"/>
      <c r="AC814" s="33">
        <v>0.9</v>
      </c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5397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3.06</v>
      </c>
      <c r="S815" s="18">
        <f t="shared" si="158"/>
        <v>0</v>
      </c>
      <c r="T815" s="19">
        <f t="shared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5397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5.4</v>
      </c>
      <c r="S816" s="18">
        <f t="shared" si="158"/>
        <v>0</v>
      </c>
      <c r="T816" s="19">
        <f t="shared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5397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5401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5401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515.745</v>
      </c>
      <c r="S821" s="18">
        <f t="shared" si="158"/>
        <v>0</v>
      </c>
      <c r="T821" s="19">
        <f t="shared" si="159"/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-1</v>
      </c>
      <c r="Z821" s="20">
        <f>Tabela1[[#This Row],[PESO TOTAL]]-Tabela1[[#This Row],[Peso Expedido]]</f>
        <v>1146.0999999999999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5401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5401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5401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5401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5401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93.724999999999994</v>
      </c>
      <c r="S826" s="18">
        <f t="shared" si="158"/>
        <v>0</v>
      </c>
      <c r="T826" s="19">
        <f t="shared" si="159"/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374.9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5401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5401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5401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5401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5401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5401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5401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164">U834-C834</f>
        <v>-2</v>
      </c>
      <c r="Z834" s="20">
        <f>Tabela1[[#This Row],[PESO TOTAL]]-Tabela1[[#This Row],[Peso Expedido]]</f>
        <v>14.8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5401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5314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5401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5314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301.77000000000004</v>
      </c>
      <c r="S839" s="18">
        <f t="shared" si="166"/>
        <v>0</v>
      </c>
      <c r="T839" s="19">
        <f t="shared" si="167"/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670.6</v>
      </c>
      <c r="AA839" s="17">
        <v>0.9</v>
      </c>
      <c r="AB839" s="33"/>
      <c r="AC839" s="33">
        <v>0.9</v>
      </c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5401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5401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1" si="169">IFERROR(H842*((AA842*0.25)+(AC842*0.25)+(AD842*0.225)+(AE842*0.225)+(AF842*0.05)),"")</f>
        <v>3.78</v>
      </c>
      <c r="S842" s="18">
        <f t="shared" ref="S842:S851" si="170">IFERROR(H842*AG842,"")</f>
        <v>3.78</v>
      </c>
      <c r="T842" s="19">
        <f t="shared" ref="T842:T851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1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169"/>
        <v>652.95999999999992</v>
      </c>
      <c r="S843" s="18">
        <f t="shared" si="170"/>
        <v>652.95999999999992</v>
      </c>
      <c r="T843" s="19">
        <f t="shared" si="171"/>
        <v>-1212.6399999999999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172"/>
        <v>-32</v>
      </c>
      <c r="Z843" s="20">
        <f>Tabela1[[#This Row],[PESO TOTAL]]-Tabela1[[#This Row],[Peso Expedido]]</f>
        <v>1865.6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169"/>
        <v>224.45499999999996</v>
      </c>
      <c r="S844" s="18">
        <f t="shared" si="170"/>
        <v>224.45499999999996</v>
      </c>
      <c r="T844" s="19">
        <f t="shared" si="171"/>
        <v>-416.84500000000003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172"/>
        <v>-11</v>
      </c>
      <c r="Z844" s="20">
        <f>Tabela1[[#This Row],[PESO TOTAL]]-Tabela1[[#This Row],[Peso Expedido]]</f>
        <v>641.29999999999995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169"/>
        <v>45.219999999999992</v>
      </c>
      <c r="S845" s="18">
        <f t="shared" si="170"/>
        <v>45.219999999999992</v>
      </c>
      <c r="T845" s="19">
        <f t="shared" si="171"/>
        <v>-83.97999999999999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172"/>
        <v>-4</v>
      </c>
      <c r="Z845" s="20">
        <f>Tabela1[[#This Row],[PESO TOTAL]]-Tabela1[[#This Row],[Peso Expedido]]</f>
        <v>129.19999999999999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169"/>
        <v>39.619999999999997</v>
      </c>
      <c r="S846" s="18">
        <f t="shared" si="170"/>
        <v>39.619999999999997</v>
      </c>
      <c r="T846" s="19">
        <f t="shared" si="171"/>
        <v>-73.580000000000013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172"/>
        <v>-4</v>
      </c>
      <c r="Z846" s="20">
        <f>Tabela1[[#This Row],[PESO TOTAL]]-Tabela1[[#This Row],[Peso Expedido]]</f>
        <v>113.2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39.619999999999997</v>
      </c>
      <c r="S847" s="18">
        <f t="shared" si="170"/>
        <v>39.619999999999997</v>
      </c>
      <c r="T847" s="19">
        <f t="shared" si="171"/>
        <v>-73.580000000000013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113.2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169"/>
        <v>79.239999999999995</v>
      </c>
      <c r="S848" s="18">
        <f t="shared" si="170"/>
        <v>79.239999999999995</v>
      </c>
      <c r="T848" s="19">
        <f t="shared" si="171"/>
        <v>-147.16000000000003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-8</v>
      </c>
      <c r="Z848" s="20">
        <f>Tabela1[[#This Row],[PESO TOTAL]]-Tabela1[[#This Row],[Peso Expedido]]</f>
        <v>226.4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25.759999999999998</v>
      </c>
      <c r="S849" s="18">
        <f t="shared" si="170"/>
        <v>25.759999999999998</v>
      </c>
      <c r="T849" s="19">
        <f t="shared" si="171"/>
        <v>-47.839999999999996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73.599999999999994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43.26</v>
      </c>
      <c r="S850" s="18">
        <f t="shared" si="170"/>
        <v>43.26</v>
      </c>
      <c r="T850" s="19">
        <f t="shared" si="171"/>
        <v>-80.34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123.6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169"/>
        <v>9.4499999999999993</v>
      </c>
      <c r="S851" s="18">
        <f t="shared" si="170"/>
        <v>9.4499999999999993</v>
      </c>
      <c r="T851" s="19">
        <f t="shared" si="171"/>
        <v>-17.55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-1</v>
      </c>
      <c r="Z851" s="20">
        <f>Tabela1[[#This Row],[PESO TOTAL]]-Tabela1[[#This Row],[Peso Expedido]]</f>
        <v>27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 t="shared" ref="R852:R867" si="173">IFERROR(H852*((AA852*0.25)+(AC852*0.25)+(AD852*0.225)+(AE852*0.225)+(AF852*0.05)),"")</f>
        <v>34.299999999999997</v>
      </c>
      <c r="S852" s="18">
        <f t="shared" ref="S852:S867" si="174">IFERROR(H852*AG852,"")</f>
        <v>34.299999999999997</v>
      </c>
      <c r="T852" s="19">
        <f t="shared" ref="T852:T867" si="175">IFERROR(S852-H852,"")</f>
        <v>-63.7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ref="Y852:Y867" si="176">U852-C852</f>
        <v>-14</v>
      </c>
      <c r="Z852" s="20">
        <f>Tabela1[[#This Row],[PESO TOTAL]]-Tabela1[[#This Row],[Peso Expedido]]</f>
        <v>98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73"/>
        <v>159.84</v>
      </c>
      <c r="S853" s="18">
        <f t="shared" si="174"/>
        <v>0</v>
      </c>
      <c r="T853" s="19">
        <f t="shared" si="175"/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6"/>
        <v>-1</v>
      </c>
      <c r="Z853" s="20">
        <f>Tabela1[[#This Row],[PESO TOTAL]]-Tabela1[[#This Row],[Peso Expedido]]</f>
        <v>355.2</v>
      </c>
      <c r="AA853" s="17">
        <v>0.9</v>
      </c>
      <c r="AB853" s="33"/>
      <c r="AC853" s="33">
        <v>0.9</v>
      </c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173"/>
        <v>36.54</v>
      </c>
      <c r="S854" s="18">
        <f t="shared" si="174"/>
        <v>0</v>
      </c>
      <c r="T854" s="19">
        <f t="shared" si="175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6"/>
        <v>-2</v>
      </c>
      <c r="Z854" s="20">
        <f>Tabela1[[#This Row],[PESO TOTAL]]-Tabela1[[#This Row],[Peso Expedido]]</f>
        <v>81.2</v>
      </c>
      <c r="AA854" s="17">
        <v>0.9</v>
      </c>
      <c r="AB854" s="33"/>
      <c r="AC854" s="33">
        <v>0.9</v>
      </c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 t="shared" si="173"/>
        <v>95.76</v>
      </c>
      <c r="S855" s="18">
        <f t="shared" si="174"/>
        <v>0</v>
      </c>
      <c r="T855" s="19">
        <f t="shared" si="175"/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-2</v>
      </c>
      <c r="Z855" s="20">
        <f>Tabela1[[#This Row],[PESO TOTAL]]-Tabela1[[#This Row],[Peso Expedido]]</f>
        <v>212.8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 t="s">
        <v>5314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5401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108.77500000000001</v>
      </c>
      <c r="S856" s="18">
        <f t="shared" si="174"/>
        <v>0</v>
      </c>
      <c r="T856" s="19">
        <f t="shared" si="175"/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435.1</v>
      </c>
      <c r="AA856" s="17">
        <v>1</v>
      </c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39.24</v>
      </c>
      <c r="S857" s="18">
        <f t="shared" si="174"/>
        <v>0</v>
      </c>
      <c r="T857" s="19">
        <f t="shared" si="175"/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87.2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3"/>
        <v>32.4</v>
      </c>
      <c r="S858" s="18">
        <f t="shared" si="174"/>
        <v>0</v>
      </c>
      <c r="T858" s="19">
        <f t="shared" si="175"/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72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5.67</v>
      </c>
      <c r="S859" s="18">
        <f t="shared" si="174"/>
        <v>0</v>
      </c>
      <c r="T859" s="19">
        <f t="shared" si="175"/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12.6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0</v>
      </c>
      <c r="S860" s="18">
        <f t="shared" si="174"/>
        <v>0</v>
      </c>
      <c r="T860" s="19">
        <f t="shared" si="175"/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48.330000000000005</v>
      </c>
      <c r="S861" s="18">
        <f t="shared" si="174"/>
        <v>0</v>
      </c>
      <c r="T861" s="19">
        <f t="shared" si="175"/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107.4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si="173"/>
        <v>76.59</v>
      </c>
      <c r="S862" s="18">
        <f t="shared" si="174"/>
        <v>0</v>
      </c>
      <c r="T862" s="19">
        <f t="shared" si="175"/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-1</v>
      </c>
      <c r="Z862" s="20">
        <f>Tabela1[[#This Row],[PESO TOTAL]]-Tabela1[[#This Row],[Peso Expedido]]</f>
        <v>170.2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173"/>
        <v>99.09</v>
      </c>
      <c r="S863" s="18">
        <f t="shared" si="174"/>
        <v>0</v>
      </c>
      <c r="T863" s="19">
        <f t="shared" si="175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-1</v>
      </c>
      <c r="Z863" s="20">
        <f>Tabela1[[#This Row],[PESO TOTAL]]-Tabela1[[#This Row],[Peso Expedido]]</f>
        <v>220.2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99.09</v>
      </c>
      <c r="S864" s="18">
        <f t="shared" si="174"/>
        <v>0</v>
      </c>
      <c r="T864" s="19">
        <f t="shared" si="175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220.2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173"/>
        <v>49.59</v>
      </c>
      <c r="S865" s="18">
        <f t="shared" si="174"/>
        <v>0</v>
      </c>
      <c r="T865" s="19">
        <f t="shared" si="175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-2</v>
      </c>
      <c r="Z865" s="20">
        <f>Tabela1[[#This Row],[PESO TOTAL]]-Tabela1[[#This Row],[Peso Expedido]]</f>
        <v>110.2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 t="shared" si="173"/>
        <v>62.1</v>
      </c>
      <c r="S866" s="18">
        <f t="shared" si="174"/>
        <v>0</v>
      </c>
      <c r="T866" s="19">
        <f t="shared" si="175"/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-2</v>
      </c>
      <c r="Z866" s="20">
        <f>Tabela1[[#This Row],[PESO TOTAL]]-Tabela1[[#This Row],[Peso Expedido]]</f>
        <v>138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5032</v>
      </c>
      <c r="B867" s="21"/>
      <c r="C867" s="1">
        <v>6</v>
      </c>
      <c r="D867" s="1" t="s">
        <v>5033</v>
      </c>
      <c r="E867" s="7">
        <v>4522</v>
      </c>
      <c r="F867" s="7">
        <v>1</v>
      </c>
      <c r="G867" s="1">
        <v>15</v>
      </c>
      <c r="H867" s="34">
        <f>Tabela1[[#This Row],[PESO UNI]]*Tabela1[[#This Row],[QTE]]</f>
        <v>90</v>
      </c>
      <c r="I867" s="7" t="s">
        <v>43</v>
      </c>
      <c r="J867" s="8" t="s">
        <v>5034</v>
      </c>
      <c r="K867" s="8" t="s">
        <v>23</v>
      </c>
      <c r="L867" s="9" t="s">
        <v>5035</v>
      </c>
      <c r="M867" s="10">
        <v>46245</v>
      </c>
      <c r="N867" s="8" t="s">
        <v>38</v>
      </c>
      <c r="O867" s="12"/>
      <c r="P867" s="13"/>
      <c r="Q867" s="14">
        <f>Tabela1[[#This Row],[QTDE/ Fabricação]]-Tabela1[[#This Row],[QTE]]</f>
        <v>-6</v>
      </c>
      <c r="R867" s="18">
        <f t="shared" si="173"/>
        <v>0</v>
      </c>
      <c r="S867" s="18">
        <f t="shared" si="174"/>
        <v>0</v>
      </c>
      <c r="T867" s="19">
        <f t="shared" si="175"/>
        <v>-90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-6</v>
      </c>
      <c r="Z867" s="20">
        <f>Tabela1[[#This Row],[PESO TOTAL]]-Tabela1[[#This Row],[Peso Expedido]]</f>
        <v>90</v>
      </c>
      <c r="AA867" s="17"/>
      <c r="AB867" s="33"/>
      <c r="AC867" s="33"/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5036</v>
      </c>
      <c r="B868" s="21"/>
      <c r="C868" s="1">
        <v>10</v>
      </c>
      <c r="D868" s="1" t="s">
        <v>5037</v>
      </c>
      <c r="E868" s="7">
        <v>4523</v>
      </c>
      <c r="F868" s="7">
        <v>1</v>
      </c>
      <c r="G868" s="1">
        <v>10.5</v>
      </c>
      <c r="H868" s="34">
        <f>Tabela1[[#This Row],[PESO UNI]]*Tabela1[[#This Row],[QTE]]</f>
        <v>105</v>
      </c>
      <c r="I868" s="7" t="s">
        <v>43</v>
      </c>
      <c r="J868" s="8" t="s">
        <v>5034</v>
      </c>
      <c r="K868" s="8" t="s">
        <v>23</v>
      </c>
      <c r="L868" s="9" t="s">
        <v>5035</v>
      </c>
      <c r="M868" s="10">
        <v>46245</v>
      </c>
      <c r="N868" s="8" t="s">
        <v>38</v>
      </c>
      <c r="O868" s="12"/>
      <c r="P868" s="13"/>
      <c r="Q868" s="14">
        <f>Tabela1[[#This Row],[QTDE/ Fabricação]]-Tabela1[[#This Row],[QTE]]</f>
        <v>-10</v>
      </c>
      <c r="R868" s="18">
        <f t="shared" ref="R868" si="177">IFERROR(H868*((AA868*0.25)+(AC868*0.25)+(AD868*0.225)+(AE868*0.225)+(AF868*0.05)),"")</f>
        <v>0</v>
      </c>
      <c r="S868" s="18">
        <f t="shared" ref="S868" si="178">IFERROR(H868*AG868,"")</f>
        <v>0</v>
      </c>
      <c r="T868" s="19">
        <f t="shared" ref="T868" si="179">IFERROR(S868-H868,"")</f>
        <v>-105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ref="Y868" si="180">U868-C868</f>
        <v>-10</v>
      </c>
      <c r="Z868" s="20">
        <f>Tabela1[[#This Row],[PESO TOTAL]]-Tabela1[[#This Row],[Peso Expedido]]</f>
        <v>105</v>
      </c>
      <c r="AA868" s="17"/>
      <c r="AB868" s="33"/>
      <c r="AC868" s="33"/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5038</v>
      </c>
      <c r="B869" s="21"/>
      <c r="C869" s="1">
        <v>5</v>
      </c>
      <c r="D869" s="1" t="s">
        <v>5039</v>
      </c>
      <c r="E869" s="7">
        <v>4524</v>
      </c>
      <c r="F869" s="7">
        <v>1</v>
      </c>
      <c r="G869" s="1">
        <v>35</v>
      </c>
      <c r="H869" s="34">
        <f>Tabela1[[#This Row],[PESO UNI]]*Tabela1[[#This Row],[QTE]]</f>
        <v>175</v>
      </c>
      <c r="I869" s="7" t="s">
        <v>43</v>
      </c>
      <c r="J869" s="8" t="s">
        <v>5034</v>
      </c>
      <c r="K869" s="8" t="s">
        <v>23</v>
      </c>
      <c r="L869" s="9" t="s">
        <v>5035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-5</v>
      </c>
      <c r="R869" s="18">
        <f t="shared" ref="R869:R900" si="181">IFERROR(H869*((AA869*0.25)+(AC869*0.25)+(AD869*0.225)+(AE869*0.225)+(AF869*0.05)),"")</f>
        <v>0</v>
      </c>
      <c r="S869" s="18">
        <f t="shared" ref="S869:S900" si="182">IFERROR(H869*AG869,"")</f>
        <v>0</v>
      </c>
      <c r="T869" s="19">
        <f t="shared" ref="T869:T900" si="183">IFERROR(S869-H869,"")</f>
        <v>-175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ref="Y869:Y900" si="184">U869-C869</f>
        <v>-5</v>
      </c>
      <c r="Z869" s="20">
        <f>Tabela1[[#This Row],[PESO TOTAL]]-Tabela1[[#This Row],[Peso Expedido]]</f>
        <v>175</v>
      </c>
      <c r="AA869" s="17"/>
      <c r="AB869" s="33"/>
      <c r="AC869" s="33"/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5042</v>
      </c>
      <c r="B870" s="21"/>
      <c r="C870" s="1">
        <v>710</v>
      </c>
      <c r="D870" s="1" t="s">
        <v>5043</v>
      </c>
      <c r="E870" s="7">
        <v>4525</v>
      </c>
      <c r="F870" s="7">
        <v>13</v>
      </c>
      <c r="G870" s="1">
        <v>35</v>
      </c>
      <c r="H870" s="34">
        <f>Tabela1[[#This Row],[PESO UNI]]*Tabela1[[#This Row],[QTE]]</f>
        <v>24850</v>
      </c>
      <c r="I870" s="7">
        <v>0</v>
      </c>
      <c r="J870" s="8" t="s">
        <v>4834</v>
      </c>
      <c r="K870" s="8" t="s">
        <v>4320</v>
      </c>
      <c r="L870" s="9" t="s">
        <v>3291</v>
      </c>
      <c r="M870" s="10">
        <v>46246</v>
      </c>
      <c r="N870" s="8" t="s">
        <v>38</v>
      </c>
      <c r="O870" s="12"/>
      <c r="P870" s="13"/>
      <c r="Q870" s="14">
        <f>Tabela1[[#This Row],[QTDE/ Fabricação]]-Tabela1[[#This Row],[QTE]]</f>
        <v>-710</v>
      </c>
      <c r="R870" s="18">
        <f t="shared" si="181"/>
        <v>0</v>
      </c>
      <c r="S870" s="18">
        <f t="shared" si="182"/>
        <v>0</v>
      </c>
      <c r="T870" s="19">
        <f t="shared" si="183"/>
        <v>-24850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si="184"/>
        <v>-710</v>
      </c>
      <c r="Z870" s="20">
        <f>Tabela1[[#This Row],[PESO TOTAL]]-Tabela1[[#This Row],[Peso Expedido]]</f>
        <v>24850</v>
      </c>
      <c r="AA870" s="17"/>
      <c r="AB870" s="33"/>
      <c r="AC870" s="33"/>
      <c r="AD870" s="33"/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414</v>
      </c>
      <c r="B871" s="21"/>
      <c r="C871" s="1">
        <v>10</v>
      </c>
      <c r="D871" s="1" t="s">
        <v>5044</v>
      </c>
      <c r="E871" s="7">
        <v>4526</v>
      </c>
      <c r="F871" s="7">
        <v>1</v>
      </c>
      <c r="G871" s="1">
        <v>5</v>
      </c>
      <c r="H871" s="34">
        <f>Tabela1[[#This Row],[PESO UNI]]*Tabela1[[#This Row],[QTE]]</f>
        <v>50</v>
      </c>
      <c r="I871" s="7">
        <v>0</v>
      </c>
      <c r="J871" s="8" t="s">
        <v>5045</v>
      </c>
      <c r="K871" s="8" t="s">
        <v>23</v>
      </c>
      <c r="L871" s="9" t="s">
        <v>5046</v>
      </c>
      <c r="M871" s="10">
        <v>46246</v>
      </c>
      <c r="N871" s="8" t="s">
        <v>38</v>
      </c>
      <c r="O871" s="12"/>
      <c r="P871" s="13"/>
      <c r="Q871" s="14">
        <f>Tabela1[[#This Row],[QTDE/ Fabricação]]-Tabela1[[#This Row],[QTE]]</f>
        <v>-10</v>
      </c>
      <c r="R871" s="18">
        <f t="shared" si="181"/>
        <v>0</v>
      </c>
      <c r="S871" s="18">
        <f t="shared" si="182"/>
        <v>0</v>
      </c>
      <c r="T871" s="19">
        <f t="shared" si="183"/>
        <v>-50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si="184"/>
        <v>-10</v>
      </c>
      <c r="Z871" s="20">
        <f>Tabela1[[#This Row],[PESO TOTAL]]-Tabela1[[#This Row],[Peso Expedido]]</f>
        <v>50</v>
      </c>
      <c r="AA871" s="17"/>
      <c r="AB871" s="33"/>
      <c r="AC871" s="33"/>
      <c r="AD871" s="33"/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5051</v>
      </c>
      <c r="B872" s="21" t="s">
        <v>5052</v>
      </c>
      <c r="C872" s="1">
        <v>1</v>
      </c>
      <c r="D872" s="1" t="s">
        <v>5053</v>
      </c>
      <c r="E872" s="7">
        <v>4527</v>
      </c>
      <c r="F872" s="7">
        <v>56</v>
      </c>
      <c r="G872" s="1">
        <v>297.8</v>
      </c>
      <c r="H872" s="34">
        <f>Tabela1[[#This Row],[PESO UNI]]*Tabela1[[#This Row],[QTE]]</f>
        <v>297.8</v>
      </c>
      <c r="I872" s="7">
        <v>0</v>
      </c>
      <c r="J872" s="8" t="s">
        <v>3140</v>
      </c>
      <c r="K872" s="8" t="s">
        <v>4320</v>
      </c>
      <c r="L872" s="9" t="s">
        <v>2984</v>
      </c>
      <c r="M872" s="10">
        <v>46251</v>
      </c>
      <c r="N872" s="8" t="s">
        <v>5119</v>
      </c>
      <c r="O872" s="12"/>
      <c r="P872" s="13"/>
      <c r="Q872" s="14">
        <f>Tabela1[[#This Row],[QTDE/ Fabricação]]-Tabela1[[#This Row],[QTE]]</f>
        <v>-1</v>
      </c>
      <c r="R872" s="18">
        <f t="shared" si="181"/>
        <v>74.45</v>
      </c>
      <c r="S872" s="18">
        <f t="shared" si="182"/>
        <v>0</v>
      </c>
      <c r="T872" s="19">
        <f t="shared" si="183"/>
        <v>-297.8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-1</v>
      </c>
      <c r="Z872" s="20">
        <f>Tabela1[[#This Row],[PESO TOTAL]]-Tabela1[[#This Row],[Peso Expedido]]</f>
        <v>297.8</v>
      </c>
      <c r="AA872" s="17">
        <v>1</v>
      </c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5051</v>
      </c>
      <c r="B873" s="21" t="s">
        <v>5052</v>
      </c>
      <c r="C873" s="1">
        <v>1</v>
      </c>
      <c r="D873" s="1" t="s">
        <v>5054</v>
      </c>
      <c r="E873" s="7">
        <v>4528</v>
      </c>
      <c r="F873" s="7">
        <v>56</v>
      </c>
      <c r="G873" s="1">
        <v>297.8</v>
      </c>
      <c r="H873" s="34">
        <f>Tabela1[[#This Row],[PESO UNI]]*Tabela1[[#This Row],[QTE]]</f>
        <v>297.8</v>
      </c>
      <c r="I873" s="7">
        <v>0</v>
      </c>
      <c r="J873" s="8" t="s">
        <v>3140</v>
      </c>
      <c r="K873" s="8" t="s">
        <v>4320</v>
      </c>
      <c r="L873" s="9" t="s">
        <v>2984</v>
      </c>
      <c r="M873" s="10">
        <v>46251</v>
      </c>
      <c r="N873" s="8" t="s">
        <v>5119</v>
      </c>
      <c r="O873" s="12"/>
      <c r="P873" s="13"/>
      <c r="Q873" s="14">
        <f>Tabela1[[#This Row],[QTDE/ Fabricação]]-Tabela1[[#This Row],[QTE]]</f>
        <v>-1</v>
      </c>
      <c r="R873" s="18">
        <f t="shared" si="181"/>
        <v>74.45</v>
      </c>
      <c r="S873" s="18">
        <f t="shared" si="182"/>
        <v>0</v>
      </c>
      <c r="T873" s="19">
        <f t="shared" si="183"/>
        <v>-297.8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-1</v>
      </c>
      <c r="Z873" s="20">
        <f>Tabela1[[#This Row],[PESO TOTAL]]-Tabela1[[#This Row],[Peso Expedido]]</f>
        <v>297.8</v>
      </c>
      <c r="AA873" s="17">
        <v>1</v>
      </c>
      <c r="AB873" s="33"/>
      <c r="AC873" s="33"/>
      <c r="AD873" s="33"/>
      <c r="AE873" s="33"/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" t="s">
        <v>5055</v>
      </c>
      <c r="B874" s="21" t="s">
        <v>5056</v>
      </c>
      <c r="C874" s="1">
        <v>1</v>
      </c>
      <c r="D874" s="1" t="s">
        <v>5057</v>
      </c>
      <c r="E874" s="7">
        <v>4529</v>
      </c>
      <c r="F874" s="7">
        <v>56</v>
      </c>
      <c r="G874" s="1">
        <v>886.6</v>
      </c>
      <c r="H874" s="34">
        <f>Tabela1[[#This Row],[PESO UNI]]*Tabela1[[#This Row],[QTE]]</f>
        <v>886.6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5119</v>
      </c>
      <c r="O874" s="12"/>
      <c r="P874" s="13"/>
      <c r="Q874" s="14">
        <f>Tabela1[[#This Row],[QTDE/ Fabricação]]-Tabela1[[#This Row],[QTE]]</f>
        <v>-1</v>
      </c>
      <c r="R874" s="18">
        <f t="shared" si="181"/>
        <v>221.65</v>
      </c>
      <c r="S874" s="18">
        <f t="shared" si="182"/>
        <v>0</v>
      </c>
      <c r="T874" s="19">
        <f t="shared" si="183"/>
        <v>-886.6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886.6</v>
      </c>
      <c r="AA874" s="17">
        <v>1</v>
      </c>
      <c r="AB874" s="33"/>
      <c r="AC874" s="33"/>
      <c r="AD874" s="33"/>
      <c r="AE874" s="33"/>
      <c r="AF874" s="33"/>
      <c r="AG874" s="33"/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1" t="s">
        <v>5058</v>
      </c>
      <c r="B875" s="21" t="s">
        <v>5059</v>
      </c>
      <c r="C875" s="1">
        <v>1</v>
      </c>
      <c r="D875" s="1" t="s">
        <v>5060</v>
      </c>
      <c r="E875" s="7">
        <v>4530</v>
      </c>
      <c r="F875" s="7">
        <v>56</v>
      </c>
      <c r="G875" s="1">
        <v>643.4</v>
      </c>
      <c r="H875" s="34">
        <f>Tabela1[[#This Row],[PESO UNI]]*Tabela1[[#This Row],[QTE]]</f>
        <v>643.4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5119</v>
      </c>
      <c r="O875" s="12"/>
      <c r="P875" s="13"/>
      <c r="Q875" s="14">
        <f>Tabela1[[#This Row],[QTDE/ Fabricação]]-Tabela1[[#This Row],[QTE]]</f>
        <v>-1</v>
      </c>
      <c r="R875" s="18">
        <f t="shared" si="181"/>
        <v>160.85</v>
      </c>
      <c r="S875" s="18">
        <f t="shared" si="182"/>
        <v>0</v>
      </c>
      <c r="T875" s="19">
        <f t="shared" si="183"/>
        <v>-643.4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643.4</v>
      </c>
      <c r="AA875" s="17">
        <v>1</v>
      </c>
      <c r="AB875" s="33"/>
      <c r="AC875" s="33"/>
      <c r="AD875" s="33"/>
      <c r="AE875" s="33"/>
      <c r="AF875" s="33"/>
      <c r="AG875" s="33"/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1" t="s">
        <v>5061</v>
      </c>
      <c r="B876" s="21" t="s">
        <v>5062</v>
      </c>
      <c r="C876" s="1">
        <v>1</v>
      </c>
      <c r="D876" s="1" t="s">
        <v>5063</v>
      </c>
      <c r="E876" s="7">
        <v>4531</v>
      </c>
      <c r="F876" s="7">
        <v>56</v>
      </c>
      <c r="G876" s="1">
        <v>368.4</v>
      </c>
      <c r="H876" s="34">
        <f>Tabela1[[#This Row],[PESO UNI]]*Tabela1[[#This Row],[QTE]]</f>
        <v>368.4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5119</v>
      </c>
      <c r="O876" s="12"/>
      <c r="P876" s="13"/>
      <c r="Q876" s="14">
        <f>Tabela1[[#This Row],[QTDE/ Fabricação]]-Tabela1[[#This Row],[QTE]]</f>
        <v>-1</v>
      </c>
      <c r="R876" s="18">
        <f t="shared" si="181"/>
        <v>92.1</v>
      </c>
      <c r="S876" s="18">
        <f t="shared" si="182"/>
        <v>0</v>
      </c>
      <c r="T876" s="19">
        <f t="shared" si="183"/>
        <v>-368.4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368.4</v>
      </c>
      <c r="AA876" s="17">
        <v>1</v>
      </c>
      <c r="AB876" s="33"/>
      <c r="AC876" s="33"/>
      <c r="AD876" s="33"/>
      <c r="AE876" s="33"/>
      <c r="AF876" s="33"/>
      <c r="AG876" s="33"/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1" t="s">
        <v>5061</v>
      </c>
      <c r="B877" s="21" t="s">
        <v>5062</v>
      </c>
      <c r="C877" s="1">
        <v>1</v>
      </c>
      <c r="D877" s="1" t="s">
        <v>5064</v>
      </c>
      <c r="E877" s="7">
        <v>4532</v>
      </c>
      <c r="F877" s="7">
        <v>56</v>
      </c>
      <c r="G877" s="1">
        <v>340.7</v>
      </c>
      <c r="H877" s="34">
        <f>Tabela1[[#This Row],[PESO UNI]]*Tabela1[[#This Row],[QTE]]</f>
        <v>340.7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5119</v>
      </c>
      <c r="O877" s="12"/>
      <c r="P877" s="13"/>
      <c r="Q877" s="14">
        <f>Tabela1[[#This Row],[QTDE/ Fabricação]]-Tabela1[[#This Row],[QTE]]</f>
        <v>-1</v>
      </c>
      <c r="R877" s="18">
        <f t="shared" si="181"/>
        <v>85.174999999999997</v>
      </c>
      <c r="S877" s="18">
        <f t="shared" si="182"/>
        <v>0</v>
      </c>
      <c r="T877" s="19">
        <f t="shared" si="183"/>
        <v>-340.7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340.7</v>
      </c>
      <c r="AA877" s="17">
        <v>1</v>
      </c>
      <c r="AB877" s="33"/>
      <c r="AC877" s="33"/>
      <c r="AD877" s="33"/>
      <c r="AE877" s="33"/>
      <c r="AF877" s="33"/>
      <c r="AG877" s="33"/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1" t="s">
        <v>5065</v>
      </c>
      <c r="B878" s="21" t="s">
        <v>5066</v>
      </c>
      <c r="C878" s="1">
        <v>4</v>
      </c>
      <c r="D878" s="1" t="s">
        <v>5067</v>
      </c>
      <c r="E878" s="7">
        <v>4533</v>
      </c>
      <c r="F878" s="7">
        <v>53</v>
      </c>
      <c r="G878" s="1">
        <v>6.2</v>
      </c>
      <c r="H878" s="34">
        <f>Tabela1[[#This Row],[PESO UNI]]*Tabela1[[#This Row],[QTE]]</f>
        <v>24.8</v>
      </c>
      <c r="I878" s="7">
        <v>0</v>
      </c>
      <c r="J878" s="8" t="s">
        <v>3045</v>
      </c>
      <c r="K878" s="8" t="s">
        <v>4320</v>
      </c>
      <c r="L878" s="9" t="s">
        <v>2984</v>
      </c>
      <c r="M878" s="10">
        <v>46251</v>
      </c>
      <c r="N878" s="8" t="s">
        <v>5119</v>
      </c>
      <c r="O878" s="12"/>
      <c r="P878" s="13"/>
      <c r="Q878" s="14">
        <f>Tabela1[[#This Row],[QTDE/ Fabricação]]-Tabela1[[#This Row],[QTE]]</f>
        <v>-4</v>
      </c>
      <c r="R878" s="18">
        <f t="shared" si="181"/>
        <v>6.2</v>
      </c>
      <c r="S878" s="18">
        <f t="shared" si="182"/>
        <v>0</v>
      </c>
      <c r="T878" s="19">
        <f t="shared" si="183"/>
        <v>-24.8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-4</v>
      </c>
      <c r="Z878" s="20">
        <f>Tabela1[[#This Row],[PESO TOTAL]]-Tabela1[[#This Row],[Peso Expedido]]</f>
        <v>24.8</v>
      </c>
      <c r="AA878" s="17">
        <v>1</v>
      </c>
      <c r="AB878" s="33"/>
      <c r="AC878" s="33"/>
      <c r="AD878" s="33"/>
      <c r="AE878" s="33"/>
      <c r="AF878" s="33"/>
      <c r="AG878" s="33"/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1" t="s">
        <v>5065</v>
      </c>
      <c r="B879" s="21" t="s">
        <v>5066</v>
      </c>
      <c r="C879" s="1">
        <v>1</v>
      </c>
      <c r="D879" s="1" t="s">
        <v>5070</v>
      </c>
      <c r="E879" s="7">
        <v>4534</v>
      </c>
      <c r="F879" s="7">
        <v>53</v>
      </c>
      <c r="G879" s="1">
        <v>312.39999999999998</v>
      </c>
      <c r="H879" s="34">
        <f>Tabela1[[#This Row],[PESO UNI]]*Tabela1[[#This Row],[QTE]]</f>
        <v>312.39999999999998</v>
      </c>
      <c r="I879" s="7">
        <v>0</v>
      </c>
      <c r="J879" s="8" t="s">
        <v>3045</v>
      </c>
      <c r="K879" s="8" t="s">
        <v>4320</v>
      </c>
      <c r="L879" s="9" t="s">
        <v>2984</v>
      </c>
      <c r="M879" s="10">
        <v>46251</v>
      </c>
      <c r="N879" s="8" t="s">
        <v>5119</v>
      </c>
      <c r="O879" s="12"/>
      <c r="P879" s="13"/>
      <c r="Q879" s="14">
        <f>Tabela1[[#This Row],[QTDE/ Fabricação]]-Tabela1[[#This Row],[QTE]]</f>
        <v>-1</v>
      </c>
      <c r="R879" s="18">
        <f t="shared" si="181"/>
        <v>78.099999999999994</v>
      </c>
      <c r="S879" s="18">
        <f t="shared" si="182"/>
        <v>0</v>
      </c>
      <c r="T879" s="19">
        <f t="shared" si="183"/>
        <v>-312.39999999999998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312.39999999999998</v>
      </c>
      <c r="AA879" s="17">
        <v>1</v>
      </c>
      <c r="AB879" s="33"/>
      <c r="AC879" s="33"/>
      <c r="AD879" s="33"/>
      <c r="AE879" s="33"/>
      <c r="AF879" s="33"/>
      <c r="AG879" s="33"/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5068</v>
      </c>
      <c r="B880" s="21" t="s">
        <v>5069</v>
      </c>
      <c r="C880" s="1">
        <v>2</v>
      </c>
      <c r="D880" s="1" t="s">
        <v>5071</v>
      </c>
      <c r="E880" s="7">
        <v>4535</v>
      </c>
      <c r="F880" s="7">
        <v>54</v>
      </c>
      <c r="G880" s="1">
        <v>5.4</v>
      </c>
      <c r="H880" s="34">
        <f>Tabela1[[#This Row],[PESO UNI]]*Tabela1[[#This Row],[QTE]]</f>
        <v>10.8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5119</v>
      </c>
      <c r="O880" s="12"/>
      <c r="P880" s="13"/>
      <c r="Q880" s="14">
        <f>Tabela1[[#This Row],[QTDE/ Fabricação]]-Tabela1[[#This Row],[QTE]]</f>
        <v>-2</v>
      </c>
      <c r="R880" s="18">
        <f t="shared" si="181"/>
        <v>2.7</v>
      </c>
      <c r="S880" s="18">
        <f t="shared" si="182"/>
        <v>0</v>
      </c>
      <c r="T880" s="19">
        <f t="shared" si="183"/>
        <v>-10.8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-2</v>
      </c>
      <c r="Z880" s="20">
        <f>Tabela1[[#This Row],[PESO TOTAL]]-Tabela1[[#This Row],[Peso Expedido]]</f>
        <v>10.8</v>
      </c>
      <c r="AA880" s="17">
        <v>1</v>
      </c>
      <c r="AB880" s="33"/>
      <c r="AC880" s="33"/>
      <c r="AD880" s="33"/>
      <c r="AE880" s="33"/>
      <c r="AF880" s="33"/>
      <c r="AG880" s="33"/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5068</v>
      </c>
      <c r="B881" s="21" t="s">
        <v>5069</v>
      </c>
      <c r="C881" s="1">
        <v>2</v>
      </c>
      <c r="D881" s="1" t="s">
        <v>5072</v>
      </c>
      <c r="E881" s="7">
        <v>4536</v>
      </c>
      <c r="F881" s="7">
        <v>54</v>
      </c>
      <c r="G881" s="1">
        <v>4.7</v>
      </c>
      <c r="H881" s="34">
        <f>Tabela1[[#This Row],[PESO UNI]]*Tabela1[[#This Row],[QTE]]</f>
        <v>9.4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5119</v>
      </c>
      <c r="O881" s="12"/>
      <c r="P881" s="13"/>
      <c r="Q881" s="14">
        <f>Tabela1[[#This Row],[QTDE/ Fabricação]]-Tabela1[[#This Row],[QTE]]</f>
        <v>-2</v>
      </c>
      <c r="R881" s="18">
        <f t="shared" si="181"/>
        <v>2.35</v>
      </c>
      <c r="S881" s="18">
        <f t="shared" si="182"/>
        <v>0</v>
      </c>
      <c r="T881" s="19">
        <f t="shared" si="183"/>
        <v>-9.4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-2</v>
      </c>
      <c r="Z881" s="20">
        <f>Tabela1[[#This Row],[PESO TOTAL]]-Tabela1[[#This Row],[Peso Expedido]]</f>
        <v>9.4</v>
      </c>
      <c r="AA881" s="17">
        <v>1</v>
      </c>
      <c r="AB881" s="33"/>
      <c r="AC881" s="33"/>
      <c r="AD881" s="33"/>
      <c r="AE881" s="33"/>
      <c r="AF881" s="33"/>
      <c r="AG881" s="33"/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5068</v>
      </c>
      <c r="B882" s="21" t="s">
        <v>5069</v>
      </c>
      <c r="C882" s="1">
        <v>1</v>
      </c>
      <c r="D882" s="1" t="s">
        <v>5073</v>
      </c>
      <c r="E882" s="7">
        <v>4537</v>
      </c>
      <c r="F882" s="7">
        <v>54</v>
      </c>
      <c r="G882" s="1">
        <v>211.4</v>
      </c>
      <c r="H882" s="34">
        <f>Tabela1[[#This Row],[PESO UNI]]*Tabela1[[#This Row],[QTE]]</f>
        <v>211.4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5119</v>
      </c>
      <c r="O882" s="12"/>
      <c r="P882" s="13"/>
      <c r="Q882" s="14">
        <f>Tabela1[[#This Row],[QTDE/ Fabricação]]-Tabela1[[#This Row],[QTE]]</f>
        <v>-1</v>
      </c>
      <c r="R882" s="18">
        <f t="shared" si="181"/>
        <v>52.85</v>
      </c>
      <c r="S882" s="18">
        <f t="shared" si="182"/>
        <v>0</v>
      </c>
      <c r="T882" s="19">
        <f t="shared" si="183"/>
        <v>-211.4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-1</v>
      </c>
      <c r="Z882" s="20">
        <f>Tabela1[[#This Row],[PESO TOTAL]]-Tabela1[[#This Row],[Peso Expedido]]</f>
        <v>211.4</v>
      </c>
      <c r="AA882" s="17">
        <v>1</v>
      </c>
      <c r="AB882" s="33"/>
      <c r="AC882" s="33"/>
      <c r="AD882" s="33"/>
      <c r="AE882" s="33"/>
      <c r="AF882" s="33"/>
      <c r="AG882" s="33"/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5074</v>
      </c>
      <c r="B883" s="21" t="s">
        <v>5075</v>
      </c>
      <c r="C883" s="1">
        <v>1</v>
      </c>
      <c r="D883" s="1" t="s">
        <v>5076</v>
      </c>
      <c r="E883" s="7">
        <v>4538</v>
      </c>
      <c r="F883" s="7">
        <v>19</v>
      </c>
      <c r="G883" s="1">
        <v>593.20000000000005</v>
      </c>
      <c r="H883" s="34">
        <f>Tabela1[[#This Row],[PESO UNI]]*Tabela1[[#This Row],[QTE]]</f>
        <v>593.20000000000005</v>
      </c>
      <c r="I883" s="7">
        <v>0</v>
      </c>
      <c r="J883" s="8" t="s">
        <v>4834</v>
      </c>
      <c r="K883" s="8" t="s">
        <v>4320</v>
      </c>
      <c r="L883" s="9" t="s">
        <v>3291</v>
      </c>
      <c r="M883" s="10">
        <v>46252</v>
      </c>
      <c r="N883" s="8" t="s">
        <v>38</v>
      </c>
      <c r="O883" s="12"/>
      <c r="P883" s="13"/>
      <c r="Q883" s="14">
        <f>Tabela1[[#This Row],[QTDE/ Fabricação]]-Tabela1[[#This Row],[QTE]]</f>
        <v>-1</v>
      </c>
      <c r="R883" s="18">
        <f t="shared" si="181"/>
        <v>0</v>
      </c>
      <c r="S883" s="18">
        <f t="shared" si="182"/>
        <v>0</v>
      </c>
      <c r="T883" s="19">
        <f t="shared" si="183"/>
        <v>-593.20000000000005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-1</v>
      </c>
      <c r="Z883" s="20">
        <f>Tabela1[[#This Row],[PESO TOTAL]]-Tabela1[[#This Row],[Peso Expedido]]</f>
        <v>593.20000000000005</v>
      </c>
      <c r="AA883" s="17"/>
      <c r="AB883" s="33"/>
      <c r="AC883" s="33"/>
      <c r="AD883" s="33"/>
      <c r="AE883" s="33"/>
      <c r="AF883" s="33"/>
      <c r="AG883" s="33"/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5077</v>
      </c>
      <c r="B884" s="21" t="s">
        <v>5078</v>
      </c>
      <c r="C884" s="1">
        <v>1</v>
      </c>
      <c r="D884" s="1" t="s">
        <v>5079</v>
      </c>
      <c r="E884" s="7">
        <v>4539</v>
      </c>
      <c r="F884" s="7">
        <v>19</v>
      </c>
      <c r="G884" s="1">
        <v>720.7</v>
      </c>
      <c r="H884" s="34">
        <f>Tabela1[[#This Row],[PESO UNI]]*Tabela1[[#This Row],[QTE]]</f>
        <v>720.7</v>
      </c>
      <c r="I884" s="7">
        <v>0</v>
      </c>
      <c r="J884" s="8" t="s">
        <v>4834</v>
      </c>
      <c r="K884" s="8" t="s">
        <v>4320</v>
      </c>
      <c r="L884" s="9" t="s">
        <v>3291</v>
      </c>
      <c r="M884" s="10">
        <v>46252</v>
      </c>
      <c r="N884" s="8" t="s">
        <v>38</v>
      </c>
      <c r="O884" s="12"/>
      <c r="P884" s="13"/>
      <c r="Q884" s="14">
        <f>Tabela1[[#This Row],[QTDE/ Fabricação]]-Tabela1[[#This Row],[QTE]]</f>
        <v>-1</v>
      </c>
      <c r="R884" s="18">
        <f t="shared" si="181"/>
        <v>0</v>
      </c>
      <c r="S884" s="18">
        <f t="shared" si="182"/>
        <v>0</v>
      </c>
      <c r="T884" s="19">
        <f t="shared" si="183"/>
        <v>-720.7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720.7</v>
      </c>
      <c r="AA884" s="17"/>
      <c r="AB884" s="33"/>
      <c r="AC884" s="33"/>
      <c r="AD884" s="33"/>
      <c r="AE884" s="33"/>
      <c r="AF884" s="33"/>
      <c r="AG884" s="33"/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5080</v>
      </c>
      <c r="B885" s="21" t="s">
        <v>5081</v>
      </c>
      <c r="C885" s="1">
        <v>1</v>
      </c>
      <c r="D885" s="1" t="s">
        <v>5082</v>
      </c>
      <c r="E885" s="7">
        <v>4540</v>
      </c>
      <c r="F885" s="7">
        <v>19</v>
      </c>
      <c r="G885" s="1">
        <v>355.4</v>
      </c>
      <c r="H885" s="34">
        <f>Tabela1[[#This Row],[PESO UNI]]*Tabela1[[#This Row],[QTE]]</f>
        <v>355.4</v>
      </c>
      <c r="I885" s="7">
        <v>0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0</v>
      </c>
      <c r="S885" s="18">
        <f t="shared" si="182"/>
        <v>0</v>
      </c>
      <c r="T885" s="19">
        <f t="shared" si="183"/>
        <v>-355.4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355.4</v>
      </c>
      <c r="AA885" s="17"/>
      <c r="AB885" s="33"/>
      <c r="AC885" s="33"/>
      <c r="AD885" s="33"/>
      <c r="AE885" s="33"/>
      <c r="AF885" s="33"/>
      <c r="AG885" s="33"/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5083</v>
      </c>
      <c r="B886" s="21" t="s">
        <v>5084</v>
      </c>
      <c r="C886" s="1">
        <v>1</v>
      </c>
      <c r="D886" s="1" t="s">
        <v>5085</v>
      </c>
      <c r="E886" s="7">
        <v>4541</v>
      </c>
      <c r="F886" s="7">
        <v>19</v>
      </c>
      <c r="G886" s="1">
        <v>497.8</v>
      </c>
      <c r="H886" s="34">
        <f>Tabela1[[#This Row],[PESO UNI]]*Tabela1[[#This Row],[QTE]]</f>
        <v>497.8</v>
      </c>
      <c r="I886" s="7">
        <v>0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0</v>
      </c>
      <c r="S886" s="18">
        <f t="shared" si="182"/>
        <v>0</v>
      </c>
      <c r="T886" s="19">
        <f t="shared" si="183"/>
        <v>-497.8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497.8</v>
      </c>
      <c r="AA886" s="17"/>
      <c r="AB886" s="33"/>
      <c r="AC886" s="33"/>
      <c r="AD886" s="33"/>
      <c r="AE886" s="33"/>
      <c r="AF886" s="33"/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5086</v>
      </c>
      <c r="B887" s="21" t="s">
        <v>5087</v>
      </c>
      <c r="C887" s="1">
        <v>1</v>
      </c>
      <c r="D887" s="1" t="s">
        <v>5088</v>
      </c>
      <c r="E887" s="7">
        <v>4542</v>
      </c>
      <c r="F887" s="7">
        <v>19</v>
      </c>
      <c r="G887" s="1">
        <v>484.8</v>
      </c>
      <c r="H887" s="34">
        <f>Tabela1[[#This Row],[PESO UNI]]*Tabela1[[#This Row],[QTE]]</f>
        <v>484.8</v>
      </c>
      <c r="I887" s="7">
        <v>0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0</v>
      </c>
      <c r="S887" s="18">
        <f t="shared" si="182"/>
        <v>0</v>
      </c>
      <c r="T887" s="19">
        <f t="shared" si="183"/>
        <v>-484.8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484.8</v>
      </c>
      <c r="AA887" s="17"/>
      <c r="AB887" s="33"/>
      <c r="AC887" s="33"/>
      <c r="AD887" s="33"/>
      <c r="AE887" s="33"/>
      <c r="AF887" s="33"/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5089</v>
      </c>
      <c r="B888" s="21" t="s">
        <v>5090</v>
      </c>
      <c r="C888" s="1">
        <v>1</v>
      </c>
      <c r="D888" s="1" t="s">
        <v>5091</v>
      </c>
      <c r="E888" s="7">
        <v>4543</v>
      </c>
      <c r="F888" s="7">
        <v>19</v>
      </c>
      <c r="G888" s="1">
        <v>941</v>
      </c>
      <c r="H888" s="34">
        <f>Tabela1[[#This Row],[PESO UNI]]*Tabela1[[#This Row],[QTE]]</f>
        <v>941</v>
      </c>
      <c r="I888" s="7">
        <v>0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0</v>
      </c>
      <c r="S888" s="18">
        <f t="shared" si="182"/>
        <v>0</v>
      </c>
      <c r="T888" s="19">
        <f t="shared" si="183"/>
        <v>-941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941</v>
      </c>
      <c r="AA888" s="17"/>
      <c r="AB888" s="33"/>
      <c r="AC888" s="33"/>
      <c r="AD888" s="33"/>
      <c r="AE888" s="33"/>
      <c r="AF888" s="33"/>
      <c r="AG888" s="33"/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5092</v>
      </c>
      <c r="B889" s="21" t="s">
        <v>5093</v>
      </c>
      <c r="C889" s="1">
        <v>1</v>
      </c>
      <c r="D889" s="1" t="s">
        <v>5094</v>
      </c>
      <c r="E889" s="7">
        <v>4544</v>
      </c>
      <c r="F889" s="7">
        <v>19</v>
      </c>
      <c r="G889" s="1">
        <v>239</v>
      </c>
      <c r="H889" s="34">
        <f>Tabela1[[#This Row],[PESO UNI]]*Tabela1[[#This Row],[QTE]]</f>
        <v>239</v>
      </c>
      <c r="I889" s="7">
        <v>0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0</v>
      </c>
      <c r="S889" s="18">
        <f t="shared" si="182"/>
        <v>0</v>
      </c>
      <c r="T889" s="19">
        <f t="shared" si="183"/>
        <v>-239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239</v>
      </c>
      <c r="AA889" s="17"/>
      <c r="AB889" s="33"/>
      <c r="AC889" s="33"/>
      <c r="AD889" s="33"/>
      <c r="AE889" s="33"/>
      <c r="AF889" s="33"/>
      <c r="AG889" s="33"/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5095</v>
      </c>
      <c r="B890" s="21" t="s">
        <v>5096</v>
      </c>
      <c r="C890" s="1">
        <v>1</v>
      </c>
      <c r="D890" s="1" t="s">
        <v>5097</v>
      </c>
      <c r="E890" s="7">
        <v>4545</v>
      </c>
      <c r="F890" s="7">
        <v>57</v>
      </c>
      <c r="G890" s="1">
        <v>763.4</v>
      </c>
      <c r="H890" s="34">
        <f>Tabela1[[#This Row],[PESO UNI]]*Tabela1[[#This Row],[QTE]]</f>
        <v>763.4</v>
      </c>
      <c r="I890" s="7">
        <v>0</v>
      </c>
      <c r="J890" s="8" t="s">
        <v>3045</v>
      </c>
      <c r="K890" s="8" t="s">
        <v>4320</v>
      </c>
      <c r="L890" s="9" t="s">
        <v>2984</v>
      </c>
      <c r="M890" s="10">
        <v>46251</v>
      </c>
      <c r="N890" s="8" t="s">
        <v>5119</v>
      </c>
      <c r="O890" s="12"/>
      <c r="P890" s="13"/>
      <c r="Q890" s="14">
        <f>Tabela1[[#This Row],[QTDE/ Fabricação]]-Tabela1[[#This Row],[QTE]]</f>
        <v>-1</v>
      </c>
      <c r="R890" s="18">
        <f t="shared" si="181"/>
        <v>190.85</v>
      </c>
      <c r="S890" s="18">
        <f t="shared" si="182"/>
        <v>0</v>
      </c>
      <c r="T890" s="19">
        <f t="shared" si="183"/>
        <v>-763.4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763.4</v>
      </c>
      <c r="AA890" s="17">
        <v>1</v>
      </c>
      <c r="AB890" s="33"/>
      <c r="AC890" s="33"/>
      <c r="AD890" s="33"/>
      <c r="AE890" s="33"/>
      <c r="AF890" s="33"/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5098</v>
      </c>
      <c r="B891" s="21" t="s">
        <v>5099</v>
      </c>
      <c r="C891" s="1">
        <v>1</v>
      </c>
      <c r="D891" s="1" t="s">
        <v>5100</v>
      </c>
      <c r="E891" s="7">
        <v>4546</v>
      </c>
      <c r="F891" s="7">
        <v>57</v>
      </c>
      <c r="G891" s="1">
        <v>508.5</v>
      </c>
      <c r="H891" s="34">
        <f>Tabela1[[#This Row],[PESO UNI]]*Tabela1[[#This Row],[QTE]]</f>
        <v>508.5</v>
      </c>
      <c r="I891" s="7">
        <v>0</v>
      </c>
      <c r="J891" s="8" t="s">
        <v>3045</v>
      </c>
      <c r="K891" s="8" t="s">
        <v>4320</v>
      </c>
      <c r="L891" s="9" t="s">
        <v>2984</v>
      </c>
      <c r="M891" s="10">
        <v>46251</v>
      </c>
      <c r="N891" s="8" t="s">
        <v>5119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127.125</v>
      </c>
      <c r="S891" s="18">
        <f t="shared" si="182"/>
        <v>0</v>
      </c>
      <c r="T891" s="19">
        <f t="shared" si="183"/>
        <v>-508.5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508.5</v>
      </c>
      <c r="AA891" s="17">
        <v>1</v>
      </c>
      <c r="AB891" s="33"/>
      <c r="AC891" s="33"/>
      <c r="AD891" s="33"/>
      <c r="AE891" s="33"/>
      <c r="AF891" s="33"/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5101</v>
      </c>
      <c r="B892" s="21" t="s">
        <v>5102</v>
      </c>
      <c r="C892" s="1">
        <v>1</v>
      </c>
      <c r="D892" s="1" t="s">
        <v>5103</v>
      </c>
      <c r="E892" s="7">
        <v>4547</v>
      </c>
      <c r="F892" s="7">
        <v>57</v>
      </c>
      <c r="G892" s="1">
        <v>441.2</v>
      </c>
      <c r="H892" s="34">
        <f>Tabela1[[#This Row],[PESO UNI]]*Tabela1[[#This Row],[QTE]]</f>
        <v>441.2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5119</v>
      </c>
      <c r="O892" s="12"/>
      <c r="P892" s="13"/>
      <c r="Q892" s="14">
        <f>Tabela1[[#This Row],[QTDE/ Fabricação]]-Tabela1[[#This Row],[QTE]]</f>
        <v>-1</v>
      </c>
      <c r="R892" s="18">
        <f t="shared" si="181"/>
        <v>110.3</v>
      </c>
      <c r="S892" s="18">
        <f t="shared" si="182"/>
        <v>0</v>
      </c>
      <c r="T892" s="19">
        <f t="shared" si="183"/>
        <v>-441.2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441.2</v>
      </c>
      <c r="AA892" s="17">
        <v>1</v>
      </c>
      <c r="AB892" s="33"/>
      <c r="AC892" s="33"/>
      <c r="AD892" s="33"/>
      <c r="AE892" s="33"/>
      <c r="AF892" s="33"/>
      <c r="AG892" s="33"/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5104</v>
      </c>
      <c r="B893" s="21" t="s">
        <v>5105</v>
      </c>
      <c r="C893" s="1">
        <v>1</v>
      </c>
      <c r="D893" s="1" t="s">
        <v>5106</v>
      </c>
      <c r="E893" s="7">
        <v>4548</v>
      </c>
      <c r="F893" s="7">
        <v>57</v>
      </c>
      <c r="G893" s="1">
        <v>725.7</v>
      </c>
      <c r="H893" s="34">
        <f>Tabela1[[#This Row],[PESO UNI]]*Tabela1[[#This Row],[QTE]]</f>
        <v>725.7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5119</v>
      </c>
      <c r="O893" s="12"/>
      <c r="P893" s="13"/>
      <c r="Q893" s="14">
        <f>Tabela1[[#This Row],[QTDE/ Fabricação]]-Tabela1[[#This Row],[QTE]]</f>
        <v>-1</v>
      </c>
      <c r="R893" s="18">
        <f t="shared" si="181"/>
        <v>181.42500000000001</v>
      </c>
      <c r="S893" s="18">
        <f t="shared" si="182"/>
        <v>0</v>
      </c>
      <c r="T893" s="19">
        <f t="shared" si="183"/>
        <v>-725.7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725.7</v>
      </c>
      <c r="AA893" s="17">
        <v>1</v>
      </c>
      <c r="AB893" s="33"/>
      <c r="AC893" s="33"/>
      <c r="AD893" s="33"/>
      <c r="AE893" s="33"/>
      <c r="AF893" s="33"/>
      <c r="AG893" s="33"/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5107</v>
      </c>
      <c r="B894" s="21" t="s">
        <v>5108</v>
      </c>
      <c r="C894" s="1">
        <v>1</v>
      </c>
      <c r="D894" s="1" t="s">
        <v>5109</v>
      </c>
      <c r="E894" s="7">
        <v>4549</v>
      </c>
      <c r="F894" s="7">
        <v>57</v>
      </c>
      <c r="G894" s="1">
        <v>350.2</v>
      </c>
      <c r="H894" s="34">
        <f>Tabela1[[#This Row],[PESO UNI]]*Tabela1[[#This Row],[QTE]]</f>
        <v>350.2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5119</v>
      </c>
      <c r="O894" s="12"/>
      <c r="P894" s="13"/>
      <c r="Q894" s="14">
        <f>Tabela1[[#This Row],[QTDE/ Fabricação]]-Tabela1[[#This Row],[QTE]]</f>
        <v>-1</v>
      </c>
      <c r="R894" s="18">
        <f t="shared" si="181"/>
        <v>87.55</v>
      </c>
      <c r="S894" s="18">
        <f t="shared" si="182"/>
        <v>0</v>
      </c>
      <c r="T894" s="19">
        <f t="shared" si="183"/>
        <v>-350.2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350.2</v>
      </c>
      <c r="AA894" s="17">
        <v>1</v>
      </c>
      <c r="AB894" s="33"/>
      <c r="AC894" s="33"/>
      <c r="AD894" s="33"/>
      <c r="AE894" s="33"/>
      <c r="AF894" s="33"/>
      <c r="AG894" s="33"/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5107</v>
      </c>
      <c r="B895" s="21" t="s">
        <v>5108</v>
      </c>
      <c r="C895" s="1">
        <v>3</v>
      </c>
      <c r="D895" s="1" t="s">
        <v>5110</v>
      </c>
      <c r="E895" s="7">
        <v>4550</v>
      </c>
      <c r="F895" s="7">
        <v>57</v>
      </c>
      <c r="G895" s="1">
        <v>3.1</v>
      </c>
      <c r="H895" s="34">
        <f>Tabela1[[#This Row],[PESO UNI]]*Tabela1[[#This Row],[QTE]]</f>
        <v>9.3000000000000007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5119</v>
      </c>
      <c r="O895" s="12"/>
      <c r="P895" s="13"/>
      <c r="Q895" s="14">
        <f>Tabela1[[#This Row],[QTDE/ Fabricação]]-Tabela1[[#This Row],[QTE]]</f>
        <v>-3</v>
      </c>
      <c r="R895" s="18">
        <f t="shared" si="181"/>
        <v>2.3250000000000002</v>
      </c>
      <c r="S895" s="18">
        <f t="shared" si="182"/>
        <v>0</v>
      </c>
      <c r="T895" s="19">
        <f t="shared" si="183"/>
        <v>-9.3000000000000007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-3</v>
      </c>
      <c r="Z895" s="20">
        <f>Tabela1[[#This Row],[PESO TOTAL]]-Tabela1[[#This Row],[Peso Expedido]]</f>
        <v>9.3000000000000007</v>
      </c>
      <c r="AA895" s="17">
        <v>1</v>
      </c>
      <c r="AB895" s="33"/>
      <c r="AC895" s="33"/>
      <c r="AD895" s="33"/>
      <c r="AE895" s="33"/>
      <c r="AF895" s="33"/>
      <c r="AG895" s="33"/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5111</v>
      </c>
      <c r="B896" s="21" t="s">
        <v>5112</v>
      </c>
      <c r="C896" s="1">
        <v>1</v>
      </c>
      <c r="D896" s="1" t="s">
        <v>5113</v>
      </c>
      <c r="E896" s="7">
        <v>4551</v>
      </c>
      <c r="F896" s="7">
        <v>57</v>
      </c>
      <c r="G896" s="1">
        <v>33</v>
      </c>
      <c r="H896" s="34">
        <f>Tabela1[[#This Row],[PESO UNI]]*Tabela1[[#This Row],[QTE]]</f>
        <v>33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5119</v>
      </c>
      <c r="O896" s="12"/>
      <c r="P896" s="13"/>
      <c r="Q896" s="14">
        <f>Tabela1[[#This Row],[QTDE/ Fabricação]]-Tabela1[[#This Row],[QTE]]</f>
        <v>-1</v>
      </c>
      <c r="R896" s="18">
        <f t="shared" si="181"/>
        <v>8.25</v>
      </c>
      <c r="S896" s="18">
        <f t="shared" si="182"/>
        <v>0</v>
      </c>
      <c r="T896" s="19">
        <f t="shared" si="183"/>
        <v>-33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33</v>
      </c>
      <c r="AA896" s="17">
        <v>1</v>
      </c>
      <c r="AB896" s="33"/>
      <c r="AC896" s="33"/>
      <c r="AD896" s="33"/>
      <c r="AE896" s="33"/>
      <c r="AF896" s="33"/>
      <c r="AG896" s="33"/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5114</v>
      </c>
      <c r="B897" s="21" t="s">
        <v>5115</v>
      </c>
      <c r="C897" s="1">
        <v>1</v>
      </c>
      <c r="D897" s="1" t="s">
        <v>5116</v>
      </c>
      <c r="E897" s="7">
        <v>4552</v>
      </c>
      <c r="F897" s="7">
        <v>57</v>
      </c>
      <c r="G897" s="1">
        <v>166.8</v>
      </c>
      <c r="H897" s="34">
        <f>Tabela1[[#This Row],[PESO UNI]]*Tabela1[[#This Row],[QTE]]</f>
        <v>166.8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5119</v>
      </c>
      <c r="O897" s="12"/>
      <c r="P897" s="13"/>
      <c r="Q897" s="14">
        <f>Tabela1[[#This Row],[QTDE/ Fabricação]]-Tabela1[[#This Row],[QTE]]</f>
        <v>-1</v>
      </c>
      <c r="R897" s="18">
        <f t="shared" si="181"/>
        <v>41.7</v>
      </c>
      <c r="S897" s="18">
        <f t="shared" si="182"/>
        <v>0</v>
      </c>
      <c r="T897" s="19">
        <f t="shared" si="183"/>
        <v>-166.8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-1</v>
      </c>
      <c r="Z897" s="20">
        <f>Tabela1[[#This Row],[PESO TOTAL]]-Tabela1[[#This Row],[Peso Expedido]]</f>
        <v>166.8</v>
      </c>
      <c r="AA897" s="17">
        <v>1</v>
      </c>
      <c r="AB897" s="33"/>
      <c r="AC897" s="33"/>
      <c r="AD897" s="33"/>
      <c r="AE897" s="33"/>
      <c r="AF897" s="33"/>
      <c r="AG897" s="33"/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5114</v>
      </c>
      <c r="B898" s="21" t="s">
        <v>5115</v>
      </c>
      <c r="C898" s="1">
        <v>1</v>
      </c>
      <c r="D898" s="1" t="s">
        <v>5117</v>
      </c>
      <c r="E898" s="7">
        <v>4553</v>
      </c>
      <c r="F898" s="7">
        <v>57</v>
      </c>
      <c r="G898" s="1">
        <v>484.2</v>
      </c>
      <c r="H898" s="34">
        <f>Tabela1[[#This Row],[PESO UNI]]*Tabela1[[#This Row],[QTE]]</f>
        <v>484.2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5119</v>
      </c>
      <c r="O898" s="12"/>
      <c r="P898" s="13"/>
      <c r="Q898" s="14">
        <f>Tabela1[[#This Row],[QTDE/ Fabricação]]-Tabela1[[#This Row],[QTE]]</f>
        <v>-1</v>
      </c>
      <c r="R898" s="18">
        <f t="shared" si="181"/>
        <v>121.05</v>
      </c>
      <c r="S898" s="18">
        <f t="shared" si="182"/>
        <v>0</v>
      </c>
      <c r="T898" s="19">
        <f t="shared" si="183"/>
        <v>-484.2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484.2</v>
      </c>
      <c r="AA898" s="17">
        <v>1</v>
      </c>
      <c r="AB898" s="33"/>
      <c r="AC898" s="33"/>
      <c r="AD898" s="33"/>
      <c r="AE898" s="33"/>
      <c r="AF898" s="33"/>
      <c r="AG898" s="33"/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5114</v>
      </c>
      <c r="B899" s="21" t="s">
        <v>5115</v>
      </c>
      <c r="C899" s="1">
        <v>1</v>
      </c>
      <c r="D899" s="1" t="s">
        <v>5118</v>
      </c>
      <c r="E899" s="7">
        <v>4554</v>
      </c>
      <c r="F899" s="7">
        <v>57</v>
      </c>
      <c r="G899" s="1">
        <v>268.39999999999998</v>
      </c>
      <c r="H899" s="34">
        <f>Tabela1[[#This Row],[PESO UNI]]*Tabela1[[#This Row],[QTE]]</f>
        <v>268.39999999999998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5119</v>
      </c>
      <c r="O899" s="12"/>
      <c r="P899" s="13"/>
      <c r="Q899" s="14">
        <f>Tabela1[[#This Row],[QTDE/ Fabricação]]-Tabela1[[#This Row],[QTE]]</f>
        <v>-1</v>
      </c>
      <c r="R899" s="18">
        <f t="shared" si="181"/>
        <v>67.099999999999994</v>
      </c>
      <c r="S899" s="18">
        <f t="shared" si="182"/>
        <v>0</v>
      </c>
      <c r="T899" s="19">
        <f t="shared" si="183"/>
        <v>-268.39999999999998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268.39999999999998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5120</v>
      </c>
      <c r="B900" s="21" t="s">
        <v>5121</v>
      </c>
      <c r="C900" s="1">
        <v>1</v>
      </c>
      <c r="D900" s="1" t="s">
        <v>5122</v>
      </c>
      <c r="E900" s="7">
        <v>4555</v>
      </c>
      <c r="F900" s="7">
        <v>58</v>
      </c>
      <c r="G900" s="1">
        <v>84.46</v>
      </c>
      <c r="H900" s="34">
        <f>Tabela1[[#This Row],[PESO UNI]]*Tabela1[[#This Row],[QTE]]</f>
        <v>84.46</v>
      </c>
      <c r="I900" s="7">
        <v>0</v>
      </c>
      <c r="J900" s="8" t="s">
        <v>3045</v>
      </c>
      <c r="K900" s="8" t="s">
        <v>4320</v>
      </c>
      <c r="L900" s="9" t="s">
        <v>2984</v>
      </c>
      <c r="M900" s="10">
        <v>46251</v>
      </c>
      <c r="N900" s="8" t="s">
        <v>5119</v>
      </c>
      <c r="O900" s="12"/>
      <c r="P900" s="13"/>
      <c r="Q900" s="14">
        <f>Tabela1[[#This Row],[QTDE/ Fabricação]]-Tabela1[[#This Row],[QTE]]</f>
        <v>-1</v>
      </c>
      <c r="R900" s="18">
        <f t="shared" si="181"/>
        <v>21.114999999999998</v>
      </c>
      <c r="S900" s="18">
        <f t="shared" si="182"/>
        <v>0</v>
      </c>
      <c r="T900" s="19">
        <f t="shared" si="183"/>
        <v>-84.46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4"/>
        <v>-1</v>
      </c>
      <c r="Z900" s="20">
        <f>Tabela1[[#This Row],[PESO TOTAL]]-Tabela1[[#This Row],[Peso Expedido]]</f>
        <v>84.46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5120</v>
      </c>
      <c r="B901" s="21" t="s">
        <v>5121</v>
      </c>
      <c r="C901" s="1">
        <v>2</v>
      </c>
      <c r="D901" s="1" t="s">
        <v>5123</v>
      </c>
      <c r="E901" s="7">
        <v>4556</v>
      </c>
      <c r="F901" s="7">
        <v>58</v>
      </c>
      <c r="G901" s="1">
        <v>69.61</v>
      </c>
      <c r="H901" s="34">
        <f>Tabela1[[#This Row],[PESO UNI]]*Tabela1[[#This Row],[QTE]]</f>
        <v>139.22</v>
      </c>
      <c r="I901" s="7">
        <v>0</v>
      </c>
      <c r="J901" s="8" t="s">
        <v>3045</v>
      </c>
      <c r="K901" s="8" t="s">
        <v>4320</v>
      </c>
      <c r="L901" s="9" t="s">
        <v>2984</v>
      </c>
      <c r="M901" s="10">
        <v>46251</v>
      </c>
      <c r="N901" s="8" t="s">
        <v>5119</v>
      </c>
      <c r="O901" s="12"/>
      <c r="P901" s="13"/>
      <c r="Q901" s="14">
        <f>Tabela1[[#This Row],[QTDE/ Fabricação]]-Tabela1[[#This Row],[QTE]]</f>
        <v>-2</v>
      </c>
      <c r="R901" s="18">
        <f t="shared" ref="R901:R932" si="185">IFERROR(H901*((AA901*0.25)+(AC901*0.25)+(AD901*0.225)+(AE901*0.225)+(AF901*0.05)),"")</f>
        <v>34.805</v>
      </c>
      <c r="S901" s="18">
        <f t="shared" ref="S901:S932" si="186">IFERROR(H901*AG901,"")</f>
        <v>0</v>
      </c>
      <c r="T901" s="19">
        <f t="shared" ref="T901:T932" si="187">IFERROR(S901-H901,"")</f>
        <v>-139.22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ref="Y901:Y932" si="188">U901-C901</f>
        <v>-2</v>
      </c>
      <c r="Z901" s="20">
        <f>Tabela1[[#This Row],[PESO TOTAL]]-Tabela1[[#This Row],[Peso Expedido]]</f>
        <v>139.22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5120</v>
      </c>
      <c r="B902" s="21" t="s">
        <v>5121</v>
      </c>
      <c r="C902" s="1">
        <v>2</v>
      </c>
      <c r="D902" s="1" t="s">
        <v>5124</v>
      </c>
      <c r="E902" s="7">
        <v>4557</v>
      </c>
      <c r="F902" s="7">
        <v>58</v>
      </c>
      <c r="G902" s="1">
        <v>30.38</v>
      </c>
      <c r="H902" s="34">
        <f>Tabela1[[#This Row],[PESO UNI]]*Tabela1[[#This Row],[QTE]]</f>
        <v>60.76</v>
      </c>
      <c r="I902" s="7">
        <v>0</v>
      </c>
      <c r="J902" s="8" t="s">
        <v>3045</v>
      </c>
      <c r="K902" s="8" t="s">
        <v>4320</v>
      </c>
      <c r="L902" s="9" t="s">
        <v>2984</v>
      </c>
      <c r="M902" s="10">
        <v>46251</v>
      </c>
      <c r="N902" s="8" t="s">
        <v>5119</v>
      </c>
      <c r="O902" s="12"/>
      <c r="P902" s="13"/>
      <c r="Q902" s="14">
        <f>Tabela1[[#This Row],[QTDE/ Fabricação]]-Tabela1[[#This Row],[QTE]]</f>
        <v>-2</v>
      </c>
      <c r="R902" s="18">
        <f t="shared" si="185"/>
        <v>15.19</v>
      </c>
      <c r="S902" s="18">
        <f t="shared" si="186"/>
        <v>0</v>
      </c>
      <c r="T902" s="19">
        <f t="shared" si="187"/>
        <v>-60.76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-2</v>
      </c>
      <c r="Z902" s="20">
        <f>Tabela1[[#This Row],[PESO TOTAL]]-Tabela1[[#This Row],[Peso Expedido]]</f>
        <v>60.76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5120</v>
      </c>
      <c r="B903" s="21" t="s">
        <v>5121</v>
      </c>
      <c r="C903" s="1">
        <v>6</v>
      </c>
      <c r="D903" s="1" t="s">
        <v>5125</v>
      </c>
      <c r="E903" s="7">
        <v>4558</v>
      </c>
      <c r="F903" s="7">
        <v>58</v>
      </c>
      <c r="G903" s="1">
        <v>6.07</v>
      </c>
      <c r="H903" s="34">
        <f>Tabela1[[#This Row],[PESO UNI]]*Tabela1[[#This Row],[QTE]]</f>
        <v>36.42</v>
      </c>
      <c r="I903" s="7">
        <v>0</v>
      </c>
      <c r="J903" s="8" t="s">
        <v>3045</v>
      </c>
      <c r="K903" s="8" t="s">
        <v>4320</v>
      </c>
      <c r="L903" s="9" t="s">
        <v>2984</v>
      </c>
      <c r="M903" s="10">
        <v>46251</v>
      </c>
      <c r="N903" s="8" t="s">
        <v>5119</v>
      </c>
      <c r="O903" s="12"/>
      <c r="P903" s="13"/>
      <c r="Q903" s="14">
        <f>Tabela1[[#This Row],[QTDE/ Fabricação]]-Tabela1[[#This Row],[QTE]]</f>
        <v>-6</v>
      </c>
      <c r="R903" s="18">
        <f t="shared" si="185"/>
        <v>9.1050000000000004</v>
      </c>
      <c r="S903" s="18">
        <f t="shared" si="186"/>
        <v>0</v>
      </c>
      <c r="T903" s="19">
        <f t="shared" si="187"/>
        <v>-36.42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36.42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5120</v>
      </c>
      <c r="B904" s="21" t="s">
        <v>5121</v>
      </c>
      <c r="C904" s="1">
        <v>1</v>
      </c>
      <c r="D904" s="1" t="s">
        <v>5126</v>
      </c>
      <c r="E904" s="7">
        <v>4559</v>
      </c>
      <c r="F904" s="7">
        <v>58</v>
      </c>
      <c r="G904" s="1">
        <v>22.07</v>
      </c>
      <c r="H904" s="34">
        <f>Tabela1[[#This Row],[PESO UNI]]*Tabela1[[#This Row],[QTE]]</f>
        <v>22.07</v>
      </c>
      <c r="I904" s="7">
        <v>0</v>
      </c>
      <c r="J904" s="8" t="s">
        <v>3045</v>
      </c>
      <c r="K904" s="8" t="s">
        <v>4320</v>
      </c>
      <c r="L904" s="9" t="s">
        <v>2984</v>
      </c>
      <c r="M904" s="10">
        <v>46251</v>
      </c>
      <c r="N904" s="8" t="s">
        <v>5119</v>
      </c>
      <c r="O904" s="12"/>
      <c r="P904" s="13"/>
      <c r="Q904" s="14">
        <f>Tabela1[[#This Row],[QTDE/ Fabricação]]-Tabela1[[#This Row],[QTE]]</f>
        <v>-1</v>
      </c>
      <c r="R904" s="18">
        <f>IFERROR(H904*((AA904*0.25)+(AC904*0.25)+(AD904*0.225)+(AE904*0.225)+(AF904*0.05)),"")</f>
        <v>5.5175000000000001</v>
      </c>
      <c r="S904" s="18">
        <f t="shared" si="186"/>
        <v>0</v>
      </c>
      <c r="T904" s="19">
        <f t="shared" si="187"/>
        <v>-22.07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-1</v>
      </c>
      <c r="Z904" s="20">
        <f>Tabela1[[#This Row],[PESO TOTAL]]-Tabela1[[#This Row],[Peso Expedido]]</f>
        <v>22.07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5120</v>
      </c>
      <c r="B905" s="21" t="s">
        <v>5121</v>
      </c>
      <c r="C905" s="1">
        <v>1</v>
      </c>
      <c r="D905" s="1" t="s">
        <v>5127</v>
      </c>
      <c r="E905" s="7">
        <v>4560</v>
      </c>
      <c r="F905" s="7">
        <v>58</v>
      </c>
      <c r="G905" s="1">
        <v>33.590000000000003</v>
      </c>
      <c r="H905" s="34">
        <f>Tabela1[[#This Row],[PESO UNI]]*Tabela1[[#This Row],[QTE]]</f>
        <v>33.590000000000003</v>
      </c>
      <c r="I905" s="7">
        <v>0</v>
      </c>
      <c r="J905" s="8" t="s">
        <v>3045</v>
      </c>
      <c r="K905" s="8" t="s">
        <v>4320</v>
      </c>
      <c r="L905" s="9" t="s">
        <v>2984</v>
      </c>
      <c r="M905" s="10">
        <v>46251</v>
      </c>
      <c r="N905" s="8" t="s">
        <v>5119</v>
      </c>
      <c r="O905" s="12"/>
      <c r="P905" s="13"/>
      <c r="Q905" s="14">
        <f>Tabela1[[#This Row],[QTDE/ Fabricação]]-Tabela1[[#This Row],[QTE]]</f>
        <v>-1</v>
      </c>
      <c r="R905" s="18">
        <f>IFERROR(H905*((AA905*0.25)+(AC905*0.25)+(AD905*0.225)+(AE905*0.225)+(AF905*0.05)),"")</f>
        <v>8.3975000000000009</v>
      </c>
      <c r="S905" s="18">
        <f t="shared" si="186"/>
        <v>0</v>
      </c>
      <c r="T905" s="19">
        <f t="shared" si="187"/>
        <v>-33.590000000000003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-1</v>
      </c>
      <c r="Z905" s="20">
        <f>Tabela1[[#This Row],[PESO TOTAL]]-Tabela1[[#This Row],[Peso Expedido]]</f>
        <v>33.590000000000003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5120</v>
      </c>
      <c r="B906" s="21" t="s">
        <v>5121</v>
      </c>
      <c r="C906" s="1">
        <v>1</v>
      </c>
      <c r="D906" s="1" t="s">
        <v>5128</v>
      </c>
      <c r="E906" s="7">
        <v>4561</v>
      </c>
      <c r="F906" s="7">
        <v>58</v>
      </c>
      <c r="G906" s="1">
        <v>20.48</v>
      </c>
      <c r="H906" s="34">
        <f>Tabela1[[#This Row],[PESO UNI]]*Tabela1[[#This Row],[QTE]]</f>
        <v>20.48</v>
      </c>
      <c r="I906" s="7">
        <v>0</v>
      </c>
      <c r="J906" s="8" t="s">
        <v>3045</v>
      </c>
      <c r="K906" s="8" t="s">
        <v>4320</v>
      </c>
      <c r="L906" s="9" t="s">
        <v>2984</v>
      </c>
      <c r="M906" s="10">
        <v>46251</v>
      </c>
      <c r="N906" s="8" t="s">
        <v>5119</v>
      </c>
      <c r="O906" s="12"/>
      <c r="P906" s="13"/>
      <c r="Q906" s="14">
        <f>Tabela1[[#This Row],[QTDE/ Fabricação]]-Tabela1[[#This Row],[QTE]]</f>
        <v>-1</v>
      </c>
      <c r="R906" s="18">
        <f t="shared" si="185"/>
        <v>5.12</v>
      </c>
      <c r="S906" s="18">
        <f t="shared" si="186"/>
        <v>0</v>
      </c>
      <c r="T906" s="19">
        <f t="shared" si="187"/>
        <v>-20.48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20.48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5120</v>
      </c>
      <c r="B907" s="21" t="s">
        <v>5121</v>
      </c>
      <c r="C907" s="1">
        <v>2</v>
      </c>
      <c r="D907" s="1" t="s">
        <v>5129</v>
      </c>
      <c r="E907" s="7">
        <v>4562</v>
      </c>
      <c r="F907" s="7">
        <v>58</v>
      </c>
      <c r="G907" s="1">
        <v>18.54</v>
      </c>
      <c r="H907" s="34">
        <f>Tabela1[[#This Row],[PESO UNI]]*Tabela1[[#This Row],[QTE]]</f>
        <v>37.08</v>
      </c>
      <c r="I907" s="7">
        <v>0</v>
      </c>
      <c r="J907" s="8" t="s">
        <v>3045</v>
      </c>
      <c r="K907" s="8" t="s">
        <v>4320</v>
      </c>
      <c r="L907" s="9" t="s">
        <v>2984</v>
      </c>
      <c r="M907" s="10">
        <v>46251</v>
      </c>
      <c r="N907" s="8" t="s">
        <v>5119</v>
      </c>
      <c r="O907" s="12"/>
      <c r="P907" s="13"/>
      <c r="Q907" s="14">
        <f>Tabela1[[#This Row],[QTDE/ Fabricação]]-Tabela1[[#This Row],[QTE]]</f>
        <v>-2</v>
      </c>
      <c r="R907" s="18">
        <f t="shared" si="185"/>
        <v>9.27</v>
      </c>
      <c r="S907" s="18">
        <f t="shared" si="186"/>
        <v>0</v>
      </c>
      <c r="T907" s="19">
        <f t="shared" si="187"/>
        <v>-37.08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-2</v>
      </c>
      <c r="Z907" s="20">
        <f>Tabela1[[#This Row],[PESO TOTAL]]-Tabela1[[#This Row],[Peso Expedido]]</f>
        <v>37.08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5130</v>
      </c>
      <c r="B908" s="21" t="s">
        <v>5131</v>
      </c>
      <c r="C908" s="1">
        <v>1</v>
      </c>
      <c r="D908" s="1" t="s">
        <v>5132</v>
      </c>
      <c r="E908" s="7">
        <v>4563</v>
      </c>
      <c r="F908" s="7">
        <v>58</v>
      </c>
      <c r="G908" s="1">
        <v>82.5</v>
      </c>
      <c r="H908" s="34">
        <f>Tabela1[[#This Row],[PESO UNI]]*Tabela1[[#This Row],[QTE]]</f>
        <v>82.5</v>
      </c>
      <c r="I908" s="7">
        <v>0</v>
      </c>
      <c r="J908" s="8" t="s">
        <v>3045</v>
      </c>
      <c r="K908" s="8" t="s">
        <v>4320</v>
      </c>
      <c r="L908" s="9" t="s">
        <v>2984</v>
      </c>
      <c r="M908" s="10">
        <v>46251</v>
      </c>
      <c r="N908" s="8" t="s">
        <v>5119</v>
      </c>
      <c r="O908" s="12"/>
      <c r="P908" s="13"/>
      <c r="Q908" s="14">
        <f>Tabela1[[#This Row],[QTDE/ Fabricação]]-Tabela1[[#This Row],[QTE]]</f>
        <v>-1</v>
      </c>
      <c r="R908" s="18">
        <f t="shared" si="185"/>
        <v>20.625</v>
      </c>
      <c r="S908" s="18">
        <f t="shared" si="186"/>
        <v>0</v>
      </c>
      <c r="T908" s="19">
        <f t="shared" si="187"/>
        <v>-82.5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82.5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5130</v>
      </c>
      <c r="B909" s="21" t="s">
        <v>5131</v>
      </c>
      <c r="C909" s="1">
        <v>1</v>
      </c>
      <c r="D909" s="1" t="s">
        <v>5133</v>
      </c>
      <c r="E909" s="7">
        <v>4564</v>
      </c>
      <c r="F909" s="7">
        <v>58</v>
      </c>
      <c r="G909" s="1">
        <v>81.86</v>
      </c>
      <c r="H909" s="34">
        <f>Tabela1[[#This Row],[PESO UNI]]*Tabela1[[#This Row],[QTE]]</f>
        <v>81.86</v>
      </c>
      <c r="I909" s="7">
        <v>0</v>
      </c>
      <c r="J909" s="8" t="s">
        <v>3045</v>
      </c>
      <c r="K909" s="8" t="s">
        <v>4320</v>
      </c>
      <c r="L909" s="9" t="s">
        <v>2984</v>
      </c>
      <c r="M909" s="10">
        <v>46251</v>
      </c>
      <c r="N909" s="8" t="s">
        <v>5119</v>
      </c>
      <c r="O909" s="12"/>
      <c r="P909" s="13"/>
      <c r="Q909" s="14">
        <f>Tabela1[[#This Row],[QTDE/ Fabricação]]-Tabela1[[#This Row],[QTE]]</f>
        <v>-1</v>
      </c>
      <c r="R909" s="18">
        <f t="shared" si="185"/>
        <v>20.465</v>
      </c>
      <c r="S909" s="18">
        <f t="shared" si="186"/>
        <v>0</v>
      </c>
      <c r="T909" s="19">
        <f t="shared" si="187"/>
        <v>-81.86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81.86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5134</v>
      </c>
      <c r="B910" s="21" t="s">
        <v>5135</v>
      </c>
      <c r="C910" s="1">
        <v>3</v>
      </c>
      <c r="D910" s="1" t="s">
        <v>5136</v>
      </c>
      <c r="E910" s="7">
        <v>4565</v>
      </c>
      <c r="F910" s="7">
        <v>58</v>
      </c>
      <c r="G910" s="1">
        <v>83.82</v>
      </c>
      <c r="H910" s="34">
        <f>Tabela1[[#This Row],[PESO UNI]]*Tabela1[[#This Row],[QTE]]</f>
        <v>251.45999999999998</v>
      </c>
      <c r="I910" s="7">
        <v>0</v>
      </c>
      <c r="J910" s="8" t="s">
        <v>3045</v>
      </c>
      <c r="K910" s="8" t="s">
        <v>4320</v>
      </c>
      <c r="L910" s="9" t="s">
        <v>2984</v>
      </c>
      <c r="M910" s="10">
        <v>46251</v>
      </c>
      <c r="N910" s="8" t="s">
        <v>5119</v>
      </c>
      <c r="O910" s="12"/>
      <c r="P910" s="13"/>
      <c r="Q910" s="14">
        <f>Tabela1[[#This Row],[QTDE/ Fabricação]]-Tabela1[[#This Row],[QTE]]</f>
        <v>-3</v>
      </c>
      <c r="R910" s="18">
        <f t="shared" si="185"/>
        <v>62.864999999999995</v>
      </c>
      <c r="S910" s="18">
        <f t="shared" si="186"/>
        <v>0</v>
      </c>
      <c r="T910" s="19">
        <f t="shared" si="187"/>
        <v>-251.45999999999998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-3</v>
      </c>
      <c r="Z910" s="20">
        <f>Tabela1[[#This Row],[PESO TOTAL]]-Tabela1[[#This Row],[Peso Expedido]]</f>
        <v>251.45999999999998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5134</v>
      </c>
      <c r="B911" s="21" t="s">
        <v>5135</v>
      </c>
      <c r="C911" s="1">
        <v>2</v>
      </c>
      <c r="D911" s="1" t="s">
        <v>5137</v>
      </c>
      <c r="E911" s="7">
        <v>4566</v>
      </c>
      <c r="F911" s="7">
        <v>58</v>
      </c>
      <c r="G911" s="1">
        <v>85.1</v>
      </c>
      <c r="H911" s="34">
        <f>Tabela1[[#This Row],[PESO UNI]]*Tabela1[[#This Row],[QTE]]</f>
        <v>170.2</v>
      </c>
      <c r="I911" s="7">
        <v>0</v>
      </c>
      <c r="J911" s="8" t="s">
        <v>3045</v>
      </c>
      <c r="K911" s="8" t="s">
        <v>4320</v>
      </c>
      <c r="L911" s="9" t="s">
        <v>2984</v>
      </c>
      <c r="M911" s="10">
        <v>46251</v>
      </c>
      <c r="N911" s="8" t="s">
        <v>5119</v>
      </c>
      <c r="O911" s="12"/>
      <c r="P911" s="13"/>
      <c r="Q911" s="14">
        <f>Tabela1[[#This Row],[QTDE/ Fabricação]]-Tabela1[[#This Row],[QTE]]</f>
        <v>-2</v>
      </c>
      <c r="R911" s="18">
        <f t="shared" si="185"/>
        <v>42.55</v>
      </c>
      <c r="S911" s="18">
        <f t="shared" si="186"/>
        <v>0</v>
      </c>
      <c r="T911" s="19">
        <f t="shared" si="187"/>
        <v>-170.2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-2</v>
      </c>
      <c r="Z911" s="20">
        <f>Tabela1[[#This Row],[PESO TOTAL]]-Tabela1[[#This Row],[Peso Expedido]]</f>
        <v>170.2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5138</v>
      </c>
      <c r="B912" s="21" t="s">
        <v>5139</v>
      </c>
      <c r="C912" s="1">
        <v>1</v>
      </c>
      <c r="D912" s="1" t="s">
        <v>5140</v>
      </c>
      <c r="E912" s="7">
        <v>4567</v>
      </c>
      <c r="F912" s="7">
        <v>58</v>
      </c>
      <c r="G912" s="1">
        <v>86.97</v>
      </c>
      <c r="H912" s="34">
        <f>Tabela1[[#This Row],[PESO UNI]]*Tabela1[[#This Row],[QTE]]</f>
        <v>86.97</v>
      </c>
      <c r="I912" s="7">
        <v>0</v>
      </c>
      <c r="J912" s="8" t="s">
        <v>3045</v>
      </c>
      <c r="K912" s="8" t="s">
        <v>4320</v>
      </c>
      <c r="L912" s="9" t="s">
        <v>2984</v>
      </c>
      <c r="M912" s="10">
        <v>46251</v>
      </c>
      <c r="N912" s="8" t="s">
        <v>5119</v>
      </c>
      <c r="O912" s="12"/>
      <c r="P912" s="13"/>
      <c r="Q912" s="14">
        <f>Tabela1[[#This Row],[QTDE/ Fabricação]]-Tabela1[[#This Row],[QTE]]</f>
        <v>-1</v>
      </c>
      <c r="R912" s="18">
        <f t="shared" si="185"/>
        <v>21.7425</v>
      </c>
      <c r="S912" s="18">
        <f t="shared" si="186"/>
        <v>0</v>
      </c>
      <c r="T912" s="19">
        <f t="shared" si="187"/>
        <v>-86.97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86.97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5138</v>
      </c>
      <c r="B913" s="21" t="s">
        <v>5139</v>
      </c>
      <c r="C913" s="1">
        <v>1</v>
      </c>
      <c r="D913" s="1" t="s">
        <v>5141</v>
      </c>
      <c r="E913" s="7">
        <v>4568</v>
      </c>
      <c r="F913" s="7">
        <v>58</v>
      </c>
      <c r="G913" s="1">
        <v>87.61</v>
      </c>
      <c r="H913" s="34">
        <f>Tabela1[[#This Row],[PESO UNI]]*Tabela1[[#This Row],[QTE]]</f>
        <v>87.61</v>
      </c>
      <c r="I913" s="7">
        <v>0</v>
      </c>
      <c r="J913" s="8" t="s">
        <v>3045</v>
      </c>
      <c r="K913" s="8" t="s">
        <v>4320</v>
      </c>
      <c r="L913" s="9" t="s">
        <v>2984</v>
      </c>
      <c r="M913" s="10">
        <v>46251</v>
      </c>
      <c r="N913" s="8" t="s">
        <v>5119</v>
      </c>
      <c r="O913" s="12"/>
      <c r="P913" s="13"/>
      <c r="Q913" s="14">
        <f>Tabela1[[#This Row],[QTDE/ Fabricação]]-Tabela1[[#This Row],[QTE]]</f>
        <v>-1</v>
      </c>
      <c r="R913" s="18">
        <f t="shared" si="185"/>
        <v>21.9025</v>
      </c>
      <c r="S913" s="18">
        <f t="shared" si="186"/>
        <v>0</v>
      </c>
      <c r="T913" s="19">
        <f t="shared" si="187"/>
        <v>-87.61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87.61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5142</v>
      </c>
      <c r="B914" s="21" t="s">
        <v>5143</v>
      </c>
      <c r="C914" s="1">
        <v>4</v>
      </c>
      <c r="D914" s="1" t="s">
        <v>5144</v>
      </c>
      <c r="E914" s="7">
        <v>4569</v>
      </c>
      <c r="F914" s="7">
        <v>58</v>
      </c>
      <c r="G914" s="1">
        <v>26.26</v>
      </c>
      <c r="H914" s="34">
        <f>Tabela1[[#This Row],[PESO UNI]]*Tabela1[[#This Row],[QTE]]</f>
        <v>105.04</v>
      </c>
      <c r="I914" s="7">
        <v>0</v>
      </c>
      <c r="J914" s="8" t="s">
        <v>3045</v>
      </c>
      <c r="K914" s="8" t="s">
        <v>4320</v>
      </c>
      <c r="L914" s="9" t="s">
        <v>2984</v>
      </c>
      <c r="M914" s="10">
        <v>46251</v>
      </c>
      <c r="N914" s="8" t="s">
        <v>5119</v>
      </c>
      <c r="O914" s="12"/>
      <c r="P914" s="13"/>
      <c r="Q914" s="14">
        <f>Tabela1[[#This Row],[QTDE/ Fabricação]]-Tabela1[[#This Row],[QTE]]</f>
        <v>-4</v>
      </c>
      <c r="R914" s="18">
        <f t="shared" si="185"/>
        <v>26.26</v>
      </c>
      <c r="S914" s="18">
        <f t="shared" si="186"/>
        <v>0</v>
      </c>
      <c r="T914" s="19">
        <f t="shared" si="187"/>
        <v>-105.04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-4</v>
      </c>
      <c r="Z914" s="20">
        <f>Tabela1[[#This Row],[PESO TOTAL]]-Tabela1[[#This Row],[Peso Expedido]]</f>
        <v>105.04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5142</v>
      </c>
      <c r="B915" s="21" t="s">
        <v>5143</v>
      </c>
      <c r="C915" s="1">
        <v>4</v>
      </c>
      <c r="D915" s="1" t="s">
        <v>5145</v>
      </c>
      <c r="E915" s="7">
        <v>4570</v>
      </c>
      <c r="F915" s="7">
        <v>58</v>
      </c>
      <c r="G915" s="1">
        <v>31.82</v>
      </c>
      <c r="H915" s="34">
        <f>Tabela1[[#This Row],[PESO UNI]]*Tabela1[[#This Row],[QTE]]</f>
        <v>127.28</v>
      </c>
      <c r="I915" s="7">
        <v>0</v>
      </c>
      <c r="J915" s="8" t="s">
        <v>3045</v>
      </c>
      <c r="K915" s="8" t="s">
        <v>4320</v>
      </c>
      <c r="L915" s="9" t="s">
        <v>2984</v>
      </c>
      <c r="M915" s="10">
        <v>46251</v>
      </c>
      <c r="N915" s="8" t="s">
        <v>5119</v>
      </c>
      <c r="O915" s="12"/>
      <c r="P915" s="13"/>
      <c r="Q915" s="14">
        <f>Tabela1[[#This Row],[QTDE/ Fabricação]]-Tabela1[[#This Row],[QTE]]</f>
        <v>-4</v>
      </c>
      <c r="R915" s="18">
        <f t="shared" si="185"/>
        <v>31.82</v>
      </c>
      <c r="S915" s="18">
        <f t="shared" si="186"/>
        <v>0</v>
      </c>
      <c r="T915" s="19">
        <f t="shared" si="187"/>
        <v>-127.28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-4</v>
      </c>
      <c r="Z915" s="20">
        <f>Tabela1[[#This Row],[PESO TOTAL]]-Tabela1[[#This Row],[Peso Expedido]]</f>
        <v>127.28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5142</v>
      </c>
      <c r="B916" s="21" t="s">
        <v>5143</v>
      </c>
      <c r="C916" s="1">
        <v>4</v>
      </c>
      <c r="D916" s="1" t="s">
        <v>5146</v>
      </c>
      <c r="E916" s="7">
        <v>4571</v>
      </c>
      <c r="F916" s="7">
        <v>58</v>
      </c>
      <c r="G916" s="1">
        <v>30.1</v>
      </c>
      <c r="H916" s="34">
        <f>Tabela1[[#This Row],[PESO UNI]]*Tabela1[[#This Row],[QTE]]</f>
        <v>120.4</v>
      </c>
      <c r="I916" s="7">
        <v>0</v>
      </c>
      <c r="J916" s="8" t="s">
        <v>3045</v>
      </c>
      <c r="K916" s="8" t="s">
        <v>4320</v>
      </c>
      <c r="L916" s="9" t="s">
        <v>2984</v>
      </c>
      <c r="M916" s="10">
        <v>46251</v>
      </c>
      <c r="N916" s="8" t="s">
        <v>5119</v>
      </c>
      <c r="O916" s="12"/>
      <c r="P916" s="13"/>
      <c r="Q916" s="14">
        <f>Tabela1[[#This Row],[QTDE/ Fabricação]]-Tabela1[[#This Row],[QTE]]</f>
        <v>-4</v>
      </c>
      <c r="R916" s="18">
        <f t="shared" si="185"/>
        <v>30.1</v>
      </c>
      <c r="S916" s="18">
        <f t="shared" si="186"/>
        <v>0</v>
      </c>
      <c r="T916" s="19">
        <f t="shared" si="187"/>
        <v>-120.4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-4</v>
      </c>
      <c r="Z916" s="20">
        <f>Tabela1[[#This Row],[PESO TOTAL]]-Tabela1[[#This Row],[Peso Expedido]]</f>
        <v>120.4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5142</v>
      </c>
      <c r="B917" s="21" t="s">
        <v>5143</v>
      </c>
      <c r="C917" s="1">
        <v>4</v>
      </c>
      <c r="D917" s="1" t="s">
        <v>5147</v>
      </c>
      <c r="E917" s="7">
        <v>4572</v>
      </c>
      <c r="F917" s="7">
        <v>58</v>
      </c>
      <c r="G917" s="1">
        <v>34.200000000000003</v>
      </c>
      <c r="H917" s="34">
        <f>Tabela1[[#This Row],[PESO UNI]]*Tabela1[[#This Row],[QTE]]</f>
        <v>136.80000000000001</v>
      </c>
      <c r="I917" s="7">
        <v>0</v>
      </c>
      <c r="J917" s="8" t="s">
        <v>3045</v>
      </c>
      <c r="K917" s="8" t="s">
        <v>4320</v>
      </c>
      <c r="L917" s="9" t="s">
        <v>2984</v>
      </c>
      <c r="M917" s="10">
        <v>46251</v>
      </c>
      <c r="N917" s="8" t="s">
        <v>5119</v>
      </c>
      <c r="O917" s="12"/>
      <c r="P917" s="13"/>
      <c r="Q917" s="14">
        <f>Tabela1[[#This Row],[QTDE/ Fabricação]]-Tabela1[[#This Row],[QTE]]</f>
        <v>-4</v>
      </c>
      <c r="R917" s="18">
        <f t="shared" si="185"/>
        <v>34.200000000000003</v>
      </c>
      <c r="S917" s="18">
        <f t="shared" si="186"/>
        <v>0</v>
      </c>
      <c r="T917" s="19">
        <f t="shared" si="187"/>
        <v>-136.80000000000001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-4</v>
      </c>
      <c r="Z917" s="20">
        <f>Tabela1[[#This Row],[PESO TOTAL]]-Tabela1[[#This Row],[Peso Expedido]]</f>
        <v>136.80000000000001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5142</v>
      </c>
      <c r="B918" s="21" t="s">
        <v>5143</v>
      </c>
      <c r="C918" s="1">
        <v>2</v>
      </c>
      <c r="D918" s="1" t="s">
        <v>5148</v>
      </c>
      <c r="E918" s="7">
        <v>4573</v>
      </c>
      <c r="F918" s="7">
        <v>58</v>
      </c>
      <c r="G918" s="1">
        <v>29.36</v>
      </c>
      <c r="H918" s="34">
        <f>Tabela1[[#This Row],[PESO UNI]]*Tabela1[[#This Row],[QTE]]</f>
        <v>58.72</v>
      </c>
      <c r="I918" s="7">
        <v>0</v>
      </c>
      <c r="J918" s="8" t="s">
        <v>3045</v>
      </c>
      <c r="K918" s="8" t="s">
        <v>4320</v>
      </c>
      <c r="L918" s="9" t="s">
        <v>2984</v>
      </c>
      <c r="M918" s="10">
        <v>46251</v>
      </c>
      <c r="N918" s="8" t="s">
        <v>5119</v>
      </c>
      <c r="O918" s="12"/>
      <c r="P918" s="13"/>
      <c r="Q918" s="14">
        <f>Tabela1[[#This Row],[QTDE/ Fabricação]]-Tabela1[[#This Row],[QTE]]</f>
        <v>-2</v>
      </c>
      <c r="R918" s="18">
        <f t="shared" si="185"/>
        <v>14.68</v>
      </c>
      <c r="S918" s="18">
        <f t="shared" si="186"/>
        <v>0</v>
      </c>
      <c r="T918" s="19">
        <f t="shared" si="187"/>
        <v>-58.72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58.72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5142</v>
      </c>
      <c r="B919" s="21" t="s">
        <v>5143</v>
      </c>
      <c r="C919" s="1">
        <v>2</v>
      </c>
      <c r="D919" s="1" t="s">
        <v>5149</v>
      </c>
      <c r="E919" s="7">
        <v>4574</v>
      </c>
      <c r="F919" s="7">
        <v>58</v>
      </c>
      <c r="G919" s="1">
        <v>27.46</v>
      </c>
      <c r="H919" s="34">
        <f>Tabela1[[#This Row],[PESO UNI]]*Tabela1[[#This Row],[QTE]]</f>
        <v>54.92</v>
      </c>
      <c r="I919" s="7">
        <v>0</v>
      </c>
      <c r="J919" s="8" t="s">
        <v>3045</v>
      </c>
      <c r="K919" s="8" t="s">
        <v>4320</v>
      </c>
      <c r="L919" s="9" t="s">
        <v>2984</v>
      </c>
      <c r="M919" s="10">
        <v>46251</v>
      </c>
      <c r="N919" s="8" t="s">
        <v>5119</v>
      </c>
      <c r="O919" s="12"/>
      <c r="P919" s="13"/>
      <c r="Q919" s="14">
        <f>Tabela1[[#This Row],[QTDE/ Fabricação]]-Tabela1[[#This Row],[QTE]]</f>
        <v>-2</v>
      </c>
      <c r="R919" s="18">
        <f t="shared" si="185"/>
        <v>13.73</v>
      </c>
      <c r="S919" s="18">
        <f t="shared" si="186"/>
        <v>0</v>
      </c>
      <c r="T919" s="19">
        <f t="shared" si="187"/>
        <v>-54.92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54.92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5142</v>
      </c>
      <c r="B920" s="21" t="s">
        <v>5143</v>
      </c>
      <c r="C920" s="1">
        <v>2</v>
      </c>
      <c r="D920" s="1" t="s">
        <v>5151</v>
      </c>
      <c r="E920" s="7">
        <v>4575</v>
      </c>
      <c r="F920" s="7">
        <v>58</v>
      </c>
      <c r="G920" s="1">
        <v>71.62</v>
      </c>
      <c r="H920" s="34">
        <f>Tabela1[[#This Row],[PESO UNI]]*Tabela1[[#This Row],[QTE]]</f>
        <v>143.24</v>
      </c>
      <c r="I920" s="7">
        <v>0</v>
      </c>
      <c r="J920" s="8" t="s">
        <v>3045</v>
      </c>
      <c r="K920" s="8" t="s">
        <v>4320</v>
      </c>
      <c r="L920" s="9" t="s">
        <v>2984</v>
      </c>
      <c r="M920" s="10">
        <v>46251</v>
      </c>
      <c r="N920" s="8" t="s">
        <v>5119</v>
      </c>
      <c r="O920" s="12"/>
      <c r="P920" s="13"/>
      <c r="Q920" s="14">
        <f>Tabela1[[#This Row],[QTDE/ Fabricação]]-Tabela1[[#This Row],[QTE]]</f>
        <v>-2</v>
      </c>
      <c r="R920" s="18">
        <f t="shared" si="185"/>
        <v>35.81</v>
      </c>
      <c r="S920" s="18">
        <f t="shared" si="186"/>
        <v>0</v>
      </c>
      <c r="T920" s="19">
        <f t="shared" si="187"/>
        <v>-143.24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143.24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5142</v>
      </c>
      <c r="B921" s="21" t="s">
        <v>5143</v>
      </c>
      <c r="C921" s="1">
        <v>2</v>
      </c>
      <c r="D921" s="1" t="s">
        <v>5150</v>
      </c>
      <c r="E921" s="7">
        <v>4576</v>
      </c>
      <c r="F921" s="7">
        <v>58</v>
      </c>
      <c r="G921" s="1">
        <v>82.73</v>
      </c>
      <c r="H921" s="34">
        <f>Tabela1[[#This Row],[PESO UNI]]*Tabela1[[#This Row],[QTE]]</f>
        <v>165.46</v>
      </c>
      <c r="I921" s="7">
        <v>0</v>
      </c>
      <c r="J921" s="8" t="s">
        <v>3045</v>
      </c>
      <c r="K921" s="8" t="s">
        <v>4320</v>
      </c>
      <c r="L921" s="9" t="s">
        <v>2984</v>
      </c>
      <c r="M921" s="10">
        <v>46251</v>
      </c>
      <c r="N921" s="8" t="s">
        <v>5119</v>
      </c>
      <c r="O921" s="12"/>
      <c r="P921" s="13"/>
      <c r="Q921" s="14">
        <f>Tabela1[[#This Row],[QTDE/ Fabricação]]-Tabela1[[#This Row],[QTE]]</f>
        <v>-2</v>
      </c>
      <c r="R921" s="18">
        <f t="shared" si="185"/>
        <v>41.365000000000002</v>
      </c>
      <c r="S921" s="18">
        <f t="shared" si="186"/>
        <v>0</v>
      </c>
      <c r="T921" s="19">
        <f t="shared" si="187"/>
        <v>-165.46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165.46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5152</v>
      </c>
      <c r="B922" s="21" t="s">
        <v>5153</v>
      </c>
      <c r="C922" s="1">
        <v>1</v>
      </c>
      <c r="D922" s="1" t="s">
        <v>5154</v>
      </c>
      <c r="E922" s="7">
        <v>4577</v>
      </c>
      <c r="F922" s="7">
        <v>58</v>
      </c>
      <c r="G922" s="1">
        <v>92.27</v>
      </c>
      <c r="H922" s="34">
        <f>Tabela1[[#This Row],[PESO UNI]]*Tabela1[[#This Row],[QTE]]</f>
        <v>92.27</v>
      </c>
      <c r="I922" s="7">
        <v>0</v>
      </c>
      <c r="J922" s="8" t="s">
        <v>3045</v>
      </c>
      <c r="K922" s="8" t="s">
        <v>4320</v>
      </c>
      <c r="L922" s="9" t="s">
        <v>2984</v>
      </c>
      <c r="M922" s="10">
        <v>46251</v>
      </c>
      <c r="N922" s="8" t="s">
        <v>5119</v>
      </c>
      <c r="O922" s="12"/>
      <c r="P922" s="13"/>
      <c r="Q922" s="14">
        <f>Tabela1[[#This Row],[QTDE/ Fabricação]]-Tabela1[[#This Row],[QTE]]</f>
        <v>-1</v>
      </c>
      <c r="R922" s="18">
        <f t="shared" si="185"/>
        <v>23.067499999999999</v>
      </c>
      <c r="S922" s="18">
        <f t="shared" si="186"/>
        <v>0</v>
      </c>
      <c r="T922" s="19">
        <f t="shared" si="187"/>
        <v>-92.27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-1</v>
      </c>
      <c r="Z922" s="20">
        <f>Tabela1[[#This Row],[PESO TOTAL]]-Tabela1[[#This Row],[Peso Expedido]]</f>
        <v>92.27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5152</v>
      </c>
      <c r="B923" s="21" t="s">
        <v>5153</v>
      </c>
      <c r="C923" s="1">
        <v>1</v>
      </c>
      <c r="D923" s="1" t="s">
        <v>5155</v>
      </c>
      <c r="E923" s="7">
        <v>4578</v>
      </c>
      <c r="F923" s="7">
        <v>58</v>
      </c>
      <c r="G923" s="1">
        <v>93.32</v>
      </c>
      <c r="H923" s="34">
        <f>Tabela1[[#This Row],[PESO UNI]]*Tabela1[[#This Row],[QTE]]</f>
        <v>93.32</v>
      </c>
      <c r="I923" s="7">
        <v>0</v>
      </c>
      <c r="J923" s="8" t="s">
        <v>3045</v>
      </c>
      <c r="K923" s="8" t="s">
        <v>4320</v>
      </c>
      <c r="L923" s="9" t="s">
        <v>2984</v>
      </c>
      <c r="M923" s="10">
        <v>46251</v>
      </c>
      <c r="N923" s="8" t="s">
        <v>5119</v>
      </c>
      <c r="O923" s="12"/>
      <c r="P923" s="13"/>
      <c r="Q923" s="14">
        <f>Tabela1[[#This Row],[QTDE/ Fabricação]]-Tabela1[[#This Row],[QTE]]</f>
        <v>-1</v>
      </c>
      <c r="R923" s="18">
        <f t="shared" si="185"/>
        <v>23.33</v>
      </c>
      <c r="S923" s="18">
        <f t="shared" si="186"/>
        <v>0</v>
      </c>
      <c r="T923" s="19">
        <f t="shared" si="187"/>
        <v>-93.32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-1</v>
      </c>
      <c r="Z923" s="20">
        <f>Tabela1[[#This Row],[PESO TOTAL]]-Tabela1[[#This Row],[Peso Expedido]]</f>
        <v>93.32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5152</v>
      </c>
      <c r="B924" s="21" t="s">
        <v>5153</v>
      </c>
      <c r="C924" s="1">
        <v>1</v>
      </c>
      <c r="D924" s="1" t="s">
        <v>5156</v>
      </c>
      <c r="E924" s="7">
        <v>4579</v>
      </c>
      <c r="F924" s="7">
        <v>58</v>
      </c>
      <c r="G924" s="1">
        <v>60.64</v>
      </c>
      <c r="H924" s="34">
        <f>Tabela1[[#This Row],[PESO UNI]]*Tabela1[[#This Row],[QTE]]</f>
        <v>60.64</v>
      </c>
      <c r="I924" s="7">
        <v>0</v>
      </c>
      <c r="J924" s="8" t="s">
        <v>3045</v>
      </c>
      <c r="K924" s="8" t="s">
        <v>4320</v>
      </c>
      <c r="L924" s="9" t="s">
        <v>2984</v>
      </c>
      <c r="M924" s="10">
        <v>46251</v>
      </c>
      <c r="N924" s="8" t="s">
        <v>5119</v>
      </c>
      <c r="O924" s="12"/>
      <c r="P924" s="13"/>
      <c r="Q924" s="14">
        <f>Tabela1[[#This Row],[QTDE/ Fabricação]]-Tabela1[[#This Row],[QTE]]</f>
        <v>-1</v>
      </c>
      <c r="R924" s="18">
        <f t="shared" si="185"/>
        <v>15.16</v>
      </c>
      <c r="S924" s="18">
        <f t="shared" si="186"/>
        <v>0</v>
      </c>
      <c r="T924" s="19">
        <f t="shared" si="187"/>
        <v>-60.64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-1</v>
      </c>
      <c r="Z924" s="20">
        <f>Tabela1[[#This Row],[PESO TOTAL]]-Tabela1[[#This Row],[Peso Expedido]]</f>
        <v>60.64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5152</v>
      </c>
      <c r="B925" s="21" t="s">
        <v>5153</v>
      </c>
      <c r="C925" s="1">
        <v>2</v>
      </c>
      <c r="D925" s="1" t="s">
        <v>5157</v>
      </c>
      <c r="E925" s="7">
        <v>4580</v>
      </c>
      <c r="F925" s="7">
        <v>58</v>
      </c>
      <c r="G925" s="1">
        <v>91.98</v>
      </c>
      <c r="H925" s="34">
        <f>Tabela1[[#This Row],[PESO UNI]]*Tabela1[[#This Row],[QTE]]</f>
        <v>183.96</v>
      </c>
      <c r="I925" s="7">
        <v>0</v>
      </c>
      <c r="J925" s="8" t="s">
        <v>3045</v>
      </c>
      <c r="K925" s="8" t="s">
        <v>4320</v>
      </c>
      <c r="L925" s="9" t="s">
        <v>2984</v>
      </c>
      <c r="M925" s="10">
        <v>46251</v>
      </c>
      <c r="N925" s="8" t="s">
        <v>5119</v>
      </c>
      <c r="O925" s="12"/>
      <c r="P925" s="13"/>
      <c r="Q925" s="14">
        <f>Tabela1[[#This Row],[QTDE/ Fabricação]]-Tabela1[[#This Row],[QTE]]</f>
        <v>-2</v>
      </c>
      <c r="R925" s="18">
        <f t="shared" si="185"/>
        <v>45.99</v>
      </c>
      <c r="S925" s="18">
        <f t="shared" si="186"/>
        <v>0</v>
      </c>
      <c r="T925" s="19">
        <f t="shared" si="187"/>
        <v>-183.96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183.96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5152</v>
      </c>
      <c r="B926" s="21" t="s">
        <v>5153</v>
      </c>
      <c r="C926" s="1">
        <v>1</v>
      </c>
      <c r="D926" s="1" t="s">
        <v>5158</v>
      </c>
      <c r="E926" s="7">
        <v>4581</v>
      </c>
      <c r="F926" s="7">
        <v>58</v>
      </c>
      <c r="G926" s="1">
        <v>26.04</v>
      </c>
      <c r="H926" s="34">
        <f>Tabela1[[#This Row],[PESO UNI]]*Tabela1[[#This Row],[QTE]]</f>
        <v>26.04</v>
      </c>
      <c r="I926" s="7">
        <v>0</v>
      </c>
      <c r="J926" s="8" t="s">
        <v>3045</v>
      </c>
      <c r="K926" s="8" t="s">
        <v>4320</v>
      </c>
      <c r="L926" s="9" t="s">
        <v>2984</v>
      </c>
      <c r="M926" s="10">
        <v>46251</v>
      </c>
      <c r="N926" s="8" t="s">
        <v>5119</v>
      </c>
      <c r="O926" s="12"/>
      <c r="P926" s="13"/>
      <c r="Q926" s="14">
        <f>Tabela1[[#This Row],[QTDE/ Fabricação]]-Tabela1[[#This Row],[QTE]]</f>
        <v>-1</v>
      </c>
      <c r="R926" s="18">
        <f t="shared" si="185"/>
        <v>6.51</v>
      </c>
      <c r="S926" s="18">
        <f t="shared" si="186"/>
        <v>0</v>
      </c>
      <c r="T926" s="19">
        <f t="shared" si="187"/>
        <v>-26.04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26.04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5152</v>
      </c>
      <c r="B927" s="21" t="s">
        <v>5153</v>
      </c>
      <c r="C927" s="1">
        <v>1</v>
      </c>
      <c r="D927" s="1" t="s">
        <v>5159</v>
      </c>
      <c r="E927" s="7">
        <v>4582</v>
      </c>
      <c r="F927" s="7">
        <v>58</v>
      </c>
      <c r="G927" s="1">
        <v>26.04</v>
      </c>
      <c r="H927" s="34">
        <f>Tabela1[[#This Row],[PESO UNI]]*Tabela1[[#This Row],[QTE]]</f>
        <v>26.04</v>
      </c>
      <c r="I927" s="7">
        <v>0</v>
      </c>
      <c r="J927" s="8" t="s">
        <v>3045</v>
      </c>
      <c r="K927" s="8" t="s">
        <v>4320</v>
      </c>
      <c r="L927" s="9" t="s">
        <v>2984</v>
      </c>
      <c r="M927" s="10">
        <v>46251</v>
      </c>
      <c r="N927" s="8" t="s">
        <v>5119</v>
      </c>
      <c r="O927" s="12"/>
      <c r="P927" s="13"/>
      <c r="Q927" s="14">
        <f>Tabela1[[#This Row],[QTDE/ Fabricação]]-Tabela1[[#This Row],[QTE]]</f>
        <v>-1</v>
      </c>
      <c r="R927" s="18">
        <f t="shared" si="185"/>
        <v>6.51</v>
      </c>
      <c r="S927" s="18">
        <f t="shared" si="186"/>
        <v>0</v>
      </c>
      <c r="T927" s="19">
        <f t="shared" si="187"/>
        <v>-26.04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26.04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5152</v>
      </c>
      <c r="B928" s="21" t="s">
        <v>5153</v>
      </c>
      <c r="C928" s="1">
        <v>1</v>
      </c>
      <c r="D928" s="1" t="s">
        <v>5160</v>
      </c>
      <c r="E928" s="7">
        <v>4583</v>
      </c>
      <c r="F928" s="7">
        <v>58</v>
      </c>
      <c r="G928" s="1">
        <v>177.93</v>
      </c>
      <c r="H928" s="34">
        <f>Tabela1[[#This Row],[PESO UNI]]*Tabela1[[#This Row],[QTE]]</f>
        <v>177.93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5119</v>
      </c>
      <c r="O928" s="12"/>
      <c r="P928" s="13"/>
      <c r="Q928" s="14">
        <f>Tabela1[[#This Row],[QTDE/ Fabricação]]-Tabela1[[#This Row],[QTE]]</f>
        <v>-1</v>
      </c>
      <c r="R928" s="18">
        <f t="shared" si="185"/>
        <v>44.482500000000002</v>
      </c>
      <c r="S928" s="18">
        <f t="shared" si="186"/>
        <v>0</v>
      </c>
      <c r="T928" s="19">
        <f t="shared" si="187"/>
        <v>-177.93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177.93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1" t="s">
        <v>5152</v>
      </c>
      <c r="B929" s="21" t="s">
        <v>5153</v>
      </c>
      <c r="C929" s="1">
        <v>1</v>
      </c>
      <c r="D929" s="1" t="s">
        <v>5161</v>
      </c>
      <c r="E929" s="7">
        <v>4584</v>
      </c>
      <c r="F929" s="7">
        <v>58</v>
      </c>
      <c r="G929" s="1">
        <v>177.93</v>
      </c>
      <c r="H929" s="34">
        <f>Tabela1[[#This Row],[PESO UNI]]*Tabela1[[#This Row],[QTE]]</f>
        <v>177.93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5119</v>
      </c>
      <c r="O929" s="12"/>
      <c r="P929" s="13"/>
      <c r="Q929" s="14">
        <f>Tabela1[[#This Row],[QTDE/ Fabricação]]-Tabela1[[#This Row],[QTE]]</f>
        <v>-1</v>
      </c>
      <c r="R929" s="18">
        <f t="shared" si="185"/>
        <v>44.482500000000002</v>
      </c>
      <c r="S929" s="18">
        <f t="shared" si="186"/>
        <v>0</v>
      </c>
      <c r="T929" s="19">
        <f t="shared" si="187"/>
        <v>-177.93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si="188"/>
        <v>-1</v>
      </c>
      <c r="Z929" s="20">
        <f>Tabela1[[#This Row],[PESO TOTAL]]-Tabela1[[#This Row],[Peso Expedido]]</f>
        <v>177.93</v>
      </c>
      <c r="AA929" s="17">
        <v>1</v>
      </c>
      <c r="AB929" s="33"/>
      <c r="AC929" s="33"/>
      <c r="AD929" s="33"/>
      <c r="AE929" s="33"/>
      <c r="AF929" s="33"/>
      <c r="AG929" s="33"/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5162</v>
      </c>
      <c r="B930" s="21" t="s">
        <v>5163</v>
      </c>
      <c r="C930" s="1">
        <v>2</v>
      </c>
      <c r="D930" s="1" t="s">
        <v>5164</v>
      </c>
      <c r="E930" s="7">
        <v>4585</v>
      </c>
      <c r="F930" s="7">
        <v>58</v>
      </c>
      <c r="G930" s="1">
        <v>102.33</v>
      </c>
      <c r="H930" s="34">
        <f>Tabela1[[#This Row],[PESO UNI]]*Tabela1[[#This Row],[QTE]]</f>
        <v>204.66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5119</v>
      </c>
      <c r="O930" s="12"/>
      <c r="P930" s="13"/>
      <c r="Q930" s="14">
        <f>Tabela1[[#This Row],[QTDE/ Fabricação]]-Tabela1[[#This Row],[QTE]]</f>
        <v>-2</v>
      </c>
      <c r="R930" s="18">
        <f t="shared" si="185"/>
        <v>51.164999999999999</v>
      </c>
      <c r="S930" s="18">
        <f t="shared" si="186"/>
        <v>0</v>
      </c>
      <c r="T930" s="19">
        <f t="shared" si="187"/>
        <v>-204.66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88"/>
        <v>-2</v>
      </c>
      <c r="Z930" s="20">
        <f>Tabela1[[#This Row],[PESO TOTAL]]-Tabela1[[#This Row],[Peso Expedido]]</f>
        <v>204.66</v>
      </c>
      <c r="AA930" s="17">
        <v>1</v>
      </c>
      <c r="AB930" s="33"/>
      <c r="AC930" s="33"/>
      <c r="AD930" s="33"/>
      <c r="AE930" s="33"/>
      <c r="AF930" s="33"/>
      <c r="AG930" s="33"/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5162</v>
      </c>
      <c r="B931" s="21" t="s">
        <v>5163</v>
      </c>
      <c r="C931" s="1">
        <v>2</v>
      </c>
      <c r="D931" s="1" t="s">
        <v>5165</v>
      </c>
      <c r="E931" s="7">
        <v>4586</v>
      </c>
      <c r="F931" s="7">
        <v>58</v>
      </c>
      <c r="G931" s="1">
        <v>111.41</v>
      </c>
      <c r="H931" s="34">
        <f>Tabela1[[#This Row],[PESO UNI]]*Tabela1[[#This Row],[QTE]]</f>
        <v>222.82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5119</v>
      </c>
      <c r="O931" s="12"/>
      <c r="P931" s="13"/>
      <c r="Q931" s="14">
        <f>Tabela1[[#This Row],[QTDE/ Fabricação]]-Tabela1[[#This Row],[QTE]]</f>
        <v>-2</v>
      </c>
      <c r="R931" s="18">
        <f t="shared" si="185"/>
        <v>55.704999999999998</v>
      </c>
      <c r="S931" s="18">
        <f t="shared" si="186"/>
        <v>0</v>
      </c>
      <c r="T931" s="19">
        <f t="shared" si="187"/>
        <v>-222.82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88"/>
        <v>-2</v>
      </c>
      <c r="Z931" s="20">
        <f>Tabela1[[#This Row],[PESO TOTAL]]-Tabela1[[#This Row],[Peso Expedido]]</f>
        <v>222.82</v>
      </c>
      <c r="AA931" s="17">
        <v>1</v>
      </c>
      <c r="AB931" s="33"/>
      <c r="AC931" s="33"/>
      <c r="AD931" s="33"/>
      <c r="AE931" s="33"/>
      <c r="AF931" s="33"/>
      <c r="AG931" s="33"/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5162</v>
      </c>
      <c r="B932" s="21" t="s">
        <v>5163</v>
      </c>
      <c r="C932" s="1">
        <v>1</v>
      </c>
      <c r="D932" s="1" t="s">
        <v>5166</v>
      </c>
      <c r="E932" s="7">
        <v>4587</v>
      </c>
      <c r="F932" s="7">
        <v>58</v>
      </c>
      <c r="G932" s="1">
        <v>107.64</v>
      </c>
      <c r="H932" s="34">
        <f>Tabela1[[#This Row],[PESO UNI]]*Tabela1[[#This Row],[QTE]]</f>
        <v>107.64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5119</v>
      </c>
      <c r="O932" s="12"/>
      <c r="P932" s="13"/>
      <c r="Q932" s="14">
        <f>Tabela1[[#This Row],[QTDE/ Fabricação]]-Tabela1[[#This Row],[QTE]]</f>
        <v>-1</v>
      </c>
      <c r="R932" s="18">
        <f t="shared" si="185"/>
        <v>26.91</v>
      </c>
      <c r="S932" s="18">
        <f t="shared" si="186"/>
        <v>0</v>
      </c>
      <c r="T932" s="19">
        <f t="shared" si="187"/>
        <v>-107.64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88"/>
        <v>-1</v>
      </c>
      <c r="Z932" s="20">
        <f>Tabela1[[#This Row],[PESO TOTAL]]-Tabela1[[#This Row],[Peso Expedido]]</f>
        <v>107.64</v>
      </c>
      <c r="AA932" s="17">
        <v>1</v>
      </c>
      <c r="AB932" s="33"/>
      <c r="AC932" s="33"/>
      <c r="AD932" s="33"/>
      <c r="AE932" s="33"/>
      <c r="AF932" s="33"/>
      <c r="AG932" s="33"/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5162</v>
      </c>
      <c r="B933" s="21" t="s">
        <v>5163</v>
      </c>
      <c r="C933" s="1">
        <v>2</v>
      </c>
      <c r="D933" s="1" t="s">
        <v>5167</v>
      </c>
      <c r="E933" s="7">
        <v>4588</v>
      </c>
      <c r="F933" s="7">
        <v>58</v>
      </c>
      <c r="G933" s="1">
        <v>148.63999999999999</v>
      </c>
      <c r="H933" s="34">
        <f>Tabela1[[#This Row],[PESO UNI]]*Tabela1[[#This Row],[QTE]]</f>
        <v>297.27999999999997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5119</v>
      </c>
      <c r="O933" s="12"/>
      <c r="P933" s="13"/>
      <c r="Q933" s="14">
        <f>Tabela1[[#This Row],[QTDE/ Fabricação]]-Tabela1[[#This Row],[QTE]]</f>
        <v>-2</v>
      </c>
      <c r="R933" s="18">
        <f t="shared" ref="R933:R964" si="189">IFERROR(H933*((AA933*0.25)+(AC933*0.25)+(AD933*0.225)+(AE933*0.225)+(AF933*0.05)),"")</f>
        <v>74.319999999999993</v>
      </c>
      <c r="S933" s="18">
        <f t="shared" ref="S933:S964" si="190">IFERROR(H933*AG933,"")</f>
        <v>0</v>
      </c>
      <c r="T933" s="19">
        <f t="shared" ref="T933:T964" si="191">IFERROR(S933-H933,"")</f>
        <v>-297.27999999999997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ref="Y933:Y964" si="192">U933-C933</f>
        <v>-2</v>
      </c>
      <c r="Z933" s="20">
        <f>Tabela1[[#This Row],[PESO TOTAL]]-Tabela1[[#This Row],[Peso Expedido]]</f>
        <v>297.27999999999997</v>
      </c>
      <c r="AA933" s="17">
        <v>1</v>
      </c>
      <c r="AB933" s="33"/>
      <c r="AC933" s="33"/>
      <c r="AD933" s="33"/>
      <c r="AE933" s="33"/>
      <c r="AF933" s="33"/>
      <c r="AG933" s="33"/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5162</v>
      </c>
      <c r="B934" s="21" t="s">
        <v>5163</v>
      </c>
      <c r="C934" s="1">
        <v>1</v>
      </c>
      <c r="D934" s="1" t="s">
        <v>5168</v>
      </c>
      <c r="E934" s="7">
        <v>4589</v>
      </c>
      <c r="F934" s="7">
        <v>58</v>
      </c>
      <c r="G934" s="1">
        <v>26.04</v>
      </c>
      <c r="H934" s="34">
        <f>Tabela1[[#This Row],[PESO UNI]]*Tabela1[[#This Row],[QTE]]</f>
        <v>26.04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5119</v>
      </c>
      <c r="O934" s="12"/>
      <c r="P934" s="13"/>
      <c r="Q934" s="14">
        <f>Tabela1[[#This Row],[QTDE/ Fabricação]]-Tabela1[[#This Row],[QTE]]</f>
        <v>-1</v>
      </c>
      <c r="R934" s="18">
        <f t="shared" si="189"/>
        <v>6.51</v>
      </c>
      <c r="S934" s="18">
        <f t="shared" si="190"/>
        <v>0</v>
      </c>
      <c r="T934" s="19">
        <f t="shared" si="191"/>
        <v>-26.04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26.04</v>
      </c>
      <c r="AA934" s="17">
        <v>1</v>
      </c>
      <c r="AB934" s="33"/>
      <c r="AC934" s="33"/>
      <c r="AD934" s="33"/>
      <c r="AE934" s="33"/>
      <c r="AF934" s="33"/>
      <c r="AG934" s="33"/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1" t="s">
        <v>5162</v>
      </c>
      <c r="B935" s="21" t="s">
        <v>5163</v>
      </c>
      <c r="C935" s="1">
        <v>1</v>
      </c>
      <c r="D935" s="1" t="s">
        <v>5169</v>
      </c>
      <c r="E935" s="7">
        <v>4590</v>
      </c>
      <c r="F935" s="7">
        <v>58</v>
      </c>
      <c r="G935" s="1">
        <v>26.04</v>
      </c>
      <c r="H935" s="34">
        <f>Tabela1[[#This Row],[PESO UNI]]*Tabela1[[#This Row],[QTE]]</f>
        <v>26.04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5119</v>
      </c>
      <c r="O935" s="12"/>
      <c r="P935" s="13"/>
      <c r="Q935" s="14">
        <f>Tabela1[[#This Row],[QTDE/ Fabricação]]-Tabela1[[#This Row],[QTE]]</f>
        <v>-1</v>
      </c>
      <c r="R935" s="18">
        <f t="shared" si="189"/>
        <v>6.51</v>
      </c>
      <c r="S935" s="18">
        <f t="shared" si="190"/>
        <v>0</v>
      </c>
      <c r="T935" s="19">
        <f t="shared" si="191"/>
        <v>-26.04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si="192"/>
        <v>-1</v>
      </c>
      <c r="Z935" s="20">
        <f>Tabela1[[#This Row],[PESO TOTAL]]-Tabela1[[#This Row],[Peso Expedido]]</f>
        <v>26.04</v>
      </c>
      <c r="AA935" s="17">
        <v>1</v>
      </c>
      <c r="AB935" s="33"/>
      <c r="AC935" s="33"/>
      <c r="AD935" s="33"/>
      <c r="AE935" s="33"/>
      <c r="AF935" s="33"/>
      <c r="AG935" s="33"/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1" t="s">
        <v>5162</v>
      </c>
      <c r="B936" s="21" t="s">
        <v>5163</v>
      </c>
      <c r="C936" s="1">
        <v>1</v>
      </c>
      <c r="D936" s="1" t="s">
        <v>5170</v>
      </c>
      <c r="E936" s="7">
        <v>4591</v>
      </c>
      <c r="F936" s="7">
        <v>58</v>
      </c>
      <c r="G936" s="1">
        <v>26.04</v>
      </c>
      <c r="H936" s="34">
        <f>Tabela1[[#This Row],[PESO UNI]]*Tabela1[[#This Row],[QTE]]</f>
        <v>26.04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5119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6.51</v>
      </c>
      <c r="S936" s="18">
        <f t="shared" si="190"/>
        <v>0</v>
      </c>
      <c r="T936" s="19">
        <f t="shared" si="191"/>
        <v>-26.04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26.04</v>
      </c>
      <c r="AA936" s="17">
        <v>1</v>
      </c>
      <c r="AB936" s="33"/>
      <c r="AC936" s="33"/>
      <c r="AD936" s="33"/>
      <c r="AE936" s="33"/>
      <c r="AF936" s="33"/>
      <c r="AG936" s="33"/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1" t="s">
        <v>5162</v>
      </c>
      <c r="B937" s="21" t="s">
        <v>5163</v>
      </c>
      <c r="C937" s="1">
        <v>1</v>
      </c>
      <c r="D937" s="1" t="s">
        <v>5171</v>
      </c>
      <c r="E937" s="7">
        <v>4592</v>
      </c>
      <c r="F937" s="7">
        <v>58</v>
      </c>
      <c r="G937" s="1">
        <v>26.04</v>
      </c>
      <c r="H937" s="34">
        <f>Tabela1[[#This Row],[PESO UNI]]*Tabela1[[#This Row],[QTE]]</f>
        <v>26.04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5119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6.51</v>
      </c>
      <c r="S937" s="18">
        <f t="shared" si="190"/>
        <v>0</v>
      </c>
      <c r="T937" s="19">
        <f t="shared" si="191"/>
        <v>-26.04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26.04</v>
      </c>
      <c r="AA937" s="17">
        <v>1</v>
      </c>
      <c r="AB937" s="33"/>
      <c r="AC937" s="33"/>
      <c r="AD937" s="33"/>
      <c r="AE937" s="33"/>
      <c r="AF937" s="33"/>
      <c r="AG937" s="33"/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1" t="s">
        <v>5162</v>
      </c>
      <c r="B938" s="21" t="s">
        <v>5163</v>
      </c>
      <c r="C938" s="1">
        <v>12</v>
      </c>
      <c r="D938" s="1" t="s">
        <v>5172</v>
      </c>
      <c r="E938" s="7">
        <v>4593</v>
      </c>
      <c r="F938" s="7">
        <v>58</v>
      </c>
      <c r="G938" s="1">
        <v>7.89</v>
      </c>
      <c r="H938" s="34">
        <f>Tabela1[[#This Row],[PESO UNI]]*Tabela1[[#This Row],[QTE]]</f>
        <v>94.679999999999993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5119</v>
      </c>
      <c r="O938" s="12"/>
      <c r="P938" s="13"/>
      <c r="Q938" s="14">
        <f>Tabela1[[#This Row],[QTDE/ Fabricação]]-Tabela1[[#This Row],[QTE]]</f>
        <v>-12</v>
      </c>
      <c r="R938" s="18">
        <f t="shared" si="189"/>
        <v>23.669999999999998</v>
      </c>
      <c r="S938" s="18">
        <f t="shared" si="190"/>
        <v>0</v>
      </c>
      <c r="T938" s="19">
        <f t="shared" si="191"/>
        <v>-94.679999999999993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-12</v>
      </c>
      <c r="Z938" s="20">
        <f>Tabela1[[#This Row],[PESO TOTAL]]-Tabela1[[#This Row],[Peso Expedido]]</f>
        <v>94.679999999999993</v>
      </c>
      <c r="AA938" s="17">
        <v>1</v>
      </c>
      <c r="AB938" s="33"/>
      <c r="AC938" s="33"/>
      <c r="AD938" s="33"/>
      <c r="AE938" s="33"/>
      <c r="AF938" s="33"/>
      <c r="AG938" s="33"/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1" t="s">
        <v>5162</v>
      </c>
      <c r="B939" s="21" t="s">
        <v>5163</v>
      </c>
      <c r="C939" s="1">
        <v>3</v>
      </c>
      <c r="D939" s="1" t="s">
        <v>5173</v>
      </c>
      <c r="E939" s="7">
        <v>4594</v>
      </c>
      <c r="F939" s="7">
        <v>58</v>
      </c>
      <c r="G939" s="1">
        <v>10.33</v>
      </c>
      <c r="H939" s="34">
        <f>Tabela1[[#This Row],[PESO UNI]]*Tabela1[[#This Row],[QTE]]</f>
        <v>30.990000000000002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5119</v>
      </c>
      <c r="O939" s="12"/>
      <c r="P939" s="13"/>
      <c r="Q939" s="14">
        <f>Tabela1[[#This Row],[QTDE/ Fabricação]]-Tabela1[[#This Row],[QTE]]</f>
        <v>-3</v>
      </c>
      <c r="R939" s="18">
        <f t="shared" si="189"/>
        <v>7.7475000000000005</v>
      </c>
      <c r="S939" s="18">
        <f t="shared" si="190"/>
        <v>0</v>
      </c>
      <c r="T939" s="19">
        <f t="shared" si="191"/>
        <v>-30.990000000000002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-3</v>
      </c>
      <c r="Z939" s="20">
        <f>Tabela1[[#This Row],[PESO TOTAL]]-Tabela1[[#This Row],[Peso Expedido]]</f>
        <v>30.990000000000002</v>
      </c>
      <c r="AA939" s="17">
        <v>1</v>
      </c>
      <c r="AB939" s="33"/>
      <c r="AC939" s="33"/>
      <c r="AD939" s="33"/>
      <c r="AE939" s="33"/>
      <c r="AF939" s="33"/>
      <c r="AG939" s="33"/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1" t="s">
        <v>5162</v>
      </c>
      <c r="B940" s="21" t="s">
        <v>5163</v>
      </c>
      <c r="C940" s="1">
        <v>6</v>
      </c>
      <c r="D940" s="1" t="s">
        <v>5174</v>
      </c>
      <c r="E940" s="7">
        <v>4595</v>
      </c>
      <c r="F940" s="7">
        <v>58</v>
      </c>
      <c r="G940" s="1">
        <v>6.61</v>
      </c>
      <c r="H940" s="34">
        <f>Tabela1[[#This Row],[PESO UNI]]*Tabela1[[#This Row],[QTE]]</f>
        <v>39.660000000000004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5119</v>
      </c>
      <c r="O940" s="12"/>
      <c r="P940" s="13"/>
      <c r="Q940" s="14">
        <f>Tabela1[[#This Row],[QTDE/ Fabricação]]-Tabela1[[#This Row],[QTE]]</f>
        <v>-6</v>
      </c>
      <c r="R940" s="18">
        <f t="shared" si="189"/>
        <v>9.9150000000000009</v>
      </c>
      <c r="S940" s="18">
        <f t="shared" si="190"/>
        <v>0</v>
      </c>
      <c r="T940" s="19">
        <f t="shared" si="191"/>
        <v>-39.660000000000004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-6</v>
      </c>
      <c r="Z940" s="20">
        <f>Tabela1[[#This Row],[PESO TOTAL]]-Tabela1[[#This Row],[Peso Expedido]]</f>
        <v>39.660000000000004</v>
      </c>
      <c r="AA940" s="17">
        <v>1</v>
      </c>
      <c r="AB940" s="33"/>
      <c r="AC940" s="33"/>
      <c r="AD940" s="33"/>
      <c r="AE940" s="33"/>
      <c r="AF940" s="33"/>
      <c r="AG940" s="33"/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1" t="s">
        <v>5175</v>
      </c>
      <c r="B941" s="21" t="s">
        <v>5176</v>
      </c>
      <c r="C941" s="1">
        <v>2</v>
      </c>
      <c r="D941" s="1" t="s">
        <v>5177</v>
      </c>
      <c r="E941" s="7">
        <v>4596</v>
      </c>
      <c r="F941" s="7">
        <v>58</v>
      </c>
      <c r="G941" s="1">
        <v>96.54</v>
      </c>
      <c r="H941" s="34">
        <f>Tabela1[[#This Row],[PESO UNI]]*Tabela1[[#This Row],[QTE]]</f>
        <v>193.08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5119</v>
      </c>
      <c r="O941" s="12"/>
      <c r="P941" s="13"/>
      <c r="Q941" s="14">
        <f>Tabela1[[#This Row],[QTDE/ Fabricação]]-Tabela1[[#This Row],[QTE]]</f>
        <v>-2</v>
      </c>
      <c r="R941" s="18">
        <f t="shared" si="189"/>
        <v>48.27</v>
      </c>
      <c r="S941" s="18">
        <f t="shared" si="190"/>
        <v>0</v>
      </c>
      <c r="T941" s="19">
        <f t="shared" si="191"/>
        <v>-193.08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-2</v>
      </c>
      <c r="Z941" s="20">
        <f>Tabela1[[#This Row],[PESO TOTAL]]-Tabela1[[#This Row],[Peso Expedido]]</f>
        <v>193.08</v>
      </c>
      <c r="AA941" s="17">
        <v>1</v>
      </c>
      <c r="AB941" s="33"/>
      <c r="AC941" s="33"/>
      <c r="AD941" s="33"/>
      <c r="AE941" s="33"/>
      <c r="AF941" s="33"/>
      <c r="AG941" s="33"/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1" t="s">
        <v>5175</v>
      </c>
      <c r="B942" s="21" t="s">
        <v>5176</v>
      </c>
      <c r="C942" s="1">
        <v>2</v>
      </c>
      <c r="D942" s="1" t="s">
        <v>5178</v>
      </c>
      <c r="E942" s="7">
        <v>4597</v>
      </c>
      <c r="F942" s="7">
        <v>58</v>
      </c>
      <c r="G942" s="1">
        <v>112.63</v>
      </c>
      <c r="H942" s="34">
        <f>Tabela1[[#This Row],[PESO UNI]]*Tabela1[[#This Row],[QTE]]</f>
        <v>225.26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5119</v>
      </c>
      <c r="O942" s="12"/>
      <c r="P942" s="13"/>
      <c r="Q942" s="14">
        <f>Tabela1[[#This Row],[QTDE/ Fabricação]]-Tabela1[[#This Row],[QTE]]</f>
        <v>-2</v>
      </c>
      <c r="R942" s="18">
        <f t="shared" si="189"/>
        <v>56.314999999999998</v>
      </c>
      <c r="S942" s="18">
        <f t="shared" si="190"/>
        <v>0</v>
      </c>
      <c r="T942" s="19">
        <f t="shared" si="191"/>
        <v>-225.26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-2</v>
      </c>
      <c r="Z942" s="20">
        <f>Tabela1[[#This Row],[PESO TOTAL]]-Tabela1[[#This Row],[Peso Expedido]]</f>
        <v>225.26</v>
      </c>
      <c r="AA942" s="17">
        <v>1</v>
      </c>
      <c r="AB942" s="33"/>
      <c r="AC942" s="33"/>
      <c r="AD942" s="33"/>
      <c r="AE942" s="33"/>
      <c r="AF942" s="33"/>
      <c r="AG942" s="33"/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1" t="s">
        <v>5175</v>
      </c>
      <c r="B943" s="21" t="s">
        <v>5176</v>
      </c>
      <c r="C943" s="1">
        <v>1</v>
      </c>
      <c r="D943" s="1" t="s">
        <v>5179</v>
      </c>
      <c r="E943" s="7">
        <v>4598</v>
      </c>
      <c r="F943" s="7">
        <v>58</v>
      </c>
      <c r="G943" s="1">
        <v>89.1</v>
      </c>
      <c r="H943" s="34">
        <f>Tabela1[[#This Row],[PESO UNI]]*Tabela1[[#This Row],[QTE]]</f>
        <v>89.1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5119</v>
      </c>
      <c r="O943" s="12"/>
      <c r="P943" s="13"/>
      <c r="Q943" s="14">
        <f>Tabela1[[#This Row],[QTDE/ Fabricação]]-Tabela1[[#This Row],[QTE]]</f>
        <v>-1</v>
      </c>
      <c r="R943" s="18">
        <f t="shared" si="189"/>
        <v>22.274999999999999</v>
      </c>
      <c r="S943" s="18">
        <f t="shared" si="190"/>
        <v>0</v>
      </c>
      <c r="T943" s="19">
        <f t="shared" si="191"/>
        <v>-89.1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-1</v>
      </c>
      <c r="Z943" s="20">
        <f>Tabela1[[#This Row],[PESO TOTAL]]-Tabela1[[#This Row],[Peso Expedido]]</f>
        <v>89.1</v>
      </c>
      <c r="AA943" s="17">
        <v>1</v>
      </c>
      <c r="AB943" s="33"/>
      <c r="AC943" s="33"/>
      <c r="AD943" s="33"/>
      <c r="AE943" s="33"/>
      <c r="AF943" s="33"/>
      <c r="AG943" s="33"/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1" t="s">
        <v>5175</v>
      </c>
      <c r="B944" s="21" t="s">
        <v>5176</v>
      </c>
      <c r="C944" s="1">
        <v>1</v>
      </c>
      <c r="D944" s="1" t="s">
        <v>5180</v>
      </c>
      <c r="E944" s="7">
        <v>4599</v>
      </c>
      <c r="F944" s="7">
        <v>58</v>
      </c>
      <c r="G944" s="1">
        <v>88.34</v>
      </c>
      <c r="H944" s="34">
        <f>Tabela1[[#This Row],[PESO UNI]]*Tabela1[[#This Row],[QTE]]</f>
        <v>88.34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5119</v>
      </c>
      <c r="O944" s="12"/>
      <c r="P944" s="13"/>
      <c r="Q944" s="14">
        <f>Tabela1[[#This Row],[QTDE/ Fabricação]]-Tabela1[[#This Row],[QTE]]</f>
        <v>-1</v>
      </c>
      <c r="R944" s="18">
        <f t="shared" si="189"/>
        <v>22.085000000000001</v>
      </c>
      <c r="S944" s="18">
        <f t="shared" si="190"/>
        <v>0</v>
      </c>
      <c r="T944" s="19">
        <f t="shared" si="191"/>
        <v>-88.34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-1</v>
      </c>
      <c r="Z944" s="20">
        <f>Tabela1[[#This Row],[PESO TOTAL]]-Tabela1[[#This Row],[Peso Expedido]]</f>
        <v>88.34</v>
      </c>
      <c r="AA944" s="17">
        <v>1</v>
      </c>
      <c r="AB944" s="33"/>
      <c r="AC944" s="33"/>
      <c r="AD944" s="33"/>
      <c r="AE944" s="33"/>
      <c r="AF944" s="33"/>
      <c r="AG944" s="33"/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1" t="s">
        <v>5175</v>
      </c>
      <c r="B945" s="21" t="s">
        <v>5176</v>
      </c>
      <c r="C945" s="1">
        <v>1</v>
      </c>
      <c r="D945" s="1" t="s">
        <v>5181</v>
      </c>
      <c r="E945" s="7">
        <v>4600</v>
      </c>
      <c r="F945" s="7">
        <v>58</v>
      </c>
      <c r="G945" s="1">
        <v>83.44</v>
      </c>
      <c r="H945" s="34">
        <f>Tabela1[[#This Row],[PESO UNI]]*Tabela1[[#This Row],[QTE]]</f>
        <v>83.44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5119</v>
      </c>
      <c r="O945" s="12"/>
      <c r="P945" s="13"/>
      <c r="Q945" s="14">
        <f>Tabela1[[#This Row],[QTDE/ Fabricação]]-Tabela1[[#This Row],[QTE]]</f>
        <v>-1</v>
      </c>
      <c r="R945" s="18">
        <f t="shared" si="189"/>
        <v>20.86</v>
      </c>
      <c r="S945" s="18">
        <f t="shared" si="190"/>
        <v>0</v>
      </c>
      <c r="T945" s="19">
        <f t="shared" si="191"/>
        <v>-83.44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-1</v>
      </c>
      <c r="Z945" s="20">
        <f>Tabela1[[#This Row],[PESO TOTAL]]-Tabela1[[#This Row],[Peso Expedido]]</f>
        <v>83.44</v>
      </c>
      <c r="AA945" s="17">
        <v>1</v>
      </c>
      <c r="AB945" s="33"/>
      <c r="AC945" s="33"/>
      <c r="AD945" s="33"/>
      <c r="AE945" s="33"/>
      <c r="AF945" s="33"/>
      <c r="AG945" s="33"/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1" t="s">
        <v>5175</v>
      </c>
      <c r="B946" s="21" t="s">
        <v>5176</v>
      </c>
      <c r="C946" s="1">
        <v>1</v>
      </c>
      <c r="D946" s="1" t="s">
        <v>5182</v>
      </c>
      <c r="E946" s="7">
        <v>4601</v>
      </c>
      <c r="F946" s="7">
        <v>58</v>
      </c>
      <c r="G946" s="1">
        <v>105.14</v>
      </c>
      <c r="H946" s="34">
        <f>Tabela1[[#This Row],[PESO UNI]]*Tabela1[[#This Row],[QTE]]</f>
        <v>105.14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5119</v>
      </c>
      <c r="O946" s="12"/>
      <c r="P946" s="13"/>
      <c r="Q946" s="14">
        <f>Tabela1[[#This Row],[QTDE/ Fabricação]]-Tabela1[[#This Row],[QTE]]</f>
        <v>-1</v>
      </c>
      <c r="R946" s="18">
        <f t="shared" si="189"/>
        <v>26.285</v>
      </c>
      <c r="S946" s="18">
        <f t="shared" si="190"/>
        <v>0</v>
      </c>
      <c r="T946" s="19">
        <f t="shared" si="191"/>
        <v>-105.14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-1</v>
      </c>
      <c r="Z946" s="20">
        <f>Tabela1[[#This Row],[PESO TOTAL]]-Tabela1[[#This Row],[Peso Expedido]]</f>
        <v>105.14</v>
      </c>
      <c r="AA946" s="17">
        <v>1</v>
      </c>
      <c r="AB946" s="33"/>
      <c r="AC946" s="33"/>
      <c r="AD946" s="33"/>
      <c r="AE946" s="33"/>
      <c r="AF946" s="33"/>
      <c r="AG946" s="33"/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1" t="s">
        <v>5175</v>
      </c>
      <c r="B947" s="21" t="s">
        <v>5176</v>
      </c>
      <c r="C947" s="1">
        <v>1</v>
      </c>
      <c r="D947" s="1" t="s">
        <v>5183</v>
      </c>
      <c r="E947" s="7">
        <v>4602</v>
      </c>
      <c r="F947" s="7">
        <v>58</v>
      </c>
      <c r="G947" s="1">
        <v>105.14</v>
      </c>
      <c r="H947" s="34">
        <f>Tabela1[[#This Row],[PESO UNI]]*Tabela1[[#This Row],[QTE]]</f>
        <v>105.14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5119</v>
      </c>
      <c r="O947" s="12"/>
      <c r="P947" s="13"/>
      <c r="Q947" s="14">
        <f>Tabela1[[#This Row],[QTDE/ Fabricação]]-Tabela1[[#This Row],[QTE]]</f>
        <v>-1</v>
      </c>
      <c r="R947" s="18">
        <f t="shared" si="189"/>
        <v>26.285</v>
      </c>
      <c r="S947" s="18">
        <f t="shared" si="190"/>
        <v>0</v>
      </c>
      <c r="T947" s="19">
        <f t="shared" si="191"/>
        <v>-105.14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-1</v>
      </c>
      <c r="Z947" s="20">
        <f>Tabela1[[#This Row],[PESO TOTAL]]-Tabela1[[#This Row],[Peso Expedido]]</f>
        <v>105.14</v>
      </c>
      <c r="AA947" s="17">
        <v>1</v>
      </c>
      <c r="AB947" s="33"/>
      <c r="AC947" s="33"/>
      <c r="AD947" s="33"/>
      <c r="AE947" s="33"/>
      <c r="AF947" s="33"/>
      <c r="AG947" s="33"/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1" t="s">
        <v>5175</v>
      </c>
      <c r="B948" s="21" t="s">
        <v>5176</v>
      </c>
      <c r="C948" s="1">
        <v>1</v>
      </c>
      <c r="D948" s="1" t="s">
        <v>5184</v>
      </c>
      <c r="E948" s="7">
        <v>4603</v>
      </c>
      <c r="F948" s="7">
        <v>58</v>
      </c>
      <c r="G948" s="1">
        <v>107.64</v>
      </c>
      <c r="H948" s="34">
        <f>Tabela1[[#This Row],[PESO UNI]]*Tabela1[[#This Row],[QTE]]</f>
        <v>107.64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5119</v>
      </c>
      <c r="O948" s="12"/>
      <c r="P948" s="13"/>
      <c r="Q948" s="14">
        <f>Tabela1[[#This Row],[QTDE/ Fabricação]]-Tabela1[[#This Row],[QTE]]</f>
        <v>-1</v>
      </c>
      <c r="R948" s="18">
        <f t="shared" si="189"/>
        <v>26.91</v>
      </c>
      <c r="S948" s="18">
        <f t="shared" si="190"/>
        <v>0</v>
      </c>
      <c r="T948" s="19">
        <f t="shared" si="191"/>
        <v>-107.64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-1</v>
      </c>
      <c r="Z948" s="20">
        <f>Tabela1[[#This Row],[PESO TOTAL]]-Tabela1[[#This Row],[Peso Expedido]]</f>
        <v>107.64</v>
      </c>
      <c r="AA948" s="17">
        <v>1</v>
      </c>
      <c r="AB948" s="33"/>
      <c r="AC948" s="33"/>
      <c r="AD948" s="33"/>
      <c r="AE948" s="33"/>
      <c r="AF948" s="33"/>
      <c r="AG948" s="33"/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1" t="s">
        <v>5187</v>
      </c>
      <c r="B949" s="21" t="s">
        <v>5185</v>
      </c>
      <c r="C949" s="1">
        <v>1</v>
      </c>
      <c r="D949" s="1" t="s">
        <v>5186</v>
      </c>
      <c r="E949" s="7">
        <v>4604</v>
      </c>
      <c r="F949" s="7">
        <v>58</v>
      </c>
      <c r="G949" s="1">
        <v>513.87</v>
      </c>
      <c r="H949" s="34">
        <f>Tabela1[[#This Row],[PESO UNI]]*Tabela1[[#This Row],[QTE]]</f>
        <v>513.87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5119</v>
      </c>
      <c r="O949" s="12"/>
      <c r="P949" s="13"/>
      <c r="Q949" s="14">
        <f>Tabela1[[#This Row],[QTDE/ Fabricação]]-Tabela1[[#This Row],[QTE]]</f>
        <v>-1</v>
      </c>
      <c r="R949" s="18">
        <f t="shared" si="189"/>
        <v>128.4675</v>
      </c>
      <c r="S949" s="18">
        <f t="shared" si="190"/>
        <v>0</v>
      </c>
      <c r="T949" s="19">
        <f t="shared" si="191"/>
        <v>-513.87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-1</v>
      </c>
      <c r="Z949" s="20">
        <f>Tabela1[[#This Row],[PESO TOTAL]]-Tabela1[[#This Row],[Peso Expedido]]</f>
        <v>513.87</v>
      </c>
      <c r="AA949" s="17">
        <v>1</v>
      </c>
      <c r="AB949" s="33"/>
      <c r="AC949" s="33"/>
      <c r="AD949" s="33"/>
      <c r="AE949" s="33"/>
      <c r="AF949" s="33"/>
      <c r="AG949" s="33"/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1" t="s">
        <v>5188</v>
      </c>
      <c r="B950" s="21" t="s">
        <v>5189</v>
      </c>
      <c r="C950" s="1">
        <v>1</v>
      </c>
      <c r="D950" s="1" t="s">
        <v>5190</v>
      </c>
      <c r="E950" s="7">
        <v>4605</v>
      </c>
      <c r="F950" s="7">
        <v>58</v>
      </c>
      <c r="G950" s="1">
        <v>483.47</v>
      </c>
      <c r="H950" s="34">
        <f>Tabela1[[#This Row],[PESO UNI]]*Tabela1[[#This Row],[QTE]]</f>
        <v>483.47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5119</v>
      </c>
      <c r="O950" s="12"/>
      <c r="P950" s="13"/>
      <c r="Q950" s="14">
        <f>Tabela1[[#This Row],[QTDE/ Fabricação]]-Tabela1[[#This Row],[QTE]]</f>
        <v>-1</v>
      </c>
      <c r="R950" s="18">
        <f t="shared" si="189"/>
        <v>120.86750000000001</v>
      </c>
      <c r="S950" s="18">
        <f t="shared" si="190"/>
        <v>0</v>
      </c>
      <c r="T950" s="19">
        <f t="shared" si="191"/>
        <v>-483.47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483.47</v>
      </c>
      <c r="AA950" s="17">
        <v>1</v>
      </c>
      <c r="AB950" s="33"/>
      <c r="AC950" s="33"/>
      <c r="AD950" s="33"/>
      <c r="AE950" s="33"/>
      <c r="AF950" s="33"/>
      <c r="AG950" s="33"/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1" t="s">
        <v>5191</v>
      </c>
      <c r="B951" s="21" t="s">
        <v>5192</v>
      </c>
      <c r="C951" s="1">
        <v>1</v>
      </c>
      <c r="D951" s="1" t="s">
        <v>5193</v>
      </c>
      <c r="E951" s="7">
        <v>4606</v>
      </c>
      <c r="F951" s="7">
        <v>58</v>
      </c>
      <c r="G951" s="1">
        <v>477.68</v>
      </c>
      <c r="H951" s="34">
        <f>Tabela1[[#This Row],[PESO UNI]]*Tabela1[[#This Row],[QTE]]</f>
        <v>477.68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5119</v>
      </c>
      <c r="O951" s="12"/>
      <c r="P951" s="13"/>
      <c r="Q951" s="14">
        <f>Tabela1[[#This Row],[QTDE/ Fabricação]]-Tabela1[[#This Row],[QTE]]</f>
        <v>-1</v>
      </c>
      <c r="R951" s="18">
        <f t="shared" si="189"/>
        <v>119.42</v>
      </c>
      <c r="S951" s="18">
        <f t="shared" si="190"/>
        <v>0</v>
      </c>
      <c r="T951" s="19">
        <f t="shared" si="191"/>
        <v>-477.68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477.68</v>
      </c>
      <c r="AA951" s="17">
        <v>1</v>
      </c>
      <c r="AB951" s="33"/>
      <c r="AC951" s="33"/>
      <c r="AD951" s="33"/>
      <c r="AE951" s="33"/>
      <c r="AF951" s="33"/>
      <c r="AG951" s="33"/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1" t="s">
        <v>5194</v>
      </c>
      <c r="B952" s="21" t="s">
        <v>5195</v>
      </c>
      <c r="C952" s="1">
        <v>1</v>
      </c>
      <c r="D952" s="1" t="s">
        <v>5196</v>
      </c>
      <c r="E952" s="7">
        <v>4607</v>
      </c>
      <c r="F952" s="7">
        <v>58</v>
      </c>
      <c r="G952" s="1">
        <v>499.5</v>
      </c>
      <c r="H952" s="34">
        <f>Tabela1[[#This Row],[PESO UNI]]*Tabela1[[#This Row],[QTE]]</f>
        <v>499.5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5119</v>
      </c>
      <c r="O952" s="12"/>
      <c r="P952" s="13"/>
      <c r="Q952" s="14">
        <f>Tabela1[[#This Row],[QTDE/ Fabricação]]-Tabela1[[#This Row],[QTE]]</f>
        <v>-1</v>
      </c>
      <c r="R952" s="18">
        <f t="shared" si="189"/>
        <v>124.875</v>
      </c>
      <c r="S952" s="18">
        <f t="shared" si="190"/>
        <v>0</v>
      </c>
      <c r="T952" s="19">
        <f t="shared" si="191"/>
        <v>-499.5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499.5</v>
      </c>
      <c r="AA952" s="17">
        <v>1</v>
      </c>
      <c r="AB952" s="33"/>
      <c r="AC952" s="33"/>
      <c r="AD952" s="33"/>
      <c r="AE952" s="33"/>
      <c r="AF952" s="33"/>
      <c r="AG952" s="33"/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1" t="s">
        <v>5197</v>
      </c>
      <c r="B953" s="21" t="s">
        <v>5198</v>
      </c>
      <c r="C953" s="1">
        <v>3</v>
      </c>
      <c r="D953" s="1" t="s">
        <v>5199</v>
      </c>
      <c r="E953" s="7">
        <v>4608</v>
      </c>
      <c r="F953" s="7">
        <v>59</v>
      </c>
      <c r="G953" s="1">
        <v>499.5</v>
      </c>
      <c r="H953" s="34">
        <f>Tabela1[[#This Row],[PESO UNI]]*Tabela1[[#This Row],[QTE]]</f>
        <v>1498.5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5119</v>
      </c>
      <c r="O953" s="12"/>
      <c r="P953" s="13"/>
      <c r="Q953" s="14">
        <f>Tabela1[[#This Row],[QTDE/ Fabricação]]-Tabela1[[#This Row],[QTE]]</f>
        <v>-3</v>
      </c>
      <c r="R953" s="18">
        <f t="shared" si="189"/>
        <v>374.625</v>
      </c>
      <c r="S953" s="18">
        <f t="shared" si="190"/>
        <v>0</v>
      </c>
      <c r="T953" s="19">
        <f t="shared" si="191"/>
        <v>-1498.5</v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-3</v>
      </c>
      <c r="Z953" s="20">
        <f>Tabela1[[#This Row],[PESO TOTAL]]-Tabela1[[#This Row],[Peso Expedido]]</f>
        <v>1498.5</v>
      </c>
      <c r="AA953" s="17">
        <v>1</v>
      </c>
      <c r="AB953" s="33"/>
      <c r="AC953" s="33"/>
      <c r="AD953" s="33"/>
      <c r="AE953" s="33"/>
      <c r="AF953" s="33"/>
      <c r="AG953" s="33"/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1" t="s">
        <v>5197</v>
      </c>
      <c r="B954" s="21" t="s">
        <v>5198</v>
      </c>
      <c r="C954" s="1">
        <v>1</v>
      </c>
      <c r="D954" s="1" t="s">
        <v>5200</v>
      </c>
      <c r="E954" s="7">
        <v>4609</v>
      </c>
      <c r="F954" s="7">
        <v>59</v>
      </c>
      <c r="G954" s="1">
        <v>114.46</v>
      </c>
      <c r="H954" s="34">
        <f>Tabela1[[#This Row],[PESO UNI]]*Tabela1[[#This Row],[QTE]]</f>
        <v>114.46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5119</v>
      </c>
      <c r="O954" s="12"/>
      <c r="P954" s="13"/>
      <c r="Q954" s="14">
        <f>Tabela1[[#This Row],[QTDE/ Fabricação]]-Tabela1[[#This Row],[QTE]]</f>
        <v>-1</v>
      </c>
      <c r="R954" s="18">
        <f t="shared" si="189"/>
        <v>28.614999999999998</v>
      </c>
      <c r="S954" s="18">
        <f t="shared" si="190"/>
        <v>0</v>
      </c>
      <c r="T954" s="19">
        <f t="shared" si="191"/>
        <v>-114.46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114.46</v>
      </c>
      <c r="AA954" s="17">
        <v>1</v>
      </c>
      <c r="AB954" s="33"/>
      <c r="AC954" s="33"/>
      <c r="AD954" s="33"/>
      <c r="AE954" s="33"/>
      <c r="AF954" s="33"/>
      <c r="AG954" s="33"/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1" t="s">
        <v>5197</v>
      </c>
      <c r="B955" s="21" t="s">
        <v>5198</v>
      </c>
      <c r="C955" s="1">
        <v>1</v>
      </c>
      <c r="D955" s="1" t="s">
        <v>5201</v>
      </c>
      <c r="E955" s="7">
        <v>4610</v>
      </c>
      <c r="F955" s="7">
        <v>59</v>
      </c>
      <c r="G955" s="1">
        <v>80.17</v>
      </c>
      <c r="H955" s="34">
        <f>Tabela1[[#This Row],[PESO UNI]]*Tabela1[[#This Row],[QTE]]</f>
        <v>80.17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5119</v>
      </c>
      <c r="O955" s="12"/>
      <c r="P955" s="13"/>
      <c r="Q955" s="14">
        <f>Tabela1[[#This Row],[QTDE/ Fabricação]]-Tabela1[[#This Row],[QTE]]</f>
        <v>-1</v>
      </c>
      <c r="R955" s="18">
        <f t="shared" si="189"/>
        <v>20.0425</v>
      </c>
      <c r="S955" s="18">
        <f t="shared" si="190"/>
        <v>0</v>
      </c>
      <c r="T955" s="19">
        <f t="shared" si="191"/>
        <v>-80.17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-1</v>
      </c>
      <c r="Z955" s="20">
        <f>Tabela1[[#This Row],[PESO TOTAL]]-Tabela1[[#This Row],[Peso Expedido]]</f>
        <v>80.17</v>
      </c>
      <c r="AA955" s="17">
        <v>1</v>
      </c>
      <c r="AB955" s="33"/>
      <c r="AC955" s="33"/>
      <c r="AD955" s="33"/>
      <c r="AE955" s="33"/>
      <c r="AF955" s="33"/>
      <c r="AG955" s="33"/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1" t="s">
        <v>5197</v>
      </c>
      <c r="B956" s="21" t="s">
        <v>5198</v>
      </c>
      <c r="C956" s="1">
        <v>1</v>
      </c>
      <c r="D956" s="1" t="s">
        <v>5202</v>
      </c>
      <c r="E956" s="7">
        <v>4611</v>
      </c>
      <c r="F956" s="7">
        <v>59</v>
      </c>
      <c r="G956" s="1">
        <v>113.7</v>
      </c>
      <c r="H956" s="34">
        <f>Tabela1[[#This Row],[PESO UNI]]*Tabela1[[#This Row],[QTE]]</f>
        <v>113.7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5119</v>
      </c>
      <c r="O956" s="12"/>
      <c r="P956" s="13"/>
      <c r="Q956" s="14">
        <f>Tabela1[[#This Row],[QTDE/ Fabricação]]-Tabela1[[#This Row],[QTE]]</f>
        <v>-1</v>
      </c>
      <c r="R956" s="18">
        <f t="shared" si="189"/>
        <v>28.425000000000001</v>
      </c>
      <c r="S956" s="18">
        <f t="shared" si="190"/>
        <v>0</v>
      </c>
      <c r="T956" s="19">
        <f t="shared" si="191"/>
        <v>-113.7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113.7</v>
      </c>
      <c r="AA956" s="17">
        <v>1</v>
      </c>
      <c r="AB956" s="33"/>
      <c r="AC956" s="33"/>
      <c r="AD956" s="33"/>
      <c r="AE956" s="33"/>
      <c r="AF956" s="33"/>
      <c r="AG956" s="33"/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1" t="s">
        <v>5197</v>
      </c>
      <c r="B957" s="21" t="s">
        <v>5198</v>
      </c>
      <c r="C957" s="1">
        <v>3</v>
      </c>
      <c r="D957" s="1" t="s">
        <v>5203</v>
      </c>
      <c r="E957" s="7">
        <v>4612</v>
      </c>
      <c r="F957" s="7">
        <v>59</v>
      </c>
      <c r="G957" s="1">
        <v>46.8</v>
      </c>
      <c r="H957" s="34">
        <f>Tabela1[[#This Row],[PESO UNI]]*Tabela1[[#This Row],[QTE]]</f>
        <v>140.39999999999998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5119</v>
      </c>
      <c r="O957" s="12"/>
      <c r="P957" s="13"/>
      <c r="Q957" s="14">
        <f>Tabela1[[#This Row],[QTDE/ Fabricação]]-Tabela1[[#This Row],[QTE]]</f>
        <v>-3</v>
      </c>
      <c r="R957" s="18">
        <f t="shared" si="189"/>
        <v>35.099999999999994</v>
      </c>
      <c r="S957" s="18">
        <f t="shared" si="190"/>
        <v>0</v>
      </c>
      <c r="T957" s="19">
        <f t="shared" si="191"/>
        <v>-140.39999999999998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-3</v>
      </c>
      <c r="Z957" s="20">
        <f>Tabela1[[#This Row],[PESO TOTAL]]-Tabela1[[#This Row],[Peso Expedido]]</f>
        <v>140.39999999999998</v>
      </c>
      <c r="AA957" s="17">
        <v>1</v>
      </c>
      <c r="AB957" s="33"/>
      <c r="AC957" s="33"/>
      <c r="AD957" s="33"/>
      <c r="AE957" s="33"/>
      <c r="AF957" s="33"/>
      <c r="AG957" s="33"/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5204</v>
      </c>
      <c r="B958" s="21" t="s">
        <v>5205</v>
      </c>
      <c r="C958" s="1">
        <v>1</v>
      </c>
      <c r="D958" s="1" t="s">
        <v>5208</v>
      </c>
      <c r="E958" s="7">
        <v>4613</v>
      </c>
      <c r="F958" s="7">
        <v>59</v>
      </c>
      <c r="G958" s="1">
        <v>134.07</v>
      </c>
      <c r="H958" s="34">
        <f>Tabela1[[#This Row],[PESO UNI]]*Tabela1[[#This Row],[QTE]]</f>
        <v>134.07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5119</v>
      </c>
      <c r="O958" s="12"/>
      <c r="P958" s="13"/>
      <c r="Q958" s="14">
        <f>Tabela1[[#This Row],[QTDE/ Fabricação]]-Tabela1[[#This Row],[QTE]]</f>
        <v>-1</v>
      </c>
      <c r="R958" s="18">
        <f t="shared" si="189"/>
        <v>33.517499999999998</v>
      </c>
      <c r="S958" s="18">
        <f t="shared" si="190"/>
        <v>0</v>
      </c>
      <c r="T958" s="19">
        <f t="shared" si="191"/>
        <v>-134.07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-1</v>
      </c>
      <c r="Z958" s="20">
        <f>Tabela1[[#This Row],[PESO TOTAL]]-Tabela1[[#This Row],[Peso Expedido]]</f>
        <v>134.07</v>
      </c>
      <c r="AA958" s="17">
        <v>1</v>
      </c>
      <c r="AB958" s="33"/>
      <c r="AC958" s="33"/>
      <c r="AD958" s="33"/>
      <c r="AE958" s="33"/>
      <c r="AF958" s="33"/>
      <c r="AG958" s="33"/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5206</v>
      </c>
      <c r="B959" s="21" t="s">
        <v>5207</v>
      </c>
      <c r="C959" s="1">
        <v>1</v>
      </c>
      <c r="D959" s="1" t="s">
        <v>5209</v>
      </c>
      <c r="E959" s="7">
        <v>4614</v>
      </c>
      <c r="F959" s="7">
        <v>59</v>
      </c>
      <c r="G959" s="1">
        <v>149.56</v>
      </c>
      <c r="H959" s="34">
        <f>Tabela1[[#This Row],[PESO UNI]]*Tabela1[[#This Row],[QTE]]</f>
        <v>149.56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5119</v>
      </c>
      <c r="O959" s="12"/>
      <c r="P959" s="13"/>
      <c r="Q959" s="14">
        <f>Tabela1[[#This Row],[QTDE/ Fabricação]]-Tabela1[[#This Row],[QTE]]</f>
        <v>-1</v>
      </c>
      <c r="R959" s="18">
        <f t="shared" si="189"/>
        <v>37.39</v>
      </c>
      <c r="S959" s="18">
        <f t="shared" si="190"/>
        <v>0</v>
      </c>
      <c r="T959" s="19">
        <f t="shared" si="191"/>
        <v>-149.56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-1</v>
      </c>
      <c r="Z959" s="20">
        <f>Tabela1[[#This Row],[PESO TOTAL]]-Tabela1[[#This Row],[Peso Expedido]]</f>
        <v>149.56</v>
      </c>
      <c r="AA959" s="17">
        <v>1</v>
      </c>
      <c r="AB959" s="33"/>
      <c r="AC959" s="33"/>
      <c r="AD959" s="33"/>
      <c r="AE959" s="33"/>
      <c r="AF959" s="33"/>
      <c r="AG959" s="33"/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5210</v>
      </c>
      <c r="B960" s="21" t="s">
        <v>5211</v>
      </c>
      <c r="C960" s="1">
        <v>1</v>
      </c>
      <c r="D960" s="1" t="s">
        <v>5212</v>
      </c>
      <c r="E960" s="7">
        <v>4615</v>
      </c>
      <c r="F960" s="7">
        <v>59</v>
      </c>
      <c r="G960" s="1">
        <v>151.88</v>
      </c>
      <c r="H960" s="34">
        <f>Tabela1[[#This Row],[PESO UNI]]*Tabela1[[#This Row],[QTE]]</f>
        <v>151.88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5119</v>
      </c>
      <c r="O960" s="12"/>
      <c r="P960" s="13"/>
      <c r="Q960" s="14">
        <f>Tabela1[[#This Row],[QTDE/ Fabricação]]-Tabela1[[#This Row],[QTE]]</f>
        <v>-1</v>
      </c>
      <c r="R960" s="18">
        <f t="shared" si="189"/>
        <v>37.97</v>
      </c>
      <c r="S960" s="18">
        <f t="shared" si="190"/>
        <v>0</v>
      </c>
      <c r="T960" s="19">
        <f t="shared" si="191"/>
        <v>-151.88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151.88</v>
      </c>
      <c r="AA960" s="17">
        <v>1</v>
      </c>
      <c r="AB960" s="33"/>
      <c r="AC960" s="33"/>
      <c r="AD960" s="33"/>
      <c r="AE960" s="33"/>
      <c r="AF960" s="33"/>
      <c r="AG960" s="33"/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5213</v>
      </c>
      <c r="B961" s="21" t="s">
        <v>5214</v>
      </c>
      <c r="C961" s="1">
        <v>2</v>
      </c>
      <c r="D961" s="1" t="s">
        <v>5215</v>
      </c>
      <c r="E961" s="7">
        <v>4616</v>
      </c>
      <c r="F961" s="7">
        <v>59</v>
      </c>
      <c r="G961" s="1">
        <v>190.64</v>
      </c>
      <c r="H961" s="34">
        <f>Tabela1[[#This Row],[PESO UNI]]*Tabela1[[#This Row],[QTE]]</f>
        <v>381.28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5119</v>
      </c>
      <c r="O961" s="12"/>
      <c r="P961" s="13"/>
      <c r="Q961" s="14">
        <f>Tabela1[[#This Row],[QTDE/ Fabricação]]-Tabela1[[#This Row],[QTE]]</f>
        <v>-2</v>
      </c>
      <c r="R961" s="18">
        <f t="shared" si="189"/>
        <v>95.32</v>
      </c>
      <c r="S961" s="18">
        <f t="shared" si="190"/>
        <v>0</v>
      </c>
      <c r="T961" s="19">
        <f t="shared" si="191"/>
        <v>-381.28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-2</v>
      </c>
      <c r="Z961" s="20">
        <f>Tabela1[[#This Row],[PESO TOTAL]]-Tabela1[[#This Row],[Peso Expedido]]</f>
        <v>381.28</v>
      </c>
      <c r="AA961" s="17">
        <v>1</v>
      </c>
      <c r="AB961" s="33"/>
      <c r="AC961" s="33"/>
      <c r="AD961" s="33"/>
      <c r="AE961" s="33"/>
      <c r="AF961" s="33"/>
      <c r="AG961" s="33"/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5216</v>
      </c>
      <c r="B962" s="21" t="s">
        <v>5217</v>
      </c>
      <c r="C962" s="1">
        <v>2</v>
      </c>
      <c r="D962" s="1" t="s">
        <v>5218</v>
      </c>
      <c r="E962" s="7">
        <v>4617</v>
      </c>
      <c r="F962" s="7">
        <v>59</v>
      </c>
      <c r="G962" s="1">
        <v>110.01</v>
      </c>
      <c r="H962" s="34">
        <f>Tabela1[[#This Row],[PESO UNI]]*Tabela1[[#This Row],[QTE]]</f>
        <v>220.02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5119</v>
      </c>
      <c r="O962" s="12"/>
      <c r="P962" s="13"/>
      <c r="Q962" s="14">
        <f>Tabela1[[#This Row],[QTDE/ Fabricação]]-Tabela1[[#This Row],[QTE]]</f>
        <v>-2</v>
      </c>
      <c r="R962" s="18">
        <f t="shared" si="189"/>
        <v>55.005000000000003</v>
      </c>
      <c r="S962" s="18">
        <f t="shared" si="190"/>
        <v>0</v>
      </c>
      <c r="T962" s="19">
        <f t="shared" si="191"/>
        <v>-220.02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2"/>
        <v>-2</v>
      </c>
      <c r="Z962" s="20">
        <f>Tabela1[[#This Row],[PESO TOTAL]]-Tabela1[[#This Row],[Peso Expedido]]</f>
        <v>220.02</v>
      </c>
      <c r="AA962" s="17">
        <v>1</v>
      </c>
      <c r="AB962" s="33"/>
      <c r="AC962" s="33"/>
      <c r="AD962" s="33"/>
      <c r="AE962" s="33"/>
      <c r="AF962" s="33"/>
      <c r="AG962" s="33"/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5216</v>
      </c>
      <c r="B963" s="21" t="s">
        <v>5217</v>
      </c>
      <c r="C963" s="1">
        <v>1</v>
      </c>
      <c r="D963" s="1" t="s">
        <v>5219</v>
      </c>
      <c r="E963" s="7">
        <v>4618</v>
      </c>
      <c r="F963" s="7">
        <v>59</v>
      </c>
      <c r="G963" s="1">
        <v>109.4</v>
      </c>
      <c r="H963" s="34">
        <f>Tabela1[[#This Row],[PESO UNI]]*Tabela1[[#This Row],[QTE]]</f>
        <v>109.4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5119</v>
      </c>
      <c r="O963" s="12"/>
      <c r="P963" s="13"/>
      <c r="Q963" s="14">
        <f>Tabela1[[#This Row],[QTDE/ Fabricação]]-Tabela1[[#This Row],[QTE]]</f>
        <v>-1</v>
      </c>
      <c r="R963" s="18">
        <f t="shared" si="189"/>
        <v>27.35</v>
      </c>
      <c r="S963" s="18">
        <f t="shared" si="190"/>
        <v>0</v>
      </c>
      <c r="T963" s="19">
        <f t="shared" si="191"/>
        <v>-109.4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2"/>
        <v>-1</v>
      </c>
      <c r="Z963" s="20">
        <f>Tabela1[[#This Row],[PESO TOTAL]]-Tabela1[[#This Row],[Peso Expedido]]</f>
        <v>109.4</v>
      </c>
      <c r="AA963" s="17">
        <v>1</v>
      </c>
      <c r="AB963" s="33"/>
      <c r="AC963" s="33"/>
      <c r="AD963" s="33"/>
      <c r="AE963" s="33"/>
      <c r="AF963" s="33"/>
      <c r="AG963" s="33"/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5220</v>
      </c>
      <c r="B964" s="21" t="s">
        <v>5221</v>
      </c>
      <c r="C964" s="1">
        <v>1</v>
      </c>
      <c r="D964" s="1" t="s">
        <v>5222</v>
      </c>
      <c r="E964" s="7">
        <v>4619</v>
      </c>
      <c r="F964" s="7">
        <v>59</v>
      </c>
      <c r="G964" s="1">
        <v>186.84</v>
      </c>
      <c r="H964" s="34">
        <f>Tabela1[[#This Row],[PESO UNI]]*Tabela1[[#This Row],[QTE]]</f>
        <v>186.84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5119</v>
      </c>
      <c r="O964" s="12"/>
      <c r="P964" s="13"/>
      <c r="Q964" s="14">
        <f>Tabela1[[#This Row],[QTDE/ Fabricação]]-Tabela1[[#This Row],[QTE]]</f>
        <v>-1</v>
      </c>
      <c r="R964" s="18">
        <f t="shared" si="189"/>
        <v>46.71</v>
      </c>
      <c r="S964" s="18">
        <f t="shared" si="190"/>
        <v>0</v>
      </c>
      <c r="T964" s="19">
        <f t="shared" si="191"/>
        <v>-186.84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2"/>
        <v>-1</v>
      </c>
      <c r="Z964" s="20">
        <f>Tabela1[[#This Row],[PESO TOTAL]]-Tabela1[[#This Row],[Peso Expedido]]</f>
        <v>186.84</v>
      </c>
      <c r="AA964" s="17">
        <v>1</v>
      </c>
      <c r="AB964" s="33"/>
      <c r="AC964" s="33"/>
      <c r="AD964" s="33"/>
      <c r="AE964" s="33"/>
      <c r="AF964" s="33"/>
      <c r="AG964" s="33"/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5223</v>
      </c>
      <c r="B965" s="21" t="s">
        <v>5224</v>
      </c>
      <c r="C965" s="1">
        <v>1</v>
      </c>
      <c r="D965" s="1" t="s">
        <v>5225</v>
      </c>
      <c r="E965" s="7">
        <v>4620</v>
      </c>
      <c r="F965" s="7">
        <v>59</v>
      </c>
      <c r="G965" s="1">
        <v>145.27000000000001</v>
      </c>
      <c r="H965" s="34">
        <f>Tabela1[[#This Row],[PESO UNI]]*Tabela1[[#This Row],[QTE]]</f>
        <v>145.27000000000001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5119</v>
      </c>
      <c r="O965" s="12"/>
      <c r="P965" s="13"/>
      <c r="Q965" s="14">
        <f>Tabela1[[#This Row],[QTDE/ Fabricação]]-Tabela1[[#This Row],[QTE]]</f>
        <v>-1</v>
      </c>
      <c r="R965" s="18">
        <f t="shared" ref="R965:R996" si="193">IFERROR(H965*((AA965*0.25)+(AC965*0.25)+(AD965*0.225)+(AE965*0.225)+(AF965*0.05)),"")</f>
        <v>36.317500000000003</v>
      </c>
      <c r="S965" s="18">
        <f t="shared" ref="S965:S996" si="194">IFERROR(H965*AG965,"")</f>
        <v>0</v>
      </c>
      <c r="T965" s="19">
        <f t="shared" ref="T965:T996" si="195">IFERROR(S965-H965,"")</f>
        <v>-145.27000000000001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ref="Y965:Y996" si="196">U965-C965</f>
        <v>-1</v>
      </c>
      <c r="Z965" s="20">
        <f>Tabela1[[#This Row],[PESO TOTAL]]-Tabela1[[#This Row],[Peso Expedido]]</f>
        <v>145.27000000000001</v>
      </c>
      <c r="AA965" s="17">
        <v>1</v>
      </c>
      <c r="AB965" s="33"/>
      <c r="AC965" s="33"/>
      <c r="AD965" s="33"/>
      <c r="AE965" s="33"/>
      <c r="AF965" s="33"/>
      <c r="AG965" s="33"/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5223</v>
      </c>
      <c r="B966" s="21" t="s">
        <v>5224</v>
      </c>
      <c r="C966" s="1">
        <v>4</v>
      </c>
      <c r="D966" s="1" t="s">
        <v>5226</v>
      </c>
      <c r="E966" s="7">
        <v>4621</v>
      </c>
      <c r="F966" s="7">
        <v>59</v>
      </c>
      <c r="G966" s="1">
        <v>1.53</v>
      </c>
      <c r="H966" s="34">
        <f>Tabela1[[#This Row],[PESO UNI]]*Tabela1[[#This Row],[QTE]]</f>
        <v>6.12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5119</v>
      </c>
      <c r="O966" s="12"/>
      <c r="P966" s="13"/>
      <c r="Q966" s="14">
        <f>Tabela1[[#This Row],[QTDE/ Fabricação]]-Tabela1[[#This Row],[QTE]]</f>
        <v>-4</v>
      </c>
      <c r="R966" s="18">
        <f t="shared" si="193"/>
        <v>1.53</v>
      </c>
      <c r="S966" s="18">
        <f t="shared" si="194"/>
        <v>0</v>
      </c>
      <c r="T966" s="19">
        <f t="shared" si="195"/>
        <v>-6.12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-4</v>
      </c>
      <c r="Z966" s="20">
        <f>Tabela1[[#This Row],[PESO TOTAL]]-Tabela1[[#This Row],[Peso Expedido]]</f>
        <v>6.12</v>
      </c>
      <c r="AA966" s="17">
        <v>1</v>
      </c>
      <c r="AB966" s="33"/>
      <c r="AC966" s="33"/>
      <c r="AD966" s="33"/>
      <c r="AE966" s="33"/>
      <c r="AF966" s="33"/>
      <c r="AG966" s="33"/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5223</v>
      </c>
      <c r="B967" s="21" t="s">
        <v>5224</v>
      </c>
      <c r="C967" s="1">
        <v>2</v>
      </c>
      <c r="D967" s="1" t="s">
        <v>5227</v>
      </c>
      <c r="E967" s="7">
        <v>4622</v>
      </c>
      <c r="F967" s="7">
        <v>59</v>
      </c>
      <c r="G967" s="1">
        <v>1.56</v>
      </c>
      <c r="H967" s="34">
        <f>Tabela1[[#This Row],[PESO UNI]]*Tabela1[[#This Row],[QTE]]</f>
        <v>3.12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5119</v>
      </c>
      <c r="O967" s="12"/>
      <c r="P967" s="13"/>
      <c r="Q967" s="14">
        <f>Tabela1[[#This Row],[QTDE/ Fabricação]]-Tabela1[[#This Row],[QTE]]</f>
        <v>-2</v>
      </c>
      <c r="R967" s="18">
        <f t="shared" si="193"/>
        <v>0.78</v>
      </c>
      <c r="S967" s="18">
        <f t="shared" si="194"/>
        <v>0</v>
      </c>
      <c r="T967" s="19">
        <f t="shared" si="195"/>
        <v>-3.12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-2</v>
      </c>
      <c r="Z967" s="20">
        <f>Tabela1[[#This Row],[PESO TOTAL]]-Tabela1[[#This Row],[Peso Expedido]]</f>
        <v>3.12</v>
      </c>
      <c r="AA967" s="17">
        <v>1</v>
      </c>
      <c r="AB967" s="33"/>
      <c r="AC967" s="33"/>
      <c r="AD967" s="33"/>
      <c r="AE967" s="33"/>
      <c r="AF967" s="33"/>
      <c r="AG967" s="33"/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5228</v>
      </c>
      <c r="B968" s="21" t="s">
        <v>5229</v>
      </c>
      <c r="C968" s="1">
        <v>2</v>
      </c>
      <c r="D968" s="1" t="s">
        <v>5230</v>
      </c>
      <c r="E968" s="7">
        <v>4623</v>
      </c>
      <c r="F968" s="7">
        <v>59</v>
      </c>
      <c r="G968" s="1">
        <v>150.6</v>
      </c>
      <c r="H968" s="34">
        <f>Tabela1[[#This Row],[PESO UNI]]*Tabela1[[#This Row],[QTE]]</f>
        <v>301.2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5119</v>
      </c>
      <c r="O968" s="12"/>
      <c r="P968" s="13"/>
      <c r="Q968" s="14">
        <f>Tabela1[[#This Row],[QTDE/ Fabricação]]-Tabela1[[#This Row],[QTE]]</f>
        <v>-2</v>
      </c>
      <c r="R968" s="18">
        <f t="shared" si="193"/>
        <v>75.3</v>
      </c>
      <c r="S968" s="18">
        <f t="shared" si="194"/>
        <v>0</v>
      </c>
      <c r="T968" s="19">
        <f t="shared" si="195"/>
        <v>-301.2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-2</v>
      </c>
      <c r="Z968" s="20">
        <f>Tabela1[[#This Row],[PESO TOTAL]]-Tabela1[[#This Row],[Peso Expedido]]</f>
        <v>301.2</v>
      </c>
      <c r="AA968" s="17">
        <v>1</v>
      </c>
      <c r="AB968" s="33"/>
      <c r="AC968" s="33"/>
      <c r="AD968" s="33"/>
      <c r="AE968" s="33"/>
      <c r="AF968" s="33"/>
      <c r="AG968" s="33"/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5228</v>
      </c>
      <c r="B969" s="21" t="s">
        <v>5229</v>
      </c>
      <c r="C969" s="1">
        <v>3</v>
      </c>
      <c r="D969" s="1" t="s">
        <v>5231</v>
      </c>
      <c r="E969" s="7">
        <v>4624</v>
      </c>
      <c r="F969" s="7">
        <v>59</v>
      </c>
      <c r="G969" s="1">
        <v>50.54</v>
      </c>
      <c r="H969" s="34">
        <f>Tabela1[[#This Row],[PESO UNI]]*Tabela1[[#This Row],[QTE]]</f>
        <v>151.62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5119</v>
      </c>
      <c r="O969" s="12"/>
      <c r="P969" s="13"/>
      <c r="Q969" s="14">
        <f>Tabela1[[#This Row],[QTDE/ Fabricação]]-Tabela1[[#This Row],[QTE]]</f>
        <v>-3</v>
      </c>
      <c r="R969" s="18">
        <f t="shared" si="193"/>
        <v>37.905000000000001</v>
      </c>
      <c r="S969" s="18">
        <f t="shared" si="194"/>
        <v>0</v>
      </c>
      <c r="T969" s="19">
        <f t="shared" si="195"/>
        <v>-151.62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-3</v>
      </c>
      <c r="Z969" s="20">
        <f>Tabela1[[#This Row],[PESO TOTAL]]-Tabela1[[#This Row],[Peso Expedido]]</f>
        <v>151.62</v>
      </c>
      <c r="AA969" s="17">
        <v>1</v>
      </c>
      <c r="AB969" s="33"/>
      <c r="AC969" s="33"/>
      <c r="AD969" s="33"/>
      <c r="AE969" s="33"/>
      <c r="AF969" s="33"/>
      <c r="AG969" s="33"/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1" t="s">
        <v>5228</v>
      </c>
      <c r="B970" s="21" t="s">
        <v>5229</v>
      </c>
      <c r="C970" s="1">
        <v>1</v>
      </c>
      <c r="D970" s="1" t="s">
        <v>5232</v>
      </c>
      <c r="E970" s="7">
        <v>4625</v>
      </c>
      <c r="F970" s="7">
        <v>59</v>
      </c>
      <c r="G970" s="1">
        <v>116.11</v>
      </c>
      <c r="H970" s="34">
        <f>Tabela1[[#This Row],[PESO UNI]]*Tabela1[[#This Row],[QTE]]</f>
        <v>116.11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5119</v>
      </c>
      <c r="O970" s="12"/>
      <c r="P970" s="13"/>
      <c r="Q970" s="14">
        <f>Tabela1[[#This Row],[QTDE/ Fabricação]]-Tabela1[[#This Row],[QTE]]</f>
        <v>-1</v>
      </c>
      <c r="R970" s="18">
        <f t="shared" si="193"/>
        <v>29.0275</v>
      </c>
      <c r="S970" s="18">
        <f t="shared" si="194"/>
        <v>0</v>
      </c>
      <c r="T970" s="19">
        <f t="shared" si="195"/>
        <v>-116.11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-1</v>
      </c>
      <c r="Z970" s="20">
        <f>Tabela1[[#This Row],[PESO TOTAL]]-Tabela1[[#This Row],[Peso Expedido]]</f>
        <v>116.11</v>
      </c>
      <c r="AA970" s="17">
        <v>1</v>
      </c>
      <c r="AB970" s="33"/>
      <c r="AC970" s="33"/>
      <c r="AD970" s="33"/>
      <c r="AE970" s="33"/>
      <c r="AF970" s="33"/>
      <c r="AG970" s="33"/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1" t="s">
        <v>5228</v>
      </c>
      <c r="B971" s="21" t="s">
        <v>5229</v>
      </c>
      <c r="C971" s="1">
        <v>1</v>
      </c>
      <c r="D971" s="1" t="s">
        <v>5233</v>
      </c>
      <c r="E971" s="7">
        <v>4626</v>
      </c>
      <c r="F971" s="7">
        <v>59</v>
      </c>
      <c r="G971" s="1">
        <v>112.71</v>
      </c>
      <c r="H971" s="34">
        <f>Tabela1[[#This Row],[PESO UNI]]*Tabela1[[#This Row],[QTE]]</f>
        <v>112.71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5119</v>
      </c>
      <c r="O971" s="12"/>
      <c r="P971" s="13"/>
      <c r="Q971" s="14">
        <f>Tabela1[[#This Row],[QTDE/ Fabricação]]-Tabela1[[#This Row],[QTE]]</f>
        <v>-1</v>
      </c>
      <c r="R971" s="18">
        <f t="shared" si="193"/>
        <v>28.177499999999998</v>
      </c>
      <c r="S971" s="18">
        <f t="shared" si="194"/>
        <v>0</v>
      </c>
      <c r="T971" s="19">
        <f t="shared" si="195"/>
        <v>-112.71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-1</v>
      </c>
      <c r="Z971" s="20">
        <f>Tabela1[[#This Row],[PESO TOTAL]]-Tabela1[[#This Row],[Peso Expedido]]</f>
        <v>112.71</v>
      </c>
      <c r="AA971" s="17">
        <v>1</v>
      </c>
      <c r="AB971" s="33"/>
      <c r="AC971" s="33"/>
      <c r="AD971" s="33"/>
      <c r="AE971" s="33"/>
      <c r="AF971" s="33"/>
      <c r="AG971" s="33"/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1" t="s">
        <v>5234</v>
      </c>
      <c r="B972" s="21" t="s">
        <v>5235</v>
      </c>
      <c r="C972" s="1">
        <v>1</v>
      </c>
      <c r="D972" s="1" t="s">
        <v>5236</v>
      </c>
      <c r="E972" s="7">
        <v>4627</v>
      </c>
      <c r="F972" s="7">
        <v>61</v>
      </c>
      <c r="G972" s="1">
        <v>372</v>
      </c>
      <c r="H972" s="34">
        <f>Tabela1[[#This Row],[PESO UNI]]*Tabela1[[#This Row],[QTE]]</f>
        <v>372</v>
      </c>
      <c r="I972" s="7" t="s">
        <v>5295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5119</v>
      </c>
      <c r="O972" s="12"/>
      <c r="P972" s="13"/>
      <c r="Q972" s="14">
        <f>Tabela1[[#This Row],[QTDE/ Fabricação]]-Tabela1[[#This Row],[QTE]]</f>
        <v>-1</v>
      </c>
      <c r="R972" s="18">
        <f t="shared" si="193"/>
        <v>93</v>
      </c>
      <c r="S972" s="18">
        <f t="shared" si="194"/>
        <v>0</v>
      </c>
      <c r="T972" s="19">
        <f t="shared" si="195"/>
        <v>-372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372</v>
      </c>
      <c r="AA972" s="17">
        <v>1</v>
      </c>
      <c r="AB972" s="33"/>
      <c r="AC972" s="33"/>
      <c r="AD972" s="33"/>
      <c r="AE972" s="33"/>
      <c r="AF972" s="33"/>
      <c r="AG972" s="33"/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1" t="s">
        <v>5234</v>
      </c>
      <c r="B973" s="21" t="s">
        <v>5235</v>
      </c>
      <c r="C973" s="1">
        <v>4</v>
      </c>
      <c r="D973" s="1" t="s">
        <v>5237</v>
      </c>
      <c r="E973" s="7">
        <v>4628</v>
      </c>
      <c r="F973" s="7">
        <v>61</v>
      </c>
      <c r="G973" s="1">
        <v>6.5</v>
      </c>
      <c r="H973" s="34">
        <f>Tabela1[[#This Row],[PESO UNI]]*Tabela1[[#This Row],[QTE]]</f>
        <v>26</v>
      </c>
      <c r="I973" s="7" t="s">
        <v>5295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5119</v>
      </c>
      <c r="O973" s="12"/>
      <c r="P973" s="13"/>
      <c r="Q973" s="14">
        <f>Tabela1[[#This Row],[QTDE/ Fabricação]]-Tabela1[[#This Row],[QTE]]</f>
        <v>-4</v>
      </c>
      <c r="R973" s="18">
        <f t="shared" si="193"/>
        <v>6.5</v>
      </c>
      <c r="S973" s="18">
        <f t="shared" si="194"/>
        <v>0</v>
      </c>
      <c r="T973" s="19">
        <f t="shared" si="195"/>
        <v>-26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-4</v>
      </c>
      <c r="Z973" s="20">
        <f>Tabela1[[#This Row],[PESO TOTAL]]-Tabela1[[#This Row],[Peso Expedido]]</f>
        <v>26</v>
      </c>
      <c r="AA973" s="17">
        <v>1</v>
      </c>
      <c r="AB973" s="33"/>
      <c r="AC973" s="33"/>
      <c r="AD973" s="33"/>
      <c r="AE973" s="33"/>
      <c r="AF973" s="33"/>
      <c r="AG973" s="33"/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1" t="s">
        <v>5234</v>
      </c>
      <c r="B974" s="21" t="s">
        <v>5235</v>
      </c>
      <c r="C974" s="1">
        <v>8</v>
      </c>
      <c r="D974" s="1" t="s">
        <v>5238</v>
      </c>
      <c r="E974" s="7">
        <v>4629</v>
      </c>
      <c r="F974" s="7">
        <v>61</v>
      </c>
      <c r="G974" s="1">
        <v>2.1</v>
      </c>
      <c r="H974" s="34">
        <f>Tabela1[[#This Row],[PESO UNI]]*Tabela1[[#This Row],[QTE]]</f>
        <v>16.8</v>
      </c>
      <c r="I974" s="7" t="s">
        <v>5295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5119</v>
      </c>
      <c r="O974" s="12"/>
      <c r="P974" s="13"/>
      <c r="Q974" s="14">
        <f>Tabela1[[#This Row],[QTDE/ Fabricação]]-Tabela1[[#This Row],[QTE]]</f>
        <v>-8</v>
      </c>
      <c r="R974" s="18">
        <f t="shared" si="193"/>
        <v>4.2</v>
      </c>
      <c r="S974" s="18">
        <f t="shared" si="194"/>
        <v>0</v>
      </c>
      <c r="T974" s="19">
        <f t="shared" si="195"/>
        <v>-16.8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-8</v>
      </c>
      <c r="Z974" s="20">
        <f>Tabela1[[#This Row],[PESO TOTAL]]-Tabela1[[#This Row],[Peso Expedido]]</f>
        <v>16.8</v>
      </c>
      <c r="AA974" s="17">
        <v>1</v>
      </c>
      <c r="AB974" s="33"/>
      <c r="AC974" s="33"/>
      <c r="AD974" s="33"/>
      <c r="AE974" s="33"/>
      <c r="AF974" s="33"/>
      <c r="AG974" s="33"/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1" t="s">
        <v>5234</v>
      </c>
      <c r="B975" s="21" t="s">
        <v>5235</v>
      </c>
      <c r="C975" s="1">
        <v>2</v>
      </c>
      <c r="D975" s="1" t="s">
        <v>5239</v>
      </c>
      <c r="E975" s="7">
        <v>4630</v>
      </c>
      <c r="F975" s="7">
        <v>61</v>
      </c>
      <c r="G975" s="1">
        <v>1.6</v>
      </c>
      <c r="H975" s="34">
        <f>Tabela1[[#This Row],[PESO UNI]]*Tabela1[[#This Row],[QTE]]</f>
        <v>3.2</v>
      </c>
      <c r="I975" s="7" t="s">
        <v>5295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5119</v>
      </c>
      <c r="O975" s="12"/>
      <c r="P975" s="13"/>
      <c r="Q975" s="14">
        <f>Tabela1[[#This Row],[QTDE/ Fabricação]]-Tabela1[[#This Row],[QTE]]</f>
        <v>-2</v>
      </c>
      <c r="R975" s="18">
        <f t="shared" si="193"/>
        <v>0.8</v>
      </c>
      <c r="S975" s="18">
        <f t="shared" si="194"/>
        <v>0</v>
      </c>
      <c r="T975" s="19">
        <f t="shared" si="195"/>
        <v>-3.2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-2</v>
      </c>
      <c r="Z975" s="20">
        <f>Tabela1[[#This Row],[PESO TOTAL]]-Tabela1[[#This Row],[Peso Expedido]]</f>
        <v>3.2</v>
      </c>
      <c r="AA975" s="17">
        <v>1</v>
      </c>
      <c r="AB975" s="33"/>
      <c r="AC975" s="33"/>
      <c r="AD975" s="33"/>
      <c r="AE975" s="33"/>
      <c r="AF975" s="33"/>
      <c r="AG975" s="33"/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1" t="s">
        <v>5234</v>
      </c>
      <c r="B976" s="21" t="s">
        <v>5235</v>
      </c>
      <c r="C976" s="1">
        <v>4</v>
      </c>
      <c r="D976" s="1" t="s">
        <v>5240</v>
      </c>
      <c r="E976" s="7">
        <v>4631</v>
      </c>
      <c r="F976" s="7">
        <v>61</v>
      </c>
      <c r="G976" s="1">
        <v>0.3</v>
      </c>
      <c r="H976" s="34">
        <f>Tabela1[[#This Row],[PESO UNI]]*Tabela1[[#This Row],[QTE]]</f>
        <v>1.2</v>
      </c>
      <c r="I976" s="7" t="s">
        <v>5295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5119</v>
      </c>
      <c r="O976" s="12"/>
      <c r="P976" s="13"/>
      <c r="Q976" s="14">
        <f>Tabela1[[#This Row],[QTDE/ Fabricação]]-Tabela1[[#This Row],[QTE]]</f>
        <v>-4</v>
      </c>
      <c r="R976" s="18">
        <f t="shared" si="193"/>
        <v>0.3</v>
      </c>
      <c r="S976" s="18">
        <f t="shared" si="194"/>
        <v>0</v>
      </c>
      <c r="T976" s="19">
        <f t="shared" si="195"/>
        <v>-1.2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-4</v>
      </c>
      <c r="Z976" s="20">
        <f>Tabela1[[#This Row],[PESO TOTAL]]-Tabela1[[#This Row],[Peso Expedido]]</f>
        <v>1.2</v>
      </c>
      <c r="AA976" s="17">
        <v>1</v>
      </c>
      <c r="AB976" s="33"/>
      <c r="AC976" s="33"/>
      <c r="AD976" s="33"/>
      <c r="AE976" s="33"/>
      <c r="AF976" s="33"/>
      <c r="AG976" s="33"/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1" t="s">
        <v>5234</v>
      </c>
      <c r="B977" s="21" t="s">
        <v>5235</v>
      </c>
      <c r="C977" s="1">
        <v>2</v>
      </c>
      <c r="D977" s="1" t="s">
        <v>5241</v>
      </c>
      <c r="E977" s="7">
        <v>4632</v>
      </c>
      <c r="F977" s="7">
        <v>61</v>
      </c>
      <c r="G977" s="1">
        <v>14.4</v>
      </c>
      <c r="H977" s="34">
        <f>Tabela1[[#This Row],[PESO UNI]]*Tabela1[[#This Row],[QTE]]</f>
        <v>28.8</v>
      </c>
      <c r="I977" s="7" t="s">
        <v>5295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5119</v>
      </c>
      <c r="O977" s="12"/>
      <c r="P977" s="13"/>
      <c r="Q977" s="14">
        <f>Tabela1[[#This Row],[QTDE/ Fabricação]]-Tabela1[[#This Row],[QTE]]</f>
        <v>-2</v>
      </c>
      <c r="R977" s="18">
        <f t="shared" si="193"/>
        <v>7.2</v>
      </c>
      <c r="S977" s="18">
        <f t="shared" si="194"/>
        <v>0</v>
      </c>
      <c r="T977" s="19">
        <f t="shared" si="195"/>
        <v>-28.8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-2</v>
      </c>
      <c r="Z977" s="20">
        <f>Tabela1[[#This Row],[PESO TOTAL]]-Tabela1[[#This Row],[Peso Expedido]]</f>
        <v>28.8</v>
      </c>
      <c r="AA977" s="17">
        <v>1</v>
      </c>
      <c r="AB977" s="33"/>
      <c r="AC977" s="33"/>
      <c r="AD977" s="33"/>
      <c r="AE977" s="33"/>
      <c r="AF977" s="33"/>
      <c r="AG977" s="33"/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1" t="s">
        <v>5242</v>
      </c>
      <c r="B978" s="21" t="s">
        <v>5243</v>
      </c>
      <c r="C978" s="1">
        <v>1</v>
      </c>
      <c r="D978" s="1" t="s">
        <v>5244</v>
      </c>
      <c r="E978" s="7">
        <v>4633</v>
      </c>
      <c r="F978" s="7">
        <v>61</v>
      </c>
      <c r="G978" s="1">
        <v>408.6</v>
      </c>
      <c r="H978" s="34">
        <f>Tabela1[[#This Row],[PESO UNI]]*Tabela1[[#This Row],[QTE]]</f>
        <v>408.6</v>
      </c>
      <c r="I978" s="7" t="s">
        <v>5295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5119</v>
      </c>
      <c r="O978" s="12"/>
      <c r="P978" s="13"/>
      <c r="Q978" s="14">
        <f>Tabela1[[#This Row],[QTDE/ Fabricação]]-Tabela1[[#This Row],[QTE]]</f>
        <v>-1</v>
      </c>
      <c r="R978" s="18">
        <f t="shared" si="193"/>
        <v>102.15</v>
      </c>
      <c r="S978" s="18">
        <f t="shared" si="194"/>
        <v>0</v>
      </c>
      <c r="T978" s="19">
        <f t="shared" si="195"/>
        <v>-408.6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-1</v>
      </c>
      <c r="Z978" s="20">
        <f>Tabela1[[#This Row],[PESO TOTAL]]-Tabela1[[#This Row],[Peso Expedido]]</f>
        <v>408.6</v>
      </c>
      <c r="AA978" s="17">
        <v>1</v>
      </c>
      <c r="AB978" s="33"/>
      <c r="AC978" s="33"/>
      <c r="AD978" s="33"/>
      <c r="AE978" s="33"/>
      <c r="AF978" s="33"/>
      <c r="AG978" s="33"/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1" t="s">
        <v>5297</v>
      </c>
      <c r="B979" s="21" t="s">
        <v>5245</v>
      </c>
      <c r="C979" s="1">
        <v>2</v>
      </c>
      <c r="D979" s="1" t="s">
        <v>5246</v>
      </c>
      <c r="E979" s="7">
        <v>4634</v>
      </c>
      <c r="F979" s="7">
        <v>61</v>
      </c>
      <c r="G979" s="1">
        <v>31.3</v>
      </c>
      <c r="H979" s="34">
        <f>Tabela1[[#This Row],[PESO UNI]]*Tabela1[[#This Row],[QTE]]</f>
        <v>62.6</v>
      </c>
      <c r="I979" s="7" t="s">
        <v>5295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5119</v>
      </c>
      <c r="O979" s="12"/>
      <c r="P979" s="13"/>
      <c r="Q979" s="14">
        <f>Tabela1[[#This Row],[QTDE/ Fabricação]]-Tabela1[[#This Row],[QTE]]</f>
        <v>-2</v>
      </c>
      <c r="R979" s="18">
        <f t="shared" si="193"/>
        <v>15.65</v>
      </c>
      <c r="S979" s="18">
        <f t="shared" si="194"/>
        <v>0</v>
      </c>
      <c r="T979" s="19">
        <f t="shared" si="195"/>
        <v>-62.6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-2</v>
      </c>
      <c r="Z979" s="20">
        <f>Tabela1[[#This Row],[PESO TOTAL]]-Tabela1[[#This Row],[Peso Expedido]]</f>
        <v>62.6</v>
      </c>
      <c r="AA979" s="17">
        <v>1</v>
      </c>
      <c r="AB979" s="33"/>
      <c r="AC979" s="33"/>
      <c r="AD979" s="33"/>
      <c r="AE979" s="33"/>
      <c r="AF979" s="33"/>
      <c r="AG979" s="33"/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1" t="s">
        <v>5297</v>
      </c>
      <c r="B980" s="21" t="s">
        <v>5245</v>
      </c>
      <c r="C980" s="1">
        <v>1</v>
      </c>
      <c r="D980" s="1" t="s">
        <v>5247</v>
      </c>
      <c r="E980" s="7">
        <v>4635</v>
      </c>
      <c r="F980" s="7">
        <v>61</v>
      </c>
      <c r="G980" s="1">
        <v>37.200000000000003</v>
      </c>
      <c r="H980" s="34">
        <f>Tabela1[[#This Row],[PESO UNI]]*Tabela1[[#This Row],[QTE]]</f>
        <v>37.200000000000003</v>
      </c>
      <c r="I980" s="7" t="s">
        <v>5295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5119</v>
      </c>
      <c r="O980" s="12"/>
      <c r="P980" s="13"/>
      <c r="Q980" s="14">
        <f>Tabela1[[#This Row],[QTDE/ Fabricação]]-Tabela1[[#This Row],[QTE]]</f>
        <v>-1</v>
      </c>
      <c r="R980" s="18">
        <f t="shared" si="193"/>
        <v>9.3000000000000007</v>
      </c>
      <c r="S980" s="18">
        <f t="shared" si="194"/>
        <v>0</v>
      </c>
      <c r="T980" s="19">
        <f t="shared" si="195"/>
        <v>-37.200000000000003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37.200000000000003</v>
      </c>
      <c r="AA980" s="17">
        <v>1</v>
      </c>
      <c r="AB980" s="33"/>
      <c r="AC980" s="33"/>
      <c r="AD980" s="33"/>
      <c r="AE980" s="33"/>
      <c r="AF980" s="33"/>
      <c r="AG980" s="33"/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5297</v>
      </c>
      <c r="B981" s="21" t="s">
        <v>5245</v>
      </c>
      <c r="C981" s="1">
        <v>2</v>
      </c>
      <c r="D981" s="1" t="s">
        <v>5248</v>
      </c>
      <c r="E981" s="7">
        <v>4636</v>
      </c>
      <c r="F981" s="7">
        <v>61</v>
      </c>
      <c r="G981" s="1">
        <v>230.4</v>
      </c>
      <c r="H981" s="34">
        <f>Tabela1[[#This Row],[PESO UNI]]*Tabela1[[#This Row],[QTE]]</f>
        <v>460.8</v>
      </c>
      <c r="I981" s="7" t="s">
        <v>5295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5119</v>
      </c>
      <c r="O981" s="12"/>
      <c r="P981" s="13"/>
      <c r="Q981" s="14">
        <f>Tabela1[[#This Row],[QTDE/ Fabricação]]-Tabela1[[#This Row],[QTE]]</f>
        <v>-2</v>
      </c>
      <c r="R981" s="18">
        <f t="shared" si="193"/>
        <v>115.2</v>
      </c>
      <c r="S981" s="18">
        <f t="shared" si="194"/>
        <v>0</v>
      </c>
      <c r="T981" s="19">
        <f t="shared" si="195"/>
        <v>-460.8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-2</v>
      </c>
      <c r="Z981" s="20">
        <f>Tabela1[[#This Row],[PESO TOTAL]]-Tabela1[[#This Row],[Peso Expedido]]</f>
        <v>460.8</v>
      </c>
      <c r="AA981" s="17">
        <v>1</v>
      </c>
      <c r="AB981" s="33"/>
      <c r="AC981" s="33"/>
      <c r="AD981" s="33"/>
      <c r="AE981" s="33"/>
      <c r="AF981" s="33"/>
      <c r="AG981" s="33"/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5297</v>
      </c>
      <c r="B982" s="21" t="s">
        <v>5245</v>
      </c>
      <c r="C982" s="1">
        <v>2</v>
      </c>
      <c r="D982" s="1" t="s">
        <v>5249</v>
      </c>
      <c r="E982" s="7">
        <v>4637</v>
      </c>
      <c r="F982" s="7">
        <v>61</v>
      </c>
      <c r="G982" s="1">
        <v>8.9</v>
      </c>
      <c r="H982" s="34">
        <f>Tabela1[[#This Row],[PESO UNI]]*Tabela1[[#This Row],[QTE]]</f>
        <v>17.8</v>
      </c>
      <c r="I982" s="7" t="s">
        <v>5295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5119</v>
      </c>
      <c r="O982" s="12"/>
      <c r="P982" s="13"/>
      <c r="Q982" s="14">
        <f>Tabela1[[#This Row],[QTDE/ Fabricação]]-Tabela1[[#This Row],[QTE]]</f>
        <v>-2</v>
      </c>
      <c r="R982" s="18">
        <f t="shared" si="193"/>
        <v>4.45</v>
      </c>
      <c r="S982" s="18">
        <f t="shared" si="194"/>
        <v>0</v>
      </c>
      <c r="T982" s="19">
        <f t="shared" si="195"/>
        <v>-17.8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-2</v>
      </c>
      <c r="Z982" s="20">
        <f>Tabela1[[#This Row],[PESO TOTAL]]-Tabela1[[#This Row],[Peso Expedido]]</f>
        <v>17.8</v>
      </c>
      <c r="AA982" s="17">
        <v>1</v>
      </c>
      <c r="AB982" s="33"/>
      <c r="AC982" s="33"/>
      <c r="AD982" s="33"/>
      <c r="AE982" s="33"/>
      <c r="AF982" s="33"/>
      <c r="AG982" s="33"/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5297</v>
      </c>
      <c r="B983" s="21" t="s">
        <v>5245</v>
      </c>
      <c r="C983" s="1">
        <v>2</v>
      </c>
      <c r="D983" s="1" t="s">
        <v>5250</v>
      </c>
      <c r="E983" s="7">
        <v>4638</v>
      </c>
      <c r="F983" s="7">
        <v>61</v>
      </c>
      <c r="G983" s="1">
        <v>1.6</v>
      </c>
      <c r="H983" s="34">
        <f>Tabela1[[#This Row],[PESO UNI]]*Tabela1[[#This Row],[QTE]]</f>
        <v>3.2</v>
      </c>
      <c r="I983" s="7" t="s">
        <v>5295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5119</v>
      </c>
      <c r="O983" s="12"/>
      <c r="P983" s="13"/>
      <c r="Q983" s="14">
        <f>Tabela1[[#This Row],[QTDE/ Fabricação]]-Tabela1[[#This Row],[QTE]]</f>
        <v>-2</v>
      </c>
      <c r="R983" s="18">
        <f t="shared" si="193"/>
        <v>0.8</v>
      </c>
      <c r="S983" s="18">
        <f t="shared" si="194"/>
        <v>0</v>
      </c>
      <c r="T983" s="19">
        <f t="shared" si="195"/>
        <v>-3.2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-2</v>
      </c>
      <c r="Z983" s="20">
        <f>Tabela1[[#This Row],[PESO TOTAL]]-Tabela1[[#This Row],[Peso Expedido]]</f>
        <v>3.2</v>
      </c>
      <c r="AA983" s="17">
        <v>1</v>
      </c>
      <c r="AB983" s="33"/>
      <c r="AC983" s="33"/>
      <c r="AD983" s="33"/>
      <c r="AE983" s="33"/>
      <c r="AF983" s="33"/>
      <c r="AG983" s="33"/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5297</v>
      </c>
      <c r="B984" s="21" t="s">
        <v>5245</v>
      </c>
      <c r="C984" s="1">
        <v>4</v>
      </c>
      <c r="D984" s="1" t="s">
        <v>5251</v>
      </c>
      <c r="E984" s="7">
        <v>4639</v>
      </c>
      <c r="F984" s="7">
        <v>61</v>
      </c>
      <c r="G984" s="1">
        <v>0.3</v>
      </c>
      <c r="H984" s="34">
        <f>Tabela1[[#This Row],[PESO UNI]]*Tabela1[[#This Row],[QTE]]</f>
        <v>1.2</v>
      </c>
      <c r="I984" s="7" t="s">
        <v>5295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5119</v>
      </c>
      <c r="O984" s="12"/>
      <c r="P984" s="13"/>
      <c r="Q984" s="14">
        <f>Tabela1[[#This Row],[QTDE/ Fabricação]]-Tabela1[[#This Row],[QTE]]</f>
        <v>-4</v>
      </c>
      <c r="R984" s="18">
        <f t="shared" si="193"/>
        <v>0.3</v>
      </c>
      <c r="S984" s="18">
        <f t="shared" si="194"/>
        <v>0</v>
      </c>
      <c r="T984" s="19">
        <f t="shared" si="195"/>
        <v>-1.2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-4</v>
      </c>
      <c r="Z984" s="20">
        <f>Tabela1[[#This Row],[PESO TOTAL]]-Tabela1[[#This Row],[Peso Expedido]]</f>
        <v>1.2</v>
      </c>
      <c r="AA984" s="17">
        <v>1</v>
      </c>
      <c r="AB984" s="33"/>
      <c r="AC984" s="33"/>
      <c r="AD984" s="33"/>
      <c r="AE984" s="33"/>
      <c r="AF984" s="33"/>
      <c r="AG984" s="33"/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5296</v>
      </c>
      <c r="B985" s="21" t="s">
        <v>5252</v>
      </c>
      <c r="C985" s="1">
        <v>1</v>
      </c>
      <c r="D985" s="1" t="s">
        <v>5253</v>
      </c>
      <c r="E985" s="7">
        <v>4640</v>
      </c>
      <c r="F985" s="7">
        <v>61</v>
      </c>
      <c r="G985" s="1">
        <v>200</v>
      </c>
      <c r="H985" s="34">
        <f>Tabela1[[#This Row],[PESO UNI]]*Tabela1[[#This Row],[QTE]]</f>
        <v>200</v>
      </c>
      <c r="I985" s="7" t="s">
        <v>5295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5119</v>
      </c>
      <c r="O985" s="12"/>
      <c r="P985" s="13"/>
      <c r="Q985" s="14">
        <f>Tabela1[[#This Row],[QTDE/ Fabricação]]-Tabela1[[#This Row],[QTE]]</f>
        <v>-1</v>
      </c>
      <c r="R985" s="18">
        <f t="shared" si="193"/>
        <v>50</v>
      </c>
      <c r="S985" s="18">
        <f t="shared" si="194"/>
        <v>0</v>
      </c>
      <c r="T985" s="19">
        <f t="shared" si="195"/>
        <v>-200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200</v>
      </c>
      <c r="AA985" s="17">
        <v>1</v>
      </c>
      <c r="AB985" s="33"/>
      <c r="AC985" s="33"/>
      <c r="AD985" s="33"/>
      <c r="AE985" s="33"/>
      <c r="AF985" s="33"/>
      <c r="AG985" s="33"/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5296</v>
      </c>
      <c r="B986" s="21" t="s">
        <v>5252</v>
      </c>
      <c r="C986" s="1">
        <v>1</v>
      </c>
      <c r="D986" s="1" t="s">
        <v>5254</v>
      </c>
      <c r="E986" s="7">
        <v>4661</v>
      </c>
      <c r="F986" s="7">
        <v>61</v>
      </c>
      <c r="G986" s="1">
        <v>164.6</v>
      </c>
      <c r="H986" s="34">
        <f>Tabela1[[#This Row],[PESO UNI]]*Tabela1[[#This Row],[QTE]]</f>
        <v>164.6</v>
      </c>
      <c r="I986" s="7" t="s">
        <v>5295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5119</v>
      </c>
      <c r="O986" s="12"/>
      <c r="P986" s="13"/>
      <c r="Q986" s="14">
        <f>Tabela1[[#This Row],[QTDE/ Fabricação]]-Tabela1[[#This Row],[QTE]]</f>
        <v>-1</v>
      </c>
      <c r="R986" s="18">
        <f>IFERROR(H986*((AA986*0.25)+(AC986*0.25)+(AD986*0.225)+(AE986*0.225)+(AF986*0.05)),"")</f>
        <v>41.15</v>
      </c>
      <c r="S986" s="18">
        <f>IFERROR(H986*AG986,"")</f>
        <v>0</v>
      </c>
      <c r="T986" s="19">
        <f>IFERROR(S986-H986,"")</f>
        <v>-164.6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>U986-C986</f>
        <v>-1</v>
      </c>
      <c r="Z986" s="20">
        <f>Tabela1[[#This Row],[PESO TOTAL]]-Tabela1[[#This Row],[Peso Expedido]]</f>
        <v>164.6</v>
      </c>
      <c r="AA986" s="17">
        <v>1</v>
      </c>
      <c r="AB986" s="33"/>
      <c r="AC986" s="33"/>
      <c r="AD986" s="33"/>
      <c r="AE986" s="33"/>
      <c r="AF986" s="33"/>
      <c r="AG986" s="33"/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5242</v>
      </c>
      <c r="B987" s="21" t="s">
        <v>5255</v>
      </c>
      <c r="C987" s="1">
        <v>4</v>
      </c>
      <c r="D987" s="1" t="s">
        <v>5256</v>
      </c>
      <c r="E987" s="7">
        <v>4662</v>
      </c>
      <c r="F987" s="7">
        <v>62</v>
      </c>
      <c r="G987" s="1">
        <v>28.1</v>
      </c>
      <c r="H987" s="34">
        <f>Tabela1[[#This Row],[PESO UNI]]*Tabela1[[#This Row],[QTE]]</f>
        <v>112.4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5119</v>
      </c>
      <c r="O987" s="12"/>
      <c r="P987" s="13"/>
      <c r="Q987" s="14">
        <f>Tabela1[[#This Row],[QTDE/ Fabricação]]-Tabela1[[#This Row],[QTE]]</f>
        <v>-4</v>
      </c>
      <c r="R987" s="18">
        <f t="shared" si="193"/>
        <v>28.1</v>
      </c>
      <c r="S987" s="18">
        <f t="shared" si="194"/>
        <v>0</v>
      </c>
      <c r="T987" s="19">
        <f t="shared" si="195"/>
        <v>-112.4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-4</v>
      </c>
      <c r="Z987" s="20">
        <f>Tabela1[[#This Row],[PESO TOTAL]]-Tabela1[[#This Row],[Peso Expedido]]</f>
        <v>112.4</v>
      </c>
      <c r="AA987" s="17">
        <v>1</v>
      </c>
      <c r="AB987" s="33"/>
      <c r="AC987" s="33"/>
      <c r="AD987" s="33"/>
      <c r="AE987" s="33"/>
      <c r="AF987" s="33"/>
      <c r="AG987" s="33"/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5242</v>
      </c>
      <c r="B988" s="21" t="s">
        <v>5255</v>
      </c>
      <c r="C988" s="1">
        <v>4</v>
      </c>
      <c r="D988" s="1" t="s">
        <v>5257</v>
      </c>
      <c r="E988" s="7">
        <v>4663</v>
      </c>
      <c r="F988" s="7">
        <v>62</v>
      </c>
      <c r="G988" s="1">
        <v>38.299999999999997</v>
      </c>
      <c r="H988" s="34">
        <f>Tabela1[[#This Row],[PESO UNI]]*Tabela1[[#This Row],[QTE]]</f>
        <v>153.19999999999999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5119</v>
      </c>
      <c r="O988" s="12"/>
      <c r="P988" s="13"/>
      <c r="Q988" s="14">
        <f>Tabela1[[#This Row],[QTDE/ Fabricação]]-Tabela1[[#This Row],[QTE]]</f>
        <v>-4</v>
      </c>
      <c r="R988" s="18">
        <f t="shared" si="193"/>
        <v>38.299999999999997</v>
      </c>
      <c r="S988" s="18">
        <f t="shared" si="194"/>
        <v>0</v>
      </c>
      <c r="T988" s="19">
        <f t="shared" si="195"/>
        <v>-153.19999999999999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-4</v>
      </c>
      <c r="Z988" s="20">
        <f>Tabela1[[#This Row],[PESO TOTAL]]-Tabela1[[#This Row],[Peso Expedido]]</f>
        <v>153.19999999999999</v>
      </c>
      <c r="AA988" s="17">
        <v>1</v>
      </c>
      <c r="AB988" s="33"/>
      <c r="AC988" s="33"/>
      <c r="AD988" s="33"/>
      <c r="AE988" s="33"/>
      <c r="AF988" s="33"/>
      <c r="AG988" s="33"/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5242</v>
      </c>
      <c r="B989" s="21" t="s">
        <v>5255</v>
      </c>
      <c r="C989" s="1">
        <v>2</v>
      </c>
      <c r="D989" s="1" t="s">
        <v>5258</v>
      </c>
      <c r="E989" s="7">
        <v>4664</v>
      </c>
      <c r="F989" s="7">
        <v>62</v>
      </c>
      <c r="G989" s="1">
        <v>15.8</v>
      </c>
      <c r="H989" s="34">
        <f>Tabela1[[#This Row],[PESO UNI]]*Tabela1[[#This Row],[QTE]]</f>
        <v>31.6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5119</v>
      </c>
      <c r="O989" s="12"/>
      <c r="P989" s="13"/>
      <c r="Q989" s="14">
        <f>Tabela1[[#This Row],[QTDE/ Fabricação]]-Tabela1[[#This Row],[QTE]]</f>
        <v>-2</v>
      </c>
      <c r="R989" s="18">
        <f t="shared" si="193"/>
        <v>7.9</v>
      </c>
      <c r="S989" s="18">
        <f t="shared" si="194"/>
        <v>0</v>
      </c>
      <c r="T989" s="19">
        <f t="shared" si="195"/>
        <v>-31.6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-2</v>
      </c>
      <c r="Z989" s="20">
        <f>Tabela1[[#This Row],[PESO TOTAL]]-Tabela1[[#This Row],[Peso Expedido]]</f>
        <v>31.6</v>
      </c>
      <c r="AA989" s="17">
        <v>1</v>
      </c>
      <c r="AB989" s="33"/>
      <c r="AC989" s="33"/>
      <c r="AD989" s="33"/>
      <c r="AE989" s="33"/>
      <c r="AF989" s="33"/>
      <c r="AG989" s="33"/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5242</v>
      </c>
      <c r="B990" s="21" t="s">
        <v>5255</v>
      </c>
      <c r="C990" s="1">
        <v>4</v>
      </c>
      <c r="D990" s="1" t="s">
        <v>5259</v>
      </c>
      <c r="E990" s="7">
        <v>4665</v>
      </c>
      <c r="F990" s="7">
        <v>62</v>
      </c>
      <c r="G990" s="1">
        <v>28.4</v>
      </c>
      <c r="H990" s="34">
        <f>Tabela1[[#This Row],[PESO UNI]]*Tabela1[[#This Row],[QTE]]</f>
        <v>113.6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5119</v>
      </c>
      <c r="O990" s="12"/>
      <c r="P990" s="13"/>
      <c r="Q990" s="14">
        <f>Tabela1[[#This Row],[QTDE/ Fabricação]]-Tabela1[[#This Row],[QTE]]</f>
        <v>-4</v>
      </c>
      <c r="R990" s="18">
        <f t="shared" si="193"/>
        <v>28.4</v>
      </c>
      <c r="S990" s="18">
        <f t="shared" si="194"/>
        <v>0</v>
      </c>
      <c r="T990" s="19">
        <f t="shared" si="195"/>
        <v>-113.6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-4</v>
      </c>
      <c r="Z990" s="20">
        <f>Tabela1[[#This Row],[PESO TOTAL]]-Tabela1[[#This Row],[Peso Expedido]]</f>
        <v>113.6</v>
      </c>
      <c r="AA990" s="17">
        <v>1</v>
      </c>
      <c r="AB990" s="33"/>
      <c r="AC990" s="33"/>
      <c r="AD990" s="33"/>
      <c r="AE990" s="33"/>
      <c r="AF990" s="33"/>
      <c r="AG990" s="33"/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5242</v>
      </c>
      <c r="B991" s="21" t="s">
        <v>5255</v>
      </c>
      <c r="C991" s="1">
        <v>4</v>
      </c>
      <c r="D991" s="1" t="s">
        <v>5260</v>
      </c>
      <c r="E991" s="7">
        <v>4666</v>
      </c>
      <c r="F991" s="7">
        <v>62</v>
      </c>
      <c r="G991" s="1">
        <v>29.4</v>
      </c>
      <c r="H991" s="34">
        <f>Tabela1[[#This Row],[PESO UNI]]*Tabela1[[#This Row],[QTE]]</f>
        <v>117.6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5119</v>
      </c>
      <c r="O991" s="12"/>
      <c r="P991" s="13"/>
      <c r="Q991" s="14">
        <f>Tabela1[[#This Row],[QTDE/ Fabricação]]-Tabela1[[#This Row],[QTE]]</f>
        <v>-4</v>
      </c>
      <c r="R991" s="18">
        <f t="shared" si="193"/>
        <v>29.4</v>
      </c>
      <c r="S991" s="18">
        <f t="shared" si="194"/>
        <v>0</v>
      </c>
      <c r="T991" s="19">
        <f t="shared" si="195"/>
        <v>-117.6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-4</v>
      </c>
      <c r="Z991" s="20">
        <f>Tabela1[[#This Row],[PESO TOTAL]]-Tabela1[[#This Row],[Peso Expedido]]</f>
        <v>117.6</v>
      </c>
      <c r="AA991" s="17">
        <v>1</v>
      </c>
      <c r="AB991" s="33"/>
      <c r="AC991" s="33"/>
      <c r="AD991" s="33"/>
      <c r="AE991" s="33"/>
      <c r="AF991" s="33"/>
      <c r="AG991" s="33"/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5242</v>
      </c>
      <c r="B992" s="21" t="s">
        <v>5255</v>
      </c>
      <c r="C992" s="1">
        <v>5</v>
      </c>
      <c r="D992" s="1" t="s">
        <v>5261</v>
      </c>
      <c r="E992" s="7">
        <v>4667</v>
      </c>
      <c r="F992" s="7">
        <v>62</v>
      </c>
      <c r="G992" s="1">
        <v>28.9</v>
      </c>
      <c r="H992" s="34">
        <f>Tabela1[[#This Row],[PESO UNI]]*Tabela1[[#This Row],[QTE]]</f>
        <v>144.5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5119</v>
      </c>
      <c r="O992" s="12"/>
      <c r="P992" s="13"/>
      <c r="Q992" s="14">
        <f>Tabela1[[#This Row],[QTDE/ Fabricação]]-Tabela1[[#This Row],[QTE]]</f>
        <v>-5</v>
      </c>
      <c r="R992" s="18">
        <f t="shared" si="193"/>
        <v>36.125</v>
      </c>
      <c r="S992" s="18">
        <f t="shared" si="194"/>
        <v>0</v>
      </c>
      <c r="T992" s="19">
        <f t="shared" si="195"/>
        <v>-144.5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-5</v>
      </c>
      <c r="Z992" s="20">
        <f>Tabela1[[#This Row],[PESO TOTAL]]-Tabela1[[#This Row],[Peso Expedido]]</f>
        <v>144.5</v>
      </c>
      <c r="AA992" s="17">
        <v>1</v>
      </c>
      <c r="AB992" s="33"/>
      <c r="AC992" s="33"/>
      <c r="AD992" s="33"/>
      <c r="AE992" s="33"/>
      <c r="AF992" s="33"/>
      <c r="AG992" s="33"/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5242</v>
      </c>
      <c r="B993" s="21" t="s">
        <v>5255</v>
      </c>
      <c r="C993" s="1">
        <v>8</v>
      </c>
      <c r="D993" s="1" t="s">
        <v>5262</v>
      </c>
      <c r="E993" s="7">
        <v>4668</v>
      </c>
      <c r="F993" s="7">
        <v>62</v>
      </c>
      <c r="G993" s="1">
        <v>0.2</v>
      </c>
      <c r="H993" s="34">
        <f>Tabela1[[#This Row],[PESO UNI]]*Tabela1[[#This Row],[QTE]]</f>
        <v>1.6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5119</v>
      </c>
      <c r="O993" s="12"/>
      <c r="P993" s="13"/>
      <c r="Q993" s="14">
        <f>Tabela1[[#This Row],[QTDE/ Fabricação]]-Tabela1[[#This Row],[QTE]]</f>
        <v>-8</v>
      </c>
      <c r="R993" s="18">
        <f t="shared" si="193"/>
        <v>0.4</v>
      </c>
      <c r="S993" s="18">
        <f t="shared" si="194"/>
        <v>0</v>
      </c>
      <c r="T993" s="19">
        <f t="shared" si="195"/>
        <v>-1.6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-8</v>
      </c>
      <c r="Z993" s="20">
        <f>Tabela1[[#This Row],[PESO TOTAL]]-Tabela1[[#This Row],[Peso Expedido]]</f>
        <v>1.6</v>
      </c>
      <c r="AA993" s="17">
        <v>1</v>
      </c>
      <c r="AB993" s="33"/>
      <c r="AC993" s="33"/>
      <c r="AD993" s="33"/>
      <c r="AE993" s="33"/>
      <c r="AF993" s="33"/>
      <c r="AG993" s="33"/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76</v>
      </c>
      <c r="B994" s="21"/>
      <c r="C994" s="1">
        <v>40</v>
      </c>
      <c r="D994" s="1" t="s">
        <v>5263</v>
      </c>
      <c r="E994" s="7">
        <v>4669</v>
      </c>
      <c r="F994" s="7">
        <v>1</v>
      </c>
      <c r="G994" s="1">
        <v>6</v>
      </c>
      <c r="H994" s="34">
        <f>Tabela1[[#This Row],[PESO UNI]]*Tabela1[[#This Row],[QTE]]</f>
        <v>240</v>
      </c>
      <c r="I994" s="7" t="s">
        <v>5264</v>
      </c>
      <c r="J994" s="8" t="s">
        <v>5265</v>
      </c>
      <c r="K994" s="8" t="s">
        <v>23</v>
      </c>
      <c r="L994" s="9" t="s">
        <v>5266</v>
      </c>
      <c r="M994" s="10">
        <v>46252</v>
      </c>
      <c r="N994" s="8" t="s">
        <v>38</v>
      </c>
      <c r="O994" s="12"/>
      <c r="P994" s="13"/>
      <c r="Q994" s="14">
        <f>Tabela1[[#This Row],[QTDE/ Fabricação]]-Tabela1[[#This Row],[QTE]]</f>
        <v>-40</v>
      </c>
      <c r="R994" s="18">
        <f t="shared" si="193"/>
        <v>0</v>
      </c>
      <c r="S994" s="18">
        <f t="shared" si="194"/>
        <v>0</v>
      </c>
      <c r="T994" s="19">
        <f t="shared" si="195"/>
        <v>-240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196"/>
        <v>-40</v>
      </c>
      <c r="Z994" s="20">
        <f>Tabela1[[#This Row],[PESO TOTAL]]-Tabela1[[#This Row],[Peso Expedido]]</f>
        <v>240</v>
      </c>
      <c r="AA994" s="17"/>
      <c r="AB994" s="33"/>
      <c r="AC994" s="33"/>
      <c r="AD994" s="33"/>
      <c r="AE994" s="33"/>
      <c r="AF994" s="33"/>
      <c r="AG994" s="33"/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5267</v>
      </c>
      <c r="B995" s="21"/>
      <c r="C995" s="1">
        <v>126</v>
      </c>
      <c r="D995" s="1" t="s">
        <v>5268</v>
      </c>
      <c r="E995" s="7">
        <v>4670</v>
      </c>
      <c r="F995" s="7">
        <v>3</v>
      </c>
      <c r="G995" s="1">
        <v>97.6</v>
      </c>
      <c r="H995" s="34">
        <f>Tabela1[[#This Row],[PESO UNI]]*Tabela1[[#This Row],[QTE]]</f>
        <v>12297.599999999999</v>
      </c>
      <c r="I995" s="7">
        <v>0</v>
      </c>
      <c r="J995" s="8" t="s">
        <v>5269</v>
      </c>
      <c r="K995" s="8" t="s">
        <v>4320</v>
      </c>
      <c r="L995" s="9" t="s">
        <v>5270</v>
      </c>
      <c r="M995" s="10">
        <v>46254</v>
      </c>
      <c r="N995" s="8" t="s">
        <v>38</v>
      </c>
      <c r="O995" s="12"/>
      <c r="P995" s="13"/>
      <c r="Q995" s="14">
        <f>Tabela1[[#This Row],[QTDE/ Fabricação]]-Tabela1[[#This Row],[QTE]]</f>
        <v>-126</v>
      </c>
      <c r="R995" s="18">
        <f t="shared" si="193"/>
        <v>0</v>
      </c>
      <c r="S995" s="18">
        <f t="shared" si="194"/>
        <v>0</v>
      </c>
      <c r="T995" s="19">
        <f t="shared" si="195"/>
        <v>-12297.599999999999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196"/>
        <v>-126</v>
      </c>
      <c r="Z995" s="20">
        <f>Tabela1[[#This Row],[PESO TOTAL]]-Tabela1[[#This Row],[Peso Expedido]]</f>
        <v>12297.599999999999</v>
      </c>
      <c r="AA995" s="17"/>
      <c r="AB995" s="33"/>
      <c r="AC995" s="33"/>
      <c r="AD995" s="33"/>
      <c r="AE995" s="33"/>
      <c r="AF995" s="33"/>
      <c r="AG995" s="33"/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5271</v>
      </c>
      <c r="B996" s="21"/>
      <c r="C996" s="1">
        <v>6</v>
      </c>
      <c r="D996" s="1" t="s">
        <v>5272</v>
      </c>
      <c r="E996" s="7">
        <v>4671</v>
      </c>
      <c r="F996" s="7">
        <v>3</v>
      </c>
      <c r="G996" s="1">
        <v>289.7</v>
      </c>
      <c r="H996" s="34">
        <f>Tabela1[[#This Row],[PESO UNI]]*Tabela1[[#This Row],[QTE]]</f>
        <v>1738.1999999999998</v>
      </c>
      <c r="I996" s="7">
        <v>0</v>
      </c>
      <c r="J996" s="8" t="s">
        <v>5269</v>
      </c>
      <c r="K996" s="8" t="s">
        <v>4320</v>
      </c>
      <c r="L996" s="9" t="s">
        <v>5270</v>
      </c>
      <c r="M996" s="10">
        <v>46254</v>
      </c>
      <c r="N996" s="8" t="s">
        <v>5291</v>
      </c>
      <c r="O996" s="12"/>
      <c r="P996" s="13"/>
      <c r="Q996" s="14">
        <f>Tabela1[[#This Row],[QTDE/ Fabricação]]-Tabela1[[#This Row],[QTE]]</f>
        <v>-6</v>
      </c>
      <c r="R996" s="18">
        <f t="shared" si="193"/>
        <v>0</v>
      </c>
      <c r="S996" s="18">
        <f t="shared" si="194"/>
        <v>0</v>
      </c>
      <c r="T996" s="19">
        <f t="shared" si="195"/>
        <v>-1738.1999999999998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196"/>
        <v>-6</v>
      </c>
      <c r="Z996" s="20">
        <f>Tabela1[[#This Row],[PESO TOTAL]]-Tabela1[[#This Row],[Peso Expedido]]</f>
        <v>1738.1999999999998</v>
      </c>
      <c r="AA996" s="17"/>
      <c r="AB996" s="33"/>
      <c r="AC996" s="33"/>
      <c r="AD996" s="33"/>
      <c r="AE996" s="33"/>
      <c r="AF996" s="33"/>
      <c r="AG996" s="33"/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5273</v>
      </c>
      <c r="B997" s="21"/>
      <c r="C997" s="1">
        <v>2</v>
      </c>
      <c r="D997" s="1" t="s">
        <v>5274</v>
      </c>
      <c r="E997" s="7">
        <v>4672</v>
      </c>
      <c r="F997" s="7">
        <v>3</v>
      </c>
      <c r="G997" s="1">
        <v>289.7</v>
      </c>
      <c r="H997" s="34">
        <f>Tabela1[[#This Row],[PESO UNI]]*Tabela1[[#This Row],[QTE]]</f>
        <v>579.4</v>
      </c>
      <c r="I997" s="7">
        <v>0</v>
      </c>
      <c r="J997" s="8" t="s">
        <v>5269</v>
      </c>
      <c r="K997" s="8" t="s">
        <v>4320</v>
      </c>
      <c r="L997" s="9" t="s">
        <v>5270</v>
      </c>
      <c r="M997" s="10">
        <v>46254</v>
      </c>
      <c r="N997" s="8" t="s">
        <v>5291</v>
      </c>
      <c r="O997" s="12"/>
      <c r="P997" s="13"/>
      <c r="Q997" s="14">
        <f>Tabela1[[#This Row],[QTDE/ Fabricação]]-Tabela1[[#This Row],[QTE]]</f>
        <v>-2</v>
      </c>
      <c r="R997" s="18">
        <f t="shared" ref="R997:R1003" si="197">IFERROR(H997*((AA997*0.25)+(AC997*0.25)+(AD997*0.225)+(AE997*0.225)+(AF997*0.05)),"")</f>
        <v>0</v>
      </c>
      <c r="S997" s="18">
        <f t="shared" ref="S997:S1003" si="198">IFERROR(H997*AG997,"")</f>
        <v>0</v>
      </c>
      <c r="T997" s="19">
        <f t="shared" ref="T997:T1003" si="199">IFERROR(S997-H997,"")</f>
        <v>-579.4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ref="Y997:Y1003" si="200">U997-C997</f>
        <v>-2</v>
      </c>
      <c r="Z997" s="20">
        <f>Tabela1[[#This Row],[PESO TOTAL]]-Tabela1[[#This Row],[Peso Expedido]]</f>
        <v>579.4</v>
      </c>
      <c r="AA997" s="17"/>
      <c r="AB997" s="33"/>
      <c r="AC997" s="33"/>
      <c r="AD997" s="33"/>
      <c r="AE997" s="33"/>
      <c r="AF997" s="33"/>
      <c r="AG997" s="33"/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5275</v>
      </c>
      <c r="B998" s="21"/>
      <c r="C998" s="1">
        <v>1</v>
      </c>
      <c r="D998" s="1" t="s">
        <v>5276</v>
      </c>
      <c r="E998" s="7">
        <v>4673</v>
      </c>
      <c r="F998" s="7">
        <v>3</v>
      </c>
      <c r="G998" s="1">
        <v>588</v>
      </c>
      <c r="H998" s="34">
        <f>Tabela1[[#This Row],[PESO UNI]]*Tabela1[[#This Row],[QTE]]</f>
        <v>588</v>
      </c>
      <c r="I998" s="7">
        <v>0</v>
      </c>
      <c r="J998" s="8" t="s">
        <v>5269</v>
      </c>
      <c r="K998" s="8" t="s">
        <v>4320</v>
      </c>
      <c r="L998" s="9" t="s">
        <v>5270</v>
      </c>
      <c r="M998" s="10">
        <v>46254</v>
      </c>
      <c r="N998" s="8" t="s">
        <v>5291</v>
      </c>
      <c r="O998" s="12"/>
      <c r="P998" s="13"/>
      <c r="Q998" s="14">
        <f>Tabela1[[#This Row],[QTDE/ Fabricação]]-Tabela1[[#This Row],[QTE]]</f>
        <v>-1</v>
      </c>
      <c r="R998" s="18">
        <f t="shared" si="197"/>
        <v>0</v>
      </c>
      <c r="S998" s="18">
        <f t="shared" si="198"/>
        <v>0</v>
      </c>
      <c r="T998" s="19">
        <f t="shared" si="199"/>
        <v>-588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-1</v>
      </c>
      <c r="Z998" s="20">
        <f>Tabela1[[#This Row],[PESO TOTAL]]-Tabela1[[#This Row],[Peso Expedido]]</f>
        <v>588</v>
      </c>
      <c r="AA998" s="17"/>
      <c r="AB998" s="33"/>
      <c r="AC998" s="33"/>
      <c r="AD998" s="33"/>
      <c r="AE998" s="33"/>
      <c r="AF998" s="33"/>
      <c r="AG998" s="33"/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5277</v>
      </c>
      <c r="B999" s="21"/>
      <c r="C999" s="1">
        <v>1</v>
      </c>
      <c r="D999" s="1" t="s">
        <v>5279</v>
      </c>
      <c r="E999" s="7">
        <v>4674</v>
      </c>
      <c r="F999" s="7">
        <v>3</v>
      </c>
      <c r="G999" s="1">
        <v>743</v>
      </c>
      <c r="H999" s="34">
        <f>Tabela1[[#This Row],[PESO UNI]]*Tabela1[[#This Row],[QTE]]</f>
        <v>743</v>
      </c>
      <c r="I999" s="7">
        <v>2</v>
      </c>
      <c r="J999" s="8" t="s">
        <v>5269</v>
      </c>
      <c r="K999" s="8" t="s">
        <v>4320</v>
      </c>
      <c r="L999" s="9" t="s">
        <v>5270</v>
      </c>
      <c r="M999" s="10">
        <v>46254</v>
      </c>
      <c r="N999" s="8" t="s">
        <v>5291</v>
      </c>
      <c r="O999" s="12"/>
      <c r="P999" s="13"/>
      <c r="Q999" s="14">
        <f>Tabela1[[#This Row],[QTDE/ Fabricação]]-Tabela1[[#This Row],[QTE]]</f>
        <v>-1</v>
      </c>
      <c r="R999" s="18">
        <f t="shared" si="197"/>
        <v>0</v>
      </c>
      <c r="S999" s="18">
        <f t="shared" si="198"/>
        <v>0</v>
      </c>
      <c r="T999" s="19">
        <f t="shared" si="199"/>
        <v>-743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743</v>
      </c>
      <c r="AA999" s="17"/>
      <c r="AB999" s="33"/>
      <c r="AC999" s="33"/>
      <c r="AD999" s="33"/>
      <c r="AE999" s="33"/>
      <c r="AF999" s="33"/>
      <c r="AG999" s="33"/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5278</v>
      </c>
      <c r="B1000" s="21"/>
      <c r="C1000" s="1">
        <v>6</v>
      </c>
      <c r="D1000" s="1" t="s">
        <v>5280</v>
      </c>
      <c r="E1000" s="7">
        <v>4675</v>
      </c>
      <c r="F1000" s="7">
        <v>3</v>
      </c>
      <c r="G1000" s="1">
        <v>503.8</v>
      </c>
      <c r="H1000" s="34">
        <f>Tabela1[[#This Row],[PESO UNI]]*Tabela1[[#This Row],[QTE]]</f>
        <v>3022.8</v>
      </c>
      <c r="I1000" s="7">
        <v>0</v>
      </c>
      <c r="J1000" s="8" t="s">
        <v>5269</v>
      </c>
      <c r="K1000" s="8" t="s">
        <v>4320</v>
      </c>
      <c r="L1000" s="9" t="s">
        <v>5270</v>
      </c>
      <c r="M1000" s="10">
        <v>46254</v>
      </c>
      <c r="N1000" s="8" t="s">
        <v>5291</v>
      </c>
      <c r="O1000" s="12"/>
      <c r="P1000" s="13"/>
      <c r="Q1000" s="14">
        <f>Tabela1[[#This Row],[QTDE/ Fabricação]]-Tabela1[[#This Row],[QTE]]</f>
        <v>-6</v>
      </c>
      <c r="R1000" s="18">
        <f t="shared" si="197"/>
        <v>0</v>
      </c>
      <c r="S1000" s="18">
        <f t="shared" si="198"/>
        <v>0</v>
      </c>
      <c r="T1000" s="19">
        <f t="shared" si="199"/>
        <v>-3022.8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-6</v>
      </c>
      <c r="Z1000" s="20">
        <f>Tabela1[[#This Row],[PESO TOTAL]]-Tabela1[[#This Row],[Peso Expedido]]</f>
        <v>3022.8</v>
      </c>
      <c r="AA1000" s="17"/>
      <c r="AB1000" s="33"/>
      <c r="AC1000" s="33"/>
      <c r="AD1000" s="33"/>
      <c r="AE1000" s="33"/>
      <c r="AF1000" s="33"/>
      <c r="AG1000" s="33"/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5281</v>
      </c>
      <c r="B1001" s="21"/>
      <c r="C1001" s="1">
        <v>64</v>
      </c>
      <c r="D1001" s="1" t="s">
        <v>5283</v>
      </c>
      <c r="E1001" s="7">
        <v>4676</v>
      </c>
      <c r="F1001" s="7">
        <v>3</v>
      </c>
      <c r="G1001" s="1">
        <v>8.6</v>
      </c>
      <c r="H1001" s="34">
        <f>Tabela1[[#This Row],[PESO UNI]]*Tabela1[[#This Row],[QTE]]</f>
        <v>550.4</v>
      </c>
      <c r="I1001" s="7">
        <v>1</v>
      </c>
      <c r="J1001" s="8" t="s">
        <v>5269</v>
      </c>
      <c r="K1001" s="8" t="s">
        <v>4320</v>
      </c>
      <c r="L1001" s="9" t="s">
        <v>5270</v>
      </c>
      <c r="M1001" s="10">
        <v>46254</v>
      </c>
      <c r="N1001" s="8" t="s">
        <v>5291</v>
      </c>
      <c r="O1001" s="12"/>
      <c r="P1001" s="13"/>
      <c r="Q1001" s="14">
        <f>Tabela1[[#This Row],[QTDE/ Fabricação]]-Tabela1[[#This Row],[QTE]]</f>
        <v>-64</v>
      </c>
      <c r="R1001" s="18">
        <f t="shared" si="197"/>
        <v>0</v>
      </c>
      <c r="S1001" s="18">
        <f t="shared" si="198"/>
        <v>0</v>
      </c>
      <c r="T1001" s="19">
        <f t="shared" si="199"/>
        <v>-550.4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-64</v>
      </c>
      <c r="Z1001" s="20">
        <f>Tabela1[[#This Row],[PESO TOTAL]]-Tabela1[[#This Row],[Peso Expedido]]</f>
        <v>550.4</v>
      </c>
      <c r="AA1001" s="17"/>
      <c r="AB1001" s="33"/>
      <c r="AC1001" s="33"/>
      <c r="AD1001" s="33"/>
      <c r="AE1001" s="33"/>
      <c r="AF1001" s="33"/>
      <c r="AG1001" s="33"/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5282</v>
      </c>
      <c r="B1002" s="21"/>
      <c r="C1002" s="1">
        <v>1</v>
      </c>
      <c r="D1002" s="1" t="s">
        <v>5284</v>
      </c>
      <c r="E1002" s="7">
        <v>4677</v>
      </c>
      <c r="F1002" s="7">
        <v>3</v>
      </c>
      <c r="G1002" s="1">
        <v>503.8</v>
      </c>
      <c r="H1002" s="34">
        <f>Tabela1[[#This Row],[PESO UNI]]*Tabela1[[#This Row],[QTE]]</f>
        <v>503.8</v>
      </c>
      <c r="I1002" s="7">
        <v>0</v>
      </c>
      <c r="J1002" s="8" t="s">
        <v>5269</v>
      </c>
      <c r="K1002" s="8" t="s">
        <v>4320</v>
      </c>
      <c r="L1002" s="9" t="s">
        <v>5270</v>
      </c>
      <c r="M1002" s="10">
        <v>46254</v>
      </c>
      <c r="N1002" s="8" t="s">
        <v>5291</v>
      </c>
      <c r="O1002" s="12"/>
      <c r="P1002" s="13"/>
      <c r="Q1002" s="14">
        <f>Tabela1[[#This Row],[QTDE/ Fabricação]]-Tabela1[[#This Row],[QTE]]</f>
        <v>-1</v>
      </c>
      <c r="R1002" s="18">
        <f t="shared" si="197"/>
        <v>0</v>
      </c>
      <c r="S1002" s="18">
        <f t="shared" si="198"/>
        <v>0</v>
      </c>
      <c r="T1002" s="19">
        <f t="shared" si="199"/>
        <v>-503.8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-1</v>
      </c>
      <c r="Z1002" s="20">
        <f>Tabela1[[#This Row],[PESO TOTAL]]-Tabela1[[#This Row],[Peso Expedido]]</f>
        <v>503.8</v>
      </c>
      <c r="AA1002" s="17"/>
      <c r="AB1002" s="33"/>
      <c r="AC1002" s="33"/>
      <c r="AD1002" s="33"/>
      <c r="AE1002" s="33"/>
      <c r="AF1002" s="33"/>
      <c r="AG1002" s="33"/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1" t="s">
        <v>5285</v>
      </c>
      <c r="B1003" s="21"/>
      <c r="C1003" s="1">
        <v>3</v>
      </c>
      <c r="D1003" s="1" t="s">
        <v>5286</v>
      </c>
      <c r="E1003" s="7">
        <v>4678</v>
      </c>
      <c r="F1003" s="7">
        <v>3</v>
      </c>
      <c r="G1003" s="1">
        <v>406.1</v>
      </c>
      <c r="H1003" s="34">
        <f>Tabela1[[#This Row],[PESO UNI]]*Tabela1[[#This Row],[QTE]]</f>
        <v>1218.3000000000002</v>
      </c>
      <c r="I1003" s="7">
        <v>0</v>
      </c>
      <c r="J1003" s="8" t="s">
        <v>5269</v>
      </c>
      <c r="K1003" s="8" t="s">
        <v>4320</v>
      </c>
      <c r="L1003" s="9" t="s">
        <v>5270</v>
      </c>
      <c r="M1003" s="10">
        <v>46254</v>
      </c>
      <c r="N1003" s="8" t="s">
        <v>38</v>
      </c>
      <c r="O1003" s="12"/>
      <c r="P1003" s="13"/>
      <c r="Q1003" s="14">
        <f>Tabela1[[#This Row],[QTDE/ Fabricação]]-Tabela1[[#This Row],[QTE]]</f>
        <v>-3</v>
      </c>
      <c r="R1003" s="18">
        <f t="shared" si="197"/>
        <v>0</v>
      </c>
      <c r="S1003" s="18">
        <f t="shared" si="198"/>
        <v>0</v>
      </c>
      <c r="T1003" s="19">
        <f t="shared" si="199"/>
        <v>-1218.3000000000002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-3</v>
      </c>
      <c r="Z1003" s="20">
        <f>Tabela1[[#This Row],[PESO TOTAL]]-Tabela1[[#This Row],[Peso Expedido]]</f>
        <v>1218.3000000000002</v>
      </c>
      <c r="AA1003" s="17"/>
      <c r="AB1003" s="33"/>
      <c r="AC1003" s="33"/>
      <c r="AD1003" s="33"/>
      <c r="AE1003" s="33"/>
      <c r="AF1003" s="33"/>
      <c r="AG1003" s="33"/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1" t="s">
        <v>5287</v>
      </c>
      <c r="B1004" s="21"/>
      <c r="C1004" s="1">
        <v>252</v>
      </c>
      <c r="D1004" s="1" t="s">
        <v>5288</v>
      </c>
      <c r="E1004" s="7">
        <v>4679</v>
      </c>
      <c r="F1004" s="7">
        <v>3</v>
      </c>
      <c r="G1004" s="1">
        <v>11.8</v>
      </c>
      <c r="H1004" s="34">
        <f>Tabela1[[#This Row],[PESO UNI]]*Tabela1[[#This Row],[QTE]]</f>
        <v>2973.6000000000004</v>
      </c>
      <c r="I1004" s="7">
        <v>0</v>
      </c>
      <c r="J1004" s="8" t="s">
        <v>5269</v>
      </c>
      <c r="K1004" s="8" t="s">
        <v>4320</v>
      </c>
      <c r="L1004" s="9" t="s">
        <v>5270</v>
      </c>
      <c r="M1004" s="10">
        <v>46254</v>
      </c>
      <c r="N1004" s="8" t="s">
        <v>38</v>
      </c>
      <c r="O1004" s="12"/>
      <c r="P1004" s="13"/>
      <c r="Q1004" s="14">
        <f>Tabela1[[#This Row],[QTDE/ Fabricação]]-Tabela1[[#This Row],[QTE]]</f>
        <v>-252</v>
      </c>
      <c r="R1004" s="18">
        <f t="shared" ref="R1004:R1012" si="201">IFERROR(H1004*((AA1004*0.25)+(AC1004*0.25)+(AD1004*0.225)+(AE1004*0.225)+(AF1004*0.05)),"")</f>
        <v>0</v>
      </c>
      <c r="S1004" s="18">
        <f t="shared" ref="S1004:S1012" si="202">IFERROR(H1004*AG1004,"")</f>
        <v>0</v>
      </c>
      <c r="T1004" s="19">
        <f t="shared" ref="T1004:T1012" si="203">IFERROR(S1004-H1004,"")</f>
        <v>-2973.6000000000004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ref="Y1004:Y1012" si="204">U1004-C1004</f>
        <v>-252</v>
      </c>
      <c r="Z1004" s="20">
        <f>Tabela1[[#This Row],[PESO TOTAL]]-Tabela1[[#This Row],[Peso Expedido]]</f>
        <v>2973.6000000000004</v>
      </c>
      <c r="AA1004" s="17"/>
      <c r="AB1004" s="33"/>
      <c r="AC1004" s="33"/>
      <c r="AD1004" s="33"/>
      <c r="AE1004" s="33"/>
      <c r="AF1004" s="33"/>
      <c r="AG1004" s="33"/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1" t="s">
        <v>5292</v>
      </c>
      <c r="B1005" s="21" t="s">
        <v>5293</v>
      </c>
      <c r="C1005" s="1">
        <v>1</v>
      </c>
      <c r="D1005" s="1" t="s">
        <v>5294</v>
      </c>
      <c r="E1005" s="7">
        <v>4680</v>
      </c>
      <c r="F1005" s="7">
        <v>63</v>
      </c>
      <c r="G1005" s="1">
        <v>101.4</v>
      </c>
      <c r="H1005" s="34">
        <f>Tabela1[[#This Row],[PESO UNI]]*Tabela1[[#This Row],[QTE]]</f>
        <v>101.4</v>
      </c>
      <c r="I1005" s="7">
        <v>0</v>
      </c>
      <c r="J1005" s="8" t="s">
        <v>3045</v>
      </c>
      <c r="K1005" s="8" t="s">
        <v>4320</v>
      </c>
      <c r="L1005" s="9" t="s">
        <v>2984</v>
      </c>
      <c r="M1005" s="10">
        <v>46255</v>
      </c>
      <c r="N1005" s="8" t="s">
        <v>38</v>
      </c>
      <c r="O1005" s="12"/>
      <c r="P1005" s="13"/>
      <c r="Q1005" s="14">
        <f>Tabela1[[#This Row],[QTDE/ Fabricação]]-Tabela1[[#This Row],[QTE]]</f>
        <v>-1</v>
      </c>
      <c r="R1005" s="18">
        <f t="shared" si="201"/>
        <v>45.63</v>
      </c>
      <c r="S1005" s="18">
        <f t="shared" si="202"/>
        <v>0</v>
      </c>
      <c r="T1005" s="19">
        <f t="shared" si="203"/>
        <v>-101.4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4"/>
        <v>-1</v>
      </c>
      <c r="Z1005" s="20">
        <f>Tabela1[[#This Row],[PESO TOTAL]]-Tabela1[[#This Row],[Peso Expedido]]</f>
        <v>101.4</v>
      </c>
      <c r="AA1005" s="17">
        <v>0.9</v>
      </c>
      <c r="AB1005" s="33"/>
      <c r="AC1005" s="33">
        <v>0.9</v>
      </c>
      <c r="AD1005" s="33"/>
      <c r="AE1005" s="33"/>
      <c r="AF1005" s="33"/>
      <c r="AG1005" s="33"/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1" t="s">
        <v>5299</v>
      </c>
      <c r="B1006" s="21"/>
      <c r="C1006" s="208">
        <v>2</v>
      </c>
      <c r="D1006" s="1" t="s">
        <v>5300</v>
      </c>
      <c r="E1006" s="229">
        <v>4681</v>
      </c>
      <c r="F1006" s="194">
        <v>4</v>
      </c>
      <c r="G1006" s="1">
        <v>44</v>
      </c>
      <c r="H1006" s="34">
        <f>Tabela1[[#This Row],[PESO UNI]]*Tabela1[[#This Row],[QTE]]</f>
        <v>88</v>
      </c>
      <c r="I1006" s="7">
        <v>0</v>
      </c>
      <c r="J1006" s="8" t="s">
        <v>5269</v>
      </c>
      <c r="K1006" s="8" t="s">
        <v>32</v>
      </c>
      <c r="L1006" s="9" t="s">
        <v>5270</v>
      </c>
      <c r="M1006" s="10">
        <v>46255</v>
      </c>
      <c r="N1006" s="8" t="s">
        <v>38</v>
      </c>
      <c r="O1006" s="12"/>
      <c r="P1006" s="13"/>
      <c r="Q1006" s="14">
        <f>Tabela1[[#This Row],[QTDE/ Fabricação]]-Tabela1[[#This Row],[QTE]]</f>
        <v>-2</v>
      </c>
      <c r="R1006" s="18">
        <f t="shared" si="201"/>
        <v>0</v>
      </c>
      <c r="S1006" s="18">
        <f t="shared" si="202"/>
        <v>0</v>
      </c>
      <c r="T1006" s="19">
        <f t="shared" si="203"/>
        <v>-88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4"/>
        <v>-2</v>
      </c>
      <c r="Z1006" s="20">
        <f>Tabela1[[#This Row],[PESO TOTAL]]-Tabela1[[#This Row],[Peso Expedido]]</f>
        <v>88</v>
      </c>
      <c r="AA1006" s="17"/>
      <c r="AB1006" s="33"/>
      <c r="AC1006" s="33"/>
      <c r="AD1006" s="33"/>
      <c r="AE1006" s="33"/>
      <c r="AF1006" s="33"/>
      <c r="AG1006" s="33"/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5301</v>
      </c>
      <c r="B1007" s="21"/>
      <c r="C1007" s="208">
        <v>2</v>
      </c>
      <c r="D1007" s="1" t="s">
        <v>5302</v>
      </c>
      <c r="E1007" s="229">
        <v>4682</v>
      </c>
      <c r="F1007" s="194">
        <v>4</v>
      </c>
      <c r="G1007" s="1">
        <v>0.1</v>
      </c>
      <c r="H1007" s="34">
        <f>Tabela1[[#This Row],[PESO UNI]]*Tabela1[[#This Row],[QTE]]</f>
        <v>0.2</v>
      </c>
      <c r="I1007" s="7">
        <v>0</v>
      </c>
      <c r="J1007" s="8" t="s">
        <v>5269</v>
      </c>
      <c r="K1007" s="8" t="s">
        <v>32</v>
      </c>
      <c r="L1007" s="9" t="s">
        <v>5270</v>
      </c>
      <c r="M1007" s="10">
        <v>46255</v>
      </c>
      <c r="N1007" s="8" t="s">
        <v>38</v>
      </c>
      <c r="O1007" s="12"/>
      <c r="P1007" s="13"/>
      <c r="Q1007" s="14">
        <f>Tabela1[[#This Row],[QTDE/ Fabricação]]-Tabela1[[#This Row],[QTE]]</f>
        <v>-2</v>
      </c>
      <c r="R1007" s="18">
        <f t="shared" si="201"/>
        <v>0</v>
      </c>
      <c r="S1007" s="18">
        <f t="shared" si="202"/>
        <v>0</v>
      </c>
      <c r="T1007" s="19">
        <f t="shared" si="203"/>
        <v>-0.2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si="204"/>
        <v>-2</v>
      </c>
      <c r="Z1007" s="20">
        <f>Tabela1[[#This Row],[PESO TOTAL]]-Tabela1[[#This Row],[Peso Expedido]]</f>
        <v>0.2</v>
      </c>
      <c r="AA1007" s="17"/>
      <c r="AB1007" s="33"/>
      <c r="AC1007" s="33"/>
      <c r="AD1007" s="33"/>
      <c r="AE1007" s="33"/>
      <c r="AF1007" s="33"/>
      <c r="AG1007" s="33"/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5298</v>
      </c>
      <c r="B1008" s="21"/>
      <c r="C1008" s="208">
        <v>1</v>
      </c>
      <c r="D1008" s="1" t="s">
        <v>5303</v>
      </c>
      <c r="E1008" s="229">
        <v>4683</v>
      </c>
      <c r="F1008" s="194">
        <v>4</v>
      </c>
      <c r="G1008" s="1">
        <v>741.4</v>
      </c>
      <c r="H1008" s="34">
        <f>Tabela1[[#This Row],[PESO UNI]]*Tabela1[[#This Row],[QTE]]</f>
        <v>741.4</v>
      </c>
      <c r="I1008" s="7">
        <v>0</v>
      </c>
      <c r="J1008" s="8" t="s">
        <v>5269</v>
      </c>
      <c r="K1008" s="8" t="s">
        <v>32</v>
      </c>
      <c r="L1008" s="9" t="s">
        <v>5270</v>
      </c>
      <c r="M1008" s="10">
        <v>46255</v>
      </c>
      <c r="N1008" s="8" t="s">
        <v>38</v>
      </c>
      <c r="O1008" s="12"/>
      <c r="P1008" s="13"/>
      <c r="Q1008" s="14">
        <f>Tabela1[[#This Row],[QTDE/ Fabricação]]-Tabela1[[#This Row],[QTE]]</f>
        <v>-1</v>
      </c>
      <c r="R1008" s="18">
        <f t="shared" si="201"/>
        <v>0</v>
      </c>
      <c r="S1008" s="18">
        <f t="shared" si="202"/>
        <v>0</v>
      </c>
      <c r="T1008" s="19">
        <f t="shared" si="203"/>
        <v>-741.4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4"/>
        <v>-1</v>
      </c>
      <c r="Z1008" s="20">
        <f>Tabela1[[#This Row],[PESO TOTAL]]-Tabela1[[#This Row],[Peso Expedido]]</f>
        <v>741.4</v>
      </c>
      <c r="AA1008" s="17"/>
      <c r="AB1008" s="33"/>
      <c r="AC1008" s="33"/>
      <c r="AD1008" s="33"/>
      <c r="AE1008" s="33"/>
      <c r="AF1008" s="33"/>
      <c r="AG1008" s="33"/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5304</v>
      </c>
      <c r="B1009" s="21"/>
      <c r="C1009" s="208">
        <v>2</v>
      </c>
      <c r="D1009" s="1" t="s">
        <v>5305</v>
      </c>
      <c r="E1009" s="229">
        <v>4684</v>
      </c>
      <c r="F1009" s="194">
        <v>4</v>
      </c>
      <c r="G1009" s="1">
        <v>103.5</v>
      </c>
      <c r="H1009" s="34">
        <f>Tabela1[[#This Row],[PESO UNI]]*Tabela1[[#This Row],[QTE]]</f>
        <v>207</v>
      </c>
      <c r="I1009" s="7">
        <v>0</v>
      </c>
      <c r="J1009" s="8" t="s">
        <v>5269</v>
      </c>
      <c r="K1009" s="8" t="s">
        <v>32</v>
      </c>
      <c r="L1009" s="9" t="s">
        <v>5270</v>
      </c>
      <c r="M1009" s="10">
        <v>46255</v>
      </c>
      <c r="N1009" s="8" t="s">
        <v>38</v>
      </c>
      <c r="O1009" s="12"/>
      <c r="P1009" s="13"/>
      <c r="Q1009" s="14">
        <f>Tabela1[[#This Row],[QTDE/ Fabricação]]-Tabela1[[#This Row],[QTE]]</f>
        <v>-2</v>
      </c>
      <c r="R1009" s="18">
        <f t="shared" si="201"/>
        <v>0</v>
      </c>
      <c r="S1009" s="18">
        <f t="shared" si="202"/>
        <v>0</v>
      </c>
      <c r="T1009" s="19">
        <f t="shared" si="203"/>
        <v>-207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4"/>
        <v>-2</v>
      </c>
      <c r="Z1009" s="20">
        <f>Tabela1[[#This Row],[PESO TOTAL]]-Tabela1[[#This Row],[Peso Expedido]]</f>
        <v>207</v>
      </c>
      <c r="AA1009" s="17"/>
      <c r="AB1009" s="33"/>
      <c r="AC1009" s="33"/>
      <c r="AD1009" s="33"/>
      <c r="AE1009" s="33"/>
      <c r="AF1009" s="33"/>
      <c r="AG1009" s="33"/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5306</v>
      </c>
      <c r="B1010" s="21"/>
      <c r="C1010" s="208">
        <v>2</v>
      </c>
      <c r="D1010" s="1" t="s">
        <v>5307</v>
      </c>
      <c r="E1010" s="229">
        <v>4685</v>
      </c>
      <c r="F1010" s="194">
        <v>4</v>
      </c>
      <c r="G1010" s="1">
        <v>2.5</v>
      </c>
      <c r="H1010" s="34">
        <f>Tabela1[[#This Row],[PESO UNI]]*Tabela1[[#This Row],[QTE]]</f>
        <v>5</v>
      </c>
      <c r="I1010" s="7">
        <v>0</v>
      </c>
      <c r="J1010" s="8" t="s">
        <v>5269</v>
      </c>
      <c r="K1010" s="8" t="s">
        <v>32</v>
      </c>
      <c r="L1010" s="9" t="s">
        <v>5270</v>
      </c>
      <c r="M1010" s="10">
        <v>46255</v>
      </c>
      <c r="N1010" s="8" t="s">
        <v>38</v>
      </c>
      <c r="O1010" s="12"/>
      <c r="P1010" s="13"/>
      <c r="Q1010" s="14">
        <f>Tabela1[[#This Row],[QTDE/ Fabricação]]-Tabela1[[#This Row],[QTE]]</f>
        <v>-2</v>
      </c>
      <c r="R1010" s="18">
        <f t="shared" si="201"/>
        <v>0</v>
      </c>
      <c r="S1010" s="18">
        <f t="shared" si="202"/>
        <v>0</v>
      </c>
      <c r="T1010" s="19">
        <f t="shared" si="203"/>
        <v>-5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4"/>
        <v>-2</v>
      </c>
      <c r="Z1010" s="20">
        <f>Tabela1[[#This Row],[PESO TOTAL]]-Tabela1[[#This Row],[Peso Expedido]]</f>
        <v>5</v>
      </c>
      <c r="AA1010" s="17"/>
      <c r="AB1010" s="33"/>
      <c r="AC1010" s="33"/>
      <c r="AD1010" s="33"/>
      <c r="AE1010" s="33"/>
      <c r="AF1010" s="33"/>
      <c r="AG1010" s="33"/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5308</v>
      </c>
      <c r="C1011" s="25">
        <v>2</v>
      </c>
      <c r="D1011" s="1" t="s">
        <v>5309</v>
      </c>
      <c r="E1011" s="25">
        <v>4686</v>
      </c>
      <c r="F1011" s="25">
        <v>4</v>
      </c>
      <c r="G1011" s="1">
        <v>115.7</v>
      </c>
      <c r="H1011" s="34">
        <f>Tabela1[[#This Row],[PESO UNI]]*Tabela1[[#This Row],[QTE]]</f>
        <v>231.4</v>
      </c>
      <c r="I1011" s="7">
        <v>3</v>
      </c>
      <c r="J1011" s="8" t="s">
        <v>5269</v>
      </c>
      <c r="K1011" s="8" t="s">
        <v>32</v>
      </c>
      <c r="L1011" s="9" t="s">
        <v>5270</v>
      </c>
      <c r="M1011" s="10">
        <v>46255</v>
      </c>
      <c r="N1011" s="8" t="s">
        <v>38</v>
      </c>
      <c r="O1011" s="12"/>
      <c r="P1011" s="13"/>
      <c r="Q1011" s="14">
        <f>Tabela1[[#This Row],[QTDE/ Fabricação]]-Tabela1[[#This Row],[QTE]]</f>
        <v>-2</v>
      </c>
      <c r="R1011" s="18">
        <f t="shared" si="201"/>
        <v>0</v>
      </c>
      <c r="S1011" s="18">
        <f t="shared" si="202"/>
        <v>0</v>
      </c>
      <c r="T1011" s="19">
        <f t="shared" si="203"/>
        <v>-231.4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4"/>
        <v>-2</v>
      </c>
      <c r="Z1011" s="20">
        <f>Tabela1[[#This Row],[PESO TOTAL]]-Tabela1[[#This Row],[Peso Expedido]]</f>
        <v>231.4</v>
      </c>
      <c r="AA1011" s="17"/>
      <c r="AB1011" s="33"/>
      <c r="AC1011" s="33"/>
      <c r="AD1011" s="33"/>
      <c r="AE1011" s="33"/>
      <c r="AF1011" s="33"/>
      <c r="AG1011" s="33"/>
      <c r="AH1011" s="33"/>
      <c r="AI1011" s="33"/>
      <c r="AJ1011"/>
      <c r="AK1011"/>
      <c r="AL1011"/>
      <c r="AM1011"/>
      <c r="AN1011"/>
      <c r="AO1011"/>
      <c r="AP1011"/>
      <c r="AQ1011" s="22"/>
    </row>
    <row r="1012" spans="1:49" ht="15.75" hidden="1" customHeight="1" x14ac:dyDescent="0.25">
      <c r="A1012" s="1" t="s">
        <v>5310</v>
      </c>
      <c r="C1012" s="25">
        <v>2</v>
      </c>
      <c r="D1012" s="1" t="s">
        <v>5311</v>
      </c>
      <c r="E1012" s="25">
        <v>4687</v>
      </c>
      <c r="F1012" s="25">
        <v>4</v>
      </c>
      <c r="G1012" s="1">
        <v>2</v>
      </c>
      <c r="H1012" s="34">
        <f>Tabela1[[#This Row],[PESO UNI]]*Tabela1[[#This Row],[QTE]]</f>
        <v>4</v>
      </c>
      <c r="I1012" s="7">
        <v>1</v>
      </c>
      <c r="J1012" s="8" t="s">
        <v>5269</v>
      </c>
      <c r="K1012" s="8" t="s">
        <v>32</v>
      </c>
      <c r="L1012" s="9" t="s">
        <v>5270</v>
      </c>
      <c r="M1012" s="10">
        <v>46255</v>
      </c>
      <c r="N1012" s="8" t="s">
        <v>38</v>
      </c>
      <c r="O1012" s="12"/>
      <c r="P1012" s="13"/>
      <c r="Q1012" s="14">
        <f>Tabela1[[#This Row],[QTDE/ Fabricação]]-Tabela1[[#This Row],[QTE]]</f>
        <v>-2</v>
      </c>
      <c r="R1012" s="18">
        <f t="shared" si="201"/>
        <v>0</v>
      </c>
      <c r="S1012" s="18">
        <f t="shared" si="202"/>
        <v>0</v>
      </c>
      <c r="T1012" s="19">
        <f t="shared" si="203"/>
        <v>-4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4"/>
        <v>-2</v>
      </c>
      <c r="Z1012" s="20">
        <f>Tabela1[[#This Row],[PESO TOTAL]]-Tabela1[[#This Row],[Peso Expedido]]</f>
        <v>4</v>
      </c>
      <c r="AA1012" s="17"/>
      <c r="AB1012" s="33"/>
      <c r="AC1012" s="33"/>
      <c r="AD1012" s="33"/>
      <c r="AE1012" s="33"/>
      <c r="AF1012" s="33"/>
      <c r="AG1012" s="33"/>
      <c r="AH1012" s="33"/>
      <c r="AI1012" s="33"/>
      <c r="AJ1012"/>
      <c r="AK1012"/>
      <c r="AL1012"/>
      <c r="AM1012"/>
      <c r="AN1012"/>
      <c r="AO1012"/>
    </row>
    <row r="1013" spans="1:49" ht="15.75" hidden="1" customHeight="1" x14ac:dyDescent="0.25">
      <c r="A1013" s="1" t="s">
        <v>5312</v>
      </c>
      <c r="C1013" s="25">
        <v>2</v>
      </c>
      <c r="D1013" s="1" t="s">
        <v>5313</v>
      </c>
      <c r="E1013" s="25">
        <v>4688</v>
      </c>
      <c r="F1013" s="25">
        <v>4</v>
      </c>
      <c r="G1013" s="1">
        <v>28.6</v>
      </c>
      <c r="H1013" s="34">
        <f>Tabela1[[#This Row],[PESO UNI]]*Tabela1[[#This Row],[QTE]]</f>
        <v>57.2</v>
      </c>
      <c r="I1013" s="7">
        <v>1</v>
      </c>
      <c r="J1013" s="8" t="s">
        <v>5269</v>
      </c>
      <c r="K1013" s="8" t="s">
        <v>32</v>
      </c>
      <c r="L1013" s="9" t="s">
        <v>5270</v>
      </c>
      <c r="M1013" s="10">
        <v>46255</v>
      </c>
      <c r="N1013" s="8" t="s">
        <v>38</v>
      </c>
      <c r="O1013" s="12"/>
      <c r="P1013" s="13"/>
      <c r="Q1013" s="14">
        <f>Tabela1[[#This Row],[QTDE/ Fabricação]]-Tabela1[[#This Row],[QTE]]</f>
        <v>-2</v>
      </c>
      <c r="R1013" s="18">
        <f t="shared" ref="R1013:R1019" si="205">IFERROR(H1013*((AA1013*0.25)+(AC1013*0.25)+(AD1013*0.225)+(AE1013*0.225)+(AF1013*0.05)),"")</f>
        <v>0</v>
      </c>
      <c r="S1013" s="18">
        <f t="shared" ref="S1013:S1019" si="206">IFERROR(H1013*AG1013,"")</f>
        <v>0</v>
      </c>
      <c r="T1013" s="19">
        <f t="shared" ref="T1013:T1019" si="207">IFERROR(S1013-H1013,"")</f>
        <v>-57.2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ref="Y1013:Y1019" si="208">U1013-C1013</f>
        <v>-2</v>
      </c>
      <c r="Z1013" s="20">
        <f>Tabela1[[#This Row],[PESO TOTAL]]-Tabela1[[#This Row],[Peso Expedido]]</f>
        <v>57.2</v>
      </c>
      <c r="AA1013" s="17"/>
      <c r="AB1013" s="33"/>
      <c r="AC1013" s="33"/>
      <c r="AD1013" s="33"/>
      <c r="AE1013" s="33"/>
      <c r="AF1013" s="33"/>
      <c r="AG1013" s="33"/>
      <c r="AH1013" s="33"/>
      <c r="AI1013" s="33"/>
      <c r="AJ1013"/>
      <c r="AK1013"/>
      <c r="AL1013"/>
      <c r="AM1013"/>
      <c r="AN1013"/>
      <c r="AO1013"/>
    </row>
    <row r="1014" spans="1:49" ht="15.75" hidden="1" customHeight="1" x14ac:dyDescent="0.25">
      <c r="A1014" s="210" t="s">
        <v>5315</v>
      </c>
      <c r="B1014" s="21" t="s">
        <v>5316</v>
      </c>
      <c r="C1014" s="197">
        <v>1</v>
      </c>
      <c r="D1014" s="1" t="s">
        <v>5317</v>
      </c>
      <c r="E1014" s="229">
        <v>4689</v>
      </c>
      <c r="F1014" s="197">
        <v>24</v>
      </c>
      <c r="G1014" s="1">
        <v>660</v>
      </c>
      <c r="H1014" s="34">
        <f>Tabela1[[#This Row],[PESO UNI]]*Tabela1[[#This Row],[QTE]]</f>
        <v>660</v>
      </c>
      <c r="I1014" s="7">
        <v>0</v>
      </c>
      <c r="J1014" s="8" t="s">
        <v>4834</v>
      </c>
      <c r="K1014" s="8" t="s">
        <v>4320</v>
      </c>
      <c r="L1014" s="9" t="s">
        <v>3291</v>
      </c>
      <c r="M1014" s="10">
        <v>46259</v>
      </c>
      <c r="N1014" s="8" t="s">
        <v>38</v>
      </c>
      <c r="O1014" s="12"/>
      <c r="P1014" s="13"/>
      <c r="Q1014" s="14">
        <f>Tabela1[[#This Row],[QTDE/ Fabricação]]-Tabela1[[#This Row],[QTE]]</f>
        <v>-1</v>
      </c>
      <c r="R1014" s="18">
        <f t="shared" si="205"/>
        <v>0</v>
      </c>
      <c r="S1014" s="18">
        <f t="shared" si="206"/>
        <v>0</v>
      </c>
      <c r="T1014" s="19">
        <f t="shared" si="207"/>
        <v>-660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 t="shared" si="208"/>
        <v>-1</v>
      </c>
      <c r="Z1014" s="20">
        <f>Tabela1[[#This Row],[PESO TOTAL]]-Tabela1[[#This Row],[Peso Expedido]]</f>
        <v>660</v>
      </c>
      <c r="AA1014" s="17"/>
      <c r="AB1014" s="33"/>
      <c r="AC1014" s="33"/>
      <c r="AD1014" s="33"/>
      <c r="AE1014" s="33"/>
      <c r="AF1014" s="33"/>
      <c r="AG1014" s="33"/>
      <c r="AH1014" s="33"/>
      <c r="AI1014" s="33"/>
      <c r="AJ1014"/>
      <c r="AK1014"/>
      <c r="AL1014"/>
      <c r="AM1014"/>
      <c r="AN1014"/>
      <c r="AO1014"/>
      <c r="AT1014" s="37"/>
      <c r="AU1014" s="37"/>
      <c r="AV1014" s="37"/>
      <c r="AW1014" s="37"/>
    </row>
    <row r="1015" spans="1:49" ht="15.75" hidden="1" customHeight="1" x14ac:dyDescent="0.25">
      <c r="A1015" s="210" t="s">
        <v>5318</v>
      </c>
      <c r="B1015" s="21" t="s">
        <v>5319</v>
      </c>
      <c r="C1015" s="197">
        <v>1</v>
      </c>
      <c r="D1015" s="1" t="s">
        <v>5320</v>
      </c>
      <c r="E1015" s="229">
        <v>4690</v>
      </c>
      <c r="F1015" s="197">
        <v>24</v>
      </c>
      <c r="G1015" s="1">
        <v>367</v>
      </c>
      <c r="H1015" s="34">
        <f>Tabela1[[#This Row],[PESO UNI]]*Tabela1[[#This Row],[QTE]]</f>
        <v>367</v>
      </c>
      <c r="I1015" s="7">
        <v>0</v>
      </c>
      <c r="J1015" s="8" t="s">
        <v>4834</v>
      </c>
      <c r="K1015" s="8" t="s">
        <v>4320</v>
      </c>
      <c r="L1015" s="9" t="s">
        <v>3291</v>
      </c>
      <c r="M1015" s="10">
        <v>46259</v>
      </c>
      <c r="N1015" s="8" t="s">
        <v>38</v>
      </c>
      <c r="O1015" s="12"/>
      <c r="P1015" s="13"/>
      <c r="Q1015" s="14">
        <f>Tabela1[[#This Row],[QTDE/ Fabricação]]-Tabela1[[#This Row],[QTE]]</f>
        <v>-1</v>
      </c>
      <c r="R1015" s="18">
        <f t="shared" si="205"/>
        <v>0</v>
      </c>
      <c r="S1015" s="18">
        <f t="shared" si="206"/>
        <v>0</v>
      </c>
      <c r="T1015" s="19">
        <f t="shared" si="207"/>
        <v>-367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 t="shared" si="208"/>
        <v>-1</v>
      </c>
      <c r="Z1015" s="20">
        <f>Tabela1[[#This Row],[PESO TOTAL]]-Tabela1[[#This Row],[Peso Expedido]]</f>
        <v>367</v>
      </c>
      <c r="AA1015" s="17"/>
      <c r="AB1015" s="33"/>
      <c r="AC1015" s="33"/>
      <c r="AD1015" s="33"/>
      <c r="AE1015" s="33"/>
      <c r="AF1015" s="33"/>
      <c r="AG1015" s="33"/>
      <c r="AH1015" s="33"/>
      <c r="AI1015" s="33"/>
      <c r="AJ1015"/>
      <c r="AK1015"/>
      <c r="AL1015"/>
      <c r="AM1015"/>
      <c r="AN1015"/>
      <c r="AO1015"/>
      <c r="AT1015" s="37"/>
      <c r="AU1015" s="37"/>
      <c r="AV1015" s="37"/>
      <c r="AW1015" s="37"/>
    </row>
    <row r="1016" spans="1:49" ht="15.75" hidden="1" customHeight="1" x14ac:dyDescent="0.25">
      <c r="A1016" s="210" t="s">
        <v>5318</v>
      </c>
      <c r="B1016" s="21" t="s">
        <v>5319</v>
      </c>
      <c r="C1016" s="197">
        <v>1</v>
      </c>
      <c r="D1016" s="1" t="s">
        <v>5321</v>
      </c>
      <c r="E1016" s="229">
        <v>4691</v>
      </c>
      <c r="F1016" s="197">
        <v>24</v>
      </c>
      <c r="G1016" s="1">
        <v>219</v>
      </c>
      <c r="H1016" s="34">
        <f>Tabela1[[#This Row],[PESO UNI]]*Tabela1[[#This Row],[QTE]]</f>
        <v>219</v>
      </c>
      <c r="I1016" s="7">
        <v>0</v>
      </c>
      <c r="J1016" s="8" t="s">
        <v>4834</v>
      </c>
      <c r="K1016" s="8" t="s">
        <v>4320</v>
      </c>
      <c r="L1016" s="9" t="s">
        <v>3291</v>
      </c>
      <c r="M1016" s="10">
        <v>46259</v>
      </c>
      <c r="N1016" s="8" t="s">
        <v>38</v>
      </c>
      <c r="O1016" s="12"/>
      <c r="P1016" s="13"/>
      <c r="Q1016" s="14">
        <f>Tabela1[[#This Row],[QTDE/ Fabricação]]-Tabela1[[#This Row],[QTE]]</f>
        <v>-1</v>
      </c>
      <c r="R1016" s="18">
        <f t="shared" si="205"/>
        <v>0</v>
      </c>
      <c r="S1016" s="18">
        <f t="shared" si="206"/>
        <v>0</v>
      </c>
      <c r="T1016" s="19">
        <f t="shared" si="207"/>
        <v>-219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si="208"/>
        <v>-1</v>
      </c>
      <c r="Z1016" s="20">
        <f>Tabela1[[#This Row],[PESO TOTAL]]-Tabela1[[#This Row],[Peso Expedido]]</f>
        <v>219</v>
      </c>
      <c r="AA1016" s="17"/>
      <c r="AB1016" s="33"/>
      <c r="AC1016" s="33"/>
      <c r="AD1016" s="33"/>
      <c r="AE1016" s="33"/>
      <c r="AF1016" s="33"/>
      <c r="AG1016" s="33"/>
      <c r="AH1016" s="33"/>
      <c r="AI1016" s="33"/>
      <c r="AJ1016"/>
      <c r="AK1016"/>
      <c r="AL1016"/>
      <c r="AM1016"/>
      <c r="AN1016"/>
      <c r="AO1016"/>
      <c r="AQ1016" s="202"/>
      <c r="AR1016" s="37"/>
      <c r="AS1016" s="37"/>
      <c r="AT1016" s="37"/>
      <c r="AU1016" s="37"/>
      <c r="AV1016" s="37"/>
      <c r="AW1016" s="37"/>
    </row>
    <row r="1017" spans="1:49" ht="15.75" hidden="1" customHeight="1" x14ac:dyDescent="0.25">
      <c r="A1017" s="210" t="s">
        <v>5322</v>
      </c>
      <c r="B1017" s="21" t="s">
        <v>5323</v>
      </c>
      <c r="C1017" s="197">
        <v>1</v>
      </c>
      <c r="D1017" s="1" t="s">
        <v>5324</v>
      </c>
      <c r="E1017" s="229">
        <v>4692</v>
      </c>
      <c r="F1017" s="197">
        <v>24</v>
      </c>
      <c r="G1017" s="1">
        <v>482</v>
      </c>
      <c r="H1017" s="34">
        <f>Tabela1[[#This Row],[PESO UNI]]*Tabela1[[#This Row],[QTE]]</f>
        <v>482</v>
      </c>
      <c r="I1017" s="7">
        <v>0</v>
      </c>
      <c r="J1017" s="8" t="s">
        <v>4834</v>
      </c>
      <c r="K1017" s="8" t="s">
        <v>4320</v>
      </c>
      <c r="L1017" s="9" t="s">
        <v>3291</v>
      </c>
      <c r="M1017" s="10">
        <v>46259</v>
      </c>
      <c r="N1017" s="8" t="s">
        <v>38</v>
      </c>
      <c r="O1017" s="12"/>
      <c r="P1017" s="13"/>
      <c r="Q1017" s="14">
        <f>Tabela1[[#This Row],[QTDE/ Fabricação]]-Tabela1[[#This Row],[QTE]]</f>
        <v>-1</v>
      </c>
      <c r="R1017" s="18">
        <f t="shared" si="205"/>
        <v>0</v>
      </c>
      <c r="S1017" s="18">
        <f t="shared" si="206"/>
        <v>0</v>
      </c>
      <c r="T1017" s="19">
        <f t="shared" si="207"/>
        <v>-482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8"/>
        <v>-1</v>
      </c>
      <c r="Z1017" s="20">
        <f>Tabela1[[#This Row],[PESO TOTAL]]-Tabela1[[#This Row],[Peso Expedido]]</f>
        <v>482</v>
      </c>
      <c r="AA1017" s="17"/>
      <c r="AB1017" s="33"/>
      <c r="AC1017" s="33"/>
      <c r="AD1017" s="33"/>
      <c r="AE1017" s="33"/>
      <c r="AF1017" s="33"/>
      <c r="AG1017" s="33"/>
      <c r="AH1017" s="33"/>
      <c r="AI1017" s="33"/>
      <c r="AJ1017"/>
      <c r="AK1017"/>
      <c r="AL1017"/>
      <c r="AM1017"/>
      <c r="AN1017"/>
      <c r="AO1017"/>
      <c r="AQ1017" s="202"/>
      <c r="AR1017" s="37"/>
      <c r="AS1017" s="37"/>
      <c r="AT1017" s="37"/>
      <c r="AU1017" s="37"/>
      <c r="AV1017" s="37"/>
      <c r="AW1017" s="37"/>
    </row>
    <row r="1018" spans="1:49" ht="15.75" hidden="1" customHeight="1" x14ac:dyDescent="0.25">
      <c r="A1018" s="210" t="s">
        <v>5325</v>
      </c>
      <c r="B1018" s="21" t="s">
        <v>5326</v>
      </c>
      <c r="C1018" s="197">
        <v>1</v>
      </c>
      <c r="D1018" s="1" t="s">
        <v>5327</v>
      </c>
      <c r="E1018" s="229">
        <v>4693</v>
      </c>
      <c r="F1018" s="197">
        <v>23</v>
      </c>
      <c r="G1018" s="1">
        <v>425.4</v>
      </c>
      <c r="H1018" s="34">
        <f>Tabela1[[#This Row],[PESO UNI]]*Tabela1[[#This Row],[QTE]]</f>
        <v>425.4</v>
      </c>
      <c r="I1018" s="7">
        <v>0</v>
      </c>
      <c r="J1018" s="8" t="s">
        <v>4834</v>
      </c>
      <c r="K1018" s="8" t="s">
        <v>4320</v>
      </c>
      <c r="L1018" s="9" t="s">
        <v>3291</v>
      </c>
      <c r="M1018" s="10">
        <v>46259</v>
      </c>
      <c r="N1018" s="8" t="s">
        <v>38</v>
      </c>
      <c r="O1018" s="12"/>
      <c r="P1018" s="13"/>
      <c r="Q1018" s="14">
        <f>Tabela1[[#This Row],[QTDE/ Fabricação]]-Tabela1[[#This Row],[QTE]]</f>
        <v>-1</v>
      </c>
      <c r="R1018" s="18">
        <f t="shared" si="205"/>
        <v>0</v>
      </c>
      <c r="S1018" s="18">
        <f t="shared" si="206"/>
        <v>0</v>
      </c>
      <c r="T1018" s="19">
        <f t="shared" si="207"/>
        <v>-425.4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8"/>
        <v>-1</v>
      </c>
      <c r="Z1018" s="20">
        <f>Tabela1[[#This Row],[PESO TOTAL]]-Tabela1[[#This Row],[Peso Expedido]]</f>
        <v>425.4</v>
      </c>
      <c r="AA1018" s="17"/>
      <c r="AB1018" s="33"/>
      <c r="AC1018" s="33"/>
      <c r="AD1018" s="33"/>
      <c r="AE1018" s="33"/>
      <c r="AF1018" s="33"/>
      <c r="AG1018" s="33"/>
      <c r="AH1018" s="33"/>
      <c r="AI1018" s="33"/>
      <c r="AJ1018"/>
      <c r="AK1018"/>
      <c r="AL1018"/>
      <c r="AM1018"/>
      <c r="AN1018"/>
      <c r="AO1018"/>
      <c r="AQ1018" s="202"/>
      <c r="AR1018" s="37"/>
      <c r="AS1018" s="37"/>
      <c r="AT1018" s="37"/>
      <c r="AU1018" s="37"/>
      <c r="AV1018" s="37"/>
      <c r="AW1018" s="37"/>
    </row>
    <row r="1019" spans="1:49" ht="15.75" hidden="1" customHeight="1" x14ac:dyDescent="0.25">
      <c r="A1019" s="210" t="s">
        <v>5328</v>
      </c>
      <c r="B1019" s="21" t="s">
        <v>5329</v>
      </c>
      <c r="C1019" s="197">
        <v>1</v>
      </c>
      <c r="D1019" s="1" t="s">
        <v>5330</v>
      </c>
      <c r="E1019" s="229">
        <v>4694</v>
      </c>
      <c r="F1019" s="197">
        <v>23</v>
      </c>
      <c r="G1019" s="1">
        <v>586.79999999999995</v>
      </c>
      <c r="H1019" s="34">
        <f>Tabela1[[#This Row],[PESO UNI]]*Tabela1[[#This Row],[QTE]]</f>
        <v>586.79999999999995</v>
      </c>
      <c r="I1019" s="7">
        <v>0</v>
      </c>
      <c r="J1019" s="8" t="s">
        <v>4834</v>
      </c>
      <c r="K1019" s="8" t="s">
        <v>4320</v>
      </c>
      <c r="L1019" s="9" t="s">
        <v>3291</v>
      </c>
      <c r="M1019" s="10">
        <v>46259</v>
      </c>
      <c r="N1019" s="8" t="s">
        <v>38</v>
      </c>
      <c r="O1019" s="12"/>
      <c r="P1019" s="13"/>
      <c r="Q1019" s="14">
        <f>Tabela1[[#This Row],[QTDE/ Fabricação]]-Tabela1[[#This Row],[QTE]]</f>
        <v>-1</v>
      </c>
      <c r="R1019" s="18">
        <f t="shared" si="205"/>
        <v>0</v>
      </c>
      <c r="S1019" s="18">
        <f t="shared" si="206"/>
        <v>0</v>
      </c>
      <c r="T1019" s="19">
        <f t="shared" si="207"/>
        <v>-586.79999999999995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8"/>
        <v>-1</v>
      </c>
      <c r="Z1019" s="20">
        <f>Tabela1[[#This Row],[PESO TOTAL]]-Tabela1[[#This Row],[Peso Expedido]]</f>
        <v>586.79999999999995</v>
      </c>
      <c r="AA1019" s="17"/>
      <c r="AB1019" s="33"/>
      <c r="AC1019" s="33"/>
      <c r="AD1019" s="33"/>
      <c r="AE1019" s="33"/>
      <c r="AF1019" s="33"/>
      <c r="AG1019" s="33"/>
      <c r="AH1019" s="33"/>
      <c r="AI1019" s="33"/>
      <c r="AJ1019"/>
      <c r="AK1019"/>
      <c r="AL1019"/>
      <c r="AM1019"/>
      <c r="AN1019"/>
      <c r="AO1019"/>
      <c r="AQ1019" s="202"/>
      <c r="AR1019" s="37"/>
      <c r="AS1019" s="37"/>
      <c r="AT1019" s="37"/>
      <c r="AU1019" s="37"/>
      <c r="AV1019" s="37"/>
      <c r="AW1019" s="37"/>
    </row>
    <row r="1020" spans="1:49" ht="15.75" hidden="1" customHeight="1" x14ac:dyDescent="0.25">
      <c r="A1020" s="210" t="s">
        <v>5331</v>
      </c>
      <c r="B1020" s="21" t="s">
        <v>5332</v>
      </c>
      <c r="C1020" s="197">
        <v>1</v>
      </c>
      <c r="D1020" s="1" t="s">
        <v>5333</v>
      </c>
      <c r="E1020" s="194">
        <v>4695</v>
      </c>
      <c r="F1020" s="197">
        <v>25</v>
      </c>
      <c r="G1020" s="1">
        <v>319.39999999999998</v>
      </c>
      <c r="H1020" s="34">
        <f>Tabela1[[#This Row],[PESO UNI]]*Tabela1[[#This Row],[QTE]]</f>
        <v>319.39999999999998</v>
      </c>
      <c r="I1020" s="7">
        <v>0</v>
      </c>
      <c r="J1020" s="8" t="s">
        <v>4834</v>
      </c>
      <c r="K1020" s="8" t="s">
        <v>4320</v>
      </c>
      <c r="L1020" s="9" t="s">
        <v>3291</v>
      </c>
      <c r="M1020" s="10">
        <v>46259</v>
      </c>
      <c r="N1020" s="8" t="s">
        <v>38</v>
      </c>
      <c r="O1020" s="12"/>
      <c r="P1020" s="13"/>
      <c r="Q1020" s="14">
        <f>Tabela1[[#This Row],[QTDE/ Fabricação]]-Tabela1[[#This Row],[QTE]]</f>
        <v>-1</v>
      </c>
      <c r="R1020" s="18">
        <f t="shared" ref="R1020:R1021" si="209">IFERROR(H1020*((AA1020*0.25)+(AC1020*0.25)+(AD1020*0.225)+(AE1020*0.225)+(AF1020*0.05)),"")</f>
        <v>0</v>
      </c>
      <c r="S1020" s="18">
        <f t="shared" ref="S1020:S1021" si="210">IFERROR(H1020*AG1020,"")</f>
        <v>0</v>
      </c>
      <c r="T1020" s="19">
        <f t="shared" ref="T1020:T1021" si="211">IFERROR(S1020-H1020,"")</f>
        <v>-319.39999999999998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ref="Y1020:Y1021" si="212">U1020-C1020</f>
        <v>-1</v>
      </c>
      <c r="Z1020" s="20">
        <f>Tabela1[[#This Row],[PESO TOTAL]]-Tabela1[[#This Row],[Peso Expedido]]</f>
        <v>319.39999999999998</v>
      </c>
      <c r="AA1020" s="17"/>
      <c r="AB1020" s="33"/>
      <c r="AC1020" s="33"/>
      <c r="AD1020" s="33"/>
      <c r="AE1020" s="33"/>
      <c r="AF1020" s="33"/>
      <c r="AG1020" s="33"/>
      <c r="AH1020" s="33"/>
      <c r="AI1020" s="33"/>
      <c r="AJ1020"/>
      <c r="AK1020"/>
      <c r="AL1020"/>
      <c r="AM1020"/>
      <c r="AN1020"/>
      <c r="AO1020"/>
      <c r="AQ1020" s="202"/>
      <c r="AR1020" s="37"/>
      <c r="AS1020" s="37"/>
      <c r="AT1020" s="37"/>
      <c r="AU1020" s="37"/>
      <c r="AV1020" s="37"/>
      <c r="AW1020" s="37"/>
    </row>
    <row r="1021" spans="1:49" ht="15.75" hidden="1" customHeight="1" x14ac:dyDescent="0.25">
      <c r="A1021" s="210" t="s">
        <v>5331</v>
      </c>
      <c r="B1021" s="21" t="s">
        <v>5332</v>
      </c>
      <c r="C1021" s="197">
        <v>2</v>
      </c>
      <c r="D1021" s="1" t="s">
        <v>5334</v>
      </c>
      <c r="E1021" s="194">
        <v>4696</v>
      </c>
      <c r="F1021" s="197">
        <v>25</v>
      </c>
      <c r="G1021" s="1">
        <v>62.1</v>
      </c>
      <c r="H1021" s="34">
        <f>Tabela1[[#This Row],[PESO UNI]]*Tabela1[[#This Row],[QTE]]</f>
        <v>124.2</v>
      </c>
      <c r="I1021" s="7">
        <v>0</v>
      </c>
      <c r="J1021" s="8" t="s">
        <v>4834</v>
      </c>
      <c r="K1021" s="8" t="s">
        <v>4320</v>
      </c>
      <c r="L1021" s="9" t="s">
        <v>3291</v>
      </c>
      <c r="M1021" s="10">
        <v>46259</v>
      </c>
      <c r="N1021" s="8" t="s">
        <v>38</v>
      </c>
      <c r="O1021" s="12"/>
      <c r="P1021" s="13"/>
      <c r="Q1021" s="14">
        <f>Tabela1[[#This Row],[QTDE/ Fabricação]]-Tabela1[[#This Row],[QTE]]</f>
        <v>-2</v>
      </c>
      <c r="R1021" s="18">
        <f t="shared" si="209"/>
        <v>0</v>
      </c>
      <c r="S1021" s="18">
        <f t="shared" si="210"/>
        <v>0</v>
      </c>
      <c r="T1021" s="19">
        <f t="shared" si="211"/>
        <v>-124.2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12"/>
        <v>-2</v>
      </c>
      <c r="Z1021" s="20">
        <f>Tabela1[[#This Row],[PESO TOTAL]]-Tabela1[[#This Row],[Peso Expedido]]</f>
        <v>124.2</v>
      </c>
      <c r="AA1021" s="17"/>
      <c r="AB1021" s="33"/>
      <c r="AC1021" s="33"/>
      <c r="AD1021" s="33"/>
      <c r="AE1021" s="33"/>
      <c r="AF1021" s="33"/>
      <c r="AG1021" s="33"/>
      <c r="AH1021" s="33"/>
      <c r="AI1021" s="33"/>
      <c r="AJ1021"/>
      <c r="AK1021"/>
      <c r="AL1021"/>
      <c r="AM1021"/>
      <c r="AN1021"/>
      <c r="AO1021"/>
      <c r="AQ1021" s="202"/>
      <c r="AR1021" s="37"/>
      <c r="AS1021" s="37"/>
      <c r="AT1021" s="37"/>
      <c r="AU1021" s="37"/>
      <c r="AV1021" s="37"/>
      <c r="AW1021" s="37"/>
    </row>
    <row r="1022" spans="1:49" ht="15.75" hidden="1" customHeight="1" x14ac:dyDescent="0.25">
      <c r="A1022" s="210" t="s">
        <v>5331</v>
      </c>
      <c r="B1022" s="21" t="s">
        <v>5332</v>
      </c>
      <c r="C1022" s="25">
        <v>2</v>
      </c>
      <c r="D1022" s="1" t="s">
        <v>5335</v>
      </c>
      <c r="E1022" s="25">
        <v>4697</v>
      </c>
      <c r="F1022" s="25">
        <v>25</v>
      </c>
      <c r="G1022" s="1">
        <v>9.5</v>
      </c>
      <c r="H1022" s="34">
        <f>Tabela1[[#This Row],[PESO UNI]]*Tabela1[[#This Row],[QTE]]</f>
        <v>19</v>
      </c>
      <c r="I1022" s="7">
        <v>0</v>
      </c>
      <c r="J1022" s="8" t="s">
        <v>4834</v>
      </c>
      <c r="K1022" s="8" t="s">
        <v>4320</v>
      </c>
      <c r="L1022" s="9" t="s">
        <v>3291</v>
      </c>
      <c r="M1022" s="10">
        <v>46259</v>
      </c>
      <c r="N1022" s="8" t="s">
        <v>38</v>
      </c>
      <c r="O1022" s="12"/>
      <c r="P1022" s="13"/>
      <c r="Q1022" s="14">
        <f>Tabela1[[#This Row],[QTDE/ Fabricação]]-Tabela1[[#This Row],[QTE]]</f>
        <v>-2</v>
      </c>
      <c r="R1022" s="18">
        <f t="shared" ref="R1022:R1038" si="213">IFERROR(H1022*((AA1022*0.25)+(AC1022*0.25)+(AD1022*0.225)+(AE1022*0.225)+(AF1022*0.05)),"")</f>
        <v>0</v>
      </c>
      <c r="S1022" s="18">
        <f t="shared" ref="S1022:S1038" si="214">IFERROR(H1022*AG1022,"")</f>
        <v>0</v>
      </c>
      <c r="T1022" s="19">
        <f t="shared" ref="T1022:T1038" si="215">IFERROR(S1022-H1022,"")</f>
        <v>-19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ref="Y1022:Y1038" si="216">U1022-C1022</f>
        <v>-2</v>
      </c>
      <c r="Z1022" s="20">
        <f>Tabela1[[#This Row],[PESO TOTAL]]-Tabela1[[#This Row],[Peso Expedido]]</f>
        <v>19</v>
      </c>
      <c r="AA1022" s="17"/>
      <c r="AB1022" s="33"/>
      <c r="AC1022" s="33"/>
      <c r="AD1022" s="33"/>
      <c r="AE1022" s="33"/>
      <c r="AF1022" s="33"/>
      <c r="AG1022" s="33"/>
      <c r="AH1022" s="33"/>
      <c r="AI1022" s="33"/>
      <c r="AJ1022"/>
      <c r="AK1022"/>
      <c r="AL1022"/>
      <c r="AM1022"/>
      <c r="AN1022"/>
      <c r="AO1022"/>
      <c r="AQ1022" s="202"/>
      <c r="AR1022" s="37"/>
      <c r="AS1022" s="37"/>
    </row>
    <row r="1023" spans="1:49" ht="15.75" hidden="1" customHeight="1" x14ac:dyDescent="0.25">
      <c r="A1023" s="21" t="s">
        <v>5336</v>
      </c>
      <c r="B1023" s="21" t="s">
        <v>5337</v>
      </c>
      <c r="C1023" s="197">
        <v>6</v>
      </c>
      <c r="D1023" s="1" t="s">
        <v>5338</v>
      </c>
      <c r="E1023" s="194">
        <v>4698</v>
      </c>
      <c r="F1023" s="197">
        <v>26</v>
      </c>
      <c r="G1023" s="1">
        <v>49.6</v>
      </c>
      <c r="H1023" s="34">
        <f>Tabela1[[#This Row],[PESO UNI]]*Tabela1[[#This Row],[QTE]]</f>
        <v>297.60000000000002</v>
      </c>
      <c r="I1023" s="7">
        <v>0</v>
      </c>
      <c r="J1023" s="8" t="s">
        <v>4834</v>
      </c>
      <c r="K1023" s="8" t="s">
        <v>4320</v>
      </c>
      <c r="L1023" s="9" t="s">
        <v>3291</v>
      </c>
      <c r="M1023" s="10">
        <v>46259</v>
      </c>
      <c r="N1023" s="8" t="s">
        <v>38</v>
      </c>
      <c r="O1023" s="12"/>
      <c r="P1023" s="13"/>
      <c r="Q1023" s="14">
        <f>Tabela1[[#This Row],[QTDE/ Fabricação]]-Tabela1[[#This Row],[QTE]]</f>
        <v>-6</v>
      </c>
      <c r="R1023" s="18">
        <f t="shared" si="213"/>
        <v>0</v>
      </c>
      <c r="S1023" s="18">
        <f t="shared" si="214"/>
        <v>0</v>
      </c>
      <c r="T1023" s="19">
        <f t="shared" si="215"/>
        <v>-297.60000000000002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16"/>
        <v>-6</v>
      </c>
      <c r="Z1023" s="20">
        <f>Tabela1[[#This Row],[PESO TOTAL]]-Tabela1[[#This Row],[Peso Expedido]]</f>
        <v>297.60000000000002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Q1023" s="202"/>
      <c r="AR1023" s="37"/>
      <c r="AS1023" s="37"/>
      <c r="AT1023" s="37"/>
      <c r="AU1023" s="37"/>
      <c r="AV1023" s="37"/>
      <c r="AW1023" s="37"/>
    </row>
    <row r="1024" spans="1:49" ht="15.75" hidden="1" customHeight="1" x14ac:dyDescent="0.25">
      <c r="A1024" s="21" t="s">
        <v>5336</v>
      </c>
      <c r="B1024" s="21" t="s">
        <v>5337</v>
      </c>
      <c r="C1024" s="197">
        <v>6</v>
      </c>
      <c r="D1024" s="1" t="s">
        <v>5339</v>
      </c>
      <c r="E1024" s="194">
        <v>4699</v>
      </c>
      <c r="F1024" s="197">
        <v>26</v>
      </c>
      <c r="G1024" s="1">
        <v>49.6</v>
      </c>
      <c r="H1024" s="34">
        <f>Tabela1[[#This Row],[PESO UNI]]*Tabela1[[#This Row],[QTE]]</f>
        <v>297.60000000000002</v>
      </c>
      <c r="I1024" s="7">
        <v>0</v>
      </c>
      <c r="J1024" s="8" t="s">
        <v>4834</v>
      </c>
      <c r="K1024" s="8" t="s">
        <v>4320</v>
      </c>
      <c r="L1024" s="9" t="s">
        <v>3291</v>
      </c>
      <c r="M1024" s="10">
        <v>46259</v>
      </c>
      <c r="N1024" s="8" t="s">
        <v>38</v>
      </c>
      <c r="O1024" s="12"/>
      <c r="P1024" s="13"/>
      <c r="Q1024" s="14">
        <f>Tabela1[[#This Row],[QTDE/ Fabricação]]-Tabela1[[#This Row],[QTE]]</f>
        <v>-6</v>
      </c>
      <c r="R1024" s="18">
        <f t="shared" si="213"/>
        <v>0</v>
      </c>
      <c r="S1024" s="18">
        <f t="shared" si="214"/>
        <v>0</v>
      </c>
      <c r="T1024" s="19">
        <f t="shared" si="215"/>
        <v>-297.60000000000002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16"/>
        <v>-6</v>
      </c>
      <c r="Z1024" s="20">
        <f>Tabela1[[#This Row],[PESO TOTAL]]-Tabela1[[#This Row],[Peso Expedido]]</f>
        <v>297.60000000000002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Q1024" s="202"/>
      <c r="AR1024" s="37"/>
      <c r="AS1024" s="37"/>
      <c r="AT1024" s="37"/>
      <c r="AU1024" s="37"/>
      <c r="AV1024" s="37"/>
      <c r="AW1024" s="37"/>
    </row>
    <row r="1025" spans="1:49" ht="15.75" hidden="1" customHeight="1" x14ac:dyDescent="0.25">
      <c r="A1025" s="21" t="s">
        <v>5336</v>
      </c>
      <c r="B1025" s="21" t="s">
        <v>5337</v>
      </c>
      <c r="C1025" s="197">
        <v>1</v>
      </c>
      <c r="D1025" s="1" t="s">
        <v>5340</v>
      </c>
      <c r="E1025" s="194">
        <v>4700</v>
      </c>
      <c r="F1025" s="197">
        <v>26</v>
      </c>
      <c r="G1025" s="1">
        <v>13.7</v>
      </c>
      <c r="H1025" s="34">
        <f>Tabela1[[#This Row],[PESO UNI]]*Tabela1[[#This Row],[QTE]]</f>
        <v>13.7</v>
      </c>
      <c r="I1025" s="7">
        <v>0</v>
      </c>
      <c r="J1025" s="8" t="s">
        <v>4834</v>
      </c>
      <c r="K1025" s="8" t="s">
        <v>4320</v>
      </c>
      <c r="L1025" s="9" t="s">
        <v>3291</v>
      </c>
      <c r="M1025" s="10">
        <v>46259</v>
      </c>
      <c r="N1025" s="8" t="s">
        <v>38</v>
      </c>
      <c r="O1025" s="12"/>
      <c r="P1025" s="13"/>
      <c r="Q1025" s="14">
        <f>Tabela1[[#This Row],[QTDE/ Fabricação]]-Tabela1[[#This Row],[QTE]]</f>
        <v>-1</v>
      </c>
      <c r="R1025" s="18">
        <f t="shared" si="213"/>
        <v>0</v>
      </c>
      <c r="S1025" s="18">
        <f t="shared" si="214"/>
        <v>0</v>
      </c>
      <c r="T1025" s="19">
        <f t="shared" si="215"/>
        <v>-13.7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16"/>
        <v>-1</v>
      </c>
      <c r="Z1025" s="20">
        <f>Tabela1[[#This Row],[PESO TOTAL]]-Tabela1[[#This Row],[Peso Expedido]]</f>
        <v>13.7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Q1025" s="202"/>
      <c r="AR1025" s="37"/>
      <c r="AS1025" s="37"/>
      <c r="AT1025" s="37"/>
      <c r="AU1025" s="37"/>
      <c r="AV1025" s="37"/>
      <c r="AW1025" s="37"/>
    </row>
    <row r="1026" spans="1:49" ht="15.75" hidden="1" customHeight="1" x14ac:dyDescent="0.25">
      <c r="A1026" s="21" t="s">
        <v>5336</v>
      </c>
      <c r="B1026" s="21" t="s">
        <v>5337</v>
      </c>
      <c r="C1026" s="197">
        <v>12</v>
      </c>
      <c r="D1026" s="1" t="s">
        <v>5341</v>
      </c>
      <c r="E1026" s="194">
        <v>4701</v>
      </c>
      <c r="F1026" s="197">
        <v>26</v>
      </c>
      <c r="G1026" s="1">
        <v>7</v>
      </c>
      <c r="H1026" s="34">
        <f>Tabela1[[#This Row],[PESO UNI]]*Tabela1[[#This Row],[QTE]]</f>
        <v>84</v>
      </c>
      <c r="I1026" s="7">
        <v>0</v>
      </c>
      <c r="J1026" s="8" t="s">
        <v>4834</v>
      </c>
      <c r="K1026" s="8" t="s">
        <v>4320</v>
      </c>
      <c r="L1026" s="9" t="s">
        <v>3291</v>
      </c>
      <c r="M1026" s="10">
        <v>46259</v>
      </c>
      <c r="N1026" s="8" t="s">
        <v>38</v>
      </c>
      <c r="O1026" s="12"/>
      <c r="P1026" s="13"/>
      <c r="Q1026" s="14">
        <f>Tabela1[[#This Row],[QTDE/ Fabricação]]-Tabela1[[#This Row],[QTE]]</f>
        <v>-12</v>
      </c>
      <c r="R1026" s="18">
        <f t="shared" si="213"/>
        <v>0</v>
      </c>
      <c r="S1026" s="18">
        <f t="shared" si="214"/>
        <v>0</v>
      </c>
      <c r="T1026" s="19">
        <f t="shared" si="215"/>
        <v>-84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16"/>
        <v>-12</v>
      </c>
      <c r="Z1026" s="20">
        <f>Tabela1[[#This Row],[PESO TOTAL]]-Tabela1[[#This Row],[Peso Expedido]]</f>
        <v>84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Q1026" s="202"/>
      <c r="AR1026" s="37"/>
      <c r="AS1026" s="37"/>
      <c r="AT1026" s="37"/>
      <c r="AU1026" s="37"/>
      <c r="AV1026" s="37"/>
      <c r="AW1026" s="37"/>
    </row>
    <row r="1027" spans="1:49" ht="15.75" hidden="1" customHeight="1" x14ac:dyDescent="0.25">
      <c r="A1027" s="21" t="s">
        <v>5336</v>
      </c>
      <c r="B1027" s="21" t="s">
        <v>5337</v>
      </c>
      <c r="C1027" s="197">
        <v>12</v>
      </c>
      <c r="D1027" s="1" t="s">
        <v>5342</v>
      </c>
      <c r="E1027" s="194">
        <v>4702</v>
      </c>
      <c r="F1027" s="197">
        <v>26</v>
      </c>
      <c r="G1027" s="1">
        <v>7</v>
      </c>
      <c r="H1027" s="34">
        <f>Tabela1[[#This Row],[PESO UNI]]*Tabela1[[#This Row],[QTE]]</f>
        <v>84</v>
      </c>
      <c r="I1027" s="7">
        <v>0</v>
      </c>
      <c r="J1027" s="8" t="s">
        <v>4834</v>
      </c>
      <c r="K1027" s="8" t="s">
        <v>4320</v>
      </c>
      <c r="L1027" s="9" t="s">
        <v>3291</v>
      </c>
      <c r="M1027" s="10">
        <v>46259</v>
      </c>
      <c r="N1027" s="8" t="s">
        <v>38</v>
      </c>
      <c r="O1027" s="12"/>
      <c r="P1027" s="13"/>
      <c r="Q1027" s="14">
        <f>Tabela1[[#This Row],[QTDE/ Fabricação]]-Tabela1[[#This Row],[QTE]]</f>
        <v>-12</v>
      </c>
      <c r="R1027" s="18">
        <f t="shared" si="213"/>
        <v>0</v>
      </c>
      <c r="S1027" s="18">
        <f t="shared" si="214"/>
        <v>0</v>
      </c>
      <c r="T1027" s="19">
        <f t="shared" si="215"/>
        <v>-84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16"/>
        <v>-12</v>
      </c>
      <c r="Z1027" s="20">
        <f>Tabela1[[#This Row],[PESO TOTAL]]-Tabela1[[#This Row],[Peso Expedido]]</f>
        <v>84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Q1027" s="202"/>
      <c r="AR1027" s="37"/>
      <c r="AS1027" s="37"/>
      <c r="AT1027" s="37"/>
      <c r="AU1027" s="37"/>
      <c r="AV1027" s="37"/>
      <c r="AW1027" s="37"/>
    </row>
    <row r="1028" spans="1:49" ht="15.75" hidden="1" customHeight="1" x14ac:dyDescent="0.25">
      <c r="A1028" s="21" t="s">
        <v>5336</v>
      </c>
      <c r="B1028" s="21" t="s">
        <v>5337</v>
      </c>
      <c r="C1028" s="197">
        <v>12</v>
      </c>
      <c r="D1028" s="1" t="s">
        <v>5343</v>
      </c>
      <c r="E1028" s="194">
        <v>4703</v>
      </c>
      <c r="F1028" s="197">
        <v>26</v>
      </c>
      <c r="G1028" s="1">
        <v>0.6</v>
      </c>
      <c r="H1028" s="34">
        <f>Tabela1[[#This Row],[PESO UNI]]*Tabela1[[#This Row],[QTE]]</f>
        <v>7.1999999999999993</v>
      </c>
      <c r="I1028" s="7">
        <v>0</v>
      </c>
      <c r="J1028" s="8" t="s">
        <v>4834</v>
      </c>
      <c r="K1028" s="8" t="s">
        <v>4320</v>
      </c>
      <c r="L1028" s="9" t="s">
        <v>3291</v>
      </c>
      <c r="M1028" s="10">
        <v>46259</v>
      </c>
      <c r="N1028" s="8" t="s">
        <v>38</v>
      </c>
      <c r="O1028" s="12"/>
      <c r="P1028" s="13"/>
      <c r="Q1028" s="14">
        <f>Tabela1[[#This Row],[QTDE/ Fabricação]]-Tabela1[[#This Row],[QTE]]</f>
        <v>-12</v>
      </c>
      <c r="R1028" s="18">
        <f t="shared" si="213"/>
        <v>0</v>
      </c>
      <c r="S1028" s="18">
        <f t="shared" si="214"/>
        <v>0</v>
      </c>
      <c r="T1028" s="19">
        <f t="shared" si="215"/>
        <v>-7.1999999999999993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16"/>
        <v>-12</v>
      </c>
      <c r="Z1028" s="20">
        <f>Tabela1[[#This Row],[PESO TOTAL]]-Tabela1[[#This Row],[Peso Expedido]]</f>
        <v>7.1999999999999993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Q1028" s="202"/>
      <c r="AR1028" s="37"/>
      <c r="AS1028" s="37"/>
      <c r="AT1028" s="37"/>
      <c r="AU1028" s="37"/>
      <c r="AV1028" s="37"/>
      <c r="AW1028" s="37"/>
    </row>
    <row r="1029" spans="1:49" ht="15.75" hidden="1" customHeight="1" x14ac:dyDescent="0.25">
      <c r="A1029" s="21" t="s">
        <v>5336</v>
      </c>
      <c r="B1029" s="21" t="s">
        <v>5337</v>
      </c>
      <c r="C1029" s="197">
        <v>12</v>
      </c>
      <c r="D1029" s="1" t="s">
        <v>5346</v>
      </c>
      <c r="E1029" s="194">
        <v>4704</v>
      </c>
      <c r="F1029" s="197">
        <v>26</v>
      </c>
      <c r="G1029" s="1">
        <v>1.7</v>
      </c>
      <c r="H1029" s="34">
        <f>Tabela1[[#This Row],[PESO UNI]]*Tabela1[[#This Row],[QTE]]</f>
        <v>20.399999999999999</v>
      </c>
      <c r="I1029" s="7">
        <v>0</v>
      </c>
      <c r="J1029" s="8" t="s">
        <v>4834</v>
      </c>
      <c r="K1029" s="8" t="s">
        <v>4320</v>
      </c>
      <c r="L1029" s="9" t="s">
        <v>3291</v>
      </c>
      <c r="M1029" s="10">
        <v>46259</v>
      </c>
      <c r="N1029" s="8" t="s">
        <v>38</v>
      </c>
      <c r="O1029" s="12"/>
      <c r="P1029" s="13"/>
      <c r="Q1029" s="14">
        <f>Tabela1[[#This Row],[QTDE/ Fabricação]]-Tabela1[[#This Row],[QTE]]</f>
        <v>-12</v>
      </c>
      <c r="R1029" s="18">
        <f t="shared" si="213"/>
        <v>0</v>
      </c>
      <c r="S1029" s="18">
        <f t="shared" si="214"/>
        <v>0</v>
      </c>
      <c r="T1029" s="19">
        <f t="shared" si="215"/>
        <v>-20.399999999999999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16"/>
        <v>-12</v>
      </c>
      <c r="Z1029" s="20">
        <f>Tabela1[[#This Row],[PESO TOTAL]]-Tabela1[[#This Row],[Peso Expedido]]</f>
        <v>20.399999999999999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Q1029" s="202"/>
      <c r="AR1029" s="37"/>
      <c r="AS1029" s="37"/>
      <c r="AT1029" s="37"/>
      <c r="AU1029" s="37"/>
      <c r="AV1029" s="37"/>
      <c r="AW1029" s="37"/>
    </row>
    <row r="1030" spans="1:49" ht="15.75" hidden="1" customHeight="1" x14ac:dyDescent="0.25">
      <c r="A1030" s="21" t="s">
        <v>5336</v>
      </c>
      <c r="B1030" s="21" t="s">
        <v>5337</v>
      </c>
      <c r="C1030" s="197">
        <v>24</v>
      </c>
      <c r="D1030" s="1" t="s">
        <v>5345</v>
      </c>
      <c r="E1030" s="194">
        <v>4705</v>
      </c>
      <c r="F1030" s="197">
        <v>26</v>
      </c>
      <c r="G1030" s="1">
        <v>1.5</v>
      </c>
      <c r="H1030" s="34">
        <f>Tabela1[[#This Row],[PESO UNI]]*Tabela1[[#This Row],[QTE]]</f>
        <v>36</v>
      </c>
      <c r="I1030" s="7">
        <v>0</v>
      </c>
      <c r="J1030" s="8" t="s">
        <v>4834</v>
      </c>
      <c r="K1030" s="8" t="s">
        <v>4320</v>
      </c>
      <c r="L1030" s="9" t="s">
        <v>3291</v>
      </c>
      <c r="M1030" s="10">
        <v>46259</v>
      </c>
      <c r="N1030" s="8" t="s">
        <v>38</v>
      </c>
      <c r="O1030" s="12"/>
      <c r="P1030" s="13"/>
      <c r="Q1030" s="14">
        <f>Tabela1[[#This Row],[QTDE/ Fabricação]]-Tabela1[[#This Row],[QTE]]</f>
        <v>-24</v>
      </c>
      <c r="R1030" s="18">
        <f t="shared" si="213"/>
        <v>0</v>
      </c>
      <c r="S1030" s="18">
        <f t="shared" si="214"/>
        <v>0</v>
      </c>
      <c r="T1030" s="19">
        <f t="shared" si="215"/>
        <v>-36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16"/>
        <v>-24</v>
      </c>
      <c r="Z1030" s="20">
        <f>Tabela1[[#This Row],[PESO TOTAL]]-Tabela1[[#This Row],[Peso Expedido]]</f>
        <v>36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Q1030" s="202"/>
      <c r="AR1030" s="37"/>
      <c r="AS1030" s="37"/>
      <c r="AT1030" s="37"/>
      <c r="AU1030" s="37"/>
      <c r="AV1030" s="37"/>
      <c r="AW1030" s="37"/>
    </row>
    <row r="1031" spans="1:49" ht="15.75" hidden="1" customHeight="1" x14ac:dyDescent="0.25">
      <c r="A1031" s="21" t="s">
        <v>5336</v>
      </c>
      <c r="B1031" s="21" t="s">
        <v>5337</v>
      </c>
      <c r="C1031" s="197">
        <v>1</v>
      </c>
      <c r="D1031" s="1" t="s">
        <v>5344</v>
      </c>
      <c r="E1031" s="194">
        <v>4706</v>
      </c>
      <c r="F1031" s="197">
        <v>26</v>
      </c>
      <c r="G1031" s="1">
        <v>1.3</v>
      </c>
      <c r="H1031" s="34">
        <f>Tabela1[[#This Row],[PESO UNI]]*Tabela1[[#This Row],[QTE]]</f>
        <v>1.3</v>
      </c>
      <c r="I1031" s="7">
        <v>0</v>
      </c>
      <c r="J1031" s="8" t="s">
        <v>4834</v>
      </c>
      <c r="K1031" s="8" t="s">
        <v>4320</v>
      </c>
      <c r="L1031" s="9" t="s">
        <v>3291</v>
      </c>
      <c r="M1031" s="10">
        <v>46259</v>
      </c>
      <c r="N1031" s="8" t="s">
        <v>38</v>
      </c>
      <c r="O1031" s="12"/>
      <c r="P1031" s="13"/>
      <c r="Q1031" s="14">
        <f>Tabela1[[#This Row],[QTDE/ Fabricação]]-Tabela1[[#This Row],[QTE]]</f>
        <v>-1</v>
      </c>
      <c r="R1031" s="18">
        <f t="shared" si="213"/>
        <v>0</v>
      </c>
      <c r="S1031" s="18">
        <f t="shared" si="214"/>
        <v>0</v>
      </c>
      <c r="T1031" s="19">
        <f t="shared" si="215"/>
        <v>-1.3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16"/>
        <v>-1</v>
      </c>
      <c r="Z1031" s="20">
        <f>Tabela1[[#This Row],[PESO TOTAL]]-Tabela1[[#This Row],[Peso Expedido]]</f>
        <v>1.3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Q1031" s="202"/>
      <c r="AR1031" s="37"/>
      <c r="AS1031" s="37"/>
      <c r="AT1031" s="37"/>
      <c r="AU1031" s="37"/>
      <c r="AV1031" s="37"/>
      <c r="AW1031" s="37"/>
    </row>
    <row r="1032" spans="1:49" ht="15.75" hidden="1" customHeight="1" x14ac:dyDescent="0.25">
      <c r="A1032" s="21" t="s">
        <v>5349</v>
      </c>
      <c r="B1032" s="21"/>
      <c r="C1032" s="197">
        <v>2</v>
      </c>
      <c r="D1032" s="1" t="s">
        <v>5350</v>
      </c>
      <c r="E1032" s="194">
        <v>4707</v>
      </c>
      <c r="F1032" s="197">
        <v>22</v>
      </c>
      <c r="G1032" s="1">
        <v>562</v>
      </c>
      <c r="H1032" s="34">
        <f>Tabela1[[#This Row],[PESO UNI]]*Tabela1[[#This Row],[QTE]]</f>
        <v>1124</v>
      </c>
      <c r="I1032" s="7">
        <v>0</v>
      </c>
      <c r="J1032" s="8" t="s">
        <v>4834</v>
      </c>
      <c r="K1032" s="8" t="s">
        <v>4320</v>
      </c>
      <c r="L1032" s="9" t="s">
        <v>3291</v>
      </c>
      <c r="M1032" s="10">
        <v>46259</v>
      </c>
      <c r="N1032" s="8" t="s">
        <v>38</v>
      </c>
      <c r="O1032" s="12"/>
      <c r="P1032" s="13"/>
      <c r="Q1032" s="14">
        <f>Tabela1[[#This Row],[QTDE/ Fabricação]]-Tabela1[[#This Row],[QTE]]</f>
        <v>-2</v>
      </c>
      <c r="R1032" s="18">
        <f t="shared" si="213"/>
        <v>0</v>
      </c>
      <c r="S1032" s="18">
        <f t="shared" si="214"/>
        <v>0</v>
      </c>
      <c r="T1032" s="19">
        <f t="shared" si="215"/>
        <v>-1124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16"/>
        <v>-2</v>
      </c>
      <c r="Z1032" s="20">
        <f>Tabela1[[#This Row],[PESO TOTAL]]-Tabela1[[#This Row],[Peso Expedido]]</f>
        <v>1124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Q1032" s="202"/>
      <c r="AR1032" s="37"/>
      <c r="AS1032" s="37"/>
      <c r="AT1032" s="37"/>
      <c r="AU1032" s="37"/>
      <c r="AV1032" s="37"/>
      <c r="AW1032" s="37"/>
    </row>
    <row r="1033" spans="1:49" ht="15.75" hidden="1" customHeight="1" x14ac:dyDescent="0.25">
      <c r="A1033" s="21" t="s">
        <v>5347</v>
      </c>
      <c r="B1033" s="21" t="s">
        <v>5348</v>
      </c>
      <c r="C1033" s="197">
        <v>1</v>
      </c>
      <c r="D1033" s="1" t="s">
        <v>5351</v>
      </c>
      <c r="E1033" s="194">
        <v>4708</v>
      </c>
      <c r="F1033" s="197">
        <v>27</v>
      </c>
      <c r="G1033" s="1">
        <v>41</v>
      </c>
      <c r="H1033" s="34">
        <f>Tabela1[[#This Row],[PESO UNI]]*Tabela1[[#This Row],[QTE]]</f>
        <v>41</v>
      </c>
      <c r="I1033" s="7">
        <v>0</v>
      </c>
      <c r="J1033" s="8" t="s">
        <v>4834</v>
      </c>
      <c r="K1033" s="8" t="s">
        <v>4320</v>
      </c>
      <c r="L1033" s="9" t="s">
        <v>3291</v>
      </c>
      <c r="M1033" s="10">
        <v>46259</v>
      </c>
      <c r="N1033" s="8" t="s">
        <v>38</v>
      </c>
      <c r="O1033" s="12"/>
      <c r="P1033" s="13"/>
      <c r="Q1033" s="14">
        <f>Tabela1[[#This Row],[QTDE/ Fabricação]]-Tabela1[[#This Row],[QTE]]</f>
        <v>-1</v>
      </c>
      <c r="R1033" s="18">
        <f t="shared" si="213"/>
        <v>0</v>
      </c>
      <c r="S1033" s="18">
        <f t="shared" si="214"/>
        <v>0</v>
      </c>
      <c r="T1033" s="19">
        <f t="shared" si="215"/>
        <v>-41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16"/>
        <v>-1</v>
      </c>
      <c r="Z1033" s="20">
        <f>Tabela1[[#This Row],[PESO TOTAL]]-Tabela1[[#This Row],[Peso Expedido]]</f>
        <v>41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Q1033" s="202"/>
      <c r="AR1033" s="37"/>
      <c r="AS1033" s="37"/>
      <c r="AT1033" s="37"/>
      <c r="AU1033" s="37"/>
      <c r="AV1033" s="37"/>
      <c r="AW1033" s="37"/>
    </row>
    <row r="1034" spans="1:49" ht="15.75" hidden="1" customHeight="1" x14ac:dyDescent="0.25">
      <c r="A1034" s="21" t="s">
        <v>5347</v>
      </c>
      <c r="B1034" s="21" t="s">
        <v>5348</v>
      </c>
      <c r="C1034" s="197">
        <v>2</v>
      </c>
      <c r="D1034" s="1" t="s">
        <v>5352</v>
      </c>
      <c r="E1034" s="194">
        <v>4709</v>
      </c>
      <c r="F1034" s="197">
        <v>27</v>
      </c>
      <c r="G1034" s="1">
        <v>19.600000000000001</v>
      </c>
      <c r="H1034" s="34">
        <f>Tabela1[[#This Row],[PESO UNI]]*Tabela1[[#This Row],[QTE]]</f>
        <v>39.200000000000003</v>
      </c>
      <c r="I1034" s="7">
        <v>0</v>
      </c>
      <c r="J1034" s="8" t="s">
        <v>4834</v>
      </c>
      <c r="K1034" s="8" t="s">
        <v>4320</v>
      </c>
      <c r="L1034" s="9" t="s">
        <v>3291</v>
      </c>
      <c r="M1034" s="10">
        <v>46259</v>
      </c>
      <c r="N1034" s="8" t="s">
        <v>38</v>
      </c>
      <c r="O1034" s="12"/>
      <c r="P1034" s="13"/>
      <c r="Q1034" s="14">
        <f>Tabela1[[#This Row],[QTDE/ Fabricação]]-Tabela1[[#This Row],[QTE]]</f>
        <v>-2</v>
      </c>
      <c r="R1034" s="18">
        <f t="shared" si="213"/>
        <v>0</v>
      </c>
      <c r="S1034" s="18">
        <f t="shared" si="214"/>
        <v>0</v>
      </c>
      <c r="T1034" s="19">
        <f t="shared" si="215"/>
        <v>-39.200000000000003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16"/>
        <v>-2</v>
      </c>
      <c r="Z1034" s="20">
        <f>Tabela1[[#This Row],[PESO TOTAL]]-Tabela1[[#This Row],[Peso Expedido]]</f>
        <v>39.200000000000003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Q1034" s="202"/>
      <c r="AR1034" s="37"/>
      <c r="AS1034" s="37"/>
      <c r="AT1034" s="37"/>
      <c r="AU1034" s="37"/>
      <c r="AV1034" s="37"/>
      <c r="AW1034" s="37"/>
    </row>
    <row r="1035" spans="1:49" ht="15.75" hidden="1" customHeight="1" x14ac:dyDescent="0.25">
      <c r="A1035" s="21" t="s">
        <v>5347</v>
      </c>
      <c r="B1035" s="21" t="s">
        <v>5348</v>
      </c>
      <c r="C1035" s="197">
        <v>1</v>
      </c>
      <c r="D1035" s="1" t="s">
        <v>5353</v>
      </c>
      <c r="E1035" s="194">
        <v>4710</v>
      </c>
      <c r="F1035" s="197">
        <v>27</v>
      </c>
      <c r="G1035" s="1">
        <v>12.7</v>
      </c>
      <c r="H1035" s="34">
        <f>Tabela1[[#This Row],[PESO UNI]]*Tabela1[[#This Row],[QTE]]</f>
        <v>12.7</v>
      </c>
      <c r="I1035" s="7">
        <v>0</v>
      </c>
      <c r="J1035" s="8" t="s">
        <v>4834</v>
      </c>
      <c r="K1035" s="8" t="s">
        <v>4320</v>
      </c>
      <c r="L1035" s="9" t="s">
        <v>3291</v>
      </c>
      <c r="M1035" s="10">
        <v>46259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13"/>
        <v>0</v>
      </c>
      <c r="S1035" s="18">
        <f t="shared" si="214"/>
        <v>0</v>
      </c>
      <c r="T1035" s="19">
        <f t="shared" si="215"/>
        <v>-12.7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16"/>
        <v>-1</v>
      </c>
      <c r="Z1035" s="20">
        <f>Tabela1[[#This Row],[PESO TOTAL]]-Tabela1[[#This Row],[Peso Expedido]]</f>
        <v>12.7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Q1035" s="202"/>
      <c r="AR1035" s="37"/>
      <c r="AS1035" s="37"/>
      <c r="AT1035" s="37"/>
      <c r="AU1035" s="37"/>
      <c r="AV1035" s="37"/>
      <c r="AW1035" s="37"/>
    </row>
    <row r="1036" spans="1:49" ht="15.75" hidden="1" customHeight="1" x14ac:dyDescent="0.25">
      <c r="A1036" s="21" t="s">
        <v>5347</v>
      </c>
      <c r="B1036" s="21" t="s">
        <v>5348</v>
      </c>
      <c r="C1036" s="197">
        <v>4</v>
      </c>
      <c r="D1036" s="1" t="s">
        <v>5354</v>
      </c>
      <c r="E1036" s="194">
        <v>4711</v>
      </c>
      <c r="F1036" s="197">
        <v>27</v>
      </c>
      <c r="G1036" s="1">
        <v>0.8</v>
      </c>
      <c r="H1036" s="34">
        <f>Tabela1[[#This Row],[PESO UNI]]*Tabela1[[#This Row],[QTE]]</f>
        <v>3.2</v>
      </c>
      <c r="I1036" s="7">
        <v>0</v>
      </c>
      <c r="J1036" s="8" t="s">
        <v>4834</v>
      </c>
      <c r="K1036" s="8" t="s">
        <v>4320</v>
      </c>
      <c r="L1036" s="9" t="s">
        <v>3291</v>
      </c>
      <c r="M1036" s="10">
        <v>46259</v>
      </c>
      <c r="N1036" s="8" t="s">
        <v>38</v>
      </c>
      <c r="O1036" s="12"/>
      <c r="P1036" s="13"/>
      <c r="Q1036" s="14">
        <f>Tabela1[[#This Row],[QTDE/ Fabricação]]-Tabela1[[#This Row],[QTE]]</f>
        <v>-4</v>
      </c>
      <c r="R1036" s="18">
        <f t="shared" si="213"/>
        <v>0</v>
      </c>
      <c r="S1036" s="18">
        <f t="shared" si="214"/>
        <v>0</v>
      </c>
      <c r="T1036" s="19">
        <f t="shared" si="215"/>
        <v>-3.2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16"/>
        <v>-4</v>
      </c>
      <c r="Z1036" s="20">
        <f>Tabela1[[#This Row],[PESO TOTAL]]-Tabela1[[#This Row],[Peso Expedido]]</f>
        <v>3.2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Q1036" s="202"/>
      <c r="AR1036" s="37"/>
      <c r="AS1036" s="37"/>
      <c r="AT1036" s="37"/>
      <c r="AU1036" s="37"/>
      <c r="AV1036" s="37"/>
      <c r="AW1036" s="37"/>
    </row>
    <row r="1037" spans="1:49" ht="15.75" hidden="1" customHeight="1" x14ac:dyDescent="0.25">
      <c r="A1037" s="21" t="s">
        <v>5347</v>
      </c>
      <c r="B1037" s="21" t="s">
        <v>5348</v>
      </c>
      <c r="C1037" s="197">
        <v>2</v>
      </c>
      <c r="D1037" s="1" t="s">
        <v>5355</v>
      </c>
      <c r="E1037" s="194">
        <v>4712</v>
      </c>
      <c r="F1037" s="197">
        <v>27</v>
      </c>
      <c r="G1037" s="1">
        <v>0.4</v>
      </c>
      <c r="H1037" s="34">
        <f>Tabela1[[#This Row],[PESO UNI]]*Tabela1[[#This Row],[QTE]]</f>
        <v>0.8</v>
      </c>
      <c r="I1037" s="7">
        <v>0</v>
      </c>
      <c r="J1037" s="8" t="s">
        <v>4834</v>
      </c>
      <c r="K1037" s="8" t="s">
        <v>4320</v>
      </c>
      <c r="L1037" s="9" t="s">
        <v>3291</v>
      </c>
      <c r="M1037" s="10">
        <v>46259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13"/>
        <v>0</v>
      </c>
      <c r="S1037" s="18">
        <f t="shared" si="214"/>
        <v>0</v>
      </c>
      <c r="T1037" s="19">
        <f t="shared" si="215"/>
        <v>-0.8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16"/>
        <v>-2</v>
      </c>
      <c r="Z1037" s="20">
        <f>Tabela1[[#This Row],[PESO TOTAL]]-Tabela1[[#This Row],[Peso Expedido]]</f>
        <v>0.8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Q1037" s="202"/>
      <c r="AR1037" s="37"/>
      <c r="AS1037" s="37"/>
      <c r="AT1037" s="37"/>
      <c r="AU1037" s="37"/>
      <c r="AV1037" s="37"/>
      <c r="AW1037" s="37"/>
    </row>
    <row r="1038" spans="1:49" ht="15.75" hidden="1" customHeight="1" x14ac:dyDescent="0.25">
      <c r="A1038" s="21" t="s">
        <v>5347</v>
      </c>
      <c r="B1038" s="21" t="s">
        <v>5348</v>
      </c>
      <c r="C1038" s="197">
        <v>4</v>
      </c>
      <c r="D1038" s="1" t="s">
        <v>5356</v>
      </c>
      <c r="E1038" s="194">
        <v>4713</v>
      </c>
      <c r="F1038" s="197">
        <v>27</v>
      </c>
      <c r="G1038" s="1">
        <v>0.4</v>
      </c>
      <c r="H1038" s="34">
        <f>Tabela1[[#This Row],[PESO UNI]]*Tabela1[[#This Row],[QTE]]</f>
        <v>1.6</v>
      </c>
      <c r="I1038" s="7">
        <v>0</v>
      </c>
      <c r="J1038" s="8" t="s">
        <v>4834</v>
      </c>
      <c r="K1038" s="8" t="s">
        <v>4320</v>
      </c>
      <c r="L1038" s="9" t="s">
        <v>3291</v>
      </c>
      <c r="M1038" s="10">
        <v>46259</v>
      </c>
      <c r="N1038" s="8" t="s">
        <v>38</v>
      </c>
      <c r="O1038" s="12"/>
      <c r="P1038" s="13"/>
      <c r="Q1038" s="14">
        <f>Tabela1[[#This Row],[QTDE/ Fabricação]]-Tabela1[[#This Row],[QTE]]</f>
        <v>-4</v>
      </c>
      <c r="R1038" s="18">
        <f t="shared" si="213"/>
        <v>0</v>
      </c>
      <c r="S1038" s="18">
        <f t="shared" si="214"/>
        <v>0</v>
      </c>
      <c r="T1038" s="19">
        <f t="shared" si="215"/>
        <v>-1.6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16"/>
        <v>-4</v>
      </c>
      <c r="Z1038" s="20">
        <f>Tabela1[[#This Row],[PESO TOTAL]]-Tabela1[[#This Row],[Peso Expedido]]</f>
        <v>1.6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Q1038" s="202"/>
      <c r="AR1038" s="37"/>
      <c r="AS1038" s="37"/>
      <c r="AT1038" s="37"/>
      <c r="AU1038" s="37"/>
      <c r="AV1038" s="37"/>
      <c r="AW1038" s="37"/>
    </row>
    <row r="1039" spans="1:49" ht="15.75" hidden="1" customHeight="1" x14ac:dyDescent="0.25">
      <c r="A1039" s="21" t="s">
        <v>5347</v>
      </c>
      <c r="B1039" s="21" t="s">
        <v>5348</v>
      </c>
      <c r="C1039" s="197">
        <v>2</v>
      </c>
      <c r="D1039" s="1" t="s">
        <v>5357</v>
      </c>
      <c r="E1039" s="194">
        <v>4714</v>
      </c>
      <c r="F1039" s="197">
        <v>27</v>
      </c>
      <c r="G1039" s="1">
        <v>0.6</v>
      </c>
      <c r="H1039" s="34">
        <f>Tabela1[[#This Row],[PESO UNI]]*Tabela1[[#This Row],[QTE]]</f>
        <v>1.2</v>
      </c>
      <c r="I1039" s="7">
        <v>0</v>
      </c>
      <c r="J1039" s="8" t="s">
        <v>4834</v>
      </c>
      <c r="K1039" s="8" t="s">
        <v>4320</v>
      </c>
      <c r="L1039" s="9" t="s">
        <v>3291</v>
      </c>
      <c r="M1039" s="10">
        <v>46259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>IFERROR(H1039*((AA1039*0.25)+(AC1039*0.25)+(AD1039*0.225)+(AE1039*0.225)+(AF1039*0.05)),"")</f>
        <v>0</v>
      </c>
      <c r="S1039" s="18">
        <f>IFERROR(H1039*AG1039,"")</f>
        <v>0</v>
      </c>
      <c r="T1039" s="19">
        <f>IFERROR(S1039-H1039,"")</f>
        <v>-1.2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>U1039-C1039</f>
        <v>-2</v>
      </c>
      <c r="Z1039" s="20">
        <f>Tabela1[[#This Row],[PESO TOTAL]]-Tabela1[[#This Row],[Peso Expedido]]</f>
        <v>1.2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Q1039" s="202"/>
      <c r="AR1039" s="37"/>
      <c r="AS1039" s="37"/>
      <c r="AT1039" s="37"/>
      <c r="AU1039" s="37"/>
      <c r="AV1039" s="37"/>
      <c r="AW1039" s="37"/>
    </row>
    <row r="1040" spans="1:49" ht="15.75" hidden="1" customHeight="1" x14ac:dyDescent="0.25">
      <c r="A1040" s="21" t="s">
        <v>5347</v>
      </c>
      <c r="B1040" s="21" t="s">
        <v>5348</v>
      </c>
      <c r="C1040" s="197">
        <v>1</v>
      </c>
      <c r="D1040" s="1" t="s">
        <v>5358</v>
      </c>
      <c r="E1040" s="194">
        <v>4715</v>
      </c>
      <c r="F1040" s="197">
        <v>27</v>
      </c>
      <c r="G1040" s="1">
        <v>1</v>
      </c>
      <c r="H1040" s="34">
        <f>Tabela1[[#This Row],[PESO UNI]]*Tabela1[[#This Row],[QTE]]</f>
        <v>1</v>
      </c>
      <c r="I1040" s="7">
        <v>0</v>
      </c>
      <c r="J1040" s="8" t="s">
        <v>4834</v>
      </c>
      <c r="K1040" s="8" t="s">
        <v>4320</v>
      </c>
      <c r="L1040" s="9" t="s">
        <v>3291</v>
      </c>
      <c r="M1040" s="10">
        <v>46259</v>
      </c>
      <c r="N1040" s="8" t="s">
        <v>38</v>
      </c>
      <c r="O1040" s="12"/>
      <c r="P1040" s="13"/>
      <c r="Q1040" s="14">
        <f>Tabela1[[#This Row],[QTDE/ Fabricação]]-Tabela1[[#This Row],[QTE]]</f>
        <v>-1</v>
      </c>
      <c r="R1040" s="18">
        <f>IFERROR(H1040*((AA1040*0.25)+(AC1040*0.25)+(AD1040*0.225)+(AE1040*0.225)+(AF1040*0.05)),"")</f>
        <v>0</v>
      </c>
      <c r="S1040" s="18">
        <f>IFERROR(H1040*AG1040,"")</f>
        <v>0</v>
      </c>
      <c r="T1040" s="19">
        <f>IFERROR(S1040-H1040,"")</f>
        <v>-1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>U1040-C1040</f>
        <v>-1</v>
      </c>
      <c r="Z1040" s="20">
        <f>Tabela1[[#This Row],[PESO TOTAL]]-Tabela1[[#This Row],[Peso Expedido]]</f>
        <v>1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Q1040" s="202"/>
      <c r="AR1040" s="37"/>
      <c r="AS1040" s="37"/>
      <c r="AT1040" s="37"/>
      <c r="AU1040" s="37"/>
      <c r="AV1040" s="37"/>
      <c r="AW1040" s="37"/>
    </row>
    <row r="1041" spans="1:49" ht="15.75" hidden="1" customHeight="1" x14ac:dyDescent="0.25">
      <c r="A1041" s="21" t="s">
        <v>5359</v>
      </c>
      <c r="B1041" s="21" t="s">
        <v>5360</v>
      </c>
      <c r="C1041" s="197">
        <v>1</v>
      </c>
      <c r="D1041" s="1" t="s">
        <v>5361</v>
      </c>
      <c r="E1041" s="298">
        <v>4716</v>
      </c>
      <c r="F1041" s="197">
        <v>28</v>
      </c>
      <c r="G1041" s="1">
        <v>254.3</v>
      </c>
      <c r="H1041" s="34">
        <f>Tabela1[[#This Row],[PESO UNI]]*Tabela1[[#This Row],[QTE]]</f>
        <v>254.3</v>
      </c>
      <c r="I1041" s="7">
        <v>0</v>
      </c>
      <c r="J1041" s="8" t="s">
        <v>4834</v>
      </c>
      <c r="K1041" s="8" t="s">
        <v>4320</v>
      </c>
      <c r="L1041" s="9" t="s">
        <v>3291</v>
      </c>
      <c r="M1041" s="10">
        <v>46259</v>
      </c>
      <c r="N1041" s="8" t="s">
        <v>38</v>
      </c>
      <c r="O1041" s="12"/>
      <c r="P1041" s="13"/>
      <c r="Q1041" s="14">
        <f>Tabela1[[#This Row],[QTDE/ Fabricação]]-Tabela1[[#This Row],[QTE]]</f>
        <v>-1</v>
      </c>
      <c r="R1041" s="18">
        <f>IFERROR(H1041*((AA1041*0.25)+(AC1041*0.25)+(AD1041*0.225)+(AE1041*0.225)+(AF1041*0.05)),"")</f>
        <v>0</v>
      </c>
      <c r="S1041" s="18">
        <f>IFERROR(H1041*AG1041,"")</f>
        <v>0</v>
      </c>
      <c r="T1041" s="19">
        <f>IFERROR(S1041-H1041,"")</f>
        <v>-254.3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>U1041-C1041</f>
        <v>-1</v>
      </c>
      <c r="Z1041" s="20">
        <f>Tabela1[[#This Row],[PESO TOTAL]]-Tabela1[[#This Row],[Peso Expedido]]</f>
        <v>254.3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 s="299"/>
      <c r="AQ1041" s="202"/>
      <c r="AR1041" s="37"/>
      <c r="AS1041" s="37"/>
      <c r="AT1041" s="37"/>
      <c r="AU1041" s="37"/>
      <c r="AV1041" s="37"/>
      <c r="AW1041" s="37"/>
    </row>
    <row r="1042" spans="1:49" ht="15.75" hidden="1" customHeight="1" x14ac:dyDescent="0.25">
      <c r="A1042" s="21" t="s">
        <v>5359</v>
      </c>
      <c r="B1042" s="21" t="s">
        <v>5360</v>
      </c>
      <c r="C1042" s="197">
        <v>1</v>
      </c>
      <c r="D1042" s="1" t="s">
        <v>5362</v>
      </c>
      <c r="E1042" s="194">
        <v>4717</v>
      </c>
      <c r="F1042" s="197">
        <v>28</v>
      </c>
      <c r="G1042" s="1">
        <v>155.5</v>
      </c>
      <c r="H1042" s="34">
        <f>Tabela1[[#This Row],[PESO UNI]]*Tabela1[[#This Row],[QTE]]</f>
        <v>155.5</v>
      </c>
      <c r="I1042" s="7">
        <v>0</v>
      </c>
      <c r="J1042" s="8" t="s">
        <v>4834</v>
      </c>
      <c r="K1042" s="8" t="s">
        <v>4320</v>
      </c>
      <c r="L1042" s="9" t="s">
        <v>3291</v>
      </c>
      <c r="M1042" s="10">
        <v>46259</v>
      </c>
      <c r="N1042" s="8" t="s">
        <v>38</v>
      </c>
      <c r="O1042" s="12"/>
      <c r="P1042" s="13"/>
      <c r="Q1042" s="14">
        <f>Tabela1[[#This Row],[QTDE/ Fabricação]]-Tabela1[[#This Row],[QTE]]</f>
        <v>-1</v>
      </c>
      <c r="R1042" s="18">
        <f>IFERROR(H1042*((AA1042*0.25)+(AC1042*0.25)+(AD1042*0.225)+(AE1042*0.225)+(AF1042*0.05)),"")</f>
        <v>0</v>
      </c>
      <c r="S1042" s="18">
        <f>IFERROR(H1042*AG1042,"")</f>
        <v>0</v>
      </c>
      <c r="T1042" s="19">
        <f>IFERROR(S1042-H1042,"")</f>
        <v>-155.5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>U1042-C1042</f>
        <v>-1</v>
      </c>
      <c r="Z1042" s="20">
        <f>Tabela1[[#This Row],[PESO TOTAL]]-Tabela1[[#This Row],[Peso Expedido]]</f>
        <v>155.5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Q1042" s="202"/>
      <c r="AR1042" s="37"/>
      <c r="AS1042" s="37"/>
      <c r="AT1042" s="37"/>
      <c r="AU1042" s="37"/>
      <c r="AV1042" s="37"/>
      <c r="AW1042" s="37"/>
    </row>
    <row r="1043" spans="1:49" ht="15.75" hidden="1" customHeight="1" x14ac:dyDescent="0.25">
      <c r="A1043" s="21" t="s">
        <v>5363</v>
      </c>
      <c r="B1043" s="21" t="s">
        <v>5364</v>
      </c>
      <c r="C1043" s="197">
        <v>1</v>
      </c>
      <c r="D1043" s="1" t="s">
        <v>5365</v>
      </c>
      <c r="E1043" s="298">
        <v>4718</v>
      </c>
      <c r="F1043" s="197">
        <v>29</v>
      </c>
      <c r="G1043" s="1">
        <v>27.4</v>
      </c>
      <c r="H1043" s="34">
        <f>Tabela1[[#This Row],[PESO UNI]]*Tabela1[[#This Row],[QTE]]</f>
        <v>27.4</v>
      </c>
      <c r="I1043" s="7">
        <v>0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-27.4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-1</v>
      </c>
      <c r="Z1043" s="20">
        <f>Tabela1[[#This Row],[PESO TOTAL]]-Tabela1[[#This Row],[Peso Expedido]]</f>
        <v>27.4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 s="299"/>
      <c r="AQ1043" s="202"/>
      <c r="AR1043" s="37"/>
      <c r="AS1043" s="37"/>
      <c r="AT1043" s="37"/>
      <c r="AU1043" s="37"/>
      <c r="AV1043" s="37"/>
      <c r="AW1043" s="37"/>
    </row>
    <row r="1044" spans="1:49" ht="15.75" hidden="1" customHeight="1" x14ac:dyDescent="0.25">
      <c r="A1044" s="21" t="s">
        <v>5363</v>
      </c>
      <c r="B1044" s="21" t="s">
        <v>5364</v>
      </c>
      <c r="C1044" s="197">
        <v>1</v>
      </c>
      <c r="D1044" s="1" t="s">
        <v>5366</v>
      </c>
      <c r="E1044" s="194">
        <v>4719</v>
      </c>
      <c r="F1044" s="197">
        <v>29</v>
      </c>
      <c r="G1044" s="1">
        <v>13.2</v>
      </c>
      <c r="H1044" s="34">
        <f>Tabela1[[#This Row],[PESO UNI]]*Tabela1[[#This Row],[QTE]]</f>
        <v>13.2</v>
      </c>
      <c r="I1044" s="7">
        <v>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>IFERROR(H1044*((AA1044*0.25)+(AC1044*0.25)+(AD1044*0.225)+(AE1044*0.225)+(AF1044*0.05)),"")</f>
        <v>0</v>
      </c>
      <c r="S1044" s="18">
        <f>IFERROR(H1044*AG1044,"")</f>
        <v>0</v>
      </c>
      <c r="T1044" s="19">
        <f>IFERROR(S1044-H1044,"")</f>
        <v>-13.2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>U1044-C1044</f>
        <v>-1</v>
      </c>
      <c r="Z1044" s="20">
        <f>Tabela1[[#This Row],[PESO TOTAL]]-Tabela1[[#This Row],[Peso Expedido]]</f>
        <v>13.2</v>
      </c>
      <c r="AA1044" s="17"/>
      <c r="AB1044" s="33"/>
      <c r="AC1044" s="33"/>
      <c r="AD1044" s="33"/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Q1044" s="202"/>
      <c r="AR1044" s="37"/>
      <c r="AS1044" s="37"/>
      <c r="AT1044" s="37"/>
      <c r="AU1044" s="37"/>
      <c r="AV1044" s="37"/>
      <c r="AW1044" s="37"/>
    </row>
    <row r="1045" spans="1:49" ht="15.75" hidden="1" customHeight="1" x14ac:dyDescent="0.25">
      <c r="A1045" s="21" t="s">
        <v>5363</v>
      </c>
      <c r="B1045" s="21" t="s">
        <v>5364</v>
      </c>
      <c r="C1045" s="197">
        <v>1</v>
      </c>
      <c r="D1045" s="1" t="s">
        <v>5367</v>
      </c>
      <c r="E1045" s="194">
        <v>4720</v>
      </c>
      <c r="F1045" s="197">
        <v>29</v>
      </c>
      <c r="G1045" s="1">
        <v>9.6</v>
      </c>
      <c r="H1045" s="34">
        <f>Tabela1[[#This Row],[PESO UNI]]*Tabela1[[#This Row],[QTE]]</f>
        <v>9.6</v>
      </c>
      <c r="I1045" s="7">
        <v>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>IFERROR(H1045*((AA1045*0.25)+(AC1045*0.25)+(AD1045*0.225)+(AE1045*0.225)+(AF1045*0.05)),"")</f>
        <v>0</v>
      </c>
      <c r="S1045" s="18">
        <f>IFERROR(H1045*AG1045,"")</f>
        <v>0</v>
      </c>
      <c r="T1045" s="19">
        <f>IFERROR(S1045-H1045,"")</f>
        <v>-9.6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>U1045-C1045</f>
        <v>-1</v>
      </c>
      <c r="Z1045" s="20">
        <f>Tabela1[[#This Row],[PESO TOTAL]]-Tabela1[[#This Row],[Peso Expedido]]</f>
        <v>9.6</v>
      </c>
      <c r="AA1045" s="17"/>
      <c r="AB1045" s="33"/>
      <c r="AC1045" s="33"/>
      <c r="AD1045" s="33"/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2"/>
      <c r="AR1045" s="37"/>
      <c r="AS1045" s="37"/>
      <c r="AT1045" s="37"/>
      <c r="AU1045" s="37"/>
      <c r="AV1045" s="37"/>
      <c r="AW1045" s="37"/>
    </row>
    <row r="1046" spans="1:49" ht="15.75" hidden="1" customHeight="1" x14ac:dyDescent="0.25">
      <c r="A1046" s="21" t="s">
        <v>5363</v>
      </c>
      <c r="B1046" s="21" t="s">
        <v>5364</v>
      </c>
      <c r="C1046" s="197">
        <v>1</v>
      </c>
      <c r="D1046" s="1" t="s">
        <v>5368</v>
      </c>
      <c r="E1046" s="194">
        <v>4721</v>
      </c>
      <c r="F1046" s="197">
        <v>29</v>
      </c>
      <c r="G1046" s="1">
        <v>20.2</v>
      </c>
      <c r="H1046" s="34">
        <f>Tabela1[[#This Row],[PESO UNI]]*Tabela1[[#This Row],[QTE]]</f>
        <v>20.2</v>
      </c>
      <c r="I1046" s="7">
        <v>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>IFERROR(H1046*((AA1046*0.25)+(AC1046*0.25)+(AD1046*0.225)+(AE1046*0.225)+(AF1046*0.05)),"")</f>
        <v>0</v>
      </c>
      <c r="S1046" s="18">
        <f>IFERROR(H1046*AG1046,"")</f>
        <v>0</v>
      </c>
      <c r="T1046" s="19">
        <f>IFERROR(S1046-H1046,"")</f>
        <v>-20.2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>U1046-C1046</f>
        <v>-1</v>
      </c>
      <c r="Z1046" s="20">
        <f>Tabela1[[#This Row],[PESO TOTAL]]-Tabela1[[#This Row],[Peso Expedido]]</f>
        <v>20.2</v>
      </c>
      <c r="AA1046" s="17"/>
      <c r="AB1046" s="33"/>
      <c r="AC1046" s="33"/>
      <c r="AD1046" s="33"/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2"/>
      <c r="AR1046" s="37"/>
      <c r="AS1046" s="37"/>
      <c r="AT1046" s="37"/>
      <c r="AU1046" s="37"/>
      <c r="AV1046" s="37"/>
      <c r="AW1046" s="37"/>
    </row>
    <row r="1047" spans="1:49" ht="15.75" hidden="1" customHeight="1" x14ac:dyDescent="0.25">
      <c r="A1047" s="21" t="s">
        <v>5363</v>
      </c>
      <c r="B1047" s="21" t="s">
        <v>5364</v>
      </c>
      <c r="C1047" s="197">
        <v>1</v>
      </c>
      <c r="D1047" s="1" t="s">
        <v>5369</v>
      </c>
      <c r="E1047" s="194">
        <v>4722</v>
      </c>
      <c r="F1047" s="197">
        <v>29</v>
      </c>
      <c r="G1047" s="1">
        <v>11</v>
      </c>
      <c r="H1047" s="34">
        <f>Tabela1[[#This Row],[PESO UNI]]*Tabela1[[#This Row],[QTE]]</f>
        <v>11</v>
      </c>
      <c r="I1047" s="7">
        <v>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>IFERROR(H1047*((AA1047*0.25)+(AC1047*0.25)+(AD1047*0.225)+(AE1047*0.225)+(AF1047*0.05)),"")</f>
        <v>0</v>
      </c>
      <c r="S1047" s="18">
        <f>IFERROR(H1047*AG1047,"")</f>
        <v>0</v>
      </c>
      <c r="T1047" s="19">
        <f>IFERROR(S1047-H1047,"")</f>
        <v>-11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>U1047-C1047</f>
        <v>-1</v>
      </c>
      <c r="Z1047" s="20">
        <f>Tabela1[[#This Row],[PESO TOTAL]]-Tabela1[[#This Row],[Peso Expedido]]</f>
        <v>11</v>
      </c>
      <c r="AA1047" s="17"/>
      <c r="AB1047" s="33"/>
      <c r="AC1047" s="33"/>
      <c r="AD1047" s="33"/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Q1047" s="202"/>
      <c r="AR1047" s="37"/>
      <c r="AS1047" s="37"/>
      <c r="AT1047" s="37"/>
      <c r="AU1047" s="37"/>
      <c r="AV1047" s="37"/>
      <c r="AW1047" s="37"/>
    </row>
    <row r="1048" spans="1:49" ht="15.75" hidden="1" customHeight="1" x14ac:dyDescent="0.25">
      <c r="A1048" s="21" t="s">
        <v>5363</v>
      </c>
      <c r="B1048" s="21" t="s">
        <v>5364</v>
      </c>
      <c r="C1048" s="197">
        <v>1</v>
      </c>
      <c r="D1048" s="1" t="s">
        <v>5370</v>
      </c>
      <c r="E1048" s="194">
        <v>4723</v>
      </c>
      <c r="F1048" s="197">
        <v>29</v>
      </c>
      <c r="G1048" s="1">
        <v>36.200000000000003</v>
      </c>
      <c r="H1048" s="34">
        <f>Tabela1[[#This Row],[PESO UNI]]*Tabela1[[#This Row],[QTE]]</f>
        <v>36.200000000000003</v>
      </c>
      <c r="I1048" s="7">
        <v>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>IFERROR(H1048*((AA1048*0.25)+(AC1048*0.25)+(AD1048*0.225)+(AE1048*0.225)+(AF1048*0.05)),"")</f>
        <v>0</v>
      </c>
      <c r="S1048" s="18">
        <f>IFERROR(H1048*AG1048,"")</f>
        <v>0</v>
      </c>
      <c r="T1048" s="19">
        <f>IFERROR(S1048-H1048,"")</f>
        <v>-36.200000000000003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>U1048-C1048</f>
        <v>-1</v>
      </c>
      <c r="Z1048" s="20">
        <f>Tabela1[[#This Row],[PESO TOTAL]]-Tabela1[[#This Row],[Peso Expedido]]</f>
        <v>36.200000000000003</v>
      </c>
      <c r="AA1048" s="17"/>
      <c r="AB1048" s="33"/>
      <c r="AC1048" s="33"/>
      <c r="AD1048" s="33"/>
      <c r="AE1048" s="33"/>
      <c r="AF1048" s="33"/>
      <c r="AG1048" s="33"/>
      <c r="AH1048" s="33"/>
      <c r="AI1048" s="33"/>
      <c r="AJ1048"/>
      <c r="AK1048"/>
      <c r="AL1048"/>
      <c r="AM1048"/>
      <c r="AN1048"/>
      <c r="AO1048"/>
      <c r="AQ1048" s="202"/>
      <c r="AR1048" s="37"/>
      <c r="AS1048" s="37"/>
      <c r="AT1048" s="37"/>
      <c r="AU1048" s="37"/>
      <c r="AV1048" s="37"/>
      <c r="AW1048" s="37"/>
    </row>
    <row r="1049" spans="1:49" ht="15.75" hidden="1" customHeight="1" x14ac:dyDescent="0.25">
      <c r="A1049" s="21" t="s">
        <v>5363</v>
      </c>
      <c r="B1049" s="21" t="s">
        <v>5364</v>
      </c>
      <c r="C1049" s="197">
        <v>32</v>
      </c>
      <c r="D1049" s="1" t="s">
        <v>5371</v>
      </c>
      <c r="E1049" s="194">
        <v>4724</v>
      </c>
      <c r="F1049" s="197">
        <v>29</v>
      </c>
      <c r="G1049" s="1">
        <v>0.4</v>
      </c>
      <c r="H1049" s="34">
        <f>Tabela1[[#This Row],[PESO UNI]]*Tabela1[[#This Row],[QTE]]</f>
        <v>12.8</v>
      </c>
      <c r="I1049" s="7">
        <v>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-32</v>
      </c>
      <c r="R1049" s="18">
        <f>IFERROR(H1049*((AA1049*0.25)+(AC1049*0.25)+(AD1049*0.225)+(AE1049*0.225)+(AF1049*0.05)),"")</f>
        <v>0</v>
      </c>
      <c r="S1049" s="18">
        <f>IFERROR(H1049*AG1049,"")</f>
        <v>0</v>
      </c>
      <c r="T1049" s="19">
        <f>IFERROR(S1049-H1049,"")</f>
        <v>-12.8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>U1049-C1049</f>
        <v>-32</v>
      </c>
      <c r="Z1049" s="20">
        <f>Tabela1[[#This Row],[PESO TOTAL]]-Tabela1[[#This Row],[Peso Expedido]]</f>
        <v>12.8</v>
      </c>
      <c r="AA1049" s="17"/>
      <c r="AB1049" s="33"/>
      <c r="AC1049" s="33"/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2"/>
      <c r="AR1049" s="37"/>
      <c r="AS1049" s="37"/>
      <c r="AT1049" s="37"/>
      <c r="AU1049" s="37"/>
      <c r="AV1049" s="37"/>
      <c r="AW1049" s="37"/>
    </row>
    <row r="1050" spans="1:49" s="21" customFormat="1" ht="15.75" hidden="1" customHeight="1" x14ac:dyDescent="0.25">
      <c r="A1050" s="21" t="s">
        <v>5372</v>
      </c>
      <c r="B1050" s="21" t="s">
        <v>5373</v>
      </c>
      <c r="C1050" s="21">
        <v>1</v>
      </c>
      <c r="D1050" s="1" t="s">
        <v>5374</v>
      </c>
      <c r="E1050" s="21">
        <v>4725</v>
      </c>
      <c r="F1050" s="21">
        <v>30</v>
      </c>
      <c r="G1050" s="1">
        <v>91</v>
      </c>
      <c r="H1050" s="34">
        <f>Tabela1[[#This Row],[PESO UNI]]*Tabela1[[#This Row],[QTE]]</f>
        <v>91</v>
      </c>
      <c r="I1050" s="7">
        <v>0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>IFERROR(H1050*((AA1050*0.25)+(AC1050*0.25)+(AD1050*0.225)+(AE1050*0.225)+(AF1050*0.05)),"")</f>
        <v>0</v>
      </c>
      <c r="S1050" s="18">
        <f>IFERROR(H1050*AG1050,"")</f>
        <v>0</v>
      </c>
      <c r="T1050" s="19">
        <f>IFERROR(S1050-H1050,"")</f>
        <v>-91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>U1050-C1050</f>
        <v>-1</v>
      </c>
      <c r="Z1050" s="20">
        <f>Tabela1[[#This Row],[PESO TOTAL]]-Tabela1[[#This Row],[Peso Expedido]]</f>
        <v>91</v>
      </c>
      <c r="AA1050" s="17"/>
      <c r="AB1050" s="33"/>
      <c r="AC1050" s="33"/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P1050" s="28"/>
      <c r="AQ1050" s="202"/>
    </row>
    <row r="1051" spans="1:49" s="21" customFormat="1" ht="15.75" hidden="1" customHeight="1" x14ac:dyDescent="0.25">
      <c r="A1051" s="21" t="s">
        <v>5372</v>
      </c>
      <c r="B1051" s="21" t="s">
        <v>5373</v>
      </c>
      <c r="C1051" s="21">
        <v>2</v>
      </c>
      <c r="D1051" s="1" t="s">
        <v>5375</v>
      </c>
      <c r="E1051" s="21">
        <v>4726</v>
      </c>
      <c r="F1051" s="21">
        <v>30</v>
      </c>
      <c r="G1051" s="1">
        <v>26.9</v>
      </c>
      <c r="H1051" s="34">
        <f>Tabela1[[#This Row],[PESO UNI]]*Tabela1[[#This Row],[QTE]]</f>
        <v>53.8</v>
      </c>
      <c r="I1051" s="7">
        <v>0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>IFERROR(H1051*((AA1051*0.25)+(AC1051*0.25)+(AD1051*0.225)+(AE1051*0.225)+(AF1051*0.05)),"")</f>
        <v>0</v>
      </c>
      <c r="S1051" s="18">
        <f>IFERROR(H1051*AG1051,"")</f>
        <v>0</v>
      </c>
      <c r="T1051" s="19">
        <f>IFERROR(S1051-H1051,"")</f>
        <v>-53.8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>U1051-C1051</f>
        <v>-2</v>
      </c>
      <c r="Z1051" s="20">
        <f>Tabela1[[#This Row],[PESO TOTAL]]-Tabela1[[#This Row],[Peso Expedido]]</f>
        <v>53.8</v>
      </c>
      <c r="AA1051" s="17"/>
      <c r="AB1051" s="33"/>
      <c r="AC1051" s="33"/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P1051" s="28"/>
      <c r="AQ1051" s="202"/>
    </row>
    <row r="1052" spans="1:49" s="21" customFormat="1" ht="15.75" hidden="1" customHeight="1" x14ac:dyDescent="0.25">
      <c r="A1052" s="21" t="s">
        <v>5372</v>
      </c>
      <c r="B1052" s="21" t="s">
        <v>5373</v>
      </c>
      <c r="C1052" s="21">
        <v>4</v>
      </c>
      <c r="D1052" s="1" t="s">
        <v>5376</v>
      </c>
      <c r="E1052" s="21">
        <v>4727</v>
      </c>
      <c r="F1052" s="21">
        <v>30</v>
      </c>
      <c r="G1052" s="1">
        <v>10.8</v>
      </c>
      <c r="H1052" s="34">
        <f>Tabela1[[#This Row],[PESO UNI]]*Tabela1[[#This Row],[QTE]]</f>
        <v>43.2</v>
      </c>
      <c r="I1052" s="7">
        <v>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-4</v>
      </c>
      <c r="R1052" s="18">
        <f>IFERROR(H1052*((AA1052*0.25)+(AC1052*0.25)+(AD1052*0.225)+(AE1052*0.225)+(AF1052*0.05)),"")</f>
        <v>0</v>
      </c>
      <c r="S1052" s="18">
        <f>IFERROR(H1052*AG1052,"")</f>
        <v>0</v>
      </c>
      <c r="T1052" s="19">
        <f>IFERROR(S1052-H1052,"")</f>
        <v>-43.2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>U1052-C1052</f>
        <v>-4</v>
      </c>
      <c r="Z1052" s="20">
        <f>Tabela1[[#This Row],[PESO TOTAL]]-Tabela1[[#This Row],[Peso Expedido]]</f>
        <v>43.2</v>
      </c>
      <c r="AA1052" s="17"/>
      <c r="AB1052" s="33"/>
      <c r="AC1052" s="33"/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P1052" s="28"/>
      <c r="AQ1052" s="202"/>
    </row>
    <row r="1053" spans="1:49" s="297" customFormat="1" ht="15.75" hidden="1" customHeight="1" x14ac:dyDescent="0.25">
      <c r="A1053" s="21" t="s">
        <v>5377</v>
      </c>
      <c r="B1053" s="21" t="s">
        <v>5378</v>
      </c>
      <c r="C1053" s="194">
        <v>1</v>
      </c>
      <c r="D1053" s="1" t="s">
        <v>5379</v>
      </c>
      <c r="E1053" s="298">
        <v>4728</v>
      </c>
      <c r="F1053" s="194">
        <v>31</v>
      </c>
      <c r="G1053" s="1">
        <v>224.7</v>
      </c>
      <c r="H1053" s="34">
        <f>Tabela1[[#This Row],[PESO UNI]]*Tabela1[[#This Row],[QTE]]</f>
        <v>224.7</v>
      </c>
      <c r="I1053" s="7">
        <v>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-1</v>
      </c>
      <c r="R1053" s="18">
        <f>IFERROR(H1053*((AA1053*0.25)+(AC1053*0.25)+(AD1053*0.225)+(AE1053*0.225)+(AF1053*0.05)),"")</f>
        <v>0</v>
      </c>
      <c r="S1053" s="18">
        <f>IFERROR(H1053*AG1053,"")</f>
        <v>0</v>
      </c>
      <c r="T1053" s="19">
        <f>IFERROR(S1053-H1053,"")</f>
        <v>-224.7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>U1053-C1053</f>
        <v>-1</v>
      </c>
      <c r="Z1053" s="20">
        <f>Tabela1[[#This Row],[PESO TOTAL]]-Tabela1[[#This Row],[Peso Expedido]]</f>
        <v>224.7</v>
      </c>
      <c r="AA1053" s="17"/>
      <c r="AB1053" s="33"/>
      <c r="AC1053" s="33"/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 s="299"/>
      <c r="AQ1053" s="202"/>
      <c r="AR1053" s="21"/>
      <c r="AS1053" s="21"/>
      <c r="AT1053" s="300"/>
      <c r="AU1053" s="300"/>
      <c r="AV1053" s="300"/>
      <c r="AW1053" s="300"/>
    </row>
    <row r="1054" spans="1:49" s="36" customFormat="1" ht="15.75" hidden="1" customHeight="1" x14ac:dyDescent="0.25">
      <c r="A1054" s="21" t="s">
        <v>5377</v>
      </c>
      <c r="B1054" s="21" t="s">
        <v>5378</v>
      </c>
      <c r="C1054" s="194">
        <v>1</v>
      </c>
      <c r="D1054" s="1" t="s">
        <v>5380</v>
      </c>
      <c r="E1054" s="194">
        <v>4729</v>
      </c>
      <c r="F1054" s="194">
        <v>31</v>
      </c>
      <c r="G1054" s="1">
        <v>36.200000000000003</v>
      </c>
      <c r="H1054" s="34">
        <f>Tabela1[[#This Row],[PESO UNI]]*Tabela1[[#This Row],[QTE]]</f>
        <v>36.200000000000003</v>
      </c>
      <c r="I1054" s="7">
        <v>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-1</v>
      </c>
      <c r="R1054" s="18">
        <f>IFERROR(H1054*((AA1054*0.25)+(AC1054*0.25)+(AD1054*0.225)+(AE1054*0.225)+(AF1054*0.05)),"")</f>
        <v>0</v>
      </c>
      <c r="S1054" s="18">
        <f>IFERROR(H1054*AG1054,"")</f>
        <v>0</v>
      </c>
      <c r="T1054" s="19">
        <f>IFERROR(S1054-H1054,"")</f>
        <v>-36.200000000000003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>U1054-C1054</f>
        <v>-1</v>
      </c>
      <c r="Z1054" s="20">
        <f>Tabela1[[#This Row],[PESO TOTAL]]-Tabela1[[#This Row],[Peso Expedido]]</f>
        <v>36.200000000000003</v>
      </c>
      <c r="AA1054" s="17"/>
      <c r="AB1054" s="33"/>
      <c r="AC1054" s="33"/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 s="28"/>
      <c r="AQ1054" s="202"/>
      <c r="AR1054" s="21"/>
      <c r="AS1054" s="21"/>
      <c r="AT1054" s="300"/>
      <c r="AU1054" s="300"/>
      <c r="AV1054" s="300"/>
      <c r="AW1054" s="300"/>
    </row>
    <row r="1055" spans="1:49" s="36" customFormat="1" ht="15.75" hidden="1" customHeight="1" x14ac:dyDescent="0.25">
      <c r="A1055" s="21" t="s">
        <v>5381</v>
      </c>
      <c r="B1055" s="21" t="s">
        <v>5382</v>
      </c>
      <c r="C1055" s="194">
        <v>1</v>
      </c>
      <c r="D1055" s="1" t="s">
        <v>5383</v>
      </c>
      <c r="E1055" s="298">
        <v>4730</v>
      </c>
      <c r="F1055" s="194">
        <v>31</v>
      </c>
      <c r="G1055" s="1">
        <v>211.6</v>
      </c>
      <c r="H1055" s="34">
        <f>Tabela1[[#This Row],[PESO UNI]]*Tabela1[[#This Row],[QTE]]</f>
        <v>211.6</v>
      </c>
      <c r="I1055" s="7">
        <v>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>IFERROR(H1055*((AA1055*0.25)+(AC1055*0.25)+(AD1055*0.225)+(AE1055*0.225)+(AF1055*0.05)),"")</f>
        <v>0</v>
      </c>
      <c r="S1055" s="18">
        <f>IFERROR(H1055*AG1055,"")</f>
        <v>0</v>
      </c>
      <c r="T1055" s="19">
        <f>IFERROR(S1055-H1055,"")</f>
        <v>-211.6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>U1055-C1055</f>
        <v>-1</v>
      </c>
      <c r="Z1055" s="20">
        <f>Tabela1[[#This Row],[PESO TOTAL]]-Tabela1[[#This Row],[Peso Expedido]]</f>
        <v>211.6</v>
      </c>
      <c r="AA1055" s="17"/>
      <c r="AB1055" s="33"/>
      <c r="AC1055" s="33"/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 s="299"/>
      <c r="AQ1055" s="202"/>
      <c r="AR1055" s="21"/>
      <c r="AS1055" s="21"/>
      <c r="AT1055" s="300"/>
      <c r="AU1055" s="300"/>
      <c r="AV1055" s="300"/>
      <c r="AW1055" s="300"/>
    </row>
    <row r="1056" spans="1:49" s="36" customFormat="1" ht="15.75" hidden="1" customHeight="1" x14ac:dyDescent="0.25">
      <c r="A1056" s="21" t="s">
        <v>5381</v>
      </c>
      <c r="B1056" s="21" t="s">
        <v>5382</v>
      </c>
      <c r="C1056" s="194">
        <v>1</v>
      </c>
      <c r="D1056" s="1" t="s">
        <v>5384</v>
      </c>
      <c r="E1056" s="194">
        <v>4731</v>
      </c>
      <c r="F1056" s="194">
        <v>31</v>
      </c>
      <c r="G1056" s="1">
        <v>79.900000000000006</v>
      </c>
      <c r="H1056" s="34">
        <f>Tabela1[[#This Row],[PESO UNI]]*Tabela1[[#This Row],[QTE]]</f>
        <v>79.900000000000006</v>
      </c>
      <c r="I1056" s="7">
        <v>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</v>
      </c>
      <c r="R1056" s="18">
        <f>IFERROR(H1056*((AA1056*0.25)+(AC1056*0.25)+(AD1056*0.225)+(AE1056*0.225)+(AF1056*0.05)),"")</f>
        <v>0</v>
      </c>
      <c r="S1056" s="18">
        <f>IFERROR(H1056*AG1056,"")</f>
        <v>0</v>
      </c>
      <c r="T1056" s="19">
        <f>IFERROR(S1056-H1056,"")</f>
        <v>-79.900000000000006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>U1056-C1056</f>
        <v>-1</v>
      </c>
      <c r="Z1056" s="20">
        <f>Tabela1[[#This Row],[PESO TOTAL]]-Tabela1[[#This Row],[Peso Expedido]]</f>
        <v>79.900000000000006</v>
      </c>
      <c r="AA1056" s="17"/>
      <c r="AB1056" s="33"/>
      <c r="AC1056" s="33"/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 s="28"/>
      <c r="AQ1056" s="202"/>
      <c r="AR1056" s="21"/>
      <c r="AS1056" s="21"/>
      <c r="AT1056" s="300"/>
      <c r="AU1056" s="300"/>
      <c r="AV1056" s="300"/>
      <c r="AW1056" s="300"/>
    </row>
    <row r="1057" spans="1:49" s="36" customFormat="1" ht="15.75" hidden="1" customHeight="1" x14ac:dyDescent="0.25">
      <c r="A1057" s="21" t="s">
        <v>5381</v>
      </c>
      <c r="B1057" s="21" t="s">
        <v>5382</v>
      </c>
      <c r="C1057" s="194">
        <v>1</v>
      </c>
      <c r="D1057" s="1" t="s">
        <v>5385</v>
      </c>
      <c r="E1057" s="194">
        <v>4732</v>
      </c>
      <c r="F1057" s="194">
        <v>31</v>
      </c>
      <c r="G1057" s="1">
        <v>240.9</v>
      </c>
      <c r="H1057" s="34">
        <f>Tabela1[[#This Row],[PESO UNI]]*Tabela1[[#This Row],[QTE]]</f>
        <v>240.9</v>
      </c>
      <c r="I1057" s="7">
        <v>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</v>
      </c>
      <c r="R1057" s="18">
        <f>IFERROR(H1057*((AA1057*0.25)+(AC1057*0.25)+(AD1057*0.225)+(AE1057*0.225)+(AF1057*0.05)),"")</f>
        <v>0</v>
      </c>
      <c r="S1057" s="18">
        <f>IFERROR(H1057*AG1057,"")</f>
        <v>0</v>
      </c>
      <c r="T1057" s="19">
        <f>IFERROR(S1057-H1057,"")</f>
        <v>-240.9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>U1057-C1057</f>
        <v>-1</v>
      </c>
      <c r="Z1057" s="20">
        <f>Tabela1[[#This Row],[PESO TOTAL]]-Tabela1[[#This Row],[Peso Expedido]]</f>
        <v>240.9</v>
      </c>
      <c r="AA1057" s="17"/>
      <c r="AB1057" s="33"/>
      <c r="AC1057" s="33"/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 s="28"/>
      <c r="AQ1057" s="202"/>
      <c r="AR1057" s="21"/>
      <c r="AS1057" s="21"/>
      <c r="AT1057" s="300"/>
      <c r="AU1057" s="300"/>
      <c r="AV1057" s="300"/>
      <c r="AW1057" s="300"/>
    </row>
    <row r="1058" spans="1:49" s="36" customFormat="1" ht="15.75" hidden="1" customHeight="1" x14ac:dyDescent="0.25">
      <c r="A1058" s="21" t="s">
        <v>5381</v>
      </c>
      <c r="B1058" s="21" t="s">
        <v>5382</v>
      </c>
      <c r="C1058" s="194">
        <v>1</v>
      </c>
      <c r="D1058" s="1" t="s">
        <v>5386</v>
      </c>
      <c r="E1058" s="194">
        <v>4733</v>
      </c>
      <c r="F1058" s="194">
        <v>31</v>
      </c>
      <c r="G1058" s="1">
        <v>90.5</v>
      </c>
      <c r="H1058" s="34">
        <f>Tabela1[[#This Row],[PESO UNI]]*Tabela1[[#This Row],[QTE]]</f>
        <v>90.5</v>
      </c>
      <c r="I1058" s="7">
        <v>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</v>
      </c>
      <c r="R1058" s="18">
        <f>IFERROR(H1058*((AA1058*0.25)+(AC1058*0.25)+(AD1058*0.225)+(AE1058*0.225)+(AF1058*0.05)),"")</f>
        <v>0</v>
      </c>
      <c r="S1058" s="18">
        <f>IFERROR(H1058*AG1058,"")</f>
        <v>0</v>
      </c>
      <c r="T1058" s="19">
        <f>IFERROR(S1058-H1058,"")</f>
        <v>-90.5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>U1058-C1058</f>
        <v>-1</v>
      </c>
      <c r="Z1058" s="20">
        <f>Tabela1[[#This Row],[PESO TOTAL]]-Tabela1[[#This Row],[Peso Expedido]]</f>
        <v>90.5</v>
      </c>
      <c r="AA1058" s="17"/>
      <c r="AB1058" s="33"/>
      <c r="AC1058" s="33"/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P1058" s="28"/>
      <c r="AQ1058" s="202"/>
      <c r="AR1058" s="21"/>
      <c r="AS1058" s="21"/>
      <c r="AT1058" s="300"/>
      <c r="AU1058" s="300"/>
      <c r="AV1058" s="300"/>
      <c r="AW1058" s="300"/>
    </row>
    <row r="1059" spans="1:49" s="36" customFormat="1" ht="15.75" hidden="1" customHeight="1" x14ac:dyDescent="0.25">
      <c r="A1059" s="21" t="s">
        <v>5387</v>
      </c>
      <c r="B1059" s="21" t="s">
        <v>5388</v>
      </c>
      <c r="C1059" s="194">
        <v>4</v>
      </c>
      <c r="D1059" s="1" t="s">
        <v>5389</v>
      </c>
      <c r="E1059" s="298">
        <v>4734</v>
      </c>
      <c r="F1059" s="194">
        <v>31</v>
      </c>
      <c r="G1059" s="1">
        <v>102.4</v>
      </c>
      <c r="H1059" s="34">
        <f>Tabela1[[#This Row],[PESO UNI]]*Tabela1[[#This Row],[QTE]]</f>
        <v>409.6</v>
      </c>
      <c r="I1059" s="7">
        <v>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-4</v>
      </c>
      <c r="R1059" s="18">
        <f>IFERROR(H1059*((AA1059*0.25)+(AC1059*0.25)+(AD1059*0.225)+(AE1059*0.225)+(AF1059*0.05)),"")</f>
        <v>0</v>
      </c>
      <c r="S1059" s="18">
        <f>IFERROR(H1059*AG1059,"")</f>
        <v>0</v>
      </c>
      <c r="T1059" s="19">
        <f>IFERROR(S1059-H1059,"")</f>
        <v>-409.6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>U1059-C1059</f>
        <v>-4</v>
      </c>
      <c r="Z1059" s="20">
        <f>Tabela1[[#This Row],[PESO TOTAL]]-Tabela1[[#This Row],[Peso Expedido]]</f>
        <v>409.6</v>
      </c>
      <c r="AA1059" s="17"/>
      <c r="AB1059" s="33"/>
      <c r="AC1059" s="33"/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P1059" s="299"/>
      <c r="AQ1059" s="202"/>
      <c r="AR1059" s="300"/>
      <c r="AS1059" s="300"/>
      <c r="AT1059" s="300"/>
      <c r="AU1059" s="300"/>
      <c r="AV1059" s="300"/>
      <c r="AW1059" s="300"/>
    </row>
    <row r="1060" spans="1:49" s="36" customFormat="1" ht="15.75" hidden="1" customHeight="1" x14ac:dyDescent="0.25">
      <c r="A1060" s="21" t="s">
        <v>5387</v>
      </c>
      <c r="B1060" s="21" t="s">
        <v>5388</v>
      </c>
      <c r="C1060" s="194">
        <v>2</v>
      </c>
      <c r="D1060" s="1" t="s">
        <v>5390</v>
      </c>
      <c r="E1060" s="194">
        <v>4735</v>
      </c>
      <c r="F1060" s="194">
        <v>31</v>
      </c>
      <c r="G1060" s="1">
        <v>92.4</v>
      </c>
      <c r="H1060" s="34">
        <f>Tabela1[[#This Row],[PESO UNI]]*Tabela1[[#This Row],[QTE]]</f>
        <v>184.8</v>
      </c>
      <c r="I1060" s="7">
        <v>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</v>
      </c>
      <c r="R1060" s="18">
        <f>IFERROR(H1060*((AA1060*0.25)+(AC1060*0.25)+(AD1060*0.225)+(AE1060*0.225)+(AF1060*0.05)),"")</f>
        <v>0</v>
      </c>
      <c r="S1060" s="18">
        <f>IFERROR(H1060*AG1060,"")</f>
        <v>0</v>
      </c>
      <c r="T1060" s="19">
        <f>IFERROR(S1060-H1060,"")</f>
        <v>-184.8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>U1060-C1060</f>
        <v>-2</v>
      </c>
      <c r="Z1060" s="20">
        <f>Tabela1[[#This Row],[PESO TOTAL]]-Tabela1[[#This Row],[Peso Expedido]]</f>
        <v>184.8</v>
      </c>
      <c r="AA1060" s="17"/>
      <c r="AB1060" s="33"/>
      <c r="AC1060" s="33"/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 s="28"/>
      <c r="AQ1060" s="202"/>
      <c r="AR1060" s="300"/>
      <c r="AS1060" s="300"/>
      <c r="AT1060" s="300"/>
      <c r="AU1060" s="300"/>
      <c r="AV1060" s="300"/>
      <c r="AW1060" s="300"/>
    </row>
    <row r="1061" spans="1:49" s="36" customFormat="1" ht="15.75" hidden="1" customHeight="1" x14ac:dyDescent="0.25">
      <c r="A1061" s="21" t="s">
        <v>5387</v>
      </c>
      <c r="B1061" s="21" t="s">
        <v>5388</v>
      </c>
      <c r="C1061" s="194">
        <v>2</v>
      </c>
      <c r="D1061" s="1" t="s">
        <v>5391</v>
      </c>
      <c r="E1061" s="194">
        <v>4736</v>
      </c>
      <c r="F1061" s="194">
        <v>31</v>
      </c>
      <c r="G1061" s="1">
        <v>49.4</v>
      </c>
      <c r="H1061" s="34">
        <f>Tabela1[[#This Row],[PESO UNI]]*Tabela1[[#This Row],[QTE]]</f>
        <v>98.8</v>
      </c>
      <c r="I1061" s="7">
        <v>0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-2</v>
      </c>
      <c r="R1061" s="18">
        <f>IFERROR(H1061*((AA1061*0.25)+(AC1061*0.25)+(AD1061*0.225)+(AE1061*0.225)+(AF1061*0.05)),"")</f>
        <v>0</v>
      </c>
      <c r="S1061" s="18">
        <f>IFERROR(H1061*AG1061,"")</f>
        <v>0</v>
      </c>
      <c r="T1061" s="19">
        <f>IFERROR(S1061-H1061,"")</f>
        <v>-98.8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>U1061-C1061</f>
        <v>-2</v>
      </c>
      <c r="Z1061" s="20">
        <f>Tabela1[[#This Row],[PESO TOTAL]]-Tabela1[[#This Row],[Peso Expedido]]</f>
        <v>98.8</v>
      </c>
      <c r="AA1061" s="17"/>
      <c r="AB1061" s="33"/>
      <c r="AC1061" s="33"/>
      <c r="AD1061" s="33"/>
      <c r="AE1061" s="33"/>
      <c r="AF1061" s="33"/>
      <c r="AG1061" s="33"/>
      <c r="AH1061" s="33"/>
      <c r="AI1061" s="33"/>
      <c r="AJ1061"/>
      <c r="AK1061"/>
      <c r="AL1061"/>
      <c r="AM1061"/>
      <c r="AN1061"/>
      <c r="AO1061"/>
      <c r="AP1061" s="28"/>
      <c r="AQ1061" s="202"/>
      <c r="AR1061" s="300"/>
      <c r="AS1061" s="300"/>
      <c r="AT1061" s="300"/>
      <c r="AU1061" s="300"/>
      <c r="AV1061" s="300"/>
      <c r="AW1061" s="300"/>
    </row>
    <row r="1062" spans="1:49" s="36" customFormat="1" ht="15.75" hidden="1" customHeight="1" x14ac:dyDescent="0.25">
      <c r="A1062" s="21" t="s">
        <v>5387</v>
      </c>
      <c r="B1062" s="21" t="s">
        <v>5388</v>
      </c>
      <c r="C1062" s="194">
        <v>1</v>
      </c>
      <c r="D1062" s="1" t="s">
        <v>5392</v>
      </c>
      <c r="E1062" s="194">
        <v>4737</v>
      </c>
      <c r="F1062" s="194">
        <v>31</v>
      </c>
      <c r="G1062" s="1">
        <v>57.6</v>
      </c>
      <c r="H1062" s="34">
        <f>Tabela1[[#This Row],[PESO UNI]]*Tabela1[[#This Row],[QTE]]</f>
        <v>57.6</v>
      </c>
      <c r="I1062" s="7">
        <v>0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-1</v>
      </c>
      <c r="R1062" s="18">
        <f>IFERROR(H1062*((AA1062*0.25)+(AC1062*0.25)+(AD1062*0.225)+(AE1062*0.225)+(AF1062*0.05)),"")</f>
        <v>0</v>
      </c>
      <c r="S1062" s="18">
        <f>IFERROR(H1062*AG1062,"")</f>
        <v>0</v>
      </c>
      <c r="T1062" s="19">
        <f>IFERROR(S1062-H1062,"")</f>
        <v>-57.6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>U1062-C1062</f>
        <v>-1</v>
      </c>
      <c r="Z1062" s="20">
        <f>Tabela1[[#This Row],[PESO TOTAL]]-Tabela1[[#This Row],[Peso Expedido]]</f>
        <v>57.6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P1062" s="28"/>
      <c r="AQ1062" s="202"/>
      <c r="AR1062" s="300"/>
      <c r="AS1062" s="300"/>
      <c r="AT1062" s="300"/>
      <c r="AU1062" s="300"/>
      <c r="AV1062" s="300"/>
      <c r="AW1062" s="300"/>
    </row>
    <row r="1063" spans="1:49" s="36" customFormat="1" ht="15.75" hidden="1" customHeight="1" x14ac:dyDescent="0.25">
      <c r="A1063" s="21" t="s">
        <v>5387</v>
      </c>
      <c r="B1063" s="21" t="s">
        <v>5388</v>
      </c>
      <c r="C1063" s="194">
        <v>1</v>
      </c>
      <c r="D1063" s="1" t="s">
        <v>5393</v>
      </c>
      <c r="E1063" s="194">
        <v>4738</v>
      </c>
      <c r="F1063" s="194">
        <v>31</v>
      </c>
      <c r="G1063" s="1">
        <v>57.6</v>
      </c>
      <c r="H1063" s="34">
        <f>Tabela1[[#This Row],[PESO UNI]]*Tabela1[[#This Row],[QTE]]</f>
        <v>57.6</v>
      </c>
      <c r="I1063" s="7">
        <v>0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>IFERROR(H1063*((AA1063*0.25)+(AC1063*0.25)+(AD1063*0.225)+(AE1063*0.225)+(AF1063*0.05)),"")</f>
        <v>0</v>
      </c>
      <c r="S1063" s="18">
        <f>IFERROR(H1063*AG1063,"")</f>
        <v>0</v>
      </c>
      <c r="T1063" s="19">
        <f>IFERROR(S1063-H1063,"")</f>
        <v>-57.6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>U1063-C1063</f>
        <v>-1</v>
      </c>
      <c r="Z1063" s="20">
        <f>Tabela1[[#This Row],[PESO TOTAL]]-Tabela1[[#This Row],[Peso Expedido]]</f>
        <v>57.6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 s="28"/>
      <c r="AQ1063" s="202"/>
      <c r="AR1063" s="300"/>
      <c r="AS1063" s="300"/>
      <c r="AT1063" s="300"/>
      <c r="AU1063" s="300"/>
      <c r="AV1063" s="300"/>
      <c r="AW1063" s="300"/>
    </row>
    <row r="1064" spans="1:49" s="36" customFormat="1" ht="15.75" hidden="1" customHeight="1" x14ac:dyDescent="0.25">
      <c r="A1064" s="21" t="s">
        <v>5387</v>
      </c>
      <c r="B1064" s="21" t="s">
        <v>5388</v>
      </c>
      <c r="C1064" s="194">
        <v>1</v>
      </c>
      <c r="D1064" s="1" t="s">
        <v>5394</v>
      </c>
      <c r="E1064" s="194">
        <v>4739</v>
      </c>
      <c r="F1064" s="194">
        <v>31</v>
      </c>
      <c r="G1064" s="1">
        <v>79.5</v>
      </c>
      <c r="H1064" s="34">
        <f>Tabela1[[#This Row],[PESO UNI]]*Tabela1[[#This Row],[QTE]]</f>
        <v>79.5</v>
      </c>
      <c r="I1064" s="7">
        <v>0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-1</v>
      </c>
      <c r="R1064" s="18">
        <f>IFERROR(H1064*((AA1064*0.25)+(AC1064*0.25)+(AD1064*0.225)+(AE1064*0.225)+(AF1064*0.05)),"")</f>
        <v>0</v>
      </c>
      <c r="S1064" s="18">
        <f>IFERROR(H1064*AG1064,"")</f>
        <v>0</v>
      </c>
      <c r="T1064" s="19">
        <f>IFERROR(S1064-H1064,"")</f>
        <v>-79.5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>U1064-C1064</f>
        <v>-1</v>
      </c>
      <c r="Z1064" s="20">
        <f>Tabela1[[#This Row],[PESO TOTAL]]-Tabela1[[#This Row],[Peso Expedido]]</f>
        <v>79.5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 s="28"/>
      <c r="AQ1064" s="202"/>
      <c r="AR1064" s="300"/>
      <c r="AS1064" s="300"/>
      <c r="AT1064" s="300"/>
      <c r="AU1064" s="300"/>
      <c r="AV1064" s="300"/>
      <c r="AW1064" s="300"/>
    </row>
    <row r="1065" spans="1:49" s="36" customFormat="1" ht="15.75" hidden="1" customHeight="1" x14ac:dyDescent="0.25">
      <c r="A1065" s="21" t="s">
        <v>5387</v>
      </c>
      <c r="B1065" s="21" t="s">
        <v>5388</v>
      </c>
      <c r="C1065" s="194">
        <v>2</v>
      </c>
      <c r="D1065" s="1" t="s">
        <v>5395</v>
      </c>
      <c r="E1065" s="194">
        <v>4740</v>
      </c>
      <c r="F1065" s="194">
        <v>31</v>
      </c>
      <c r="G1065" s="1">
        <v>68.400000000000006</v>
      </c>
      <c r="H1065" s="34">
        <f>Tabela1[[#This Row],[PESO UNI]]*Tabela1[[#This Row],[QTE]]</f>
        <v>136.80000000000001</v>
      </c>
      <c r="I1065" s="7">
        <v>0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-2</v>
      </c>
      <c r="R1065" s="18">
        <f>IFERROR(H1065*((AA1065*0.25)+(AC1065*0.25)+(AD1065*0.225)+(AE1065*0.225)+(AF1065*0.05)),"")</f>
        <v>0</v>
      </c>
      <c r="S1065" s="18">
        <f>IFERROR(H1065*AG1065,"")</f>
        <v>0</v>
      </c>
      <c r="T1065" s="19">
        <f>IFERROR(S1065-H1065,"")</f>
        <v>-136.80000000000001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>U1065-C1065</f>
        <v>-2</v>
      </c>
      <c r="Z1065" s="20">
        <f>Tabela1[[#This Row],[PESO TOTAL]]-Tabela1[[#This Row],[Peso Expedido]]</f>
        <v>136.80000000000001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 s="28"/>
      <c r="AQ1065" s="202"/>
      <c r="AR1065" s="300"/>
      <c r="AS1065" s="300"/>
      <c r="AT1065" s="300"/>
      <c r="AU1065" s="300"/>
      <c r="AV1065" s="300"/>
      <c r="AW1065" s="300"/>
    </row>
    <row r="1066" spans="1:49" s="36" customFormat="1" ht="15.75" hidden="1" customHeight="1" x14ac:dyDescent="0.25">
      <c r="A1066" s="21" t="s">
        <v>5387</v>
      </c>
      <c r="B1066" s="21" t="s">
        <v>5388</v>
      </c>
      <c r="C1066" s="194">
        <v>2</v>
      </c>
      <c r="D1066" s="1" t="s">
        <v>5396</v>
      </c>
      <c r="E1066" s="194">
        <v>4741</v>
      </c>
      <c r="F1066" s="194">
        <v>31</v>
      </c>
      <c r="G1066" s="1">
        <v>52.7</v>
      </c>
      <c r="H1066" s="34">
        <f>Tabela1[[#This Row],[PESO UNI]]*Tabela1[[#This Row],[QTE]]</f>
        <v>105.4</v>
      </c>
      <c r="I1066" s="7">
        <v>0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-2</v>
      </c>
      <c r="R1066" s="18">
        <f>IFERROR(H1066*((AA1066*0.25)+(AC1066*0.25)+(AD1066*0.225)+(AE1066*0.225)+(AF1066*0.05)),"")</f>
        <v>0</v>
      </c>
      <c r="S1066" s="18">
        <f>IFERROR(H1066*AG1066,"")</f>
        <v>0</v>
      </c>
      <c r="T1066" s="19">
        <f>IFERROR(S1066-H1066,"")</f>
        <v>-105.4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>U1066-C1066</f>
        <v>-2</v>
      </c>
      <c r="Z1066" s="20">
        <f>Tabela1[[#This Row],[PESO TOTAL]]-Tabela1[[#This Row],[Peso Expedido]]</f>
        <v>105.4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 s="28"/>
      <c r="AQ1066" s="202"/>
      <c r="AR1066" s="300"/>
      <c r="AS1066" s="300"/>
      <c r="AT1066" s="300"/>
      <c r="AU1066" s="300"/>
      <c r="AV1066" s="300"/>
      <c r="AW1066" s="300"/>
    </row>
    <row r="1067" spans="1:49" ht="15.75" hidden="1" customHeight="1" x14ac:dyDescent="0.25">
      <c r="A1067" s="21" t="s">
        <v>137</v>
      </c>
      <c r="C1067" s="25">
        <v>30</v>
      </c>
      <c r="D1067" s="1" t="s">
        <v>5398</v>
      </c>
      <c r="E1067" s="25">
        <v>4742</v>
      </c>
      <c r="F1067" s="25">
        <v>1</v>
      </c>
      <c r="G1067" s="1">
        <v>4.0999999999999996</v>
      </c>
      <c r="H1067" s="34">
        <f>Tabela1[[#This Row],[PESO UNI]]*Tabela1[[#This Row],[QTE]]</f>
        <v>122.99999999999999</v>
      </c>
      <c r="I1067" s="7">
        <v>0</v>
      </c>
      <c r="J1067" s="8" t="s">
        <v>5399</v>
      </c>
      <c r="K1067" s="8" t="s">
        <v>23</v>
      </c>
      <c r="L1067" s="9" t="s">
        <v>5400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-30</v>
      </c>
      <c r="R1067" s="18">
        <f>IFERROR(H1067*((AA1067*0.25)+(AC1067*0.25)+(AD1067*0.225)+(AE1067*0.225)+(AF1067*0.05)),"")</f>
        <v>0</v>
      </c>
      <c r="S1067" s="18">
        <f>IFERROR(H1067*AG1067,"")</f>
        <v>0</v>
      </c>
      <c r="T1067" s="19">
        <f>IFERROR(S1067-H1067,"")</f>
        <v>-122.99999999999999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>U1067-C1067</f>
        <v>-30</v>
      </c>
      <c r="Z1067" s="20">
        <f>Tabela1[[#This Row],[PESO TOTAL]]-Tabela1[[#This Row],[Peso Expedido]]</f>
        <v>122.99999999999999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Q1067" s="202"/>
      <c r="AR1067" s="300"/>
      <c r="AS1067" s="300"/>
    </row>
  </sheetData>
  <phoneticPr fontId="6" type="noConversion"/>
  <conditionalFormatting sqref="E2:E458 AI29:AI459 AA452:AD453 AA454:AB458 AD454:AD458 E556:E604 L605 E606:E1010 AA762:AJ762 AC762:AE763 J605:J1067 AA486:AH604 AA798:AH804 AA817:AH817 AA29:AH120 AE121:AH122 AB818:AI819 AB822:AI833 AB837:AI838 AB840:AI841 AB856:AI856 AA883:AI889 AB872:AI882 AB890:AI993 AA123:AH140 AD141:AH142 AA143:AH147 AD148:AH149 AA150:AH449 AA763:AI797 AA805:AI816 AA820:AI821 AA834:AI836 AA839:AI839 AA842:AI855 AA857:AI871 AA994:AI1067">
    <cfRule type="expression" dxfId="830" priority="1276">
      <formula>$AI2="OK"</formula>
    </cfRule>
  </conditionalFormatting>
  <conditionalFormatting sqref="B606:B1022 A1029:B1042 F564:F1049 B1053:C1054 A1048:A1054 E1050:F1066 AR1050:XFD1066 K764:O1049 H606:I1049 A1055:C1066 M1020:M1067">
    <cfRule type="expression" dxfId="829" priority="1160">
      <formula>#REF!="OK"</formula>
    </cfRule>
  </conditionalFormatting>
  <conditionalFormatting sqref="H419">
    <cfRule type="expression" dxfId="828" priority="28069">
      <formula>$AI449="OK"</formula>
    </cfRule>
  </conditionalFormatting>
  <conditionalFormatting sqref="H420:H438">
    <cfRule type="expression" dxfId="827" priority="28059">
      <formula>$AI459="OK"</formula>
    </cfRule>
  </conditionalFormatting>
  <conditionalFormatting sqref="H576">
    <cfRule type="expression" dxfId="826" priority="28036">
      <formula>$AI604="OK"</formula>
    </cfRule>
  </conditionalFormatting>
  <conditionalFormatting sqref="K153:K438 K445:K458 L448:L449 L762:O763">
    <cfRule type="expression" dxfId="825" priority="1285">
      <formula>#REF!="OK"</formula>
    </cfRule>
  </conditionalFormatting>
  <conditionalFormatting sqref="K762:K763">
    <cfRule type="expression" dxfId="824" priority="1168">
      <formula>$AI1087="OK"</formula>
    </cfRule>
  </conditionalFormatting>
  <conditionalFormatting sqref="L2:L27 H415:H417">
    <cfRule type="expression" dxfId="823" priority="27812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822" priority="1282">
      <formula>$AI72="OK"</formula>
    </cfRule>
  </conditionalFormatting>
  <conditionalFormatting sqref="L408">
    <cfRule type="expression" dxfId="821" priority="28061">
      <formula>$AI449="OK"</formula>
    </cfRule>
  </conditionalFormatting>
  <conditionalFormatting sqref="L409:L438">
    <cfRule type="expression" dxfId="820" priority="27914">
      <formula>$AI459="OK"</formula>
    </cfRule>
  </conditionalFormatting>
  <conditionalFormatting sqref="N2:N458">
    <cfRule type="expression" dxfId="819" priority="1166">
      <formula>#REF!="OK"</formula>
    </cfRule>
  </conditionalFormatting>
  <conditionalFormatting sqref="O450:O458 T2:T1067 Y2:Z1067 Q459:Q1067">
    <cfRule type="cellIs" dxfId="818" priority="1232" operator="greaterThanOrEqual">
      <formula>0</formula>
    </cfRule>
  </conditionalFormatting>
  <conditionalFormatting sqref="O450:P452 H449 R449 A450:D452 F450:F452 M450:M452 H450:J458 P457:P458">
    <cfRule type="expression" dxfId="817" priority="27870">
      <formula>$AI503="OK"</formula>
    </cfRule>
  </conditionalFormatting>
  <conditionalFormatting sqref="O453:P453">
    <cfRule type="expression" dxfId="816" priority="1242">
      <formula>#REF!="OK"</formula>
    </cfRule>
  </conditionalFormatting>
  <conditionalFormatting sqref="O2:Z27 A2:D27 F2:F27 H2:K27 M2:M27 H153:H413 H459:H571">
    <cfRule type="expression" dxfId="815" priority="27845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814" priority="27543">
      <formula>$AI73="OK"</formula>
    </cfRule>
  </conditionalFormatting>
  <conditionalFormatting sqref="O108:Z108 A108:D108 F108 H108:K108 M108 L109">
    <cfRule type="expression" dxfId="813" priority="28178">
      <formula>#REF!="OK"</formula>
    </cfRule>
  </conditionalFormatting>
  <conditionalFormatting sqref="O402:Z402 O406:Z406 A402:D402 F402 I402:J402 M402 L403 A406:D406 F406 I406:J406 M406 L407 H414 H418">
    <cfRule type="expression" dxfId="812" priority="28062">
      <formula>#REF!="OK"</formula>
    </cfRule>
  </conditionalFormatting>
  <conditionalFormatting sqref="O403:Z405 L110:L152 L214:L256 L396:L402 A403:D405 F403:F405 I403:J405 M403:M405">
    <cfRule type="expression" dxfId="811" priority="27749">
      <formula>$AI153="OK"</formula>
    </cfRule>
  </conditionalFormatting>
  <conditionalFormatting sqref="O407:Z407 L404:L406 A407:D407 F407 I407:J407 M407">
    <cfRule type="expression" dxfId="810" priority="28071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809" priority="27884">
      <formula>$AI499="OK"</formula>
    </cfRule>
  </conditionalFormatting>
  <conditionalFormatting sqref="O559:Z562 Z560:Z563 B559:B562 F559:F562 I559:I562 M559:M562 H572:H575">
    <cfRule type="expression" dxfId="808" priority="27999">
      <formula>#REF!="OK"</formula>
    </cfRule>
  </conditionalFormatting>
  <conditionalFormatting sqref="O563:Z563 B563 F563 I563 M563">
    <cfRule type="expression" dxfId="807" priority="27913">
      <formula>$AI604="OK"</formula>
    </cfRule>
  </conditionalFormatting>
  <conditionalFormatting sqref="P762:Z834">
    <cfRule type="expression" dxfId="806" priority="28198">
      <formula>$AI1097="OK"</formula>
    </cfRule>
  </conditionalFormatting>
  <conditionalFormatting sqref="P835:Z1007">
    <cfRule type="expression" dxfId="805" priority="28267">
      <formula>$AI1168="OK"</formula>
    </cfRule>
  </conditionalFormatting>
  <conditionalFormatting sqref="P837:Z1007">
    <cfRule type="expression" dxfId="804" priority="28265">
      <formula>$AI1169="OK"</formula>
    </cfRule>
  </conditionalFormatting>
  <conditionalFormatting sqref="Q2:Q456">
    <cfRule type="cellIs" dxfId="803" priority="27512" operator="greaterThanOrEqual">
      <formula>0</formula>
    </cfRule>
  </conditionalFormatting>
  <conditionalFormatting sqref="Q2:Q456 Q459:Q1067">
    <cfRule type="cellIs" dxfId="802" priority="27511" operator="lessThan">
      <formula>0</formula>
    </cfRule>
  </conditionalFormatting>
  <conditionalFormatting sqref="O450:O458">
    <cfRule type="cellIs" dxfId="801" priority="1231" operator="lessThan">
      <formula>0</formula>
    </cfRule>
  </conditionalFormatting>
  <conditionalFormatting sqref="S211">
    <cfRule type="expression" dxfId="800" priority="1283">
      <formula>#REF!="OK"</formula>
    </cfRule>
  </conditionalFormatting>
  <conditionalFormatting sqref="S393">
    <cfRule type="expression" dxfId="799" priority="1284">
      <formula>#REF!="OK"</formula>
    </cfRule>
  </conditionalFormatting>
  <conditionalFormatting sqref="S447:Z447 O447:Q447 A447:D447 F447 J447 M447 A453:D453 F453 M453 L454:L458">
    <cfRule type="expression" dxfId="798" priority="27869">
      <formula>#REF!="OK"</formula>
    </cfRule>
  </conditionalFormatting>
  <conditionalFormatting sqref="T2:T1067 Y2:Z1067">
    <cfRule type="cellIs" dxfId="797" priority="27513" operator="lessThan">
      <formula>0</formula>
    </cfRule>
  </conditionalFormatting>
  <conditionalFormatting sqref="T212:Z212 O212:R212 A212:D212 F212 I212:J212 M212">
    <cfRule type="expression" dxfId="796" priority="27723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795" priority="27611">
      <formula>$AI257="OK"</formula>
    </cfRule>
  </conditionalFormatting>
  <conditionalFormatting sqref="T394:Z394 O394:R394 A394:D394 F394 I394:J394 M394 L395">
    <cfRule type="expression" dxfId="794" priority="27774">
      <formula>#REF!="OK"</formula>
    </cfRule>
  </conditionalFormatting>
  <conditionalFormatting sqref="T408:Z438 O408:R438 S408:S437 A408:D438 F408:F438 I408:J438 M408:M438 L439:L445">
    <cfRule type="expression" dxfId="793" priority="28155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792" priority="28064">
      <formula>$AI490="OK"</formula>
    </cfRule>
  </conditionalFormatting>
  <conditionalFormatting sqref="T605:Z605 Q605:R605 H605">
    <cfRule type="expression" dxfId="791" priority="28051">
      <formula>$AI669="OK"</formula>
    </cfRule>
  </conditionalFormatting>
  <conditionalFormatting sqref="V450:Y451 R450:T458 V452:Z458">
    <cfRule type="expression" dxfId="790" priority="27969">
      <formula>$AI487="OK"</formula>
    </cfRule>
  </conditionalFormatting>
  <conditionalFormatting sqref="Z450:Z451 O564:Z622 K623:Z761 K556:K622 B564:B603 I564:I603 M564:M603 H577:H603 A604:D605 H604:J605 L604:N622">
    <cfRule type="expression" dxfId="789" priority="28038">
      <formula>#REF!="OK"</formula>
    </cfRule>
  </conditionalFormatting>
  <conditionalFormatting sqref="Z450:Z451">
    <cfRule type="expression" dxfId="788" priority="1215">
      <formula>$AI494="OK"</formula>
    </cfRule>
  </conditionalFormatting>
  <conditionalFormatting sqref="Z564">
    <cfRule type="expression" dxfId="787" priority="28029">
      <formula>$AI604="OK"</formula>
    </cfRule>
  </conditionalFormatting>
  <conditionalFormatting sqref="Z605">
    <cfRule type="expression" dxfId="786" priority="28054">
      <formula>$AI668="OK"</formula>
    </cfRule>
  </conditionalFormatting>
  <conditionalFormatting sqref="AA624:AH761 AA610:AH611 AD606:AH609 AD612:AH622">
    <cfRule type="cellIs" dxfId="785" priority="1199" operator="greaterThanOrEqual">
      <formula>1</formula>
    </cfRule>
    <cfRule type="expression" dxfId="784" priority="1200">
      <formula>$AI606="OK"</formula>
    </cfRule>
  </conditionalFormatting>
  <conditionalFormatting sqref="AA2:AI28 AA450:AE451 AE452:AG452 AF453:AG458 AA459:AH459 A459:G555 I459:N555 AA460:AI603 J556:J603 L556:L603">
    <cfRule type="expression" dxfId="783" priority="27509">
      <formula>$AI2="OK"</formula>
    </cfRule>
  </conditionalFormatting>
  <conditionalFormatting sqref="AA2:AI28 AI29:AI459 AJ153:AW153 AE452:AG452 AA452:AD453 AE453 AF453:AG458 AA454:AB458 AD454:AG458 AA459:AH459 AI606:AI761 AA798:AH804 AJ798:AJ804 AA817:AH817 AJ817 AB818:AJ819 AB822:AJ833 AB837:AJ838 AB840:AJ841 AB856:AJ856 AA883:AJ889 AB872:AJ882 AB890:AJ993 AA29:AH451 AA762:AJ797 AA805:AJ816 AA820:AJ821 AA834:AJ836 AA839:AJ839 AA842:AJ855 AA857:AJ871 AA994:AJ1049">
    <cfRule type="cellIs" dxfId="782" priority="27510" operator="greaterThanOrEqual">
      <formula>1</formula>
    </cfRule>
  </conditionalFormatting>
  <conditionalFormatting sqref="AA460:AI605 AI623 AI798:AI804 AI817">
    <cfRule type="cellIs" dxfId="781" priority="1209" operator="greaterThanOrEqual">
      <formula>1</formula>
    </cfRule>
  </conditionalFormatting>
  <conditionalFormatting sqref="AA605:AI605">
    <cfRule type="expression" dxfId="780" priority="1210">
      <formula>$AI605="OK"</formula>
    </cfRule>
  </conditionalFormatting>
  <conditionalFormatting sqref="AC454:AC458">
    <cfRule type="expression" dxfId="779" priority="1149">
      <formula>$AI454="OK"</formula>
    </cfRule>
    <cfRule type="cellIs" dxfId="778" priority="1150" operator="greaterThanOrEqual">
      <formula>1</formula>
    </cfRule>
  </conditionalFormatting>
  <conditionalFormatting sqref="AE453:AE458">
    <cfRule type="expression" dxfId="777" priority="1148">
      <formula>$AI453="OK"</formula>
    </cfRule>
  </conditionalFormatting>
  <conditionalFormatting sqref="AF454:AF458">
    <cfRule type="expression" dxfId="776" priority="1147">
      <formula>$AI454="OK"</formula>
    </cfRule>
  </conditionalFormatting>
  <conditionalFormatting sqref="AF450:AH451">
    <cfRule type="expression" dxfId="775" priority="1098">
      <formula>$AI450="OK"</formula>
    </cfRule>
  </conditionalFormatting>
  <conditionalFormatting sqref="AG454:AG458">
    <cfRule type="expression" dxfId="774" priority="1146">
      <formula>$AI454="OK"</formula>
    </cfRule>
  </conditionalFormatting>
  <conditionalFormatting sqref="N556:N603 AI486:AI761 AI798:AI804 AI817">
    <cfRule type="expression" dxfId="773" priority="1216">
      <formula>$AI486="OK"</formula>
    </cfRule>
  </conditionalFormatting>
  <conditionalFormatting sqref="AJ153:AW153">
    <cfRule type="expression" dxfId="772" priority="1287">
      <formula>$AI153="OK"</formula>
    </cfRule>
  </conditionalFormatting>
  <conditionalFormatting sqref="P1008:Z1015 P1019:Z1026 P1029:Z1035 P1038:Z1043 P1050:Z1061">
    <cfRule type="expression" dxfId="771" priority="28272">
      <formula>$AI1340="OK"</formula>
    </cfRule>
    <cfRule type="expression" dxfId="770" priority="28273">
      <formula>$AI1341="OK"</formula>
    </cfRule>
  </conditionalFormatting>
  <conditionalFormatting sqref="P1016:Z1016">
    <cfRule type="expression" dxfId="769" priority="826">
      <formula>$AI1348="OK"</formula>
    </cfRule>
    <cfRule type="expression" dxfId="768" priority="827">
      <formula>$AI1349="OK"</formula>
    </cfRule>
  </conditionalFormatting>
  <conditionalFormatting sqref="P1017:Z1017">
    <cfRule type="expression" dxfId="767" priority="824">
      <formula>$AI1349="OK"</formula>
    </cfRule>
    <cfRule type="expression" dxfId="766" priority="825">
      <formula>$AI1350="OK"</formula>
    </cfRule>
  </conditionalFormatting>
  <conditionalFormatting sqref="P1018:Z1018">
    <cfRule type="expression" dxfId="765" priority="822">
      <formula>$AI1350="OK"</formula>
    </cfRule>
    <cfRule type="expression" dxfId="764" priority="823">
      <formula>$AI1351="OK"</formula>
    </cfRule>
  </conditionalFormatting>
  <conditionalFormatting sqref="A1023:B1023">
    <cfRule type="expression" dxfId="763" priority="819">
      <formula>#REF!="OK"</formula>
    </cfRule>
  </conditionalFormatting>
  <conditionalFormatting sqref="A1024:B1024">
    <cfRule type="expression" dxfId="762" priority="818">
      <formula>#REF!="OK"</formula>
    </cfRule>
  </conditionalFormatting>
  <conditionalFormatting sqref="A1025:B1025">
    <cfRule type="expression" dxfId="761" priority="817">
      <formula>#REF!="OK"</formula>
    </cfRule>
  </conditionalFormatting>
  <conditionalFormatting sqref="A1026:B1026">
    <cfRule type="expression" dxfId="760" priority="816">
      <formula>#REF!="OK"</formula>
    </cfRule>
  </conditionalFormatting>
  <conditionalFormatting sqref="P1027:Z1027">
    <cfRule type="expression" dxfId="759" priority="814">
      <formula>$AI1359="OK"</formula>
    </cfRule>
    <cfRule type="expression" dxfId="758" priority="815">
      <formula>$AI1360="OK"</formula>
    </cfRule>
  </conditionalFormatting>
  <conditionalFormatting sqref="A1027:B1027">
    <cfRule type="expression" dxfId="757" priority="813">
      <formula>#REF!="OK"</formula>
    </cfRule>
  </conditionalFormatting>
  <conditionalFormatting sqref="P1028:Z1028">
    <cfRule type="expression" dxfId="756" priority="811">
      <formula>$AI1360="OK"</formula>
    </cfRule>
    <cfRule type="expression" dxfId="755" priority="812">
      <formula>$AI1361="OK"</formula>
    </cfRule>
  </conditionalFormatting>
  <conditionalFormatting sqref="A1028:B1028">
    <cfRule type="expression" dxfId="754" priority="810">
      <formula>#REF!="OK"</formula>
    </cfRule>
  </conditionalFormatting>
  <conditionalFormatting sqref="P1036:Z1036">
    <cfRule type="expression" dxfId="753" priority="799">
      <formula>$AI1368="OK"</formula>
    </cfRule>
    <cfRule type="expression" dxfId="752" priority="800">
      <formula>$AI1369="OK"</formula>
    </cfRule>
  </conditionalFormatting>
  <conditionalFormatting sqref="P1037:Z1037">
    <cfRule type="expression" dxfId="751" priority="797">
      <formula>$AI1369="OK"</formula>
    </cfRule>
    <cfRule type="expression" dxfId="750" priority="798">
      <formula>$AI1370="OK"</formula>
    </cfRule>
  </conditionalFormatting>
  <conditionalFormatting sqref="AA1040:AJ1049">
    <cfRule type="cellIs" dxfId="749" priority="794" operator="greaterThanOrEqual">
      <formula>1</formula>
    </cfRule>
  </conditionalFormatting>
  <conditionalFormatting sqref="AA1042:AJ1049">
    <cfRule type="cellIs" dxfId="748" priority="789" operator="greaterThanOrEqual">
      <formula>1</formula>
    </cfRule>
  </conditionalFormatting>
  <conditionalFormatting sqref="AA1042:AJ1049">
    <cfRule type="cellIs" dxfId="747" priority="786" operator="greaterThanOrEqual">
      <formula>1</formula>
    </cfRule>
  </conditionalFormatting>
  <conditionalFormatting sqref="A1043:B1043">
    <cfRule type="expression" dxfId="746" priority="783">
      <formula>#REF!="OK"</formula>
    </cfRule>
  </conditionalFormatting>
  <conditionalFormatting sqref="P1044:Z1044">
    <cfRule type="expression" dxfId="745" priority="781">
      <formula>$AI1376="OK"</formula>
    </cfRule>
    <cfRule type="expression" dxfId="744" priority="782">
      <formula>$AI1377="OK"</formula>
    </cfRule>
  </conditionalFormatting>
  <conditionalFormatting sqref="A1044:B1044">
    <cfRule type="expression" dxfId="743" priority="780">
      <formula>#REF!="OK"</formula>
    </cfRule>
  </conditionalFormatting>
  <conditionalFormatting sqref="P1045:Z1045">
    <cfRule type="expression" dxfId="742" priority="778">
      <formula>$AI1377="OK"</formula>
    </cfRule>
    <cfRule type="expression" dxfId="741" priority="779">
      <formula>$AI1378="OK"</formula>
    </cfRule>
  </conditionalFormatting>
  <conditionalFormatting sqref="A1045:B1045">
    <cfRule type="expression" dxfId="740" priority="777">
      <formula>#REF!="OK"</formula>
    </cfRule>
  </conditionalFormatting>
  <conditionalFormatting sqref="P1046:Z1046">
    <cfRule type="expression" dxfId="739" priority="775">
      <formula>$AI1378="OK"</formula>
    </cfRule>
    <cfRule type="expression" dxfId="738" priority="776">
      <formula>$AI1379="OK"</formula>
    </cfRule>
  </conditionalFormatting>
  <conditionalFormatting sqref="A1046:B1046">
    <cfRule type="expression" dxfId="737" priority="774">
      <formula>#REF!="OK"</formula>
    </cfRule>
  </conditionalFormatting>
  <conditionalFormatting sqref="P1047:Z1047">
    <cfRule type="expression" dxfId="736" priority="772">
      <formula>$AI1379="OK"</formula>
    </cfRule>
    <cfRule type="expression" dxfId="735" priority="773">
      <formula>$AI1380="OK"</formula>
    </cfRule>
  </conditionalFormatting>
  <conditionalFormatting sqref="A1047:B1047">
    <cfRule type="expression" dxfId="734" priority="771">
      <formula>#REF!="OK"</formula>
    </cfRule>
  </conditionalFormatting>
  <conditionalFormatting sqref="P1048:Z1049">
    <cfRule type="expression" dxfId="733" priority="769">
      <formula>$AI1380="OK"</formula>
    </cfRule>
    <cfRule type="expression" dxfId="732" priority="770">
      <formula>$AI1381="OK"</formula>
    </cfRule>
  </conditionalFormatting>
  <conditionalFormatting sqref="A1048:B1049">
    <cfRule type="expression" dxfId="731" priority="768">
      <formula>#REF!="OK"</formula>
    </cfRule>
  </conditionalFormatting>
  <conditionalFormatting sqref="AA1049:AJ1049">
    <cfRule type="cellIs" dxfId="730" priority="767" operator="greaterThanOrEqual">
      <formula>1</formula>
    </cfRule>
  </conditionalFormatting>
  <conditionalFormatting sqref="AA1049:AJ1049">
    <cfRule type="cellIs" dxfId="729" priority="766" operator="greaterThanOrEqual">
      <formula>1</formula>
    </cfRule>
  </conditionalFormatting>
  <conditionalFormatting sqref="AA1049:AJ1049">
    <cfRule type="cellIs" dxfId="728" priority="765" operator="greaterThanOrEqual">
      <formula>1</formula>
    </cfRule>
  </conditionalFormatting>
  <conditionalFormatting sqref="AA1049:AJ1049">
    <cfRule type="cellIs" dxfId="727" priority="764" operator="greaterThanOrEqual">
      <formula>1</formula>
    </cfRule>
  </conditionalFormatting>
  <conditionalFormatting sqref="P1049:Z1049">
    <cfRule type="expression" dxfId="726" priority="762">
      <formula>$AI1381="OK"</formula>
    </cfRule>
    <cfRule type="expression" dxfId="725" priority="763">
      <formula>$AI1382="OK"</formula>
    </cfRule>
  </conditionalFormatting>
  <conditionalFormatting sqref="A1049:B1049">
    <cfRule type="expression" dxfId="724" priority="761">
      <formula>#REF!="OK"</formula>
    </cfRule>
  </conditionalFormatting>
  <conditionalFormatting sqref="A1050:C1052">
    <cfRule type="expression" dxfId="723" priority="760">
      <formula>#REF!="OK"</formula>
    </cfRule>
  </conditionalFormatting>
  <conditionalFormatting sqref="K1050:O1066 H1050:I1066">
    <cfRule type="expression" dxfId="722" priority="758">
      <formula>#REF!="OK"</formula>
    </cfRule>
  </conditionalFormatting>
  <conditionalFormatting sqref="AA1050:AJ1066">
    <cfRule type="cellIs" dxfId="721" priority="759" operator="greaterThanOrEqual">
      <formula>1</formula>
    </cfRule>
  </conditionalFormatting>
  <conditionalFormatting sqref="AA1050:AJ1066">
    <cfRule type="cellIs" dxfId="720" priority="757" operator="greaterThanOrEqual">
      <formula>1</formula>
    </cfRule>
  </conditionalFormatting>
  <conditionalFormatting sqref="AA1050:AJ1066">
    <cfRule type="cellIs" dxfId="719" priority="756" operator="greaterThanOrEqual">
      <formula>1</formula>
    </cfRule>
  </conditionalFormatting>
  <conditionalFormatting sqref="AA1050:AJ1066">
    <cfRule type="cellIs" dxfId="718" priority="755" operator="greaterThanOrEqual">
      <formula>1</formula>
    </cfRule>
  </conditionalFormatting>
  <conditionalFormatting sqref="AA1050:AJ1066">
    <cfRule type="cellIs" dxfId="717" priority="752" operator="greaterThanOrEqual">
      <formula>1</formula>
    </cfRule>
  </conditionalFormatting>
  <conditionalFormatting sqref="AA1050:AJ1066">
    <cfRule type="cellIs" dxfId="716" priority="751" operator="greaterThanOrEqual">
      <formula>1</formula>
    </cfRule>
  </conditionalFormatting>
  <conditionalFormatting sqref="AA1050:AJ1066">
    <cfRule type="cellIs" dxfId="715" priority="750" operator="greaterThanOrEqual">
      <formula>1</formula>
    </cfRule>
  </conditionalFormatting>
  <conditionalFormatting sqref="AA1050:AJ1066">
    <cfRule type="cellIs" dxfId="714" priority="749" operator="greaterThanOrEqual">
      <formula>1</formula>
    </cfRule>
  </conditionalFormatting>
  <conditionalFormatting sqref="A1051:C1052">
    <cfRule type="expression" dxfId="713" priority="746">
      <formula>#REF!="OK"</formula>
    </cfRule>
  </conditionalFormatting>
  <conditionalFormatting sqref="K1051:O1066 H1051:I1066">
    <cfRule type="expression" dxfId="712" priority="744">
      <formula>#REF!="OK"</formula>
    </cfRule>
  </conditionalFormatting>
  <conditionalFormatting sqref="AA1051:AJ1066">
    <cfRule type="cellIs" dxfId="711" priority="745" operator="greaterThanOrEqual">
      <formula>1</formula>
    </cfRule>
  </conditionalFormatting>
  <conditionalFormatting sqref="AA1051:AJ1066">
    <cfRule type="cellIs" dxfId="710" priority="743" operator="greaterThanOrEqual">
      <formula>1</formula>
    </cfRule>
  </conditionalFormatting>
  <conditionalFormatting sqref="AA1051:AJ1066">
    <cfRule type="cellIs" dxfId="709" priority="742" operator="greaterThanOrEqual">
      <formula>1</formula>
    </cfRule>
  </conditionalFormatting>
  <conditionalFormatting sqref="AA1051:AJ1066">
    <cfRule type="cellIs" dxfId="708" priority="741" operator="greaterThanOrEqual">
      <formula>1</formula>
    </cfRule>
  </conditionalFormatting>
  <conditionalFormatting sqref="AA1051:AJ1066">
    <cfRule type="cellIs" dxfId="707" priority="738" operator="greaterThanOrEqual">
      <formula>1</formula>
    </cfRule>
  </conditionalFormatting>
  <conditionalFormatting sqref="AA1051:AJ1066">
    <cfRule type="cellIs" dxfId="706" priority="737" operator="greaterThanOrEqual">
      <formula>1</formula>
    </cfRule>
  </conditionalFormatting>
  <conditionalFormatting sqref="AA1051:AJ1066">
    <cfRule type="cellIs" dxfId="705" priority="736" operator="greaterThanOrEqual">
      <formula>1</formula>
    </cfRule>
  </conditionalFormatting>
  <conditionalFormatting sqref="AA1051:AJ1066">
    <cfRule type="cellIs" dxfId="704" priority="735" operator="greaterThanOrEqual">
      <formula>1</formula>
    </cfRule>
  </conditionalFormatting>
  <conditionalFormatting sqref="A1052:C1052">
    <cfRule type="expression" dxfId="703" priority="732">
      <formula>#REF!="OK"</formula>
    </cfRule>
  </conditionalFormatting>
  <conditionalFormatting sqref="K1052:O1066 H1052:I1066">
    <cfRule type="expression" dxfId="702" priority="730">
      <formula>#REF!="OK"</formula>
    </cfRule>
  </conditionalFormatting>
  <conditionalFormatting sqref="AA1052:AJ1066">
    <cfRule type="cellIs" dxfId="701" priority="731" operator="greaterThanOrEqual">
      <formula>1</formula>
    </cfRule>
  </conditionalFormatting>
  <conditionalFormatting sqref="AA1052:AJ1066">
    <cfRule type="cellIs" dxfId="700" priority="729" operator="greaterThanOrEqual">
      <formula>1</formula>
    </cfRule>
  </conditionalFormatting>
  <conditionalFormatting sqref="AA1052:AJ1066">
    <cfRule type="cellIs" dxfId="699" priority="728" operator="greaterThanOrEqual">
      <formula>1</formula>
    </cfRule>
  </conditionalFormatting>
  <conditionalFormatting sqref="AA1052:AJ1066">
    <cfRule type="cellIs" dxfId="698" priority="727" operator="greaterThanOrEqual">
      <formula>1</formula>
    </cfRule>
  </conditionalFormatting>
  <conditionalFormatting sqref="AA1052:AJ1066">
    <cfRule type="cellIs" dxfId="697" priority="724" operator="greaterThanOrEqual">
      <formula>1</formula>
    </cfRule>
  </conditionalFormatting>
  <conditionalFormatting sqref="AA1052:AJ1066">
    <cfRule type="cellIs" dxfId="696" priority="723" operator="greaterThanOrEqual">
      <formula>1</formula>
    </cfRule>
  </conditionalFormatting>
  <conditionalFormatting sqref="AA1052:AJ1066">
    <cfRule type="cellIs" dxfId="695" priority="722" operator="greaterThanOrEqual">
      <formula>1</formula>
    </cfRule>
  </conditionalFormatting>
  <conditionalFormatting sqref="AA1052:AJ1066">
    <cfRule type="cellIs" dxfId="694" priority="721" operator="greaterThanOrEqual">
      <formula>1</formula>
    </cfRule>
  </conditionalFormatting>
  <conditionalFormatting sqref="A1052:C1052">
    <cfRule type="expression" dxfId="693" priority="718">
      <formula>#REF!="OK"</formula>
    </cfRule>
  </conditionalFormatting>
  <conditionalFormatting sqref="K1052:O1066 H1052:I1066">
    <cfRule type="expression" dxfId="692" priority="716">
      <formula>#REF!="OK"</formula>
    </cfRule>
  </conditionalFormatting>
  <conditionalFormatting sqref="AA1052:AJ1066">
    <cfRule type="cellIs" dxfId="691" priority="717" operator="greaterThanOrEqual">
      <formula>1</formula>
    </cfRule>
  </conditionalFormatting>
  <conditionalFormatting sqref="AA1052:AJ1066">
    <cfRule type="cellIs" dxfId="690" priority="715" operator="greaterThanOrEqual">
      <formula>1</formula>
    </cfRule>
  </conditionalFormatting>
  <conditionalFormatting sqref="AA1052:AJ1066">
    <cfRule type="cellIs" dxfId="689" priority="714" operator="greaterThanOrEqual">
      <formula>1</formula>
    </cfRule>
  </conditionalFormatting>
  <conditionalFormatting sqref="AA1052:AJ1066">
    <cfRule type="cellIs" dxfId="688" priority="713" operator="greaterThanOrEqual">
      <formula>1</formula>
    </cfRule>
  </conditionalFormatting>
  <conditionalFormatting sqref="AA1052:AJ1066">
    <cfRule type="cellIs" dxfId="687" priority="710" operator="greaterThanOrEqual">
      <formula>1</formula>
    </cfRule>
  </conditionalFormatting>
  <conditionalFormatting sqref="AA1052:AJ1066">
    <cfRule type="cellIs" dxfId="686" priority="709" operator="greaterThanOrEqual">
      <formula>1</formula>
    </cfRule>
  </conditionalFormatting>
  <conditionalFormatting sqref="AA1052:AJ1066">
    <cfRule type="cellIs" dxfId="685" priority="708" operator="greaterThanOrEqual">
      <formula>1</formula>
    </cfRule>
  </conditionalFormatting>
  <conditionalFormatting sqref="AA1052:AJ1066">
    <cfRule type="cellIs" dxfId="684" priority="707" operator="greaterThanOrEqual">
      <formula>1</formula>
    </cfRule>
  </conditionalFormatting>
  <conditionalFormatting sqref="K1054:O1066 H1054:I1066">
    <cfRule type="expression" dxfId="683" priority="699">
      <formula>#REF!="OK"</formula>
    </cfRule>
  </conditionalFormatting>
  <conditionalFormatting sqref="AA1054:AJ1066">
    <cfRule type="cellIs" dxfId="682" priority="700" operator="greaterThanOrEqual">
      <formula>1</formula>
    </cfRule>
  </conditionalFormatting>
  <conditionalFormatting sqref="AA1054:AJ1066">
    <cfRule type="cellIs" dxfId="681" priority="698" operator="greaterThanOrEqual">
      <formula>1</formula>
    </cfRule>
  </conditionalFormatting>
  <conditionalFormatting sqref="AA1054:AJ1066">
    <cfRule type="cellIs" dxfId="680" priority="697" operator="greaterThanOrEqual">
      <formula>1</formula>
    </cfRule>
  </conditionalFormatting>
  <conditionalFormatting sqref="AA1054:AJ1066">
    <cfRule type="cellIs" dxfId="679" priority="696" operator="greaterThanOrEqual">
      <formula>1</formula>
    </cfRule>
  </conditionalFormatting>
  <conditionalFormatting sqref="AA1054:AJ1066">
    <cfRule type="cellIs" dxfId="678" priority="693" operator="greaterThanOrEqual">
      <formula>1</formula>
    </cfRule>
  </conditionalFormatting>
  <conditionalFormatting sqref="AA1054:AJ1066">
    <cfRule type="cellIs" dxfId="677" priority="692" operator="greaterThanOrEqual">
      <formula>1</formula>
    </cfRule>
  </conditionalFormatting>
  <conditionalFormatting sqref="AA1054:AJ1066">
    <cfRule type="cellIs" dxfId="676" priority="691" operator="greaterThanOrEqual">
      <formula>1</formula>
    </cfRule>
  </conditionalFormatting>
  <conditionalFormatting sqref="AA1054:AJ1066">
    <cfRule type="cellIs" dxfId="675" priority="690" operator="greaterThanOrEqual">
      <formula>1</formula>
    </cfRule>
  </conditionalFormatting>
  <conditionalFormatting sqref="K1054:O1066 H1054:I1066">
    <cfRule type="expression" dxfId="674" priority="686">
      <formula>#REF!="OK"</formula>
    </cfRule>
  </conditionalFormatting>
  <conditionalFormatting sqref="AA1054:AJ1066">
    <cfRule type="cellIs" dxfId="673" priority="687" operator="greaterThanOrEqual">
      <formula>1</formula>
    </cfRule>
  </conditionalFormatting>
  <conditionalFormatting sqref="AA1054:AJ1066">
    <cfRule type="cellIs" dxfId="672" priority="685" operator="greaterThanOrEqual">
      <formula>1</formula>
    </cfRule>
  </conditionalFormatting>
  <conditionalFormatting sqref="AA1054:AJ1066">
    <cfRule type="cellIs" dxfId="671" priority="684" operator="greaterThanOrEqual">
      <formula>1</formula>
    </cfRule>
  </conditionalFormatting>
  <conditionalFormatting sqref="AA1054:AJ1066">
    <cfRule type="cellIs" dxfId="670" priority="683" operator="greaterThanOrEqual">
      <formula>1</formula>
    </cfRule>
  </conditionalFormatting>
  <conditionalFormatting sqref="AA1054:AJ1066">
    <cfRule type="cellIs" dxfId="669" priority="680" operator="greaterThanOrEqual">
      <formula>1</formula>
    </cfRule>
  </conditionalFormatting>
  <conditionalFormatting sqref="AA1054:AJ1066">
    <cfRule type="cellIs" dxfId="668" priority="679" operator="greaterThanOrEqual">
      <formula>1</formula>
    </cfRule>
  </conditionalFormatting>
  <conditionalFormatting sqref="AA1054:AJ1066">
    <cfRule type="cellIs" dxfId="667" priority="678" operator="greaterThanOrEqual">
      <formula>1</formula>
    </cfRule>
  </conditionalFormatting>
  <conditionalFormatting sqref="AA1054:AJ1066">
    <cfRule type="cellIs" dxfId="666" priority="677" operator="greaterThanOrEqual">
      <formula>1</formula>
    </cfRule>
  </conditionalFormatting>
  <conditionalFormatting sqref="K1054:O1066 H1054:I1066">
    <cfRule type="expression" dxfId="665" priority="673">
      <formula>#REF!="OK"</formula>
    </cfRule>
  </conditionalFormatting>
  <conditionalFormatting sqref="AA1054:AJ1066">
    <cfRule type="cellIs" dxfId="664" priority="674" operator="greaterThanOrEqual">
      <formula>1</formula>
    </cfRule>
  </conditionalFormatting>
  <conditionalFormatting sqref="AA1054:AJ1066">
    <cfRule type="cellIs" dxfId="663" priority="672" operator="greaterThanOrEqual">
      <formula>1</formula>
    </cfRule>
  </conditionalFormatting>
  <conditionalFormatting sqref="AA1054:AJ1066">
    <cfRule type="cellIs" dxfId="662" priority="671" operator="greaterThanOrEqual">
      <formula>1</formula>
    </cfRule>
  </conditionalFormatting>
  <conditionalFormatting sqref="AA1054:AJ1066">
    <cfRule type="cellIs" dxfId="661" priority="670" operator="greaterThanOrEqual">
      <formula>1</formula>
    </cfRule>
  </conditionalFormatting>
  <conditionalFormatting sqref="AA1054:AJ1066">
    <cfRule type="cellIs" dxfId="660" priority="667" operator="greaterThanOrEqual">
      <formula>1</formula>
    </cfRule>
  </conditionalFormatting>
  <conditionalFormatting sqref="AA1054:AJ1066">
    <cfRule type="cellIs" dxfId="659" priority="666" operator="greaterThanOrEqual">
      <formula>1</formula>
    </cfRule>
  </conditionalFormatting>
  <conditionalFormatting sqref="AA1054:AJ1066">
    <cfRule type="cellIs" dxfId="658" priority="665" operator="greaterThanOrEqual">
      <formula>1</formula>
    </cfRule>
  </conditionalFormatting>
  <conditionalFormatting sqref="AA1054:AJ1066">
    <cfRule type="cellIs" dxfId="657" priority="664" operator="greaterThanOrEqual">
      <formula>1</formula>
    </cfRule>
  </conditionalFormatting>
  <conditionalFormatting sqref="K1054:O1066 H1054:I1066">
    <cfRule type="expression" dxfId="656" priority="660">
      <formula>#REF!="OK"</formula>
    </cfRule>
  </conditionalFormatting>
  <conditionalFormatting sqref="AA1054:AJ1066">
    <cfRule type="cellIs" dxfId="655" priority="661" operator="greaterThanOrEqual">
      <formula>1</formula>
    </cfRule>
  </conditionalFormatting>
  <conditionalFormatting sqref="AA1054:AJ1066">
    <cfRule type="cellIs" dxfId="654" priority="659" operator="greaterThanOrEqual">
      <formula>1</formula>
    </cfRule>
  </conditionalFormatting>
  <conditionalFormatting sqref="AA1054:AJ1066">
    <cfRule type="cellIs" dxfId="653" priority="658" operator="greaterThanOrEqual">
      <formula>1</formula>
    </cfRule>
  </conditionalFormatting>
  <conditionalFormatting sqref="AA1054:AJ1066">
    <cfRule type="cellIs" dxfId="652" priority="657" operator="greaterThanOrEqual">
      <formula>1</formula>
    </cfRule>
  </conditionalFormatting>
  <conditionalFormatting sqref="AA1054:AJ1066">
    <cfRule type="cellIs" dxfId="651" priority="654" operator="greaterThanOrEqual">
      <formula>1</formula>
    </cfRule>
  </conditionalFormatting>
  <conditionalFormatting sqref="AA1054:AJ1066">
    <cfRule type="cellIs" dxfId="650" priority="653" operator="greaterThanOrEqual">
      <formula>1</formula>
    </cfRule>
  </conditionalFormatting>
  <conditionalFormatting sqref="AA1054:AJ1066">
    <cfRule type="cellIs" dxfId="649" priority="652" operator="greaterThanOrEqual">
      <formula>1</formula>
    </cfRule>
  </conditionalFormatting>
  <conditionalFormatting sqref="AA1054:AJ1066">
    <cfRule type="cellIs" dxfId="648" priority="651" operator="greaterThanOrEqual">
      <formula>1</formula>
    </cfRule>
  </conditionalFormatting>
  <conditionalFormatting sqref="A1058:C1058 E1058:F1066 AR1058:XFD1066 B1059:C1066">
    <cfRule type="expression" dxfId="647" priority="646">
      <formula>#REF!="OK"</formula>
    </cfRule>
  </conditionalFormatting>
  <conditionalFormatting sqref="K1058:O1066 H1058:I1066">
    <cfRule type="expression" dxfId="646" priority="644">
      <formula>#REF!="OK"</formula>
    </cfRule>
  </conditionalFormatting>
  <conditionalFormatting sqref="AA1058:AJ1066">
    <cfRule type="cellIs" dxfId="645" priority="645" operator="greaterThanOrEqual">
      <formula>1</formula>
    </cfRule>
  </conditionalFormatting>
  <conditionalFormatting sqref="AA1058:AJ1066">
    <cfRule type="cellIs" dxfId="644" priority="643" operator="greaterThanOrEqual">
      <formula>1</formula>
    </cfRule>
  </conditionalFormatting>
  <conditionalFormatting sqref="AA1058:AJ1066">
    <cfRule type="cellIs" dxfId="643" priority="642" operator="greaterThanOrEqual">
      <formula>1</formula>
    </cfRule>
  </conditionalFormatting>
  <conditionalFormatting sqref="AA1058:AJ1066">
    <cfRule type="cellIs" dxfId="642" priority="641" operator="greaterThanOrEqual">
      <formula>1</formula>
    </cfRule>
  </conditionalFormatting>
  <conditionalFormatting sqref="AA1058:AJ1066">
    <cfRule type="cellIs" dxfId="641" priority="640" operator="greaterThanOrEqual">
      <formula>1</formula>
    </cfRule>
  </conditionalFormatting>
  <conditionalFormatting sqref="AA1058:AJ1066">
    <cfRule type="cellIs" dxfId="640" priority="639" operator="greaterThanOrEqual">
      <formula>1</formula>
    </cfRule>
  </conditionalFormatting>
  <conditionalFormatting sqref="AA1058:AJ1066">
    <cfRule type="cellIs" dxfId="639" priority="638" operator="greaterThanOrEqual">
      <formula>1</formula>
    </cfRule>
  </conditionalFormatting>
  <conditionalFormatting sqref="AA1058:AJ1066">
    <cfRule type="cellIs" dxfId="638" priority="637" operator="greaterThanOrEqual">
      <formula>1</formula>
    </cfRule>
  </conditionalFormatting>
  <conditionalFormatting sqref="K1058:O1066 H1058:I1066">
    <cfRule type="expression" dxfId="637" priority="635">
      <formula>#REF!="OK"</formula>
    </cfRule>
  </conditionalFormatting>
  <conditionalFormatting sqref="AA1058:AJ1066">
    <cfRule type="cellIs" dxfId="636" priority="636" operator="greaterThanOrEqual">
      <formula>1</formula>
    </cfRule>
  </conditionalFormatting>
  <conditionalFormatting sqref="AA1058:AJ1066">
    <cfRule type="cellIs" dxfId="635" priority="634" operator="greaterThanOrEqual">
      <formula>1</formula>
    </cfRule>
  </conditionalFormatting>
  <conditionalFormatting sqref="AA1058:AJ1066">
    <cfRule type="cellIs" dxfId="634" priority="633" operator="greaterThanOrEqual">
      <formula>1</formula>
    </cfRule>
  </conditionalFormatting>
  <conditionalFormatting sqref="AA1058:AJ1066">
    <cfRule type="cellIs" dxfId="633" priority="632" operator="greaterThanOrEqual">
      <formula>1</formula>
    </cfRule>
  </conditionalFormatting>
  <conditionalFormatting sqref="AA1058:AJ1066">
    <cfRule type="cellIs" dxfId="632" priority="631" operator="greaterThanOrEqual">
      <formula>1</formula>
    </cfRule>
  </conditionalFormatting>
  <conditionalFormatting sqref="AA1058:AJ1066">
    <cfRule type="cellIs" dxfId="631" priority="630" operator="greaterThanOrEqual">
      <formula>1</formula>
    </cfRule>
  </conditionalFormatting>
  <conditionalFormatting sqref="AA1058:AJ1066">
    <cfRule type="cellIs" dxfId="630" priority="629" operator="greaterThanOrEqual">
      <formula>1</formula>
    </cfRule>
  </conditionalFormatting>
  <conditionalFormatting sqref="AA1058:AJ1066">
    <cfRule type="cellIs" dxfId="629" priority="628" operator="greaterThanOrEqual">
      <formula>1</formula>
    </cfRule>
  </conditionalFormatting>
  <conditionalFormatting sqref="K1058:O1066 H1058:I1066">
    <cfRule type="expression" dxfId="628" priority="626">
      <formula>#REF!="OK"</formula>
    </cfRule>
  </conditionalFormatting>
  <conditionalFormatting sqref="AA1058:AJ1066">
    <cfRule type="cellIs" dxfId="627" priority="627" operator="greaterThanOrEqual">
      <formula>1</formula>
    </cfRule>
  </conditionalFormatting>
  <conditionalFormatting sqref="AA1058:AJ1066">
    <cfRule type="cellIs" dxfId="626" priority="625" operator="greaterThanOrEqual">
      <formula>1</formula>
    </cfRule>
  </conditionalFormatting>
  <conditionalFormatting sqref="AA1058:AJ1066">
    <cfRule type="cellIs" dxfId="625" priority="624" operator="greaterThanOrEqual">
      <formula>1</formula>
    </cfRule>
  </conditionalFormatting>
  <conditionalFormatting sqref="AA1058:AJ1066">
    <cfRule type="cellIs" dxfId="624" priority="623" operator="greaterThanOrEqual">
      <formula>1</formula>
    </cfRule>
  </conditionalFormatting>
  <conditionalFormatting sqref="AA1058:AJ1066">
    <cfRule type="cellIs" dxfId="623" priority="622" operator="greaterThanOrEqual">
      <formula>1</formula>
    </cfRule>
  </conditionalFormatting>
  <conditionalFormatting sqref="AA1058:AJ1066">
    <cfRule type="cellIs" dxfId="622" priority="621" operator="greaterThanOrEqual">
      <formula>1</formula>
    </cfRule>
  </conditionalFormatting>
  <conditionalFormatting sqref="AA1058:AJ1066">
    <cfRule type="cellIs" dxfId="621" priority="620" operator="greaterThanOrEqual">
      <formula>1</formula>
    </cfRule>
  </conditionalFormatting>
  <conditionalFormatting sqref="AA1058:AJ1066">
    <cfRule type="cellIs" dxfId="620" priority="619" operator="greaterThanOrEqual">
      <formula>1</formula>
    </cfRule>
  </conditionalFormatting>
  <conditionalFormatting sqref="K1058:O1066 H1058:I1066">
    <cfRule type="expression" dxfId="619" priority="617">
      <formula>#REF!="OK"</formula>
    </cfRule>
  </conditionalFormatting>
  <conditionalFormatting sqref="AA1058:AJ1066">
    <cfRule type="cellIs" dxfId="618" priority="618" operator="greaterThanOrEqual">
      <formula>1</formula>
    </cfRule>
  </conditionalFormatting>
  <conditionalFormatting sqref="AA1058:AJ1066">
    <cfRule type="cellIs" dxfId="617" priority="616" operator="greaterThanOrEqual">
      <formula>1</formula>
    </cfRule>
  </conditionalFormatting>
  <conditionalFormatting sqref="AA1058:AJ1066">
    <cfRule type="cellIs" dxfId="616" priority="615" operator="greaterThanOrEqual">
      <formula>1</formula>
    </cfRule>
  </conditionalFormatting>
  <conditionalFormatting sqref="AA1058:AJ1066">
    <cfRule type="cellIs" dxfId="615" priority="614" operator="greaterThanOrEqual">
      <formula>1</formula>
    </cfRule>
  </conditionalFormatting>
  <conditionalFormatting sqref="AA1058:AJ1066">
    <cfRule type="cellIs" dxfId="614" priority="613" operator="greaterThanOrEqual">
      <formula>1</formula>
    </cfRule>
  </conditionalFormatting>
  <conditionalFormatting sqref="AA1058:AJ1066">
    <cfRule type="cellIs" dxfId="613" priority="612" operator="greaterThanOrEqual">
      <formula>1</formula>
    </cfRule>
  </conditionalFormatting>
  <conditionalFormatting sqref="AA1058:AJ1066">
    <cfRule type="cellIs" dxfId="612" priority="611" operator="greaterThanOrEqual">
      <formula>1</formula>
    </cfRule>
  </conditionalFormatting>
  <conditionalFormatting sqref="AA1058:AJ1066">
    <cfRule type="cellIs" dxfId="611" priority="610" operator="greaterThanOrEqual">
      <formula>1</formula>
    </cfRule>
  </conditionalFormatting>
  <conditionalFormatting sqref="K1058:O1066 H1058:I1066">
    <cfRule type="expression" dxfId="610" priority="608">
      <formula>#REF!="OK"</formula>
    </cfRule>
  </conditionalFormatting>
  <conditionalFormatting sqref="AA1058:AJ1066">
    <cfRule type="cellIs" dxfId="609" priority="609" operator="greaterThanOrEqual">
      <formula>1</formula>
    </cfRule>
  </conditionalFormatting>
  <conditionalFormatting sqref="AA1058:AJ1066">
    <cfRule type="cellIs" dxfId="608" priority="607" operator="greaterThanOrEqual">
      <formula>1</formula>
    </cfRule>
  </conditionalFormatting>
  <conditionalFormatting sqref="AA1058:AJ1066">
    <cfRule type="cellIs" dxfId="607" priority="606" operator="greaterThanOrEqual">
      <formula>1</formula>
    </cfRule>
  </conditionalFormatting>
  <conditionalFormatting sqref="AA1058:AJ1066">
    <cfRule type="cellIs" dxfId="606" priority="605" operator="greaterThanOrEqual">
      <formula>1</formula>
    </cfRule>
  </conditionalFormatting>
  <conditionalFormatting sqref="AA1058:AJ1066">
    <cfRule type="cellIs" dxfId="605" priority="604" operator="greaterThanOrEqual">
      <formula>1</formula>
    </cfRule>
  </conditionalFormatting>
  <conditionalFormatting sqref="AA1058:AJ1066">
    <cfRule type="cellIs" dxfId="604" priority="603" operator="greaterThanOrEqual">
      <formula>1</formula>
    </cfRule>
  </conditionalFormatting>
  <conditionalFormatting sqref="AA1058:AJ1066">
    <cfRule type="cellIs" dxfId="603" priority="602" operator="greaterThanOrEqual">
      <formula>1</formula>
    </cfRule>
  </conditionalFormatting>
  <conditionalFormatting sqref="AA1058:AJ1066">
    <cfRule type="cellIs" dxfId="602" priority="601" operator="greaterThanOrEqual">
      <formula>1</formula>
    </cfRule>
  </conditionalFormatting>
  <conditionalFormatting sqref="K1058:O1066 H1058:I1066">
    <cfRule type="expression" dxfId="601" priority="599">
      <formula>#REF!="OK"</formula>
    </cfRule>
  </conditionalFormatting>
  <conditionalFormatting sqref="AA1058:AJ1066">
    <cfRule type="cellIs" dxfId="600" priority="600" operator="greaterThanOrEqual">
      <formula>1</formula>
    </cfRule>
  </conditionalFormatting>
  <conditionalFormatting sqref="AA1058:AJ1066">
    <cfRule type="cellIs" dxfId="599" priority="598" operator="greaterThanOrEqual">
      <formula>1</formula>
    </cfRule>
  </conditionalFormatting>
  <conditionalFormatting sqref="AA1058:AJ1066">
    <cfRule type="cellIs" dxfId="598" priority="597" operator="greaterThanOrEqual">
      <formula>1</formula>
    </cfRule>
  </conditionalFormatting>
  <conditionalFormatting sqref="AA1058:AJ1066">
    <cfRule type="cellIs" dxfId="597" priority="596" operator="greaterThanOrEqual">
      <formula>1</formula>
    </cfRule>
  </conditionalFormatting>
  <conditionalFormatting sqref="AA1058:AJ1066">
    <cfRule type="cellIs" dxfId="596" priority="595" operator="greaterThanOrEqual">
      <formula>1</formula>
    </cfRule>
  </conditionalFormatting>
  <conditionalFormatting sqref="AA1058:AJ1066">
    <cfRule type="cellIs" dxfId="595" priority="594" operator="greaterThanOrEqual">
      <formula>1</formula>
    </cfRule>
  </conditionalFormatting>
  <conditionalFormatting sqref="AA1058:AJ1066">
    <cfRule type="cellIs" dxfId="594" priority="593" operator="greaterThanOrEqual">
      <formula>1</formula>
    </cfRule>
  </conditionalFormatting>
  <conditionalFormatting sqref="AA1058:AJ1066">
    <cfRule type="cellIs" dxfId="593" priority="592" operator="greaterThanOrEqual">
      <formula>1</formula>
    </cfRule>
  </conditionalFormatting>
  <conditionalFormatting sqref="K1058:O1066 H1058:I1066">
    <cfRule type="expression" dxfId="592" priority="590">
      <formula>#REF!="OK"</formula>
    </cfRule>
  </conditionalFormatting>
  <conditionalFormatting sqref="AA1058:AJ1066">
    <cfRule type="cellIs" dxfId="591" priority="591" operator="greaterThanOrEqual">
      <formula>1</formula>
    </cfRule>
  </conditionalFormatting>
  <conditionalFormatting sqref="AA1058:AJ1066">
    <cfRule type="cellIs" dxfId="590" priority="589" operator="greaterThanOrEqual">
      <formula>1</formula>
    </cfRule>
  </conditionalFormatting>
  <conditionalFormatting sqref="AA1058:AJ1066">
    <cfRule type="cellIs" dxfId="589" priority="588" operator="greaterThanOrEqual">
      <formula>1</formula>
    </cfRule>
  </conditionalFormatting>
  <conditionalFormatting sqref="AA1058:AJ1066">
    <cfRule type="cellIs" dxfId="588" priority="587" operator="greaterThanOrEqual">
      <formula>1</formula>
    </cfRule>
  </conditionalFormatting>
  <conditionalFormatting sqref="AA1058:AJ1066">
    <cfRule type="cellIs" dxfId="587" priority="586" operator="greaterThanOrEqual">
      <formula>1</formula>
    </cfRule>
  </conditionalFormatting>
  <conditionalFormatting sqref="AA1058:AJ1066">
    <cfRule type="cellIs" dxfId="586" priority="585" operator="greaterThanOrEqual">
      <formula>1</formula>
    </cfRule>
  </conditionalFormatting>
  <conditionalFormatting sqref="AA1058:AJ1066">
    <cfRule type="cellIs" dxfId="585" priority="584" operator="greaterThanOrEqual">
      <formula>1</formula>
    </cfRule>
  </conditionalFormatting>
  <conditionalFormatting sqref="AA1058:AJ1066">
    <cfRule type="cellIs" dxfId="584" priority="583" operator="greaterThanOrEqual">
      <formula>1</formula>
    </cfRule>
  </conditionalFormatting>
  <conditionalFormatting sqref="K1058:O1066 H1058:I1066">
    <cfRule type="expression" dxfId="583" priority="581">
      <formula>#REF!="OK"</formula>
    </cfRule>
  </conditionalFormatting>
  <conditionalFormatting sqref="AA1058:AJ1066">
    <cfRule type="cellIs" dxfId="582" priority="582" operator="greaterThanOrEqual">
      <formula>1</formula>
    </cfRule>
  </conditionalFormatting>
  <conditionalFormatting sqref="AA1058:AJ1066">
    <cfRule type="cellIs" dxfId="581" priority="580" operator="greaterThanOrEqual">
      <formula>1</formula>
    </cfRule>
  </conditionalFormatting>
  <conditionalFormatting sqref="AA1058:AJ1066">
    <cfRule type="cellIs" dxfId="580" priority="579" operator="greaterThanOrEqual">
      <formula>1</formula>
    </cfRule>
  </conditionalFormatting>
  <conditionalFormatting sqref="AA1058:AJ1066">
    <cfRule type="cellIs" dxfId="579" priority="578" operator="greaterThanOrEqual">
      <formula>1</formula>
    </cfRule>
  </conditionalFormatting>
  <conditionalFormatting sqref="AA1058:AJ1066">
    <cfRule type="cellIs" dxfId="578" priority="577" operator="greaterThanOrEqual">
      <formula>1</formula>
    </cfRule>
  </conditionalFormatting>
  <conditionalFormatting sqref="AA1058:AJ1066">
    <cfRule type="cellIs" dxfId="577" priority="576" operator="greaterThanOrEqual">
      <formula>1</formula>
    </cfRule>
  </conditionalFormatting>
  <conditionalFormatting sqref="AA1058:AJ1066">
    <cfRule type="cellIs" dxfId="576" priority="575" operator="greaterThanOrEqual">
      <formula>1</formula>
    </cfRule>
  </conditionalFormatting>
  <conditionalFormatting sqref="AA1058:AJ1066">
    <cfRule type="cellIs" dxfId="575" priority="574" operator="greaterThanOrEqual">
      <formula>1</formula>
    </cfRule>
  </conditionalFormatting>
  <conditionalFormatting sqref="P1062:Z1062">
    <cfRule type="expression" dxfId="574" priority="568">
      <formula>$AI1394="OK"</formula>
    </cfRule>
    <cfRule type="expression" dxfId="573" priority="569">
      <formula>$AI1395="OK"</formula>
    </cfRule>
  </conditionalFormatting>
  <conditionalFormatting sqref="P1063:Z1063">
    <cfRule type="expression" dxfId="572" priority="566">
      <formula>$AI1395="OK"</formula>
    </cfRule>
    <cfRule type="expression" dxfId="571" priority="567">
      <formula>$AI1396="OK"</formula>
    </cfRule>
  </conditionalFormatting>
  <conditionalFormatting sqref="P1064:Z1066">
    <cfRule type="expression" dxfId="570" priority="564">
      <formula>$AI1396="OK"</formula>
    </cfRule>
    <cfRule type="expression" dxfId="569" priority="565">
      <formula>$AI1397="OK"</formula>
    </cfRule>
  </conditionalFormatting>
  <conditionalFormatting sqref="E1066:F1066 AR1066:XFD1066 B1066:C1066">
    <cfRule type="expression" dxfId="568" priority="563">
      <formula>#REF!="OK"</formula>
    </cfRule>
  </conditionalFormatting>
  <conditionalFormatting sqref="K1066:O1066 H1066:I1066">
    <cfRule type="expression" dxfId="567" priority="561">
      <formula>#REF!="OK"</formula>
    </cfRule>
  </conditionalFormatting>
  <conditionalFormatting sqref="AA1066:AJ1066">
    <cfRule type="cellIs" dxfId="566" priority="562" operator="greaterThanOrEqual">
      <formula>1</formula>
    </cfRule>
  </conditionalFormatting>
  <conditionalFormatting sqref="AA1066:AJ1066">
    <cfRule type="cellIs" dxfId="565" priority="560" operator="greaterThanOrEqual">
      <formula>1</formula>
    </cfRule>
  </conditionalFormatting>
  <conditionalFormatting sqref="AA1066:AJ1066">
    <cfRule type="cellIs" dxfId="564" priority="559" operator="greaterThanOrEqual">
      <formula>1</formula>
    </cfRule>
  </conditionalFormatting>
  <conditionalFormatting sqref="AA1066:AJ1066">
    <cfRule type="cellIs" dxfId="563" priority="558" operator="greaterThanOrEqual">
      <formula>1</formula>
    </cfRule>
  </conditionalFormatting>
  <conditionalFormatting sqref="AA1066:AJ1066">
    <cfRule type="cellIs" dxfId="562" priority="557" operator="greaterThanOrEqual">
      <formula>1</formula>
    </cfRule>
  </conditionalFormatting>
  <conditionalFormatting sqref="AA1066:AJ1066">
    <cfRule type="cellIs" dxfId="561" priority="556" operator="greaterThanOrEqual">
      <formula>1</formula>
    </cfRule>
  </conditionalFormatting>
  <conditionalFormatting sqref="AA1066:AJ1066">
    <cfRule type="cellIs" dxfId="560" priority="555" operator="greaterThanOrEqual">
      <formula>1</formula>
    </cfRule>
  </conditionalFormatting>
  <conditionalFormatting sqref="AA1066:AJ1066">
    <cfRule type="cellIs" dxfId="559" priority="554" operator="greaterThanOrEqual">
      <formula>1</formula>
    </cfRule>
  </conditionalFormatting>
  <conditionalFormatting sqref="K1066:O1066 H1066:I1066">
    <cfRule type="expression" dxfId="558" priority="552">
      <formula>#REF!="OK"</formula>
    </cfRule>
  </conditionalFormatting>
  <conditionalFormatting sqref="AA1066:AJ1066">
    <cfRule type="cellIs" dxfId="557" priority="553" operator="greaterThanOrEqual">
      <formula>1</formula>
    </cfRule>
  </conditionalFormatting>
  <conditionalFormatting sqref="AA1066:AJ1066">
    <cfRule type="cellIs" dxfId="556" priority="551" operator="greaterThanOrEqual">
      <formula>1</formula>
    </cfRule>
  </conditionalFormatting>
  <conditionalFormatting sqref="AA1066:AJ1066">
    <cfRule type="cellIs" dxfId="555" priority="550" operator="greaterThanOrEqual">
      <formula>1</formula>
    </cfRule>
  </conditionalFormatting>
  <conditionalFormatting sqref="AA1066:AJ1066">
    <cfRule type="cellIs" dxfId="554" priority="549" operator="greaterThanOrEqual">
      <formula>1</formula>
    </cfRule>
  </conditionalFormatting>
  <conditionalFormatting sqref="AA1066:AJ1066">
    <cfRule type="cellIs" dxfId="553" priority="548" operator="greaterThanOrEqual">
      <formula>1</formula>
    </cfRule>
  </conditionalFormatting>
  <conditionalFormatting sqref="AA1066:AJ1066">
    <cfRule type="cellIs" dxfId="552" priority="547" operator="greaterThanOrEqual">
      <formula>1</formula>
    </cfRule>
  </conditionalFormatting>
  <conditionalFormatting sqref="AA1066:AJ1066">
    <cfRule type="cellIs" dxfId="551" priority="546" operator="greaterThanOrEqual">
      <formula>1</formula>
    </cfRule>
  </conditionalFormatting>
  <conditionalFormatting sqref="AA1066:AJ1066">
    <cfRule type="cellIs" dxfId="550" priority="545" operator="greaterThanOrEqual">
      <formula>1</formula>
    </cfRule>
  </conditionalFormatting>
  <conditionalFormatting sqref="K1066:O1066 H1066:I1066">
    <cfRule type="expression" dxfId="549" priority="543">
      <formula>#REF!="OK"</formula>
    </cfRule>
  </conditionalFormatting>
  <conditionalFormatting sqref="AA1066:AJ1066">
    <cfRule type="cellIs" dxfId="548" priority="544" operator="greaterThanOrEqual">
      <formula>1</formula>
    </cfRule>
  </conditionalFormatting>
  <conditionalFormatting sqref="AA1066:AJ1066">
    <cfRule type="cellIs" dxfId="547" priority="542" operator="greaterThanOrEqual">
      <formula>1</formula>
    </cfRule>
  </conditionalFormatting>
  <conditionalFormatting sqref="AA1066:AJ1066">
    <cfRule type="cellIs" dxfId="546" priority="541" operator="greaterThanOrEqual">
      <formula>1</formula>
    </cfRule>
  </conditionalFormatting>
  <conditionalFormatting sqref="AA1066:AJ1066">
    <cfRule type="cellIs" dxfId="545" priority="540" operator="greaterThanOrEqual">
      <formula>1</formula>
    </cfRule>
  </conditionalFormatting>
  <conditionalFormatting sqref="AA1066:AJ1066">
    <cfRule type="cellIs" dxfId="544" priority="539" operator="greaterThanOrEqual">
      <formula>1</formula>
    </cfRule>
  </conditionalFormatting>
  <conditionalFormatting sqref="AA1066:AJ1066">
    <cfRule type="cellIs" dxfId="543" priority="538" operator="greaterThanOrEqual">
      <formula>1</formula>
    </cfRule>
  </conditionalFormatting>
  <conditionalFormatting sqref="AA1066:AJ1066">
    <cfRule type="cellIs" dxfId="542" priority="537" operator="greaterThanOrEqual">
      <formula>1</formula>
    </cfRule>
  </conditionalFormatting>
  <conditionalFormatting sqref="AA1066:AJ1066">
    <cfRule type="cellIs" dxfId="541" priority="536" operator="greaterThanOrEqual">
      <formula>1</formula>
    </cfRule>
  </conditionalFormatting>
  <conditionalFormatting sqref="K1066:O1066 H1066:I1066">
    <cfRule type="expression" dxfId="540" priority="534">
      <formula>#REF!="OK"</formula>
    </cfRule>
  </conditionalFormatting>
  <conditionalFormatting sqref="AA1066:AJ1066">
    <cfRule type="cellIs" dxfId="539" priority="535" operator="greaterThanOrEqual">
      <formula>1</formula>
    </cfRule>
  </conditionalFormatting>
  <conditionalFormatting sqref="AA1066:AJ1066">
    <cfRule type="cellIs" dxfId="538" priority="533" operator="greaterThanOrEqual">
      <formula>1</formula>
    </cfRule>
  </conditionalFormatting>
  <conditionalFormatting sqref="AA1066:AJ1066">
    <cfRule type="cellIs" dxfId="537" priority="532" operator="greaterThanOrEqual">
      <formula>1</formula>
    </cfRule>
  </conditionalFormatting>
  <conditionalFormatting sqref="AA1066:AJ1066">
    <cfRule type="cellIs" dxfId="536" priority="531" operator="greaterThanOrEqual">
      <formula>1</formula>
    </cfRule>
  </conditionalFormatting>
  <conditionalFormatting sqref="AA1066:AJ1066">
    <cfRule type="cellIs" dxfId="535" priority="530" operator="greaterThanOrEqual">
      <formula>1</formula>
    </cfRule>
  </conditionalFormatting>
  <conditionalFormatting sqref="AA1066:AJ1066">
    <cfRule type="cellIs" dxfId="534" priority="529" operator="greaterThanOrEqual">
      <formula>1</formula>
    </cfRule>
  </conditionalFormatting>
  <conditionalFormatting sqref="AA1066:AJ1066">
    <cfRule type="cellIs" dxfId="533" priority="528" operator="greaterThanOrEqual">
      <formula>1</formula>
    </cfRule>
  </conditionalFormatting>
  <conditionalFormatting sqref="AA1066:AJ1066">
    <cfRule type="cellIs" dxfId="532" priority="527" operator="greaterThanOrEqual">
      <formula>1</formula>
    </cfRule>
  </conditionalFormatting>
  <conditionalFormatting sqref="K1066:O1066 H1066:I1066">
    <cfRule type="expression" dxfId="531" priority="525">
      <formula>#REF!="OK"</formula>
    </cfRule>
  </conditionalFormatting>
  <conditionalFormatting sqref="AA1066:AJ1066">
    <cfRule type="cellIs" dxfId="530" priority="526" operator="greaterThanOrEqual">
      <formula>1</formula>
    </cfRule>
  </conditionalFormatting>
  <conditionalFormatting sqref="AA1066:AJ1066">
    <cfRule type="cellIs" dxfId="529" priority="524" operator="greaterThanOrEqual">
      <formula>1</formula>
    </cfRule>
  </conditionalFormatting>
  <conditionalFormatting sqref="AA1066:AJ1066">
    <cfRule type="cellIs" dxfId="528" priority="523" operator="greaterThanOrEqual">
      <formula>1</formula>
    </cfRule>
  </conditionalFormatting>
  <conditionalFormatting sqref="AA1066:AJ1066">
    <cfRule type="cellIs" dxfId="527" priority="522" operator="greaterThanOrEqual">
      <formula>1</formula>
    </cfRule>
  </conditionalFormatting>
  <conditionalFormatting sqref="AA1066:AJ1066">
    <cfRule type="cellIs" dxfId="526" priority="521" operator="greaterThanOrEqual">
      <formula>1</formula>
    </cfRule>
  </conditionalFormatting>
  <conditionalFormatting sqref="AA1066:AJ1066">
    <cfRule type="cellIs" dxfId="525" priority="520" operator="greaterThanOrEqual">
      <formula>1</formula>
    </cfRule>
  </conditionalFormatting>
  <conditionalFormatting sqref="AA1066:AJ1066">
    <cfRule type="cellIs" dxfId="524" priority="519" operator="greaterThanOrEqual">
      <formula>1</formula>
    </cfRule>
  </conditionalFormatting>
  <conditionalFormatting sqref="AA1066:AJ1066">
    <cfRule type="cellIs" dxfId="523" priority="518" operator="greaterThanOrEqual">
      <formula>1</formula>
    </cfRule>
  </conditionalFormatting>
  <conditionalFormatting sqref="K1066:O1066 H1066:I1066">
    <cfRule type="expression" dxfId="522" priority="516">
      <formula>#REF!="OK"</formula>
    </cfRule>
  </conditionalFormatting>
  <conditionalFormatting sqref="AA1066:AJ1066">
    <cfRule type="cellIs" dxfId="521" priority="517" operator="greaterThanOrEqual">
      <formula>1</formula>
    </cfRule>
  </conditionalFormatting>
  <conditionalFormatting sqref="AA1066:AJ1066">
    <cfRule type="cellIs" dxfId="520" priority="515" operator="greaterThanOrEqual">
      <formula>1</formula>
    </cfRule>
  </conditionalFormatting>
  <conditionalFormatting sqref="AA1066:AJ1066">
    <cfRule type="cellIs" dxfId="519" priority="514" operator="greaterThanOrEqual">
      <formula>1</formula>
    </cfRule>
  </conditionalFormatting>
  <conditionalFormatting sqref="AA1066:AJ1066">
    <cfRule type="cellIs" dxfId="518" priority="513" operator="greaterThanOrEqual">
      <formula>1</formula>
    </cfRule>
  </conditionalFormatting>
  <conditionalFormatting sqref="AA1066:AJ1066">
    <cfRule type="cellIs" dxfId="517" priority="512" operator="greaterThanOrEqual">
      <formula>1</formula>
    </cfRule>
  </conditionalFormatting>
  <conditionalFormatting sqref="AA1066:AJ1066">
    <cfRule type="cellIs" dxfId="516" priority="511" operator="greaterThanOrEqual">
      <formula>1</formula>
    </cfRule>
  </conditionalFormatting>
  <conditionalFormatting sqref="AA1066:AJ1066">
    <cfRule type="cellIs" dxfId="515" priority="510" operator="greaterThanOrEqual">
      <formula>1</formula>
    </cfRule>
  </conditionalFormatting>
  <conditionalFormatting sqref="AA1066:AJ1066">
    <cfRule type="cellIs" dxfId="514" priority="509" operator="greaterThanOrEqual">
      <formula>1</formula>
    </cfRule>
  </conditionalFormatting>
  <conditionalFormatting sqref="K1066:O1066 H1066:I1066">
    <cfRule type="expression" dxfId="513" priority="507">
      <formula>#REF!="OK"</formula>
    </cfRule>
  </conditionalFormatting>
  <conditionalFormatting sqref="AA1066:AJ1066">
    <cfRule type="cellIs" dxfId="512" priority="508" operator="greaterThanOrEqual">
      <formula>1</formula>
    </cfRule>
  </conditionalFormatting>
  <conditionalFormatting sqref="AA1066:AJ1066">
    <cfRule type="cellIs" dxfId="511" priority="506" operator="greaterThanOrEqual">
      <formula>1</formula>
    </cfRule>
  </conditionalFormatting>
  <conditionalFormatting sqref="AA1066:AJ1066">
    <cfRule type="cellIs" dxfId="510" priority="505" operator="greaterThanOrEqual">
      <formula>1</formula>
    </cfRule>
  </conditionalFormatting>
  <conditionalFormatting sqref="AA1066:AJ1066">
    <cfRule type="cellIs" dxfId="509" priority="504" operator="greaterThanOrEqual">
      <formula>1</formula>
    </cfRule>
  </conditionalFormatting>
  <conditionalFormatting sqref="AA1066:AJ1066">
    <cfRule type="cellIs" dxfId="508" priority="503" operator="greaterThanOrEqual">
      <formula>1</formula>
    </cfRule>
  </conditionalFormatting>
  <conditionalFormatting sqref="AA1066:AJ1066">
    <cfRule type="cellIs" dxfId="507" priority="502" operator="greaterThanOrEqual">
      <formula>1</formula>
    </cfRule>
  </conditionalFormatting>
  <conditionalFormatting sqref="AA1066:AJ1066">
    <cfRule type="cellIs" dxfId="506" priority="501" operator="greaterThanOrEqual">
      <formula>1</formula>
    </cfRule>
  </conditionalFormatting>
  <conditionalFormatting sqref="AA1066:AJ1066">
    <cfRule type="cellIs" dxfId="505" priority="500" operator="greaterThanOrEqual">
      <formula>1</formula>
    </cfRule>
  </conditionalFormatting>
  <conditionalFormatting sqref="K1066:O1066 H1066:I1066">
    <cfRule type="expression" dxfId="504" priority="498">
      <formula>#REF!="OK"</formula>
    </cfRule>
  </conditionalFormatting>
  <conditionalFormatting sqref="AA1066:AJ1066">
    <cfRule type="cellIs" dxfId="503" priority="499" operator="greaterThanOrEqual">
      <formula>1</formula>
    </cfRule>
  </conditionalFormatting>
  <conditionalFormatting sqref="AA1066:AJ1066">
    <cfRule type="cellIs" dxfId="502" priority="497" operator="greaterThanOrEqual">
      <formula>1</formula>
    </cfRule>
  </conditionalFormatting>
  <conditionalFormatting sqref="AA1066:AJ1066">
    <cfRule type="cellIs" dxfId="501" priority="496" operator="greaterThanOrEqual">
      <formula>1</formula>
    </cfRule>
  </conditionalFormatting>
  <conditionalFormatting sqref="AA1066:AJ1066">
    <cfRule type="cellIs" dxfId="500" priority="495" operator="greaterThanOrEqual">
      <formula>1</formula>
    </cfRule>
  </conditionalFormatting>
  <conditionalFormatting sqref="AA1066:AJ1066">
    <cfRule type="cellIs" dxfId="499" priority="494" operator="greaterThanOrEqual">
      <formula>1</formula>
    </cfRule>
  </conditionalFormatting>
  <conditionalFormatting sqref="AA1066:AJ1066">
    <cfRule type="cellIs" dxfId="498" priority="493" operator="greaterThanOrEqual">
      <formula>1</formula>
    </cfRule>
  </conditionalFormatting>
  <conditionalFormatting sqref="AA1066:AJ1066">
    <cfRule type="cellIs" dxfId="497" priority="492" operator="greaterThanOrEqual">
      <formula>1</formula>
    </cfRule>
  </conditionalFormatting>
  <conditionalFormatting sqref="AA1066:AJ1066">
    <cfRule type="cellIs" dxfId="496" priority="491" operator="greaterThanOrEqual">
      <formula>1</formula>
    </cfRule>
  </conditionalFormatting>
  <conditionalFormatting sqref="E1066:F1066 AR1066:XFD1066 B1066:C1066">
    <cfRule type="expression" dxfId="495" priority="490">
      <formula>#REF!="OK"</formula>
    </cfRule>
  </conditionalFormatting>
  <conditionalFormatting sqref="K1066:O1066 H1066:I1066">
    <cfRule type="expression" dxfId="494" priority="488">
      <formula>#REF!="OK"</formula>
    </cfRule>
  </conditionalFormatting>
  <conditionalFormatting sqref="AA1066:AJ1066">
    <cfRule type="cellIs" dxfId="493" priority="489" operator="greaterThanOrEqual">
      <formula>1</formula>
    </cfRule>
  </conditionalFormatting>
  <conditionalFormatting sqref="AA1066:AJ1066">
    <cfRule type="cellIs" dxfId="492" priority="487" operator="greaterThanOrEqual">
      <formula>1</formula>
    </cfRule>
  </conditionalFormatting>
  <conditionalFormatting sqref="AA1066:AJ1066">
    <cfRule type="cellIs" dxfId="491" priority="486" operator="greaterThanOrEqual">
      <formula>1</formula>
    </cfRule>
  </conditionalFormatting>
  <conditionalFormatting sqref="AA1066:AJ1066">
    <cfRule type="cellIs" dxfId="490" priority="485" operator="greaterThanOrEqual">
      <formula>1</formula>
    </cfRule>
  </conditionalFormatting>
  <conditionalFormatting sqref="AA1066:AJ1066">
    <cfRule type="cellIs" dxfId="489" priority="484" operator="greaterThanOrEqual">
      <formula>1</formula>
    </cfRule>
  </conditionalFormatting>
  <conditionalFormatting sqref="AA1066:AJ1066">
    <cfRule type="cellIs" dxfId="488" priority="483" operator="greaterThanOrEqual">
      <formula>1</formula>
    </cfRule>
  </conditionalFormatting>
  <conditionalFormatting sqref="AA1066:AJ1066">
    <cfRule type="cellIs" dxfId="487" priority="482" operator="greaterThanOrEqual">
      <formula>1</formula>
    </cfRule>
  </conditionalFormatting>
  <conditionalFormatting sqref="AA1066:AJ1066">
    <cfRule type="cellIs" dxfId="486" priority="481" operator="greaterThanOrEqual">
      <formula>1</formula>
    </cfRule>
  </conditionalFormatting>
  <conditionalFormatting sqref="K1066:O1066 H1066:I1066">
    <cfRule type="expression" dxfId="485" priority="479">
      <formula>#REF!="OK"</formula>
    </cfRule>
  </conditionalFormatting>
  <conditionalFormatting sqref="AA1066:AJ1066">
    <cfRule type="cellIs" dxfId="484" priority="480" operator="greaterThanOrEqual">
      <formula>1</formula>
    </cfRule>
  </conditionalFormatting>
  <conditionalFormatting sqref="AA1066:AJ1066">
    <cfRule type="cellIs" dxfId="483" priority="478" operator="greaterThanOrEqual">
      <formula>1</formula>
    </cfRule>
  </conditionalFormatting>
  <conditionalFormatting sqref="AA1066:AJ1066">
    <cfRule type="cellIs" dxfId="482" priority="477" operator="greaterThanOrEqual">
      <formula>1</formula>
    </cfRule>
  </conditionalFormatting>
  <conditionalFormatting sqref="AA1066:AJ1066">
    <cfRule type="cellIs" dxfId="481" priority="476" operator="greaterThanOrEqual">
      <formula>1</formula>
    </cfRule>
  </conditionalFormatting>
  <conditionalFormatting sqref="AA1066:AJ1066">
    <cfRule type="cellIs" dxfId="480" priority="475" operator="greaterThanOrEqual">
      <formula>1</formula>
    </cfRule>
  </conditionalFormatting>
  <conditionalFormatting sqref="AA1066:AJ1066">
    <cfRule type="cellIs" dxfId="479" priority="474" operator="greaterThanOrEqual">
      <formula>1</formula>
    </cfRule>
  </conditionalFormatting>
  <conditionalFormatting sqref="AA1066:AJ1066">
    <cfRule type="cellIs" dxfId="478" priority="473" operator="greaterThanOrEqual">
      <formula>1</formula>
    </cfRule>
  </conditionalFormatting>
  <conditionalFormatting sqref="AA1066:AJ1066">
    <cfRule type="cellIs" dxfId="477" priority="472" operator="greaterThanOrEqual">
      <formula>1</formula>
    </cfRule>
  </conditionalFormatting>
  <conditionalFormatting sqref="K1066:O1066 H1066:I1066">
    <cfRule type="expression" dxfId="476" priority="470">
      <formula>#REF!="OK"</formula>
    </cfRule>
  </conditionalFormatting>
  <conditionalFormatting sqref="AA1066:AJ1066">
    <cfRule type="cellIs" dxfId="475" priority="471" operator="greaterThanOrEqual">
      <formula>1</formula>
    </cfRule>
  </conditionalFormatting>
  <conditionalFormatting sqref="AA1066:AJ1066">
    <cfRule type="cellIs" dxfId="474" priority="469" operator="greaterThanOrEqual">
      <formula>1</formula>
    </cfRule>
  </conditionalFormatting>
  <conditionalFormatting sqref="AA1066:AJ1066">
    <cfRule type="cellIs" dxfId="473" priority="468" operator="greaterThanOrEqual">
      <formula>1</formula>
    </cfRule>
  </conditionalFormatting>
  <conditionalFormatting sqref="AA1066:AJ1066">
    <cfRule type="cellIs" dxfId="472" priority="467" operator="greaterThanOrEqual">
      <formula>1</formula>
    </cfRule>
  </conditionalFormatting>
  <conditionalFormatting sqref="AA1066:AJ1066">
    <cfRule type="cellIs" dxfId="471" priority="466" operator="greaterThanOrEqual">
      <formula>1</formula>
    </cfRule>
  </conditionalFormatting>
  <conditionalFormatting sqref="AA1066:AJ1066">
    <cfRule type="cellIs" dxfId="470" priority="465" operator="greaterThanOrEqual">
      <formula>1</formula>
    </cfRule>
  </conditionalFormatting>
  <conditionalFormatting sqref="AA1066:AJ1066">
    <cfRule type="cellIs" dxfId="469" priority="464" operator="greaterThanOrEqual">
      <formula>1</formula>
    </cfRule>
  </conditionalFormatting>
  <conditionalFormatting sqref="AA1066:AJ1066">
    <cfRule type="cellIs" dxfId="468" priority="463" operator="greaterThanOrEqual">
      <formula>1</formula>
    </cfRule>
  </conditionalFormatting>
  <conditionalFormatting sqref="K1066:O1066 H1066:I1066">
    <cfRule type="expression" dxfId="467" priority="461">
      <formula>#REF!="OK"</formula>
    </cfRule>
  </conditionalFormatting>
  <conditionalFormatting sqref="AA1066:AJ1066">
    <cfRule type="cellIs" dxfId="466" priority="462" operator="greaterThanOrEqual">
      <formula>1</formula>
    </cfRule>
  </conditionalFormatting>
  <conditionalFormatting sqref="AA1066:AJ1066">
    <cfRule type="cellIs" dxfId="465" priority="460" operator="greaterThanOrEqual">
      <formula>1</formula>
    </cfRule>
  </conditionalFormatting>
  <conditionalFormatting sqref="AA1066:AJ1066">
    <cfRule type="cellIs" dxfId="464" priority="459" operator="greaterThanOrEqual">
      <formula>1</formula>
    </cfRule>
  </conditionalFormatting>
  <conditionalFormatting sqref="AA1066:AJ1066">
    <cfRule type="cellIs" dxfId="463" priority="458" operator="greaterThanOrEqual">
      <formula>1</formula>
    </cfRule>
  </conditionalFormatting>
  <conditionalFormatting sqref="AA1066:AJ1066">
    <cfRule type="cellIs" dxfId="462" priority="457" operator="greaterThanOrEqual">
      <formula>1</formula>
    </cfRule>
  </conditionalFormatting>
  <conditionalFormatting sqref="AA1066:AJ1066">
    <cfRule type="cellIs" dxfId="461" priority="456" operator="greaterThanOrEqual">
      <formula>1</formula>
    </cfRule>
  </conditionalFormatting>
  <conditionalFormatting sqref="AA1066:AJ1066">
    <cfRule type="cellIs" dxfId="460" priority="455" operator="greaterThanOrEqual">
      <formula>1</formula>
    </cfRule>
  </conditionalFormatting>
  <conditionalFormatting sqref="AA1066:AJ1066">
    <cfRule type="cellIs" dxfId="459" priority="454" operator="greaterThanOrEqual">
      <formula>1</formula>
    </cfRule>
  </conditionalFormatting>
  <conditionalFormatting sqref="K1066:O1066 H1066:I1066">
    <cfRule type="expression" dxfId="458" priority="452">
      <formula>#REF!="OK"</formula>
    </cfRule>
  </conditionalFormatting>
  <conditionalFormatting sqref="AA1066:AJ1066">
    <cfRule type="cellIs" dxfId="457" priority="453" operator="greaterThanOrEqual">
      <formula>1</formula>
    </cfRule>
  </conditionalFormatting>
  <conditionalFormatting sqref="AA1066:AJ1066">
    <cfRule type="cellIs" dxfId="456" priority="451" operator="greaterThanOrEqual">
      <formula>1</formula>
    </cfRule>
  </conditionalFormatting>
  <conditionalFormatting sqref="AA1066:AJ1066">
    <cfRule type="cellIs" dxfId="455" priority="450" operator="greaterThanOrEqual">
      <formula>1</formula>
    </cfRule>
  </conditionalFormatting>
  <conditionalFormatting sqref="AA1066:AJ1066">
    <cfRule type="cellIs" dxfId="454" priority="449" operator="greaterThanOrEqual">
      <formula>1</formula>
    </cfRule>
  </conditionalFormatting>
  <conditionalFormatting sqref="AA1066:AJ1066">
    <cfRule type="cellIs" dxfId="453" priority="448" operator="greaterThanOrEqual">
      <formula>1</formula>
    </cfRule>
  </conditionalFormatting>
  <conditionalFormatting sqref="AA1066:AJ1066">
    <cfRule type="cellIs" dxfId="452" priority="447" operator="greaterThanOrEqual">
      <formula>1</formula>
    </cfRule>
  </conditionalFormatting>
  <conditionalFormatting sqref="AA1066:AJ1066">
    <cfRule type="cellIs" dxfId="451" priority="446" operator="greaterThanOrEqual">
      <formula>1</formula>
    </cfRule>
  </conditionalFormatting>
  <conditionalFormatting sqref="AA1066:AJ1066">
    <cfRule type="cellIs" dxfId="450" priority="445" operator="greaterThanOrEqual">
      <formula>1</formula>
    </cfRule>
  </conditionalFormatting>
  <conditionalFormatting sqref="K1066:O1066 H1066:I1066">
    <cfRule type="expression" dxfId="449" priority="443">
      <formula>#REF!="OK"</formula>
    </cfRule>
  </conditionalFormatting>
  <conditionalFormatting sqref="AA1066:AJ1066">
    <cfRule type="cellIs" dxfId="448" priority="444" operator="greaterThanOrEqual">
      <formula>1</formula>
    </cfRule>
  </conditionalFormatting>
  <conditionalFormatting sqref="AA1066:AJ1066">
    <cfRule type="cellIs" dxfId="447" priority="442" operator="greaterThanOrEqual">
      <formula>1</formula>
    </cfRule>
  </conditionalFormatting>
  <conditionalFormatting sqref="AA1066:AJ1066">
    <cfRule type="cellIs" dxfId="446" priority="441" operator="greaterThanOrEqual">
      <formula>1</formula>
    </cfRule>
  </conditionalFormatting>
  <conditionalFormatting sqref="AA1066:AJ1066">
    <cfRule type="cellIs" dxfId="445" priority="440" operator="greaterThanOrEqual">
      <formula>1</formula>
    </cfRule>
  </conditionalFormatting>
  <conditionalFormatting sqref="AA1066:AJ1066">
    <cfRule type="cellIs" dxfId="444" priority="439" operator="greaterThanOrEqual">
      <formula>1</formula>
    </cfRule>
  </conditionalFormatting>
  <conditionalFormatting sqref="AA1066:AJ1066">
    <cfRule type="cellIs" dxfId="443" priority="438" operator="greaterThanOrEqual">
      <formula>1</formula>
    </cfRule>
  </conditionalFormatting>
  <conditionalFormatting sqref="AA1066:AJ1066">
    <cfRule type="cellIs" dxfId="442" priority="437" operator="greaterThanOrEqual">
      <formula>1</formula>
    </cfRule>
  </conditionalFormatting>
  <conditionalFormatting sqref="AA1066:AJ1066">
    <cfRule type="cellIs" dxfId="441" priority="436" operator="greaterThanOrEqual">
      <formula>1</formula>
    </cfRule>
  </conditionalFormatting>
  <conditionalFormatting sqref="K1066:O1066 H1066:I1066">
    <cfRule type="expression" dxfId="440" priority="434">
      <formula>#REF!="OK"</formula>
    </cfRule>
  </conditionalFormatting>
  <conditionalFormatting sqref="AA1066:AJ1066">
    <cfRule type="cellIs" dxfId="439" priority="435" operator="greaterThanOrEqual">
      <formula>1</formula>
    </cfRule>
  </conditionalFormatting>
  <conditionalFormatting sqref="AA1066:AJ1066">
    <cfRule type="cellIs" dxfId="438" priority="433" operator="greaterThanOrEqual">
      <formula>1</formula>
    </cfRule>
  </conditionalFormatting>
  <conditionalFormatting sqref="AA1066:AJ1066">
    <cfRule type="cellIs" dxfId="437" priority="432" operator="greaterThanOrEqual">
      <formula>1</formula>
    </cfRule>
  </conditionalFormatting>
  <conditionalFormatting sqref="AA1066:AJ1066">
    <cfRule type="cellIs" dxfId="436" priority="431" operator="greaterThanOrEqual">
      <formula>1</formula>
    </cfRule>
  </conditionalFormatting>
  <conditionalFormatting sqref="AA1066:AJ1066">
    <cfRule type="cellIs" dxfId="435" priority="430" operator="greaterThanOrEqual">
      <formula>1</formula>
    </cfRule>
  </conditionalFormatting>
  <conditionalFormatting sqref="AA1066:AJ1066">
    <cfRule type="cellIs" dxfId="434" priority="429" operator="greaterThanOrEqual">
      <formula>1</formula>
    </cfRule>
  </conditionalFormatting>
  <conditionalFormatting sqref="AA1066:AJ1066">
    <cfRule type="cellIs" dxfId="433" priority="428" operator="greaterThanOrEqual">
      <formula>1</formula>
    </cfRule>
  </conditionalFormatting>
  <conditionalFormatting sqref="AA1066:AJ1066">
    <cfRule type="cellIs" dxfId="432" priority="427" operator="greaterThanOrEqual">
      <formula>1</formula>
    </cfRule>
  </conditionalFormatting>
  <conditionalFormatting sqref="K1066:O1066 H1066:I1066">
    <cfRule type="expression" dxfId="431" priority="425">
      <formula>#REF!="OK"</formula>
    </cfRule>
  </conditionalFormatting>
  <conditionalFormatting sqref="AA1066:AJ1066">
    <cfRule type="cellIs" dxfId="430" priority="426" operator="greaterThanOrEqual">
      <formula>1</formula>
    </cfRule>
  </conditionalFormatting>
  <conditionalFormatting sqref="AA1066:AJ1066">
    <cfRule type="cellIs" dxfId="429" priority="424" operator="greaterThanOrEqual">
      <formula>1</formula>
    </cfRule>
  </conditionalFormatting>
  <conditionalFormatting sqref="AA1066:AJ1066">
    <cfRule type="cellIs" dxfId="428" priority="423" operator="greaterThanOrEqual">
      <formula>1</formula>
    </cfRule>
  </conditionalFormatting>
  <conditionalFormatting sqref="AA1066:AJ1066">
    <cfRule type="cellIs" dxfId="427" priority="422" operator="greaterThanOrEqual">
      <formula>1</formula>
    </cfRule>
  </conditionalFormatting>
  <conditionalFormatting sqref="AA1066:AJ1066">
    <cfRule type="cellIs" dxfId="426" priority="421" operator="greaterThanOrEqual">
      <formula>1</formula>
    </cfRule>
  </conditionalFormatting>
  <conditionalFormatting sqref="AA1066:AJ1066">
    <cfRule type="cellIs" dxfId="425" priority="420" operator="greaterThanOrEqual">
      <formula>1</formula>
    </cfRule>
  </conditionalFormatting>
  <conditionalFormatting sqref="AA1066:AJ1066">
    <cfRule type="cellIs" dxfId="424" priority="419" operator="greaterThanOrEqual">
      <formula>1</formula>
    </cfRule>
  </conditionalFormatting>
  <conditionalFormatting sqref="AA1066:AJ1066">
    <cfRule type="cellIs" dxfId="423" priority="418" operator="greaterThanOrEqual">
      <formula>1</formula>
    </cfRule>
  </conditionalFormatting>
  <conditionalFormatting sqref="P1066:Z1066">
    <cfRule type="expression" dxfId="422" priority="416">
      <formula>$AI1398="OK"</formula>
    </cfRule>
    <cfRule type="expression" dxfId="421" priority="417">
      <formula>$AI1399="OK"</formula>
    </cfRule>
  </conditionalFormatting>
  <conditionalFormatting sqref="A1067">
    <cfRule type="expression" dxfId="420" priority="415">
      <formula>#REF!="OK"</formula>
    </cfRule>
  </conditionalFormatting>
  <conditionalFormatting sqref="AR1067:AS1067">
    <cfRule type="expression" dxfId="419" priority="414">
      <formula>#REF!="OK"</formula>
    </cfRule>
  </conditionalFormatting>
  <conditionalFormatting sqref="K1067:O1067 H1067:I1067">
    <cfRule type="expression" dxfId="418" priority="412">
      <formula>#REF!="OK"</formula>
    </cfRule>
  </conditionalFormatting>
  <conditionalFormatting sqref="AA1067:AJ1067">
    <cfRule type="cellIs" dxfId="417" priority="413" operator="greaterThanOrEqual">
      <formula>1</formula>
    </cfRule>
  </conditionalFormatting>
  <conditionalFormatting sqref="AA1067:AJ1067">
    <cfRule type="cellIs" dxfId="416" priority="411" operator="greaterThanOrEqual">
      <formula>1</formula>
    </cfRule>
  </conditionalFormatting>
  <conditionalFormatting sqref="AA1067:AJ1067">
    <cfRule type="cellIs" dxfId="415" priority="410" operator="greaterThanOrEqual">
      <formula>1</formula>
    </cfRule>
  </conditionalFormatting>
  <conditionalFormatting sqref="AA1067:AJ1067">
    <cfRule type="cellIs" dxfId="414" priority="409" operator="greaterThanOrEqual">
      <formula>1</formula>
    </cfRule>
  </conditionalFormatting>
  <conditionalFormatting sqref="AA1067:AJ1067">
    <cfRule type="cellIs" dxfId="413" priority="408" operator="greaterThanOrEqual">
      <formula>1</formula>
    </cfRule>
  </conditionalFormatting>
  <conditionalFormatting sqref="AA1067:AJ1067">
    <cfRule type="cellIs" dxfId="412" priority="407" operator="greaterThanOrEqual">
      <formula>1</formula>
    </cfRule>
  </conditionalFormatting>
  <conditionalFormatting sqref="AA1067:AJ1067">
    <cfRule type="cellIs" dxfId="411" priority="406" operator="greaterThanOrEqual">
      <formula>1</formula>
    </cfRule>
  </conditionalFormatting>
  <conditionalFormatting sqref="AA1067:AJ1067">
    <cfRule type="cellIs" dxfId="410" priority="405" operator="greaterThanOrEqual">
      <formula>1</formula>
    </cfRule>
  </conditionalFormatting>
  <conditionalFormatting sqref="K1067:O1067 H1067:I1067">
    <cfRule type="expression" dxfId="409" priority="403">
      <formula>#REF!="OK"</formula>
    </cfRule>
  </conditionalFormatting>
  <conditionalFormatting sqref="AA1067:AJ1067">
    <cfRule type="cellIs" dxfId="408" priority="404" operator="greaterThanOrEqual">
      <formula>1</formula>
    </cfRule>
  </conditionalFormatting>
  <conditionalFormatting sqref="AA1067:AJ1067">
    <cfRule type="cellIs" dxfId="407" priority="402" operator="greaterThanOrEqual">
      <formula>1</formula>
    </cfRule>
  </conditionalFormatting>
  <conditionalFormatting sqref="AA1067:AJ1067">
    <cfRule type="cellIs" dxfId="406" priority="401" operator="greaterThanOrEqual">
      <formula>1</formula>
    </cfRule>
  </conditionalFormatting>
  <conditionalFormatting sqref="AA1067:AJ1067">
    <cfRule type="cellIs" dxfId="405" priority="400" operator="greaterThanOrEqual">
      <formula>1</formula>
    </cfRule>
  </conditionalFormatting>
  <conditionalFormatting sqref="AA1067:AJ1067">
    <cfRule type="cellIs" dxfId="404" priority="399" operator="greaterThanOrEqual">
      <formula>1</formula>
    </cfRule>
  </conditionalFormatting>
  <conditionalFormatting sqref="AA1067:AJ1067">
    <cfRule type="cellIs" dxfId="403" priority="398" operator="greaterThanOrEqual">
      <formula>1</formula>
    </cfRule>
  </conditionalFormatting>
  <conditionalFormatting sqref="AA1067:AJ1067">
    <cfRule type="cellIs" dxfId="402" priority="397" operator="greaterThanOrEqual">
      <formula>1</formula>
    </cfRule>
  </conditionalFormatting>
  <conditionalFormatting sqref="AA1067:AJ1067">
    <cfRule type="cellIs" dxfId="401" priority="396" operator="greaterThanOrEqual">
      <formula>1</formula>
    </cfRule>
  </conditionalFormatting>
  <conditionalFormatting sqref="K1067:O1067 H1067:I1067">
    <cfRule type="expression" dxfId="400" priority="394">
      <formula>#REF!="OK"</formula>
    </cfRule>
  </conditionalFormatting>
  <conditionalFormatting sqref="AA1067:AJ1067">
    <cfRule type="cellIs" dxfId="399" priority="395" operator="greaterThanOrEqual">
      <formula>1</formula>
    </cfRule>
  </conditionalFormatting>
  <conditionalFormatting sqref="AA1067:AJ1067">
    <cfRule type="cellIs" dxfId="398" priority="393" operator="greaterThanOrEqual">
      <formula>1</formula>
    </cfRule>
  </conditionalFormatting>
  <conditionalFormatting sqref="AA1067:AJ1067">
    <cfRule type="cellIs" dxfId="397" priority="392" operator="greaterThanOrEqual">
      <formula>1</formula>
    </cfRule>
  </conditionalFormatting>
  <conditionalFormatting sqref="AA1067:AJ1067">
    <cfRule type="cellIs" dxfId="396" priority="391" operator="greaterThanOrEqual">
      <formula>1</formula>
    </cfRule>
  </conditionalFormatting>
  <conditionalFormatting sqref="AA1067:AJ1067">
    <cfRule type="cellIs" dxfId="395" priority="390" operator="greaterThanOrEqual">
      <formula>1</formula>
    </cfRule>
  </conditionalFormatting>
  <conditionalFormatting sqref="AA1067:AJ1067">
    <cfRule type="cellIs" dxfId="394" priority="389" operator="greaterThanOrEqual">
      <formula>1</formula>
    </cfRule>
  </conditionalFormatting>
  <conditionalFormatting sqref="AA1067:AJ1067">
    <cfRule type="cellIs" dxfId="393" priority="388" operator="greaterThanOrEqual">
      <formula>1</formula>
    </cfRule>
  </conditionalFormatting>
  <conditionalFormatting sqref="AA1067:AJ1067">
    <cfRule type="cellIs" dxfId="392" priority="387" operator="greaterThanOrEqual">
      <formula>1</formula>
    </cfRule>
  </conditionalFormatting>
  <conditionalFormatting sqref="K1067:O1067 H1067:I1067">
    <cfRule type="expression" dxfId="391" priority="385">
      <formula>#REF!="OK"</formula>
    </cfRule>
  </conditionalFormatting>
  <conditionalFormatting sqref="AA1067:AJ1067">
    <cfRule type="cellIs" dxfId="390" priority="386" operator="greaterThanOrEqual">
      <formula>1</formula>
    </cfRule>
  </conditionalFormatting>
  <conditionalFormatting sqref="AA1067:AJ1067">
    <cfRule type="cellIs" dxfId="389" priority="384" operator="greaterThanOrEqual">
      <formula>1</formula>
    </cfRule>
  </conditionalFormatting>
  <conditionalFormatting sqref="AA1067:AJ1067">
    <cfRule type="cellIs" dxfId="388" priority="383" operator="greaterThanOrEqual">
      <formula>1</formula>
    </cfRule>
  </conditionalFormatting>
  <conditionalFormatting sqref="AA1067:AJ1067">
    <cfRule type="cellIs" dxfId="387" priority="382" operator="greaterThanOrEqual">
      <formula>1</formula>
    </cfRule>
  </conditionalFormatting>
  <conditionalFormatting sqref="AA1067:AJ1067">
    <cfRule type="cellIs" dxfId="386" priority="381" operator="greaterThanOrEqual">
      <formula>1</formula>
    </cfRule>
  </conditionalFormatting>
  <conditionalFormatting sqref="AA1067:AJ1067">
    <cfRule type="cellIs" dxfId="385" priority="380" operator="greaterThanOrEqual">
      <formula>1</formula>
    </cfRule>
  </conditionalFormatting>
  <conditionalFormatting sqref="AA1067:AJ1067">
    <cfRule type="cellIs" dxfId="384" priority="379" operator="greaterThanOrEqual">
      <formula>1</formula>
    </cfRule>
  </conditionalFormatting>
  <conditionalFormatting sqref="AA1067:AJ1067">
    <cfRule type="cellIs" dxfId="383" priority="378" operator="greaterThanOrEqual">
      <formula>1</formula>
    </cfRule>
  </conditionalFormatting>
  <conditionalFormatting sqref="K1067:O1067 H1067:I1067">
    <cfRule type="expression" dxfId="382" priority="376">
      <formula>#REF!="OK"</formula>
    </cfRule>
  </conditionalFormatting>
  <conditionalFormatting sqref="AA1067:AJ1067">
    <cfRule type="cellIs" dxfId="381" priority="377" operator="greaterThanOrEqual">
      <formula>1</formula>
    </cfRule>
  </conditionalFormatting>
  <conditionalFormatting sqref="AA1067:AJ1067">
    <cfRule type="cellIs" dxfId="380" priority="375" operator="greaterThanOrEqual">
      <formula>1</formula>
    </cfRule>
  </conditionalFormatting>
  <conditionalFormatting sqref="AA1067:AJ1067">
    <cfRule type="cellIs" dxfId="379" priority="374" operator="greaterThanOrEqual">
      <formula>1</formula>
    </cfRule>
  </conditionalFormatting>
  <conditionalFormatting sqref="AA1067:AJ1067">
    <cfRule type="cellIs" dxfId="378" priority="373" operator="greaterThanOrEqual">
      <formula>1</formula>
    </cfRule>
  </conditionalFormatting>
  <conditionalFormatting sqref="AA1067:AJ1067">
    <cfRule type="cellIs" dxfId="377" priority="372" operator="greaterThanOrEqual">
      <formula>1</formula>
    </cfRule>
  </conditionalFormatting>
  <conditionalFormatting sqref="AA1067:AJ1067">
    <cfRule type="cellIs" dxfId="376" priority="371" operator="greaterThanOrEqual">
      <formula>1</formula>
    </cfRule>
  </conditionalFormatting>
  <conditionalFormatting sqref="AA1067:AJ1067">
    <cfRule type="cellIs" dxfId="375" priority="370" operator="greaterThanOrEqual">
      <formula>1</formula>
    </cfRule>
  </conditionalFormatting>
  <conditionalFormatting sqref="AA1067:AJ1067">
    <cfRule type="cellIs" dxfId="374" priority="369" operator="greaterThanOrEqual">
      <formula>1</formula>
    </cfRule>
  </conditionalFormatting>
  <conditionalFormatting sqref="K1067:O1067 H1067:I1067">
    <cfRule type="expression" dxfId="373" priority="367">
      <formula>#REF!="OK"</formula>
    </cfRule>
  </conditionalFormatting>
  <conditionalFormatting sqref="AA1067:AJ1067">
    <cfRule type="cellIs" dxfId="372" priority="368" operator="greaterThanOrEqual">
      <formula>1</formula>
    </cfRule>
  </conditionalFormatting>
  <conditionalFormatting sqref="AA1067:AJ1067">
    <cfRule type="cellIs" dxfId="371" priority="366" operator="greaterThanOrEqual">
      <formula>1</formula>
    </cfRule>
  </conditionalFormatting>
  <conditionalFormatting sqref="AA1067:AJ1067">
    <cfRule type="cellIs" dxfId="370" priority="365" operator="greaterThanOrEqual">
      <formula>1</formula>
    </cfRule>
  </conditionalFormatting>
  <conditionalFormatting sqref="AA1067:AJ1067">
    <cfRule type="cellIs" dxfId="369" priority="364" operator="greaterThanOrEqual">
      <formula>1</formula>
    </cfRule>
  </conditionalFormatting>
  <conditionalFormatting sqref="AA1067:AJ1067">
    <cfRule type="cellIs" dxfId="368" priority="363" operator="greaterThanOrEqual">
      <formula>1</formula>
    </cfRule>
  </conditionalFormatting>
  <conditionalFormatting sqref="AA1067:AJ1067">
    <cfRule type="cellIs" dxfId="367" priority="362" operator="greaterThanOrEqual">
      <formula>1</formula>
    </cfRule>
  </conditionalFormatting>
  <conditionalFormatting sqref="AA1067:AJ1067">
    <cfRule type="cellIs" dxfId="366" priority="361" operator="greaterThanOrEqual">
      <formula>1</formula>
    </cfRule>
  </conditionalFormatting>
  <conditionalFormatting sqref="AA1067:AJ1067">
    <cfRule type="cellIs" dxfId="365" priority="360" operator="greaterThanOrEqual">
      <formula>1</formula>
    </cfRule>
  </conditionalFormatting>
  <conditionalFormatting sqref="K1067:O1067 H1067:I1067">
    <cfRule type="expression" dxfId="364" priority="358">
      <formula>#REF!="OK"</formula>
    </cfRule>
  </conditionalFormatting>
  <conditionalFormatting sqref="AA1067:AJ1067">
    <cfRule type="cellIs" dxfId="363" priority="359" operator="greaterThanOrEqual">
      <formula>1</formula>
    </cfRule>
  </conditionalFormatting>
  <conditionalFormatting sqref="AA1067:AJ1067">
    <cfRule type="cellIs" dxfId="362" priority="357" operator="greaterThanOrEqual">
      <formula>1</formula>
    </cfRule>
  </conditionalFormatting>
  <conditionalFormatting sqref="AA1067:AJ1067">
    <cfRule type="cellIs" dxfId="361" priority="356" operator="greaterThanOrEqual">
      <formula>1</formula>
    </cfRule>
  </conditionalFormatting>
  <conditionalFormatting sqref="AA1067:AJ1067">
    <cfRule type="cellIs" dxfId="360" priority="355" operator="greaterThanOrEqual">
      <formula>1</formula>
    </cfRule>
  </conditionalFormatting>
  <conditionalFormatting sqref="AA1067:AJ1067">
    <cfRule type="cellIs" dxfId="359" priority="354" operator="greaterThanOrEqual">
      <formula>1</formula>
    </cfRule>
  </conditionalFormatting>
  <conditionalFormatting sqref="AA1067:AJ1067">
    <cfRule type="cellIs" dxfId="358" priority="353" operator="greaterThanOrEqual">
      <formula>1</formula>
    </cfRule>
  </conditionalFormatting>
  <conditionalFormatting sqref="AA1067:AJ1067">
    <cfRule type="cellIs" dxfId="357" priority="352" operator="greaterThanOrEqual">
      <formula>1</formula>
    </cfRule>
  </conditionalFormatting>
  <conditionalFormatting sqref="AA1067:AJ1067">
    <cfRule type="cellIs" dxfId="356" priority="351" operator="greaterThanOrEqual">
      <formula>1</formula>
    </cfRule>
  </conditionalFormatting>
  <conditionalFormatting sqref="K1067:O1067 H1067:I1067">
    <cfRule type="expression" dxfId="355" priority="349">
      <formula>#REF!="OK"</formula>
    </cfRule>
  </conditionalFormatting>
  <conditionalFormatting sqref="AA1067:AJ1067">
    <cfRule type="cellIs" dxfId="354" priority="350" operator="greaterThanOrEqual">
      <formula>1</formula>
    </cfRule>
  </conditionalFormatting>
  <conditionalFormatting sqref="AA1067:AJ1067">
    <cfRule type="cellIs" dxfId="353" priority="348" operator="greaterThanOrEqual">
      <formula>1</formula>
    </cfRule>
  </conditionalFormatting>
  <conditionalFormatting sqref="AA1067:AJ1067">
    <cfRule type="cellIs" dxfId="352" priority="347" operator="greaterThanOrEqual">
      <formula>1</formula>
    </cfRule>
  </conditionalFormatting>
  <conditionalFormatting sqref="AA1067:AJ1067">
    <cfRule type="cellIs" dxfId="351" priority="346" operator="greaterThanOrEqual">
      <formula>1</formula>
    </cfRule>
  </conditionalFormatting>
  <conditionalFormatting sqref="AA1067:AJ1067">
    <cfRule type="cellIs" dxfId="350" priority="345" operator="greaterThanOrEqual">
      <formula>1</formula>
    </cfRule>
  </conditionalFormatting>
  <conditionalFormatting sqref="AA1067:AJ1067">
    <cfRule type="cellIs" dxfId="349" priority="344" operator="greaterThanOrEqual">
      <formula>1</formula>
    </cfRule>
  </conditionalFormatting>
  <conditionalFormatting sqref="AA1067:AJ1067">
    <cfRule type="cellIs" dxfId="348" priority="343" operator="greaterThanOrEqual">
      <formula>1</formula>
    </cfRule>
  </conditionalFormatting>
  <conditionalFormatting sqref="AA1067:AJ1067">
    <cfRule type="cellIs" dxfId="347" priority="342" operator="greaterThanOrEqual">
      <formula>1</formula>
    </cfRule>
  </conditionalFormatting>
  <conditionalFormatting sqref="AR1067:AS1067">
    <cfRule type="expression" dxfId="346" priority="341">
      <formula>#REF!="OK"</formula>
    </cfRule>
  </conditionalFormatting>
  <conditionalFormatting sqref="K1067:O1067 H1067:I1067">
    <cfRule type="expression" dxfId="345" priority="339">
      <formula>#REF!="OK"</formula>
    </cfRule>
  </conditionalFormatting>
  <conditionalFormatting sqref="AA1067:AJ1067">
    <cfRule type="cellIs" dxfId="344" priority="340" operator="greaterThanOrEqual">
      <formula>1</formula>
    </cfRule>
  </conditionalFormatting>
  <conditionalFormatting sqref="AA1067:AJ1067">
    <cfRule type="cellIs" dxfId="343" priority="338" operator="greaterThanOrEqual">
      <formula>1</formula>
    </cfRule>
  </conditionalFormatting>
  <conditionalFormatting sqref="AA1067:AJ1067">
    <cfRule type="cellIs" dxfId="342" priority="337" operator="greaterThanOrEqual">
      <formula>1</formula>
    </cfRule>
  </conditionalFormatting>
  <conditionalFormatting sqref="AA1067:AJ1067">
    <cfRule type="cellIs" dxfId="341" priority="336" operator="greaterThanOrEqual">
      <formula>1</formula>
    </cfRule>
  </conditionalFormatting>
  <conditionalFormatting sqref="AA1067:AJ1067">
    <cfRule type="cellIs" dxfId="340" priority="335" operator="greaterThanOrEqual">
      <formula>1</formula>
    </cfRule>
  </conditionalFormatting>
  <conditionalFormatting sqref="AA1067:AJ1067">
    <cfRule type="cellIs" dxfId="339" priority="334" operator="greaterThanOrEqual">
      <formula>1</formula>
    </cfRule>
  </conditionalFormatting>
  <conditionalFormatting sqref="AA1067:AJ1067">
    <cfRule type="cellIs" dxfId="338" priority="333" operator="greaterThanOrEqual">
      <formula>1</formula>
    </cfRule>
  </conditionalFormatting>
  <conditionalFormatting sqref="AA1067:AJ1067">
    <cfRule type="cellIs" dxfId="337" priority="332" operator="greaterThanOrEqual">
      <formula>1</formula>
    </cfRule>
  </conditionalFormatting>
  <conditionalFormatting sqref="K1067:O1067 H1067:I1067">
    <cfRule type="expression" dxfId="336" priority="330">
      <formula>#REF!="OK"</formula>
    </cfRule>
  </conditionalFormatting>
  <conditionalFormatting sqref="AA1067:AJ1067">
    <cfRule type="cellIs" dxfId="335" priority="331" operator="greaterThanOrEqual">
      <formula>1</formula>
    </cfRule>
  </conditionalFormatting>
  <conditionalFormatting sqref="AA1067:AJ1067">
    <cfRule type="cellIs" dxfId="334" priority="329" operator="greaterThanOrEqual">
      <formula>1</formula>
    </cfRule>
  </conditionalFormatting>
  <conditionalFormatting sqref="AA1067:AJ1067">
    <cfRule type="cellIs" dxfId="333" priority="328" operator="greaterThanOrEqual">
      <formula>1</formula>
    </cfRule>
  </conditionalFormatting>
  <conditionalFormatting sqref="AA1067:AJ1067">
    <cfRule type="cellIs" dxfId="332" priority="327" operator="greaterThanOrEqual">
      <formula>1</formula>
    </cfRule>
  </conditionalFormatting>
  <conditionalFormatting sqref="AA1067:AJ1067">
    <cfRule type="cellIs" dxfId="331" priority="326" operator="greaterThanOrEqual">
      <formula>1</formula>
    </cfRule>
  </conditionalFormatting>
  <conditionalFormatting sqref="AA1067:AJ1067">
    <cfRule type="cellIs" dxfId="330" priority="325" operator="greaterThanOrEqual">
      <formula>1</formula>
    </cfRule>
  </conditionalFormatting>
  <conditionalFormatting sqref="AA1067:AJ1067">
    <cfRule type="cellIs" dxfId="329" priority="324" operator="greaterThanOrEqual">
      <formula>1</formula>
    </cfRule>
  </conditionalFormatting>
  <conditionalFormatting sqref="AA1067:AJ1067">
    <cfRule type="cellIs" dxfId="328" priority="323" operator="greaterThanOrEqual">
      <formula>1</formula>
    </cfRule>
  </conditionalFormatting>
  <conditionalFormatting sqref="K1067:O1067 H1067:I1067">
    <cfRule type="expression" dxfId="327" priority="321">
      <formula>#REF!="OK"</formula>
    </cfRule>
  </conditionalFormatting>
  <conditionalFormatting sqref="AA1067:AJ1067">
    <cfRule type="cellIs" dxfId="326" priority="322" operator="greaterThanOrEqual">
      <formula>1</formula>
    </cfRule>
  </conditionalFormatting>
  <conditionalFormatting sqref="AA1067:AJ1067">
    <cfRule type="cellIs" dxfId="325" priority="320" operator="greaterThanOrEqual">
      <formula>1</formula>
    </cfRule>
  </conditionalFormatting>
  <conditionalFormatting sqref="AA1067:AJ1067">
    <cfRule type="cellIs" dxfId="324" priority="319" operator="greaterThanOrEqual">
      <formula>1</formula>
    </cfRule>
  </conditionalFormatting>
  <conditionalFormatting sqref="AA1067:AJ1067">
    <cfRule type="cellIs" dxfId="323" priority="318" operator="greaterThanOrEqual">
      <formula>1</formula>
    </cfRule>
  </conditionalFormatting>
  <conditionalFormatting sqref="AA1067:AJ1067">
    <cfRule type="cellIs" dxfId="322" priority="317" operator="greaterThanOrEqual">
      <formula>1</formula>
    </cfRule>
  </conditionalFormatting>
  <conditionalFormatting sqref="AA1067:AJ1067">
    <cfRule type="cellIs" dxfId="321" priority="316" operator="greaterThanOrEqual">
      <formula>1</formula>
    </cfRule>
  </conditionalFormatting>
  <conditionalFormatting sqref="AA1067:AJ1067">
    <cfRule type="cellIs" dxfId="320" priority="315" operator="greaterThanOrEqual">
      <formula>1</formula>
    </cfRule>
  </conditionalFormatting>
  <conditionalFormatting sqref="AA1067:AJ1067">
    <cfRule type="cellIs" dxfId="319" priority="314" operator="greaterThanOrEqual">
      <formula>1</formula>
    </cfRule>
  </conditionalFormatting>
  <conditionalFormatting sqref="K1067:O1067 H1067:I1067">
    <cfRule type="expression" dxfId="318" priority="312">
      <formula>#REF!="OK"</formula>
    </cfRule>
  </conditionalFormatting>
  <conditionalFormatting sqref="AA1067:AJ1067">
    <cfRule type="cellIs" dxfId="317" priority="313" operator="greaterThanOrEqual">
      <formula>1</formula>
    </cfRule>
  </conditionalFormatting>
  <conditionalFormatting sqref="AA1067:AJ1067">
    <cfRule type="cellIs" dxfId="316" priority="311" operator="greaterThanOrEqual">
      <formula>1</formula>
    </cfRule>
  </conditionalFormatting>
  <conditionalFormatting sqref="AA1067:AJ1067">
    <cfRule type="cellIs" dxfId="315" priority="310" operator="greaterThanOrEqual">
      <formula>1</formula>
    </cfRule>
  </conditionalFormatting>
  <conditionalFormatting sqref="AA1067:AJ1067">
    <cfRule type="cellIs" dxfId="314" priority="309" operator="greaterThanOrEqual">
      <formula>1</formula>
    </cfRule>
  </conditionalFormatting>
  <conditionalFormatting sqref="AA1067:AJ1067">
    <cfRule type="cellIs" dxfId="313" priority="308" operator="greaterThanOrEqual">
      <formula>1</formula>
    </cfRule>
  </conditionalFormatting>
  <conditionalFormatting sqref="AA1067:AJ1067">
    <cfRule type="cellIs" dxfId="312" priority="307" operator="greaterThanOrEqual">
      <formula>1</formula>
    </cfRule>
  </conditionalFormatting>
  <conditionalFormatting sqref="AA1067:AJ1067">
    <cfRule type="cellIs" dxfId="311" priority="306" operator="greaterThanOrEqual">
      <formula>1</formula>
    </cfRule>
  </conditionalFormatting>
  <conditionalFormatting sqref="AA1067:AJ1067">
    <cfRule type="cellIs" dxfId="310" priority="305" operator="greaterThanOrEqual">
      <formula>1</formula>
    </cfRule>
  </conditionalFormatting>
  <conditionalFormatting sqref="K1067:O1067 H1067:I1067">
    <cfRule type="expression" dxfId="309" priority="303">
      <formula>#REF!="OK"</formula>
    </cfRule>
  </conditionalFormatting>
  <conditionalFormatting sqref="AA1067:AJ1067">
    <cfRule type="cellIs" dxfId="308" priority="304" operator="greaterThanOrEqual">
      <formula>1</formula>
    </cfRule>
  </conditionalFormatting>
  <conditionalFormatting sqref="AA1067:AJ1067">
    <cfRule type="cellIs" dxfId="307" priority="302" operator="greaterThanOrEqual">
      <formula>1</formula>
    </cfRule>
  </conditionalFormatting>
  <conditionalFormatting sqref="AA1067:AJ1067">
    <cfRule type="cellIs" dxfId="306" priority="301" operator="greaterThanOrEqual">
      <formula>1</formula>
    </cfRule>
  </conditionalFormatting>
  <conditionalFormatting sqref="AA1067:AJ1067">
    <cfRule type="cellIs" dxfId="305" priority="300" operator="greaterThanOrEqual">
      <formula>1</formula>
    </cfRule>
  </conditionalFormatting>
  <conditionalFormatting sqref="AA1067:AJ1067">
    <cfRule type="cellIs" dxfId="304" priority="299" operator="greaterThanOrEqual">
      <formula>1</formula>
    </cfRule>
  </conditionalFormatting>
  <conditionalFormatting sqref="AA1067:AJ1067">
    <cfRule type="cellIs" dxfId="303" priority="298" operator="greaterThanOrEqual">
      <formula>1</formula>
    </cfRule>
  </conditionalFormatting>
  <conditionalFormatting sqref="AA1067:AJ1067">
    <cfRule type="cellIs" dxfId="302" priority="297" operator="greaterThanOrEqual">
      <formula>1</formula>
    </cfRule>
  </conditionalFormatting>
  <conditionalFormatting sqref="AA1067:AJ1067">
    <cfRule type="cellIs" dxfId="301" priority="296" operator="greaterThanOrEqual">
      <formula>1</formula>
    </cfRule>
  </conditionalFormatting>
  <conditionalFormatting sqref="K1067:O1067 H1067:I1067">
    <cfRule type="expression" dxfId="300" priority="294">
      <formula>#REF!="OK"</formula>
    </cfRule>
  </conditionalFormatting>
  <conditionalFormatting sqref="AA1067:AJ1067">
    <cfRule type="cellIs" dxfId="299" priority="295" operator="greaterThanOrEqual">
      <formula>1</formula>
    </cfRule>
  </conditionalFormatting>
  <conditionalFormatting sqref="AA1067:AJ1067">
    <cfRule type="cellIs" dxfId="298" priority="293" operator="greaterThanOrEqual">
      <formula>1</formula>
    </cfRule>
  </conditionalFormatting>
  <conditionalFormatting sqref="AA1067:AJ1067">
    <cfRule type="cellIs" dxfId="297" priority="292" operator="greaterThanOrEqual">
      <formula>1</formula>
    </cfRule>
  </conditionalFormatting>
  <conditionalFormatting sqref="AA1067:AJ1067">
    <cfRule type="cellIs" dxfId="296" priority="291" operator="greaterThanOrEqual">
      <formula>1</formula>
    </cfRule>
  </conditionalFormatting>
  <conditionalFormatting sqref="AA1067:AJ1067">
    <cfRule type="cellIs" dxfId="295" priority="290" operator="greaterThanOrEqual">
      <formula>1</formula>
    </cfRule>
  </conditionalFormatting>
  <conditionalFormatting sqref="AA1067:AJ1067">
    <cfRule type="cellIs" dxfId="294" priority="289" operator="greaterThanOrEqual">
      <formula>1</formula>
    </cfRule>
  </conditionalFormatting>
  <conditionalFormatting sqref="AA1067:AJ1067">
    <cfRule type="cellIs" dxfId="293" priority="288" operator="greaterThanOrEqual">
      <formula>1</formula>
    </cfRule>
  </conditionalFormatting>
  <conditionalFormatting sqref="AA1067:AJ1067">
    <cfRule type="cellIs" dxfId="292" priority="287" operator="greaterThanOrEqual">
      <formula>1</formula>
    </cfRule>
  </conditionalFormatting>
  <conditionalFormatting sqref="K1067:O1067 H1067:I1067">
    <cfRule type="expression" dxfId="291" priority="285">
      <formula>#REF!="OK"</formula>
    </cfRule>
  </conditionalFormatting>
  <conditionalFormatting sqref="AA1067:AJ1067">
    <cfRule type="cellIs" dxfId="290" priority="286" operator="greaterThanOrEqual">
      <formula>1</formula>
    </cfRule>
  </conditionalFormatting>
  <conditionalFormatting sqref="AA1067:AJ1067">
    <cfRule type="cellIs" dxfId="289" priority="284" operator="greaterThanOrEqual">
      <formula>1</formula>
    </cfRule>
  </conditionalFormatting>
  <conditionalFormatting sqref="AA1067:AJ1067">
    <cfRule type="cellIs" dxfId="288" priority="283" operator="greaterThanOrEqual">
      <formula>1</formula>
    </cfRule>
  </conditionalFormatting>
  <conditionalFormatting sqref="AA1067:AJ1067">
    <cfRule type="cellIs" dxfId="287" priority="282" operator="greaterThanOrEqual">
      <formula>1</formula>
    </cfRule>
  </conditionalFormatting>
  <conditionalFormatting sqref="AA1067:AJ1067">
    <cfRule type="cellIs" dxfId="286" priority="281" operator="greaterThanOrEqual">
      <formula>1</formula>
    </cfRule>
  </conditionalFormatting>
  <conditionalFormatting sqref="AA1067:AJ1067">
    <cfRule type="cellIs" dxfId="285" priority="280" operator="greaterThanOrEqual">
      <formula>1</formula>
    </cfRule>
  </conditionalFormatting>
  <conditionalFormatting sqref="AA1067:AJ1067">
    <cfRule type="cellIs" dxfId="284" priority="279" operator="greaterThanOrEqual">
      <formula>1</formula>
    </cfRule>
  </conditionalFormatting>
  <conditionalFormatting sqref="AA1067:AJ1067">
    <cfRule type="cellIs" dxfId="283" priority="278" operator="greaterThanOrEqual">
      <formula>1</formula>
    </cfRule>
  </conditionalFormatting>
  <conditionalFormatting sqref="K1067:O1067 H1067:I1067">
    <cfRule type="expression" dxfId="282" priority="276">
      <formula>#REF!="OK"</formula>
    </cfRule>
  </conditionalFormatting>
  <conditionalFormatting sqref="AA1067:AJ1067">
    <cfRule type="cellIs" dxfId="281" priority="277" operator="greaterThanOrEqual">
      <formula>1</formula>
    </cfRule>
  </conditionalFormatting>
  <conditionalFormatting sqref="AA1067:AJ1067">
    <cfRule type="cellIs" dxfId="280" priority="275" operator="greaterThanOrEqual">
      <formula>1</formula>
    </cfRule>
  </conditionalFormatting>
  <conditionalFormatting sqref="AA1067:AJ1067">
    <cfRule type="cellIs" dxfId="279" priority="274" operator="greaterThanOrEqual">
      <formula>1</formula>
    </cfRule>
  </conditionalFormatting>
  <conditionalFormatting sqref="AA1067:AJ1067">
    <cfRule type="cellIs" dxfId="278" priority="273" operator="greaterThanOrEqual">
      <formula>1</formula>
    </cfRule>
  </conditionalFormatting>
  <conditionalFormatting sqref="AA1067:AJ1067">
    <cfRule type="cellIs" dxfId="277" priority="272" operator="greaterThanOrEqual">
      <formula>1</formula>
    </cfRule>
  </conditionalFormatting>
  <conditionalFormatting sqref="AA1067:AJ1067">
    <cfRule type="cellIs" dxfId="276" priority="271" operator="greaterThanOrEqual">
      <formula>1</formula>
    </cfRule>
  </conditionalFormatting>
  <conditionalFormatting sqref="AA1067:AJ1067">
    <cfRule type="cellIs" dxfId="275" priority="270" operator="greaterThanOrEqual">
      <formula>1</formula>
    </cfRule>
  </conditionalFormatting>
  <conditionalFormatting sqref="AA1067:AJ1067">
    <cfRule type="cellIs" dxfId="274" priority="269" operator="greaterThanOrEqual">
      <formula>1</formula>
    </cfRule>
  </conditionalFormatting>
  <conditionalFormatting sqref="P1067:Z1067">
    <cfRule type="expression" dxfId="273" priority="267">
      <formula>$AI1399="OK"</formula>
    </cfRule>
    <cfRule type="expression" dxfId="272" priority="268">
      <formula>$AI1400="OK"</formula>
    </cfRule>
  </conditionalFormatting>
  <conditionalFormatting sqref="AR1067:AS1067">
    <cfRule type="expression" dxfId="271" priority="266">
      <formula>#REF!="OK"</formula>
    </cfRule>
  </conditionalFormatting>
  <conditionalFormatting sqref="K1067:O1067 H1067:I1067">
    <cfRule type="expression" dxfId="270" priority="264">
      <formula>#REF!="OK"</formula>
    </cfRule>
  </conditionalFormatting>
  <conditionalFormatting sqref="AA1067:AJ1067">
    <cfRule type="cellIs" dxfId="269" priority="265" operator="greaterThanOrEqual">
      <formula>1</formula>
    </cfRule>
  </conditionalFormatting>
  <conditionalFormatting sqref="AA1067:AJ1067">
    <cfRule type="cellIs" dxfId="268" priority="263" operator="greaterThanOrEqual">
      <formula>1</formula>
    </cfRule>
  </conditionalFormatting>
  <conditionalFormatting sqref="AA1067:AJ1067">
    <cfRule type="cellIs" dxfId="267" priority="262" operator="greaterThanOrEqual">
      <formula>1</formula>
    </cfRule>
  </conditionalFormatting>
  <conditionalFormatting sqref="AA1067:AJ1067">
    <cfRule type="cellIs" dxfId="266" priority="261" operator="greaterThanOrEqual">
      <formula>1</formula>
    </cfRule>
  </conditionalFormatting>
  <conditionalFormatting sqref="AA1067:AJ1067">
    <cfRule type="cellIs" dxfId="265" priority="260" operator="greaterThanOrEqual">
      <formula>1</formula>
    </cfRule>
  </conditionalFormatting>
  <conditionalFormatting sqref="AA1067:AJ1067">
    <cfRule type="cellIs" dxfId="264" priority="259" operator="greaterThanOrEqual">
      <formula>1</formula>
    </cfRule>
  </conditionalFormatting>
  <conditionalFormatting sqref="AA1067:AJ1067">
    <cfRule type="cellIs" dxfId="263" priority="258" operator="greaterThanOrEqual">
      <formula>1</formula>
    </cfRule>
  </conditionalFormatting>
  <conditionalFormatting sqref="AA1067:AJ1067">
    <cfRule type="cellIs" dxfId="262" priority="257" operator="greaterThanOrEqual">
      <formula>1</formula>
    </cfRule>
  </conditionalFormatting>
  <conditionalFormatting sqref="K1067:O1067 H1067:I1067">
    <cfRule type="expression" dxfId="261" priority="255">
      <formula>#REF!="OK"</formula>
    </cfRule>
  </conditionalFormatting>
  <conditionalFormatting sqref="AA1067:AJ1067">
    <cfRule type="cellIs" dxfId="260" priority="256" operator="greaterThanOrEqual">
      <formula>1</formula>
    </cfRule>
  </conditionalFormatting>
  <conditionalFormatting sqref="AA1067:AJ1067">
    <cfRule type="cellIs" dxfId="259" priority="254" operator="greaterThanOrEqual">
      <formula>1</formula>
    </cfRule>
  </conditionalFormatting>
  <conditionalFormatting sqref="AA1067:AJ1067">
    <cfRule type="cellIs" dxfId="258" priority="253" operator="greaterThanOrEqual">
      <formula>1</formula>
    </cfRule>
  </conditionalFormatting>
  <conditionalFormatting sqref="AA1067:AJ1067">
    <cfRule type="cellIs" dxfId="257" priority="252" operator="greaterThanOrEqual">
      <formula>1</formula>
    </cfRule>
  </conditionalFormatting>
  <conditionalFormatting sqref="AA1067:AJ1067">
    <cfRule type="cellIs" dxfId="256" priority="251" operator="greaterThanOrEqual">
      <formula>1</formula>
    </cfRule>
  </conditionalFormatting>
  <conditionalFormatting sqref="AA1067:AJ1067">
    <cfRule type="cellIs" dxfId="255" priority="250" operator="greaterThanOrEqual">
      <formula>1</formula>
    </cfRule>
  </conditionalFormatting>
  <conditionalFormatting sqref="AA1067:AJ1067">
    <cfRule type="cellIs" dxfId="254" priority="249" operator="greaterThanOrEqual">
      <formula>1</formula>
    </cfRule>
  </conditionalFormatting>
  <conditionalFormatting sqref="AA1067:AJ1067">
    <cfRule type="cellIs" dxfId="253" priority="248" operator="greaterThanOrEqual">
      <formula>1</formula>
    </cfRule>
  </conditionalFormatting>
  <conditionalFormatting sqref="K1067:O1067 H1067:I1067">
    <cfRule type="expression" dxfId="252" priority="246">
      <formula>#REF!="OK"</formula>
    </cfRule>
  </conditionalFormatting>
  <conditionalFormatting sqref="AA1067:AJ1067">
    <cfRule type="cellIs" dxfId="251" priority="247" operator="greaterThanOrEqual">
      <formula>1</formula>
    </cfRule>
  </conditionalFormatting>
  <conditionalFormatting sqref="AA1067:AJ1067">
    <cfRule type="cellIs" dxfId="250" priority="245" operator="greaterThanOrEqual">
      <formula>1</formula>
    </cfRule>
  </conditionalFormatting>
  <conditionalFormatting sqref="AA1067:AJ1067">
    <cfRule type="cellIs" dxfId="249" priority="244" operator="greaterThanOrEqual">
      <formula>1</formula>
    </cfRule>
  </conditionalFormatting>
  <conditionalFormatting sqref="AA1067:AJ1067">
    <cfRule type="cellIs" dxfId="248" priority="243" operator="greaterThanOrEqual">
      <formula>1</formula>
    </cfRule>
  </conditionalFormatting>
  <conditionalFormatting sqref="AA1067:AJ1067">
    <cfRule type="cellIs" dxfId="247" priority="242" operator="greaterThanOrEqual">
      <formula>1</formula>
    </cfRule>
  </conditionalFormatting>
  <conditionalFormatting sqref="AA1067:AJ1067">
    <cfRule type="cellIs" dxfId="246" priority="241" operator="greaterThanOrEqual">
      <formula>1</formula>
    </cfRule>
  </conditionalFormatting>
  <conditionalFormatting sqref="AA1067:AJ1067">
    <cfRule type="cellIs" dxfId="245" priority="240" operator="greaterThanOrEqual">
      <formula>1</formula>
    </cfRule>
  </conditionalFormatting>
  <conditionalFormatting sqref="AA1067:AJ1067">
    <cfRule type="cellIs" dxfId="244" priority="239" operator="greaterThanOrEqual">
      <formula>1</formula>
    </cfRule>
  </conditionalFormatting>
  <conditionalFormatting sqref="K1067:O1067 H1067:I1067">
    <cfRule type="expression" dxfId="243" priority="237">
      <formula>#REF!="OK"</formula>
    </cfRule>
  </conditionalFormatting>
  <conditionalFormatting sqref="AA1067:AJ1067">
    <cfRule type="cellIs" dxfId="242" priority="238" operator="greaterThanOrEqual">
      <formula>1</formula>
    </cfRule>
  </conditionalFormatting>
  <conditionalFormatting sqref="AA1067:AJ1067">
    <cfRule type="cellIs" dxfId="241" priority="236" operator="greaterThanOrEqual">
      <formula>1</formula>
    </cfRule>
  </conditionalFormatting>
  <conditionalFormatting sqref="AA1067:AJ1067">
    <cfRule type="cellIs" dxfId="240" priority="235" operator="greaterThanOrEqual">
      <formula>1</formula>
    </cfRule>
  </conditionalFormatting>
  <conditionalFormatting sqref="AA1067:AJ1067">
    <cfRule type="cellIs" dxfId="239" priority="234" operator="greaterThanOrEqual">
      <formula>1</formula>
    </cfRule>
  </conditionalFormatting>
  <conditionalFormatting sqref="AA1067:AJ1067">
    <cfRule type="cellIs" dxfId="238" priority="233" operator="greaterThanOrEqual">
      <formula>1</formula>
    </cfRule>
  </conditionalFormatting>
  <conditionalFormatting sqref="AA1067:AJ1067">
    <cfRule type="cellIs" dxfId="237" priority="232" operator="greaterThanOrEqual">
      <formula>1</formula>
    </cfRule>
  </conditionalFormatting>
  <conditionalFormatting sqref="AA1067:AJ1067">
    <cfRule type="cellIs" dxfId="236" priority="231" operator="greaterThanOrEqual">
      <formula>1</formula>
    </cfRule>
  </conditionalFormatting>
  <conditionalFormatting sqref="AA1067:AJ1067">
    <cfRule type="cellIs" dxfId="235" priority="230" operator="greaterThanOrEqual">
      <formula>1</formula>
    </cfRule>
  </conditionalFormatting>
  <conditionalFormatting sqref="K1067:O1067 H1067:I1067">
    <cfRule type="expression" dxfId="234" priority="228">
      <formula>#REF!="OK"</formula>
    </cfRule>
  </conditionalFormatting>
  <conditionalFormatting sqref="AA1067:AJ1067">
    <cfRule type="cellIs" dxfId="233" priority="229" operator="greaterThanOrEqual">
      <formula>1</formula>
    </cfRule>
  </conditionalFormatting>
  <conditionalFormatting sqref="AA1067:AJ1067">
    <cfRule type="cellIs" dxfId="232" priority="227" operator="greaterThanOrEqual">
      <formula>1</formula>
    </cfRule>
  </conditionalFormatting>
  <conditionalFormatting sqref="AA1067:AJ1067">
    <cfRule type="cellIs" dxfId="231" priority="226" operator="greaterThanOrEqual">
      <formula>1</formula>
    </cfRule>
  </conditionalFormatting>
  <conditionalFormatting sqref="AA1067:AJ1067">
    <cfRule type="cellIs" dxfId="230" priority="225" operator="greaterThanOrEqual">
      <formula>1</formula>
    </cfRule>
  </conditionalFormatting>
  <conditionalFormatting sqref="AA1067:AJ1067">
    <cfRule type="cellIs" dxfId="229" priority="224" operator="greaterThanOrEqual">
      <formula>1</formula>
    </cfRule>
  </conditionalFormatting>
  <conditionalFormatting sqref="AA1067:AJ1067">
    <cfRule type="cellIs" dxfId="228" priority="223" operator="greaterThanOrEqual">
      <formula>1</formula>
    </cfRule>
  </conditionalFormatting>
  <conditionalFormatting sqref="AA1067:AJ1067">
    <cfRule type="cellIs" dxfId="227" priority="222" operator="greaterThanOrEqual">
      <formula>1</formula>
    </cfRule>
  </conditionalFormatting>
  <conditionalFormatting sqref="AA1067:AJ1067">
    <cfRule type="cellIs" dxfId="226" priority="221" operator="greaterThanOrEqual">
      <formula>1</formula>
    </cfRule>
  </conditionalFormatting>
  <conditionalFormatting sqref="K1067:O1067 H1067:I1067">
    <cfRule type="expression" dxfId="225" priority="219">
      <formula>#REF!="OK"</formula>
    </cfRule>
  </conditionalFormatting>
  <conditionalFormatting sqref="AA1067:AJ1067">
    <cfRule type="cellIs" dxfId="224" priority="220" operator="greaterThanOrEqual">
      <formula>1</formula>
    </cfRule>
  </conditionalFormatting>
  <conditionalFormatting sqref="AA1067:AJ1067">
    <cfRule type="cellIs" dxfId="223" priority="218" operator="greaterThanOrEqual">
      <formula>1</formula>
    </cfRule>
  </conditionalFormatting>
  <conditionalFormatting sqref="AA1067:AJ1067">
    <cfRule type="cellIs" dxfId="222" priority="217" operator="greaterThanOrEqual">
      <formula>1</formula>
    </cfRule>
  </conditionalFormatting>
  <conditionalFormatting sqref="AA1067:AJ1067">
    <cfRule type="cellIs" dxfId="221" priority="216" operator="greaterThanOrEqual">
      <formula>1</formula>
    </cfRule>
  </conditionalFormatting>
  <conditionalFormatting sqref="AA1067:AJ1067">
    <cfRule type="cellIs" dxfId="220" priority="215" operator="greaterThanOrEqual">
      <formula>1</formula>
    </cfRule>
  </conditionalFormatting>
  <conditionalFormatting sqref="AA1067:AJ1067">
    <cfRule type="cellIs" dxfId="219" priority="214" operator="greaterThanOrEqual">
      <formula>1</formula>
    </cfRule>
  </conditionalFormatting>
  <conditionalFormatting sqref="AA1067:AJ1067">
    <cfRule type="cellIs" dxfId="218" priority="213" operator="greaterThanOrEqual">
      <formula>1</formula>
    </cfRule>
  </conditionalFormatting>
  <conditionalFormatting sqref="AA1067:AJ1067">
    <cfRule type="cellIs" dxfId="217" priority="212" operator="greaterThanOrEqual">
      <formula>1</formula>
    </cfRule>
  </conditionalFormatting>
  <conditionalFormatting sqref="K1067:O1067 H1067:I1067">
    <cfRule type="expression" dxfId="216" priority="210">
      <formula>#REF!="OK"</formula>
    </cfRule>
  </conditionalFormatting>
  <conditionalFormatting sqref="AA1067:AJ1067">
    <cfRule type="cellIs" dxfId="215" priority="211" operator="greaterThanOrEqual">
      <formula>1</formula>
    </cfRule>
  </conditionalFormatting>
  <conditionalFormatting sqref="AA1067:AJ1067">
    <cfRule type="cellIs" dxfId="214" priority="209" operator="greaterThanOrEqual">
      <formula>1</formula>
    </cfRule>
  </conditionalFormatting>
  <conditionalFormatting sqref="AA1067:AJ1067">
    <cfRule type="cellIs" dxfId="213" priority="208" operator="greaterThanOrEqual">
      <formula>1</formula>
    </cfRule>
  </conditionalFormatting>
  <conditionalFormatting sqref="AA1067:AJ1067">
    <cfRule type="cellIs" dxfId="212" priority="207" operator="greaterThanOrEqual">
      <formula>1</formula>
    </cfRule>
  </conditionalFormatting>
  <conditionalFormatting sqref="AA1067:AJ1067">
    <cfRule type="cellIs" dxfId="211" priority="206" operator="greaterThanOrEqual">
      <formula>1</formula>
    </cfRule>
  </conditionalFormatting>
  <conditionalFormatting sqref="AA1067:AJ1067">
    <cfRule type="cellIs" dxfId="210" priority="205" operator="greaterThanOrEqual">
      <formula>1</formula>
    </cfRule>
  </conditionalFormatting>
  <conditionalFormatting sqref="AA1067:AJ1067">
    <cfRule type="cellIs" dxfId="209" priority="204" operator="greaterThanOrEqual">
      <formula>1</formula>
    </cfRule>
  </conditionalFormatting>
  <conditionalFormatting sqref="AA1067:AJ1067">
    <cfRule type="cellIs" dxfId="208" priority="203" operator="greaterThanOrEqual">
      <formula>1</formula>
    </cfRule>
  </conditionalFormatting>
  <conditionalFormatting sqref="K1067:O1067 H1067:I1067">
    <cfRule type="expression" dxfId="207" priority="201">
      <formula>#REF!="OK"</formula>
    </cfRule>
  </conditionalFormatting>
  <conditionalFormatting sqref="AA1067:AJ1067">
    <cfRule type="cellIs" dxfId="206" priority="202" operator="greaterThanOrEqual">
      <formula>1</formula>
    </cfRule>
  </conditionalFormatting>
  <conditionalFormatting sqref="AA1067:AJ1067">
    <cfRule type="cellIs" dxfId="205" priority="200" operator="greaterThanOrEqual">
      <formula>1</formula>
    </cfRule>
  </conditionalFormatting>
  <conditionalFormatting sqref="AA1067:AJ1067">
    <cfRule type="cellIs" dxfId="204" priority="199" operator="greaterThanOrEqual">
      <formula>1</formula>
    </cfRule>
  </conditionalFormatting>
  <conditionalFormatting sqref="AA1067:AJ1067">
    <cfRule type="cellIs" dxfId="203" priority="198" operator="greaterThanOrEqual">
      <formula>1</formula>
    </cfRule>
  </conditionalFormatting>
  <conditionalFormatting sqref="AA1067:AJ1067">
    <cfRule type="cellIs" dxfId="202" priority="197" operator="greaterThanOrEqual">
      <formula>1</formula>
    </cfRule>
  </conditionalFormatting>
  <conditionalFormatting sqref="AA1067:AJ1067">
    <cfRule type="cellIs" dxfId="201" priority="196" operator="greaterThanOrEqual">
      <formula>1</formula>
    </cfRule>
  </conditionalFormatting>
  <conditionalFormatting sqref="AA1067:AJ1067">
    <cfRule type="cellIs" dxfId="200" priority="195" operator="greaterThanOrEqual">
      <formula>1</formula>
    </cfRule>
  </conditionalFormatting>
  <conditionalFormatting sqref="AA1067:AJ1067">
    <cfRule type="cellIs" dxfId="199" priority="194" operator="greaterThanOrEqual">
      <formula>1</formula>
    </cfRule>
  </conditionalFormatting>
  <conditionalFormatting sqref="AR1067:AS1067">
    <cfRule type="expression" dxfId="198" priority="193">
      <formula>#REF!="OK"</formula>
    </cfRule>
  </conditionalFormatting>
  <conditionalFormatting sqref="K1067:O1067 H1067:I1067">
    <cfRule type="expression" dxfId="197" priority="191">
      <formula>#REF!="OK"</formula>
    </cfRule>
  </conditionalFormatting>
  <conditionalFormatting sqref="AA1067:AJ1067">
    <cfRule type="cellIs" dxfId="196" priority="192" operator="greaterThanOrEqual">
      <formula>1</formula>
    </cfRule>
  </conditionalFormatting>
  <conditionalFormatting sqref="AA1067:AJ1067">
    <cfRule type="cellIs" dxfId="195" priority="190" operator="greaterThanOrEqual">
      <formula>1</formula>
    </cfRule>
  </conditionalFormatting>
  <conditionalFormatting sqref="AA1067:AJ1067">
    <cfRule type="cellIs" dxfId="194" priority="189" operator="greaterThanOrEqual">
      <formula>1</formula>
    </cfRule>
  </conditionalFormatting>
  <conditionalFormatting sqref="AA1067:AJ1067">
    <cfRule type="cellIs" dxfId="193" priority="188" operator="greaterThanOrEqual">
      <formula>1</formula>
    </cfRule>
  </conditionalFormatting>
  <conditionalFormatting sqref="AA1067:AJ1067">
    <cfRule type="cellIs" dxfId="192" priority="187" operator="greaterThanOrEqual">
      <formula>1</formula>
    </cfRule>
  </conditionalFormatting>
  <conditionalFormatting sqref="AA1067:AJ1067">
    <cfRule type="cellIs" dxfId="191" priority="186" operator="greaterThanOrEqual">
      <formula>1</formula>
    </cfRule>
  </conditionalFormatting>
  <conditionalFormatting sqref="AA1067:AJ1067">
    <cfRule type="cellIs" dxfId="190" priority="185" operator="greaterThanOrEqual">
      <formula>1</formula>
    </cfRule>
  </conditionalFormatting>
  <conditionalFormatting sqref="AA1067:AJ1067">
    <cfRule type="cellIs" dxfId="189" priority="184" operator="greaterThanOrEqual">
      <formula>1</formula>
    </cfRule>
  </conditionalFormatting>
  <conditionalFormatting sqref="K1067:O1067 H1067:I1067">
    <cfRule type="expression" dxfId="188" priority="182">
      <formula>#REF!="OK"</formula>
    </cfRule>
  </conditionalFormatting>
  <conditionalFormatting sqref="AA1067:AJ1067">
    <cfRule type="cellIs" dxfId="187" priority="183" operator="greaterThanOrEqual">
      <formula>1</formula>
    </cfRule>
  </conditionalFormatting>
  <conditionalFormatting sqref="AA1067:AJ1067">
    <cfRule type="cellIs" dxfId="186" priority="181" operator="greaterThanOrEqual">
      <formula>1</formula>
    </cfRule>
  </conditionalFormatting>
  <conditionalFormatting sqref="AA1067:AJ1067">
    <cfRule type="cellIs" dxfId="185" priority="180" operator="greaterThanOrEqual">
      <formula>1</formula>
    </cfRule>
  </conditionalFormatting>
  <conditionalFormatting sqref="AA1067:AJ1067">
    <cfRule type="cellIs" dxfId="184" priority="179" operator="greaterThanOrEqual">
      <formula>1</formula>
    </cfRule>
  </conditionalFormatting>
  <conditionalFormatting sqref="AA1067:AJ1067">
    <cfRule type="cellIs" dxfId="183" priority="178" operator="greaterThanOrEqual">
      <formula>1</formula>
    </cfRule>
  </conditionalFormatting>
  <conditionalFormatting sqref="AA1067:AJ1067">
    <cfRule type="cellIs" dxfId="182" priority="177" operator="greaterThanOrEqual">
      <formula>1</formula>
    </cfRule>
  </conditionalFormatting>
  <conditionalFormatting sqref="AA1067:AJ1067">
    <cfRule type="cellIs" dxfId="181" priority="176" operator="greaterThanOrEqual">
      <formula>1</formula>
    </cfRule>
  </conditionalFormatting>
  <conditionalFormatting sqref="AA1067:AJ1067">
    <cfRule type="cellIs" dxfId="180" priority="175" operator="greaterThanOrEqual">
      <formula>1</formula>
    </cfRule>
  </conditionalFormatting>
  <conditionalFormatting sqref="K1067:O1067 H1067:I1067">
    <cfRule type="expression" dxfId="179" priority="173">
      <formula>#REF!="OK"</formula>
    </cfRule>
  </conditionalFormatting>
  <conditionalFormatting sqref="AA1067:AJ1067">
    <cfRule type="cellIs" dxfId="178" priority="174" operator="greaterThanOrEqual">
      <formula>1</formula>
    </cfRule>
  </conditionalFormatting>
  <conditionalFormatting sqref="AA1067:AJ1067">
    <cfRule type="cellIs" dxfId="177" priority="172" operator="greaterThanOrEqual">
      <formula>1</formula>
    </cfRule>
  </conditionalFormatting>
  <conditionalFormatting sqref="AA1067:AJ1067">
    <cfRule type="cellIs" dxfId="176" priority="171" operator="greaterThanOrEqual">
      <formula>1</formula>
    </cfRule>
  </conditionalFormatting>
  <conditionalFormatting sqref="AA1067:AJ1067">
    <cfRule type="cellIs" dxfId="175" priority="170" operator="greaterThanOrEqual">
      <formula>1</formula>
    </cfRule>
  </conditionalFormatting>
  <conditionalFormatting sqref="AA1067:AJ1067">
    <cfRule type="cellIs" dxfId="174" priority="169" operator="greaterThanOrEqual">
      <formula>1</formula>
    </cfRule>
  </conditionalFormatting>
  <conditionalFormatting sqref="AA1067:AJ1067">
    <cfRule type="cellIs" dxfId="173" priority="168" operator="greaterThanOrEqual">
      <formula>1</formula>
    </cfRule>
  </conditionalFormatting>
  <conditionalFormatting sqref="AA1067:AJ1067">
    <cfRule type="cellIs" dxfId="172" priority="167" operator="greaterThanOrEqual">
      <formula>1</formula>
    </cfRule>
  </conditionalFormatting>
  <conditionalFormatting sqref="AA1067:AJ1067">
    <cfRule type="cellIs" dxfId="171" priority="166" operator="greaterThanOrEqual">
      <formula>1</formula>
    </cfRule>
  </conditionalFormatting>
  <conditionalFormatting sqref="K1067:O1067 H1067:I1067">
    <cfRule type="expression" dxfId="170" priority="164">
      <formula>#REF!="OK"</formula>
    </cfRule>
  </conditionalFormatting>
  <conditionalFormatting sqref="AA1067:AJ1067">
    <cfRule type="cellIs" dxfId="169" priority="165" operator="greaterThanOrEqual">
      <formula>1</formula>
    </cfRule>
  </conditionalFormatting>
  <conditionalFormatting sqref="AA1067:AJ1067">
    <cfRule type="cellIs" dxfId="168" priority="163" operator="greaterThanOrEqual">
      <formula>1</formula>
    </cfRule>
  </conditionalFormatting>
  <conditionalFormatting sqref="AA1067:AJ1067">
    <cfRule type="cellIs" dxfId="167" priority="162" operator="greaterThanOrEqual">
      <formula>1</formula>
    </cfRule>
  </conditionalFormatting>
  <conditionalFormatting sqref="AA1067:AJ1067">
    <cfRule type="cellIs" dxfId="166" priority="161" operator="greaterThanOrEqual">
      <formula>1</formula>
    </cfRule>
  </conditionalFormatting>
  <conditionalFormatting sqref="AA1067:AJ1067">
    <cfRule type="cellIs" dxfId="165" priority="160" operator="greaterThanOrEqual">
      <formula>1</formula>
    </cfRule>
  </conditionalFormatting>
  <conditionalFormatting sqref="AA1067:AJ1067">
    <cfRule type="cellIs" dxfId="164" priority="159" operator="greaterThanOrEqual">
      <formula>1</formula>
    </cfRule>
  </conditionalFormatting>
  <conditionalFormatting sqref="AA1067:AJ1067">
    <cfRule type="cellIs" dxfId="163" priority="158" operator="greaterThanOrEqual">
      <formula>1</formula>
    </cfRule>
  </conditionalFormatting>
  <conditionalFormatting sqref="AA1067:AJ1067">
    <cfRule type="cellIs" dxfId="162" priority="157" operator="greaterThanOrEqual">
      <formula>1</formula>
    </cfRule>
  </conditionalFormatting>
  <conditionalFormatting sqref="K1067:O1067 H1067:I1067">
    <cfRule type="expression" dxfId="161" priority="155">
      <formula>#REF!="OK"</formula>
    </cfRule>
  </conditionalFormatting>
  <conditionalFormatting sqref="AA1067:AJ1067">
    <cfRule type="cellIs" dxfId="160" priority="156" operator="greaterThanOrEqual">
      <formula>1</formula>
    </cfRule>
  </conditionalFormatting>
  <conditionalFormatting sqref="AA1067:AJ1067">
    <cfRule type="cellIs" dxfId="159" priority="154" operator="greaterThanOrEqual">
      <formula>1</formula>
    </cfRule>
  </conditionalFormatting>
  <conditionalFormatting sqref="AA1067:AJ1067">
    <cfRule type="cellIs" dxfId="158" priority="153" operator="greaterThanOrEqual">
      <formula>1</formula>
    </cfRule>
  </conditionalFormatting>
  <conditionalFormatting sqref="AA1067:AJ1067">
    <cfRule type="cellIs" dxfId="157" priority="152" operator="greaterThanOrEqual">
      <formula>1</formula>
    </cfRule>
  </conditionalFormatting>
  <conditionalFormatting sqref="AA1067:AJ1067">
    <cfRule type="cellIs" dxfId="156" priority="151" operator="greaterThanOrEqual">
      <formula>1</formula>
    </cfRule>
  </conditionalFormatting>
  <conditionalFormatting sqref="AA1067:AJ1067">
    <cfRule type="cellIs" dxfId="155" priority="150" operator="greaterThanOrEqual">
      <formula>1</formula>
    </cfRule>
  </conditionalFormatting>
  <conditionalFormatting sqref="AA1067:AJ1067">
    <cfRule type="cellIs" dxfId="154" priority="149" operator="greaterThanOrEqual">
      <formula>1</formula>
    </cfRule>
  </conditionalFormatting>
  <conditionalFormatting sqref="AA1067:AJ1067">
    <cfRule type="cellIs" dxfId="153" priority="148" operator="greaterThanOrEqual">
      <formula>1</formula>
    </cfRule>
  </conditionalFormatting>
  <conditionalFormatting sqref="K1067:O1067 H1067:I1067">
    <cfRule type="expression" dxfId="152" priority="146">
      <formula>#REF!="OK"</formula>
    </cfRule>
  </conditionalFormatting>
  <conditionalFormatting sqref="AA1067:AJ1067">
    <cfRule type="cellIs" dxfId="151" priority="147" operator="greaterThanOrEqual">
      <formula>1</formula>
    </cfRule>
  </conditionalFormatting>
  <conditionalFormatting sqref="AA1067:AJ1067">
    <cfRule type="cellIs" dxfId="150" priority="145" operator="greaterThanOrEqual">
      <formula>1</formula>
    </cfRule>
  </conditionalFormatting>
  <conditionalFormatting sqref="AA1067:AJ1067">
    <cfRule type="cellIs" dxfId="149" priority="144" operator="greaterThanOrEqual">
      <formula>1</formula>
    </cfRule>
  </conditionalFormatting>
  <conditionalFormatting sqref="AA1067:AJ1067">
    <cfRule type="cellIs" dxfId="148" priority="143" operator="greaterThanOrEqual">
      <formula>1</formula>
    </cfRule>
  </conditionalFormatting>
  <conditionalFormatting sqref="AA1067:AJ1067">
    <cfRule type="cellIs" dxfId="147" priority="142" operator="greaterThanOrEqual">
      <formula>1</formula>
    </cfRule>
  </conditionalFormatting>
  <conditionalFormatting sqref="AA1067:AJ1067">
    <cfRule type="cellIs" dxfId="146" priority="141" operator="greaterThanOrEqual">
      <formula>1</formula>
    </cfRule>
  </conditionalFormatting>
  <conditionalFormatting sqref="AA1067:AJ1067">
    <cfRule type="cellIs" dxfId="145" priority="140" operator="greaterThanOrEqual">
      <formula>1</formula>
    </cfRule>
  </conditionalFormatting>
  <conditionalFormatting sqref="AA1067:AJ1067">
    <cfRule type="cellIs" dxfId="144" priority="139" operator="greaterThanOrEqual">
      <formula>1</formula>
    </cfRule>
  </conditionalFormatting>
  <conditionalFormatting sqref="K1067:O1067 H1067:I1067">
    <cfRule type="expression" dxfId="143" priority="137">
      <formula>#REF!="OK"</formula>
    </cfRule>
  </conditionalFormatting>
  <conditionalFormatting sqref="AA1067:AJ1067">
    <cfRule type="cellIs" dxfId="142" priority="138" operator="greaterThanOrEqual">
      <formula>1</formula>
    </cfRule>
  </conditionalFormatting>
  <conditionalFormatting sqref="AA1067:AJ1067">
    <cfRule type="cellIs" dxfId="141" priority="136" operator="greaterThanOrEqual">
      <formula>1</formula>
    </cfRule>
  </conditionalFormatting>
  <conditionalFormatting sqref="AA1067:AJ1067">
    <cfRule type="cellIs" dxfId="140" priority="135" operator="greaterThanOrEqual">
      <formula>1</formula>
    </cfRule>
  </conditionalFormatting>
  <conditionalFormatting sqref="AA1067:AJ1067">
    <cfRule type="cellIs" dxfId="139" priority="134" operator="greaterThanOrEqual">
      <formula>1</formula>
    </cfRule>
  </conditionalFormatting>
  <conditionalFormatting sqref="AA1067:AJ1067">
    <cfRule type="cellIs" dxfId="138" priority="133" operator="greaterThanOrEqual">
      <formula>1</formula>
    </cfRule>
  </conditionalFormatting>
  <conditionalFormatting sqref="AA1067:AJ1067">
    <cfRule type="cellIs" dxfId="137" priority="132" operator="greaterThanOrEqual">
      <formula>1</formula>
    </cfRule>
  </conditionalFormatting>
  <conditionalFormatting sqref="AA1067:AJ1067">
    <cfRule type="cellIs" dxfId="136" priority="131" operator="greaterThanOrEqual">
      <formula>1</formula>
    </cfRule>
  </conditionalFormatting>
  <conditionalFormatting sqref="AA1067:AJ1067">
    <cfRule type="cellIs" dxfId="135" priority="130" operator="greaterThanOrEqual">
      <formula>1</formula>
    </cfRule>
  </conditionalFormatting>
  <conditionalFormatting sqref="K1067:O1067 H1067:I1067">
    <cfRule type="expression" dxfId="134" priority="128">
      <formula>#REF!="OK"</formula>
    </cfRule>
  </conditionalFormatting>
  <conditionalFormatting sqref="AA1067:AJ1067">
    <cfRule type="cellIs" dxfId="133" priority="129" operator="greaterThanOrEqual">
      <formula>1</formula>
    </cfRule>
  </conditionalFormatting>
  <conditionalFormatting sqref="AA1067:AJ1067">
    <cfRule type="cellIs" dxfId="132" priority="127" operator="greaterThanOrEqual">
      <formula>1</formula>
    </cfRule>
  </conditionalFormatting>
  <conditionalFormatting sqref="AA1067:AJ1067">
    <cfRule type="cellIs" dxfId="131" priority="126" operator="greaterThanOrEqual">
      <formula>1</formula>
    </cfRule>
  </conditionalFormatting>
  <conditionalFormatting sqref="AA1067:AJ1067">
    <cfRule type="cellIs" dxfId="130" priority="125" operator="greaterThanOrEqual">
      <formula>1</formula>
    </cfRule>
  </conditionalFormatting>
  <conditionalFormatting sqref="AA1067:AJ1067">
    <cfRule type="cellIs" dxfId="129" priority="124" operator="greaterThanOrEqual">
      <formula>1</formula>
    </cfRule>
  </conditionalFormatting>
  <conditionalFormatting sqref="AA1067:AJ1067">
    <cfRule type="cellIs" dxfId="128" priority="123" operator="greaterThanOrEqual">
      <formula>1</formula>
    </cfRule>
  </conditionalFormatting>
  <conditionalFormatting sqref="AA1067:AJ1067">
    <cfRule type="cellIs" dxfId="127" priority="122" operator="greaterThanOrEqual">
      <formula>1</formula>
    </cfRule>
  </conditionalFormatting>
  <conditionalFormatting sqref="AA1067:AJ1067">
    <cfRule type="cellIs" dxfId="126" priority="121" operator="greaterThanOrEqual">
      <formula>1</formula>
    </cfRule>
  </conditionalFormatting>
  <conditionalFormatting sqref="P1067:Z1067">
    <cfRule type="expression" dxfId="125" priority="119">
      <formula>$AI1399="OK"</formula>
    </cfRule>
    <cfRule type="expression" dxfId="124" priority="120">
      <formula>$AI1400="OK"</formula>
    </cfRule>
  </conditionalFormatting>
  <conditionalFormatting sqref="AA604:AH604">
    <cfRule type="cellIs" dxfId="123" priority="118" operator="greaterThanOrEqual">
      <formula>1</formula>
    </cfRule>
  </conditionalFormatting>
  <conditionalFormatting sqref="AA623:AH623">
    <cfRule type="expression" dxfId="122" priority="116">
      <formula>$AI623="OK"</formula>
    </cfRule>
  </conditionalFormatting>
  <conditionalFormatting sqref="AA623:AH623">
    <cfRule type="cellIs" dxfId="121" priority="117" operator="greaterThanOrEqual">
      <formula>1</formula>
    </cfRule>
  </conditionalFormatting>
  <conditionalFormatting sqref="AA121:AD121">
    <cfRule type="expression" dxfId="120" priority="28275">
      <formula>$AI121="OK"</formula>
    </cfRule>
  </conditionalFormatting>
  <conditionalFormatting sqref="AA122:AD122">
    <cfRule type="expression" dxfId="119" priority="115">
      <formula>$AI122="OK"</formula>
    </cfRule>
  </conditionalFormatting>
  <conditionalFormatting sqref="AA123:AD123">
    <cfRule type="expression" dxfId="118" priority="114">
      <formula>$AI123="OK"</formula>
    </cfRule>
  </conditionalFormatting>
  <conditionalFormatting sqref="AA124:AD124">
    <cfRule type="expression" dxfId="117" priority="113">
      <formula>$AI124="OK"</formula>
    </cfRule>
  </conditionalFormatting>
  <conditionalFormatting sqref="AA125:AD125">
    <cfRule type="expression" dxfId="116" priority="112">
      <formula>$AI125="OK"</formula>
    </cfRule>
  </conditionalFormatting>
  <conditionalFormatting sqref="AA127:AD127">
    <cfRule type="expression" dxfId="115" priority="111">
      <formula>$AI127="OK"</formula>
    </cfRule>
  </conditionalFormatting>
  <conditionalFormatting sqref="AA126:AD126">
    <cfRule type="expression" dxfId="114" priority="110">
      <formula>$AI126="OK"</formula>
    </cfRule>
  </conditionalFormatting>
  <conditionalFormatting sqref="AA818">
    <cfRule type="cellIs" dxfId="113" priority="108" operator="greaterThanOrEqual">
      <formula>1</formula>
    </cfRule>
    <cfRule type="expression" dxfId="112" priority="109">
      <formula>$AI818="OK"</formula>
    </cfRule>
  </conditionalFormatting>
  <conditionalFormatting sqref="AA819">
    <cfRule type="cellIs" dxfId="111" priority="106" operator="greaterThanOrEqual">
      <formula>1</formula>
    </cfRule>
    <cfRule type="expression" dxfId="110" priority="107">
      <formula>$AI819="OK"</formula>
    </cfRule>
  </conditionalFormatting>
  <conditionalFormatting sqref="AA822">
    <cfRule type="cellIs" dxfId="109" priority="104" operator="greaterThanOrEqual">
      <formula>1</formula>
    </cfRule>
    <cfRule type="expression" dxfId="108" priority="105">
      <formula>$AI822="OK"</formula>
    </cfRule>
  </conditionalFormatting>
  <conditionalFormatting sqref="AA823">
    <cfRule type="cellIs" dxfId="107" priority="102" operator="greaterThanOrEqual">
      <formula>1</formula>
    </cfRule>
    <cfRule type="expression" dxfId="106" priority="103">
      <formula>$AI823="OK"</formula>
    </cfRule>
  </conditionalFormatting>
  <conditionalFormatting sqref="AA824">
    <cfRule type="cellIs" dxfId="105" priority="100" operator="greaterThanOrEqual">
      <formula>1</formula>
    </cfRule>
    <cfRule type="expression" dxfId="104" priority="101">
      <formula>$AI824="OK"</formula>
    </cfRule>
  </conditionalFormatting>
  <conditionalFormatting sqref="AA825">
    <cfRule type="cellIs" dxfId="103" priority="98" operator="greaterThanOrEqual">
      <formula>1</formula>
    </cfRule>
    <cfRule type="expression" dxfId="102" priority="99">
      <formula>$AI825="OK"</formula>
    </cfRule>
  </conditionalFormatting>
  <conditionalFormatting sqref="AA826">
    <cfRule type="cellIs" dxfId="101" priority="96" operator="greaterThanOrEqual">
      <formula>1</formula>
    </cfRule>
    <cfRule type="expression" dxfId="100" priority="97">
      <formula>$AI826="OK"</formula>
    </cfRule>
  </conditionalFormatting>
  <conditionalFormatting sqref="AA827">
    <cfRule type="cellIs" dxfId="99" priority="94" operator="greaterThanOrEqual">
      <formula>1</formula>
    </cfRule>
    <cfRule type="expression" dxfId="98" priority="95">
      <formula>$AI827="OK"</formula>
    </cfRule>
  </conditionalFormatting>
  <conditionalFormatting sqref="AA828">
    <cfRule type="cellIs" dxfId="97" priority="92" operator="greaterThanOrEqual">
      <formula>1</formula>
    </cfRule>
    <cfRule type="expression" dxfId="96" priority="93">
      <formula>$AI828="OK"</formula>
    </cfRule>
  </conditionalFormatting>
  <conditionalFormatting sqref="AA830">
    <cfRule type="cellIs" dxfId="95" priority="90" operator="greaterThanOrEqual">
      <formula>1</formula>
    </cfRule>
    <cfRule type="expression" dxfId="94" priority="91">
      <formula>$AI830="OK"</formula>
    </cfRule>
  </conditionalFormatting>
  <conditionalFormatting sqref="AA829">
    <cfRule type="cellIs" dxfId="93" priority="88" operator="greaterThanOrEqual">
      <formula>1</formula>
    </cfRule>
    <cfRule type="expression" dxfId="92" priority="89">
      <formula>$AI829="OK"</formula>
    </cfRule>
  </conditionalFormatting>
  <conditionalFormatting sqref="AA831">
    <cfRule type="cellIs" dxfId="91" priority="86" operator="greaterThanOrEqual">
      <formula>1</formula>
    </cfRule>
    <cfRule type="expression" dxfId="90" priority="87">
      <formula>$AI831="OK"</formula>
    </cfRule>
  </conditionalFormatting>
  <conditionalFormatting sqref="AA832">
    <cfRule type="cellIs" dxfId="89" priority="84" operator="greaterThanOrEqual">
      <formula>1</formula>
    </cfRule>
    <cfRule type="expression" dxfId="88" priority="85">
      <formula>$AI832="OK"</formula>
    </cfRule>
  </conditionalFormatting>
  <conditionalFormatting sqref="AA833">
    <cfRule type="cellIs" dxfId="87" priority="82" operator="greaterThanOrEqual">
      <formula>1</formula>
    </cfRule>
    <cfRule type="expression" dxfId="86" priority="83">
      <formula>$AI833="OK"</formula>
    </cfRule>
  </conditionalFormatting>
  <conditionalFormatting sqref="AA837">
    <cfRule type="cellIs" dxfId="85" priority="80" operator="greaterThanOrEqual">
      <formula>1</formula>
    </cfRule>
    <cfRule type="expression" dxfId="84" priority="81">
      <formula>$AI837="OK"</formula>
    </cfRule>
  </conditionalFormatting>
  <conditionalFormatting sqref="AA838">
    <cfRule type="cellIs" dxfId="83" priority="78" operator="greaterThanOrEqual">
      <formula>1</formula>
    </cfRule>
    <cfRule type="expression" dxfId="82" priority="79">
      <formula>$AI838="OK"</formula>
    </cfRule>
  </conditionalFormatting>
  <conditionalFormatting sqref="AA840">
    <cfRule type="cellIs" dxfId="81" priority="76" operator="greaterThanOrEqual">
      <formula>1</formula>
    </cfRule>
    <cfRule type="expression" dxfId="80" priority="77">
      <formula>$AI840="OK"</formula>
    </cfRule>
  </conditionalFormatting>
  <conditionalFormatting sqref="AA841">
    <cfRule type="cellIs" dxfId="79" priority="74" operator="greaterThanOrEqual">
      <formula>1</formula>
    </cfRule>
    <cfRule type="expression" dxfId="78" priority="75">
      <formula>$AI841="OK"</formula>
    </cfRule>
  </conditionalFormatting>
  <conditionalFormatting sqref="AA856">
    <cfRule type="cellIs" dxfId="77" priority="72" operator="greaterThanOrEqual">
      <formula>1</formula>
    </cfRule>
    <cfRule type="expression" dxfId="76" priority="73">
      <formula>$AI856="OK"</formula>
    </cfRule>
  </conditionalFormatting>
  <conditionalFormatting sqref="AA872">
    <cfRule type="cellIs" dxfId="75" priority="70" operator="greaterThanOrEqual">
      <formula>1</formula>
    </cfRule>
    <cfRule type="expression" dxfId="74" priority="71">
      <formula>$AI872="OK"</formula>
    </cfRule>
  </conditionalFormatting>
  <conditionalFormatting sqref="AA873">
    <cfRule type="cellIs" dxfId="73" priority="68" operator="greaterThanOrEqual">
      <formula>1</formula>
    </cfRule>
    <cfRule type="expression" dxfId="72" priority="69">
      <formula>$AI873="OK"</formula>
    </cfRule>
  </conditionalFormatting>
  <conditionalFormatting sqref="AA874">
    <cfRule type="cellIs" dxfId="71" priority="66" operator="greaterThanOrEqual">
      <formula>1</formula>
    </cfRule>
    <cfRule type="expression" dxfId="70" priority="67">
      <formula>$AI874="OK"</formula>
    </cfRule>
  </conditionalFormatting>
  <conditionalFormatting sqref="AA875">
    <cfRule type="cellIs" dxfId="69" priority="64" operator="greaterThanOrEqual">
      <formula>1</formula>
    </cfRule>
    <cfRule type="expression" dxfId="68" priority="65">
      <formula>$AI875="OK"</formula>
    </cfRule>
  </conditionalFormatting>
  <conditionalFormatting sqref="AA876">
    <cfRule type="cellIs" dxfId="67" priority="62" operator="greaterThanOrEqual">
      <formula>1</formula>
    </cfRule>
    <cfRule type="expression" dxfId="66" priority="63">
      <formula>$AI876="OK"</formula>
    </cfRule>
  </conditionalFormatting>
  <conditionalFormatting sqref="AA878">
    <cfRule type="cellIs" dxfId="65" priority="60" operator="greaterThanOrEqual">
      <formula>1</formula>
    </cfRule>
    <cfRule type="expression" dxfId="64" priority="61">
      <formula>$AI878="OK"</formula>
    </cfRule>
  </conditionalFormatting>
  <conditionalFormatting sqref="AA877">
    <cfRule type="cellIs" dxfId="63" priority="58" operator="greaterThanOrEqual">
      <formula>1</formula>
    </cfRule>
    <cfRule type="expression" dxfId="62" priority="59">
      <formula>$AI877="OK"</formula>
    </cfRule>
  </conditionalFormatting>
  <conditionalFormatting sqref="AA879">
    <cfRule type="cellIs" dxfId="61" priority="56" operator="greaterThanOrEqual">
      <formula>1</formula>
    </cfRule>
    <cfRule type="expression" dxfId="60" priority="57">
      <formula>$AI879="OK"</formula>
    </cfRule>
  </conditionalFormatting>
  <conditionalFormatting sqref="AA880">
    <cfRule type="cellIs" dxfId="59" priority="54" operator="greaterThanOrEqual">
      <formula>1</formula>
    </cfRule>
    <cfRule type="expression" dxfId="58" priority="55">
      <formula>$AI880="OK"</formula>
    </cfRule>
  </conditionalFormatting>
  <conditionalFormatting sqref="AA881">
    <cfRule type="cellIs" dxfId="57" priority="52" operator="greaterThanOrEqual">
      <formula>1</formula>
    </cfRule>
    <cfRule type="expression" dxfId="56" priority="53">
      <formula>$AI881="OK"</formula>
    </cfRule>
  </conditionalFormatting>
  <conditionalFormatting sqref="AA882">
    <cfRule type="cellIs" dxfId="55" priority="50" operator="greaterThanOrEqual">
      <formula>1</formula>
    </cfRule>
    <cfRule type="expression" dxfId="54" priority="51">
      <formula>$AI882="OK"</formula>
    </cfRule>
  </conditionalFormatting>
  <conditionalFormatting sqref="AA890">
    <cfRule type="cellIs" dxfId="53" priority="48" operator="greaterThanOrEqual">
      <formula>1</formula>
    </cfRule>
    <cfRule type="expression" dxfId="52" priority="49">
      <formula>$AI890="OK"</formula>
    </cfRule>
  </conditionalFormatting>
  <conditionalFormatting sqref="AA891">
    <cfRule type="cellIs" dxfId="51" priority="46" operator="greaterThanOrEqual">
      <formula>1</formula>
    </cfRule>
    <cfRule type="expression" dxfId="50" priority="47">
      <formula>$AI891="OK"</formula>
    </cfRule>
  </conditionalFormatting>
  <conditionalFormatting sqref="AA892">
    <cfRule type="cellIs" dxfId="49" priority="44" operator="greaterThanOrEqual">
      <formula>1</formula>
    </cfRule>
    <cfRule type="expression" dxfId="48" priority="45">
      <formula>$AI892="OK"</formula>
    </cfRule>
  </conditionalFormatting>
  <conditionalFormatting sqref="AA893">
    <cfRule type="cellIs" dxfId="47" priority="42" operator="greaterThanOrEqual">
      <formula>1</formula>
    </cfRule>
    <cfRule type="expression" dxfId="46" priority="43">
      <formula>$AI893="OK"</formula>
    </cfRule>
  </conditionalFormatting>
  <conditionalFormatting sqref="AA894">
    <cfRule type="cellIs" dxfId="45" priority="40" operator="greaterThanOrEqual">
      <formula>1</formula>
    </cfRule>
    <cfRule type="expression" dxfId="44" priority="41">
      <formula>$AI894="OK"</formula>
    </cfRule>
  </conditionalFormatting>
  <conditionalFormatting sqref="AA895">
    <cfRule type="cellIs" dxfId="43" priority="38" operator="greaterThanOrEqual">
      <formula>1</formula>
    </cfRule>
    <cfRule type="expression" dxfId="42" priority="39">
      <formula>$AI895="OK"</formula>
    </cfRule>
  </conditionalFormatting>
  <conditionalFormatting sqref="AA896">
    <cfRule type="cellIs" dxfId="41" priority="36" operator="greaterThanOrEqual">
      <formula>1</formula>
    </cfRule>
    <cfRule type="expression" dxfId="40" priority="37">
      <formula>$AI896="OK"</formula>
    </cfRule>
  </conditionalFormatting>
  <conditionalFormatting sqref="AA897">
    <cfRule type="cellIs" dxfId="39" priority="34" operator="greaterThanOrEqual">
      <formula>1</formula>
    </cfRule>
    <cfRule type="expression" dxfId="38" priority="35">
      <formula>$AI897="OK"</formula>
    </cfRule>
  </conditionalFormatting>
  <conditionalFormatting sqref="AA899">
    <cfRule type="cellIs" dxfId="37" priority="32" operator="greaterThanOrEqual">
      <formula>1</formula>
    </cfRule>
    <cfRule type="expression" dxfId="36" priority="33">
      <formula>$AI899="OK"</formula>
    </cfRule>
  </conditionalFormatting>
  <conditionalFormatting sqref="AA898">
    <cfRule type="cellIs" dxfId="35" priority="30" operator="greaterThanOrEqual">
      <formula>1</formula>
    </cfRule>
    <cfRule type="expression" dxfId="34" priority="31">
      <formula>$AI898="OK"</formula>
    </cfRule>
  </conditionalFormatting>
  <conditionalFormatting sqref="AA900">
    <cfRule type="cellIs" dxfId="33" priority="28" operator="greaterThanOrEqual">
      <formula>1</formula>
    </cfRule>
    <cfRule type="expression" dxfId="32" priority="29">
      <formula>$AI900="OK"</formula>
    </cfRule>
  </conditionalFormatting>
  <conditionalFormatting sqref="AA901">
    <cfRule type="cellIs" dxfId="31" priority="26" operator="greaterThanOrEqual">
      <formula>1</formula>
    </cfRule>
    <cfRule type="expression" dxfId="30" priority="27">
      <formula>$AI901="OK"</formula>
    </cfRule>
  </conditionalFormatting>
  <conditionalFormatting sqref="AA902">
    <cfRule type="cellIs" dxfId="29" priority="24" operator="greaterThanOrEqual">
      <formula>1</formula>
    </cfRule>
    <cfRule type="expression" dxfId="28" priority="25">
      <formula>$AI902="OK"</formula>
    </cfRule>
  </conditionalFormatting>
  <conditionalFormatting sqref="AA903">
    <cfRule type="cellIs" dxfId="27" priority="22" operator="greaterThanOrEqual">
      <formula>1</formula>
    </cfRule>
    <cfRule type="expression" dxfId="26" priority="23">
      <formula>$AI903="OK"</formula>
    </cfRule>
  </conditionalFormatting>
  <conditionalFormatting sqref="AA904:AA993">
    <cfRule type="cellIs" dxfId="25" priority="20" operator="greaterThanOrEqual">
      <formula>1</formula>
    </cfRule>
    <cfRule type="expression" dxfId="24" priority="21">
      <formula>$AI904="OK"</formula>
    </cfRule>
  </conditionalFormatting>
  <conditionalFormatting sqref="AA137:AC137">
    <cfRule type="expression" dxfId="23" priority="19">
      <formula>$AI137="OK"</formula>
    </cfRule>
  </conditionalFormatting>
  <conditionalFormatting sqref="AA138:AC138">
    <cfRule type="expression" dxfId="22" priority="18">
      <formula>$AI138="OK"</formula>
    </cfRule>
  </conditionalFormatting>
  <conditionalFormatting sqref="AA139:AC139">
    <cfRule type="expression" dxfId="21" priority="17">
      <formula>$AI139="OK"</formula>
    </cfRule>
  </conditionalFormatting>
  <conditionalFormatting sqref="AA140:AC140">
    <cfRule type="expression" dxfId="20" priority="16">
      <formula>$AI140="OK"</formula>
    </cfRule>
  </conditionalFormatting>
  <conditionalFormatting sqref="AA142:AC142 AA149:AC149">
    <cfRule type="expression" dxfId="19" priority="15">
      <formula>$AI141="OK"</formula>
    </cfRule>
  </conditionalFormatting>
  <conditionalFormatting sqref="AA141:AC141">
    <cfRule type="expression" dxfId="18" priority="14">
      <formula>$AI141="OK"</formula>
    </cfRule>
  </conditionalFormatting>
  <conditionalFormatting sqref="AA141:AC141">
    <cfRule type="expression" dxfId="17" priority="13">
      <formula>$AI141="OK"</formula>
    </cfRule>
  </conditionalFormatting>
  <conditionalFormatting sqref="AA143:AC143">
    <cfRule type="expression" dxfId="16" priority="12">
      <formula>$AI143="OK"</formula>
    </cfRule>
  </conditionalFormatting>
  <conditionalFormatting sqref="AA144:AC144">
    <cfRule type="expression" dxfId="15" priority="11">
      <formula>$AI144="OK"</formula>
    </cfRule>
  </conditionalFormatting>
  <conditionalFormatting sqref="AA145:AC145">
    <cfRule type="expression" dxfId="14" priority="10">
      <formula>$AI145="OK"</formula>
    </cfRule>
  </conditionalFormatting>
  <conditionalFormatting sqref="AA146:AC146">
    <cfRule type="expression" dxfId="13" priority="9">
      <formula>$AI146="OK"</formula>
    </cfRule>
  </conditionalFormatting>
  <conditionalFormatting sqref="AA147:AC147">
    <cfRule type="expression" dxfId="12" priority="8">
      <formula>$AI147="OK"</formula>
    </cfRule>
  </conditionalFormatting>
  <conditionalFormatting sqref="AA149:AC149">
    <cfRule type="expression" dxfId="11" priority="7">
      <formula>$AI148="OK"</formula>
    </cfRule>
  </conditionalFormatting>
  <conditionalFormatting sqref="AA148:AC148">
    <cfRule type="expression" dxfId="5" priority="6">
      <formula>$AI148="OK"</formula>
    </cfRule>
  </conditionalFormatting>
  <conditionalFormatting sqref="AA148:AC148">
    <cfRule type="expression" dxfId="4" priority="5">
      <formula>$AI148="OK"</formula>
    </cfRule>
  </conditionalFormatting>
  <conditionalFormatting sqref="AA150:AC150">
    <cfRule type="expression" dxfId="3" priority="4">
      <formula>$AI150="OK"</formula>
    </cfRule>
  </conditionalFormatting>
  <conditionalFormatting sqref="AA612:AC622 AA606:AC609">
    <cfRule type="expression" dxfId="2" priority="2">
      <formula>$AI606="OK"</formula>
    </cfRule>
  </conditionalFormatting>
  <conditionalFormatting sqref="AA612:AC622 AA606:AC609">
    <cfRule type="cellIs" dxfId="1" priority="3" operator="greaterThanOrEqual">
      <formula>1</formula>
    </cfRule>
  </conditionalFormatting>
  <conditionalFormatting sqref="AA1005:AC1005 AA861:AC866 AA857:AC859 AA853:AC855 AA839:AC839 AA835:AC836 AA820:AC821 AA805:AC816 AA775:AC797 AA612:AC622 AA606:AC609">
    <cfRule type="expression" dxfId="0" priority="1">
      <formula>$AI606="OK"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3"/>
  <sheetViews>
    <sheetView topLeftCell="A14" workbookViewId="0">
      <selection activeCell="B21" sqref="B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  <row r="21" spans="1:6" ht="45" x14ac:dyDescent="0.25">
      <c r="A21" s="225">
        <v>214</v>
      </c>
      <c r="B21" s="191" t="s">
        <v>5040</v>
      </c>
      <c r="C21" s="189">
        <v>46268</v>
      </c>
      <c r="D21" s="189"/>
      <c r="E21" s="190" t="s">
        <v>4972</v>
      </c>
      <c r="F21" s="188" t="s">
        <v>5041</v>
      </c>
    </row>
    <row r="22" spans="1:6" x14ac:dyDescent="0.25">
      <c r="A22" s="225">
        <v>899</v>
      </c>
      <c r="B22" s="188" t="s">
        <v>5047</v>
      </c>
      <c r="C22" s="189">
        <v>46270</v>
      </c>
      <c r="D22" s="189"/>
      <c r="E22" s="190" t="s">
        <v>4972</v>
      </c>
      <c r="F22" s="188" t="s">
        <v>4442</v>
      </c>
    </row>
    <row r="23" spans="1:6" ht="240" x14ac:dyDescent="0.25">
      <c r="A23" s="226">
        <v>206</v>
      </c>
      <c r="B23" s="191" t="s">
        <v>5289</v>
      </c>
      <c r="C23" s="189"/>
      <c r="D23" s="189"/>
      <c r="E23" s="227" t="s">
        <v>4972</v>
      </c>
      <c r="F23" s="228" t="s">
        <v>5290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4" t="e" vm="1">
        <v>#VALUE!</v>
      </c>
      <c r="D2" s="285"/>
      <c r="E2" s="288" t="s">
        <v>320</v>
      </c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9"/>
      <c r="U2" s="292" t="s">
        <v>246</v>
      </c>
      <c r="V2" s="282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6"/>
      <c r="D3" s="287"/>
      <c r="E3" s="290"/>
      <c r="F3" s="290"/>
      <c r="G3" s="290"/>
      <c r="H3" s="290"/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1"/>
      <c r="U3" s="293"/>
      <c r="V3" s="283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7" t="s">
        <v>2070</v>
      </c>
      <c r="D6" s="250" t="s">
        <v>2069</v>
      </c>
      <c r="E6" s="253" t="s">
        <v>2071</v>
      </c>
      <c r="F6" s="256">
        <v>46183</v>
      </c>
      <c r="G6" s="294">
        <v>46220</v>
      </c>
      <c r="H6" s="273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41">
        <f>T9/T6</f>
        <v>0.88949747289203585</v>
      </c>
      <c r="V6" s="244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8"/>
      <c r="D7" s="251"/>
      <c r="E7" s="254"/>
      <c r="F7" s="257"/>
      <c r="G7" s="295"/>
      <c r="H7" s="274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42"/>
      <c r="V7" s="245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8"/>
      <c r="D8" s="251"/>
      <c r="E8" s="254"/>
      <c r="F8" s="257"/>
      <c r="G8" s="295"/>
      <c r="H8" s="274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42"/>
      <c r="V8" s="245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8"/>
      <c r="D9" s="251"/>
      <c r="E9" s="254"/>
      <c r="F9" s="257"/>
      <c r="G9" s="295"/>
      <c r="H9" s="274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42"/>
      <c r="V9" s="245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9"/>
      <c r="D10" s="252"/>
      <c r="E10" s="255"/>
      <c r="F10" s="258"/>
      <c r="G10" s="296"/>
      <c r="H10" s="275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43"/>
      <c r="V10" s="246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7" t="s">
        <v>2987</v>
      </c>
      <c r="D12" s="250" t="s">
        <v>2551</v>
      </c>
      <c r="E12" s="253" t="s">
        <v>2986</v>
      </c>
      <c r="F12" s="256">
        <v>46205</v>
      </c>
      <c r="G12" s="294"/>
      <c r="H12" s="279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1">
        <f>T15/T12</f>
        <v>0.76586952907929418</v>
      </c>
      <c r="V12" s="244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8"/>
      <c r="D13" s="251"/>
      <c r="E13" s="254"/>
      <c r="F13" s="257"/>
      <c r="G13" s="295"/>
      <c r="H13" s="280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42"/>
      <c r="V13" s="245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8"/>
      <c r="D14" s="251"/>
      <c r="E14" s="254"/>
      <c r="F14" s="257"/>
      <c r="G14" s="295"/>
      <c r="H14" s="280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42"/>
      <c r="V14" s="245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8"/>
      <c r="D15" s="251"/>
      <c r="E15" s="254"/>
      <c r="F15" s="257"/>
      <c r="G15" s="295"/>
      <c r="H15" s="280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42"/>
      <c r="V15" s="245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9"/>
      <c r="D16" s="252"/>
      <c r="E16" s="255"/>
      <c r="F16" s="258"/>
      <c r="G16" s="296"/>
      <c r="H16" s="281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43"/>
      <c r="V16" s="246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7" t="s">
        <v>2983</v>
      </c>
      <c r="D18" s="250" t="s">
        <v>2984</v>
      </c>
      <c r="E18" s="253" t="s">
        <v>2985</v>
      </c>
      <c r="F18" s="256">
        <v>46289</v>
      </c>
      <c r="G18" s="294"/>
      <c r="H18" s="262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41">
        <f>T21/T18</f>
        <v>0.7638396884091303</v>
      </c>
      <c r="V18" s="244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8"/>
      <c r="D19" s="251"/>
      <c r="E19" s="254"/>
      <c r="F19" s="257"/>
      <c r="G19" s="295"/>
      <c r="H19" s="263"/>
      <c r="I19" s="129" t="s">
        <v>3028</v>
      </c>
      <c r="J19" s="130">
        <f t="shared" ref="J19" si="17">J18-J20</f>
        <v>7.8344999999999976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9.9383999999999997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32.564399999999999</v>
      </c>
      <c r="U19" s="242"/>
      <c r="V19" s="245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8"/>
      <c r="D20" s="251"/>
      <c r="E20" s="254"/>
      <c r="F20" s="257"/>
      <c r="G20" s="295"/>
      <c r="H20" s="263"/>
      <c r="I20" s="129" t="s">
        <v>3030</v>
      </c>
      <c r="J20" s="131">
        <f>SUMIF(PERFORMANCE!$N:$N,W18,PERFORMANCE!$Q:$Q)/1000</f>
        <v>0.27460000000000001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0.64079999999999993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0.91539999999999999</v>
      </c>
      <c r="U20" s="242"/>
      <c r="V20" s="245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8"/>
      <c r="D21" s="251"/>
      <c r="E21" s="254"/>
      <c r="F21" s="257"/>
      <c r="G21" s="295"/>
      <c r="H21" s="263"/>
      <c r="I21" s="132" t="s">
        <v>315</v>
      </c>
      <c r="J21" s="131">
        <f>SUMIF(PERFORMANCE!$N:$N,MACRO!W18,PERFORMANCE!$R:$R)/1000</f>
        <v>6.3533999999999997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9.9383999999999997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25.5732</v>
      </c>
      <c r="U21" s="242"/>
      <c r="V21" s="245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9"/>
      <c r="D22" s="252"/>
      <c r="E22" s="255"/>
      <c r="F22" s="258"/>
      <c r="G22" s="296"/>
      <c r="H22" s="264"/>
      <c r="I22" s="133" t="s">
        <v>3029</v>
      </c>
      <c r="J22" s="134">
        <f t="shared" ref="J22:R22" si="28">J18-J21</f>
        <v>1.7556999999999983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0.64080000000000048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7.9065999999999974</v>
      </c>
      <c r="U22" s="243"/>
      <c r="V22" s="246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7" t="s">
        <v>3292</v>
      </c>
      <c r="D24" s="250" t="s">
        <v>3291</v>
      </c>
      <c r="E24" s="253" t="s">
        <v>3293</v>
      </c>
      <c r="F24" s="256">
        <v>46336</v>
      </c>
      <c r="G24" s="259"/>
      <c r="H24" s="262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1">
        <v>0</v>
      </c>
      <c r="V24" s="244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8"/>
      <c r="D25" s="251"/>
      <c r="E25" s="254"/>
      <c r="F25" s="257"/>
      <c r="G25" s="260"/>
      <c r="H25" s="263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42"/>
      <c r="V25" s="245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8"/>
      <c r="D26" s="251"/>
      <c r="E26" s="254"/>
      <c r="F26" s="257"/>
      <c r="G26" s="260"/>
      <c r="H26" s="263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42"/>
      <c r="V26" s="245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8"/>
      <c r="D27" s="251"/>
      <c r="E27" s="254"/>
      <c r="F27" s="257"/>
      <c r="G27" s="260"/>
      <c r="H27" s="263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42"/>
      <c r="V27" s="245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9"/>
      <c r="D28" s="252"/>
      <c r="E28" s="255"/>
      <c r="F28" s="258"/>
      <c r="G28" s="261"/>
      <c r="H28" s="264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43"/>
      <c r="V28" s="246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7" t="s">
        <v>2993</v>
      </c>
      <c r="D30" s="250" t="s">
        <v>2989</v>
      </c>
      <c r="E30" s="253" t="s">
        <v>2994</v>
      </c>
      <c r="F30" s="256">
        <v>46219</v>
      </c>
      <c r="G30" s="259"/>
      <c r="H30" s="273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1">
        <v>0</v>
      </c>
      <c r="V30" s="244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8"/>
      <c r="D31" s="251"/>
      <c r="E31" s="254"/>
      <c r="F31" s="257"/>
      <c r="G31" s="260"/>
      <c r="H31" s="274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42"/>
      <c r="V31" s="245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8"/>
      <c r="D32" s="251"/>
      <c r="E32" s="254"/>
      <c r="F32" s="257"/>
      <c r="G32" s="260"/>
      <c r="H32" s="274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42"/>
      <c r="V32" s="245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8"/>
      <c r="D33" s="251"/>
      <c r="E33" s="254"/>
      <c r="F33" s="257"/>
      <c r="G33" s="260"/>
      <c r="H33" s="274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42"/>
      <c r="V33" s="245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9"/>
      <c r="D34" s="252"/>
      <c r="E34" s="255"/>
      <c r="F34" s="258"/>
      <c r="G34" s="261"/>
      <c r="H34" s="275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43"/>
      <c r="V34" s="246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7" t="s">
        <v>2995</v>
      </c>
      <c r="D36" s="250" t="s">
        <v>2990</v>
      </c>
      <c r="E36" s="253" t="s">
        <v>2992</v>
      </c>
      <c r="F36" s="256">
        <v>46198</v>
      </c>
      <c r="G36" s="276"/>
      <c r="H36" s="279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1">
        <v>0</v>
      </c>
      <c r="V36" s="244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8"/>
      <c r="D37" s="251"/>
      <c r="E37" s="254"/>
      <c r="F37" s="257"/>
      <c r="G37" s="277"/>
      <c r="H37" s="280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42"/>
      <c r="V37" s="245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8"/>
      <c r="D38" s="251"/>
      <c r="E38" s="254"/>
      <c r="F38" s="257"/>
      <c r="G38" s="277"/>
      <c r="H38" s="280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42"/>
      <c r="V38" s="245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8"/>
      <c r="D39" s="251"/>
      <c r="E39" s="254"/>
      <c r="F39" s="257"/>
      <c r="G39" s="277"/>
      <c r="H39" s="280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42"/>
      <c r="V39" s="245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9"/>
      <c r="D40" s="252"/>
      <c r="E40" s="255"/>
      <c r="F40" s="258"/>
      <c r="G40" s="278"/>
      <c r="H40" s="281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43"/>
      <c r="V40" s="246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7" t="s">
        <v>3006</v>
      </c>
      <c r="D42" s="250" t="s">
        <v>3004</v>
      </c>
      <c r="E42" s="253" t="s">
        <v>3007</v>
      </c>
      <c r="F42" s="256">
        <v>46188</v>
      </c>
      <c r="G42" s="276">
        <v>46220</v>
      </c>
      <c r="H42" s="273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1">
        <v>0</v>
      </c>
      <c r="V42" s="244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8"/>
      <c r="D43" s="251"/>
      <c r="E43" s="254"/>
      <c r="F43" s="257"/>
      <c r="G43" s="277"/>
      <c r="H43" s="274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42"/>
      <c r="V43" s="245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8"/>
      <c r="D44" s="251"/>
      <c r="E44" s="254"/>
      <c r="F44" s="257"/>
      <c r="G44" s="277"/>
      <c r="H44" s="274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42"/>
      <c r="V44" s="245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8"/>
      <c r="D45" s="251"/>
      <c r="E45" s="254"/>
      <c r="F45" s="257"/>
      <c r="G45" s="277"/>
      <c r="H45" s="274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42"/>
      <c r="V45" s="245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9"/>
      <c r="D46" s="252"/>
      <c r="E46" s="255"/>
      <c r="F46" s="258"/>
      <c r="G46" s="278"/>
      <c r="H46" s="275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43"/>
      <c r="V46" s="246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7" t="s">
        <v>3009</v>
      </c>
      <c r="D48" s="250" t="s">
        <v>3005</v>
      </c>
      <c r="E48" s="253" t="s">
        <v>3008</v>
      </c>
      <c r="F48" s="256">
        <v>46202</v>
      </c>
      <c r="G48" s="276">
        <v>46233</v>
      </c>
      <c r="H48" s="273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1">
        <v>0</v>
      </c>
      <c r="V48" s="244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8"/>
      <c r="D49" s="251"/>
      <c r="E49" s="254"/>
      <c r="F49" s="257"/>
      <c r="G49" s="277"/>
      <c r="H49" s="274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42"/>
      <c r="V49" s="245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8"/>
      <c r="D50" s="251"/>
      <c r="E50" s="254"/>
      <c r="F50" s="257"/>
      <c r="G50" s="277"/>
      <c r="H50" s="274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42"/>
      <c r="V50" s="245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8"/>
      <c r="D51" s="251"/>
      <c r="E51" s="254"/>
      <c r="F51" s="257"/>
      <c r="G51" s="277"/>
      <c r="H51" s="274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42"/>
      <c r="V51" s="245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9"/>
      <c r="D52" s="252"/>
      <c r="E52" s="255"/>
      <c r="F52" s="258"/>
      <c r="G52" s="278"/>
      <c r="H52" s="275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43"/>
      <c r="V52" s="246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7" t="s">
        <v>3009</v>
      </c>
      <c r="D54" s="250" t="s">
        <v>3111</v>
      </c>
      <c r="E54" s="253" t="s">
        <v>3164</v>
      </c>
      <c r="F54" s="256">
        <v>46226</v>
      </c>
      <c r="G54" s="259"/>
      <c r="H54" s="273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1">
        <v>0</v>
      </c>
      <c r="V54" s="244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8"/>
      <c r="D55" s="251"/>
      <c r="E55" s="254"/>
      <c r="F55" s="257"/>
      <c r="G55" s="260"/>
      <c r="H55" s="274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42"/>
      <c r="V55" s="245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8"/>
      <c r="D56" s="251"/>
      <c r="E56" s="254"/>
      <c r="F56" s="257"/>
      <c r="G56" s="260"/>
      <c r="H56" s="274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42"/>
      <c r="V56" s="245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8"/>
      <c r="D57" s="251"/>
      <c r="E57" s="254"/>
      <c r="F57" s="257"/>
      <c r="G57" s="260"/>
      <c r="H57" s="274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42"/>
      <c r="V57" s="245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9"/>
      <c r="D58" s="252"/>
      <c r="E58" s="255"/>
      <c r="F58" s="258"/>
      <c r="G58" s="261"/>
      <c r="H58" s="275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43"/>
      <c r="V58" s="246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7" t="s">
        <v>3165</v>
      </c>
      <c r="D60" s="250" t="s">
        <v>3163</v>
      </c>
      <c r="E60" s="253" t="s">
        <v>3166</v>
      </c>
      <c r="F60" s="256">
        <v>46235</v>
      </c>
      <c r="G60" s="259"/>
      <c r="H60" s="262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1">
        <v>0</v>
      </c>
      <c r="V60" s="244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8"/>
      <c r="D61" s="251"/>
      <c r="E61" s="254"/>
      <c r="F61" s="257"/>
      <c r="G61" s="260"/>
      <c r="H61" s="263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42"/>
      <c r="V61" s="245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8"/>
      <c r="D62" s="251"/>
      <c r="E62" s="254"/>
      <c r="F62" s="257"/>
      <c r="G62" s="260"/>
      <c r="H62" s="263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42"/>
      <c r="V62" s="245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8"/>
      <c r="D63" s="251"/>
      <c r="E63" s="254"/>
      <c r="F63" s="257"/>
      <c r="G63" s="260"/>
      <c r="H63" s="263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42"/>
      <c r="V63" s="245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9"/>
      <c r="D64" s="252"/>
      <c r="E64" s="255"/>
      <c r="F64" s="258"/>
      <c r="G64" s="261"/>
      <c r="H64" s="264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43"/>
      <c r="V64" s="246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7" t="s">
        <v>4307</v>
      </c>
      <c r="D66" s="250" t="s">
        <v>4299</v>
      </c>
      <c r="E66" s="253" t="s">
        <v>4308</v>
      </c>
      <c r="F66" s="256">
        <v>46233</v>
      </c>
      <c r="G66" s="259"/>
      <c r="H66" s="262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1">
        <v>0</v>
      </c>
      <c r="V66" s="244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8"/>
      <c r="D67" s="251"/>
      <c r="E67" s="254"/>
      <c r="F67" s="257"/>
      <c r="G67" s="260"/>
      <c r="H67" s="263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42"/>
      <c r="V67" s="245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8"/>
      <c r="D68" s="251"/>
      <c r="E68" s="254"/>
      <c r="F68" s="257"/>
      <c r="G68" s="260"/>
      <c r="H68" s="263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42"/>
      <c r="V68" s="245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8"/>
      <c r="D69" s="251"/>
      <c r="E69" s="254"/>
      <c r="F69" s="257"/>
      <c r="G69" s="260"/>
      <c r="H69" s="263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42"/>
      <c r="V69" s="245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9"/>
      <c r="D70" s="252"/>
      <c r="E70" s="255"/>
      <c r="F70" s="258"/>
      <c r="G70" s="261"/>
      <c r="H70" s="264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43"/>
      <c r="V70" s="246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7" t="s">
        <v>3165</v>
      </c>
      <c r="D72" s="250" t="s">
        <v>4306</v>
      </c>
      <c r="E72" s="253" t="s">
        <v>4309</v>
      </c>
      <c r="F72" s="256">
        <v>46280</v>
      </c>
      <c r="G72" s="259"/>
      <c r="H72" s="262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1">
        <v>0</v>
      </c>
      <c r="V72" s="244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8"/>
      <c r="D73" s="251"/>
      <c r="E73" s="254"/>
      <c r="F73" s="257"/>
      <c r="G73" s="260"/>
      <c r="H73" s="263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42"/>
      <c r="V73" s="245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8"/>
      <c r="D74" s="251"/>
      <c r="E74" s="254"/>
      <c r="F74" s="257"/>
      <c r="G74" s="260"/>
      <c r="H74" s="263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42"/>
      <c r="V74" s="245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8"/>
      <c r="D75" s="251"/>
      <c r="E75" s="254"/>
      <c r="F75" s="257"/>
      <c r="G75" s="260"/>
      <c r="H75" s="263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42"/>
      <c r="V75" s="245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9"/>
      <c r="D76" s="252"/>
      <c r="E76" s="255"/>
      <c r="F76" s="258"/>
      <c r="G76" s="261"/>
      <c r="H76" s="264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43"/>
      <c r="V76" s="246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5" t="s">
        <v>326</v>
      </c>
      <c r="E79" s="267" t="s">
        <v>891</v>
      </c>
      <c r="F79" s="268"/>
      <c r="G79" s="268"/>
      <c r="H79" s="268"/>
      <c r="I79" s="268"/>
      <c r="J79" s="269"/>
      <c r="K79" s="270" t="s">
        <v>331</v>
      </c>
      <c r="L79" s="271"/>
      <c r="M79" s="271"/>
      <c r="N79" s="27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6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8.8104999999999976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10.076400000000001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34.965899999999998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16.374600000000001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2.7479999999999998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62.632599999999996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20.229399999999998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11.948399999999999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80.688099999999991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4.5556999999999981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0.73800000000000043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16.403799999999997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71"/>
  <sheetViews>
    <sheetView topLeftCell="E1" zoomScaleNormal="100" workbookViewId="0">
      <pane ySplit="1" topLeftCell="A5149" activePane="bottomLeft" state="frozen"/>
      <selection pane="bottomLeft" activeCell="N5163" sqref="N5163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3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3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3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3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3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3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3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3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5031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3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3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3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3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3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3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5048</v>
      </c>
      <c r="J5136" s="1">
        <v>19.8</v>
      </c>
      <c r="K5136" s="1">
        <v>99</v>
      </c>
      <c r="L5136" s="42">
        <v>1</v>
      </c>
      <c r="M5136" s="223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3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5050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3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3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3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5402</v>
      </c>
      <c r="F5141" s="1" t="s">
        <v>5403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3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5402</v>
      </c>
      <c r="F5142" s="1" t="s">
        <v>5403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3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3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3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3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3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3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3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3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5402</v>
      </c>
      <c r="F5150" s="1" t="s">
        <v>5403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3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5402</v>
      </c>
      <c r="F5151" s="1" t="s">
        <v>5403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3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3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3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3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3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3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5404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3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3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5405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3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3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4869</v>
      </c>
      <c r="D5161" s="1" t="s">
        <v>4870</v>
      </c>
      <c r="E5161" s="1" t="s">
        <v>173</v>
      </c>
      <c r="F5161" s="1" t="s">
        <v>5406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3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4869</v>
      </c>
      <c r="D5162" s="1" t="s">
        <v>4870</v>
      </c>
      <c r="E5162" s="1" t="s">
        <v>461</v>
      </c>
      <c r="F5162" s="1" t="s">
        <v>5407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3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4869</v>
      </c>
      <c r="D5163" s="1" t="s">
        <v>4870</v>
      </c>
      <c r="E5163" s="1" t="s">
        <v>464</v>
      </c>
      <c r="F5163" s="1" t="s">
        <v>5408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3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4881</v>
      </c>
      <c r="D5164" s="1" t="s">
        <v>4882</v>
      </c>
      <c r="E5164" s="1" t="s">
        <v>173</v>
      </c>
      <c r="F5164" s="1" t="s">
        <v>5409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3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4881</v>
      </c>
      <c r="D5165" s="1" t="s">
        <v>4882</v>
      </c>
      <c r="E5165" s="1" t="s">
        <v>1102</v>
      </c>
      <c r="F5165" s="1" t="s">
        <v>5410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3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4881</v>
      </c>
      <c r="D5166" s="1" t="s">
        <v>4882</v>
      </c>
      <c r="E5166" s="1" t="s">
        <v>1103</v>
      </c>
      <c r="F5166" s="1" t="s">
        <v>5411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3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4881</v>
      </c>
      <c r="D5167" s="1" t="s">
        <v>4882</v>
      </c>
      <c r="E5167" s="1" t="s">
        <v>1104</v>
      </c>
      <c r="F5167" s="1" t="s">
        <v>5412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3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4881</v>
      </c>
      <c r="D5168" s="1" t="s">
        <v>4882</v>
      </c>
      <c r="E5168" s="1" t="s">
        <v>1105</v>
      </c>
      <c r="F5168" s="1" t="s">
        <v>5413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3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4881</v>
      </c>
      <c r="D5169" s="1" t="s">
        <v>4882</v>
      </c>
      <c r="E5169" s="1" t="s">
        <v>1106</v>
      </c>
      <c r="F5169" s="1" t="s">
        <v>5414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3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4881</v>
      </c>
      <c r="D5170" s="1" t="s">
        <v>4882</v>
      </c>
      <c r="E5170" s="1" t="s">
        <v>2310</v>
      </c>
      <c r="F5170" s="1" t="s">
        <v>5415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3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4914</v>
      </c>
      <c r="D5171" s="1" t="s">
        <v>4915</v>
      </c>
      <c r="E5171" s="1" t="s">
        <v>461</v>
      </c>
      <c r="F5171" s="1" t="s">
        <v>5416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3">
        <v>46254</v>
      </c>
      <c r="N5171" s="1" t="str">
        <f>VLOOKUP(B5171,MICRO!E:L,8,0)</f>
        <v>P-198</v>
      </c>
    </row>
  </sheetData>
  <autoFilter ref="A1:O5121" xr:uid="{E826462E-1715-45FB-827E-B16DF1FB20B2}"/>
  <phoneticPr fontId="6" type="noConversion"/>
  <conditionalFormatting sqref="B764:B4406">
    <cfRule type="expression" dxfId="10" priority="5">
      <formula>$AH764="OK"</formula>
    </cfRule>
  </conditionalFormatting>
  <conditionalFormatting sqref="B4407:B4408 B4749:B5171">
    <cfRule type="expression" dxfId="9" priority="4">
      <formula>$AI4407="OK"</formula>
    </cfRule>
  </conditionalFormatting>
  <conditionalFormatting sqref="B4409:B4748">
    <cfRule type="expression" dxfId="8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5664.67875</v>
      </c>
      <c r="I357" s="113">
        <f>SUMIF(MICRO!AP:AP,O:O,MICRO!T:T)</f>
        <v>-1481.1</v>
      </c>
      <c r="J357" s="114">
        <f t="shared" si="130"/>
        <v>0.88119574855329497</v>
      </c>
      <c r="K357" s="113">
        <f>SUMIF(MICRO!AP:AP,O:O,MICRO!X:X)</f>
        <v>4672.1000000000004</v>
      </c>
      <c r="L357" s="114">
        <f t="shared" si="131"/>
        <v>0.72679049219090308</v>
      </c>
      <c r="M357" s="113">
        <f t="shared" si="132"/>
        <v>1756.2999999999984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274.60000000000002</v>
      </c>
      <c r="R357">
        <f>SUMIF(MICRO!AP:AP,O:O,MICRO!AU:AU)</f>
        <v>4672.7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7" priority="1">
      <formula>$AI366="OK"</formula>
    </cfRule>
  </conditionalFormatting>
  <conditionalFormatting sqref="F192">
    <cfRule type="expression" dxfId="6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2026-08-25T18:06:24Z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