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7065" documentId="8_{FDD42E6F-94E1-48F3-8613-54A91AB43A68}" xr6:coauthVersionLast="47" xr6:coauthVersionMax="47" xr10:uidLastSave="{C412A38F-A78B-4A69-9F18-5B68011E4816}"/>
  <bookViews>
    <workbookView minimized="1" xWindow="-120" yWindow="-120" windowWidth="21840" windowHeight="13140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EMBARQUE'!$A$1:$O$5248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 calcCompleted="0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51" i="6" l="1"/>
  <c r="N5252" i="6"/>
  <c r="N5253" i="6"/>
  <c r="N5254" i="6"/>
  <c r="N5255" i="6"/>
  <c r="N5256" i="6"/>
  <c r="N5257" i="6"/>
  <c r="N5258" i="6"/>
  <c r="N5259" i="6"/>
  <c r="N5260" i="6"/>
  <c r="N5261" i="6"/>
  <c r="N5262" i="6"/>
  <c r="N5263" i="6"/>
  <c r="N5264" i="6"/>
  <c r="N5265" i="6"/>
  <c r="N5266" i="6"/>
  <c r="N5267" i="6"/>
  <c r="N5268" i="6"/>
  <c r="N5269" i="6"/>
  <c r="N5270" i="6"/>
  <c r="N5271" i="6"/>
  <c r="N5272" i="6"/>
  <c r="N5250" i="6"/>
  <c r="N5249" i="6"/>
  <c r="W1161" i="1"/>
  <c r="V1161" i="1"/>
  <c r="U1161" i="1"/>
  <c r="W1160" i="1"/>
  <c r="V1160" i="1"/>
  <c r="U1160" i="1"/>
  <c r="W1159" i="1"/>
  <c r="V1159" i="1"/>
  <c r="U1159" i="1"/>
  <c r="W1158" i="1"/>
  <c r="V1158" i="1"/>
  <c r="U1158" i="1"/>
  <c r="W1157" i="1"/>
  <c r="V1157" i="1"/>
  <c r="U1157" i="1"/>
  <c r="W1156" i="1"/>
  <c r="V1156" i="1"/>
  <c r="U1156" i="1"/>
  <c r="W1155" i="1"/>
  <c r="V1155" i="1"/>
  <c r="U1155" i="1"/>
  <c r="W1154" i="1"/>
  <c r="V1154" i="1"/>
  <c r="U1154" i="1"/>
  <c r="W1153" i="1"/>
  <c r="V1153" i="1"/>
  <c r="U1153" i="1"/>
  <c r="W1152" i="1"/>
  <c r="V1152" i="1"/>
  <c r="U1152" i="1"/>
  <c r="W1151" i="1"/>
  <c r="V1151" i="1"/>
  <c r="U1151" i="1"/>
  <c r="W1150" i="1"/>
  <c r="V1150" i="1"/>
  <c r="U1150" i="1"/>
  <c r="W1149" i="1"/>
  <c r="V1149" i="1"/>
  <c r="U1149" i="1"/>
  <c r="W1148" i="1"/>
  <c r="V1148" i="1"/>
  <c r="U1148" i="1"/>
  <c r="W1147" i="1"/>
  <c r="V1147" i="1"/>
  <c r="U1147" i="1"/>
  <c r="W1146" i="1"/>
  <c r="V1146" i="1"/>
  <c r="U1146" i="1"/>
  <c r="W1145" i="1"/>
  <c r="V1145" i="1"/>
  <c r="U1145" i="1"/>
  <c r="W1144" i="1"/>
  <c r="V1144" i="1"/>
  <c r="U1144" i="1"/>
  <c r="W1143" i="1"/>
  <c r="V1143" i="1"/>
  <c r="U1143" i="1"/>
  <c r="W1142" i="1"/>
  <c r="V1142" i="1"/>
  <c r="U1142" i="1"/>
  <c r="W1141" i="1"/>
  <c r="V1141" i="1"/>
  <c r="U1141" i="1"/>
  <c r="W1140" i="1"/>
  <c r="V1140" i="1"/>
  <c r="U1140" i="1"/>
  <c r="W1139" i="1"/>
  <c r="V1139" i="1"/>
  <c r="U1139" i="1"/>
  <c r="W1138" i="1"/>
  <c r="V1138" i="1"/>
  <c r="U1138" i="1"/>
  <c r="W1137" i="1"/>
  <c r="V1137" i="1"/>
  <c r="U1137" i="1"/>
  <c r="W1136" i="1"/>
  <c r="V1136" i="1"/>
  <c r="U1136" i="1"/>
  <c r="W1135" i="1"/>
  <c r="V1135" i="1"/>
  <c r="U1135" i="1"/>
  <c r="W1134" i="1"/>
  <c r="V1134" i="1"/>
  <c r="U1134" i="1"/>
  <c r="W1133" i="1"/>
  <c r="V1133" i="1"/>
  <c r="U1133" i="1"/>
  <c r="W1132" i="1"/>
  <c r="V1132" i="1"/>
  <c r="U1132" i="1"/>
  <c r="W1131" i="1"/>
  <c r="V1131" i="1"/>
  <c r="U1131" i="1"/>
  <c r="W1130" i="1"/>
  <c r="V1130" i="1"/>
  <c r="U1130" i="1"/>
  <c r="W1129" i="1"/>
  <c r="V1129" i="1"/>
  <c r="U1129" i="1"/>
  <c r="W1128" i="1"/>
  <c r="V1128" i="1"/>
  <c r="U1128" i="1"/>
  <c r="W1127" i="1"/>
  <c r="V1127" i="1"/>
  <c r="U1127" i="1"/>
  <c r="W1126" i="1"/>
  <c r="V1126" i="1"/>
  <c r="U1126" i="1"/>
  <c r="W1125" i="1"/>
  <c r="V1125" i="1"/>
  <c r="U1125" i="1"/>
  <c r="W1124" i="1"/>
  <c r="V1124" i="1"/>
  <c r="U1124" i="1"/>
  <c r="W1123" i="1"/>
  <c r="V1123" i="1"/>
  <c r="U1123" i="1"/>
  <c r="W1122" i="1"/>
  <c r="V1122" i="1"/>
  <c r="U1122" i="1"/>
  <c r="W1121" i="1"/>
  <c r="V1121" i="1"/>
  <c r="U1121" i="1"/>
  <c r="W1120" i="1"/>
  <c r="V1120" i="1"/>
  <c r="U1120" i="1"/>
  <c r="W1119" i="1"/>
  <c r="V1119" i="1"/>
  <c r="U1119" i="1"/>
  <c r="W1118" i="1"/>
  <c r="V1118" i="1"/>
  <c r="U1118" i="1"/>
  <c r="W1117" i="1"/>
  <c r="V1117" i="1"/>
  <c r="U1117" i="1"/>
  <c r="W1116" i="1"/>
  <c r="V1116" i="1"/>
  <c r="U1116" i="1"/>
  <c r="W1115" i="1"/>
  <c r="V1115" i="1"/>
  <c r="U1115" i="1"/>
  <c r="W1114" i="1"/>
  <c r="V1114" i="1"/>
  <c r="U1114" i="1"/>
  <c r="W1113" i="1"/>
  <c r="V1113" i="1"/>
  <c r="U1113" i="1"/>
  <c r="W1112" i="1"/>
  <c r="V1112" i="1"/>
  <c r="U1112" i="1"/>
  <c r="W1111" i="1"/>
  <c r="V1111" i="1"/>
  <c r="U1111" i="1"/>
  <c r="W1110" i="1"/>
  <c r="V1110" i="1"/>
  <c r="U1110" i="1"/>
  <c r="W1109" i="1"/>
  <c r="V1109" i="1"/>
  <c r="U1109" i="1"/>
  <c r="W1108" i="1"/>
  <c r="V1108" i="1"/>
  <c r="U1108" i="1"/>
  <c r="W1107" i="1"/>
  <c r="V1107" i="1"/>
  <c r="U1107" i="1"/>
  <c r="W1106" i="1"/>
  <c r="V1106" i="1"/>
  <c r="U1106" i="1"/>
  <c r="W1105" i="1"/>
  <c r="V1105" i="1"/>
  <c r="U1105" i="1"/>
  <c r="W1104" i="1"/>
  <c r="V1104" i="1"/>
  <c r="U1104" i="1"/>
  <c r="Y1104" i="1" s="1"/>
  <c r="W1103" i="1"/>
  <c r="V1103" i="1"/>
  <c r="U1103" i="1"/>
  <c r="W1102" i="1"/>
  <c r="V1102" i="1"/>
  <c r="U1102" i="1"/>
  <c r="W1101" i="1"/>
  <c r="V1101" i="1"/>
  <c r="U1101" i="1"/>
  <c r="W1100" i="1"/>
  <c r="V1100" i="1"/>
  <c r="U1100" i="1"/>
  <c r="W1099" i="1"/>
  <c r="V1099" i="1"/>
  <c r="U1099" i="1"/>
  <c r="W1098" i="1"/>
  <c r="V1098" i="1"/>
  <c r="U1098" i="1"/>
  <c r="W1097" i="1"/>
  <c r="V1097" i="1"/>
  <c r="U1097" i="1"/>
  <c r="W1096" i="1"/>
  <c r="V1096" i="1"/>
  <c r="U1096" i="1"/>
  <c r="W1095" i="1"/>
  <c r="V1095" i="1"/>
  <c r="U1095" i="1"/>
  <c r="W1094" i="1"/>
  <c r="V1094" i="1"/>
  <c r="U1094" i="1"/>
  <c r="W1093" i="1"/>
  <c r="V1093" i="1"/>
  <c r="U1093" i="1"/>
  <c r="W1092" i="1"/>
  <c r="V1092" i="1"/>
  <c r="U1092" i="1"/>
  <c r="W1091" i="1"/>
  <c r="V1091" i="1"/>
  <c r="U1091" i="1"/>
  <c r="W1090" i="1"/>
  <c r="V1090" i="1"/>
  <c r="U1090" i="1"/>
  <c r="W1089" i="1"/>
  <c r="V1089" i="1"/>
  <c r="U1089" i="1"/>
  <c r="W1088" i="1"/>
  <c r="V1088" i="1"/>
  <c r="U1088" i="1"/>
  <c r="W1087" i="1"/>
  <c r="V1087" i="1"/>
  <c r="U1087" i="1"/>
  <c r="W1086" i="1"/>
  <c r="V1086" i="1"/>
  <c r="U1086" i="1"/>
  <c r="W1085" i="1"/>
  <c r="V1085" i="1"/>
  <c r="U1085" i="1"/>
  <c r="W1084" i="1"/>
  <c r="V1084" i="1"/>
  <c r="U1084" i="1"/>
  <c r="W1083" i="1"/>
  <c r="V1083" i="1"/>
  <c r="U1083" i="1"/>
  <c r="W1082" i="1"/>
  <c r="V1082" i="1"/>
  <c r="U1082" i="1"/>
  <c r="W1081" i="1"/>
  <c r="V1081" i="1"/>
  <c r="U1081" i="1"/>
  <c r="W1080" i="1"/>
  <c r="V1080" i="1"/>
  <c r="U1080" i="1"/>
  <c r="W1079" i="1"/>
  <c r="V1079" i="1"/>
  <c r="U1079" i="1"/>
  <c r="W1078" i="1"/>
  <c r="V1078" i="1"/>
  <c r="U1078" i="1"/>
  <c r="W1077" i="1"/>
  <c r="V1077" i="1"/>
  <c r="U1077" i="1"/>
  <c r="W1076" i="1"/>
  <c r="V1076" i="1"/>
  <c r="U1076" i="1"/>
  <c r="W1075" i="1"/>
  <c r="V1075" i="1"/>
  <c r="U1075" i="1"/>
  <c r="W1074" i="1"/>
  <c r="V1074" i="1"/>
  <c r="U1074" i="1"/>
  <c r="W1073" i="1"/>
  <c r="V1073" i="1"/>
  <c r="U1073" i="1"/>
  <c r="W1072" i="1"/>
  <c r="V1072" i="1"/>
  <c r="U1072" i="1"/>
  <c r="W1071" i="1"/>
  <c r="V1071" i="1"/>
  <c r="U1071" i="1"/>
  <c r="W1070" i="1"/>
  <c r="V1070" i="1"/>
  <c r="U1070" i="1"/>
  <c r="W1069" i="1"/>
  <c r="V1069" i="1"/>
  <c r="U1069" i="1"/>
  <c r="W1068" i="1"/>
  <c r="V1068" i="1"/>
  <c r="U1068" i="1"/>
  <c r="W1067" i="1"/>
  <c r="V1067" i="1"/>
  <c r="U1067" i="1"/>
  <c r="W1066" i="1"/>
  <c r="V1066" i="1"/>
  <c r="U1066" i="1"/>
  <c r="W1065" i="1"/>
  <c r="V1065" i="1"/>
  <c r="U1065" i="1"/>
  <c r="W1064" i="1"/>
  <c r="V1064" i="1"/>
  <c r="U1064" i="1"/>
  <c r="W1063" i="1"/>
  <c r="V1063" i="1"/>
  <c r="U1063" i="1"/>
  <c r="W1062" i="1"/>
  <c r="V1062" i="1"/>
  <c r="U1062" i="1"/>
  <c r="W1061" i="1"/>
  <c r="V1061" i="1"/>
  <c r="U1061" i="1"/>
  <c r="W1060" i="1"/>
  <c r="V1060" i="1"/>
  <c r="U1060" i="1"/>
  <c r="W1059" i="1"/>
  <c r="V1059" i="1"/>
  <c r="U1059" i="1"/>
  <c r="W1058" i="1"/>
  <c r="V1058" i="1"/>
  <c r="U1058" i="1"/>
  <c r="W1057" i="1"/>
  <c r="V1057" i="1"/>
  <c r="U1057" i="1"/>
  <c r="W1056" i="1"/>
  <c r="V1056" i="1"/>
  <c r="U1056" i="1"/>
  <c r="W1055" i="1"/>
  <c r="V1055" i="1"/>
  <c r="U1055" i="1"/>
  <c r="W1054" i="1"/>
  <c r="V1054" i="1"/>
  <c r="U1054" i="1"/>
  <c r="W1053" i="1"/>
  <c r="V1053" i="1"/>
  <c r="U1053" i="1"/>
  <c r="W1052" i="1"/>
  <c r="V1052" i="1"/>
  <c r="U1052" i="1"/>
  <c r="W1051" i="1"/>
  <c r="V1051" i="1"/>
  <c r="U1051" i="1"/>
  <c r="W1050" i="1"/>
  <c r="V1050" i="1"/>
  <c r="U1050" i="1"/>
  <c r="W1049" i="1"/>
  <c r="V1049" i="1"/>
  <c r="U1049" i="1"/>
  <c r="W1048" i="1"/>
  <c r="V1048" i="1"/>
  <c r="U1048" i="1"/>
  <c r="W1047" i="1"/>
  <c r="V1047" i="1"/>
  <c r="U1047" i="1"/>
  <c r="W1046" i="1"/>
  <c r="V1046" i="1"/>
  <c r="U1046" i="1"/>
  <c r="W1045" i="1"/>
  <c r="V1045" i="1"/>
  <c r="U1045" i="1"/>
  <c r="W1044" i="1"/>
  <c r="V1044" i="1"/>
  <c r="U1044" i="1"/>
  <c r="W1043" i="1"/>
  <c r="V1043" i="1"/>
  <c r="U1043" i="1"/>
  <c r="W1042" i="1"/>
  <c r="V1042" i="1"/>
  <c r="U1042" i="1"/>
  <c r="W1041" i="1"/>
  <c r="V1041" i="1"/>
  <c r="U1041" i="1"/>
  <c r="W1040" i="1"/>
  <c r="V1040" i="1"/>
  <c r="U1040" i="1"/>
  <c r="W1039" i="1"/>
  <c r="V1039" i="1"/>
  <c r="U1039" i="1"/>
  <c r="W1038" i="1"/>
  <c r="V1038" i="1"/>
  <c r="U1038" i="1"/>
  <c r="W1037" i="1"/>
  <c r="V1037" i="1"/>
  <c r="U1037" i="1"/>
  <c r="W1036" i="1"/>
  <c r="V1036" i="1"/>
  <c r="U1036" i="1"/>
  <c r="W1035" i="1"/>
  <c r="V1035" i="1"/>
  <c r="U1035" i="1"/>
  <c r="W1034" i="1"/>
  <c r="V1034" i="1"/>
  <c r="U1034" i="1"/>
  <c r="W1033" i="1"/>
  <c r="V1033" i="1"/>
  <c r="U1033" i="1"/>
  <c r="W1032" i="1"/>
  <c r="V1032" i="1"/>
  <c r="U1032" i="1"/>
  <c r="W1031" i="1"/>
  <c r="V1031" i="1"/>
  <c r="U1031" i="1"/>
  <c r="W1030" i="1"/>
  <c r="V1030" i="1"/>
  <c r="U1030" i="1"/>
  <c r="W1029" i="1"/>
  <c r="V1029" i="1"/>
  <c r="U1029" i="1"/>
  <c r="W1028" i="1"/>
  <c r="V1028" i="1"/>
  <c r="U1028" i="1"/>
  <c r="W1027" i="1"/>
  <c r="V1027" i="1"/>
  <c r="U1027" i="1"/>
  <c r="W1026" i="1"/>
  <c r="V1026" i="1"/>
  <c r="U1026" i="1"/>
  <c r="W1025" i="1"/>
  <c r="V1025" i="1"/>
  <c r="U1025" i="1"/>
  <c r="W1024" i="1"/>
  <c r="V1024" i="1"/>
  <c r="U1024" i="1"/>
  <c r="W1023" i="1"/>
  <c r="V1023" i="1"/>
  <c r="U1023" i="1"/>
  <c r="W1022" i="1"/>
  <c r="V1022" i="1"/>
  <c r="U1022" i="1"/>
  <c r="W1021" i="1"/>
  <c r="V1021" i="1"/>
  <c r="U1021" i="1"/>
  <c r="W1020" i="1"/>
  <c r="V1020" i="1"/>
  <c r="U1020" i="1"/>
  <c r="W1019" i="1"/>
  <c r="V1019" i="1"/>
  <c r="U1019" i="1"/>
  <c r="W1018" i="1"/>
  <c r="V1018" i="1"/>
  <c r="U1018" i="1"/>
  <c r="W1017" i="1"/>
  <c r="V1017" i="1"/>
  <c r="U1017" i="1"/>
  <c r="W1016" i="1"/>
  <c r="V1016" i="1"/>
  <c r="U1016" i="1"/>
  <c r="W1015" i="1"/>
  <c r="V1015" i="1"/>
  <c r="U1015" i="1"/>
  <c r="W1014" i="1"/>
  <c r="V1014" i="1"/>
  <c r="U1014" i="1"/>
  <c r="W1013" i="1"/>
  <c r="V1013" i="1"/>
  <c r="U1013" i="1"/>
  <c r="W1012" i="1"/>
  <c r="V1012" i="1"/>
  <c r="U1012" i="1"/>
  <c r="W1011" i="1"/>
  <c r="V1011" i="1"/>
  <c r="U1011" i="1"/>
  <c r="W1010" i="1"/>
  <c r="V1010" i="1"/>
  <c r="U1010" i="1"/>
  <c r="W1009" i="1"/>
  <c r="V1009" i="1"/>
  <c r="U1009" i="1"/>
  <c r="W1008" i="1"/>
  <c r="V1008" i="1"/>
  <c r="U1008" i="1"/>
  <c r="W1007" i="1"/>
  <c r="V1007" i="1"/>
  <c r="U1007" i="1"/>
  <c r="W1006" i="1"/>
  <c r="V1006" i="1"/>
  <c r="U1006" i="1"/>
  <c r="W1005" i="1"/>
  <c r="V1005" i="1"/>
  <c r="U1005" i="1"/>
  <c r="W1004" i="1"/>
  <c r="V1004" i="1"/>
  <c r="U1004" i="1"/>
  <c r="W1003" i="1"/>
  <c r="V1003" i="1"/>
  <c r="U1003" i="1"/>
  <c r="W1002" i="1"/>
  <c r="V1002" i="1"/>
  <c r="U1002" i="1"/>
  <c r="W1001" i="1"/>
  <c r="V1001" i="1"/>
  <c r="U1001" i="1"/>
  <c r="W1000" i="1"/>
  <c r="V1000" i="1"/>
  <c r="U1000" i="1"/>
  <c r="W999" i="1"/>
  <c r="V999" i="1"/>
  <c r="U999" i="1"/>
  <c r="W998" i="1"/>
  <c r="V998" i="1"/>
  <c r="U998" i="1"/>
  <c r="W997" i="1"/>
  <c r="V997" i="1"/>
  <c r="U997" i="1"/>
  <c r="W996" i="1"/>
  <c r="V996" i="1"/>
  <c r="U996" i="1"/>
  <c r="W995" i="1"/>
  <c r="V995" i="1"/>
  <c r="U995" i="1"/>
  <c r="W994" i="1"/>
  <c r="V994" i="1"/>
  <c r="U994" i="1"/>
  <c r="W993" i="1"/>
  <c r="V993" i="1"/>
  <c r="U993" i="1"/>
  <c r="W992" i="1"/>
  <c r="V992" i="1"/>
  <c r="U992" i="1"/>
  <c r="W991" i="1"/>
  <c r="V991" i="1"/>
  <c r="U991" i="1"/>
  <c r="W990" i="1"/>
  <c r="V990" i="1"/>
  <c r="U990" i="1"/>
  <c r="W989" i="1"/>
  <c r="V989" i="1"/>
  <c r="U989" i="1"/>
  <c r="W988" i="1"/>
  <c r="V988" i="1"/>
  <c r="U988" i="1"/>
  <c r="W987" i="1"/>
  <c r="V987" i="1"/>
  <c r="U987" i="1"/>
  <c r="W986" i="1"/>
  <c r="V986" i="1"/>
  <c r="U986" i="1"/>
  <c r="W985" i="1"/>
  <c r="V985" i="1"/>
  <c r="U985" i="1"/>
  <c r="W984" i="1"/>
  <c r="V984" i="1"/>
  <c r="U984" i="1"/>
  <c r="W983" i="1"/>
  <c r="V983" i="1"/>
  <c r="U983" i="1"/>
  <c r="W982" i="1"/>
  <c r="V982" i="1"/>
  <c r="U982" i="1"/>
  <c r="W981" i="1"/>
  <c r="V981" i="1"/>
  <c r="U981" i="1"/>
  <c r="W980" i="1"/>
  <c r="V980" i="1"/>
  <c r="U980" i="1"/>
  <c r="W979" i="1"/>
  <c r="V979" i="1"/>
  <c r="U979" i="1"/>
  <c r="W978" i="1"/>
  <c r="V978" i="1"/>
  <c r="U978" i="1"/>
  <c r="W977" i="1"/>
  <c r="V977" i="1"/>
  <c r="U977" i="1"/>
  <c r="W976" i="1"/>
  <c r="V976" i="1"/>
  <c r="U976" i="1"/>
  <c r="W975" i="1"/>
  <c r="V975" i="1"/>
  <c r="U975" i="1"/>
  <c r="W974" i="1"/>
  <c r="V974" i="1"/>
  <c r="U974" i="1"/>
  <c r="W973" i="1"/>
  <c r="V973" i="1"/>
  <c r="U973" i="1"/>
  <c r="W972" i="1"/>
  <c r="V972" i="1"/>
  <c r="U972" i="1"/>
  <c r="W971" i="1"/>
  <c r="V971" i="1"/>
  <c r="U971" i="1"/>
  <c r="W970" i="1"/>
  <c r="V970" i="1"/>
  <c r="U970" i="1"/>
  <c r="W969" i="1"/>
  <c r="V969" i="1"/>
  <c r="U969" i="1"/>
  <c r="W968" i="1"/>
  <c r="V968" i="1"/>
  <c r="U968" i="1"/>
  <c r="W967" i="1"/>
  <c r="V967" i="1"/>
  <c r="U967" i="1"/>
  <c r="W966" i="1"/>
  <c r="V966" i="1"/>
  <c r="U966" i="1"/>
  <c r="W965" i="1"/>
  <c r="V965" i="1"/>
  <c r="U965" i="1"/>
  <c r="W964" i="1"/>
  <c r="V964" i="1"/>
  <c r="U964" i="1"/>
  <c r="W963" i="1"/>
  <c r="V963" i="1"/>
  <c r="U963" i="1"/>
  <c r="W962" i="1"/>
  <c r="V962" i="1"/>
  <c r="U962" i="1"/>
  <c r="W961" i="1"/>
  <c r="V961" i="1"/>
  <c r="U961" i="1"/>
  <c r="W960" i="1"/>
  <c r="V960" i="1"/>
  <c r="U960" i="1"/>
  <c r="W959" i="1"/>
  <c r="V959" i="1"/>
  <c r="U959" i="1"/>
  <c r="W958" i="1"/>
  <c r="V958" i="1"/>
  <c r="U958" i="1"/>
  <c r="W957" i="1"/>
  <c r="V957" i="1"/>
  <c r="U957" i="1"/>
  <c r="W956" i="1"/>
  <c r="V956" i="1"/>
  <c r="U956" i="1"/>
  <c r="W955" i="1"/>
  <c r="V955" i="1"/>
  <c r="U955" i="1"/>
  <c r="W954" i="1"/>
  <c r="V954" i="1"/>
  <c r="U954" i="1"/>
  <c r="W953" i="1"/>
  <c r="V953" i="1"/>
  <c r="U953" i="1"/>
  <c r="W952" i="1"/>
  <c r="V952" i="1"/>
  <c r="U952" i="1"/>
  <c r="W951" i="1"/>
  <c r="V951" i="1"/>
  <c r="U951" i="1"/>
  <c r="W950" i="1"/>
  <c r="V950" i="1"/>
  <c r="U950" i="1"/>
  <c r="W949" i="1"/>
  <c r="V949" i="1"/>
  <c r="U949" i="1"/>
  <c r="W948" i="1"/>
  <c r="V948" i="1"/>
  <c r="U948" i="1"/>
  <c r="W947" i="1"/>
  <c r="V947" i="1"/>
  <c r="U947" i="1"/>
  <c r="W946" i="1"/>
  <c r="V946" i="1"/>
  <c r="U946" i="1"/>
  <c r="W945" i="1"/>
  <c r="V945" i="1"/>
  <c r="U945" i="1"/>
  <c r="W944" i="1"/>
  <c r="V944" i="1"/>
  <c r="U944" i="1"/>
  <c r="W943" i="1"/>
  <c r="V943" i="1"/>
  <c r="U943" i="1"/>
  <c r="W942" i="1"/>
  <c r="V942" i="1"/>
  <c r="U942" i="1"/>
  <c r="W941" i="1"/>
  <c r="V941" i="1"/>
  <c r="U941" i="1"/>
  <c r="W940" i="1"/>
  <c r="V940" i="1"/>
  <c r="U940" i="1"/>
  <c r="W939" i="1"/>
  <c r="V939" i="1"/>
  <c r="U939" i="1"/>
  <c r="W938" i="1"/>
  <c r="V938" i="1"/>
  <c r="U938" i="1"/>
  <c r="W937" i="1"/>
  <c r="V937" i="1"/>
  <c r="U937" i="1"/>
  <c r="W936" i="1"/>
  <c r="V936" i="1"/>
  <c r="U936" i="1"/>
  <c r="W935" i="1"/>
  <c r="V935" i="1"/>
  <c r="U935" i="1"/>
  <c r="W934" i="1"/>
  <c r="V934" i="1"/>
  <c r="U934" i="1"/>
  <c r="W933" i="1"/>
  <c r="V933" i="1"/>
  <c r="U933" i="1"/>
  <c r="W932" i="1"/>
  <c r="V932" i="1"/>
  <c r="U932" i="1"/>
  <c r="W931" i="1"/>
  <c r="V931" i="1"/>
  <c r="U931" i="1"/>
  <c r="W930" i="1"/>
  <c r="V930" i="1"/>
  <c r="U930" i="1"/>
  <c r="W929" i="1"/>
  <c r="V929" i="1"/>
  <c r="U929" i="1"/>
  <c r="W928" i="1"/>
  <c r="V928" i="1"/>
  <c r="U928" i="1"/>
  <c r="W927" i="1"/>
  <c r="V927" i="1"/>
  <c r="U927" i="1"/>
  <c r="W926" i="1"/>
  <c r="V926" i="1"/>
  <c r="U926" i="1"/>
  <c r="W925" i="1"/>
  <c r="V925" i="1"/>
  <c r="U925" i="1"/>
  <c r="W924" i="1"/>
  <c r="V924" i="1"/>
  <c r="U924" i="1"/>
  <c r="W923" i="1"/>
  <c r="V923" i="1"/>
  <c r="U923" i="1"/>
  <c r="W922" i="1"/>
  <c r="V922" i="1"/>
  <c r="U922" i="1"/>
  <c r="W921" i="1"/>
  <c r="V921" i="1"/>
  <c r="U921" i="1"/>
  <c r="W920" i="1"/>
  <c r="V920" i="1"/>
  <c r="U920" i="1"/>
  <c r="W919" i="1"/>
  <c r="V919" i="1"/>
  <c r="U919" i="1"/>
  <c r="W918" i="1"/>
  <c r="V918" i="1"/>
  <c r="U918" i="1"/>
  <c r="W917" i="1"/>
  <c r="V917" i="1"/>
  <c r="U917" i="1"/>
  <c r="W916" i="1"/>
  <c r="V916" i="1"/>
  <c r="U916" i="1"/>
  <c r="W915" i="1"/>
  <c r="V915" i="1"/>
  <c r="U915" i="1"/>
  <c r="W914" i="1"/>
  <c r="V914" i="1"/>
  <c r="U914" i="1"/>
  <c r="W913" i="1"/>
  <c r="V913" i="1"/>
  <c r="U913" i="1"/>
  <c r="W912" i="1"/>
  <c r="V912" i="1"/>
  <c r="U912" i="1"/>
  <c r="W911" i="1"/>
  <c r="V911" i="1"/>
  <c r="U911" i="1"/>
  <c r="W910" i="1"/>
  <c r="V910" i="1"/>
  <c r="U910" i="1"/>
  <c r="W909" i="1"/>
  <c r="V909" i="1"/>
  <c r="U909" i="1"/>
  <c r="W908" i="1"/>
  <c r="V908" i="1"/>
  <c r="U908" i="1"/>
  <c r="W907" i="1"/>
  <c r="V907" i="1"/>
  <c r="U907" i="1"/>
  <c r="W906" i="1"/>
  <c r="V906" i="1"/>
  <c r="U906" i="1"/>
  <c r="W905" i="1"/>
  <c r="V905" i="1"/>
  <c r="U905" i="1"/>
  <c r="W904" i="1"/>
  <c r="V904" i="1"/>
  <c r="U904" i="1"/>
  <c r="W903" i="1"/>
  <c r="V903" i="1"/>
  <c r="U903" i="1"/>
  <c r="W902" i="1"/>
  <c r="V902" i="1"/>
  <c r="U902" i="1"/>
  <c r="W901" i="1"/>
  <c r="V901" i="1"/>
  <c r="U901" i="1"/>
  <c r="W900" i="1"/>
  <c r="V900" i="1"/>
  <c r="U900" i="1"/>
  <c r="W899" i="1"/>
  <c r="V899" i="1"/>
  <c r="U899" i="1"/>
  <c r="W898" i="1"/>
  <c r="V898" i="1"/>
  <c r="U898" i="1"/>
  <c r="W897" i="1"/>
  <c r="V897" i="1"/>
  <c r="U897" i="1"/>
  <c r="W896" i="1"/>
  <c r="V896" i="1"/>
  <c r="U896" i="1"/>
  <c r="W895" i="1"/>
  <c r="V895" i="1"/>
  <c r="U895" i="1"/>
  <c r="W894" i="1"/>
  <c r="V894" i="1"/>
  <c r="U894" i="1"/>
  <c r="W893" i="1"/>
  <c r="V893" i="1"/>
  <c r="U893" i="1"/>
  <c r="W892" i="1"/>
  <c r="V892" i="1"/>
  <c r="U892" i="1"/>
  <c r="W891" i="1"/>
  <c r="V891" i="1"/>
  <c r="U891" i="1"/>
  <c r="W890" i="1"/>
  <c r="V890" i="1"/>
  <c r="U890" i="1"/>
  <c r="W889" i="1"/>
  <c r="V889" i="1"/>
  <c r="U889" i="1"/>
  <c r="W888" i="1"/>
  <c r="V888" i="1"/>
  <c r="U888" i="1"/>
  <c r="W887" i="1"/>
  <c r="V887" i="1"/>
  <c r="U887" i="1"/>
  <c r="W886" i="1"/>
  <c r="V886" i="1"/>
  <c r="U886" i="1"/>
  <c r="W885" i="1"/>
  <c r="V885" i="1"/>
  <c r="U885" i="1"/>
  <c r="W884" i="1"/>
  <c r="V884" i="1"/>
  <c r="U884" i="1"/>
  <c r="W883" i="1"/>
  <c r="V883" i="1"/>
  <c r="U883" i="1"/>
  <c r="W882" i="1"/>
  <c r="V882" i="1"/>
  <c r="U882" i="1"/>
  <c r="W881" i="1"/>
  <c r="V881" i="1"/>
  <c r="U881" i="1"/>
  <c r="W880" i="1"/>
  <c r="V880" i="1"/>
  <c r="U880" i="1"/>
  <c r="W879" i="1"/>
  <c r="V879" i="1"/>
  <c r="U879" i="1"/>
  <c r="W878" i="1"/>
  <c r="V878" i="1"/>
  <c r="U878" i="1"/>
  <c r="W877" i="1"/>
  <c r="V877" i="1"/>
  <c r="U877" i="1"/>
  <c r="W876" i="1"/>
  <c r="V876" i="1"/>
  <c r="U876" i="1"/>
  <c r="W875" i="1"/>
  <c r="V875" i="1"/>
  <c r="U875" i="1"/>
  <c r="W874" i="1"/>
  <c r="V874" i="1"/>
  <c r="U874" i="1"/>
  <c r="W873" i="1"/>
  <c r="V873" i="1"/>
  <c r="U873" i="1"/>
  <c r="W872" i="1"/>
  <c r="V872" i="1"/>
  <c r="U872" i="1"/>
  <c r="W871" i="1"/>
  <c r="V871" i="1"/>
  <c r="U871" i="1"/>
  <c r="W870" i="1"/>
  <c r="V870" i="1"/>
  <c r="U870" i="1"/>
  <c r="W869" i="1"/>
  <c r="V869" i="1"/>
  <c r="U869" i="1"/>
  <c r="W868" i="1"/>
  <c r="V868" i="1"/>
  <c r="U868" i="1"/>
  <c r="W867" i="1"/>
  <c r="V867" i="1"/>
  <c r="U867" i="1"/>
  <c r="W866" i="1"/>
  <c r="V866" i="1"/>
  <c r="U866" i="1"/>
  <c r="W865" i="1"/>
  <c r="V865" i="1"/>
  <c r="U865" i="1"/>
  <c r="W864" i="1"/>
  <c r="V864" i="1"/>
  <c r="U864" i="1"/>
  <c r="W863" i="1"/>
  <c r="V863" i="1"/>
  <c r="U863" i="1"/>
  <c r="W862" i="1"/>
  <c r="V862" i="1"/>
  <c r="U862" i="1"/>
  <c r="W861" i="1"/>
  <c r="V861" i="1"/>
  <c r="U861" i="1"/>
  <c r="W860" i="1"/>
  <c r="V860" i="1"/>
  <c r="U860" i="1"/>
  <c r="W859" i="1"/>
  <c r="V859" i="1"/>
  <c r="U859" i="1"/>
  <c r="W858" i="1"/>
  <c r="V858" i="1"/>
  <c r="U858" i="1"/>
  <c r="W857" i="1"/>
  <c r="V857" i="1"/>
  <c r="U857" i="1"/>
  <c r="W856" i="1"/>
  <c r="V856" i="1"/>
  <c r="U856" i="1"/>
  <c r="W855" i="1"/>
  <c r="V855" i="1"/>
  <c r="U855" i="1"/>
  <c r="W854" i="1"/>
  <c r="V854" i="1"/>
  <c r="U854" i="1"/>
  <c r="W853" i="1"/>
  <c r="V853" i="1"/>
  <c r="U853" i="1"/>
  <c r="W852" i="1"/>
  <c r="V852" i="1"/>
  <c r="U852" i="1"/>
  <c r="W851" i="1"/>
  <c r="V851" i="1"/>
  <c r="U851" i="1"/>
  <c r="W850" i="1"/>
  <c r="V850" i="1"/>
  <c r="U850" i="1"/>
  <c r="W849" i="1"/>
  <c r="V849" i="1"/>
  <c r="U849" i="1"/>
  <c r="W848" i="1"/>
  <c r="V848" i="1"/>
  <c r="U848" i="1"/>
  <c r="W847" i="1"/>
  <c r="V847" i="1"/>
  <c r="U847" i="1"/>
  <c r="W846" i="1"/>
  <c r="V846" i="1"/>
  <c r="U846" i="1"/>
  <c r="W845" i="1"/>
  <c r="V845" i="1"/>
  <c r="U845" i="1"/>
  <c r="W844" i="1"/>
  <c r="V844" i="1"/>
  <c r="U844" i="1"/>
  <c r="W843" i="1"/>
  <c r="V843" i="1"/>
  <c r="U843" i="1"/>
  <c r="W842" i="1"/>
  <c r="V842" i="1"/>
  <c r="U842" i="1"/>
  <c r="W841" i="1"/>
  <c r="V841" i="1"/>
  <c r="U841" i="1"/>
  <c r="W840" i="1"/>
  <c r="V840" i="1"/>
  <c r="U840" i="1"/>
  <c r="W839" i="1"/>
  <c r="V839" i="1"/>
  <c r="U839" i="1"/>
  <c r="W838" i="1"/>
  <c r="V838" i="1"/>
  <c r="U838" i="1"/>
  <c r="W837" i="1"/>
  <c r="V837" i="1"/>
  <c r="U837" i="1"/>
  <c r="W836" i="1"/>
  <c r="V836" i="1"/>
  <c r="U836" i="1"/>
  <c r="W835" i="1"/>
  <c r="V835" i="1"/>
  <c r="U835" i="1"/>
  <c r="W834" i="1"/>
  <c r="V834" i="1"/>
  <c r="W833" i="1"/>
  <c r="V833" i="1"/>
  <c r="U833" i="1"/>
  <c r="W832" i="1"/>
  <c r="V832" i="1"/>
  <c r="U832" i="1"/>
  <c r="W831" i="1"/>
  <c r="V831" i="1"/>
  <c r="U831" i="1"/>
  <c r="W830" i="1"/>
  <c r="V830" i="1"/>
  <c r="U830" i="1"/>
  <c r="W829" i="1"/>
  <c r="V829" i="1"/>
  <c r="U829" i="1"/>
  <c r="W828" i="1"/>
  <c r="V828" i="1"/>
  <c r="U828" i="1"/>
  <c r="W827" i="1"/>
  <c r="V827" i="1"/>
  <c r="U827" i="1"/>
  <c r="W826" i="1"/>
  <c r="V826" i="1"/>
  <c r="U826" i="1"/>
  <c r="W825" i="1"/>
  <c r="V825" i="1"/>
  <c r="U825" i="1"/>
  <c r="W824" i="1"/>
  <c r="V824" i="1"/>
  <c r="U824" i="1"/>
  <c r="W823" i="1"/>
  <c r="V823" i="1"/>
  <c r="U823" i="1"/>
  <c r="W822" i="1"/>
  <c r="V822" i="1"/>
  <c r="U822" i="1"/>
  <c r="W821" i="1"/>
  <c r="V821" i="1"/>
  <c r="U821" i="1"/>
  <c r="W820" i="1"/>
  <c r="V820" i="1"/>
  <c r="U820" i="1"/>
  <c r="W819" i="1"/>
  <c r="V819" i="1"/>
  <c r="U819" i="1"/>
  <c r="W818" i="1"/>
  <c r="V818" i="1"/>
  <c r="U818" i="1"/>
  <c r="W817" i="1"/>
  <c r="V817" i="1"/>
  <c r="U817" i="1"/>
  <c r="W816" i="1"/>
  <c r="V816" i="1"/>
  <c r="U816" i="1"/>
  <c r="W815" i="1"/>
  <c r="V815" i="1"/>
  <c r="U815" i="1"/>
  <c r="W814" i="1"/>
  <c r="V814" i="1"/>
  <c r="U814" i="1"/>
  <c r="W813" i="1"/>
  <c r="V813" i="1"/>
  <c r="U813" i="1"/>
  <c r="W812" i="1"/>
  <c r="V812" i="1"/>
  <c r="U812" i="1"/>
  <c r="W811" i="1"/>
  <c r="V811" i="1"/>
  <c r="U811" i="1"/>
  <c r="W810" i="1"/>
  <c r="V810" i="1"/>
  <c r="U810" i="1"/>
  <c r="W809" i="1"/>
  <c r="V809" i="1"/>
  <c r="U809" i="1"/>
  <c r="W808" i="1"/>
  <c r="V808" i="1"/>
  <c r="U808" i="1"/>
  <c r="W807" i="1"/>
  <c r="V807" i="1"/>
  <c r="U807" i="1"/>
  <c r="W806" i="1"/>
  <c r="V806" i="1"/>
  <c r="U806" i="1"/>
  <c r="W805" i="1"/>
  <c r="V805" i="1"/>
  <c r="U805" i="1"/>
  <c r="W804" i="1"/>
  <c r="V804" i="1"/>
  <c r="U804" i="1"/>
  <c r="W803" i="1"/>
  <c r="V803" i="1"/>
  <c r="U803" i="1"/>
  <c r="W802" i="1"/>
  <c r="V802" i="1"/>
  <c r="U802" i="1"/>
  <c r="W801" i="1"/>
  <c r="V801" i="1"/>
  <c r="U801" i="1"/>
  <c r="W800" i="1"/>
  <c r="V800" i="1"/>
  <c r="U800" i="1"/>
  <c r="W799" i="1"/>
  <c r="V799" i="1"/>
  <c r="U799" i="1"/>
  <c r="W798" i="1"/>
  <c r="V798" i="1"/>
  <c r="U798" i="1"/>
  <c r="W797" i="1"/>
  <c r="V797" i="1"/>
  <c r="U797" i="1"/>
  <c r="W796" i="1"/>
  <c r="V796" i="1"/>
  <c r="U796" i="1"/>
  <c r="W795" i="1"/>
  <c r="V795" i="1"/>
  <c r="U795" i="1"/>
  <c r="W794" i="1"/>
  <c r="V794" i="1"/>
  <c r="U794" i="1"/>
  <c r="W793" i="1"/>
  <c r="V793" i="1"/>
  <c r="U793" i="1"/>
  <c r="W792" i="1"/>
  <c r="V792" i="1"/>
  <c r="U792" i="1"/>
  <c r="W791" i="1"/>
  <c r="V791" i="1"/>
  <c r="U791" i="1"/>
  <c r="W790" i="1"/>
  <c r="V790" i="1"/>
  <c r="U790" i="1"/>
  <c r="W789" i="1"/>
  <c r="V789" i="1"/>
  <c r="U789" i="1"/>
  <c r="W788" i="1"/>
  <c r="V788" i="1"/>
  <c r="U788" i="1"/>
  <c r="W787" i="1"/>
  <c r="V787" i="1"/>
  <c r="U787" i="1"/>
  <c r="W786" i="1"/>
  <c r="V786" i="1"/>
  <c r="U786" i="1"/>
  <c r="W785" i="1"/>
  <c r="V785" i="1"/>
  <c r="U785" i="1"/>
  <c r="W784" i="1"/>
  <c r="V784" i="1"/>
  <c r="U784" i="1"/>
  <c r="W783" i="1"/>
  <c r="V783" i="1"/>
  <c r="U783" i="1"/>
  <c r="W782" i="1"/>
  <c r="V782" i="1"/>
  <c r="U782" i="1"/>
  <c r="W781" i="1"/>
  <c r="V781" i="1"/>
  <c r="U781" i="1"/>
  <c r="W780" i="1"/>
  <c r="V780" i="1"/>
  <c r="U780" i="1"/>
  <c r="W779" i="1"/>
  <c r="V779" i="1"/>
  <c r="U779" i="1"/>
  <c r="W778" i="1"/>
  <c r="V778" i="1"/>
  <c r="U778" i="1"/>
  <c r="W777" i="1"/>
  <c r="V777" i="1"/>
  <c r="U777" i="1"/>
  <c r="W776" i="1"/>
  <c r="V776" i="1"/>
  <c r="U776" i="1"/>
  <c r="W775" i="1"/>
  <c r="V775" i="1"/>
  <c r="U775" i="1"/>
  <c r="W774" i="1"/>
  <c r="V774" i="1"/>
  <c r="U774" i="1"/>
  <c r="W773" i="1"/>
  <c r="V773" i="1"/>
  <c r="U773" i="1"/>
  <c r="W772" i="1"/>
  <c r="V772" i="1"/>
  <c r="U772" i="1"/>
  <c r="W771" i="1"/>
  <c r="V771" i="1"/>
  <c r="U771" i="1"/>
  <c r="W770" i="1"/>
  <c r="V770" i="1"/>
  <c r="U770" i="1"/>
  <c r="W769" i="1"/>
  <c r="V769" i="1"/>
  <c r="U769" i="1"/>
  <c r="W768" i="1"/>
  <c r="V768" i="1"/>
  <c r="U768" i="1"/>
  <c r="W767" i="1"/>
  <c r="V767" i="1"/>
  <c r="U767" i="1"/>
  <c r="W766" i="1"/>
  <c r="V766" i="1"/>
  <c r="U766" i="1"/>
  <c r="W765" i="1"/>
  <c r="V765" i="1"/>
  <c r="U765" i="1"/>
  <c r="W764" i="1"/>
  <c r="V764" i="1"/>
  <c r="U764" i="1"/>
  <c r="W763" i="1"/>
  <c r="V763" i="1"/>
  <c r="U763" i="1"/>
  <c r="W762" i="1"/>
  <c r="V762" i="1"/>
  <c r="U762" i="1"/>
  <c r="V761" i="1"/>
  <c r="U761" i="1"/>
  <c r="V760" i="1"/>
  <c r="U760" i="1"/>
  <c r="V759" i="1"/>
  <c r="U759" i="1"/>
  <c r="V758" i="1"/>
  <c r="U758" i="1"/>
  <c r="V757" i="1"/>
  <c r="U757" i="1"/>
  <c r="V756" i="1"/>
  <c r="U756" i="1"/>
  <c r="V755" i="1"/>
  <c r="U755" i="1"/>
  <c r="V754" i="1"/>
  <c r="U754" i="1"/>
  <c r="V753" i="1"/>
  <c r="U753" i="1"/>
  <c r="V752" i="1"/>
  <c r="U752" i="1"/>
  <c r="V751" i="1"/>
  <c r="U751" i="1"/>
  <c r="V750" i="1"/>
  <c r="U750" i="1"/>
  <c r="V749" i="1"/>
  <c r="U749" i="1"/>
  <c r="V748" i="1"/>
  <c r="U748" i="1"/>
  <c r="V747" i="1"/>
  <c r="U747" i="1"/>
  <c r="V746" i="1"/>
  <c r="U746" i="1"/>
  <c r="V745" i="1"/>
  <c r="U745" i="1"/>
  <c r="V744" i="1"/>
  <c r="U744" i="1"/>
  <c r="V743" i="1"/>
  <c r="U743" i="1"/>
  <c r="V742" i="1"/>
  <c r="U742" i="1"/>
  <c r="V741" i="1"/>
  <c r="U741" i="1"/>
  <c r="V740" i="1"/>
  <c r="U740" i="1"/>
  <c r="V739" i="1"/>
  <c r="U739" i="1"/>
  <c r="V738" i="1"/>
  <c r="U738" i="1"/>
  <c r="V737" i="1"/>
  <c r="U737" i="1"/>
  <c r="V736" i="1"/>
  <c r="U736" i="1"/>
  <c r="V735" i="1"/>
  <c r="U735" i="1"/>
  <c r="V734" i="1"/>
  <c r="U734" i="1"/>
  <c r="V733" i="1"/>
  <c r="U733" i="1"/>
  <c r="V732" i="1"/>
  <c r="U732" i="1"/>
  <c r="V731" i="1"/>
  <c r="U731" i="1"/>
  <c r="V730" i="1"/>
  <c r="U730" i="1"/>
  <c r="V729" i="1"/>
  <c r="U729" i="1"/>
  <c r="V728" i="1"/>
  <c r="U728" i="1"/>
  <c r="V727" i="1"/>
  <c r="U727" i="1"/>
  <c r="V726" i="1"/>
  <c r="U726" i="1"/>
  <c r="V725" i="1"/>
  <c r="U725" i="1"/>
  <c r="V724" i="1"/>
  <c r="U724" i="1"/>
  <c r="V723" i="1"/>
  <c r="U723" i="1"/>
  <c r="V722" i="1"/>
  <c r="U722" i="1"/>
  <c r="V721" i="1"/>
  <c r="U721" i="1"/>
  <c r="V720" i="1"/>
  <c r="U720" i="1"/>
  <c r="V719" i="1"/>
  <c r="U719" i="1"/>
  <c r="V718" i="1"/>
  <c r="U718" i="1"/>
  <c r="V717" i="1"/>
  <c r="U717" i="1"/>
  <c r="V716" i="1"/>
  <c r="U716" i="1"/>
  <c r="V715" i="1"/>
  <c r="U715" i="1"/>
  <c r="V714" i="1"/>
  <c r="U714" i="1"/>
  <c r="V713" i="1"/>
  <c r="U713" i="1"/>
  <c r="V712" i="1"/>
  <c r="U712" i="1"/>
  <c r="V711" i="1"/>
  <c r="U711" i="1"/>
  <c r="V710" i="1"/>
  <c r="U710" i="1"/>
  <c r="V709" i="1"/>
  <c r="U709" i="1"/>
  <c r="V708" i="1"/>
  <c r="U708" i="1"/>
  <c r="V707" i="1"/>
  <c r="U707" i="1"/>
  <c r="V706" i="1"/>
  <c r="U706" i="1"/>
  <c r="V705" i="1"/>
  <c r="U705" i="1"/>
  <c r="V704" i="1"/>
  <c r="U704" i="1"/>
  <c r="V703" i="1"/>
  <c r="U703" i="1"/>
  <c r="V702" i="1"/>
  <c r="U702" i="1"/>
  <c r="V701" i="1"/>
  <c r="U701" i="1"/>
  <c r="V700" i="1"/>
  <c r="U700" i="1"/>
  <c r="V699" i="1"/>
  <c r="U699" i="1"/>
  <c r="V698" i="1"/>
  <c r="U698" i="1"/>
  <c r="V697" i="1"/>
  <c r="U697" i="1"/>
  <c r="V696" i="1"/>
  <c r="U696" i="1"/>
  <c r="V695" i="1"/>
  <c r="U695" i="1"/>
  <c r="V694" i="1"/>
  <c r="U694" i="1"/>
  <c r="V693" i="1"/>
  <c r="U693" i="1"/>
  <c r="V692" i="1"/>
  <c r="U692" i="1"/>
  <c r="V691" i="1"/>
  <c r="U691" i="1"/>
  <c r="V690" i="1"/>
  <c r="U690" i="1"/>
  <c r="V689" i="1"/>
  <c r="U689" i="1"/>
  <c r="V688" i="1"/>
  <c r="U688" i="1"/>
  <c r="V687" i="1"/>
  <c r="U687" i="1"/>
  <c r="V686" i="1"/>
  <c r="U686" i="1"/>
  <c r="V685" i="1"/>
  <c r="U685" i="1"/>
  <c r="V684" i="1"/>
  <c r="U684" i="1"/>
  <c r="V683" i="1"/>
  <c r="U683" i="1"/>
  <c r="V682" i="1"/>
  <c r="U682" i="1"/>
  <c r="V681" i="1"/>
  <c r="U681" i="1"/>
  <c r="V680" i="1"/>
  <c r="U680" i="1"/>
  <c r="V679" i="1"/>
  <c r="U679" i="1"/>
  <c r="V678" i="1"/>
  <c r="U678" i="1"/>
  <c r="V677" i="1"/>
  <c r="U677" i="1"/>
  <c r="V676" i="1"/>
  <c r="U676" i="1"/>
  <c r="V675" i="1"/>
  <c r="U675" i="1"/>
  <c r="V674" i="1"/>
  <c r="U674" i="1"/>
  <c r="V673" i="1"/>
  <c r="U673" i="1"/>
  <c r="V672" i="1"/>
  <c r="U672" i="1"/>
  <c r="V671" i="1"/>
  <c r="U671" i="1"/>
  <c r="V670" i="1"/>
  <c r="U670" i="1"/>
  <c r="V669" i="1"/>
  <c r="U669" i="1"/>
  <c r="V668" i="1"/>
  <c r="U668" i="1"/>
  <c r="V667" i="1"/>
  <c r="U667" i="1"/>
  <c r="V666" i="1"/>
  <c r="U666" i="1"/>
  <c r="V665" i="1"/>
  <c r="U665" i="1"/>
  <c r="V664" i="1"/>
  <c r="U664" i="1"/>
  <c r="V663" i="1"/>
  <c r="U663" i="1"/>
  <c r="V662" i="1"/>
  <c r="U662" i="1"/>
  <c r="V661" i="1"/>
  <c r="U661" i="1"/>
  <c r="V660" i="1"/>
  <c r="U660" i="1"/>
  <c r="V659" i="1"/>
  <c r="U659" i="1"/>
  <c r="V658" i="1"/>
  <c r="U658" i="1"/>
  <c r="V657" i="1"/>
  <c r="U657" i="1"/>
  <c r="V656" i="1"/>
  <c r="U656" i="1"/>
  <c r="V655" i="1"/>
  <c r="U655" i="1"/>
  <c r="V654" i="1"/>
  <c r="U654" i="1"/>
  <c r="V653" i="1"/>
  <c r="U653" i="1"/>
  <c r="V652" i="1"/>
  <c r="U652" i="1"/>
  <c r="V651" i="1"/>
  <c r="U651" i="1"/>
  <c r="V650" i="1"/>
  <c r="U650" i="1"/>
  <c r="V649" i="1"/>
  <c r="U649" i="1"/>
  <c r="V648" i="1"/>
  <c r="U648" i="1"/>
  <c r="V647" i="1"/>
  <c r="U647" i="1"/>
  <c r="V646" i="1"/>
  <c r="U646" i="1"/>
  <c r="V645" i="1"/>
  <c r="U645" i="1"/>
  <c r="V644" i="1"/>
  <c r="U644" i="1"/>
  <c r="V643" i="1"/>
  <c r="U643" i="1"/>
  <c r="V642" i="1"/>
  <c r="U642" i="1"/>
  <c r="V641" i="1"/>
  <c r="U641" i="1"/>
  <c r="V640" i="1"/>
  <c r="U640" i="1"/>
  <c r="V639" i="1"/>
  <c r="U639" i="1"/>
  <c r="V638" i="1"/>
  <c r="U638" i="1"/>
  <c r="V637" i="1"/>
  <c r="U637" i="1"/>
  <c r="V636" i="1"/>
  <c r="U636" i="1"/>
  <c r="V635" i="1"/>
  <c r="U635" i="1"/>
  <c r="V634" i="1"/>
  <c r="U634" i="1"/>
  <c r="V633" i="1"/>
  <c r="U633" i="1"/>
  <c r="V632" i="1"/>
  <c r="U632" i="1"/>
  <c r="V631" i="1"/>
  <c r="U631" i="1"/>
  <c r="V630" i="1"/>
  <c r="U630" i="1"/>
  <c r="V629" i="1"/>
  <c r="U629" i="1"/>
  <c r="V628" i="1"/>
  <c r="U628" i="1"/>
  <c r="V627" i="1"/>
  <c r="U627" i="1"/>
  <c r="V626" i="1"/>
  <c r="U626" i="1"/>
  <c r="V625" i="1"/>
  <c r="U625" i="1"/>
  <c r="V623" i="1"/>
  <c r="U623" i="1"/>
  <c r="V622" i="1"/>
  <c r="U622" i="1"/>
  <c r="V621" i="1"/>
  <c r="U621" i="1"/>
  <c r="V620" i="1"/>
  <c r="U620" i="1"/>
  <c r="V619" i="1"/>
  <c r="U619" i="1"/>
  <c r="V618" i="1"/>
  <c r="U618" i="1"/>
  <c r="V617" i="1"/>
  <c r="U617" i="1"/>
  <c r="V616" i="1"/>
  <c r="U616" i="1"/>
  <c r="V615" i="1"/>
  <c r="U615" i="1"/>
  <c r="V614" i="1"/>
  <c r="U614" i="1"/>
  <c r="V613" i="1"/>
  <c r="U613" i="1"/>
  <c r="V612" i="1"/>
  <c r="U612" i="1"/>
  <c r="V611" i="1"/>
  <c r="U611" i="1"/>
  <c r="V610" i="1"/>
  <c r="U610" i="1"/>
  <c r="V609" i="1"/>
  <c r="U609" i="1"/>
  <c r="V608" i="1"/>
  <c r="U608" i="1"/>
  <c r="V607" i="1"/>
  <c r="U607" i="1"/>
  <c r="V606" i="1"/>
  <c r="U606" i="1"/>
  <c r="V605" i="1"/>
  <c r="V604" i="1"/>
  <c r="U604" i="1"/>
  <c r="V603" i="1"/>
  <c r="U603" i="1"/>
  <c r="V602" i="1"/>
  <c r="U602" i="1"/>
  <c r="V601" i="1"/>
  <c r="U601" i="1"/>
  <c r="V600" i="1"/>
  <c r="U600" i="1"/>
  <c r="V599" i="1"/>
  <c r="U599" i="1"/>
  <c r="V598" i="1"/>
  <c r="U598" i="1"/>
  <c r="V597" i="1"/>
  <c r="U597" i="1"/>
  <c r="V596" i="1"/>
  <c r="U596" i="1"/>
  <c r="V595" i="1"/>
  <c r="U595" i="1"/>
  <c r="V594" i="1"/>
  <c r="U594" i="1"/>
  <c r="V593" i="1"/>
  <c r="U593" i="1"/>
  <c r="V592" i="1"/>
  <c r="U592" i="1"/>
  <c r="V591" i="1"/>
  <c r="U591" i="1"/>
  <c r="V590" i="1"/>
  <c r="U590" i="1"/>
  <c r="V589" i="1"/>
  <c r="U589" i="1"/>
  <c r="V588" i="1"/>
  <c r="U588" i="1"/>
  <c r="V587" i="1"/>
  <c r="U587" i="1"/>
  <c r="V586" i="1"/>
  <c r="U586" i="1"/>
  <c r="V585" i="1"/>
  <c r="U585" i="1"/>
  <c r="V584" i="1"/>
  <c r="U584" i="1"/>
  <c r="V583" i="1"/>
  <c r="U583" i="1"/>
  <c r="V582" i="1"/>
  <c r="U582" i="1"/>
  <c r="V581" i="1"/>
  <c r="U581" i="1"/>
  <c r="V580" i="1"/>
  <c r="U580" i="1"/>
  <c r="V579" i="1"/>
  <c r="U579" i="1"/>
  <c r="V578" i="1"/>
  <c r="U578" i="1"/>
  <c r="V577" i="1"/>
  <c r="U577" i="1"/>
  <c r="V576" i="1"/>
  <c r="U576" i="1"/>
  <c r="V575" i="1"/>
  <c r="U575" i="1"/>
  <c r="V574" i="1"/>
  <c r="U574" i="1"/>
  <c r="V573" i="1"/>
  <c r="U573" i="1"/>
  <c r="V572" i="1"/>
  <c r="U572" i="1"/>
  <c r="V571" i="1"/>
  <c r="U571" i="1"/>
  <c r="V570" i="1"/>
  <c r="U570" i="1"/>
  <c r="V569" i="1"/>
  <c r="U569" i="1"/>
  <c r="V568" i="1"/>
  <c r="U568" i="1"/>
  <c r="V567" i="1"/>
  <c r="U567" i="1"/>
  <c r="V566" i="1"/>
  <c r="U566" i="1"/>
  <c r="V565" i="1"/>
  <c r="U565" i="1"/>
  <c r="V564" i="1"/>
  <c r="U564" i="1"/>
  <c r="V563" i="1"/>
  <c r="U563" i="1"/>
  <c r="V562" i="1"/>
  <c r="U562" i="1"/>
  <c r="V561" i="1"/>
  <c r="U561" i="1"/>
  <c r="V560" i="1"/>
  <c r="U560" i="1"/>
  <c r="V559" i="1"/>
  <c r="U559" i="1"/>
  <c r="V558" i="1"/>
  <c r="U558" i="1"/>
  <c r="V557" i="1"/>
  <c r="U557" i="1"/>
  <c r="V556" i="1"/>
  <c r="U556" i="1"/>
  <c r="V555" i="1"/>
  <c r="V554" i="1"/>
  <c r="V553" i="1"/>
  <c r="V552" i="1"/>
  <c r="V551" i="1"/>
  <c r="V550" i="1"/>
  <c r="V549" i="1"/>
  <c r="U549" i="1"/>
  <c r="V548" i="1"/>
  <c r="V547" i="1"/>
  <c r="V546" i="1"/>
  <c r="V545" i="1"/>
  <c r="U545" i="1"/>
  <c r="V544" i="1"/>
  <c r="V543" i="1"/>
  <c r="V542" i="1"/>
  <c r="V541" i="1"/>
  <c r="V540" i="1"/>
  <c r="U540" i="1"/>
  <c r="V539" i="1"/>
  <c r="U539" i="1"/>
  <c r="V538" i="1"/>
  <c r="V537" i="1"/>
  <c r="V536" i="1"/>
  <c r="V535" i="1"/>
  <c r="V534" i="1"/>
  <c r="V533" i="1"/>
  <c r="V532" i="1"/>
  <c r="V531" i="1"/>
  <c r="V530" i="1"/>
  <c r="V529" i="1"/>
  <c r="V528" i="1"/>
  <c r="V527" i="1"/>
  <c r="U527" i="1"/>
  <c r="V526" i="1"/>
  <c r="V525" i="1"/>
  <c r="V524" i="1"/>
  <c r="V523" i="1"/>
  <c r="V522" i="1"/>
  <c r="V521" i="1"/>
  <c r="V520" i="1"/>
  <c r="V519" i="1"/>
  <c r="V518" i="1"/>
  <c r="U518" i="1"/>
  <c r="V517" i="1"/>
  <c r="U517" i="1"/>
  <c r="V516" i="1"/>
  <c r="V515" i="1"/>
  <c r="U515" i="1"/>
  <c r="V514" i="1"/>
  <c r="U514" i="1"/>
  <c r="V513" i="1"/>
  <c r="U513" i="1"/>
  <c r="V512" i="1"/>
  <c r="U512" i="1"/>
  <c r="V511" i="1"/>
  <c r="U511" i="1"/>
  <c r="V510" i="1"/>
  <c r="U510" i="1"/>
  <c r="V509" i="1"/>
  <c r="U509" i="1"/>
  <c r="V508" i="1"/>
  <c r="U508" i="1"/>
  <c r="V507" i="1"/>
  <c r="U507" i="1"/>
  <c r="V506" i="1"/>
  <c r="U506" i="1"/>
  <c r="V505" i="1"/>
  <c r="V504" i="1"/>
  <c r="V503" i="1"/>
  <c r="V502" i="1"/>
  <c r="V501" i="1"/>
  <c r="U501" i="1"/>
  <c r="V500" i="1"/>
  <c r="U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V481" i="1"/>
  <c r="U481" i="1"/>
  <c r="V480" i="1"/>
  <c r="U480" i="1"/>
  <c r="V479" i="1"/>
  <c r="U479" i="1"/>
  <c r="V478" i="1"/>
  <c r="U478" i="1"/>
  <c r="V477" i="1"/>
  <c r="U477" i="1"/>
  <c r="V476" i="1"/>
  <c r="U476" i="1"/>
  <c r="V475" i="1"/>
  <c r="V474" i="1"/>
  <c r="U474" i="1"/>
  <c r="V473" i="1"/>
  <c r="V472" i="1"/>
  <c r="V471" i="1"/>
  <c r="V470" i="1"/>
  <c r="U470" i="1"/>
  <c r="V469" i="1"/>
  <c r="U469" i="1"/>
  <c r="V468" i="1"/>
  <c r="U468" i="1"/>
  <c r="V467" i="1"/>
  <c r="U467" i="1"/>
  <c r="V466" i="1"/>
  <c r="U466" i="1"/>
  <c r="V465" i="1"/>
  <c r="U465" i="1"/>
  <c r="V464" i="1"/>
  <c r="V463" i="1"/>
  <c r="V462" i="1"/>
  <c r="V461" i="1"/>
  <c r="U461" i="1"/>
  <c r="V460" i="1"/>
  <c r="U460" i="1"/>
  <c r="V459" i="1"/>
  <c r="V458" i="1"/>
  <c r="U458" i="1"/>
  <c r="V457" i="1"/>
  <c r="U457" i="1"/>
  <c r="V456" i="1"/>
  <c r="U456" i="1"/>
  <c r="V455" i="1"/>
  <c r="U455" i="1"/>
  <c r="V454" i="1"/>
  <c r="U454" i="1"/>
  <c r="V453" i="1"/>
  <c r="U453" i="1"/>
  <c r="V452" i="1"/>
  <c r="U452" i="1"/>
  <c r="V451" i="1"/>
  <c r="U451" i="1"/>
  <c r="V450" i="1"/>
  <c r="U450" i="1"/>
  <c r="V449" i="1"/>
  <c r="U449" i="1"/>
  <c r="V448" i="1"/>
  <c r="U448" i="1"/>
  <c r="V447" i="1"/>
  <c r="U447" i="1"/>
  <c r="V446" i="1"/>
  <c r="U446" i="1"/>
  <c r="V445" i="1"/>
  <c r="U445" i="1"/>
  <c r="V444" i="1"/>
  <c r="U444" i="1"/>
  <c r="V443" i="1"/>
  <c r="U443" i="1"/>
  <c r="V442" i="1"/>
  <c r="U442" i="1"/>
  <c r="V441" i="1"/>
  <c r="U441" i="1"/>
  <c r="V440" i="1"/>
  <c r="U440" i="1"/>
  <c r="V439" i="1"/>
  <c r="U439" i="1"/>
  <c r="W438" i="1"/>
  <c r="W437" i="1"/>
  <c r="W436" i="1"/>
  <c r="W435" i="1"/>
  <c r="W434" i="1"/>
  <c r="W433" i="1"/>
  <c r="W432" i="1"/>
  <c r="W431" i="1"/>
  <c r="W430" i="1"/>
  <c r="W429" i="1"/>
  <c r="W428" i="1"/>
  <c r="W427" i="1"/>
  <c r="W426" i="1"/>
  <c r="W425" i="1"/>
  <c r="W424" i="1"/>
  <c r="V424" i="1"/>
  <c r="W423" i="1"/>
  <c r="V423" i="1"/>
  <c r="W422" i="1"/>
  <c r="W421" i="1"/>
  <c r="W420" i="1"/>
  <c r="W419" i="1"/>
  <c r="W418" i="1"/>
  <c r="W417" i="1"/>
  <c r="W416" i="1"/>
  <c r="W415" i="1"/>
  <c r="W414" i="1"/>
  <c r="W413" i="1"/>
  <c r="W412" i="1"/>
  <c r="W411" i="1"/>
  <c r="W410" i="1"/>
  <c r="W409" i="1"/>
  <c r="W408" i="1"/>
  <c r="W407" i="1"/>
  <c r="W406" i="1"/>
  <c r="W405" i="1"/>
  <c r="W404" i="1"/>
  <c r="V404" i="1"/>
  <c r="U404" i="1"/>
  <c r="W403" i="1"/>
  <c r="V403" i="1"/>
  <c r="U403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81" i="1"/>
  <c r="W380" i="1"/>
  <c r="W379" i="1"/>
  <c r="W378" i="1"/>
  <c r="W377" i="1"/>
  <c r="W376" i="1"/>
  <c r="W375" i="1"/>
  <c r="W374" i="1"/>
  <c r="W373" i="1"/>
  <c r="W372" i="1"/>
  <c r="W371" i="1"/>
  <c r="W370" i="1"/>
  <c r="W369" i="1"/>
  <c r="W368" i="1"/>
  <c r="W367" i="1"/>
  <c r="W366" i="1"/>
  <c r="W365" i="1"/>
  <c r="W364" i="1"/>
  <c r="W363" i="1"/>
  <c r="W362" i="1"/>
  <c r="W361" i="1"/>
  <c r="W360" i="1"/>
  <c r="W359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W337" i="1"/>
  <c r="V336" i="1"/>
  <c r="V335" i="1"/>
  <c r="V334" i="1"/>
  <c r="V333" i="1"/>
  <c r="V332" i="1"/>
  <c r="V331" i="1"/>
  <c r="V330" i="1"/>
  <c r="V329" i="1"/>
  <c r="V328" i="1"/>
  <c r="V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W314" i="1"/>
  <c r="V314" i="1"/>
  <c r="W313" i="1"/>
  <c r="V313" i="1"/>
  <c r="W312" i="1"/>
  <c r="V312" i="1"/>
  <c r="W311" i="1"/>
  <c r="V311" i="1"/>
  <c r="W310" i="1"/>
  <c r="V310" i="1"/>
  <c r="W309" i="1"/>
  <c r="V309" i="1"/>
  <c r="W308" i="1"/>
  <c r="V308" i="1"/>
  <c r="W307" i="1"/>
  <c r="V307" i="1"/>
  <c r="W306" i="1"/>
  <c r="V306" i="1"/>
  <c r="W305" i="1"/>
  <c r="V305" i="1"/>
  <c r="W304" i="1"/>
  <c r="V304" i="1"/>
  <c r="W303" i="1"/>
  <c r="V303" i="1"/>
  <c r="V302" i="1"/>
  <c r="V301" i="1"/>
  <c r="W300" i="1"/>
  <c r="V300" i="1"/>
  <c r="V299" i="1"/>
  <c r="V298" i="1"/>
  <c r="V297" i="1"/>
  <c r="V296" i="1"/>
  <c r="V295" i="1"/>
  <c r="V294" i="1"/>
  <c r="V293" i="1"/>
  <c r="W292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V273" i="1"/>
  <c r="W267" i="1"/>
  <c r="V264" i="1"/>
  <c r="V263" i="1"/>
  <c r="W262" i="1"/>
  <c r="V262" i="1"/>
  <c r="W261" i="1"/>
  <c r="V261" i="1"/>
  <c r="W260" i="1"/>
  <c r="V260" i="1"/>
  <c r="W259" i="1"/>
  <c r="V259" i="1"/>
  <c r="W258" i="1"/>
  <c r="V258" i="1"/>
  <c r="W257" i="1"/>
  <c r="V257" i="1"/>
  <c r="W256" i="1"/>
  <c r="V256" i="1"/>
  <c r="W255" i="1"/>
  <c r="V255" i="1"/>
  <c r="W254" i="1"/>
  <c r="V254" i="1"/>
  <c r="W253" i="1"/>
  <c r="V253" i="1"/>
  <c r="W252" i="1"/>
  <c r="V252" i="1"/>
  <c r="W251" i="1"/>
  <c r="V251" i="1"/>
  <c r="W250" i="1"/>
  <c r="V250" i="1"/>
  <c r="W249" i="1"/>
  <c r="V249" i="1"/>
  <c r="V248" i="1"/>
  <c r="V247" i="1"/>
  <c r="V246" i="1"/>
  <c r="V245" i="1"/>
  <c r="V244" i="1"/>
  <c r="V243" i="1"/>
  <c r="V242" i="1"/>
  <c r="V241" i="1"/>
  <c r="V240" i="1"/>
  <c r="V239" i="1"/>
  <c r="V238" i="1"/>
  <c r="V237" i="1"/>
  <c r="V236" i="1"/>
  <c r="V227" i="1"/>
  <c r="V226" i="1"/>
  <c r="V225" i="1"/>
  <c r="V224" i="1"/>
  <c r="V223" i="1"/>
  <c r="W222" i="1"/>
  <c r="V222" i="1"/>
  <c r="V216" i="1"/>
  <c r="V215" i="1"/>
  <c r="V214" i="1"/>
  <c r="V213" i="1"/>
  <c r="V212" i="1"/>
  <c r="V211" i="1"/>
  <c r="V210" i="1"/>
  <c r="V209" i="1"/>
  <c r="V208" i="1"/>
  <c r="V207" i="1"/>
  <c r="V206" i="1"/>
  <c r="W205" i="1"/>
  <c r="V205" i="1"/>
  <c r="V204" i="1"/>
  <c r="V203" i="1"/>
  <c r="V202" i="1"/>
  <c r="V201" i="1"/>
  <c r="V200" i="1"/>
  <c r="V199" i="1"/>
  <c r="V198" i="1"/>
  <c r="V197" i="1"/>
  <c r="W196" i="1"/>
  <c r="V196" i="1"/>
  <c r="V195" i="1"/>
  <c r="V194" i="1"/>
  <c r="V193" i="1"/>
  <c r="V192" i="1"/>
  <c r="V191" i="1"/>
  <c r="V190" i="1"/>
  <c r="V189" i="1"/>
  <c r="V188" i="1"/>
  <c r="V187" i="1"/>
  <c r="W186" i="1"/>
  <c r="V186" i="1"/>
  <c r="W185" i="1"/>
  <c r="V185" i="1"/>
  <c r="W184" i="1"/>
  <c r="V184" i="1"/>
  <c r="W183" i="1"/>
  <c r="V183" i="1"/>
  <c r="W182" i="1"/>
  <c r="W181" i="1"/>
  <c r="W180" i="1"/>
  <c r="W179" i="1"/>
  <c r="W178" i="1"/>
  <c r="W177" i="1"/>
  <c r="V176" i="1"/>
  <c r="V175" i="1"/>
  <c r="V174" i="1"/>
  <c r="V173" i="1"/>
  <c r="V172" i="1"/>
  <c r="U172" i="1"/>
  <c r="V171" i="1"/>
  <c r="U171" i="1"/>
  <c r="V167" i="1"/>
  <c r="W166" i="1"/>
  <c r="V166" i="1"/>
  <c r="W165" i="1"/>
  <c r="V165" i="1"/>
  <c r="V164" i="1"/>
  <c r="V163" i="1"/>
  <c r="V162" i="1"/>
  <c r="W161" i="1"/>
  <c r="V161" i="1"/>
  <c r="W160" i="1"/>
  <c r="V160" i="1"/>
  <c r="V159" i="1"/>
  <c r="V158" i="1"/>
  <c r="V157" i="1"/>
  <c r="V156" i="1"/>
  <c r="V155" i="1"/>
  <c r="V154" i="1"/>
  <c r="V153" i="1"/>
  <c r="V152" i="1"/>
  <c r="U152" i="1"/>
  <c r="V151" i="1"/>
  <c r="U151" i="1"/>
  <c r="V150" i="1"/>
  <c r="U150" i="1"/>
  <c r="V149" i="1"/>
  <c r="U149" i="1"/>
  <c r="V148" i="1"/>
  <c r="U148" i="1"/>
  <c r="V147" i="1"/>
  <c r="U147" i="1"/>
  <c r="V146" i="1"/>
  <c r="U146" i="1"/>
  <c r="V145" i="1"/>
  <c r="U145" i="1"/>
  <c r="V144" i="1"/>
  <c r="U144" i="1"/>
  <c r="V143" i="1"/>
  <c r="U143" i="1"/>
  <c r="V142" i="1"/>
  <c r="U142" i="1"/>
  <c r="V141" i="1"/>
  <c r="U141" i="1"/>
  <c r="V140" i="1"/>
  <c r="U140" i="1"/>
  <c r="V139" i="1"/>
  <c r="U139" i="1"/>
  <c r="V138" i="1"/>
  <c r="U138" i="1"/>
  <c r="V137" i="1"/>
  <c r="U137" i="1"/>
  <c r="V136" i="1"/>
  <c r="U136" i="1"/>
  <c r="V135" i="1"/>
  <c r="U135" i="1"/>
  <c r="V134" i="1"/>
  <c r="U134" i="1"/>
  <c r="U133" i="1"/>
  <c r="U132" i="1"/>
  <c r="V131" i="1"/>
  <c r="U131" i="1"/>
  <c r="V130" i="1"/>
  <c r="U130" i="1"/>
  <c r="V129" i="1"/>
  <c r="U129" i="1"/>
  <c r="V128" i="1"/>
  <c r="U128" i="1"/>
  <c r="V127" i="1"/>
  <c r="U127" i="1"/>
  <c r="V126" i="1"/>
  <c r="U126" i="1"/>
  <c r="V125" i="1"/>
  <c r="U125" i="1"/>
  <c r="V124" i="1"/>
  <c r="U124" i="1"/>
  <c r="V123" i="1"/>
  <c r="U123" i="1"/>
  <c r="V122" i="1"/>
  <c r="U122" i="1"/>
  <c r="V121" i="1"/>
  <c r="U121" i="1"/>
  <c r="V120" i="1"/>
  <c r="U120" i="1"/>
  <c r="V119" i="1"/>
  <c r="U119" i="1"/>
  <c r="V118" i="1"/>
  <c r="U118" i="1"/>
  <c r="V117" i="1"/>
  <c r="U117" i="1"/>
  <c r="V116" i="1"/>
  <c r="U116" i="1"/>
  <c r="V115" i="1"/>
  <c r="U115" i="1"/>
  <c r="V114" i="1"/>
  <c r="U114" i="1"/>
  <c r="V113" i="1"/>
  <c r="U113" i="1"/>
  <c r="V112" i="1"/>
  <c r="U112" i="1"/>
  <c r="V111" i="1"/>
  <c r="U111" i="1"/>
  <c r="V110" i="1"/>
  <c r="U110" i="1"/>
  <c r="V109" i="1"/>
  <c r="U109" i="1"/>
  <c r="V108" i="1"/>
  <c r="U108" i="1"/>
  <c r="V107" i="1"/>
  <c r="U107" i="1"/>
  <c r="V106" i="1"/>
  <c r="U106" i="1"/>
  <c r="V105" i="1"/>
  <c r="U105" i="1"/>
  <c r="V104" i="1"/>
  <c r="U104" i="1"/>
  <c r="V103" i="1"/>
  <c r="U103" i="1"/>
  <c r="V102" i="1"/>
  <c r="U102" i="1"/>
  <c r="V101" i="1"/>
  <c r="U101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V93" i="1"/>
  <c r="U93" i="1"/>
  <c r="V92" i="1"/>
  <c r="U92" i="1"/>
  <c r="V91" i="1"/>
  <c r="U91" i="1"/>
  <c r="V90" i="1"/>
  <c r="U90" i="1"/>
  <c r="V89" i="1"/>
  <c r="U89" i="1"/>
  <c r="V88" i="1"/>
  <c r="U88" i="1"/>
  <c r="V87" i="1"/>
  <c r="U87" i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V79" i="1"/>
  <c r="U79" i="1"/>
  <c r="V78" i="1"/>
  <c r="U78" i="1"/>
  <c r="V77" i="1"/>
  <c r="U77" i="1"/>
  <c r="V76" i="1"/>
  <c r="U76" i="1"/>
  <c r="V75" i="1"/>
  <c r="U75" i="1"/>
  <c r="V74" i="1"/>
  <c r="U74" i="1"/>
  <c r="V73" i="1"/>
  <c r="U73" i="1"/>
  <c r="V72" i="1"/>
  <c r="U72" i="1"/>
  <c r="V71" i="1"/>
  <c r="U71" i="1"/>
  <c r="V70" i="1"/>
  <c r="U70" i="1"/>
  <c r="V69" i="1"/>
  <c r="U69" i="1"/>
  <c r="V68" i="1"/>
  <c r="U68" i="1"/>
  <c r="V67" i="1"/>
  <c r="U67" i="1"/>
  <c r="V66" i="1"/>
  <c r="U66" i="1"/>
  <c r="V65" i="1"/>
  <c r="U65" i="1"/>
  <c r="V64" i="1"/>
  <c r="U64" i="1"/>
  <c r="V63" i="1"/>
  <c r="U63" i="1"/>
  <c r="V62" i="1"/>
  <c r="U62" i="1"/>
  <c r="V61" i="1"/>
  <c r="U61" i="1"/>
  <c r="V60" i="1"/>
  <c r="U60" i="1"/>
  <c r="V59" i="1"/>
  <c r="U59" i="1"/>
  <c r="V58" i="1"/>
  <c r="U58" i="1"/>
  <c r="V57" i="1"/>
  <c r="U57" i="1"/>
  <c r="V56" i="1"/>
  <c r="U56" i="1"/>
  <c r="V55" i="1"/>
  <c r="U55" i="1"/>
  <c r="V54" i="1"/>
  <c r="U54" i="1"/>
  <c r="V53" i="1"/>
  <c r="U53" i="1"/>
  <c r="V52" i="1"/>
  <c r="U52" i="1"/>
  <c r="V51" i="1"/>
  <c r="U51" i="1"/>
  <c r="V50" i="1"/>
  <c r="U50" i="1"/>
  <c r="V49" i="1"/>
  <c r="U49" i="1"/>
  <c r="V48" i="1"/>
  <c r="U48" i="1"/>
  <c r="V47" i="1"/>
  <c r="U47" i="1"/>
  <c r="V46" i="1"/>
  <c r="U46" i="1"/>
  <c r="V45" i="1"/>
  <c r="U45" i="1"/>
  <c r="V44" i="1"/>
  <c r="U44" i="1"/>
  <c r="V43" i="1"/>
  <c r="U43" i="1"/>
  <c r="V42" i="1"/>
  <c r="U42" i="1"/>
  <c r="V41" i="1"/>
  <c r="U41" i="1"/>
  <c r="V40" i="1"/>
  <c r="U40" i="1"/>
  <c r="V39" i="1"/>
  <c r="U39" i="1"/>
  <c r="V38" i="1"/>
  <c r="U38" i="1"/>
  <c r="V37" i="1"/>
  <c r="U37" i="1"/>
  <c r="W35" i="1"/>
  <c r="V35" i="1"/>
  <c r="U35" i="1"/>
  <c r="W34" i="1"/>
  <c r="V34" i="1"/>
  <c r="U34" i="1"/>
  <c r="W33" i="1"/>
  <c r="V33" i="1"/>
  <c r="U33" i="1"/>
  <c r="W32" i="1"/>
  <c r="V32" i="1"/>
  <c r="U32" i="1"/>
  <c r="W31" i="1"/>
  <c r="V31" i="1"/>
  <c r="U31" i="1"/>
  <c r="W30" i="1"/>
  <c r="V30" i="1"/>
  <c r="U30" i="1"/>
  <c r="W29" i="1"/>
  <c r="W28" i="1"/>
  <c r="V28" i="1"/>
  <c r="U28" i="1"/>
  <c r="W27" i="1"/>
  <c r="V27" i="1"/>
  <c r="U27" i="1"/>
  <c r="W26" i="1"/>
  <c r="V26" i="1"/>
  <c r="U26" i="1"/>
  <c r="W25" i="1"/>
  <c r="V25" i="1"/>
  <c r="U25" i="1"/>
  <c r="W24" i="1"/>
  <c r="V24" i="1"/>
  <c r="U24" i="1"/>
  <c r="W23" i="1"/>
  <c r="V23" i="1"/>
  <c r="U23" i="1"/>
  <c r="W22" i="1"/>
  <c r="V22" i="1"/>
  <c r="U22" i="1"/>
  <c r="W21" i="1"/>
  <c r="V21" i="1"/>
  <c r="U21" i="1"/>
  <c r="W20" i="1"/>
  <c r="V20" i="1"/>
  <c r="U20" i="1"/>
  <c r="W19" i="1"/>
  <c r="V19" i="1"/>
  <c r="U19" i="1"/>
  <c r="W18" i="1"/>
  <c r="V18" i="1"/>
  <c r="U18" i="1"/>
  <c r="W17" i="1"/>
  <c r="V17" i="1"/>
  <c r="U17" i="1"/>
  <c r="W16" i="1"/>
  <c r="V16" i="1"/>
  <c r="U16" i="1"/>
  <c r="W15" i="1"/>
  <c r="V15" i="1"/>
  <c r="U15" i="1"/>
  <c r="W14" i="1"/>
  <c r="V14" i="1"/>
  <c r="U14" i="1"/>
  <c r="W13" i="1"/>
  <c r="V13" i="1"/>
  <c r="U13" i="1"/>
  <c r="W12" i="1"/>
  <c r="V12" i="1"/>
  <c r="U12" i="1"/>
  <c r="W11" i="1"/>
  <c r="V11" i="1"/>
  <c r="U11" i="1"/>
  <c r="W10" i="1"/>
  <c r="V10" i="1"/>
  <c r="U10" i="1"/>
  <c r="W9" i="1"/>
  <c r="V9" i="1"/>
  <c r="U9" i="1"/>
  <c r="W8" i="1"/>
  <c r="V8" i="1"/>
  <c r="U8" i="1"/>
  <c r="W7" i="1"/>
  <c r="V7" i="1"/>
  <c r="U7" i="1"/>
  <c r="W6" i="1"/>
  <c r="V6" i="1"/>
  <c r="U6" i="1"/>
  <c r="W5" i="1"/>
  <c r="V5" i="1"/>
  <c r="U5" i="1"/>
  <c r="W4" i="1"/>
  <c r="V4" i="1"/>
  <c r="U4" i="1"/>
  <c r="W3" i="1"/>
  <c r="V3" i="1"/>
  <c r="U3" i="1"/>
  <c r="W2" i="1"/>
  <c r="V2" i="1"/>
  <c r="U2" i="1"/>
  <c r="Q1161" i="1"/>
  <c r="R1161" i="1"/>
  <c r="S1161" i="1"/>
  <c r="T1161" i="1" s="1"/>
  <c r="Y1161" i="1"/>
  <c r="Q1109" i="1"/>
  <c r="Y1109" i="1"/>
  <c r="H1109" i="1"/>
  <c r="S1109" i="1" s="1"/>
  <c r="T1109" i="1" s="1"/>
  <c r="Q1108" i="1"/>
  <c r="Y1108" i="1"/>
  <c r="H1108" i="1"/>
  <c r="R1108" i="1" s="1"/>
  <c r="Q1107" i="1"/>
  <c r="Y1107" i="1"/>
  <c r="H1107" i="1"/>
  <c r="R1107" i="1" s="1"/>
  <c r="Q1106" i="1"/>
  <c r="X1106" i="1"/>
  <c r="H1106" i="1"/>
  <c r="S1106" i="1" s="1"/>
  <c r="T1106" i="1" s="1"/>
  <c r="Q1105" i="1"/>
  <c r="X1105" i="1"/>
  <c r="H1105" i="1"/>
  <c r="R1105" i="1" s="1"/>
  <c r="Q1104" i="1"/>
  <c r="H1104" i="1"/>
  <c r="S1104" i="1" s="1"/>
  <c r="T1104" i="1" s="1"/>
  <c r="Q1103" i="1"/>
  <c r="X1103" i="1"/>
  <c r="H1103" i="1"/>
  <c r="R1103" i="1" s="1"/>
  <c r="Q1102" i="1"/>
  <c r="Y1102" i="1"/>
  <c r="H1102" i="1"/>
  <c r="R1102" i="1" s="1"/>
  <c r="Q927" i="1"/>
  <c r="H927" i="1"/>
  <c r="Q926" i="1"/>
  <c r="H926" i="1"/>
  <c r="Q925" i="1"/>
  <c r="H925" i="1"/>
  <c r="Q924" i="1"/>
  <c r="H924" i="1"/>
  <c r="Q923" i="1"/>
  <c r="H923" i="1"/>
  <c r="Q922" i="1"/>
  <c r="H922" i="1"/>
  <c r="Q921" i="1"/>
  <c r="H921" i="1"/>
  <c r="Q920" i="1"/>
  <c r="H920" i="1"/>
  <c r="Q919" i="1"/>
  <c r="H919" i="1"/>
  <c r="Q918" i="1"/>
  <c r="H918" i="1"/>
  <c r="Q917" i="1"/>
  <c r="H917" i="1"/>
  <c r="Q916" i="1"/>
  <c r="H916" i="1"/>
  <c r="Q915" i="1"/>
  <c r="H915" i="1"/>
  <c r="Q914" i="1"/>
  <c r="H914" i="1"/>
  <c r="Q913" i="1"/>
  <c r="H913" i="1"/>
  <c r="Q912" i="1"/>
  <c r="H912" i="1"/>
  <c r="Q911" i="1"/>
  <c r="H911" i="1"/>
  <c r="Q910" i="1"/>
  <c r="H910" i="1"/>
  <c r="Q909" i="1"/>
  <c r="H909" i="1"/>
  <c r="Q908" i="1"/>
  <c r="H908" i="1"/>
  <c r="Q907" i="1"/>
  <c r="H907" i="1"/>
  <c r="Q906" i="1"/>
  <c r="H906" i="1"/>
  <c r="Q905" i="1"/>
  <c r="H905" i="1"/>
  <c r="Q904" i="1"/>
  <c r="H904" i="1"/>
  <c r="Q903" i="1"/>
  <c r="H903" i="1"/>
  <c r="Q902" i="1"/>
  <c r="H902" i="1"/>
  <c r="Q1111" i="1"/>
  <c r="H1111" i="1"/>
  <c r="Q1160" i="1"/>
  <c r="X1160" i="1"/>
  <c r="H1160" i="1"/>
  <c r="S1160" i="1" s="1"/>
  <c r="T1160" i="1" s="1"/>
  <c r="Q1159" i="1"/>
  <c r="X1159" i="1"/>
  <c r="H1159" i="1"/>
  <c r="S1159" i="1" s="1"/>
  <c r="T1159" i="1" s="1"/>
  <c r="Q1158" i="1"/>
  <c r="X1158" i="1"/>
  <c r="H1158" i="1"/>
  <c r="R1158" i="1" s="1"/>
  <c r="Q1157" i="1"/>
  <c r="X1157" i="1"/>
  <c r="H1157" i="1"/>
  <c r="S1157" i="1" s="1"/>
  <c r="T1157" i="1" s="1"/>
  <c r="Q1156" i="1"/>
  <c r="X1156" i="1"/>
  <c r="H1156" i="1"/>
  <c r="S1156" i="1" s="1"/>
  <c r="T1156" i="1" s="1"/>
  <c r="Q1155" i="1"/>
  <c r="X1155" i="1"/>
  <c r="H1155" i="1"/>
  <c r="R1155" i="1" s="1"/>
  <c r="Q1154" i="1"/>
  <c r="Y1154" i="1"/>
  <c r="H1154" i="1"/>
  <c r="R1154" i="1" s="1"/>
  <c r="Q1153" i="1"/>
  <c r="X1153" i="1"/>
  <c r="H1153" i="1"/>
  <c r="S1153" i="1" s="1"/>
  <c r="T1153" i="1" s="1"/>
  <c r="Q1152" i="1"/>
  <c r="Y1152" i="1"/>
  <c r="H1152" i="1"/>
  <c r="S1152" i="1" s="1"/>
  <c r="T1152" i="1" s="1"/>
  <c r="Q1151" i="1"/>
  <c r="X1151" i="1"/>
  <c r="H1151" i="1"/>
  <c r="R1151" i="1" s="1"/>
  <c r="Q1150" i="1"/>
  <c r="X1150" i="1"/>
  <c r="H1150" i="1"/>
  <c r="S1150" i="1" s="1"/>
  <c r="T1150" i="1" s="1"/>
  <c r="Q1149" i="1"/>
  <c r="X1149" i="1"/>
  <c r="H1149" i="1"/>
  <c r="R1149" i="1" s="1"/>
  <c r="Q1148" i="1"/>
  <c r="Y1148" i="1"/>
  <c r="H1148" i="1"/>
  <c r="R1148" i="1" s="1"/>
  <c r="Q1147" i="1"/>
  <c r="Y1147" i="1"/>
  <c r="H1147" i="1"/>
  <c r="R1147" i="1" s="1"/>
  <c r="Q1146" i="1"/>
  <c r="Y1146" i="1"/>
  <c r="H1146" i="1"/>
  <c r="R1146" i="1" s="1"/>
  <c r="X1161" i="1" l="1"/>
  <c r="Z1161" i="1" s="1"/>
  <c r="Z1105" i="1"/>
  <c r="R1109" i="1"/>
  <c r="X1109" i="1"/>
  <c r="Z1109" i="1" s="1"/>
  <c r="X1108" i="1"/>
  <c r="Z1108" i="1" s="1"/>
  <c r="Z1106" i="1"/>
  <c r="S1108" i="1"/>
  <c r="T1108" i="1" s="1"/>
  <c r="S1107" i="1"/>
  <c r="T1107" i="1" s="1"/>
  <c r="X1107" i="1"/>
  <c r="Z1107" i="1" s="1"/>
  <c r="R1106" i="1"/>
  <c r="Y1106" i="1"/>
  <c r="S1105" i="1"/>
  <c r="T1105" i="1" s="1"/>
  <c r="Y1105" i="1"/>
  <c r="R1104" i="1"/>
  <c r="X1104" i="1"/>
  <c r="Z1104" i="1" s="1"/>
  <c r="Y1103" i="1"/>
  <c r="S1103" i="1"/>
  <c r="T1103" i="1" s="1"/>
  <c r="Z1103" i="1"/>
  <c r="X1102" i="1"/>
  <c r="Z1102" i="1" s="1"/>
  <c r="S1102" i="1"/>
  <c r="T1102" i="1" s="1"/>
  <c r="Z1160" i="1"/>
  <c r="X927" i="1"/>
  <c r="Z927" i="1" s="1"/>
  <c r="Y927" i="1"/>
  <c r="R927" i="1"/>
  <c r="S927" i="1"/>
  <c r="T927" i="1" s="1"/>
  <c r="X926" i="1"/>
  <c r="Z926" i="1" s="1"/>
  <c r="Y926" i="1"/>
  <c r="R926" i="1"/>
  <c r="S926" i="1"/>
  <c r="T926" i="1" s="1"/>
  <c r="X925" i="1"/>
  <c r="Z925" i="1" s="1"/>
  <c r="Y925" i="1"/>
  <c r="R925" i="1"/>
  <c r="S925" i="1"/>
  <c r="T925" i="1" s="1"/>
  <c r="X924" i="1"/>
  <c r="Z924" i="1" s="1"/>
  <c r="Y924" i="1"/>
  <c r="R924" i="1"/>
  <c r="S924" i="1"/>
  <c r="T924" i="1" s="1"/>
  <c r="X923" i="1"/>
  <c r="Z923" i="1" s="1"/>
  <c r="Y923" i="1"/>
  <c r="R923" i="1"/>
  <c r="S923" i="1"/>
  <c r="T923" i="1" s="1"/>
  <c r="X922" i="1"/>
  <c r="Z922" i="1" s="1"/>
  <c r="Y922" i="1"/>
  <c r="R922" i="1"/>
  <c r="S922" i="1"/>
  <c r="T922" i="1" s="1"/>
  <c r="Y921" i="1"/>
  <c r="X921" i="1"/>
  <c r="Z921" i="1" s="1"/>
  <c r="R921" i="1"/>
  <c r="S921" i="1"/>
  <c r="T921" i="1" s="1"/>
  <c r="Y920" i="1"/>
  <c r="X920" i="1"/>
  <c r="Z920" i="1" s="1"/>
  <c r="R920" i="1"/>
  <c r="S920" i="1"/>
  <c r="T920" i="1" s="1"/>
  <c r="Y919" i="1"/>
  <c r="X919" i="1"/>
  <c r="Z919" i="1" s="1"/>
  <c r="R919" i="1"/>
  <c r="S919" i="1"/>
  <c r="T919" i="1" s="1"/>
  <c r="X918" i="1"/>
  <c r="Z918" i="1" s="1"/>
  <c r="Y918" i="1"/>
  <c r="R918" i="1"/>
  <c r="S918" i="1"/>
  <c r="T918" i="1" s="1"/>
  <c r="X917" i="1"/>
  <c r="Z917" i="1" s="1"/>
  <c r="Y917" i="1"/>
  <c r="R917" i="1"/>
  <c r="S917" i="1"/>
  <c r="T917" i="1" s="1"/>
  <c r="Y916" i="1"/>
  <c r="X916" i="1"/>
  <c r="Z916" i="1" s="1"/>
  <c r="R916" i="1"/>
  <c r="S916" i="1"/>
  <c r="T916" i="1" s="1"/>
  <c r="Y915" i="1"/>
  <c r="X915" i="1"/>
  <c r="Z915" i="1" s="1"/>
  <c r="R915" i="1"/>
  <c r="S915" i="1"/>
  <c r="T915" i="1" s="1"/>
  <c r="X914" i="1"/>
  <c r="Z914" i="1" s="1"/>
  <c r="Y914" i="1"/>
  <c r="R914" i="1"/>
  <c r="S914" i="1"/>
  <c r="T914" i="1" s="1"/>
  <c r="Y913" i="1"/>
  <c r="X913" i="1"/>
  <c r="Z913" i="1" s="1"/>
  <c r="R913" i="1"/>
  <c r="S913" i="1"/>
  <c r="T913" i="1" s="1"/>
  <c r="X912" i="1"/>
  <c r="Z912" i="1" s="1"/>
  <c r="Y912" i="1"/>
  <c r="R912" i="1"/>
  <c r="S912" i="1"/>
  <c r="T912" i="1" s="1"/>
  <c r="X911" i="1"/>
  <c r="Z911" i="1" s="1"/>
  <c r="Y911" i="1"/>
  <c r="R911" i="1"/>
  <c r="S911" i="1"/>
  <c r="T911" i="1" s="1"/>
  <c r="X910" i="1"/>
  <c r="Z910" i="1" s="1"/>
  <c r="Y910" i="1"/>
  <c r="R910" i="1"/>
  <c r="S910" i="1"/>
  <c r="T910" i="1" s="1"/>
  <c r="X909" i="1"/>
  <c r="Z909" i="1" s="1"/>
  <c r="Y909" i="1"/>
  <c r="R909" i="1"/>
  <c r="S909" i="1"/>
  <c r="T909" i="1" s="1"/>
  <c r="Y908" i="1"/>
  <c r="X908" i="1"/>
  <c r="Z908" i="1" s="1"/>
  <c r="R908" i="1"/>
  <c r="S908" i="1"/>
  <c r="T908" i="1" s="1"/>
  <c r="X907" i="1"/>
  <c r="Z907" i="1" s="1"/>
  <c r="Y907" i="1"/>
  <c r="R907" i="1"/>
  <c r="S907" i="1"/>
  <c r="T907" i="1" s="1"/>
  <c r="X906" i="1"/>
  <c r="Z906" i="1" s="1"/>
  <c r="Y906" i="1"/>
  <c r="R906" i="1"/>
  <c r="S906" i="1"/>
  <c r="T906" i="1" s="1"/>
  <c r="X905" i="1"/>
  <c r="Z905" i="1" s="1"/>
  <c r="Y905" i="1"/>
  <c r="R905" i="1"/>
  <c r="S905" i="1"/>
  <c r="T905" i="1" s="1"/>
  <c r="Y904" i="1"/>
  <c r="X904" i="1"/>
  <c r="Z904" i="1" s="1"/>
  <c r="R904" i="1"/>
  <c r="S904" i="1"/>
  <c r="T904" i="1" s="1"/>
  <c r="Y903" i="1"/>
  <c r="X903" i="1"/>
  <c r="Z903" i="1" s="1"/>
  <c r="R903" i="1"/>
  <c r="S903" i="1"/>
  <c r="T903" i="1" s="1"/>
  <c r="Y902" i="1"/>
  <c r="X902" i="1"/>
  <c r="Z902" i="1" s="1"/>
  <c r="R902" i="1"/>
  <c r="S902" i="1"/>
  <c r="T902" i="1" s="1"/>
  <c r="X1111" i="1"/>
  <c r="Z1111" i="1" s="1"/>
  <c r="Y1111" i="1"/>
  <c r="R1111" i="1"/>
  <c r="S1111" i="1"/>
  <c r="T1111" i="1" s="1"/>
  <c r="Z1159" i="1"/>
  <c r="R1159" i="1"/>
  <c r="R1160" i="1"/>
  <c r="Y1160" i="1"/>
  <c r="Y1159" i="1"/>
  <c r="Y1158" i="1"/>
  <c r="S1158" i="1"/>
  <c r="T1158" i="1" s="1"/>
  <c r="Z1158" i="1"/>
  <c r="Z1157" i="1"/>
  <c r="Z1156" i="1"/>
  <c r="Z1150" i="1"/>
  <c r="R1156" i="1"/>
  <c r="R1157" i="1"/>
  <c r="Y1157" i="1"/>
  <c r="Y1156" i="1"/>
  <c r="Y1155" i="1"/>
  <c r="S1155" i="1"/>
  <c r="T1155" i="1" s="1"/>
  <c r="Z1155" i="1"/>
  <c r="X1154" i="1"/>
  <c r="Z1154" i="1" s="1"/>
  <c r="S1154" i="1"/>
  <c r="T1154" i="1" s="1"/>
  <c r="R1153" i="1"/>
  <c r="Z1153" i="1"/>
  <c r="Y1153" i="1"/>
  <c r="R1152" i="1"/>
  <c r="X1152" i="1"/>
  <c r="Z1152" i="1" s="1"/>
  <c r="S1151" i="1"/>
  <c r="T1151" i="1" s="1"/>
  <c r="Z1151" i="1"/>
  <c r="Y1151" i="1"/>
  <c r="R1150" i="1"/>
  <c r="Y1150" i="1"/>
  <c r="Y1149" i="1"/>
  <c r="S1149" i="1"/>
  <c r="T1149" i="1" s="1"/>
  <c r="Z1149" i="1"/>
  <c r="X1148" i="1"/>
  <c r="Z1148" i="1" s="1"/>
  <c r="S1148" i="1"/>
  <c r="T1148" i="1" s="1"/>
  <c r="X1147" i="1"/>
  <c r="Z1147" i="1" s="1"/>
  <c r="S1147" i="1"/>
  <c r="T1147" i="1" s="1"/>
  <c r="X1146" i="1"/>
  <c r="Z1146" i="1" s="1"/>
  <c r="S1146" i="1"/>
  <c r="T1146" i="1" s="1"/>
  <c r="H1145" i="1"/>
  <c r="R1145" i="1" s="1"/>
  <c r="Q1145" i="1"/>
  <c r="X1145" i="1"/>
  <c r="H1144" i="1"/>
  <c r="R1144" i="1" s="1"/>
  <c r="Q1144" i="1"/>
  <c r="Y1144" i="1"/>
  <c r="Q1143" i="1"/>
  <c r="Y1143" i="1"/>
  <c r="H1143" i="1"/>
  <c r="R1143" i="1" s="1"/>
  <c r="Q1142" i="1"/>
  <c r="Y1142" i="1"/>
  <c r="H1142" i="1"/>
  <c r="R1142" i="1" s="1"/>
  <c r="Q1141" i="1"/>
  <c r="Y1141" i="1"/>
  <c r="H1141" i="1"/>
  <c r="S1141" i="1" s="1"/>
  <c r="T1141" i="1" s="1"/>
  <c r="Q1140" i="1"/>
  <c r="Y1140" i="1"/>
  <c r="H1140" i="1"/>
  <c r="S1140" i="1" s="1"/>
  <c r="T1140" i="1" s="1"/>
  <c r="Q1139" i="1"/>
  <c r="Y1139" i="1"/>
  <c r="H1139" i="1"/>
  <c r="S1139" i="1" s="1"/>
  <c r="T1139" i="1" s="1"/>
  <c r="Q1138" i="1"/>
  <c r="Y1138" i="1"/>
  <c r="H1138" i="1"/>
  <c r="S1138" i="1" s="1"/>
  <c r="T1138" i="1" s="1"/>
  <c r="Q1137" i="1"/>
  <c r="Y1137" i="1"/>
  <c r="H1137" i="1"/>
  <c r="S1137" i="1" s="1"/>
  <c r="T1137" i="1" s="1"/>
  <c r="Q1136" i="1"/>
  <c r="Y1136" i="1"/>
  <c r="H1136" i="1"/>
  <c r="R1136" i="1" s="1"/>
  <c r="Q1135" i="1"/>
  <c r="Y1135" i="1"/>
  <c r="H1135" i="1"/>
  <c r="S1135" i="1" s="1"/>
  <c r="T1135" i="1" s="1"/>
  <c r="Q1134" i="1"/>
  <c r="Y1134" i="1"/>
  <c r="H1134" i="1"/>
  <c r="R1134" i="1" s="1"/>
  <c r="Q1133" i="1"/>
  <c r="Y1133" i="1"/>
  <c r="H1133" i="1"/>
  <c r="S1133" i="1" s="1"/>
  <c r="T1133" i="1" s="1"/>
  <c r="Q1132" i="1"/>
  <c r="Y1132" i="1"/>
  <c r="H1132" i="1"/>
  <c r="R1132" i="1" s="1"/>
  <c r="Q1131" i="1"/>
  <c r="Y1131" i="1"/>
  <c r="H1131" i="1"/>
  <c r="R1131" i="1" s="1"/>
  <c r="Q1130" i="1"/>
  <c r="Y1130" i="1"/>
  <c r="H1130" i="1"/>
  <c r="S1130" i="1" s="1"/>
  <c r="T1130" i="1" s="1"/>
  <c r="Q1129" i="1"/>
  <c r="Y1129" i="1"/>
  <c r="H1129" i="1"/>
  <c r="S1129" i="1" s="1"/>
  <c r="T1129" i="1" s="1"/>
  <c r="Q1128" i="1"/>
  <c r="Y1128" i="1"/>
  <c r="H1128" i="1"/>
  <c r="R1128" i="1" s="1"/>
  <c r="Q1127" i="1"/>
  <c r="Y1127" i="1"/>
  <c r="H1127" i="1"/>
  <c r="R1127" i="1" s="1"/>
  <c r="Q1126" i="1"/>
  <c r="Y1126" i="1"/>
  <c r="H1126" i="1"/>
  <c r="S1126" i="1" s="1"/>
  <c r="T1126" i="1" s="1"/>
  <c r="Q1125" i="1"/>
  <c r="Y1125" i="1"/>
  <c r="H1125" i="1"/>
  <c r="S1125" i="1" s="1"/>
  <c r="T1125" i="1" s="1"/>
  <c r="Q1124" i="1"/>
  <c r="Y1124" i="1"/>
  <c r="H1124" i="1"/>
  <c r="R1124" i="1" s="1"/>
  <c r="Q1123" i="1"/>
  <c r="Y1123" i="1"/>
  <c r="H1123" i="1"/>
  <c r="S1123" i="1" s="1"/>
  <c r="T1123" i="1" s="1"/>
  <c r="Q1122" i="1"/>
  <c r="Y1122" i="1"/>
  <c r="H1122" i="1"/>
  <c r="S1122" i="1" s="1"/>
  <c r="T1122" i="1" s="1"/>
  <c r="Q1121" i="1"/>
  <c r="Y1121" i="1"/>
  <c r="H1121" i="1"/>
  <c r="S1121" i="1" s="1"/>
  <c r="T1121" i="1" s="1"/>
  <c r="Q1120" i="1"/>
  <c r="Y1120" i="1"/>
  <c r="H1120" i="1"/>
  <c r="S1120" i="1" s="1"/>
  <c r="T1120" i="1" s="1"/>
  <c r="Q1119" i="1"/>
  <c r="Y1119" i="1"/>
  <c r="H1119" i="1"/>
  <c r="R1119" i="1" s="1"/>
  <c r="Q1118" i="1"/>
  <c r="Y1118" i="1"/>
  <c r="H1118" i="1"/>
  <c r="S1118" i="1" s="1"/>
  <c r="T1118" i="1" s="1"/>
  <c r="Q1117" i="1"/>
  <c r="Y1117" i="1"/>
  <c r="H1117" i="1"/>
  <c r="R1117" i="1" s="1"/>
  <c r="Q1116" i="1"/>
  <c r="Y1116" i="1"/>
  <c r="H1116" i="1"/>
  <c r="S1116" i="1" s="1"/>
  <c r="T1116" i="1" s="1"/>
  <c r="Q1115" i="1"/>
  <c r="Y1115" i="1"/>
  <c r="H1115" i="1"/>
  <c r="S1115" i="1" s="1"/>
  <c r="T1115" i="1" s="1"/>
  <c r="Q1114" i="1"/>
  <c r="Y1114" i="1"/>
  <c r="H1114" i="1"/>
  <c r="S1114" i="1" s="1"/>
  <c r="T1114" i="1" s="1"/>
  <c r="Q1113" i="1"/>
  <c r="Y1113" i="1"/>
  <c r="H1113" i="1"/>
  <c r="S1113" i="1" s="1"/>
  <c r="T1113" i="1" s="1"/>
  <c r="Q1112" i="1"/>
  <c r="Y1112" i="1"/>
  <c r="H1112" i="1"/>
  <c r="S1112" i="1" s="1"/>
  <c r="T1112" i="1" s="1"/>
  <c r="Q1110" i="1"/>
  <c r="Y1110" i="1"/>
  <c r="H1110" i="1"/>
  <c r="R1110" i="1" s="1"/>
  <c r="N5248" i="6"/>
  <c r="N5172" i="6"/>
  <c r="N5173" i="6"/>
  <c r="N5174" i="6"/>
  <c r="N5175" i="6"/>
  <c r="N5176" i="6"/>
  <c r="N5177" i="6"/>
  <c r="N5178" i="6"/>
  <c r="N5179" i="6"/>
  <c r="N5180" i="6"/>
  <c r="N5181" i="6"/>
  <c r="N5182" i="6"/>
  <c r="N5183" i="6"/>
  <c r="N5184" i="6"/>
  <c r="N5185" i="6"/>
  <c r="N5186" i="6"/>
  <c r="N5187" i="6"/>
  <c r="N5188" i="6"/>
  <c r="N5189" i="6"/>
  <c r="N5190" i="6"/>
  <c r="N5191" i="6"/>
  <c r="N5192" i="6"/>
  <c r="N5193" i="6"/>
  <c r="N5194" i="6"/>
  <c r="N5195" i="6"/>
  <c r="N5196" i="6"/>
  <c r="N5197" i="6"/>
  <c r="N5198" i="6"/>
  <c r="N5199" i="6"/>
  <c r="N5200" i="6"/>
  <c r="N5201" i="6"/>
  <c r="N5202" i="6"/>
  <c r="N5203" i="6"/>
  <c r="N5204" i="6"/>
  <c r="N5205" i="6"/>
  <c r="N5206" i="6"/>
  <c r="N5207" i="6"/>
  <c r="N5208" i="6"/>
  <c r="N5209" i="6"/>
  <c r="N5210" i="6"/>
  <c r="N5211" i="6"/>
  <c r="N5212" i="6"/>
  <c r="N5213" i="6"/>
  <c r="N5214" i="6"/>
  <c r="N5215" i="6"/>
  <c r="N5216" i="6"/>
  <c r="N5217" i="6"/>
  <c r="N5218" i="6"/>
  <c r="N5219" i="6"/>
  <c r="N5220" i="6"/>
  <c r="N5221" i="6"/>
  <c r="N5222" i="6"/>
  <c r="N5223" i="6"/>
  <c r="N5224" i="6"/>
  <c r="N5225" i="6"/>
  <c r="N5226" i="6"/>
  <c r="N5227" i="6"/>
  <c r="N5228" i="6"/>
  <c r="N5229" i="6"/>
  <c r="N5230" i="6"/>
  <c r="N5231" i="6"/>
  <c r="N5232" i="6"/>
  <c r="N5233" i="6"/>
  <c r="N5234" i="6"/>
  <c r="N5235" i="6"/>
  <c r="N5236" i="6"/>
  <c r="N5237" i="6"/>
  <c r="N5238" i="6"/>
  <c r="N5239" i="6"/>
  <c r="N5240" i="6"/>
  <c r="N5241" i="6"/>
  <c r="N5242" i="6"/>
  <c r="N5243" i="6"/>
  <c r="N5244" i="6"/>
  <c r="N5245" i="6"/>
  <c r="N5246" i="6"/>
  <c r="N5247" i="6"/>
  <c r="Y1015" i="1"/>
  <c r="Q1015" i="1"/>
  <c r="H1015" i="1"/>
  <c r="Q846" i="1"/>
  <c r="X846" i="1"/>
  <c r="H846" i="1"/>
  <c r="R846" i="1" s="1"/>
  <c r="Q844" i="1"/>
  <c r="X844" i="1"/>
  <c r="H844" i="1"/>
  <c r="S844" i="1" s="1"/>
  <c r="T844" i="1" s="1"/>
  <c r="Y1101" i="1"/>
  <c r="Q1101" i="1"/>
  <c r="H1101" i="1"/>
  <c r="Y1100" i="1"/>
  <c r="Q1100" i="1"/>
  <c r="H1100" i="1"/>
  <c r="Y1099" i="1"/>
  <c r="Q1099" i="1"/>
  <c r="H1099" i="1"/>
  <c r="R1099" i="1" s="1"/>
  <c r="Y1098" i="1"/>
  <c r="Q1098" i="1"/>
  <c r="H1098" i="1"/>
  <c r="Y1097" i="1"/>
  <c r="Q1097" i="1"/>
  <c r="H1097" i="1"/>
  <c r="R1097" i="1" s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S1145" i="1" l="1"/>
  <c r="T1145" i="1" s="1"/>
  <c r="Z1145" i="1"/>
  <c r="Y1145" i="1"/>
  <c r="X1144" i="1"/>
  <c r="Z1144" i="1" s="1"/>
  <c r="S1144" i="1"/>
  <c r="T1144" i="1" s="1"/>
  <c r="X1143" i="1"/>
  <c r="Z1143" i="1" s="1"/>
  <c r="S1143" i="1"/>
  <c r="T1143" i="1" s="1"/>
  <c r="X1142" i="1"/>
  <c r="Z1142" i="1" s="1"/>
  <c r="S1142" i="1"/>
  <c r="T1142" i="1" s="1"/>
  <c r="R1141" i="1"/>
  <c r="X1141" i="1"/>
  <c r="Z1141" i="1" s="1"/>
  <c r="R1140" i="1"/>
  <c r="X1140" i="1"/>
  <c r="Z1140" i="1" s="1"/>
  <c r="R1139" i="1"/>
  <c r="X1139" i="1"/>
  <c r="Z1139" i="1" s="1"/>
  <c r="R1135" i="1"/>
  <c r="R1138" i="1"/>
  <c r="X1138" i="1"/>
  <c r="Z1138" i="1" s="1"/>
  <c r="R1137" i="1"/>
  <c r="X1137" i="1"/>
  <c r="Z1137" i="1" s="1"/>
  <c r="X1135" i="1"/>
  <c r="Z1135" i="1" s="1"/>
  <c r="X1136" i="1"/>
  <c r="Z1136" i="1" s="1"/>
  <c r="S1136" i="1"/>
  <c r="T1136" i="1" s="1"/>
  <c r="X1134" i="1"/>
  <c r="Z1134" i="1" s="1"/>
  <c r="S1134" i="1"/>
  <c r="T1134" i="1" s="1"/>
  <c r="R1133" i="1"/>
  <c r="X1133" i="1"/>
  <c r="Z1133" i="1" s="1"/>
  <c r="X1132" i="1"/>
  <c r="Z1132" i="1" s="1"/>
  <c r="S1132" i="1"/>
  <c r="T1132" i="1" s="1"/>
  <c r="X1131" i="1"/>
  <c r="Z1131" i="1" s="1"/>
  <c r="S1131" i="1"/>
  <c r="T1131" i="1" s="1"/>
  <c r="R1130" i="1"/>
  <c r="X1130" i="1"/>
  <c r="Z1130" i="1" s="1"/>
  <c r="R1129" i="1"/>
  <c r="X1129" i="1"/>
  <c r="Z1129" i="1" s="1"/>
  <c r="X1128" i="1"/>
  <c r="Z1128" i="1" s="1"/>
  <c r="S1128" i="1"/>
  <c r="T1128" i="1" s="1"/>
  <c r="X1127" i="1"/>
  <c r="Z1127" i="1" s="1"/>
  <c r="S1127" i="1"/>
  <c r="T1127" i="1" s="1"/>
  <c r="R1126" i="1"/>
  <c r="X1126" i="1"/>
  <c r="Z1126" i="1" s="1"/>
  <c r="R1125" i="1"/>
  <c r="X1125" i="1"/>
  <c r="Z1125" i="1" s="1"/>
  <c r="X1124" i="1"/>
  <c r="Z1124" i="1" s="1"/>
  <c r="S1124" i="1"/>
  <c r="T1124" i="1" s="1"/>
  <c r="R1123" i="1"/>
  <c r="X1123" i="1"/>
  <c r="Z1123" i="1" s="1"/>
  <c r="X1122" i="1"/>
  <c r="Z1122" i="1" s="1"/>
  <c r="R1122" i="1"/>
  <c r="R1121" i="1"/>
  <c r="X1121" i="1"/>
  <c r="Z1121" i="1" s="1"/>
  <c r="R1120" i="1"/>
  <c r="X1120" i="1"/>
  <c r="Z1120" i="1" s="1"/>
  <c r="X1119" i="1"/>
  <c r="Z1119" i="1" s="1"/>
  <c r="S1119" i="1"/>
  <c r="T1119" i="1" s="1"/>
  <c r="R1118" i="1"/>
  <c r="X1118" i="1"/>
  <c r="Z1118" i="1" s="1"/>
  <c r="X1117" i="1"/>
  <c r="Z1117" i="1" s="1"/>
  <c r="S1117" i="1"/>
  <c r="T1117" i="1" s="1"/>
  <c r="R1116" i="1"/>
  <c r="X1116" i="1"/>
  <c r="Z1116" i="1" s="1"/>
  <c r="R1115" i="1"/>
  <c r="X1115" i="1"/>
  <c r="Z1115" i="1" s="1"/>
  <c r="R1114" i="1"/>
  <c r="X1114" i="1"/>
  <c r="Z1114" i="1" s="1"/>
  <c r="R1113" i="1"/>
  <c r="X1113" i="1"/>
  <c r="Z1113" i="1" s="1"/>
  <c r="R1112" i="1"/>
  <c r="X1112" i="1"/>
  <c r="Z1112" i="1" s="1"/>
  <c r="X1110" i="1"/>
  <c r="Z1110" i="1" s="1"/>
  <c r="S1110" i="1"/>
  <c r="T1110" i="1" s="1"/>
  <c r="R1015" i="1"/>
  <c r="S1015" i="1"/>
  <c r="T1015" i="1" s="1"/>
  <c r="X1015" i="1"/>
  <c r="Z1015" i="1" s="1"/>
  <c r="R844" i="1"/>
  <c r="Z844" i="1"/>
  <c r="Y846" i="1"/>
  <c r="Y844" i="1"/>
  <c r="S846" i="1"/>
  <c r="T846" i="1" s="1"/>
  <c r="Z846" i="1"/>
  <c r="R1101" i="1"/>
  <c r="S1101" i="1"/>
  <c r="T1101" i="1" s="1"/>
  <c r="X1101" i="1"/>
  <c r="Z1101" i="1" s="1"/>
  <c r="R1100" i="1"/>
  <c r="S1100" i="1"/>
  <c r="T1100" i="1" s="1"/>
  <c r="X1100" i="1"/>
  <c r="Z1100" i="1" s="1"/>
  <c r="S1099" i="1"/>
  <c r="T1099" i="1" s="1"/>
  <c r="X1099" i="1"/>
  <c r="Z1099" i="1" s="1"/>
  <c r="R1098" i="1"/>
  <c r="S1098" i="1"/>
  <c r="T1098" i="1" s="1"/>
  <c r="X1098" i="1"/>
  <c r="Z1098" i="1" s="1"/>
  <c r="S1097" i="1"/>
  <c r="T1097" i="1" s="1"/>
  <c r="X1097" i="1"/>
  <c r="Z1097" i="1" s="1"/>
  <c r="Q1096" i="1"/>
  <c r="H1096" i="1"/>
  <c r="Q1095" i="1"/>
  <c r="H1095" i="1"/>
  <c r="Q1094" i="1"/>
  <c r="H1094" i="1"/>
  <c r="Q1093" i="1"/>
  <c r="H1093" i="1"/>
  <c r="Q1092" i="1"/>
  <c r="H1092" i="1"/>
  <c r="Q1091" i="1"/>
  <c r="H1091" i="1"/>
  <c r="Q1090" i="1"/>
  <c r="H1090" i="1"/>
  <c r="Q1089" i="1"/>
  <c r="H1089" i="1"/>
  <c r="Q1088" i="1"/>
  <c r="H1088" i="1"/>
  <c r="Q1087" i="1"/>
  <c r="H1087" i="1"/>
  <c r="Q1086" i="1"/>
  <c r="H1086" i="1"/>
  <c r="Q1085" i="1"/>
  <c r="H1085" i="1"/>
  <c r="Q1084" i="1"/>
  <c r="H1084" i="1"/>
  <c r="Q1083" i="1"/>
  <c r="H1083" i="1"/>
  <c r="Q1082" i="1"/>
  <c r="H1082" i="1"/>
  <c r="Q1081" i="1"/>
  <c r="H1081" i="1"/>
  <c r="Q1080" i="1"/>
  <c r="H1080" i="1"/>
  <c r="Q1079" i="1"/>
  <c r="H1079" i="1"/>
  <c r="Q1078" i="1"/>
  <c r="H1078" i="1"/>
  <c r="Q1077" i="1"/>
  <c r="H1077" i="1"/>
  <c r="Q1076" i="1"/>
  <c r="H1076" i="1"/>
  <c r="Q1075" i="1"/>
  <c r="H1075" i="1"/>
  <c r="Q1074" i="1"/>
  <c r="H1074" i="1"/>
  <c r="Q1073" i="1"/>
  <c r="H1073" i="1"/>
  <c r="Q1072" i="1"/>
  <c r="H1072" i="1"/>
  <c r="Q1071" i="1"/>
  <c r="H1071" i="1"/>
  <c r="Q1070" i="1"/>
  <c r="H1070" i="1"/>
  <c r="Q1069" i="1"/>
  <c r="H1069" i="1"/>
  <c r="Q1068" i="1"/>
  <c r="H1068" i="1"/>
  <c r="Y1067" i="1"/>
  <c r="Q1067" i="1"/>
  <c r="H1067" i="1"/>
  <c r="S1067" i="1" s="1"/>
  <c r="T1067" i="1" s="1"/>
  <c r="Y1066" i="1"/>
  <c r="Q1066" i="1"/>
  <c r="H1066" i="1"/>
  <c r="S1066" i="1" s="1"/>
  <c r="T1066" i="1" s="1"/>
  <c r="Y1065" i="1"/>
  <c r="Q1065" i="1"/>
  <c r="H1065" i="1"/>
  <c r="Y1064" i="1"/>
  <c r="Q1064" i="1"/>
  <c r="H1064" i="1"/>
  <c r="Y1063" i="1"/>
  <c r="Q1063" i="1"/>
  <c r="H1063" i="1"/>
  <c r="Y1062" i="1"/>
  <c r="Q1062" i="1"/>
  <c r="H1062" i="1"/>
  <c r="S1062" i="1" s="1"/>
  <c r="T1062" i="1" s="1"/>
  <c r="Y1061" i="1"/>
  <c r="Q1061" i="1"/>
  <c r="H1061" i="1"/>
  <c r="Y1060" i="1"/>
  <c r="Q1060" i="1"/>
  <c r="H1060" i="1"/>
  <c r="S1060" i="1" s="1"/>
  <c r="T1060" i="1" s="1"/>
  <c r="Y1059" i="1"/>
  <c r="Q1059" i="1"/>
  <c r="H1059" i="1"/>
  <c r="X1058" i="1"/>
  <c r="Q1058" i="1"/>
  <c r="H1058" i="1"/>
  <c r="S1058" i="1" s="1"/>
  <c r="T1058" i="1" s="1"/>
  <c r="Y1057" i="1"/>
  <c r="Q1057" i="1"/>
  <c r="H1057" i="1"/>
  <c r="R1057" i="1" s="1"/>
  <c r="X1056" i="1"/>
  <c r="Q1056" i="1"/>
  <c r="H1056" i="1"/>
  <c r="S1056" i="1" s="1"/>
  <c r="T1056" i="1" s="1"/>
  <c r="Y1055" i="1"/>
  <c r="Q1055" i="1"/>
  <c r="H1055" i="1"/>
  <c r="S1055" i="1" s="1"/>
  <c r="T1055" i="1" s="1"/>
  <c r="Y1054" i="1"/>
  <c r="Q1054" i="1"/>
  <c r="H1054" i="1"/>
  <c r="Y1053" i="1"/>
  <c r="Q1053" i="1"/>
  <c r="H1053" i="1"/>
  <c r="S1053" i="1" s="1"/>
  <c r="T1053" i="1" s="1"/>
  <c r="Y1052" i="1"/>
  <c r="Q1052" i="1"/>
  <c r="H1052" i="1"/>
  <c r="S1052" i="1" s="1"/>
  <c r="T1052" i="1" s="1"/>
  <c r="Y1051" i="1"/>
  <c r="Q1051" i="1"/>
  <c r="H1051" i="1"/>
  <c r="Y1050" i="1"/>
  <c r="Q1050" i="1"/>
  <c r="H1050" i="1"/>
  <c r="S1050" i="1" s="1"/>
  <c r="T1050" i="1" s="1"/>
  <c r="X1049" i="1"/>
  <c r="Q1049" i="1"/>
  <c r="H1049" i="1"/>
  <c r="R1049" i="1" s="1"/>
  <c r="X1048" i="1"/>
  <c r="Q1048" i="1"/>
  <c r="H1048" i="1"/>
  <c r="R1048" i="1" s="1"/>
  <c r="Y1047" i="1"/>
  <c r="Q1047" i="1"/>
  <c r="H1047" i="1"/>
  <c r="S1047" i="1" s="1"/>
  <c r="T1047" i="1" s="1"/>
  <c r="Y1046" i="1"/>
  <c r="Q1046" i="1"/>
  <c r="H1046" i="1"/>
  <c r="S1046" i="1" s="1"/>
  <c r="T1046" i="1" s="1"/>
  <c r="Z1058" i="1" l="1"/>
  <c r="Y1096" i="1"/>
  <c r="X1096" i="1"/>
  <c r="Z1096" i="1" s="1"/>
  <c r="R1096" i="1"/>
  <c r="S1096" i="1"/>
  <c r="T1096" i="1" s="1"/>
  <c r="Y1095" i="1"/>
  <c r="X1095" i="1"/>
  <c r="Z1095" i="1" s="1"/>
  <c r="R1095" i="1"/>
  <c r="S1095" i="1"/>
  <c r="T1095" i="1" s="1"/>
  <c r="X1094" i="1"/>
  <c r="Z1094" i="1" s="1"/>
  <c r="Y1094" i="1"/>
  <c r="R1094" i="1"/>
  <c r="S1094" i="1"/>
  <c r="T1094" i="1" s="1"/>
  <c r="Y1093" i="1"/>
  <c r="X1093" i="1"/>
  <c r="Z1093" i="1" s="1"/>
  <c r="R1093" i="1"/>
  <c r="S1093" i="1"/>
  <c r="T1093" i="1" s="1"/>
  <c r="Y1092" i="1"/>
  <c r="X1092" i="1"/>
  <c r="Z1092" i="1" s="1"/>
  <c r="R1092" i="1"/>
  <c r="S1092" i="1"/>
  <c r="T1092" i="1" s="1"/>
  <c r="X1091" i="1"/>
  <c r="Z1091" i="1" s="1"/>
  <c r="Y1091" i="1"/>
  <c r="R1091" i="1"/>
  <c r="S1091" i="1"/>
  <c r="T1091" i="1" s="1"/>
  <c r="X1090" i="1"/>
  <c r="Z1090" i="1" s="1"/>
  <c r="Y1090" i="1"/>
  <c r="R1090" i="1"/>
  <c r="S1090" i="1"/>
  <c r="T1090" i="1" s="1"/>
  <c r="Y1089" i="1"/>
  <c r="X1089" i="1"/>
  <c r="Z1089" i="1" s="1"/>
  <c r="R1089" i="1"/>
  <c r="S1089" i="1"/>
  <c r="T1089" i="1" s="1"/>
  <c r="Y1088" i="1"/>
  <c r="X1088" i="1"/>
  <c r="Z1088" i="1" s="1"/>
  <c r="R1088" i="1"/>
  <c r="S1088" i="1"/>
  <c r="T1088" i="1" s="1"/>
  <c r="X1087" i="1"/>
  <c r="Z1087" i="1" s="1"/>
  <c r="Y1087" i="1"/>
  <c r="R1087" i="1"/>
  <c r="S1087" i="1"/>
  <c r="T1087" i="1" s="1"/>
  <c r="X1086" i="1"/>
  <c r="Z1086" i="1" s="1"/>
  <c r="Y1086" i="1"/>
  <c r="R1086" i="1"/>
  <c r="S1086" i="1"/>
  <c r="T1086" i="1" s="1"/>
  <c r="X1085" i="1"/>
  <c r="Z1085" i="1" s="1"/>
  <c r="Y1085" i="1"/>
  <c r="R1085" i="1"/>
  <c r="S1085" i="1"/>
  <c r="T1085" i="1" s="1"/>
  <c r="Y1084" i="1"/>
  <c r="X1084" i="1"/>
  <c r="Z1084" i="1" s="1"/>
  <c r="R1084" i="1"/>
  <c r="S1084" i="1"/>
  <c r="T1084" i="1" s="1"/>
  <c r="Y1083" i="1"/>
  <c r="X1083" i="1"/>
  <c r="Z1083" i="1" s="1"/>
  <c r="R1083" i="1"/>
  <c r="S1083" i="1"/>
  <c r="T1083" i="1" s="1"/>
  <c r="X1082" i="1"/>
  <c r="Z1082" i="1" s="1"/>
  <c r="Y1082" i="1"/>
  <c r="R1082" i="1"/>
  <c r="S1082" i="1"/>
  <c r="T1082" i="1" s="1"/>
  <c r="X1081" i="1"/>
  <c r="Z1081" i="1" s="1"/>
  <c r="Y1081" i="1"/>
  <c r="R1081" i="1"/>
  <c r="S1081" i="1"/>
  <c r="T1081" i="1" s="1"/>
  <c r="X1080" i="1"/>
  <c r="Z1080" i="1" s="1"/>
  <c r="Y1080" i="1"/>
  <c r="R1080" i="1"/>
  <c r="S1080" i="1"/>
  <c r="T1080" i="1" s="1"/>
  <c r="X1079" i="1"/>
  <c r="Z1079" i="1" s="1"/>
  <c r="Y1079" i="1"/>
  <c r="R1079" i="1"/>
  <c r="S1079" i="1"/>
  <c r="T1079" i="1" s="1"/>
  <c r="X1078" i="1"/>
  <c r="Z1078" i="1" s="1"/>
  <c r="Y1078" i="1"/>
  <c r="R1078" i="1"/>
  <c r="S1078" i="1"/>
  <c r="T1078" i="1" s="1"/>
  <c r="X1077" i="1"/>
  <c r="Z1077" i="1" s="1"/>
  <c r="Y1077" i="1"/>
  <c r="R1077" i="1"/>
  <c r="S1077" i="1"/>
  <c r="T1077" i="1" s="1"/>
  <c r="X1076" i="1"/>
  <c r="Z1076" i="1" s="1"/>
  <c r="Y1076" i="1"/>
  <c r="R1076" i="1"/>
  <c r="S1076" i="1"/>
  <c r="T1076" i="1" s="1"/>
  <c r="X1075" i="1"/>
  <c r="Z1075" i="1" s="1"/>
  <c r="Y1075" i="1"/>
  <c r="R1075" i="1"/>
  <c r="S1075" i="1"/>
  <c r="T1075" i="1" s="1"/>
  <c r="Y1074" i="1"/>
  <c r="X1074" i="1"/>
  <c r="Z1074" i="1" s="1"/>
  <c r="R1074" i="1"/>
  <c r="S1074" i="1"/>
  <c r="T1074" i="1" s="1"/>
  <c r="X1073" i="1"/>
  <c r="Z1073" i="1" s="1"/>
  <c r="Y1073" i="1"/>
  <c r="S1073" i="1"/>
  <c r="T1073" i="1" s="1"/>
  <c r="R1073" i="1"/>
  <c r="X1072" i="1"/>
  <c r="Z1072" i="1" s="1"/>
  <c r="Y1072" i="1"/>
  <c r="R1072" i="1"/>
  <c r="S1072" i="1"/>
  <c r="T1072" i="1" s="1"/>
  <c r="Y1071" i="1"/>
  <c r="X1071" i="1"/>
  <c r="Z1071" i="1" s="1"/>
  <c r="R1071" i="1"/>
  <c r="S1071" i="1"/>
  <c r="T1071" i="1" s="1"/>
  <c r="X1070" i="1"/>
  <c r="Z1070" i="1" s="1"/>
  <c r="Y1070" i="1"/>
  <c r="R1070" i="1"/>
  <c r="S1070" i="1"/>
  <c r="T1070" i="1" s="1"/>
  <c r="X1069" i="1"/>
  <c r="Z1069" i="1" s="1"/>
  <c r="Y1069" i="1"/>
  <c r="R1069" i="1"/>
  <c r="S1069" i="1"/>
  <c r="T1069" i="1" s="1"/>
  <c r="Y1068" i="1"/>
  <c r="X1068" i="1"/>
  <c r="Z1068" i="1" s="1"/>
  <c r="R1068" i="1"/>
  <c r="S1068" i="1"/>
  <c r="T1068" i="1" s="1"/>
  <c r="R1067" i="1"/>
  <c r="X1067" i="1"/>
  <c r="Z1067" i="1" s="1"/>
  <c r="R1066" i="1"/>
  <c r="X1066" i="1"/>
  <c r="Z1066" i="1" s="1"/>
  <c r="R1065" i="1"/>
  <c r="S1065" i="1"/>
  <c r="T1065" i="1" s="1"/>
  <c r="X1065" i="1"/>
  <c r="Z1065" i="1" s="1"/>
  <c r="R1064" i="1"/>
  <c r="S1064" i="1"/>
  <c r="T1064" i="1" s="1"/>
  <c r="X1064" i="1"/>
  <c r="Z1064" i="1" s="1"/>
  <c r="S1063" i="1"/>
  <c r="T1063" i="1" s="1"/>
  <c r="X1063" i="1"/>
  <c r="Z1063" i="1" s="1"/>
  <c r="R1063" i="1"/>
  <c r="R1062" i="1"/>
  <c r="X1062" i="1"/>
  <c r="Z1062" i="1" s="1"/>
  <c r="R1061" i="1"/>
  <c r="S1061" i="1"/>
  <c r="T1061" i="1" s="1"/>
  <c r="X1061" i="1"/>
  <c r="Z1061" i="1" s="1"/>
  <c r="Z1056" i="1"/>
  <c r="Z1049" i="1"/>
  <c r="S1049" i="1"/>
  <c r="T1049" i="1" s="1"/>
  <c r="R1060" i="1"/>
  <c r="X1060" i="1"/>
  <c r="Z1060" i="1" s="1"/>
  <c r="R1059" i="1"/>
  <c r="S1059" i="1"/>
  <c r="T1059" i="1" s="1"/>
  <c r="X1059" i="1"/>
  <c r="Z1059" i="1" s="1"/>
  <c r="S1057" i="1"/>
  <c r="T1057" i="1" s="1"/>
  <c r="Y1058" i="1"/>
  <c r="R1058" i="1"/>
  <c r="X1057" i="1"/>
  <c r="Z1057" i="1" s="1"/>
  <c r="R1056" i="1"/>
  <c r="Y1056" i="1"/>
  <c r="R1055" i="1"/>
  <c r="X1055" i="1"/>
  <c r="Z1055" i="1" s="1"/>
  <c r="R1054" i="1"/>
  <c r="S1054" i="1"/>
  <c r="T1054" i="1" s="1"/>
  <c r="X1054" i="1"/>
  <c r="Z1054" i="1" s="1"/>
  <c r="X1053" i="1"/>
  <c r="Z1053" i="1" s="1"/>
  <c r="R1053" i="1"/>
  <c r="X1052" i="1"/>
  <c r="Z1052" i="1" s="1"/>
  <c r="R1052" i="1"/>
  <c r="R1051" i="1"/>
  <c r="S1051" i="1"/>
  <c r="T1051" i="1" s="1"/>
  <c r="Y1049" i="1"/>
  <c r="R1050" i="1"/>
  <c r="X1051" i="1"/>
  <c r="Z1051" i="1" s="1"/>
  <c r="X1050" i="1"/>
  <c r="Z1050" i="1" s="1"/>
  <c r="S1048" i="1"/>
  <c r="T1048" i="1" s="1"/>
  <c r="Y1048" i="1"/>
  <c r="Z1048" i="1"/>
  <c r="R1047" i="1"/>
  <c r="X1047" i="1"/>
  <c r="Z1047" i="1" s="1"/>
  <c r="X1046" i="1"/>
  <c r="Z1046" i="1" s="1"/>
  <c r="R1046" i="1"/>
  <c r="Y1045" i="1"/>
  <c r="Q1045" i="1"/>
  <c r="H1045" i="1"/>
  <c r="Y1044" i="1"/>
  <c r="Q1044" i="1"/>
  <c r="H1044" i="1"/>
  <c r="S1044" i="1" s="1"/>
  <c r="T1044" i="1" s="1"/>
  <c r="Y1043" i="1"/>
  <c r="Q1043" i="1"/>
  <c r="H1043" i="1"/>
  <c r="Y1042" i="1"/>
  <c r="Q1042" i="1"/>
  <c r="H1042" i="1"/>
  <c r="S1042" i="1" s="1"/>
  <c r="T1042" i="1" s="1"/>
  <c r="Y1041" i="1"/>
  <c r="Q1041" i="1"/>
  <c r="H1041" i="1"/>
  <c r="S1041" i="1" s="1"/>
  <c r="T1041" i="1" s="1"/>
  <c r="Y1040" i="1"/>
  <c r="Q1040" i="1"/>
  <c r="H1040" i="1"/>
  <c r="S1040" i="1" s="1"/>
  <c r="T1040" i="1" s="1"/>
  <c r="Y1039" i="1"/>
  <c r="Q1039" i="1"/>
  <c r="H1039" i="1"/>
  <c r="Y1038" i="1"/>
  <c r="Q1038" i="1"/>
  <c r="H1038" i="1"/>
  <c r="Y1037" i="1"/>
  <c r="Q1037" i="1"/>
  <c r="H1037" i="1"/>
  <c r="H1036" i="1"/>
  <c r="R1036" i="1" s="1"/>
  <c r="Y1036" i="1"/>
  <c r="Q1036" i="1"/>
  <c r="Y1035" i="1"/>
  <c r="Q1035" i="1"/>
  <c r="H1035" i="1"/>
  <c r="R1035" i="1" s="1"/>
  <c r="H1014" i="1"/>
  <c r="R1014" i="1" s="1"/>
  <c r="Q1014" i="1"/>
  <c r="X1014" i="1"/>
  <c r="Y1034" i="1"/>
  <c r="Q1034" i="1"/>
  <c r="H1034" i="1"/>
  <c r="S1034" i="1" s="1"/>
  <c r="T1034" i="1" s="1"/>
  <c r="Q1033" i="1"/>
  <c r="Y1033" i="1"/>
  <c r="H1033" i="1"/>
  <c r="S1033" i="1" s="1"/>
  <c r="T1033" i="1" s="1"/>
  <c r="Q1032" i="1"/>
  <c r="Y1032" i="1"/>
  <c r="H1032" i="1"/>
  <c r="R1032" i="1" s="1"/>
  <c r="Q1031" i="1"/>
  <c r="Y1031" i="1"/>
  <c r="H1031" i="1"/>
  <c r="S1031" i="1" s="1"/>
  <c r="T1031" i="1" s="1"/>
  <c r="Q1030" i="1"/>
  <c r="Y1030" i="1"/>
  <c r="H1030" i="1"/>
  <c r="S1030" i="1" s="1"/>
  <c r="T1030" i="1" s="1"/>
  <c r="Q1029" i="1"/>
  <c r="Y1029" i="1"/>
  <c r="H1029" i="1"/>
  <c r="R1029" i="1" s="1"/>
  <c r="Q1028" i="1"/>
  <c r="Y1028" i="1"/>
  <c r="H1028" i="1"/>
  <c r="R1028" i="1" s="1"/>
  <c r="Q1027" i="1"/>
  <c r="Y1027" i="1"/>
  <c r="H1027" i="1"/>
  <c r="R1027" i="1" s="1"/>
  <c r="Q1026" i="1"/>
  <c r="Y1026" i="1"/>
  <c r="H1026" i="1"/>
  <c r="S1026" i="1" s="1"/>
  <c r="T1026" i="1" s="1"/>
  <c r="Q1025" i="1"/>
  <c r="Y1025" i="1"/>
  <c r="H1025" i="1"/>
  <c r="R1025" i="1" s="1"/>
  <c r="Q1024" i="1"/>
  <c r="Y1024" i="1"/>
  <c r="H1024" i="1"/>
  <c r="S1024" i="1" s="1"/>
  <c r="T1024" i="1" s="1"/>
  <c r="Q1023" i="1"/>
  <c r="Y1023" i="1"/>
  <c r="H1023" i="1"/>
  <c r="R1023" i="1" s="1"/>
  <c r="Q1022" i="1"/>
  <c r="Y1022" i="1"/>
  <c r="H1022" i="1"/>
  <c r="S1022" i="1" s="1"/>
  <c r="T1022" i="1" s="1"/>
  <c r="Q1021" i="1"/>
  <c r="Y1021" i="1"/>
  <c r="H1021" i="1"/>
  <c r="S1021" i="1" s="1"/>
  <c r="T1021" i="1" s="1"/>
  <c r="Q1020" i="1"/>
  <c r="Y1020" i="1"/>
  <c r="H1020" i="1"/>
  <c r="R1020" i="1" s="1"/>
  <c r="Q1019" i="1"/>
  <c r="Y1019" i="1"/>
  <c r="H1019" i="1"/>
  <c r="R1019" i="1" s="1"/>
  <c r="Q1018" i="1"/>
  <c r="Y1018" i="1"/>
  <c r="H1018" i="1"/>
  <c r="S1018" i="1" s="1"/>
  <c r="T1018" i="1" s="1"/>
  <c r="Q1017" i="1"/>
  <c r="Y1017" i="1"/>
  <c r="H1017" i="1"/>
  <c r="S1017" i="1" s="1"/>
  <c r="T1017" i="1" s="1"/>
  <c r="Q1016" i="1"/>
  <c r="Y1016" i="1"/>
  <c r="H1016" i="1"/>
  <c r="R1016" i="1" s="1"/>
  <c r="H37" i="1"/>
  <c r="R37" i="1" s="1"/>
  <c r="Q37" i="1"/>
  <c r="X37" i="1"/>
  <c r="H38" i="1"/>
  <c r="R38" i="1" s="1"/>
  <c r="Q38" i="1"/>
  <c r="X38" i="1"/>
  <c r="H39" i="1"/>
  <c r="S39" i="1" s="1"/>
  <c r="T39" i="1" s="1"/>
  <c r="Q39" i="1"/>
  <c r="H40" i="1"/>
  <c r="S40" i="1" s="1"/>
  <c r="T40" i="1" s="1"/>
  <c r="Q40" i="1"/>
  <c r="H41" i="1"/>
  <c r="S41" i="1" s="1"/>
  <c r="T41" i="1" s="1"/>
  <c r="Q41" i="1"/>
  <c r="X41" i="1"/>
  <c r="H42" i="1"/>
  <c r="S42" i="1" s="1"/>
  <c r="T42" i="1" s="1"/>
  <c r="Q42" i="1"/>
  <c r="X42" i="1"/>
  <c r="H43" i="1"/>
  <c r="S43" i="1" s="1"/>
  <c r="T43" i="1" s="1"/>
  <c r="Q43" i="1"/>
  <c r="X43" i="1"/>
  <c r="H44" i="1"/>
  <c r="R44" i="1" s="1"/>
  <c r="Q44" i="1"/>
  <c r="X44" i="1"/>
  <c r="H45" i="1"/>
  <c r="S45" i="1" s="1"/>
  <c r="T45" i="1" s="1"/>
  <c r="Q45" i="1"/>
  <c r="X45" i="1"/>
  <c r="H46" i="1"/>
  <c r="S46" i="1" s="1"/>
  <c r="T46" i="1" s="1"/>
  <c r="Q46" i="1"/>
  <c r="X46" i="1"/>
  <c r="H47" i="1"/>
  <c r="S47" i="1" s="1"/>
  <c r="T47" i="1" s="1"/>
  <c r="Q47" i="1"/>
  <c r="X47" i="1"/>
  <c r="H48" i="1"/>
  <c r="S48" i="1" s="1"/>
  <c r="T48" i="1" s="1"/>
  <c r="Q48" i="1"/>
  <c r="H49" i="1"/>
  <c r="R49" i="1" s="1"/>
  <c r="Q49" i="1"/>
  <c r="H50" i="1"/>
  <c r="S50" i="1" s="1"/>
  <c r="T50" i="1" s="1"/>
  <c r="Q50" i="1"/>
  <c r="H51" i="1"/>
  <c r="S51" i="1" s="1"/>
  <c r="T51" i="1" s="1"/>
  <c r="Q51" i="1"/>
  <c r="H52" i="1"/>
  <c r="S52" i="1" s="1"/>
  <c r="T52" i="1" s="1"/>
  <c r="Q52" i="1"/>
  <c r="H53" i="1"/>
  <c r="R53" i="1" s="1"/>
  <c r="Q53" i="1"/>
  <c r="H54" i="1"/>
  <c r="S54" i="1" s="1"/>
  <c r="T54" i="1" s="1"/>
  <c r="Q54" i="1"/>
  <c r="H55" i="1"/>
  <c r="S55" i="1" s="1"/>
  <c r="T55" i="1" s="1"/>
  <c r="Q55" i="1"/>
  <c r="H56" i="1"/>
  <c r="S56" i="1" s="1"/>
  <c r="T56" i="1" s="1"/>
  <c r="Q56" i="1"/>
  <c r="H57" i="1"/>
  <c r="R57" i="1" s="1"/>
  <c r="Q57" i="1"/>
  <c r="H58" i="1"/>
  <c r="S58" i="1" s="1"/>
  <c r="T58" i="1" s="1"/>
  <c r="Q58" i="1"/>
  <c r="H59" i="1"/>
  <c r="S59" i="1" s="1"/>
  <c r="T59" i="1" s="1"/>
  <c r="Q59" i="1"/>
  <c r="H60" i="1"/>
  <c r="S60" i="1" s="1"/>
  <c r="T60" i="1" s="1"/>
  <c r="Q60" i="1"/>
  <c r="H61" i="1"/>
  <c r="R61" i="1" s="1"/>
  <c r="Q61" i="1"/>
  <c r="H62" i="1"/>
  <c r="S62" i="1" s="1"/>
  <c r="T62" i="1" s="1"/>
  <c r="Q62" i="1"/>
  <c r="H63" i="1"/>
  <c r="S63" i="1" s="1"/>
  <c r="T63" i="1" s="1"/>
  <c r="Q63" i="1"/>
  <c r="H64" i="1"/>
  <c r="S64" i="1" s="1"/>
  <c r="T64" i="1" s="1"/>
  <c r="Q64" i="1"/>
  <c r="H65" i="1"/>
  <c r="R65" i="1" s="1"/>
  <c r="Q65" i="1"/>
  <c r="H66" i="1"/>
  <c r="S66" i="1" s="1"/>
  <c r="T66" i="1" s="1"/>
  <c r="Q66" i="1"/>
  <c r="H67" i="1"/>
  <c r="S67" i="1" s="1"/>
  <c r="T67" i="1" s="1"/>
  <c r="Q67" i="1"/>
  <c r="AI67" i="1"/>
  <c r="H68" i="1"/>
  <c r="R68" i="1" s="1"/>
  <c r="Q68" i="1"/>
  <c r="X68" i="1"/>
  <c r="H69" i="1"/>
  <c r="R69" i="1" s="1"/>
  <c r="Q69" i="1"/>
  <c r="X69" i="1"/>
  <c r="H70" i="1"/>
  <c r="S70" i="1" s="1"/>
  <c r="T70" i="1" s="1"/>
  <c r="Q70" i="1"/>
  <c r="H71" i="1"/>
  <c r="Q71" i="1"/>
  <c r="X71" i="1"/>
  <c r="H72" i="1"/>
  <c r="Q72" i="1"/>
  <c r="X72" i="1"/>
  <c r="H73" i="1"/>
  <c r="R73" i="1" s="1"/>
  <c r="Q73" i="1"/>
  <c r="H74" i="1"/>
  <c r="S74" i="1" s="1"/>
  <c r="T74" i="1" s="1"/>
  <c r="Q74" i="1"/>
  <c r="H75" i="1"/>
  <c r="R75" i="1" s="1"/>
  <c r="Q75" i="1"/>
  <c r="X75" i="1"/>
  <c r="H76" i="1"/>
  <c r="R76" i="1" s="1"/>
  <c r="Q76" i="1"/>
  <c r="X76" i="1"/>
  <c r="H77" i="1"/>
  <c r="R77" i="1" s="1"/>
  <c r="Q77" i="1"/>
  <c r="H78" i="1"/>
  <c r="S78" i="1" s="1"/>
  <c r="T78" i="1" s="1"/>
  <c r="Q78" i="1"/>
  <c r="H79" i="1"/>
  <c r="Q79" i="1"/>
  <c r="X79" i="1"/>
  <c r="H81" i="1"/>
  <c r="Q81" i="1"/>
  <c r="X81" i="1"/>
  <c r="H82" i="1"/>
  <c r="R82" i="1" s="1"/>
  <c r="Q82" i="1"/>
  <c r="H83" i="1"/>
  <c r="S83" i="1" s="1"/>
  <c r="T83" i="1" s="1"/>
  <c r="Q83" i="1"/>
  <c r="H84" i="1"/>
  <c r="R84" i="1" s="1"/>
  <c r="Q84" i="1"/>
  <c r="X84" i="1"/>
  <c r="H85" i="1"/>
  <c r="R85" i="1" s="1"/>
  <c r="Q85" i="1"/>
  <c r="X85" i="1"/>
  <c r="H86" i="1"/>
  <c r="S86" i="1" s="1"/>
  <c r="T86" i="1" s="1"/>
  <c r="Q86" i="1"/>
  <c r="H87" i="1"/>
  <c r="R87" i="1" s="1"/>
  <c r="Q87" i="1"/>
  <c r="H88" i="1"/>
  <c r="R88" i="1" s="1"/>
  <c r="Q88" i="1"/>
  <c r="X88" i="1"/>
  <c r="H89" i="1"/>
  <c r="S89" i="1" s="1"/>
  <c r="T89" i="1" s="1"/>
  <c r="Q89" i="1"/>
  <c r="X89" i="1"/>
  <c r="H90" i="1"/>
  <c r="R90" i="1" s="1"/>
  <c r="Q90" i="1"/>
  <c r="H91" i="1"/>
  <c r="R91" i="1" s="1"/>
  <c r="Q91" i="1"/>
  <c r="H92" i="1"/>
  <c r="R92" i="1" s="1"/>
  <c r="Q92" i="1"/>
  <c r="X92" i="1"/>
  <c r="H93" i="1"/>
  <c r="R93" i="1" s="1"/>
  <c r="Q93" i="1"/>
  <c r="X93" i="1"/>
  <c r="H94" i="1"/>
  <c r="R94" i="1" s="1"/>
  <c r="Q94" i="1"/>
  <c r="H95" i="1"/>
  <c r="S95" i="1" s="1"/>
  <c r="T95" i="1" s="1"/>
  <c r="Q95" i="1"/>
  <c r="H96" i="1"/>
  <c r="R96" i="1" s="1"/>
  <c r="Q96" i="1"/>
  <c r="X96" i="1"/>
  <c r="H97" i="1"/>
  <c r="R97" i="1" s="1"/>
  <c r="Q97" i="1"/>
  <c r="X97" i="1"/>
  <c r="H98" i="1"/>
  <c r="R98" i="1" s="1"/>
  <c r="Q98" i="1"/>
  <c r="H99" i="1"/>
  <c r="R99" i="1" s="1"/>
  <c r="Q99" i="1"/>
  <c r="H100" i="1"/>
  <c r="R100" i="1" s="1"/>
  <c r="Q100" i="1"/>
  <c r="X100" i="1"/>
  <c r="H101" i="1"/>
  <c r="S101" i="1" s="1"/>
  <c r="T101" i="1" s="1"/>
  <c r="Q101" i="1"/>
  <c r="H102" i="1"/>
  <c r="R102" i="1" s="1"/>
  <c r="Q102" i="1"/>
  <c r="H103" i="1"/>
  <c r="S103" i="1" s="1"/>
  <c r="T103" i="1" s="1"/>
  <c r="Q103" i="1"/>
  <c r="H104" i="1"/>
  <c r="R104" i="1" s="1"/>
  <c r="Q104" i="1"/>
  <c r="X104" i="1"/>
  <c r="H105" i="1"/>
  <c r="R105" i="1" s="1"/>
  <c r="Q105" i="1"/>
  <c r="H106" i="1"/>
  <c r="S106" i="1" s="1"/>
  <c r="T106" i="1" s="1"/>
  <c r="Q106" i="1"/>
  <c r="H107" i="1"/>
  <c r="S107" i="1" s="1"/>
  <c r="T107" i="1" s="1"/>
  <c r="Q107" i="1"/>
  <c r="H108" i="1"/>
  <c r="Q108" i="1"/>
  <c r="X108" i="1"/>
  <c r="H109" i="1"/>
  <c r="R109" i="1" s="1"/>
  <c r="Q109" i="1"/>
  <c r="H110" i="1"/>
  <c r="R110" i="1" s="1"/>
  <c r="Q110" i="1"/>
  <c r="H111" i="1"/>
  <c r="S111" i="1" s="1"/>
  <c r="T111" i="1" s="1"/>
  <c r="Q111" i="1"/>
  <c r="H112" i="1"/>
  <c r="S112" i="1" s="1"/>
  <c r="T112" i="1" s="1"/>
  <c r="Q112" i="1"/>
  <c r="X112" i="1"/>
  <c r="H113" i="1"/>
  <c r="R113" i="1" s="1"/>
  <c r="Q113" i="1"/>
  <c r="H114" i="1"/>
  <c r="R114" i="1" s="1"/>
  <c r="Q114" i="1"/>
  <c r="H116" i="1"/>
  <c r="S116" i="1" s="1"/>
  <c r="T116" i="1" s="1"/>
  <c r="Q116" i="1"/>
  <c r="X116" i="1"/>
  <c r="H117" i="1"/>
  <c r="R117" i="1" s="1"/>
  <c r="Q117" i="1"/>
  <c r="H118" i="1"/>
  <c r="R118" i="1" s="1"/>
  <c r="Q118" i="1"/>
  <c r="X118" i="1"/>
  <c r="H119" i="1"/>
  <c r="S119" i="1" s="1"/>
  <c r="T119" i="1" s="1"/>
  <c r="Q119" i="1"/>
  <c r="H120" i="1"/>
  <c r="Q120" i="1"/>
  <c r="H121" i="1"/>
  <c r="R121" i="1" s="1"/>
  <c r="Q121" i="1"/>
  <c r="H122" i="1"/>
  <c r="R122" i="1" s="1"/>
  <c r="Q122" i="1"/>
  <c r="X122" i="1"/>
  <c r="H123" i="1"/>
  <c r="S123" i="1" s="1"/>
  <c r="T123" i="1" s="1"/>
  <c r="Q123" i="1"/>
  <c r="H124" i="1"/>
  <c r="Q124" i="1"/>
  <c r="Y124" i="1"/>
  <c r="H125" i="1"/>
  <c r="S125" i="1" s="1"/>
  <c r="T125" i="1" s="1"/>
  <c r="Q125" i="1"/>
  <c r="Y125" i="1"/>
  <c r="H126" i="1"/>
  <c r="Q126" i="1"/>
  <c r="X126" i="1"/>
  <c r="H127" i="1"/>
  <c r="S127" i="1" s="1"/>
  <c r="T127" i="1" s="1"/>
  <c r="Q127" i="1"/>
  <c r="Y127" i="1"/>
  <c r="H128" i="1"/>
  <c r="Q128" i="1"/>
  <c r="X128" i="1"/>
  <c r="Q129" i="1"/>
  <c r="R129" i="1"/>
  <c r="S129" i="1"/>
  <c r="T129" i="1" s="1"/>
  <c r="H130" i="1"/>
  <c r="R130" i="1" s="1"/>
  <c r="Q130" i="1"/>
  <c r="H131" i="1"/>
  <c r="S131" i="1" s="1"/>
  <c r="T131" i="1" s="1"/>
  <c r="Q131" i="1"/>
  <c r="Y131" i="1"/>
  <c r="H132" i="1"/>
  <c r="S132" i="1" s="1"/>
  <c r="T132" i="1" s="1"/>
  <c r="Q132" i="1"/>
  <c r="Y132" i="1"/>
  <c r="H133" i="1"/>
  <c r="Q133" i="1"/>
  <c r="X133" i="1"/>
  <c r="H134" i="1"/>
  <c r="R134" i="1" s="1"/>
  <c r="Q134" i="1"/>
  <c r="H135" i="1"/>
  <c r="S135" i="1" s="1"/>
  <c r="T135" i="1" s="1"/>
  <c r="Q135" i="1"/>
  <c r="H136" i="1"/>
  <c r="R136" i="1" s="1"/>
  <c r="Q136" i="1"/>
  <c r="Y136" i="1"/>
  <c r="H137" i="1"/>
  <c r="Q137" i="1"/>
  <c r="Y137" i="1"/>
  <c r="H138" i="1"/>
  <c r="R138" i="1" s="1"/>
  <c r="Q138" i="1"/>
  <c r="H139" i="1"/>
  <c r="Q139" i="1"/>
  <c r="X139" i="1"/>
  <c r="H140" i="1"/>
  <c r="Q140" i="1"/>
  <c r="H141" i="1"/>
  <c r="Q141" i="1"/>
  <c r="X141" i="1"/>
  <c r="H142" i="1"/>
  <c r="Q142" i="1"/>
  <c r="H143" i="1"/>
  <c r="S143" i="1" s="1"/>
  <c r="T143" i="1" s="1"/>
  <c r="Q143" i="1"/>
  <c r="X143" i="1"/>
  <c r="H144" i="1"/>
  <c r="Q144" i="1"/>
  <c r="X144" i="1"/>
  <c r="H145" i="1"/>
  <c r="S145" i="1" s="1"/>
  <c r="T145" i="1" s="1"/>
  <c r="Q145" i="1"/>
  <c r="H146" i="1"/>
  <c r="S146" i="1" s="1"/>
  <c r="T146" i="1" s="1"/>
  <c r="Q146" i="1"/>
  <c r="Y146" i="1"/>
  <c r="H147" i="1"/>
  <c r="Q147" i="1"/>
  <c r="H148" i="1"/>
  <c r="Q148" i="1"/>
  <c r="Y148" i="1"/>
  <c r="H149" i="1"/>
  <c r="S149" i="1" s="1"/>
  <c r="T149" i="1" s="1"/>
  <c r="Q149" i="1"/>
  <c r="Y149" i="1"/>
  <c r="H150" i="1"/>
  <c r="Q150" i="1"/>
  <c r="Y150" i="1"/>
  <c r="H151" i="1"/>
  <c r="S151" i="1" s="1"/>
  <c r="T151" i="1" s="1"/>
  <c r="Q151" i="1"/>
  <c r="Y151" i="1"/>
  <c r="H152" i="1"/>
  <c r="R152" i="1" s="1"/>
  <c r="Q152" i="1"/>
  <c r="X152" i="1"/>
  <c r="H442" i="1"/>
  <c r="S442" i="1" s="1"/>
  <c r="T442" i="1" s="1"/>
  <c r="Q442" i="1"/>
  <c r="H443" i="1"/>
  <c r="Q443" i="1"/>
  <c r="X443" i="1"/>
  <c r="H444" i="1"/>
  <c r="Q444" i="1"/>
  <c r="X444" i="1"/>
  <c r="H445" i="1"/>
  <c r="Q445" i="1"/>
  <c r="Y445" i="1"/>
  <c r="H446" i="1"/>
  <c r="Q446" i="1"/>
  <c r="H447" i="1"/>
  <c r="R447" i="1" s="1"/>
  <c r="Q447" i="1"/>
  <c r="H448" i="1"/>
  <c r="S448" i="1" s="1"/>
  <c r="T448" i="1" s="1"/>
  <c r="Q448" i="1"/>
  <c r="X448" i="1"/>
  <c r="H449" i="1"/>
  <c r="Q449" i="1"/>
  <c r="H450" i="1"/>
  <c r="S450" i="1" s="1"/>
  <c r="T450" i="1" s="1"/>
  <c r="Q450" i="1"/>
  <c r="Y450" i="1"/>
  <c r="H451" i="1"/>
  <c r="Q451" i="1"/>
  <c r="H604" i="1"/>
  <c r="Q604" i="1"/>
  <c r="Y604" i="1"/>
  <c r="H606" i="1"/>
  <c r="R606" i="1" s="1"/>
  <c r="Q606" i="1"/>
  <c r="W606" i="1"/>
  <c r="H607" i="1"/>
  <c r="R607" i="1" s="1"/>
  <c r="Q607" i="1"/>
  <c r="X607" i="1"/>
  <c r="W607" i="1"/>
  <c r="H608" i="1"/>
  <c r="Q608" i="1"/>
  <c r="X608" i="1"/>
  <c r="W608" i="1"/>
  <c r="H609" i="1"/>
  <c r="S609" i="1" s="1"/>
  <c r="T609" i="1" s="1"/>
  <c r="Q609" i="1"/>
  <c r="X609" i="1"/>
  <c r="W609" i="1"/>
  <c r="H610" i="1"/>
  <c r="R610" i="1" s="1"/>
  <c r="Q610" i="1"/>
  <c r="Y610" i="1"/>
  <c r="W610" i="1"/>
  <c r="H611" i="1"/>
  <c r="Q611" i="1"/>
  <c r="Y611" i="1"/>
  <c r="W611" i="1"/>
  <c r="H612" i="1"/>
  <c r="Q612" i="1"/>
  <c r="Y612" i="1"/>
  <c r="W612" i="1"/>
  <c r="H613" i="1"/>
  <c r="S613" i="1" s="1"/>
  <c r="T613" i="1" s="1"/>
  <c r="Q613" i="1"/>
  <c r="W613" i="1"/>
  <c r="H614" i="1"/>
  <c r="Q614" i="1"/>
  <c r="W614" i="1"/>
  <c r="H615" i="1"/>
  <c r="Q615" i="1"/>
  <c r="Y615" i="1"/>
  <c r="W615" i="1"/>
  <c r="H616" i="1"/>
  <c r="Q616" i="1"/>
  <c r="X616" i="1"/>
  <c r="W616" i="1"/>
  <c r="H617" i="1"/>
  <c r="S617" i="1" s="1"/>
  <c r="T617" i="1" s="1"/>
  <c r="Q617" i="1"/>
  <c r="X617" i="1"/>
  <c r="W617" i="1"/>
  <c r="H618" i="1"/>
  <c r="S618" i="1" s="1"/>
  <c r="T618" i="1" s="1"/>
  <c r="Q618" i="1"/>
  <c r="Y618" i="1"/>
  <c r="W618" i="1"/>
  <c r="H619" i="1"/>
  <c r="S619" i="1" s="1"/>
  <c r="T619" i="1" s="1"/>
  <c r="Q619" i="1"/>
  <c r="W619" i="1"/>
  <c r="H620" i="1"/>
  <c r="R620" i="1" s="1"/>
  <c r="Q620" i="1"/>
  <c r="W620" i="1"/>
  <c r="H621" i="1"/>
  <c r="S621" i="1" s="1"/>
  <c r="T621" i="1" s="1"/>
  <c r="Q621" i="1"/>
  <c r="X621" i="1"/>
  <c r="W621" i="1"/>
  <c r="H622" i="1"/>
  <c r="Q622" i="1"/>
  <c r="W622" i="1"/>
  <c r="H623" i="1"/>
  <c r="R623" i="1" s="1"/>
  <c r="Q623" i="1"/>
  <c r="X623" i="1"/>
  <c r="W623" i="1"/>
  <c r="H775" i="1"/>
  <c r="Q775" i="1"/>
  <c r="X775" i="1"/>
  <c r="H776" i="1"/>
  <c r="S776" i="1" s="1"/>
  <c r="T776" i="1" s="1"/>
  <c r="Q776" i="1"/>
  <c r="X776" i="1"/>
  <c r="H777" i="1"/>
  <c r="R777" i="1" s="1"/>
  <c r="Q777" i="1"/>
  <c r="X777" i="1"/>
  <c r="H778" i="1"/>
  <c r="Q778" i="1"/>
  <c r="Y778" i="1"/>
  <c r="H779" i="1"/>
  <c r="Q779" i="1"/>
  <c r="Y779" i="1"/>
  <c r="H780" i="1"/>
  <c r="S780" i="1" s="1"/>
  <c r="T780" i="1" s="1"/>
  <c r="Q780" i="1"/>
  <c r="Y780" i="1"/>
  <c r="H781" i="1"/>
  <c r="S781" i="1" s="1"/>
  <c r="T781" i="1" s="1"/>
  <c r="Q781" i="1"/>
  <c r="H782" i="1"/>
  <c r="S782" i="1" s="1"/>
  <c r="T782" i="1" s="1"/>
  <c r="Q782" i="1"/>
  <c r="X782" i="1"/>
  <c r="H783" i="1"/>
  <c r="Q783" i="1"/>
  <c r="H784" i="1"/>
  <c r="Q784" i="1"/>
  <c r="H785" i="1"/>
  <c r="Q785" i="1"/>
  <c r="X785" i="1"/>
  <c r="H786" i="1"/>
  <c r="R786" i="1" s="1"/>
  <c r="Q786" i="1"/>
  <c r="Y786" i="1"/>
  <c r="H787" i="1"/>
  <c r="R787" i="1" s="1"/>
  <c r="Q787" i="1"/>
  <c r="X787" i="1"/>
  <c r="H788" i="1"/>
  <c r="S788" i="1" s="1"/>
  <c r="T788" i="1" s="1"/>
  <c r="Q788" i="1"/>
  <c r="Y788" i="1"/>
  <c r="H789" i="1"/>
  <c r="R789" i="1" s="1"/>
  <c r="Q789" i="1"/>
  <c r="H790" i="1"/>
  <c r="Q790" i="1"/>
  <c r="Y790" i="1"/>
  <c r="H791" i="1"/>
  <c r="Q791" i="1"/>
  <c r="X791" i="1"/>
  <c r="H792" i="1"/>
  <c r="S792" i="1" s="1"/>
  <c r="T792" i="1" s="1"/>
  <c r="Q792" i="1"/>
  <c r="Y792" i="1"/>
  <c r="H793" i="1"/>
  <c r="S793" i="1" s="1"/>
  <c r="T793" i="1" s="1"/>
  <c r="Q793" i="1"/>
  <c r="H794" i="1"/>
  <c r="R794" i="1" s="1"/>
  <c r="Q794" i="1"/>
  <c r="Y794" i="1"/>
  <c r="H795" i="1"/>
  <c r="S795" i="1" s="1"/>
  <c r="T795" i="1" s="1"/>
  <c r="Q795" i="1"/>
  <c r="H796" i="1"/>
  <c r="R796" i="1" s="1"/>
  <c r="Q796" i="1"/>
  <c r="X796" i="1"/>
  <c r="H797" i="1"/>
  <c r="R797" i="1" s="1"/>
  <c r="Q797" i="1"/>
  <c r="X797" i="1"/>
  <c r="H798" i="1"/>
  <c r="S798" i="1" s="1"/>
  <c r="T798" i="1" s="1"/>
  <c r="Q798" i="1"/>
  <c r="Y798" i="1"/>
  <c r="H799" i="1"/>
  <c r="S799" i="1" s="1"/>
  <c r="T799" i="1" s="1"/>
  <c r="Q799" i="1"/>
  <c r="H800" i="1"/>
  <c r="Q800" i="1"/>
  <c r="H801" i="1"/>
  <c r="R801" i="1" s="1"/>
  <c r="Q801" i="1"/>
  <c r="Y801" i="1"/>
  <c r="H802" i="1"/>
  <c r="Q802" i="1"/>
  <c r="Y802" i="1"/>
  <c r="H803" i="1"/>
  <c r="S803" i="1" s="1"/>
  <c r="T803" i="1" s="1"/>
  <c r="Q803" i="1"/>
  <c r="X803" i="1"/>
  <c r="H804" i="1"/>
  <c r="S804" i="1" s="1"/>
  <c r="T804" i="1" s="1"/>
  <c r="Q804" i="1"/>
  <c r="X804" i="1"/>
  <c r="H805" i="1"/>
  <c r="R805" i="1" s="1"/>
  <c r="Q805" i="1"/>
  <c r="X805" i="1"/>
  <c r="H806" i="1"/>
  <c r="S806" i="1" s="1"/>
  <c r="T806" i="1" s="1"/>
  <c r="Q806" i="1"/>
  <c r="Y806" i="1"/>
  <c r="H807" i="1"/>
  <c r="Q807" i="1"/>
  <c r="X807" i="1"/>
  <c r="H808" i="1"/>
  <c r="Q808" i="1"/>
  <c r="Y808" i="1"/>
  <c r="H809" i="1"/>
  <c r="Q809" i="1"/>
  <c r="X809" i="1"/>
  <c r="H810" i="1"/>
  <c r="S810" i="1" s="1"/>
  <c r="T810" i="1" s="1"/>
  <c r="Q810" i="1"/>
  <c r="Y810" i="1"/>
  <c r="H811" i="1"/>
  <c r="R811" i="1" s="1"/>
  <c r="Q811" i="1"/>
  <c r="H812" i="1"/>
  <c r="Q812" i="1"/>
  <c r="Y812" i="1"/>
  <c r="H813" i="1"/>
  <c r="R813" i="1" s="1"/>
  <c r="Q813" i="1"/>
  <c r="X813" i="1"/>
  <c r="H814" i="1"/>
  <c r="Q814" i="1"/>
  <c r="X814" i="1"/>
  <c r="H815" i="1"/>
  <c r="S815" i="1" s="1"/>
  <c r="T815" i="1" s="1"/>
  <c r="Q815" i="1"/>
  <c r="X815" i="1"/>
  <c r="H816" i="1"/>
  <c r="R816" i="1" s="1"/>
  <c r="Q816" i="1"/>
  <c r="H817" i="1"/>
  <c r="S817" i="1" s="1"/>
  <c r="T817" i="1" s="1"/>
  <c r="Q817" i="1"/>
  <c r="X817" i="1"/>
  <c r="H818" i="1"/>
  <c r="Q818" i="1"/>
  <c r="Y818" i="1"/>
  <c r="H819" i="1"/>
  <c r="R819" i="1" s="1"/>
  <c r="Q819" i="1"/>
  <c r="X819" i="1"/>
  <c r="H820" i="1"/>
  <c r="Q820" i="1"/>
  <c r="X820" i="1"/>
  <c r="H821" i="1"/>
  <c r="R821" i="1" s="1"/>
  <c r="Q821" i="1"/>
  <c r="H822" i="1"/>
  <c r="S822" i="1" s="1"/>
  <c r="T822" i="1" s="1"/>
  <c r="Q822" i="1"/>
  <c r="X822" i="1"/>
  <c r="H823" i="1"/>
  <c r="Q823" i="1"/>
  <c r="Y823" i="1"/>
  <c r="H824" i="1"/>
  <c r="Q824" i="1"/>
  <c r="Y824" i="1"/>
  <c r="H825" i="1"/>
  <c r="R825" i="1" s="1"/>
  <c r="Q825" i="1"/>
  <c r="X825" i="1"/>
  <c r="H826" i="1"/>
  <c r="S826" i="1" s="1"/>
  <c r="T826" i="1" s="1"/>
  <c r="Q826" i="1"/>
  <c r="H827" i="1"/>
  <c r="R827" i="1" s="1"/>
  <c r="Q827" i="1"/>
  <c r="X827" i="1"/>
  <c r="H828" i="1"/>
  <c r="S828" i="1" s="1"/>
  <c r="T828" i="1" s="1"/>
  <c r="Q828" i="1"/>
  <c r="X828" i="1"/>
  <c r="H829" i="1"/>
  <c r="R829" i="1" s="1"/>
  <c r="Q829" i="1"/>
  <c r="X829" i="1"/>
  <c r="H830" i="1"/>
  <c r="R830" i="1" s="1"/>
  <c r="Q830" i="1"/>
  <c r="X830" i="1"/>
  <c r="H831" i="1"/>
  <c r="Q831" i="1"/>
  <c r="H832" i="1"/>
  <c r="S832" i="1" s="1"/>
  <c r="T832" i="1" s="1"/>
  <c r="Q832" i="1"/>
  <c r="H833" i="1"/>
  <c r="S833" i="1" s="1"/>
  <c r="T833" i="1" s="1"/>
  <c r="Q833" i="1"/>
  <c r="H835" i="1"/>
  <c r="Q835" i="1"/>
  <c r="Y835" i="1"/>
  <c r="H836" i="1"/>
  <c r="S836" i="1" s="1"/>
  <c r="T836" i="1" s="1"/>
  <c r="Q836" i="1"/>
  <c r="H837" i="1"/>
  <c r="S837" i="1" s="1"/>
  <c r="T837" i="1" s="1"/>
  <c r="Q837" i="1"/>
  <c r="X837" i="1"/>
  <c r="H838" i="1"/>
  <c r="R838" i="1" s="1"/>
  <c r="Q838" i="1"/>
  <c r="X838" i="1"/>
  <c r="H839" i="1"/>
  <c r="Q839" i="1"/>
  <c r="Y839" i="1"/>
  <c r="H840" i="1"/>
  <c r="S840" i="1" s="1"/>
  <c r="T840" i="1" s="1"/>
  <c r="Q840" i="1"/>
  <c r="Y840" i="1"/>
  <c r="H841" i="1"/>
  <c r="R841" i="1" s="1"/>
  <c r="Q841" i="1"/>
  <c r="Y841" i="1"/>
  <c r="H855" i="1"/>
  <c r="R855" i="1" s="1"/>
  <c r="Q855" i="1"/>
  <c r="H856" i="1"/>
  <c r="Q856" i="1"/>
  <c r="Y856" i="1"/>
  <c r="H857" i="1"/>
  <c r="S857" i="1" s="1"/>
  <c r="T857" i="1" s="1"/>
  <c r="Q857" i="1"/>
  <c r="X857" i="1"/>
  <c r="H858" i="1"/>
  <c r="Q858" i="1"/>
  <c r="X858" i="1"/>
  <c r="H859" i="1"/>
  <c r="R859" i="1" s="1"/>
  <c r="Q859" i="1"/>
  <c r="H860" i="1"/>
  <c r="R860" i="1" s="1"/>
  <c r="Q860" i="1"/>
  <c r="X860" i="1"/>
  <c r="H861" i="1"/>
  <c r="Q861" i="1"/>
  <c r="X861" i="1"/>
  <c r="H863" i="1"/>
  <c r="R863" i="1" s="1"/>
  <c r="Q863" i="1"/>
  <c r="Y863" i="1"/>
  <c r="H864" i="1"/>
  <c r="R864" i="1" s="1"/>
  <c r="Q864" i="1"/>
  <c r="Y864" i="1"/>
  <c r="H865" i="1"/>
  <c r="S865" i="1" s="1"/>
  <c r="T865" i="1" s="1"/>
  <c r="Q865" i="1"/>
  <c r="H866" i="1"/>
  <c r="Q866" i="1"/>
  <c r="X866" i="1"/>
  <c r="H867" i="1"/>
  <c r="S867" i="1" s="1"/>
  <c r="T867" i="1" s="1"/>
  <c r="Q867" i="1"/>
  <c r="Y867" i="1"/>
  <c r="H868" i="1"/>
  <c r="R868" i="1" s="1"/>
  <c r="Q868" i="1"/>
  <c r="X868" i="1"/>
  <c r="H1013" i="1"/>
  <c r="S1013" i="1" s="1"/>
  <c r="T1013" i="1" s="1"/>
  <c r="Q1013" i="1"/>
  <c r="Y1013" i="1"/>
  <c r="H874" i="1"/>
  <c r="R874" i="1" s="1"/>
  <c r="Q874" i="1"/>
  <c r="Y874" i="1"/>
  <c r="H875" i="1"/>
  <c r="S875" i="1" s="1"/>
  <c r="T875" i="1" s="1"/>
  <c r="Q875" i="1"/>
  <c r="Y875" i="1"/>
  <c r="H876" i="1"/>
  <c r="Q876" i="1"/>
  <c r="Y876" i="1"/>
  <c r="H877" i="1"/>
  <c r="S877" i="1" s="1"/>
  <c r="T877" i="1" s="1"/>
  <c r="Q877" i="1"/>
  <c r="X877" i="1"/>
  <c r="H878" i="1"/>
  <c r="S878" i="1" s="1"/>
  <c r="T878" i="1" s="1"/>
  <c r="Q878" i="1"/>
  <c r="X878" i="1"/>
  <c r="H879" i="1"/>
  <c r="R879" i="1" s="1"/>
  <c r="Q879" i="1"/>
  <c r="X879" i="1"/>
  <c r="H880" i="1"/>
  <c r="Q880" i="1"/>
  <c r="X880" i="1"/>
  <c r="H881" i="1"/>
  <c r="S881" i="1" s="1"/>
  <c r="T881" i="1" s="1"/>
  <c r="Q881" i="1"/>
  <c r="X881" i="1"/>
  <c r="H882" i="1"/>
  <c r="R882" i="1" s="1"/>
  <c r="Q882" i="1"/>
  <c r="Y882" i="1"/>
  <c r="H883" i="1"/>
  <c r="R883" i="1" s="1"/>
  <c r="Q883" i="1"/>
  <c r="Y883" i="1"/>
  <c r="H884" i="1"/>
  <c r="Q884" i="1"/>
  <c r="Y884" i="1"/>
  <c r="H885" i="1"/>
  <c r="R885" i="1" s="1"/>
  <c r="Q885" i="1"/>
  <c r="X885" i="1"/>
  <c r="H886" i="1"/>
  <c r="Q886" i="1"/>
  <c r="X886" i="1"/>
  <c r="H887" i="1"/>
  <c r="R887" i="1" s="1"/>
  <c r="Q887" i="1"/>
  <c r="X887" i="1"/>
  <c r="H888" i="1"/>
  <c r="R888" i="1" s="1"/>
  <c r="Q888" i="1"/>
  <c r="X888" i="1"/>
  <c r="H889" i="1"/>
  <c r="S889" i="1" s="1"/>
  <c r="T889" i="1" s="1"/>
  <c r="Q889" i="1"/>
  <c r="X889" i="1"/>
  <c r="H890" i="1"/>
  <c r="S890" i="1" s="1"/>
  <c r="T890" i="1" s="1"/>
  <c r="Q890" i="1"/>
  <c r="Y890" i="1"/>
  <c r="H891" i="1"/>
  <c r="Q891" i="1"/>
  <c r="X891" i="1"/>
  <c r="H892" i="1"/>
  <c r="S892" i="1" s="1"/>
  <c r="T892" i="1" s="1"/>
  <c r="Q892" i="1"/>
  <c r="Y892" i="1"/>
  <c r="H893" i="1"/>
  <c r="R893" i="1" s="1"/>
  <c r="Q893" i="1"/>
  <c r="H894" i="1"/>
  <c r="Q894" i="1"/>
  <c r="X894" i="1"/>
  <c r="H895" i="1"/>
  <c r="R895" i="1" s="1"/>
  <c r="Q895" i="1"/>
  <c r="X895" i="1"/>
  <c r="H896" i="1"/>
  <c r="Q896" i="1"/>
  <c r="Y896" i="1"/>
  <c r="H897" i="1"/>
  <c r="S897" i="1" s="1"/>
  <c r="T897" i="1" s="1"/>
  <c r="Q897" i="1"/>
  <c r="X897" i="1"/>
  <c r="H898" i="1"/>
  <c r="R898" i="1" s="1"/>
  <c r="Q898" i="1"/>
  <c r="H899" i="1"/>
  <c r="S899" i="1" s="1"/>
  <c r="T899" i="1" s="1"/>
  <c r="Q899" i="1"/>
  <c r="X899" i="1"/>
  <c r="H900" i="1"/>
  <c r="S900" i="1" s="1"/>
  <c r="T900" i="1" s="1"/>
  <c r="Q900" i="1"/>
  <c r="Y900" i="1"/>
  <c r="H901" i="1"/>
  <c r="R901" i="1" s="1"/>
  <c r="Q901" i="1"/>
  <c r="X901" i="1"/>
  <c r="H928" i="1"/>
  <c r="S928" i="1" s="1"/>
  <c r="T928" i="1" s="1"/>
  <c r="Q928" i="1"/>
  <c r="H929" i="1"/>
  <c r="R929" i="1" s="1"/>
  <c r="Q929" i="1"/>
  <c r="X929" i="1"/>
  <c r="H930" i="1"/>
  <c r="Q930" i="1"/>
  <c r="Y930" i="1"/>
  <c r="H931" i="1"/>
  <c r="S931" i="1" s="1"/>
  <c r="T931" i="1" s="1"/>
  <c r="Q931" i="1"/>
  <c r="Y931" i="1"/>
  <c r="H932" i="1"/>
  <c r="R932" i="1" s="1"/>
  <c r="Q932" i="1"/>
  <c r="X932" i="1"/>
  <c r="H933" i="1"/>
  <c r="Q933" i="1"/>
  <c r="Y933" i="1"/>
  <c r="H934" i="1"/>
  <c r="S934" i="1" s="1"/>
  <c r="T934" i="1" s="1"/>
  <c r="Q934" i="1"/>
  <c r="Y934" i="1"/>
  <c r="H935" i="1"/>
  <c r="S935" i="1" s="1"/>
  <c r="T935" i="1" s="1"/>
  <c r="Q935" i="1"/>
  <c r="H936" i="1"/>
  <c r="S936" i="1" s="1"/>
  <c r="T936" i="1" s="1"/>
  <c r="Q936" i="1"/>
  <c r="X936" i="1"/>
  <c r="H937" i="1"/>
  <c r="R937" i="1" s="1"/>
  <c r="Q937" i="1"/>
  <c r="H938" i="1"/>
  <c r="S938" i="1" s="1"/>
  <c r="T938" i="1" s="1"/>
  <c r="Q938" i="1"/>
  <c r="X938" i="1"/>
  <c r="H939" i="1"/>
  <c r="Q939" i="1"/>
  <c r="X939" i="1"/>
  <c r="H940" i="1"/>
  <c r="S940" i="1" s="1"/>
  <c r="T940" i="1" s="1"/>
  <c r="Q940" i="1"/>
  <c r="H941" i="1"/>
  <c r="R941" i="1" s="1"/>
  <c r="Q941" i="1"/>
  <c r="Y941" i="1"/>
  <c r="H942" i="1"/>
  <c r="R942" i="1" s="1"/>
  <c r="Q942" i="1"/>
  <c r="H943" i="1"/>
  <c r="Q943" i="1"/>
  <c r="Y943" i="1"/>
  <c r="H944" i="1"/>
  <c r="Q944" i="1"/>
  <c r="Y944" i="1"/>
  <c r="H945" i="1"/>
  <c r="R945" i="1" s="1"/>
  <c r="Q945" i="1"/>
  <c r="X945" i="1"/>
  <c r="H946" i="1"/>
  <c r="S946" i="1" s="1"/>
  <c r="T946" i="1" s="1"/>
  <c r="Q946" i="1"/>
  <c r="Y946" i="1"/>
  <c r="H947" i="1"/>
  <c r="R947" i="1" s="1"/>
  <c r="Q947" i="1"/>
  <c r="X947" i="1"/>
  <c r="H948" i="1"/>
  <c r="S948" i="1" s="1"/>
  <c r="T948" i="1" s="1"/>
  <c r="Q948" i="1"/>
  <c r="Y948" i="1"/>
  <c r="H949" i="1"/>
  <c r="R949" i="1" s="1"/>
  <c r="Q949" i="1"/>
  <c r="X949" i="1"/>
  <c r="H950" i="1"/>
  <c r="R950" i="1" s="1"/>
  <c r="Q950" i="1"/>
  <c r="X950" i="1"/>
  <c r="H951" i="1"/>
  <c r="S951" i="1" s="1"/>
  <c r="T951" i="1" s="1"/>
  <c r="Q951" i="1"/>
  <c r="X951" i="1"/>
  <c r="H952" i="1"/>
  <c r="Q952" i="1"/>
  <c r="Y952" i="1"/>
  <c r="H953" i="1"/>
  <c r="R953" i="1" s="1"/>
  <c r="Q953" i="1"/>
  <c r="X953" i="1"/>
  <c r="H954" i="1"/>
  <c r="S954" i="1" s="1"/>
  <c r="T954" i="1" s="1"/>
  <c r="Q954" i="1"/>
  <c r="Y954" i="1"/>
  <c r="H955" i="1"/>
  <c r="R955" i="1" s="1"/>
  <c r="Q955" i="1"/>
  <c r="H956" i="1"/>
  <c r="S956" i="1" s="1"/>
  <c r="T956" i="1" s="1"/>
  <c r="Q956" i="1"/>
  <c r="X956" i="1"/>
  <c r="H957" i="1"/>
  <c r="R957" i="1" s="1"/>
  <c r="Q957" i="1"/>
  <c r="X957" i="1"/>
  <c r="H958" i="1"/>
  <c r="Q958" i="1"/>
  <c r="X958" i="1"/>
  <c r="H959" i="1"/>
  <c r="S959" i="1" s="1"/>
  <c r="T959" i="1" s="1"/>
  <c r="Q959" i="1"/>
  <c r="X959" i="1"/>
  <c r="H960" i="1"/>
  <c r="Q960" i="1"/>
  <c r="Y960" i="1"/>
  <c r="H961" i="1"/>
  <c r="R961" i="1" s="1"/>
  <c r="Q961" i="1"/>
  <c r="X961" i="1"/>
  <c r="H962" i="1"/>
  <c r="Q962" i="1"/>
  <c r="Y962" i="1"/>
  <c r="H963" i="1"/>
  <c r="R963" i="1" s="1"/>
  <c r="Q963" i="1"/>
  <c r="H964" i="1"/>
  <c r="S964" i="1" s="1"/>
  <c r="T964" i="1" s="1"/>
  <c r="Q964" i="1"/>
  <c r="Y964" i="1"/>
  <c r="H965" i="1"/>
  <c r="R965" i="1" s="1"/>
  <c r="Q965" i="1"/>
  <c r="X965" i="1"/>
  <c r="H966" i="1"/>
  <c r="R966" i="1" s="1"/>
  <c r="Q966" i="1"/>
  <c r="X966" i="1"/>
  <c r="H967" i="1"/>
  <c r="S967" i="1" s="1"/>
  <c r="T967" i="1" s="1"/>
  <c r="Q967" i="1"/>
  <c r="X967" i="1"/>
  <c r="H968" i="1"/>
  <c r="Q968" i="1"/>
  <c r="Y968" i="1"/>
  <c r="H969" i="1"/>
  <c r="R969" i="1" s="1"/>
  <c r="Q969" i="1"/>
  <c r="Y969" i="1"/>
  <c r="H970" i="1"/>
  <c r="S970" i="1" s="1"/>
  <c r="T970" i="1" s="1"/>
  <c r="Q970" i="1"/>
  <c r="Y970" i="1"/>
  <c r="H971" i="1"/>
  <c r="R971" i="1" s="1"/>
  <c r="Q971" i="1"/>
  <c r="X971" i="1"/>
  <c r="H972" i="1"/>
  <c r="S972" i="1" s="1"/>
  <c r="T972" i="1" s="1"/>
  <c r="Q972" i="1"/>
  <c r="X972" i="1"/>
  <c r="H973" i="1"/>
  <c r="S973" i="1" s="1"/>
  <c r="T973" i="1" s="1"/>
  <c r="Q973" i="1"/>
  <c r="X973" i="1"/>
  <c r="H974" i="1"/>
  <c r="Q974" i="1"/>
  <c r="X974" i="1"/>
  <c r="H975" i="1"/>
  <c r="S975" i="1" s="1"/>
  <c r="T975" i="1" s="1"/>
  <c r="Q975" i="1"/>
  <c r="Y975" i="1"/>
  <c r="H976" i="1"/>
  <c r="R976" i="1" s="1"/>
  <c r="Q976" i="1"/>
  <c r="X976" i="1"/>
  <c r="H977" i="1"/>
  <c r="R977" i="1" s="1"/>
  <c r="Q977" i="1"/>
  <c r="X977" i="1"/>
  <c r="H978" i="1"/>
  <c r="R978" i="1" s="1"/>
  <c r="Q978" i="1"/>
  <c r="Y978" i="1"/>
  <c r="H979" i="1"/>
  <c r="R979" i="1" s="1"/>
  <c r="Q979" i="1"/>
  <c r="X979" i="1"/>
  <c r="H980" i="1"/>
  <c r="S980" i="1" s="1"/>
  <c r="T980" i="1" s="1"/>
  <c r="Q980" i="1"/>
  <c r="X980" i="1"/>
  <c r="H981" i="1"/>
  <c r="S981" i="1" s="1"/>
  <c r="T981" i="1" s="1"/>
  <c r="Q981" i="1"/>
  <c r="X981" i="1"/>
  <c r="H982" i="1"/>
  <c r="S982" i="1" s="1"/>
  <c r="T982" i="1" s="1"/>
  <c r="Q982" i="1"/>
  <c r="Y982" i="1"/>
  <c r="H983" i="1"/>
  <c r="R983" i="1" s="1"/>
  <c r="Q983" i="1"/>
  <c r="X983" i="1"/>
  <c r="H984" i="1"/>
  <c r="S984" i="1" s="1"/>
  <c r="T984" i="1" s="1"/>
  <c r="Q984" i="1"/>
  <c r="X984" i="1"/>
  <c r="H985" i="1"/>
  <c r="R985" i="1" s="1"/>
  <c r="Q985" i="1"/>
  <c r="X985" i="1"/>
  <c r="H986" i="1"/>
  <c r="R986" i="1" s="1"/>
  <c r="Q986" i="1"/>
  <c r="Y986" i="1"/>
  <c r="H987" i="1"/>
  <c r="R987" i="1" s="1"/>
  <c r="Q987" i="1"/>
  <c r="X987" i="1"/>
  <c r="H988" i="1"/>
  <c r="R988" i="1" s="1"/>
  <c r="Q988" i="1"/>
  <c r="X988" i="1"/>
  <c r="H989" i="1"/>
  <c r="R989" i="1" s="1"/>
  <c r="Q989" i="1"/>
  <c r="X989" i="1"/>
  <c r="H990" i="1"/>
  <c r="S990" i="1" s="1"/>
  <c r="T990" i="1" s="1"/>
  <c r="Q990" i="1"/>
  <c r="Y990" i="1"/>
  <c r="H991" i="1"/>
  <c r="R991" i="1" s="1"/>
  <c r="Q991" i="1"/>
  <c r="X991" i="1"/>
  <c r="H992" i="1"/>
  <c r="S992" i="1" s="1"/>
  <c r="T992" i="1" s="1"/>
  <c r="Q992" i="1"/>
  <c r="X992" i="1"/>
  <c r="H993" i="1"/>
  <c r="S993" i="1" s="1"/>
  <c r="T993" i="1" s="1"/>
  <c r="Q993" i="1"/>
  <c r="X993" i="1"/>
  <c r="H994" i="1"/>
  <c r="S994" i="1" s="1"/>
  <c r="T994" i="1" s="1"/>
  <c r="Q994" i="1"/>
  <c r="Y994" i="1"/>
  <c r="H995" i="1"/>
  <c r="R995" i="1" s="1"/>
  <c r="Q995" i="1"/>
  <c r="X995" i="1"/>
  <c r="H996" i="1"/>
  <c r="R996" i="1" s="1"/>
  <c r="Q996" i="1"/>
  <c r="X996" i="1"/>
  <c r="H997" i="1"/>
  <c r="R997" i="1" s="1"/>
  <c r="Q997" i="1"/>
  <c r="X997" i="1"/>
  <c r="H998" i="1"/>
  <c r="S998" i="1" s="1"/>
  <c r="T998" i="1" s="1"/>
  <c r="Q998" i="1"/>
  <c r="Y998" i="1"/>
  <c r="H999" i="1"/>
  <c r="R999" i="1" s="1"/>
  <c r="Q999" i="1"/>
  <c r="X999" i="1"/>
  <c r="H1000" i="1"/>
  <c r="S1000" i="1" s="1"/>
  <c r="T1000" i="1" s="1"/>
  <c r="Q1000" i="1"/>
  <c r="X1000" i="1"/>
  <c r="H1001" i="1"/>
  <c r="R1001" i="1" s="1"/>
  <c r="Q1001" i="1"/>
  <c r="X1001" i="1"/>
  <c r="H1002" i="1"/>
  <c r="R1002" i="1" s="1"/>
  <c r="Q1002" i="1"/>
  <c r="Y1002" i="1"/>
  <c r="H1003" i="1"/>
  <c r="R1003" i="1" s="1"/>
  <c r="Q1003" i="1"/>
  <c r="Y1003" i="1"/>
  <c r="H1004" i="1"/>
  <c r="R1004" i="1" s="1"/>
  <c r="Q1004" i="1"/>
  <c r="X1004" i="1"/>
  <c r="H1005" i="1"/>
  <c r="S1005" i="1" s="1"/>
  <c r="T1005" i="1" s="1"/>
  <c r="Q1005" i="1"/>
  <c r="X1005" i="1"/>
  <c r="H1006" i="1"/>
  <c r="S1006" i="1" s="1"/>
  <c r="T1006" i="1" s="1"/>
  <c r="Q1006" i="1"/>
  <c r="Y1006" i="1"/>
  <c r="H1007" i="1"/>
  <c r="R1007" i="1" s="1"/>
  <c r="Q1007" i="1"/>
  <c r="X1007" i="1"/>
  <c r="H1008" i="1"/>
  <c r="S1008" i="1" s="1"/>
  <c r="T1008" i="1" s="1"/>
  <c r="Q1008" i="1"/>
  <c r="X1008" i="1"/>
  <c r="H1009" i="1"/>
  <c r="R1009" i="1" s="1"/>
  <c r="Q1009" i="1"/>
  <c r="X1009" i="1"/>
  <c r="H1010" i="1"/>
  <c r="R1010" i="1" s="1"/>
  <c r="Q1010" i="1"/>
  <c r="Y1010" i="1"/>
  <c r="H1011" i="1"/>
  <c r="R1011" i="1" s="1"/>
  <c r="Q1011" i="1"/>
  <c r="X1011" i="1"/>
  <c r="H1012" i="1"/>
  <c r="R1012" i="1" s="1"/>
  <c r="Q1012" i="1"/>
  <c r="X1012" i="1"/>
  <c r="N5137" i="6"/>
  <c r="N5138" i="6"/>
  <c r="N5136" i="6"/>
  <c r="Y873" i="1"/>
  <c r="Q873" i="1"/>
  <c r="H873" i="1"/>
  <c r="Y872" i="1"/>
  <c r="Q872" i="1"/>
  <c r="H872" i="1"/>
  <c r="Y871" i="1"/>
  <c r="Q871" i="1"/>
  <c r="H871" i="1"/>
  <c r="Y870" i="1"/>
  <c r="Q870" i="1"/>
  <c r="H870" i="1"/>
  <c r="S870" i="1" s="1"/>
  <c r="T870" i="1" s="1"/>
  <c r="Y869" i="1"/>
  <c r="Q869" i="1"/>
  <c r="H869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Y862" i="1"/>
  <c r="Q862" i="1"/>
  <c r="H862" i="1"/>
  <c r="Y854" i="1"/>
  <c r="Q854" i="1"/>
  <c r="H854" i="1"/>
  <c r="R854" i="1" s="1"/>
  <c r="Y853" i="1"/>
  <c r="Q853" i="1"/>
  <c r="H853" i="1"/>
  <c r="Y852" i="1"/>
  <c r="Q852" i="1"/>
  <c r="H852" i="1"/>
  <c r="S852" i="1" s="1"/>
  <c r="T852" i="1" s="1"/>
  <c r="Y851" i="1"/>
  <c r="Q851" i="1"/>
  <c r="H851" i="1"/>
  <c r="R851" i="1" s="1"/>
  <c r="Y850" i="1"/>
  <c r="Q850" i="1"/>
  <c r="H850" i="1"/>
  <c r="Y849" i="1"/>
  <c r="Q849" i="1"/>
  <c r="H849" i="1"/>
  <c r="S849" i="1" s="1"/>
  <c r="T849" i="1" s="1"/>
  <c r="Y848" i="1"/>
  <c r="Q848" i="1"/>
  <c r="H848" i="1"/>
  <c r="S848" i="1" s="1"/>
  <c r="T848" i="1" s="1"/>
  <c r="Y847" i="1"/>
  <c r="Q847" i="1"/>
  <c r="H847" i="1"/>
  <c r="Y845" i="1"/>
  <c r="Q845" i="1"/>
  <c r="H845" i="1"/>
  <c r="S845" i="1" s="1"/>
  <c r="T845" i="1" s="1"/>
  <c r="Y843" i="1"/>
  <c r="Q843" i="1"/>
  <c r="H843" i="1"/>
  <c r="Y842" i="1"/>
  <c r="Q842" i="1"/>
  <c r="H842" i="1"/>
  <c r="S842" i="1" s="1"/>
  <c r="T842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S933" i="1" l="1"/>
  <c r="T933" i="1" s="1"/>
  <c r="R933" i="1"/>
  <c r="Z776" i="1"/>
  <c r="S622" i="1"/>
  <c r="T622" i="1" s="1"/>
  <c r="R622" i="1"/>
  <c r="R1045" i="1"/>
  <c r="S1045" i="1"/>
  <c r="T1045" i="1" s="1"/>
  <c r="X1045" i="1"/>
  <c r="Z1045" i="1" s="1"/>
  <c r="R1044" i="1"/>
  <c r="X1044" i="1"/>
  <c r="Z1044" i="1" s="1"/>
  <c r="R1043" i="1"/>
  <c r="S1043" i="1"/>
  <c r="T1043" i="1" s="1"/>
  <c r="X1043" i="1"/>
  <c r="Z1043" i="1" s="1"/>
  <c r="R1042" i="1"/>
  <c r="X1042" i="1"/>
  <c r="Z1042" i="1" s="1"/>
  <c r="R1041" i="1"/>
  <c r="X1041" i="1"/>
  <c r="Z1041" i="1" s="1"/>
  <c r="R1040" i="1"/>
  <c r="X1040" i="1"/>
  <c r="Z1040" i="1" s="1"/>
  <c r="R1039" i="1"/>
  <c r="S1039" i="1"/>
  <c r="T1039" i="1" s="1"/>
  <c r="X1039" i="1"/>
  <c r="Z1039" i="1" s="1"/>
  <c r="R1038" i="1"/>
  <c r="S1038" i="1"/>
  <c r="T1038" i="1" s="1"/>
  <c r="X1038" i="1"/>
  <c r="Z1038" i="1" s="1"/>
  <c r="R1037" i="1"/>
  <c r="S1037" i="1"/>
  <c r="T1037" i="1" s="1"/>
  <c r="X1037" i="1"/>
  <c r="Z1037" i="1" s="1"/>
  <c r="S1036" i="1"/>
  <c r="T1036" i="1" s="1"/>
  <c r="X1036" i="1"/>
  <c r="Z1036" i="1" s="1"/>
  <c r="S1035" i="1"/>
  <c r="T1035" i="1" s="1"/>
  <c r="X1035" i="1"/>
  <c r="Z1035" i="1" s="1"/>
  <c r="S1014" i="1"/>
  <c r="T1014" i="1" s="1"/>
  <c r="Z1014" i="1"/>
  <c r="Y1014" i="1"/>
  <c r="R1034" i="1"/>
  <c r="X1034" i="1"/>
  <c r="Z1034" i="1" s="1"/>
  <c r="X1027" i="1"/>
  <c r="Z1027" i="1" s="1"/>
  <c r="X1028" i="1"/>
  <c r="Z1028" i="1" s="1"/>
  <c r="X1026" i="1"/>
  <c r="Z1026" i="1" s="1"/>
  <c r="X1030" i="1"/>
  <c r="Z1030" i="1" s="1"/>
  <c r="X1025" i="1"/>
  <c r="Z1025" i="1" s="1"/>
  <c r="X1033" i="1"/>
  <c r="Z1033" i="1" s="1"/>
  <c r="X1024" i="1"/>
  <c r="Z1024" i="1" s="1"/>
  <c r="R1026" i="1"/>
  <c r="X1032" i="1"/>
  <c r="Z1032" i="1" s="1"/>
  <c r="X1031" i="1"/>
  <c r="Z1031" i="1" s="1"/>
  <c r="R1033" i="1"/>
  <c r="S1032" i="1"/>
  <c r="T1032" i="1" s="1"/>
  <c r="R1031" i="1"/>
  <c r="R1030" i="1"/>
  <c r="X1029" i="1"/>
  <c r="Z1029" i="1" s="1"/>
  <c r="S1029" i="1"/>
  <c r="T1029" i="1" s="1"/>
  <c r="S1028" i="1"/>
  <c r="T1028" i="1" s="1"/>
  <c r="S1027" i="1"/>
  <c r="T1027" i="1" s="1"/>
  <c r="S1025" i="1"/>
  <c r="T1025" i="1" s="1"/>
  <c r="R1024" i="1"/>
  <c r="X1023" i="1"/>
  <c r="Z1023" i="1" s="1"/>
  <c r="S1023" i="1"/>
  <c r="T1023" i="1" s="1"/>
  <c r="R1021" i="1"/>
  <c r="X1019" i="1"/>
  <c r="Z1019" i="1" s="1"/>
  <c r="R59" i="1"/>
  <c r="X1022" i="1"/>
  <c r="Z1022" i="1" s="1"/>
  <c r="S82" i="1"/>
  <c r="T82" i="1" s="1"/>
  <c r="X1021" i="1"/>
  <c r="Z1021" i="1" s="1"/>
  <c r="R1022" i="1"/>
  <c r="X1020" i="1"/>
  <c r="Z1020" i="1" s="1"/>
  <c r="S1020" i="1"/>
  <c r="T1020" i="1" s="1"/>
  <c r="S1019" i="1"/>
  <c r="T1019" i="1" s="1"/>
  <c r="R83" i="1"/>
  <c r="Z47" i="1"/>
  <c r="AI47" i="1" s="1"/>
  <c r="Z41" i="1"/>
  <c r="AI41" i="1" s="1"/>
  <c r="R50" i="1"/>
  <c r="S787" i="1"/>
  <c r="T787" i="1" s="1"/>
  <c r="X948" i="1"/>
  <c r="Z948" i="1" s="1"/>
  <c r="X978" i="1"/>
  <c r="Z978" i="1" s="1"/>
  <c r="X839" i="1"/>
  <c r="Z839" i="1" s="1"/>
  <c r="R42" i="1"/>
  <c r="S93" i="1"/>
  <c r="T93" i="1" s="1"/>
  <c r="X1003" i="1"/>
  <c r="Z1003" i="1" s="1"/>
  <c r="Z887" i="1"/>
  <c r="R946" i="1"/>
  <c r="Z938" i="1"/>
  <c r="X867" i="1"/>
  <c r="Z867" i="1" s="1"/>
  <c r="S829" i="1"/>
  <c r="T829" i="1" s="1"/>
  <c r="Z805" i="1"/>
  <c r="R66" i="1"/>
  <c r="X611" i="1"/>
  <c r="Z611" i="1" s="1"/>
  <c r="R58" i="1"/>
  <c r="X1018" i="1"/>
  <c r="Z1018" i="1" s="1"/>
  <c r="R934" i="1"/>
  <c r="X1017" i="1"/>
  <c r="Z1017" i="1" s="1"/>
  <c r="Z858" i="1"/>
  <c r="Z787" i="1"/>
  <c r="X1016" i="1"/>
  <c r="Z1016" i="1" s="1"/>
  <c r="R123" i="1"/>
  <c r="S859" i="1"/>
  <c r="T859" i="1" s="1"/>
  <c r="Y797" i="1"/>
  <c r="S98" i="1"/>
  <c r="T98" i="1" s="1"/>
  <c r="R51" i="1"/>
  <c r="R1017" i="1"/>
  <c r="R1018" i="1"/>
  <c r="S1016" i="1"/>
  <c r="T1016" i="1" s="1"/>
  <c r="X990" i="1"/>
  <c r="Z990" i="1" s="1"/>
  <c r="Z989" i="1"/>
  <c r="R890" i="1"/>
  <c r="S887" i="1"/>
  <c r="T887" i="1" s="1"/>
  <c r="S841" i="1"/>
  <c r="T841" i="1" s="1"/>
  <c r="X146" i="1"/>
  <c r="Z146" i="1" s="1"/>
  <c r="AI146" i="1" s="1"/>
  <c r="Z69" i="1"/>
  <c r="AI69" i="1" s="1"/>
  <c r="Z974" i="1"/>
  <c r="Z953" i="1"/>
  <c r="Z947" i="1"/>
  <c r="Z838" i="1"/>
  <c r="Y448" i="1"/>
  <c r="S69" i="1"/>
  <c r="T69" i="1" s="1"/>
  <c r="Z108" i="1"/>
  <c r="AI108" i="1" s="1"/>
  <c r="S885" i="1"/>
  <c r="T885" i="1" s="1"/>
  <c r="Y777" i="1"/>
  <c r="R111" i="1"/>
  <c r="Z42" i="1"/>
  <c r="AI42" i="1" s="1"/>
  <c r="Z985" i="1"/>
  <c r="Z976" i="1"/>
  <c r="Y860" i="1"/>
  <c r="Y814" i="1"/>
  <c r="S90" i="1"/>
  <c r="T90" i="1" s="1"/>
  <c r="S985" i="1"/>
  <c r="T985" i="1" s="1"/>
  <c r="R982" i="1"/>
  <c r="S976" i="1"/>
  <c r="T976" i="1" s="1"/>
  <c r="R973" i="1"/>
  <c r="X615" i="1"/>
  <c r="Z615" i="1" s="1"/>
  <c r="R149" i="1"/>
  <c r="S136" i="1"/>
  <c r="T136" i="1" s="1"/>
  <c r="R119" i="1"/>
  <c r="S105" i="1"/>
  <c r="T105" i="1" s="1"/>
  <c r="Z68" i="1"/>
  <c r="AI68" i="1" s="1"/>
  <c r="Z38" i="1"/>
  <c r="AI38" i="1" s="1"/>
  <c r="S1002" i="1"/>
  <c r="T1002" i="1" s="1"/>
  <c r="Z825" i="1"/>
  <c r="X801" i="1"/>
  <c r="Z801" i="1" s="1"/>
  <c r="AI801" i="1" s="1"/>
  <c r="Z143" i="1"/>
  <c r="AI143" i="1" s="1"/>
  <c r="Y139" i="1"/>
  <c r="S130" i="1"/>
  <c r="T130" i="1" s="1"/>
  <c r="S114" i="1"/>
  <c r="T114" i="1" s="1"/>
  <c r="Z112" i="1"/>
  <c r="AI112" i="1" s="1"/>
  <c r="Y108" i="1"/>
  <c r="R618" i="1"/>
  <c r="R617" i="1"/>
  <c r="Y144" i="1"/>
  <c r="Z973" i="1"/>
  <c r="Z958" i="1"/>
  <c r="S947" i="1"/>
  <c r="T947" i="1" s="1"/>
  <c r="R938" i="1"/>
  <c r="R935" i="1"/>
  <c r="Z888" i="1"/>
  <c r="R828" i="1"/>
  <c r="S827" i="1"/>
  <c r="T827" i="1" s="1"/>
  <c r="Z820" i="1"/>
  <c r="X812" i="1"/>
  <c r="Z812" i="1" s="1"/>
  <c r="Y133" i="1"/>
  <c r="S100" i="1"/>
  <c r="T100" i="1" s="1"/>
  <c r="R78" i="1"/>
  <c r="Y822" i="1"/>
  <c r="Y782" i="1"/>
  <c r="R74" i="1"/>
  <c r="R67" i="1"/>
  <c r="Z45" i="1"/>
  <c r="AI45" i="1" s="1"/>
  <c r="S974" i="1"/>
  <c r="T974" i="1" s="1"/>
  <c r="Y966" i="1"/>
  <c r="Y791" i="1"/>
  <c r="X618" i="1"/>
  <c r="Z618" i="1" s="1"/>
  <c r="Y617" i="1"/>
  <c r="X610" i="1"/>
  <c r="Z610" i="1" s="1"/>
  <c r="Y443" i="1"/>
  <c r="Y92" i="1"/>
  <c r="R54" i="1"/>
  <c r="S1007" i="1"/>
  <c r="T1007" i="1" s="1"/>
  <c r="Z984" i="1"/>
  <c r="R974" i="1"/>
  <c r="X943" i="1"/>
  <c r="Z943" i="1" s="1"/>
  <c r="Z901" i="1"/>
  <c r="Y878" i="1"/>
  <c r="S868" i="1"/>
  <c r="T868" i="1" s="1"/>
  <c r="S830" i="1"/>
  <c r="T830" i="1" s="1"/>
  <c r="Z827" i="1"/>
  <c r="S825" i="1"/>
  <c r="T825" i="1" s="1"/>
  <c r="Z804" i="1"/>
  <c r="AI804" i="1" s="1"/>
  <c r="S777" i="1"/>
  <c r="T777" i="1" s="1"/>
  <c r="X127" i="1"/>
  <c r="Z127" i="1" s="1"/>
  <c r="AI127" i="1" s="1"/>
  <c r="S110" i="1"/>
  <c r="T110" i="1" s="1"/>
  <c r="R101" i="1"/>
  <c r="Z88" i="1"/>
  <c r="AI88" i="1" s="1"/>
  <c r="Z1008" i="1"/>
  <c r="R984" i="1"/>
  <c r="X931" i="1"/>
  <c r="Z931" i="1" s="1"/>
  <c r="S901" i="1"/>
  <c r="T901" i="1" s="1"/>
  <c r="X896" i="1"/>
  <c r="Z896" i="1" s="1"/>
  <c r="Z877" i="1"/>
  <c r="Y827" i="1"/>
  <c r="R804" i="1"/>
  <c r="Y796" i="1"/>
  <c r="S794" i="1"/>
  <c r="T794" i="1" s="1"/>
  <c r="Z785" i="1"/>
  <c r="R781" i="1"/>
  <c r="R145" i="1"/>
  <c r="S138" i="1"/>
  <c r="T138" i="1" s="1"/>
  <c r="S118" i="1"/>
  <c r="T118" i="1" s="1"/>
  <c r="Z116" i="1"/>
  <c r="AI116" i="1" s="1"/>
  <c r="Y71" i="1"/>
  <c r="Z46" i="1"/>
  <c r="AI46" i="1" s="1"/>
  <c r="R1008" i="1"/>
  <c r="R865" i="1"/>
  <c r="S816" i="1"/>
  <c r="T816" i="1" s="1"/>
  <c r="R106" i="1"/>
  <c r="S99" i="1"/>
  <c r="T99" i="1" s="1"/>
  <c r="S92" i="1"/>
  <c r="T92" i="1" s="1"/>
  <c r="R55" i="1"/>
  <c r="R46" i="1"/>
  <c r="Y992" i="1"/>
  <c r="Z448" i="1"/>
  <c r="AI448" i="1" s="1"/>
  <c r="Y88" i="1"/>
  <c r="Z965" i="1"/>
  <c r="S958" i="1"/>
  <c r="T958" i="1" s="1"/>
  <c r="R940" i="1"/>
  <c r="Z895" i="1"/>
  <c r="X137" i="1"/>
  <c r="Z137" i="1" s="1"/>
  <c r="AI137" i="1" s="1"/>
  <c r="X131" i="1"/>
  <c r="Z131" i="1" s="1"/>
  <c r="AI131" i="1" s="1"/>
  <c r="Y128" i="1"/>
  <c r="R112" i="1"/>
  <c r="R107" i="1"/>
  <c r="Z1009" i="1"/>
  <c r="Z997" i="1"/>
  <c r="X994" i="1"/>
  <c r="Z994" i="1" s="1"/>
  <c r="Z993" i="1"/>
  <c r="S986" i="1"/>
  <c r="T986" i="1" s="1"/>
  <c r="Y979" i="1"/>
  <c r="S977" i="1"/>
  <c r="T977" i="1" s="1"/>
  <c r="Z972" i="1"/>
  <c r="S969" i="1"/>
  <c r="T969" i="1" s="1"/>
  <c r="S965" i="1"/>
  <c r="T965" i="1" s="1"/>
  <c r="R964" i="1"/>
  <c r="Z956" i="1"/>
  <c r="Z949" i="1"/>
  <c r="R936" i="1"/>
  <c r="S895" i="1"/>
  <c r="T895" i="1" s="1"/>
  <c r="X883" i="1"/>
  <c r="Z883" i="1" s="1"/>
  <c r="Y879" i="1"/>
  <c r="R877" i="1"/>
  <c r="Z866" i="1"/>
  <c r="Z828" i="1"/>
  <c r="Z813" i="1"/>
  <c r="Y807" i="1"/>
  <c r="S801" i="1"/>
  <c r="T801" i="1" s="1"/>
  <c r="Z797" i="1"/>
  <c r="Z92" i="1"/>
  <c r="AI92" i="1" s="1"/>
  <c r="S84" i="1"/>
  <c r="T84" i="1" s="1"/>
  <c r="Z71" i="1"/>
  <c r="AI71" i="1" s="1"/>
  <c r="S38" i="1"/>
  <c r="T38" i="1" s="1"/>
  <c r="S1009" i="1"/>
  <c r="T1009" i="1" s="1"/>
  <c r="X1006" i="1"/>
  <c r="Z1006" i="1" s="1"/>
  <c r="S997" i="1"/>
  <c r="T997" i="1" s="1"/>
  <c r="R993" i="1"/>
  <c r="Y967" i="1"/>
  <c r="Y956" i="1"/>
  <c r="S945" i="1"/>
  <c r="T945" i="1" s="1"/>
  <c r="S941" i="1"/>
  <c r="T941" i="1" s="1"/>
  <c r="S937" i="1"/>
  <c r="T937" i="1" s="1"/>
  <c r="X930" i="1"/>
  <c r="Z930" i="1" s="1"/>
  <c r="Z929" i="1"/>
  <c r="X823" i="1"/>
  <c r="Z823" i="1" s="1"/>
  <c r="S813" i="1"/>
  <c r="T813" i="1" s="1"/>
  <c r="S797" i="1"/>
  <c r="T797" i="1" s="1"/>
  <c r="X790" i="1"/>
  <c r="Z790" i="1" s="1"/>
  <c r="X612" i="1"/>
  <c r="Z612" i="1" s="1"/>
  <c r="R450" i="1"/>
  <c r="S447" i="1"/>
  <c r="T447" i="1" s="1"/>
  <c r="X445" i="1"/>
  <c r="Z445" i="1" s="1"/>
  <c r="AI445" i="1" s="1"/>
  <c r="Y143" i="1"/>
  <c r="S134" i="1"/>
  <c r="T134" i="1" s="1"/>
  <c r="Y126" i="1"/>
  <c r="Z93" i="1"/>
  <c r="AI93" i="1" s="1"/>
  <c r="Z81" i="1"/>
  <c r="AI81" i="1" s="1"/>
  <c r="X1002" i="1"/>
  <c r="Z1002" i="1" s="1"/>
  <c r="Y995" i="1"/>
  <c r="Y957" i="1"/>
  <c r="X884" i="1"/>
  <c r="Z884" i="1" s="1"/>
  <c r="Y880" i="1"/>
  <c r="Y837" i="1"/>
  <c r="S821" i="1"/>
  <c r="T821" i="1" s="1"/>
  <c r="X808" i="1"/>
  <c r="Z808" i="1" s="1"/>
  <c r="Y804" i="1"/>
  <c r="R798" i="1"/>
  <c r="S786" i="1"/>
  <c r="T786" i="1" s="1"/>
  <c r="S620" i="1"/>
  <c r="T620" i="1" s="1"/>
  <c r="R609" i="1"/>
  <c r="S606" i="1"/>
  <c r="T606" i="1" s="1"/>
  <c r="X132" i="1"/>
  <c r="Z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81" i="1"/>
  <c r="Z879" i="1"/>
  <c r="R875" i="1"/>
  <c r="Y866" i="1"/>
  <c r="Z857" i="1"/>
  <c r="Z777" i="1"/>
  <c r="S610" i="1"/>
  <c r="T610" i="1" s="1"/>
  <c r="S121" i="1"/>
  <c r="T121" i="1" s="1"/>
  <c r="Z89" i="1"/>
  <c r="AI89" i="1" s="1"/>
  <c r="Z72" i="1"/>
  <c r="AI72" i="1" s="1"/>
  <c r="R1006" i="1"/>
  <c r="S983" i="1"/>
  <c r="T983" i="1" s="1"/>
  <c r="Z980" i="1"/>
  <c r="Z971" i="1"/>
  <c r="Y899" i="1"/>
  <c r="Z880" i="1"/>
  <c r="R857" i="1"/>
  <c r="R780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1000" i="1"/>
  <c r="Z885" i="1"/>
  <c r="Y820" i="1"/>
  <c r="Y817" i="1"/>
  <c r="X798" i="1"/>
  <c r="Z798" i="1" s="1"/>
  <c r="AI798" i="1" s="1"/>
  <c r="R776" i="1"/>
  <c r="Z617" i="1"/>
  <c r="R613" i="1"/>
  <c r="Z609" i="1"/>
  <c r="X604" i="1"/>
  <c r="Z604" i="1" s="1"/>
  <c r="AI604" i="1" s="1"/>
  <c r="Y444" i="1"/>
  <c r="S152" i="1"/>
  <c r="T152" i="1" s="1"/>
  <c r="Y100" i="1"/>
  <c r="R89" i="1"/>
  <c r="R1005" i="1"/>
  <c r="R994" i="1"/>
  <c r="R981" i="1"/>
  <c r="Z966" i="1"/>
  <c r="Y940" i="1"/>
  <c r="X940" i="1"/>
  <c r="Z940" i="1" s="1"/>
  <c r="S858" i="1"/>
  <c r="T858" i="1" s="1"/>
  <c r="R858" i="1"/>
  <c r="S839" i="1"/>
  <c r="T839" i="1" s="1"/>
  <c r="R836" i="1"/>
  <c r="S835" i="1"/>
  <c r="T835" i="1" s="1"/>
  <c r="R835" i="1"/>
  <c r="S818" i="1"/>
  <c r="T818" i="1" s="1"/>
  <c r="R818" i="1"/>
  <c r="X806" i="1"/>
  <c r="Z806" i="1" s="1"/>
  <c r="Z803" i="1"/>
  <c r="AI803" i="1" s="1"/>
  <c r="R784" i="1"/>
  <c r="S784" i="1"/>
  <c r="T784" i="1" s="1"/>
  <c r="Y623" i="1"/>
  <c r="R615" i="1"/>
  <c r="S615" i="1"/>
  <c r="T615" i="1" s="1"/>
  <c r="R148" i="1"/>
  <c r="S148" i="1"/>
  <c r="T148" i="1" s="1"/>
  <c r="X140" i="1"/>
  <c r="Z140" i="1" s="1"/>
  <c r="AI140" i="1" s="1"/>
  <c r="Y140" i="1"/>
  <c r="S888" i="1"/>
  <c r="T888" i="1" s="1"/>
  <c r="S863" i="1"/>
  <c r="T863" i="1" s="1"/>
  <c r="Y858" i="1"/>
  <c r="X856" i="1"/>
  <c r="Z856" i="1" s="1"/>
  <c r="R839" i="1"/>
  <c r="S838" i="1"/>
  <c r="T838" i="1" s="1"/>
  <c r="R810" i="1"/>
  <c r="R803" i="1"/>
  <c r="R793" i="1"/>
  <c r="S789" i="1"/>
  <c r="T789" i="1" s="1"/>
  <c r="Y613" i="1"/>
  <c r="X613" i="1"/>
  <c r="Z613" i="1" s="1"/>
  <c r="Y451" i="1"/>
  <c r="X451" i="1"/>
  <c r="Z451" i="1" s="1"/>
  <c r="AI451" i="1" s="1"/>
  <c r="Y965" i="1"/>
  <c r="X962" i="1"/>
  <c r="Z962" i="1" s="1"/>
  <c r="Z961" i="1"/>
  <c r="R958" i="1"/>
  <c r="S957" i="1"/>
  <c r="T957" i="1" s="1"/>
  <c r="S955" i="1"/>
  <c r="T955" i="1" s="1"/>
  <c r="R954" i="1"/>
  <c r="S953" i="1"/>
  <c r="T953" i="1" s="1"/>
  <c r="S942" i="1"/>
  <c r="T942" i="1" s="1"/>
  <c r="X933" i="1"/>
  <c r="Z933" i="1" s="1"/>
  <c r="Y932" i="1"/>
  <c r="Y885" i="1"/>
  <c r="X1013" i="1"/>
  <c r="Z1013" i="1" s="1"/>
  <c r="Y865" i="1"/>
  <c r="X865" i="1"/>
  <c r="Z865" i="1" s="1"/>
  <c r="S864" i="1"/>
  <c r="T864" i="1" s="1"/>
  <c r="Y832" i="1"/>
  <c r="X832" i="1"/>
  <c r="Z832" i="1" s="1"/>
  <c r="Y830" i="1"/>
  <c r="Z830" i="1"/>
  <c r="S820" i="1"/>
  <c r="T820" i="1" s="1"/>
  <c r="R820" i="1"/>
  <c r="X818" i="1"/>
  <c r="Z818" i="1" s="1"/>
  <c r="S811" i="1"/>
  <c r="T811" i="1" s="1"/>
  <c r="S805" i="1"/>
  <c r="T805" i="1" s="1"/>
  <c r="Y800" i="1"/>
  <c r="X800" i="1"/>
  <c r="Z800" i="1" s="1"/>
  <c r="AI800" i="1" s="1"/>
  <c r="X147" i="1"/>
  <c r="Z147" i="1" s="1"/>
  <c r="AI147" i="1" s="1"/>
  <c r="Y147" i="1"/>
  <c r="R142" i="1"/>
  <c r="S142" i="1"/>
  <c r="T142" i="1" s="1"/>
  <c r="R140" i="1"/>
  <c r="S140" i="1"/>
  <c r="T140" i="1" s="1"/>
  <c r="S1010" i="1"/>
  <c r="T1010" i="1" s="1"/>
  <c r="Z1001" i="1"/>
  <c r="Z1000" i="1"/>
  <c r="S999" i="1"/>
  <c r="T999" i="1" s="1"/>
  <c r="R998" i="1"/>
  <c r="S989" i="1"/>
  <c r="T989" i="1" s="1"/>
  <c r="S971" i="1"/>
  <c r="T971" i="1" s="1"/>
  <c r="X964" i="1"/>
  <c r="Z964" i="1" s="1"/>
  <c r="S961" i="1"/>
  <c r="T961" i="1" s="1"/>
  <c r="S950" i="1"/>
  <c r="T950" i="1" s="1"/>
  <c r="S949" i="1"/>
  <c r="T949" i="1" s="1"/>
  <c r="Y938" i="1"/>
  <c r="Y936" i="1"/>
  <c r="S929" i="1"/>
  <c r="T929" i="1" s="1"/>
  <c r="Y894" i="1"/>
  <c r="R892" i="1"/>
  <c r="Y889" i="1"/>
  <c r="Y886" i="1"/>
  <c r="S879" i="1"/>
  <c r="T879" i="1" s="1"/>
  <c r="R867" i="1"/>
  <c r="R785" i="1"/>
  <c r="S785" i="1"/>
  <c r="T785" i="1" s="1"/>
  <c r="Y783" i="1"/>
  <c r="X783" i="1"/>
  <c r="Z783" i="1" s="1"/>
  <c r="R451" i="1"/>
  <c r="S451" i="1"/>
  <c r="T451" i="1" s="1"/>
  <c r="Y446" i="1"/>
  <c r="X446" i="1"/>
  <c r="Z446" i="1" s="1"/>
  <c r="AI446" i="1" s="1"/>
  <c r="S1001" i="1"/>
  <c r="T1001" i="1" s="1"/>
  <c r="R1000" i="1"/>
  <c r="Y987" i="1"/>
  <c r="X986" i="1"/>
  <c r="Z986" i="1" s="1"/>
  <c r="Z977" i="1"/>
  <c r="X975" i="1"/>
  <c r="Z975" i="1" s="1"/>
  <c r="Y974" i="1"/>
  <c r="R972" i="1"/>
  <c r="X969" i="1"/>
  <c r="Z969" i="1" s="1"/>
  <c r="Y959" i="1"/>
  <c r="Y958" i="1"/>
  <c r="R956" i="1"/>
  <c r="Y951" i="1"/>
  <c r="Z950" i="1"/>
  <c r="Y939" i="1"/>
  <c r="S898" i="1"/>
  <c r="T898" i="1" s="1"/>
  <c r="S893" i="1"/>
  <c r="T893" i="1" s="1"/>
  <c r="X890" i="1"/>
  <c r="Z890" i="1" s="1"/>
  <c r="Y888" i="1"/>
  <c r="Y887" i="1"/>
  <c r="X875" i="1"/>
  <c r="Z875" i="1" s="1"/>
  <c r="X874" i="1"/>
  <c r="Z874" i="1" s="1"/>
  <c r="S866" i="1"/>
  <c r="T866" i="1" s="1"/>
  <c r="Y861" i="1"/>
  <c r="X841" i="1"/>
  <c r="Z841" i="1" s="1"/>
  <c r="Y838" i="1"/>
  <c r="Z837" i="1"/>
  <c r="Y833" i="1"/>
  <c r="X833" i="1"/>
  <c r="Z833" i="1" s="1"/>
  <c r="Y828" i="1"/>
  <c r="Y809" i="1"/>
  <c r="S800" i="1"/>
  <c r="T800" i="1" s="1"/>
  <c r="R800" i="1"/>
  <c r="X620" i="1"/>
  <c r="Z620" i="1" s="1"/>
  <c r="Y620" i="1"/>
  <c r="X135" i="1"/>
  <c r="Z135" i="1" s="1"/>
  <c r="AI135" i="1" s="1"/>
  <c r="Y135" i="1"/>
  <c r="Z992" i="1"/>
  <c r="S991" i="1"/>
  <c r="T991" i="1" s="1"/>
  <c r="R990" i="1"/>
  <c r="Y984" i="1"/>
  <c r="X982" i="1"/>
  <c r="Z982" i="1" s="1"/>
  <c r="Y950" i="1"/>
  <c r="X946" i="1"/>
  <c r="Z946" i="1" s="1"/>
  <c r="X937" i="1"/>
  <c r="Z937" i="1" s="1"/>
  <c r="Y937" i="1"/>
  <c r="S882" i="1"/>
  <c r="T882" i="1" s="1"/>
  <c r="R878" i="1"/>
  <c r="R866" i="1"/>
  <c r="R833" i="1"/>
  <c r="X821" i="1"/>
  <c r="Z821" i="1" s="1"/>
  <c r="Y821" i="1"/>
  <c r="Z819" i="1"/>
  <c r="R126" i="1"/>
  <c r="S126" i="1"/>
  <c r="T126" i="1" s="1"/>
  <c r="Z126" i="1"/>
  <c r="AI126" i="1" s="1"/>
  <c r="Y1011" i="1"/>
  <c r="X1010" i="1"/>
  <c r="Z1010" i="1" s="1"/>
  <c r="Y1008" i="1"/>
  <c r="Z1005" i="1"/>
  <c r="R992" i="1"/>
  <c r="Z981" i="1"/>
  <c r="Y972" i="1"/>
  <c r="S966" i="1"/>
  <c r="T966" i="1" s="1"/>
  <c r="S963" i="1"/>
  <c r="T963" i="1" s="1"/>
  <c r="X954" i="1"/>
  <c r="Z954" i="1" s="1"/>
  <c r="Y953" i="1"/>
  <c r="X952" i="1"/>
  <c r="Z952" i="1" s="1"/>
  <c r="Y929" i="1"/>
  <c r="R900" i="1"/>
  <c r="Y891" i="1"/>
  <c r="S883" i="1"/>
  <c r="T883" i="1" s="1"/>
  <c r="S880" i="1"/>
  <c r="T880" i="1" s="1"/>
  <c r="R880" i="1"/>
  <c r="Z878" i="1"/>
  <c r="S856" i="1"/>
  <c r="T856" i="1" s="1"/>
  <c r="R856" i="1"/>
  <c r="Y805" i="1"/>
  <c r="Y785" i="1"/>
  <c r="X784" i="1"/>
  <c r="Z784" i="1" s="1"/>
  <c r="Y784" i="1"/>
  <c r="R614" i="1"/>
  <c r="S614" i="1"/>
  <c r="T614" i="1" s="1"/>
  <c r="Y607" i="1"/>
  <c r="X998" i="1"/>
  <c r="Z998" i="1" s="1"/>
  <c r="Y971" i="1"/>
  <c r="S962" i="1"/>
  <c r="T962" i="1" s="1"/>
  <c r="X836" i="1"/>
  <c r="Z836" i="1" s="1"/>
  <c r="Y836" i="1"/>
  <c r="S819" i="1"/>
  <c r="T819" i="1" s="1"/>
  <c r="R808" i="1"/>
  <c r="S808" i="1"/>
  <c r="T808" i="1" s="1"/>
  <c r="Y799" i="1"/>
  <c r="X799" i="1"/>
  <c r="Z799" i="1" s="1"/>
  <c r="AI799" i="1" s="1"/>
  <c r="Z621" i="1"/>
  <c r="S604" i="1"/>
  <c r="T604" i="1" s="1"/>
  <c r="X442" i="1"/>
  <c r="Z442" i="1" s="1"/>
  <c r="AI442" i="1" s="1"/>
  <c r="Y442" i="1"/>
  <c r="S150" i="1"/>
  <c r="T150" i="1" s="1"/>
  <c r="R150" i="1"/>
  <c r="Z139" i="1"/>
  <c r="AI139" i="1" s="1"/>
  <c r="X778" i="1"/>
  <c r="Z778" i="1" s="1"/>
  <c r="Z152" i="1"/>
  <c r="AI152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8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57" i="1"/>
  <c r="Z945" i="1"/>
  <c r="Z868" i="1"/>
  <c r="Y621" i="1"/>
  <c r="Y616" i="1"/>
  <c r="S88" i="1"/>
  <c r="T88" i="1" s="1"/>
  <c r="Z85" i="1"/>
  <c r="AI85" i="1" s="1"/>
  <c r="Y84" i="1"/>
  <c r="Y69" i="1"/>
  <c r="S44" i="1"/>
  <c r="T44" i="1" s="1"/>
  <c r="X780" i="1"/>
  <c r="Z780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29" i="1"/>
  <c r="Y43" i="1"/>
  <c r="R944" i="1"/>
  <c r="S944" i="1"/>
  <c r="T944" i="1" s="1"/>
  <c r="R943" i="1"/>
  <c r="R939" i="1"/>
  <c r="Z939" i="1"/>
  <c r="S939" i="1"/>
  <c r="T939" i="1" s="1"/>
  <c r="X928" i="1"/>
  <c r="Z928" i="1" s="1"/>
  <c r="Y928" i="1"/>
  <c r="X893" i="1"/>
  <c r="Z893" i="1" s="1"/>
  <c r="Y893" i="1"/>
  <c r="X864" i="1"/>
  <c r="Z864" i="1" s="1"/>
  <c r="X859" i="1"/>
  <c r="Z859" i="1" s="1"/>
  <c r="Y859" i="1"/>
  <c r="R832" i="1"/>
  <c r="R779" i="1"/>
  <c r="S779" i="1"/>
  <c r="T779" i="1" s="1"/>
  <c r="Y1005" i="1"/>
  <c r="Y997" i="1"/>
  <c r="Y989" i="1"/>
  <c r="Y981" i="1"/>
  <c r="X941" i="1"/>
  <c r="Z941" i="1" s="1"/>
  <c r="Z891" i="1"/>
  <c r="R891" i="1"/>
  <c r="S891" i="1"/>
  <c r="T891" i="1" s="1"/>
  <c r="S886" i="1"/>
  <c r="T886" i="1" s="1"/>
  <c r="Z886" i="1"/>
  <c r="R886" i="1"/>
  <c r="X855" i="1"/>
  <c r="Z855" i="1" s="1"/>
  <c r="Y855" i="1"/>
  <c r="X835" i="1"/>
  <c r="Z835" i="1" s="1"/>
  <c r="Y816" i="1"/>
  <c r="X816" i="1"/>
  <c r="Z816" i="1" s="1"/>
  <c r="S812" i="1"/>
  <c r="T812" i="1" s="1"/>
  <c r="R812" i="1"/>
  <c r="S1012" i="1"/>
  <c r="T1012" i="1" s="1"/>
  <c r="Z1007" i="1"/>
  <c r="S1004" i="1"/>
  <c r="T1004" i="1" s="1"/>
  <c r="Z999" i="1"/>
  <c r="S996" i="1"/>
  <c r="T996" i="1" s="1"/>
  <c r="Z991" i="1"/>
  <c r="S988" i="1"/>
  <c r="T988" i="1" s="1"/>
  <c r="Z983" i="1"/>
  <c r="R980" i="1"/>
  <c r="X970" i="1"/>
  <c r="Z970" i="1" s="1"/>
  <c r="S968" i="1"/>
  <c r="T968" i="1" s="1"/>
  <c r="R962" i="1"/>
  <c r="R952" i="1"/>
  <c r="S952" i="1"/>
  <c r="T952" i="1" s="1"/>
  <c r="R951" i="1"/>
  <c r="Z951" i="1"/>
  <c r="Y945" i="1"/>
  <c r="X944" i="1"/>
  <c r="Z944" i="1" s="1"/>
  <c r="Z899" i="1"/>
  <c r="R899" i="1"/>
  <c r="S884" i="1"/>
  <c r="T884" i="1" s="1"/>
  <c r="R884" i="1"/>
  <c r="R823" i="1"/>
  <c r="S823" i="1"/>
  <c r="T823" i="1" s="1"/>
  <c r="R822" i="1"/>
  <c r="Z822" i="1"/>
  <c r="R814" i="1"/>
  <c r="Z814" i="1"/>
  <c r="S814" i="1"/>
  <c r="T814" i="1" s="1"/>
  <c r="Z1012" i="1"/>
  <c r="Y1007" i="1"/>
  <c r="Z1004" i="1"/>
  <c r="Y999" i="1"/>
  <c r="Z996" i="1"/>
  <c r="Y991" i="1"/>
  <c r="Z988" i="1"/>
  <c r="Y983" i="1"/>
  <c r="Y977" i="1"/>
  <c r="R968" i="1"/>
  <c r="R930" i="1"/>
  <c r="S930" i="1"/>
  <c r="T930" i="1" s="1"/>
  <c r="S876" i="1"/>
  <c r="T876" i="1" s="1"/>
  <c r="R876" i="1"/>
  <c r="X831" i="1"/>
  <c r="Z831" i="1" s="1"/>
  <c r="Y831" i="1"/>
  <c r="S802" i="1"/>
  <c r="T802" i="1" s="1"/>
  <c r="R802" i="1"/>
  <c r="Y793" i="1"/>
  <c r="X793" i="1"/>
  <c r="Z793" i="1" s="1"/>
  <c r="Y1012" i="1"/>
  <c r="Y1004" i="1"/>
  <c r="Y996" i="1"/>
  <c r="Y988" i="1"/>
  <c r="Y980" i="1"/>
  <c r="S979" i="1"/>
  <c r="T979" i="1" s="1"/>
  <c r="Y973" i="1"/>
  <c r="R960" i="1"/>
  <c r="S960" i="1"/>
  <c r="T960" i="1" s="1"/>
  <c r="R959" i="1"/>
  <c r="Z959" i="1"/>
  <c r="Y942" i="1"/>
  <c r="X942" i="1"/>
  <c r="Z942" i="1" s="1"/>
  <c r="R824" i="1"/>
  <c r="S824" i="1"/>
  <c r="T824" i="1" s="1"/>
  <c r="X811" i="1"/>
  <c r="Z811" i="1" s="1"/>
  <c r="Y811" i="1"/>
  <c r="S1011" i="1"/>
  <c r="T1011" i="1" s="1"/>
  <c r="Y1009" i="1"/>
  <c r="S1003" i="1"/>
  <c r="T1003" i="1" s="1"/>
  <c r="Y1001" i="1"/>
  <c r="S995" i="1"/>
  <c r="T995" i="1" s="1"/>
  <c r="Y993" i="1"/>
  <c r="S987" i="1"/>
  <c r="T987" i="1" s="1"/>
  <c r="Y985" i="1"/>
  <c r="Z979" i="1"/>
  <c r="Y976" i="1"/>
  <c r="X968" i="1"/>
  <c r="Z968" i="1" s="1"/>
  <c r="R967" i="1"/>
  <c r="Z967" i="1"/>
  <c r="X955" i="1"/>
  <c r="Z955" i="1" s="1"/>
  <c r="Y955" i="1"/>
  <c r="Y898" i="1"/>
  <c r="X898" i="1"/>
  <c r="Z898" i="1" s="1"/>
  <c r="S894" i="1"/>
  <c r="T894" i="1" s="1"/>
  <c r="Z894" i="1"/>
  <c r="R894" i="1"/>
  <c r="Y868" i="1"/>
  <c r="X840" i="1"/>
  <c r="Z840" i="1" s="1"/>
  <c r="R831" i="1"/>
  <c r="S831" i="1"/>
  <c r="T831" i="1" s="1"/>
  <c r="Y826" i="1"/>
  <c r="X826" i="1"/>
  <c r="Z826" i="1" s="1"/>
  <c r="Z809" i="1"/>
  <c r="R809" i="1"/>
  <c r="S809" i="1"/>
  <c r="T809" i="1" s="1"/>
  <c r="Z1011" i="1"/>
  <c r="Z995" i="1"/>
  <c r="Z987" i="1"/>
  <c r="S978" i="1"/>
  <c r="T978" i="1" s="1"/>
  <c r="Y961" i="1"/>
  <c r="X960" i="1"/>
  <c r="Z960" i="1" s="1"/>
  <c r="Y949" i="1"/>
  <c r="R948" i="1"/>
  <c r="S943" i="1"/>
  <c r="T943" i="1" s="1"/>
  <c r="R896" i="1"/>
  <c r="S896" i="1"/>
  <c r="T896" i="1" s="1"/>
  <c r="Y819" i="1"/>
  <c r="Z817" i="1"/>
  <c r="AI817" i="1" s="1"/>
  <c r="R817" i="1"/>
  <c r="Y795" i="1"/>
  <c r="X795" i="1"/>
  <c r="Z795" i="1" s="1"/>
  <c r="R975" i="1"/>
  <c r="R970" i="1"/>
  <c r="X963" i="1"/>
  <c r="Z963" i="1" s="1"/>
  <c r="Y963" i="1"/>
  <c r="X935" i="1"/>
  <c r="Z935" i="1" s="1"/>
  <c r="Y935" i="1"/>
  <c r="X824" i="1"/>
  <c r="Z824" i="1" s="1"/>
  <c r="R612" i="1"/>
  <c r="S612" i="1"/>
  <c r="T612" i="1" s="1"/>
  <c r="R791" i="1"/>
  <c r="Z791" i="1"/>
  <c r="S791" i="1"/>
  <c r="T791" i="1" s="1"/>
  <c r="Y130" i="1"/>
  <c r="X130" i="1"/>
  <c r="Z130" i="1" s="1"/>
  <c r="AI130" i="1" s="1"/>
  <c r="Z936" i="1"/>
  <c r="S932" i="1"/>
  <c r="T932" i="1" s="1"/>
  <c r="X900" i="1"/>
  <c r="Z900" i="1" s="1"/>
  <c r="Y895" i="1"/>
  <c r="X876" i="1"/>
  <c r="Z876" i="1" s="1"/>
  <c r="S874" i="1"/>
  <c r="T874" i="1" s="1"/>
  <c r="X863" i="1"/>
  <c r="Z863" i="1" s="1"/>
  <c r="R861" i="1"/>
  <c r="Z861" i="1"/>
  <c r="S860" i="1"/>
  <c r="T860" i="1" s="1"/>
  <c r="Y857" i="1"/>
  <c r="S855" i="1"/>
  <c r="T855" i="1" s="1"/>
  <c r="Y813" i="1"/>
  <c r="R807" i="1"/>
  <c r="Z807" i="1"/>
  <c r="X802" i="1"/>
  <c r="Z802" i="1" s="1"/>
  <c r="AI802" i="1" s="1"/>
  <c r="X792" i="1"/>
  <c r="Z792" i="1" s="1"/>
  <c r="R790" i="1"/>
  <c r="X788" i="1"/>
  <c r="Z788" i="1" s="1"/>
  <c r="R778" i="1"/>
  <c r="S778" i="1"/>
  <c r="T778" i="1" s="1"/>
  <c r="R611" i="1"/>
  <c r="S611" i="1"/>
  <c r="T611" i="1" s="1"/>
  <c r="S444" i="1"/>
  <c r="T444" i="1" s="1"/>
  <c r="R444" i="1"/>
  <c r="Z444" i="1"/>
  <c r="AI444" i="1" s="1"/>
  <c r="Y138" i="1"/>
  <c r="X138" i="1"/>
  <c r="Z138" i="1" s="1"/>
  <c r="AI138" i="1" s="1"/>
  <c r="Z932" i="1"/>
  <c r="R928" i="1"/>
  <c r="R889" i="1"/>
  <c r="Z889" i="1"/>
  <c r="Z860" i="1"/>
  <c r="R837" i="1"/>
  <c r="R826" i="1"/>
  <c r="R806" i="1"/>
  <c r="Y619" i="1"/>
  <c r="X619" i="1"/>
  <c r="Z619" i="1" s="1"/>
  <c r="R1013" i="1"/>
  <c r="X789" i="1"/>
  <c r="Z789" i="1" s="1"/>
  <c r="Y789" i="1"/>
  <c r="R445" i="1"/>
  <c r="S445" i="1"/>
  <c r="T445" i="1" s="1"/>
  <c r="R931" i="1"/>
  <c r="R897" i="1"/>
  <c r="Z897" i="1"/>
  <c r="R815" i="1"/>
  <c r="Z815" i="1"/>
  <c r="Y947" i="1"/>
  <c r="Y901" i="1"/>
  <c r="Y897" i="1"/>
  <c r="R840" i="1"/>
  <c r="Y825" i="1"/>
  <c r="Y815" i="1"/>
  <c r="S796" i="1"/>
  <c r="T796" i="1" s="1"/>
  <c r="Z796" i="1"/>
  <c r="R795" i="1"/>
  <c r="R792" i="1"/>
  <c r="R783" i="1"/>
  <c r="S783" i="1"/>
  <c r="T783" i="1" s="1"/>
  <c r="R782" i="1"/>
  <c r="Z782" i="1"/>
  <c r="X779" i="1"/>
  <c r="Z779" i="1" s="1"/>
  <c r="R616" i="1"/>
  <c r="Z616" i="1"/>
  <c r="S616" i="1"/>
  <c r="T616" i="1" s="1"/>
  <c r="X934" i="1"/>
  <c r="Z934" i="1" s="1"/>
  <c r="X892" i="1"/>
  <c r="Z892" i="1" s="1"/>
  <c r="X882" i="1"/>
  <c r="Z882" i="1" s="1"/>
  <c r="R881" i="1"/>
  <c r="Z881" i="1"/>
  <c r="Y877" i="1"/>
  <c r="S861" i="1"/>
  <c r="T861" i="1" s="1"/>
  <c r="Y829" i="1"/>
  <c r="X810" i="1"/>
  <c r="Z810" i="1" s="1"/>
  <c r="S807" i="1"/>
  <c r="T807" i="1" s="1"/>
  <c r="Y803" i="1"/>
  <c r="X794" i="1"/>
  <c r="Z794" i="1" s="1"/>
  <c r="S790" i="1"/>
  <c r="T790" i="1" s="1"/>
  <c r="X449" i="1"/>
  <c r="Z449" i="1" s="1"/>
  <c r="AI449" i="1" s="1"/>
  <c r="Y449" i="1"/>
  <c r="Z443" i="1"/>
  <c r="AI443" i="1" s="1"/>
  <c r="R443" i="1"/>
  <c r="S443" i="1"/>
  <c r="T443" i="1" s="1"/>
  <c r="Z128" i="1"/>
  <c r="AI128" i="1" s="1"/>
  <c r="R128" i="1"/>
  <c r="S128" i="1"/>
  <c r="T128" i="1" s="1"/>
  <c r="X781" i="1"/>
  <c r="Z781" i="1" s="1"/>
  <c r="Y781" i="1"/>
  <c r="R621" i="1"/>
  <c r="X614" i="1"/>
  <c r="Z614" i="1" s="1"/>
  <c r="Y614" i="1"/>
  <c r="R604" i="1"/>
  <c r="R442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7" i="1"/>
  <c r="X447" i="1"/>
  <c r="Z447" i="1" s="1"/>
  <c r="AI447" i="1" s="1"/>
  <c r="Y447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2" i="1"/>
  <c r="Z622" i="1" s="1"/>
  <c r="Y622" i="1"/>
  <c r="Y606" i="1"/>
  <c r="X606" i="1"/>
  <c r="Z606" i="1" s="1"/>
  <c r="R449" i="1"/>
  <c r="S449" i="1"/>
  <c r="T449" i="1" s="1"/>
  <c r="X786" i="1"/>
  <c r="Z786" i="1" s="1"/>
  <c r="Y776" i="1"/>
  <c r="R775" i="1"/>
  <c r="Z775" i="1"/>
  <c r="S775" i="1"/>
  <c r="T775" i="1" s="1"/>
  <c r="S623" i="1"/>
  <c r="T623" i="1" s="1"/>
  <c r="R619" i="1"/>
  <c r="Y609" i="1"/>
  <c r="R608" i="1"/>
  <c r="Z608" i="1"/>
  <c r="S608" i="1"/>
  <c r="T608" i="1" s="1"/>
  <c r="S607" i="1"/>
  <c r="T607" i="1" s="1"/>
  <c r="Y152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8" i="1"/>
  <c r="Y775" i="1"/>
  <c r="Z623" i="1"/>
  <c r="AI623" i="1" s="1"/>
  <c r="Y608" i="1"/>
  <c r="Z607" i="1"/>
  <c r="X450" i="1"/>
  <c r="Z450" i="1" s="1"/>
  <c r="AI450" i="1" s="1"/>
  <c r="X145" i="1"/>
  <c r="Z145" i="1" s="1"/>
  <c r="AI145" i="1" s="1"/>
  <c r="Y145" i="1"/>
  <c r="Y141" i="1"/>
  <c r="R124" i="1"/>
  <c r="S124" i="1"/>
  <c r="T124" i="1" s="1"/>
  <c r="R799" i="1"/>
  <c r="S446" i="1"/>
  <c r="T446" i="1" s="1"/>
  <c r="R446" i="1"/>
  <c r="S147" i="1"/>
  <c r="T147" i="1" s="1"/>
  <c r="R147" i="1"/>
  <c r="S139" i="1"/>
  <c r="T139" i="1" s="1"/>
  <c r="R139" i="1"/>
  <c r="S133" i="1"/>
  <c r="T133" i="1" s="1"/>
  <c r="Z133" i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3" i="1"/>
  <c r="S873" i="1"/>
  <c r="T873" i="1" s="1"/>
  <c r="X873" i="1"/>
  <c r="Z873" i="1" s="1"/>
  <c r="R872" i="1"/>
  <c r="S872" i="1"/>
  <c r="T872" i="1" s="1"/>
  <c r="X872" i="1"/>
  <c r="Z872" i="1" s="1"/>
  <c r="R871" i="1"/>
  <c r="R870" i="1"/>
  <c r="S871" i="1"/>
  <c r="T871" i="1" s="1"/>
  <c r="X871" i="1"/>
  <c r="Z871" i="1" s="1"/>
  <c r="X870" i="1"/>
  <c r="Z870" i="1" s="1"/>
  <c r="R869" i="1"/>
  <c r="S869" i="1"/>
  <c r="T869" i="1" s="1"/>
  <c r="X869" i="1"/>
  <c r="Z869" i="1" s="1"/>
  <c r="R862" i="1"/>
  <c r="S862" i="1"/>
  <c r="T862" i="1" s="1"/>
  <c r="X862" i="1"/>
  <c r="Z862" i="1" s="1"/>
  <c r="R849" i="1"/>
  <c r="S854" i="1"/>
  <c r="T854" i="1" s="1"/>
  <c r="X854" i="1"/>
  <c r="Z854" i="1" s="1"/>
  <c r="R853" i="1"/>
  <c r="S853" i="1"/>
  <c r="T853" i="1" s="1"/>
  <c r="X853" i="1"/>
  <c r="Z853" i="1" s="1"/>
  <c r="R852" i="1"/>
  <c r="X852" i="1"/>
  <c r="Z852" i="1" s="1"/>
  <c r="S851" i="1"/>
  <c r="T851" i="1" s="1"/>
  <c r="X851" i="1"/>
  <c r="Z851" i="1" s="1"/>
  <c r="R850" i="1"/>
  <c r="S850" i="1"/>
  <c r="T850" i="1" s="1"/>
  <c r="X850" i="1"/>
  <c r="Z850" i="1" s="1"/>
  <c r="X849" i="1"/>
  <c r="Z849" i="1" s="1"/>
  <c r="R848" i="1"/>
  <c r="X848" i="1"/>
  <c r="Z848" i="1" s="1"/>
  <c r="R847" i="1"/>
  <c r="S847" i="1"/>
  <c r="T847" i="1" s="1"/>
  <c r="X847" i="1"/>
  <c r="Z847" i="1" s="1"/>
  <c r="R845" i="1"/>
  <c r="X845" i="1"/>
  <c r="Z845" i="1" s="1"/>
  <c r="R843" i="1"/>
  <c r="S843" i="1"/>
  <c r="T843" i="1" s="1"/>
  <c r="X843" i="1"/>
  <c r="Z843" i="1" s="1"/>
  <c r="R842" i="1"/>
  <c r="X842" i="1"/>
  <c r="Z842" i="1" s="1"/>
  <c r="Y834" i="1" l="1"/>
  <c r="Q834" i="1"/>
  <c r="H834" i="1"/>
  <c r="R774" i="1"/>
  <c r="Q774" i="1"/>
  <c r="S774" i="1"/>
  <c r="T774" i="1" s="1"/>
  <c r="Y773" i="1"/>
  <c r="Q773" i="1"/>
  <c r="H773" i="1"/>
  <c r="H772" i="1"/>
  <c r="S772" i="1" s="1"/>
  <c r="T772" i="1" s="1"/>
  <c r="Q772" i="1"/>
  <c r="Y772" i="1"/>
  <c r="Y771" i="1"/>
  <c r="Q771" i="1"/>
  <c r="H771" i="1"/>
  <c r="R771" i="1" s="1"/>
  <c r="R834" i="1" l="1"/>
  <c r="S834" i="1"/>
  <c r="T834" i="1" s="1"/>
  <c r="X834" i="1"/>
  <c r="Z834" i="1" s="1"/>
  <c r="Y774" i="1"/>
  <c r="X774" i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X765" i="1"/>
  <c r="H766" i="1"/>
  <c r="R766" i="1" s="1"/>
  <c r="Q766" i="1"/>
  <c r="X766" i="1"/>
  <c r="H767" i="1"/>
  <c r="R767" i="1" s="1"/>
  <c r="Q767" i="1"/>
  <c r="X767" i="1"/>
  <c r="H768" i="1"/>
  <c r="S768" i="1" s="1"/>
  <c r="T768" i="1" s="1"/>
  <c r="Q768" i="1"/>
  <c r="Y768" i="1"/>
  <c r="H769" i="1"/>
  <c r="R769" i="1" s="1"/>
  <c r="Q769" i="1"/>
  <c r="X769" i="1"/>
  <c r="H770" i="1"/>
  <c r="R770" i="1" s="1"/>
  <c r="Q770" i="1"/>
  <c r="X770" i="1"/>
  <c r="Y764" i="1"/>
  <c r="Q764" i="1"/>
  <c r="H764" i="1"/>
  <c r="Y763" i="1"/>
  <c r="Q763" i="1"/>
  <c r="Y762" i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Q627" i="1"/>
  <c r="R627" i="1"/>
  <c r="W627" i="1"/>
  <c r="Q628" i="1"/>
  <c r="R628" i="1"/>
  <c r="W628" i="1"/>
  <c r="Q629" i="1"/>
  <c r="R629" i="1"/>
  <c r="W629" i="1"/>
  <c r="Q630" i="1"/>
  <c r="R630" i="1"/>
  <c r="W630" i="1"/>
  <c r="Q631" i="1"/>
  <c r="R631" i="1"/>
  <c r="W631" i="1"/>
  <c r="Q632" i="1"/>
  <c r="R632" i="1"/>
  <c r="W632" i="1"/>
  <c r="Q633" i="1"/>
  <c r="R633" i="1"/>
  <c r="W633" i="1"/>
  <c r="Q634" i="1"/>
  <c r="R634" i="1"/>
  <c r="W634" i="1"/>
  <c r="Q635" i="1"/>
  <c r="R635" i="1"/>
  <c r="W635" i="1"/>
  <c r="Q636" i="1"/>
  <c r="R636" i="1"/>
  <c r="W636" i="1"/>
  <c r="Q637" i="1"/>
  <c r="R637" i="1"/>
  <c r="W637" i="1"/>
  <c r="Q638" i="1"/>
  <c r="R638" i="1"/>
  <c r="W638" i="1"/>
  <c r="Q639" i="1"/>
  <c r="R639" i="1"/>
  <c r="W639" i="1"/>
  <c r="Q640" i="1"/>
  <c r="R640" i="1"/>
  <c r="W640" i="1"/>
  <c r="Q641" i="1"/>
  <c r="R641" i="1"/>
  <c r="W641" i="1"/>
  <c r="Q642" i="1"/>
  <c r="R642" i="1"/>
  <c r="W642" i="1"/>
  <c r="Q643" i="1"/>
  <c r="R643" i="1"/>
  <c r="W643" i="1"/>
  <c r="Q644" i="1"/>
  <c r="R644" i="1"/>
  <c r="W644" i="1"/>
  <c r="Q645" i="1"/>
  <c r="R645" i="1"/>
  <c r="W645" i="1"/>
  <c r="Q646" i="1"/>
  <c r="R646" i="1"/>
  <c r="W646" i="1"/>
  <c r="Q647" i="1"/>
  <c r="R647" i="1"/>
  <c r="W647" i="1"/>
  <c r="Q648" i="1"/>
  <c r="R648" i="1"/>
  <c r="W648" i="1"/>
  <c r="Q649" i="1"/>
  <c r="R649" i="1"/>
  <c r="W649" i="1"/>
  <c r="Q650" i="1"/>
  <c r="R650" i="1"/>
  <c r="W650" i="1"/>
  <c r="Q651" i="1"/>
  <c r="R651" i="1"/>
  <c r="W651" i="1"/>
  <c r="Q652" i="1"/>
  <c r="R652" i="1"/>
  <c r="W652" i="1"/>
  <c r="Q653" i="1"/>
  <c r="R653" i="1"/>
  <c r="W653" i="1"/>
  <c r="Q654" i="1"/>
  <c r="R654" i="1"/>
  <c r="W654" i="1"/>
  <c r="Q655" i="1"/>
  <c r="R655" i="1"/>
  <c r="W655" i="1"/>
  <c r="Q656" i="1"/>
  <c r="R656" i="1"/>
  <c r="W656" i="1"/>
  <c r="Q657" i="1"/>
  <c r="R657" i="1"/>
  <c r="W657" i="1"/>
  <c r="Q658" i="1"/>
  <c r="R658" i="1"/>
  <c r="W658" i="1"/>
  <c r="Q659" i="1"/>
  <c r="R659" i="1"/>
  <c r="W659" i="1"/>
  <c r="Q660" i="1"/>
  <c r="R660" i="1"/>
  <c r="W660" i="1"/>
  <c r="Q661" i="1"/>
  <c r="R661" i="1"/>
  <c r="W661" i="1"/>
  <c r="Q662" i="1"/>
  <c r="R662" i="1"/>
  <c r="W662" i="1"/>
  <c r="Q663" i="1"/>
  <c r="R663" i="1"/>
  <c r="W663" i="1"/>
  <c r="Q664" i="1"/>
  <c r="R664" i="1"/>
  <c r="W664" i="1"/>
  <c r="Q665" i="1"/>
  <c r="R665" i="1"/>
  <c r="W665" i="1"/>
  <c r="Q666" i="1"/>
  <c r="R666" i="1"/>
  <c r="W666" i="1"/>
  <c r="Q667" i="1"/>
  <c r="R667" i="1"/>
  <c r="W667" i="1"/>
  <c r="Q668" i="1"/>
  <c r="R668" i="1"/>
  <c r="W668" i="1"/>
  <c r="Q669" i="1"/>
  <c r="R669" i="1"/>
  <c r="W669" i="1"/>
  <c r="Q670" i="1"/>
  <c r="R670" i="1"/>
  <c r="W670" i="1"/>
  <c r="Q671" i="1"/>
  <c r="R671" i="1"/>
  <c r="W671" i="1"/>
  <c r="Q672" i="1"/>
  <c r="R672" i="1"/>
  <c r="W672" i="1"/>
  <c r="Q673" i="1"/>
  <c r="R673" i="1"/>
  <c r="W673" i="1"/>
  <c r="Q674" i="1"/>
  <c r="R674" i="1"/>
  <c r="W674" i="1"/>
  <c r="Q675" i="1"/>
  <c r="R675" i="1"/>
  <c r="W675" i="1"/>
  <c r="Q676" i="1"/>
  <c r="R676" i="1"/>
  <c r="W676" i="1"/>
  <c r="Q677" i="1"/>
  <c r="R677" i="1"/>
  <c r="W677" i="1"/>
  <c r="Q678" i="1"/>
  <c r="R678" i="1"/>
  <c r="W678" i="1"/>
  <c r="Q679" i="1"/>
  <c r="R679" i="1"/>
  <c r="W679" i="1"/>
  <c r="Q680" i="1"/>
  <c r="R680" i="1"/>
  <c r="W680" i="1"/>
  <c r="Q681" i="1"/>
  <c r="R681" i="1"/>
  <c r="W681" i="1"/>
  <c r="Q682" i="1"/>
  <c r="R682" i="1"/>
  <c r="W682" i="1"/>
  <c r="Q683" i="1"/>
  <c r="R683" i="1"/>
  <c r="W683" i="1"/>
  <c r="Q684" i="1"/>
  <c r="R684" i="1"/>
  <c r="W684" i="1"/>
  <c r="Q685" i="1"/>
  <c r="R685" i="1"/>
  <c r="W685" i="1"/>
  <c r="Q686" i="1"/>
  <c r="R686" i="1"/>
  <c r="W686" i="1"/>
  <c r="Q687" i="1"/>
  <c r="R687" i="1"/>
  <c r="W687" i="1"/>
  <c r="Q688" i="1"/>
  <c r="R688" i="1"/>
  <c r="W688" i="1"/>
  <c r="Q689" i="1"/>
  <c r="R689" i="1"/>
  <c r="W689" i="1"/>
  <c r="Q690" i="1"/>
  <c r="R690" i="1"/>
  <c r="W690" i="1"/>
  <c r="Q691" i="1"/>
  <c r="R691" i="1"/>
  <c r="W691" i="1"/>
  <c r="Q692" i="1"/>
  <c r="R692" i="1"/>
  <c r="W692" i="1"/>
  <c r="Q693" i="1"/>
  <c r="R693" i="1"/>
  <c r="W693" i="1"/>
  <c r="Q694" i="1"/>
  <c r="R694" i="1"/>
  <c r="W694" i="1"/>
  <c r="Q695" i="1"/>
  <c r="R695" i="1"/>
  <c r="W695" i="1"/>
  <c r="Q696" i="1"/>
  <c r="R696" i="1"/>
  <c r="W696" i="1"/>
  <c r="Q697" i="1"/>
  <c r="R697" i="1"/>
  <c r="W697" i="1"/>
  <c r="Q698" i="1"/>
  <c r="R698" i="1"/>
  <c r="W698" i="1"/>
  <c r="Q699" i="1"/>
  <c r="R699" i="1"/>
  <c r="W699" i="1"/>
  <c r="Q700" i="1"/>
  <c r="R700" i="1"/>
  <c r="W700" i="1"/>
  <c r="Q701" i="1"/>
  <c r="R701" i="1"/>
  <c r="W701" i="1"/>
  <c r="Q702" i="1"/>
  <c r="R702" i="1"/>
  <c r="W702" i="1"/>
  <c r="Q703" i="1"/>
  <c r="R703" i="1"/>
  <c r="W703" i="1"/>
  <c r="Q704" i="1"/>
  <c r="R704" i="1"/>
  <c r="W704" i="1"/>
  <c r="Q705" i="1"/>
  <c r="R705" i="1"/>
  <c r="W705" i="1"/>
  <c r="Q706" i="1"/>
  <c r="R706" i="1"/>
  <c r="W706" i="1"/>
  <c r="Q707" i="1"/>
  <c r="R707" i="1"/>
  <c r="W707" i="1"/>
  <c r="Q708" i="1"/>
  <c r="R708" i="1"/>
  <c r="W708" i="1"/>
  <c r="Q709" i="1"/>
  <c r="R709" i="1"/>
  <c r="W709" i="1"/>
  <c r="Q710" i="1"/>
  <c r="R710" i="1"/>
  <c r="W710" i="1"/>
  <c r="Q711" i="1"/>
  <c r="R711" i="1"/>
  <c r="W711" i="1"/>
  <c r="Q712" i="1"/>
  <c r="R712" i="1"/>
  <c r="W712" i="1"/>
  <c r="Q713" i="1"/>
  <c r="R713" i="1"/>
  <c r="W713" i="1"/>
  <c r="Q714" i="1"/>
  <c r="R714" i="1"/>
  <c r="W714" i="1"/>
  <c r="Q715" i="1"/>
  <c r="R715" i="1"/>
  <c r="W715" i="1"/>
  <c r="Q716" i="1"/>
  <c r="R716" i="1"/>
  <c r="W716" i="1"/>
  <c r="Q717" i="1"/>
  <c r="R717" i="1"/>
  <c r="W717" i="1"/>
  <c r="Q718" i="1"/>
  <c r="R718" i="1"/>
  <c r="W718" i="1"/>
  <c r="Q719" i="1"/>
  <c r="R719" i="1"/>
  <c r="W719" i="1"/>
  <c r="Q720" i="1"/>
  <c r="R720" i="1"/>
  <c r="W720" i="1"/>
  <c r="Q721" i="1"/>
  <c r="R721" i="1"/>
  <c r="W721" i="1"/>
  <c r="Q722" i="1"/>
  <c r="R722" i="1"/>
  <c r="W722" i="1"/>
  <c r="Q723" i="1"/>
  <c r="R723" i="1"/>
  <c r="W723" i="1"/>
  <c r="Q724" i="1"/>
  <c r="R724" i="1"/>
  <c r="W724" i="1"/>
  <c r="Q725" i="1"/>
  <c r="R725" i="1"/>
  <c r="W725" i="1"/>
  <c r="Q726" i="1"/>
  <c r="R726" i="1"/>
  <c r="W726" i="1"/>
  <c r="Q727" i="1"/>
  <c r="R727" i="1"/>
  <c r="W727" i="1"/>
  <c r="Q728" i="1"/>
  <c r="R728" i="1"/>
  <c r="W728" i="1"/>
  <c r="Q729" i="1"/>
  <c r="R729" i="1"/>
  <c r="W729" i="1"/>
  <c r="Q730" i="1"/>
  <c r="R730" i="1"/>
  <c r="W730" i="1"/>
  <c r="Q731" i="1"/>
  <c r="R731" i="1"/>
  <c r="W731" i="1"/>
  <c r="Q732" i="1"/>
  <c r="R732" i="1"/>
  <c r="W732" i="1"/>
  <c r="Q733" i="1"/>
  <c r="R733" i="1"/>
  <c r="W733" i="1"/>
  <c r="Q734" i="1"/>
  <c r="R734" i="1"/>
  <c r="W734" i="1"/>
  <c r="Q735" i="1"/>
  <c r="R735" i="1"/>
  <c r="W735" i="1"/>
  <c r="Q736" i="1"/>
  <c r="R736" i="1"/>
  <c r="W736" i="1"/>
  <c r="Q737" i="1"/>
  <c r="R737" i="1"/>
  <c r="W737" i="1"/>
  <c r="Q738" i="1"/>
  <c r="R738" i="1"/>
  <c r="W738" i="1"/>
  <c r="Q739" i="1"/>
  <c r="R739" i="1"/>
  <c r="W739" i="1"/>
  <c r="Q740" i="1"/>
  <c r="R740" i="1"/>
  <c r="W740" i="1"/>
  <c r="Q741" i="1"/>
  <c r="R741" i="1"/>
  <c r="W741" i="1"/>
  <c r="Q742" i="1"/>
  <c r="R742" i="1"/>
  <c r="W742" i="1"/>
  <c r="Q743" i="1"/>
  <c r="R743" i="1"/>
  <c r="W743" i="1"/>
  <c r="Q744" i="1"/>
  <c r="R744" i="1"/>
  <c r="W744" i="1"/>
  <c r="Q745" i="1"/>
  <c r="R745" i="1"/>
  <c r="W745" i="1"/>
  <c r="Q746" i="1"/>
  <c r="R746" i="1"/>
  <c r="W746" i="1"/>
  <c r="Q747" i="1"/>
  <c r="R747" i="1"/>
  <c r="W747" i="1"/>
  <c r="Q748" i="1"/>
  <c r="R748" i="1"/>
  <c r="W748" i="1"/>
  <c r="Q749" i="1"/>
  <c r="R749" i="1"/>
  <c r="W749" i="1"/>
  <c r="Q750" i="1"/>
  <c r="R750" i="1"/>
  <c r="W750" i="1"/>
  <c r="Q751" i="1"/>
  <c r="R751" i="1"/>
  <c r="W751" i="1"/>
  <c r="Q752" i="1"/>
  <c r="R752" i="1"/>
  <c r="W752" i="1"/>
  <c r="Q753" i="1"/>
  <c r="R753" i="1"/>
  <c r="W753" i="1"/>
  <c r="Q754" i="1"/>
  <c r="R754" i="1"/>
  <c r="W754" i="1"/>
  <c r="Q755" i="1"/>
  <c r="R755" i="1"/>
  <c r="W755" i="1"/>
  <c r="Q756" i="1"/>
  <c r="R756" i="1"/>
  <c r="W756" i="1"/>
  <c r="Q757" i="1"/>
  <c r="R757" i="1"/>
  <c r="W757" i="1"/>
  <c r="Q758" i="1"/>
  <c r="R758" i="1"/>
  <c r="W758" i="1"/>
  <c r="Q759" i="1"/>
  <c r="R759" i="1"/>
  <c r="W759" i="1"/>
  <c r="Q760" i="1"/>
  <c r="R760" i="1"/>
  <c r="W760" i="1"/>
  <c r="Q761" i="1"/>
  <c r="R761" i="1"/>
  <c r="W761" i="1"/>
  <c r="Q625" i="1"/>
  <c r="W625" i="1"/>
  <c r="Q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4" i="1"/>
  <c r="W624" i="1"/>
  <c r="H624" i="1"/>
  <c r="S624" i="1" s="1"/>
  <c r="S765" i="1" l="1"/>
  <c r="T765" i="1" s="1"/>
  <c r="Y770" i="1"/>
  <c r="Z770" i="1"/>
  <c r="Y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Y454" i="1" l="1"/>
  <c r="Y458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3" i="1" l="1"/>
  <c r="X453" i="1"/>
  <c r="Y452" i="1"/>
  <c r="X452" i="1"/>
  <c r="X455" i="1"/>
  <c r="Y455" i="1"/>
  <c r="Y456" i="1"/>
  <c r="X456" i="1"/>
  <c r="X457" i="1"/>
  <c r="Y457" i="1"/>
  <c r="X454" i="1"/>
  <c r="X458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U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AK439" i="1"/>
  <c r="AO439" i="1"/>
  <c r="W439" i="1" s="1"/>
  <c r="AP439" i="1"/>
  <c r="AQ439" i="1"/>
  <c r="AR439" i="1"/>
  <c r="AU439" i="1"/>
  <c r="X440" i="1"/>
  <c r="X465" i="1"/>
  <c r="X466" i="1"/>
  <c r="X470" i="1"/>
  <c r="X473" i="1"/>
  <c r="X474" i="1"/>
  <c r="X481" i="1"/>
  <c r="X482" i="1"/>
  <c r="X489" i="1"/>
  <c r="X490" i="1"/>
  <c r="X497" i="1"/>
  <c r="X498" i="1"/>
  <c r="X504" i="1"/>
  <c r="X505" i="1"/>
  <c r="X512" i="1"/>
  <c r="X513" i="1"/>
  <c r="X520" i="1"/>
  <c r="X521" i="1"/>
  <c r="X528" i="1"/>
  <c r="X529" i="1"/>
  <c r="X536" i="1"/>
  <c r="X537" i="1"/>
  <c r="X544" i="1"/>
  <c r="X545" i="1"/>
  <c r="X552" i="1"/>
  <c r="X553" i="1"/>
  <c r="X560" i="1"/>
  <c r="Z560" i="1" s="1"/>
  <c r="X561" i="1"/>
  <c r="Z561" i="1" s="1"/>
  <c r="X569" i="1"/>
  <c r="Z569" i="1" s="1"/>
  <c r="X574" i="1"/>
  <c r="Z574" i="1" s="1"/>
  <c r="Y575" i="1"/>
  <c r="X576" i="1"/>
  <c r="Z576" i="1" s="1"/>
  <c r="X580" i="1"/>
  <c r="Z580" i="1" s="1"/>
  <c r="X582" i="1"/>
  <c r="Z582" i="1" s="1"/>
  <c r="X586" i="1"/>
  <c r="Z586" i="1" s="1"/>
  <c r="X590" i="1"/>
  <c r="Z590" i="1" s="1"/>
  <c r="Y591" i="1"/>
  <c r="X592" i="1"/>
  <c r="Z592" i="1" s="1"/>
  <c r="X593" i="1"/>
  <c r="Z593" i="1" s="1"/>
  <c r="X594" i="1"/>
  <c r="Z594" i="1" s="1"/>
  <c r="X596" i="1"/>
  <c r="Z596" i="1" s="1"/>
  <c r="R599" i="1"/>
  <c r="Q440" i="1"/>
  <c r="Q441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H439" i="1"/>
  <c r="Y439" i="1"/>
  <c r="Q439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V443" i="1" l="1"/>
  <c r="AS443" i="1" s="1"/>
  <c r="AU443" i="1"/>
  <c r="AT443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AT440" i="1"/>
  <c r="T440" i="1"/>
  <c r="AV440" i="1"/>
  <c r="AS440" i="1" s="1"/>
  <c r="AT439" i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T458" i="1"/>
  <c r="R458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R459" i="1"/>
  <c r="R460" i="1"/>
  <c r="R461" i="1"/>
  <c r="R462" i="1"/>
  <c r="R463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R601" i="1"/>
  <c r="T593" i="1"/>
  <c r="R529" i="1"/>
  <c r="Z521" i="1"/>
  <c r="R490" i="1"/>
  <c r="R466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AK128" i="1" l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X80" i="1"/>
  <c r="Q115" i="1"/>
  <c r="X115" i="1"/>
  <c r="X2" i="1"/>
  <c r="X3" i="1"/>
  <c r="X4" i="1"/>
  <c r="X5" i="1"/>
  <c r="X6" i="1"/>
  <c r="X7" i="1"/>
  <c r="X8" i="1"/>
  <c r="X9" i="1"/>
  <c r="Y10" i="1"/>
  <c r="X11" i="1"/>
  <c r="Y12" i="1"/>
  <c r="X13" i="1"/>
  <c r="X14" i="1"/>
  <c r="Y15" i="1"/>
  <c r="X16" i="1"/>
  <c r="Y17" i="1"/>
  <c r="X18" i="1"/>
  <c r="Y19" i="1"/>
  <c r="X20" i="1"/>
  <c r="X21" i="1"/>
  <c r="X22" i="1"/>
  <c r="Y23" i="1"/>
  <c r="X24" i="1"/>
  <c r="Y25" i="1"/>
  <c r="X26" i="1"/>
  <c r="Y27" i="1"/>
  <c r="Y353" i="1"/>
  <c r="X354" i="1"/>
  <c r="X153" i="1"/>
  <c r="X154" i="1"/>
  <c r="Y155" i="1"/>
  <c r="Y156" i="1"/>
  <c r="X157" i="1"/>
  <c r="X158" i="1"/>
  <c r="Y159" i="1"/>
  <c r="Y160" i="1"/>
  <c r="X161" i="1"/>
  <c r="Y162" i="1"/>
  <c r="Y163" i="1"/>
  <c r="X164" i="1"/>
  <c r="X165" i="1"/>
  <c r="X166" i="1"/>
  <c r="Y167" i="1"/>
  <c r="X168" i="1"/>
  <c r="X169" i="1"/>
  <c r="Y170" i="1"/>
  <c r="Y171" i="1"/>
  <c r="X172" i="1"/>
  <c r="X173" i="1"/>
  <c r="X174" i="1"/>
  <c r="Y175" i="1"/>
  <c r="Y176" i="1"/>
  <c r="X177" i="1"/>
  <c r="X178" i="1"/>
  <c r="Y179" i="1"/>
  <c r="Y180" i="1"/>
  <c r="Y181" i="1"/>
  <c r="X182" i="1"/>
  <c r="Y183" i="1"/>
  <c r="X184" i="1"/>
  <c r="X185" i="1"/>
  <c r="Y186" i="1"/>
  <c r="Y187" i="1"/>
  <c r="Y188" i="1"/>
  <c r="Y189" i="1"/>
  <c r="X190" i="1"/>
  <c r="Y191" i="1"/>
  <c r="X192" i="1"/>
  <c r="X193" i="1"/>
  <c r="Y194" i="1"/>
  <c r="Y195" i="1"/>
  <c r="X196" i="1"/>
  <c r="X197" i="1"/>
  <c r="X198" i="1"/>
  <c r="X199" i="1"/>
  <c r="X200" i="1"/>
  <c r="X201" i="1"/>
  <c r="X202" i="1"/>
  <c r="X203" i="1"/>
  <c r="X204" i="1"/>
  <c r="Y205" i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X28" i="1"/>
  <c r="X29" i="1"/>
  <c r="X30" i="1"/>
  <c r="Y31" i="1"/>
  <c r="X32" i="1"/>
  <c r="X33" i="1"/>
  <c r="Y34" i="1"/>
  <c r="X35" i="1"/>
  <c r="Y36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AU115" i="1" l="1"/>
  <c r="AT115" i="1" s="1"/>
  <c r="S35" i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T115" i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AI17" i="1"/>
  <c r="T25" i="1"/>
  <c r="R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AI27" i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AI16" i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<sst xmlns="http://schemas.openxmlformats.org/spreadsheetml/2006/main" count="32930" uniqueCount="5638">
  <si>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</si>
  <si>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</si>
  <si>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</si>
  <si>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</si>
  <si>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</si>
  <si>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</si>
  <si>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</si>
  <si>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</si>
  <si>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</si>
  <si>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</si>
  <si>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</si>
  <si>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</si>
  <si>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</si>
  <si>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</si>
  <si>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</si>
  <si>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</si>
  <si>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</si>
  <si>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</si>
  <si>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</si>
  <si>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</si>
  <si>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</si>
  <si>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</si>
  <si>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</si>
  <si>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</si>
  <si>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</si>
  <si>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</si>
  <si>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</si>
  <si>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</si>
  <si>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</si>
  <si>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</si>
  <si>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</si>
  <si>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</si>
  <si>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</si>
  <si>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</si>
  <si>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</si>
  <si>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</si>
  <si>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</si>
  <si>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</si>
  <si>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</si>
  <si>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</si>
  <si>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</si>
  <si>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</si>
  <si>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</si>
  <si>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</si>
  <si>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</si>
  <si>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</si>
  <si>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</si>
  <si>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</si>
  <si>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</si>
  <si>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</si>
  <si>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</si>
  <si>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</si>
  <si>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</si>
  <si>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</si>
  <si>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</si>
  <si>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</si>
  <si>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</si>
  <si>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</si>
  <si>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</si>
  <si>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</si>
  <si>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</si>
  <si>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</si>
  <si>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</si>
  <si>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</si>
  <si>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</si>
  <si>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</si>
  <si>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</si>
  <si>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</si>
  <si>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</si>
  <si>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</si>
  <si>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</si>
  <si>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</si>
  <si>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</si>
  <si>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</si>
  <si>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</si>
  <si>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</si>
  <si>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</si>
  <si>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</si>
  <si>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</si>
  <si>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</si>
  <si>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</si>
  <si>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</si>
  <si>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</si>
  <si>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</si>
  <si>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</si>
  <si>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</si>
  <si>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</si>
  <si>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</si>
  <si>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</si>
  <si>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</si>
  <si>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</si>
  <si>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</si>
  <si>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</si>
  <si>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</si>
  <si>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</si>
  <si>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</si>
  <si>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</si>
  <si>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</si>
  <si>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</si>
  <si>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</si>
  <si>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</si>
  <si>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</si>
  <si>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</si>
  <si>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</si>
  <si>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</si>
  <si>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</si>
  <si>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</si>
  <si>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</si>
  <si>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</si>
  <si>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</si>
  <si>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</si>
  <si>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</si>
  <si>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</si>
  <si>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</si>
  <si>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</si>
  <si>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</si>
  <si>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</si>
  <si>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</si>
  <si>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</si>
  <si>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</si>
  <si>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</si>
  <si>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</si>
  <si>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</si>
  <si>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</si>
  <si>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</si>
  <si>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</si>
  <si>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</si>
  <si>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</si>
  <si>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</si>
  <si>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</si>
  <si>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</si>
  <si>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</si>
  <si>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</si>
  <si>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</si>
  <si>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</si>
  <si>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</si>
  <si>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</si>
  <si>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</si>
  <si>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</si>
  <si>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</si>
  <si>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</si>
  <si>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</si>
  <si>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</si>
  <si>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</si>
  <si>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</si>
  <si>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</si>
  <si>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</si>
  <si>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</si>
  <si>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</si>
  <si>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</si>
  <si>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</si>
  <si>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</si>
  <si>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</si>
  <si>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</si>
  <si>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</si>
  <si>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</si>
  <si>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</si>
  <si>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</si>
  <si>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</si>
  <si>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</si>
  <si>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</si>
  <si>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</si>
  <si>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</si>
  <si>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</si>
  <si>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</si>
  <si>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</si>
  <si>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</si>
  <si>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</si>
  <si>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</si>
  <si>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</si>
  <si>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</si>
  <si>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</si>
  <si>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</si>
  <si>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</si>
  <si>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</si>
  <si>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</si>
  <si>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</si>
  <si>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</si>
  <si>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</si>
  <si>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</si>
  <si>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</si>
  <si>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</si>
  <si>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</si>
  <si>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</si>
  <si>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</si>
  <si>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</si>
  <si>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</si>
  <si>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</si>
  <si>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</si>
  <si>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</si>
  <si>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</si>
  <si>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</si>
  <si>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</si>
  <si>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</si>
  <si>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</si>
  <si>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</si>
  <si>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</si>
  <si>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</si>
  <si>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</si>
  <si>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</si>
  <si>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</si>
  <si>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</si>
  <si>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</si>
  <si>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</si>
  <si>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</si>
  <si>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</si>
  <si>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</si>
  <si>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</si>
  <si>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</si>
  <si>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</si>
  <si>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</si>
  <si>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</si>
  <si>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</si>
  <si>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</si>
  <si>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</si>
  <si>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</si>
  <si>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</si>
  <si>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</si>
  <si>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</si>
  <si>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</si>
  <si>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</si>
  <si>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</si>
  <si>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</si>
  <si>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</si>
  <si>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</si>
  <si>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</si>
  <si>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</si>
  <si>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</si>
  <si>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</si>
  <si>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</si>
  <si>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</si>
  <si>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</si>
  <si>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</si>
  <si>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</si>
  <si>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</si>
  <si>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</si>
  <si>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</si>
  <si>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</si>
  <si>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</si>
  <si>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</si>
  <si>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</si>
  <si>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</si>
  <si>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</si>
  <si>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</si>
  <si>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</si>
  <si>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</si>
  <si>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</si>
  <si>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</si>
  <si>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</si>
  <si>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</si>
  <si>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</si>
  <si>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</si>
  <si>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</si>
  <si>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</si>
  <si>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</si>
  <si>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</si>
  <si>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</si>
  <si>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</si>
  <si>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</si>
  <si>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</si>
  <si>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</si>
  <si>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</si>
  <si>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</si>
  <si>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</si>
  <si>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</si>
  <si>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</si>
  <si>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</si>
  <si>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</si>
  <si>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</si>
  <si>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</si>
  <si>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</si>
  <si>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</si>
  <si>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</si>
  <si>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</si>
  <si>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</si>
  <si>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</si>
  <si>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</si>
  <si>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</si>
  <si>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</si>
  <si>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</si>
  <si>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</si>
  <si>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</si>
  <si>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</si>
  <si>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</si>
  <si>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</si>
  <si>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</si>
  <si>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</si>
  <si>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</si>
  <si>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</si>
  <si>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</si>
  <si>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</si>
  <si>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</si>
  <si>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</si>
  <si>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</si>
  <si>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</si>
  <si>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</si>
  <si>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</si>
  <si>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</si>
  <si>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</si>
  <si>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</si>
  <si>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</si>
  <si>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</si>
  <si>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</si>
  <si>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</si>
  <si>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</si>
  <si>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</si>
  <si>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</si>
  <si>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</si>
  <si>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</si>
  <si>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</si>
  <si>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</si>
  <si>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</si>
  <si>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</si>
  <si>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</si>
  <si>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</si>
  <si>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</si>
  <si>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</si>
  <si>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</si>
  <si>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</si>
  <si>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</si>
  <si>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</si>
  <si>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</si>
  <si>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</si>
  <si>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</si>
  <si>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</si>
  <si>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</si>
  <si>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</si>
  <si>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</si>
  <si>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</si>
  <si>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</si>
  <si>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</si>
  <si>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</si>
  <si>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</si>
  <si>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</si>
  <si>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</si>
  <si>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</si>
  <si>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</si>
  <si>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</si>
  <si>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</si>
  <si>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</si>
  <si>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</si>
  <si>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</si>
  <si>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</si>
  <si>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</si>
  <si>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</si>
  <si>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</si>
  <si>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</si>
  <si>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</si>
  <si>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</si>
  <si>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</si>
  <si>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</si>
  <si>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</si>
  <si>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</si>
  <si>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</si>
  <si>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</si>
  <si>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</si>
  <si>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</si>
  <si>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</si>
  <si>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</si>
  <si>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</si>
  <si>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</si>
  <si>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</si>
  <si>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</si>
  <si>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</si>
  <si>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</si>
  <si>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</si>
  <si>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</si>
  <si>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</si>
  <si>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</si>
  <si>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</si>
  <si>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</si>
  <si>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</si>
  <si>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</si>
  <si>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</si>
  <si>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</si>
  <si>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</si>
  <si>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</si>
  <si>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</si>
  <si>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</si>
  <si>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</si>
  <si>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</si>
  <si>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</si>
  <si>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</si>
  <si>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</si>
  <si>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</si>
  <si>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</si>
  <si>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</si>
  <si>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</si>
  <si>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</si>
  <si>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</si>
  <si>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</si>
  <si>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</si>
  <si>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</si>
  <si>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</si>
  <si>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</si>
  <si>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</si>
  <si>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</si>
  <si>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</si>
  <si>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</si>
  <si>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</si>
  <si>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</si>
  <si>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</si>
  <si>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</si>
  <si>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</si>
  <si>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</si>
  <si>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</si>
  <si>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</si>
  <si>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</si>
  <si>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</si>
  <si>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</si>
  <si>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</si>
  <si>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</si>
  <si>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</si>
  <si>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</si>
  <si>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</si>
  <si>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</si>
  <si>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</si>
  <si>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</si>
  <si>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</si>
  <si>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</si>
  <si>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</si>
  <si>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</si>
  <si>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</si>
  <si>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</si>
  <si>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</si>
  <si>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</si>
  <si>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</si>
  <si>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</si>
  <si>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</si>
  <si>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</si>
  <si>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</si>
  <si>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</si>
  <si>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</si>
  <si>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</si>
  <si>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</si>
  <si>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</si>
  <si>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</si>
  <si>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</si>
  <si>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</si>
  <si>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</si>
  <si>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</si>
  <si>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</si>
  <si>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</si>
  <si>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</si>
  <si>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</si>
  <si>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</si>
  <si>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</si>
  <si>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</si>
  <si>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</si>
  <si>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</si>
  <si>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</si>
  <si>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</si>
  <si>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</si>
  <si>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</si>
  <si>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</si>
  <si>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</si>
  <si>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</si>
  <si>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</si>
  <si>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</si>
  <si>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</si>
  <si>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</si>
  <si>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</si>
  <si>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</si>
  <si>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</si>
  <si>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</si>
  <si>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</si>
  <si>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</si>
  <si>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</si>
  <si>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</si>
  <si>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</si>
  <si>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</si>
  <si>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</si>
  <si>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</si>
  <si>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</si>
  <si>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</si>
  <si>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</si>
  <si>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</si>
  <si>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</si>
  <si>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</si>
  <si>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</si>
  <si>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</si>
  <si>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</si>
  <si>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</si>
  <si>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</si>
  <si>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</si>
  <si>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</si>
  <si>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</si>
  <si>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</si>
  <si>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</si>
  <si>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</si>
  <si>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</si>
  <si>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</si>
  <si>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</si>
  <si>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</si>
  <si>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</si>
  <si>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</si>
  <si>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</si>
  <si>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</si>
  <si>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</si>
  <si>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</si>
  <si>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</si>
  <si>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</si>
  <si>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</si>
  <si>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</si>
  <si>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</si>
  <si>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</si>
  <si>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</si>
  <si>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</si>
  <si>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</si>
  <si>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</si>
  <si>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</si>
  <si>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</si>
  <si>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</si>
  <si>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</si>
  <si>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</si>
  <si>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</si>
  <si>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</si>
  <si>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</si>
  <si>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</si>
  <si>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</si>
  <si>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</si>
  <si>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</si>
  <si>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</si>
  <si>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</si>
  <si>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</si>
  <si>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</si>
  <si>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</si>
  <si>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</si>
  <si>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</si>
  <si>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</si>
  <si>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</si>
  <si>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</si>
  <si>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</si>
  <si>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</si>
  <si>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</si>
  <si>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</si>
  <si>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</si>
  <si>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</si>
  <si>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</si>
  <si>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</si>
  <si>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</si>
  <si>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</si>
  <si>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</si>
  <si>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</si>
  <si>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</si>
  <si>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</si>
  <si>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</si>
  <si>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</si>
  <si>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</si>
  <si>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</si>
  <si>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</si>
  <si>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</si>
  <si>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</si>
  <si>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</si>
  <si>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</si>
  <si>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</si>
  <si>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</si>
  <si>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</si>
  <si>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</si>
  <si>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</si>
  <si>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</si>
  <si>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</si>
  <si>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</si>
  <si>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</si>
  <si>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</si>
  <si>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</si>
  <si>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</si>
  <si>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</si>
  <si>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</si>
  <si>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</si>
  <si>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</si>
  <si>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</si>
  <si>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</si>
  <si>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</si>
  <si>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</si>
  <si>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</si>
  <si>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</si>
  <si>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</si>
  <si>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</si>
  <si>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</si>
  <si>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</si>
  <si>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</si>
  <si>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</si>
  <si>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</si>
  <si>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</si>
  <si>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</si>
  <si>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</si>
  <si>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</si>
  <si>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</si>
  <si>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</si>
  <si>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</si>
  <si>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</si>
  <si>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</si>
  <si>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</si>
  <si>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</si>
  <si>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</si>
  <si>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</si>
  <si>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</si>
  <si>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</si>
  <si>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</si>
  <si>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</si>
  <si>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</si>
  <si>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</si>
  <si>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</si>
  <si>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</si>
  <si>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</si>
  <si>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</si>
  <si>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</si>
  <si>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</si>
  <si>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</si>
  <si>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</si>
  <si>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</si>
  <si>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</si>
  <si>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</si>
  <si>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</si>
  <si>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</si>
  <si>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</si>
  <si>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</si>
  <si>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</si>
  <si>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</si>
  <si>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</si>
  <si>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</si>
  <si>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</si>
  <si>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</si>
  <si>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</si>
  <si>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</si>
  <si>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</si>
  <si>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</si>
  <si>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</si>
  <si>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</si>
  <si>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</si>
  <si>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</si>
  <si>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</si>
  <si>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</si>
  <si>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</si>
  <si>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</si>
  <si>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</si>
  <si>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</si>
  <si>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</si>
  <si>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</si>
  <si>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</si>
  <si>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</si>
  <si>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</si>
  <si>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</si>
  <si>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</si>
  <si>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</si>
  <si>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</si>
  <si>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</si>
  <si>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</si>
  <si>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</si>
  <si>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</si>
  <si>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</si>
  <si>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</si>
  <si>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</si>
  <si>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</si>
  <si>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</si>
  <si>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</si>
  <si>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</si>
  <si>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</si>
  <si>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</si>
  <si>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</si>
  <si>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</si>
  <si>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</si>
  <si>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</si>
  <si>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</si>
  <si>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</si>
  <si>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</si>
  <si>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</si>
  <si>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</si>
  <si>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</si>
  <si>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</si>
  <si>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</si>
  <si>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</si>
  <si>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</si>
  <si>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</si>
  <si>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</si>
  <si>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</si>
  <si>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</si>
  <si>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</si>
  <si>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</si>
  <si>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</si>
  <si>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</si>
  <si>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</si>
  <si>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</si>
  <si>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</si>
  <si>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</si>
  <si>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</si>
  <si>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</si>
  <si>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</si>
  <si>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</si>
  <si>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</si>
  <si>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</si>
  <si>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</si>
  <si>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</si>
  <si>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</si>
  <si>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</si>
  <si>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</si>
  <si>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</si>
  <si>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</si>
  <si>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</si>
  <si>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</si>
  <si>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</si>
  <si>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</si>
  <si>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</si>
  <si>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</si>
  <si>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</si>
  <si>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</si>
  <si>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</si>
  <si>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</si>
  <si>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</si>
  <si>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</si>
  <si>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</si>
  <si>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</si>
  <si>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</si>
  <si>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</si>
  <si>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</si>
  <si>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</si>
  <si>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</si>
  <si>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</si>
  <si>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</si>
  <si>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</si>
  <si>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</si>
  <si>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</si>
  <si>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</si>
  <si>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</si>
  <si>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</si>
  <si>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</si>
  <si>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</si>
  <si>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</si>
  <si>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</si>
  <si>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</si>
  <si>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</si>
  <si>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</si>
  <si>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</si>
  <si>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</si>
  <si>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</si>
  <si>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</si>
  <si>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</si>
  <si>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</si>
  <si>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</si>
  <si>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</si>
  <si>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</si>
  <si>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</si>
  <si>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</si>
  <si>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</si>
  <si>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</si>
  <si>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</si>
  <si>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</si>
  <si>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</si>
  <si>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</si>
  <si>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</si>
  <si>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</si>
  <si>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</si>
  <si>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</si>
  <si>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</si>
  <si>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</si>
  <si>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</si>
  <si>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</si>
  <si>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</si>
  <si>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</si>
  <si>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</si>
  <si>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</si>
  <si>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</si>
  <si>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</si>
  <si>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</si>
  <si>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</si>
  <si>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</si>
  <si>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</si>
  <si>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</si>
  <si>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</si>
  <si>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</si>
  <si>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</si>
  <si>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</si>
  <si>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</si>
  <si>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</si>
  <si>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</si>
  <si>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</si>
  <si>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</si>
  <si>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</si>
  <si>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</si>
  <si>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</si>
  <si>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</si>
  <si>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</si>
  <si>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</si>
  <si>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</si>
  <si>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</si>
  <si>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</si>
  <si>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</si>
  <si>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</si>
  <si>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</si>
  <si>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</si>
  <si>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</si>
  <si>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</si>
  <si>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</si>
  <si>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</si>
  <si>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</si>
  <si>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</si>
  <si>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</si>
  <si>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</si>
  <si>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</si>
  <si>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</si>
  <si>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</si>
  <si>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</si>
  <si>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</si>
  <si>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</si>
  <si>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</si>
  <si>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</si>
  <si>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</si>
  <si>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</si>
  <si>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</si>
  <si>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</si>
  <si>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</si>
  <si>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</si>
  <si>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</si>
  <si>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</si>
  <si>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</si>
  <si>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</si>
  <si>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</si>
  <si>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</si>
  <si>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</si>
  <si>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</si>
  <si>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</si>
  <si>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</si>
  <si>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</si>
  <si>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</si>
  <si>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</si>
  <si>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</si>
  <si>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</si>
  <si>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</si>
  <si>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</si>
  <si>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</si>
  <si>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</si>
  <si>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</si>
  <si>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</si>
  <si>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</si>
  <si>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</si>
  <si>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</si>
  <si>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</si>
  <si>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</si>
  <si>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</si>
  <si>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</si>
  <si>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</si>
  <si>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</si>
  <si>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</si>
  <si>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</si>
  <si>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</si>
  <si>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</si>
  <si>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</si>
  <si>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</si>
  <si>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</si>
  <si>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</si>
  <si>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</si>
  <si>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</si>
  <si>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</si>
  <si>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</si>
  <si>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</si>
  <si>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</si>
  <si>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</si>
  <si>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</si>
  <si>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</si>
  <si>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</si>
  <si>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</si>
  <si>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</si>
  <si>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</si>
  <si>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</si>
  <si>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</si>
  <si>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</si>
  <si>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</si>
  <si>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</si>
  <si>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</si>
  <si>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</si>
  <si>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</si>
  <si>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</si>
  <si>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</si>
  <si>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</si>
  <si>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</si>
  <si>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</si>
  <si>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</si>
  <si>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</si>
  <si>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</si>
  <si>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</si>
  <si>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</si>
  <si>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</si>
  <si>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</si>
  <si>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</si>
  <si>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</si>
  <si>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</si>
  <si>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</si>
  <si>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</si>
  <si>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</si>
  <si>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</si>
  <si>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</si>
  <si>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</si>
  <si>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</si>
  <si>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</si>
  <si>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</si>
  <si>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</si>
  <si>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</si>
  <si>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</si>
  <si>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</si>
  <si>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</si>
  <si>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</si>
  <si>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</si>
  <si>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</si>
  <si>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</si>
  <si>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</si>
  <si>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</si>
  <si>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</si>
  <si>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</si>
  <si>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</si>
  <si>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</si>
  <si>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</si>
  <si>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</si>
  <si>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</si>
  <si>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</si>
  <si>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</si>
  <si>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</si>
  <si>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</si>
  <si>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</si>
  <si>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</si>
  <si>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</si>
  <si>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</si>
  <si>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</si>
  <si>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</si>
  <si>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</si>
  <si>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</si>
  <si>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</si>
  <si>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</si>
  <si>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</si>
  <si>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</si>
  <si>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</si>
  <si>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</si>
  <si>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</si>
  <si>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</si>
  <si>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</si>
  <si>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</si>
  <si>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</si>
  <si>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</si>
  <si>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</si>
  <si>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</si>
  <si>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</si>
  <si>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</si>
  <si>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</si>
  <si>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</si>
  <si>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</si>
  <si>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</si>
  <si>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</si>
  <si>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</si>
  <si>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</si>
  <si>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</si>
  <si>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</si>
  <si>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</si>
  <si>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</si>
  <si>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</si>
  <si>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</si>
  <si>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</si>
  <si>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</si>
  <si>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</si>
  <si>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</si>
  <si>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</si>
  <si>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</si>
  <si>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</si>
  <si>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</si>
  <si>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</si>
  <si>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</si>
  <si>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</si>
  <si>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</si>
  <si>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</si>
  <si>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</si>
  <si>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</si>
  <si>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</si>
  <si>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</si>
  <si>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</si>
  <si>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</si>
  <si>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</si>
  <si>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</si>
  <si>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</si>
  <si>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</si>
  <si>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</si>
  <si>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</si>
  <si>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</si>
  <si>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</si>
  <si>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</si>
  <si>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</si>
  <si>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</si>
  <si>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</si>
  <si>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</si>
  <si>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</si>
  <si>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</si>
  <si>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</si>
  <si>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</si>
  <si>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</si>
  <si>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</si>
  <si>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</si>
  <si>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</si>
  <si>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</si>
  <si>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</si>
  <si>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</si>
  <si>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</si>
  <si>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</si>
  <si>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</si>
  <si>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</si>
  <si>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</si>
  <si>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</si>
  <si>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</si>
  <si>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</si>
  <si>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</si>
  <si>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</si>
  <si>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</si>
  <si>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</si>
  <si>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</si>
  <si>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</si>
  <si>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</si>
  <si>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</si>
  <si>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</si>
  <si>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</si>
  <si>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</si>
  <si>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</si>
  <si>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</si>
  <si>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</si>
  <si>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</si>
  <si>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</si>
  <si>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</si>
  <si>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</si>
  <si>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</si>
  <si>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</si>
  <si>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</si>
  <si>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</si>
  <si>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</si>
  <si>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</si>
  <si>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</si>
  <si>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</si>
  <si>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</si>
  <si>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</si>
  <si>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</si>
  <si>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</si>
  <si>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</si>
  <si>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</si>
  <si>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</si>
  <si>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</si>
  <si>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</si>
  <si>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</si>
  <si>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</si>
  <si>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</si>
  <si>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</si>
  <si>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</si>
  <si>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</si>
  <si>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</si>
  <si>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</si>
  <si>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</si>
  <si>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</si>
  <si>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</si>
  <si>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</si>
  <si>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</si>
  <si>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</si>
  <si>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</si>
  <si>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</si>
  <si>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</si>
  <si>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</si>
  <si>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</si>
  <si>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</si>
  <si>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</si>
  <si>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</si>
  <si>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</si>
  <si>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</si>
  <si>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</si>
  <si>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</si>
  <si>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</si>
  <si>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</si>
  <si>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</si>
  <si>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</si>
  <si>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</si>
  <si>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</si>
  <si>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</si>
  <si>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</si>
  <si>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</si>
  <si>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</si>
  <si>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</si>
  <si>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</si>
  <si>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</si>
  <si>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</si>
  <si>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</si>
  <si>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</si>
  <si>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</si>
  <si>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</si>
  <si>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</si>
  <si>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</si>
  <si>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</si>
  <si>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</si>
  <si>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</si>
  <si>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</si>
  <si>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</si>
  <si>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</si>
  <si>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</si>
  <si>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</si>
  <si>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</si>
  <si>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</si>
  <si>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</si>
  <si>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</si>
  <si>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</si>
  <si>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</si>
  <si>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</si>
  <si>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</si>
  <si>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</si>
  <si>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</si>
  <si>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</si>
  <si>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</si>
  <si>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</si>
  <si>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</si>
  <si>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</si>
  <si>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</si>
  <si>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</si>
  <si>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</si>
  <si>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</si>
  <si>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</si>
  <si>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</si>
  <si>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</si>
  <si>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</si>
  <si>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</si>
  <si>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</si>
  <si>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</si>
  <si>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</si>
  <si>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</si>
  <si>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</si>
  <si>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</si>
  <si>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</si>
  <si>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</si>
  <si>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</si>
  <si>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</si>
  <si>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</si>
  <si>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</si>
  <si>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</si>
  <si>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</si>
  <si>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</si>
  <si>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</si>
  <si>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</si>
  <si>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</si>
  <si>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</si>
  <si>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</si>
  <si>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</si>
  <si>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</si>
  <si>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</si>
  <si>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</si>
  <si>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</si>
  <si>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</si>
  <si>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</si>
  <si>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</si>
  <si>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</si>
  <si>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</si>
  <si>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</si>
  <si>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</si>
  <si>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</si>
  <si>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</si>
  <si>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</si>
  <si>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</si>
  <si>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</si>
  <si>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</si>
  <si>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</si>
  <si>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</si>
  <si>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</si>
  <si>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</si>
  <si>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</si>
  <si>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</si>
  <si>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</si>
  <si>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</si>
  <si>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</si>
  <si>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</si>
  <si>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</si>
  <si>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</si>
  <si>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</si>
  <si>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</si>
  <si>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</si>
  <si>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</si>
  <si>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</si>
  <si>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</si>
  <si>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</si>
  <si>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</si>
  <si>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</si>
  <si>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</si>
  <si>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</si>
  <si>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</si>
  <si>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</si>
  <si>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</si>
  <si>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</si>
  <si>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</si>
  <si>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</si>
  <si>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</si>
  <si>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</si>
  <si>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</si>
  <si>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</si>
  <si>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</si>
  <si>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</si>
  <si>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</si>
  <si>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</si>
  <si>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</si>
  <si>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</si>
  <si>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</si>
  <si>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</si>
  <si>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</si>
  <si>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</si>
  <si>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</si>
  <si>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</si>
  <si>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</si>
  <si>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</si>
  <si>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</si>
  <si>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</si>
  <si>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</si>
  <si>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</si>
  <si>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</si>
  <si>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</si>
  <si>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</si>
  <si>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</si>
  <si>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</si>
  <si>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</si>
  <si>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</si>
  <si>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</si>
  <si>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</si>
  <si>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</si>
  <si>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</si>
  <si>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</si>
  <si>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</si>
  <si>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</si>
  <si>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</si>
  <si>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</si>
  <si>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</si>
  <si>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</si>
  <si>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</si>
  <si>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</si>
  <si>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</si>
  <si>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</si>
  <si>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</si>
  <si>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</si>
  <si>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</si>
  <si>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</si>
  <si>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</si>
  <si>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</si>
  <si>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</si>
  <si>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</si>
  <si>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</si>
  <si>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</si>
  <si>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</si>
  <si>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</si>
  <si>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</si>
  <si>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</si>
  <si>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</si>
  <si>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</si>
  <si>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</si>
  <si>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</si>
  <si>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</si>
  <si>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</si>
  <si>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</si>
  <si>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</si>
  <si>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</si>
  <si>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</si>
  <si>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</si>
  <si>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</si>
  <si>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</si>
  <si>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</si>
  <si>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</si>
  <si>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</si>
  <si>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</si>
  <si>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</si>
  <si>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</si>
  <si>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</si>
  <si>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</si>
  <si>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</si>
  <si>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</si>
  <si>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</si>
  <si>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</si>
  <si>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</si>
  <si>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</si>
  <si>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</si>
  <si>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</si>
  <si>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</si>
  <si>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</si>
  <si>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</si>
  <si>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</si>
  <si>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</si>
  <si>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</si>
  <si>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</si>
  <si>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</si>
  <si>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</si>
  <si>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</si>
  <si>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</si>
  <si>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</si>
  <si>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</si>
  <si>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</si>
  <si>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</si>
  <si>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</si>
  <si>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</si>
  <si>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</si>
  <si>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</si>
  <si>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</si>
  <si>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</si>
  <si>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</si>
  <si>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</si>
  <si>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</si>
  <si>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</si>
  <si>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</si>
  <si>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</si>
  <si>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</si>
  <si>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</si>
  <si>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</si>
  <si>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</si>
  <si>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</si>
  <si>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</si>
  <si>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</si>
  <si>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</si>
  <si>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</si>
  <si>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</si>
  <si>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</si>
  <si>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</si>
  <si>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</si>
  <si>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</si>
  <si>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</si>
  <si>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</si>
  <si>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</si>
  <si>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</si>
  <si>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</si>
  <si>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</si>
  <si>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</si>
  <si>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</si>
  <si>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</si>
  <si>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</si>
  <si>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</si>
  <si>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</si>
  <si>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</si>
  <si>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</si>
  <si>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</si>
  <si>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</si>
  <si>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</si>
  <si>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</si>
  <si>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</si>
  <si>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</si>
  <si>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</si>
  <si>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</si>
  <si>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</si>
  <si>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</si>
  <si>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</si>
  <si>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</si>
  <si>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</si>
  <si>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</si>
  <si>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</si>
  <si>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</si>
  <si>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</si>
  <si>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</si>
  <si>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</si>
  <si>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</si>
  <si>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</si>
  <si>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</si>
  <si>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</si>
  <si>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</si>
  <si>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</si>
  <si>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</si>
  <si>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</si>
  <si>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</si>
  <si>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</si>
  <si>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</si>
  <si>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</si>
  <si>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</si>
  <si>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</si>
  <si>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</si>
  <si>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</si>
  <si>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</si>
  <si>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</si>
  <si>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</si>
  <si>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</si>
  <si>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</si>
  <si>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</si>
  <si>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</si>
  <si>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</si>
  <si>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</si>
  <si>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</si>
  <si>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</si>
  <si>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</si>
  <si>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</si>
  <si>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</si>
  <si>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</si>
  <si>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</si>
  <si>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</si>
  <si>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</si>
  <si>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</si>
  <si>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</si>
  <si>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</si>
  <si>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</si>
  <si>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</si>
  <si>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</si>
  <si>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</si>
  <si>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</si>
  <si>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</si>
  <si>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</si>
  <si>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</si>
  <si>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</si>
  <si>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</si>
  <si>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</si>
  <si>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</si>
  <si>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</si>
  <si>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</si>
  <si>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</si>
  <si>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</si>
  <si>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</si>
  <si>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</si>
  <si>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</si>
  <si>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</si>
  <si>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</si>
  <si>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</si>
  <si>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</si>
  <si>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</si>
  <si>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</si>
  <si>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</si>
  <si>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</si>
  <si>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</si>
  <si>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</si>
  <si>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</si>
  <si>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</si>
  <si>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</si>
  <si>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</si>
  <si>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</si>
  <si>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</si>
  <si>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</si>
  <si>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</si>
  <si>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</si>
  <si>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</si>
  <si>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</si>
  <si>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</si>
  <si>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</si>
  <si>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</si>
  <si>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</si>
  <si>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</si>
  <si>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</si>
  <si>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</si>
  <si>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</si>
  <si>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</si>
  <si>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</si>
  <si>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</si>
  <si>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</si>
  <si>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</si>
  <si>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</si>
  <si>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</si>
  <si>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</si>
  <si>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</si>
  <si>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</si>
  <si>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</si>
  <si>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</si>
  <si>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</si>
  <si>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</si>
  <si>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</si>
  <si>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</si>
  <si>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</si>
  <si>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</si>
  <si>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</si>
  <si>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</si>
  <si>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</si>
  <si>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</si>
  <si>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</si>
  <si>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</si>
  <si>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</si>
  <si>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</si>
  <si>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</si>
  <si>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</si>
  <si>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</si>
  <si>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</si>
  <si>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</si>
  <si>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</si>
  <si>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</si>
  <si>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</si>
  <si>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</si>
  <si>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</si>
  <si>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</si>
  <si>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</si>
  <si>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</si>
  <si>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</si>
  <si>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</si>
  <si>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</si>
  <si>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</si>
  <si>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</si>
  <si>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</si>
  <si>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</si>
  <si>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</si>
  <si>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</si>
  <si>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</si>
  <si>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</si>
  <si>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</si>
  <si>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</si>
  <si>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</si>
  <si>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</si>
  <si>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</si>
  <si>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</si>
  <si>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</si>
  <si>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</si>
  <si>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</si>
  <si>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</si>
  <si>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</si>
  <si>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</si>
  <si>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</si>
  <si>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</si>
  <si>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</si>
  <si>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</si>
  <si>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</si>
  <si>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</si>
  <si>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</si>
  <si>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</si>
  <si>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</si>
  <si>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</si>
  <si>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</si>
  <si>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</si>
  <si>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</si>
  <si>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</si>
  <si>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</si>
  <si>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</si>
  <si>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</si>
  <si>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</si>
  <si>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</si>
  <si>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</si>
  <si>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</si>
  <si>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</si>
  <si>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</si>
  <si>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</si>
  <si>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</si>
  <si>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</si>
  <si>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</si>
  <si>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</si>
  <si>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</si>
  <si>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</si>
  <si>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</si>
  <si>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</si>
  <si>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</si>
  <si>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</si>
  <si>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</si>
  <si>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</si>
  <si>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</si>
  <si>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</si>
  <si>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</si>
  <si>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</si>
  <si>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</si>
  <si>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</si>
  <si>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</si>
  <si>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</si>
  <si>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</si>
  <si>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</si>
  <si>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</si>
  <si>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</si>
  <si>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</si>
  <si>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</si>
  <si>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</si>
  <si>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</si>
  <si>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</si>
  <si>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</si>
  <si>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</si>
  <si>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</si>
  <si>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</si>
  <si>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</si>
  <si>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</si>
  <si>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</si>
  <si>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</si>
  <si>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</si>
  <si>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</si>
  <si>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</si>
  <si>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</si>
  <si>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</si>
  <si>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</si>
  <si>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</si>
  <si>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</si>
  <si>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</si>
  <si>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</si>
  <si>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</si>
  <si>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</si>
  <si>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</si>
  <si>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</si>
  <si>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</si>
  <si>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</si>
  <si>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</si>
  <si>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</si>
  <si>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</si>
  <si>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</si>
  <si>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</si>
  <si>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</si>
  <si>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</si>
  <si>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</si>
  <si>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</si>
  <si>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</si>
  <si>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</si>
  <si>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</si>
  <si>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</si>
  <si>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</si>
  <si>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</si>
  <si>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</si>
  <si>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</si>
  <si>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</si>
  <si>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</si>
  <si>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</si>
  <si>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</si>
  <si>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</si>
  <si>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</si>
  <si>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</si>
  <si>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</si>
  <si>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</si>
  <si>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</si>
  <si>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</si>
  <si>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</si>
  <si>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</si>
  <si>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</si>
  <si>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</si>
  <si>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</si>
  <si>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</si>
  <si>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</si>
  <si>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</si>
  <si>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</si>
  <si>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</si>
  <si>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</si>
  <si>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</si>
  <si>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</si>
  <si>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</si>
  <si>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</si>
  <si>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</si>
  <si>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</si>
  <si>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</si>
  <si>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</si>
  <si>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</si>
  <si>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</si>
  <si>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</si>
  <si>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</si>
  <si>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</si>
  <si>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</si>
  <si>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</si>
  <si>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</si>
  <si>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</si>
  <si>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</si>
  <si>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</si>
  <si>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</si>
  <si>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</si>
  <si>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</si>
  <si>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</si>
  <si>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</si>
  <si>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</si>
  <si>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</si>
  <si>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</si>
  <si>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</si>
  <si>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</si>
  <si>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</si>
  <si>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</si>
  <si>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</si>
  <si>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</si>
  <si>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</si>
  <si>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</si>
  <si>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</si>
  <si>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</si>
  <si>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</si>
  <si>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</si>
  <si>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</si>
  <si>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</si>
  <si>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</si>
  <si>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</si>
  <si>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</si>
  <si>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</si>
  <si>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</si>
  <si>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</si>
  <si>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</si>
  <si>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</si>
  <si>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</si>
  <si>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</si>
  <si>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</si>
  <si>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</si>
  <si>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</si>
  <si>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</si>
  <si>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</si>
  <si>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</si>
  <si>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</si>
  <si>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</si>
  <si>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</si>
  <si>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</si>
  <si>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</si>
  <si>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</si>
  <si>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</si>
  <si>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</si>
  <si>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</si>
  <si>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</si>
  <si>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</si>
  <si>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</si>
  <si>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</si>
  <si>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</si>
  <si>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</si>
  <si>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</si>
  <si>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</si>
  <si>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</si>
  <si>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</si>
  <si>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</si>
  <si>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</si>
  <si>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</si>
  <si>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</si>
  <si>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</si>
  <si>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</si>
  <si>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</si>
  <si>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</si>
  <si>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</si>
  <si>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</si>
  <si>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</si>
  <si>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</si>
  <si>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</si>
  <si>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</si>
  <si>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</si>
  <si>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</si>
  <si>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</si>
  <si>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</si>
  <si>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</si>
  <si>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</si>
  <si>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</si>
  <si>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</si>
  <si>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</si>
  <si>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</si>
  <si>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</si>
  <si>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</si>
  <si>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</si>
  <si>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</si>
  <si>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</si>
  <si>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</si>
  <si>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</si>
  <si>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</si>
  <si>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</si>
  <si>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</si>
  <si>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</si>
  <si>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</si>
  <si>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</si>
  <si>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</si>
  <si>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</si>
  <si>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</si>
  <si>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</si>
  <si>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</si>
  <si>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</si>
  <si>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</si>
  <si>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</si>
  <si>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</si>
  <si>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</si>
  <si>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</si>
  <si>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</si>
  <si>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</si>
  <si>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</si>
  <si>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</si>
  <si>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</si>
  <si>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</si>
  <si>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</si>
  <si>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</si>
  <si>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</si>
  <si>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</si>
  <si>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</si>
  <si>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</si>
  <si>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</si>
  <si>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</si>
  <si>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</si>
  <si>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</si>
  <si>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</si>
  <si>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</si>
  <si>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</si>
  <si>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</si>
  <si>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</si>
  <si>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</si>
  <si>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</si>
  <si>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</si>
  <si>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</si>
  <si>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</si>
  <si>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</si>
  <si>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</si>
  <si>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</si>
  <si>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</si>
  <si>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</si>
  <si>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</si>
  <si>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</si>
  <si>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</si>
  <si>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</si>
  <si>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</si>
  <si>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</si>
  <si>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</si>
  <si>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</si>
  <si>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</si>
  <si>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</si>
  <si>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</si>
  <si>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</si>
  <si>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</si>
  <si>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</si>
  <si>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</si>
  <si>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</si>
  <si>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</si>
  <si>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</si>
  <si>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</si>
  <si>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</si>
  <si>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</si>
  <si>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</si>
  <si>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</si>
  <si>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</si>
  <si>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</si>
  <si>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</si>
  <si>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</si>
  <si>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</si>
  <si>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</si>
  <si>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</si>
  <si>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</si>
  <si>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</si>
  <si>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</si>
  <si>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</si>
  <si>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</si>
  <si>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</si>
  <si>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</si>
  <si>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</si>
  <si>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</si>
  <si>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</si>
  <si>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</si>
  <si>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</si>
  <si>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</si>
  <si>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</si>
  <si>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</si>
  <si>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</si>
  <si>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</si>
  <si>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</si>
  <si>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</si>
  <si>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</si>
  <si>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</si>
  <si>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</si>
  <si>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</si>
  <si>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</si>
  <si>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</si>
  <si>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</si>
  <si>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</si>
  <si>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</si>
  <si>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</si>
  <si>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</si>
  <si>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</si>
  <si>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</si>
  <si>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</si>
  <si>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</si>
  <si>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</si>
  <si>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</si>
  <si>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</si>
  <si>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</si>
  <si>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</si>
  <si>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</si>
  <si>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</si>
  <si>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</si>
  <si>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</si>
  <si>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</si>
  <si>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</si>
  <si>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</si>
  <si>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</si>
  <si>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</si>
  <si>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</si>
  <si>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</si>
  <si>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</si>
  <si>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</si>
  <si>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</si>
  <si>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</si>
  <si>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</si>
  <si>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</si>
  <si>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</si>
  <si>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</si>
  <si>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</si>
  <si>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</si>
  <si>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</si>
  <si>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</si>
  <si>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</si>
  <si>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</si>
  <si>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</si>
  <si>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</si>
  <si>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</si>
  <si>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</si>
  <si>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</si>
  <si>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</si>
  <si>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</si>
  <si>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</si>
  <si>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</si>
  <si>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</si>
  <si>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</si>
  <si>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</si>
  <si>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</si>
  <si>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</si>
  <si>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</si>
  <si>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</si>
  <si>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</si>
  <si>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</si>
  <si>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</si>
  <si>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</si>
  <si>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</si>
  <si>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</si>
  <si>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</si>
  <si>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</si>
  <si>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</si>
  <si>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</si>
  <si>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</si>
  <si>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</si>
  <si>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</si>
  <si>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</si>
  <si>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</si>
  <si>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</si>
  <si>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</si>
  <si>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</si>
  <si>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</si>
  <si>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</si>
  <si>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</si>
  <si>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</si>
  <si>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</si>
  <si>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</si>
  <si>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</si>
  <si>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</si>
  <si>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</si>
  <si>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</si>
  <si>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</si>
  <si>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</si>
  <si>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</si>
  <si>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</si>
  <si>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</si>
  <si>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</si>
  <si>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</si>
  <si>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</si>
  <si>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</si>
  <si>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</si>
  <si>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</si>
  <si>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</si>
  <si>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</si>
  <si>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</si>
  <si>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</si>
  <si>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</si>
  <si>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</si>
  <si>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</si>
  <si>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</si>
  <si>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</si>
  <si>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</si>
  <si>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</si>
  <si>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</si>
  <si>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</si>
  <si>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</si>
  <si>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</si>
  <si>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</si>
  <si>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</si>
  <si>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</si>
  <si>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</si>
  <si>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</si>
  <si>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</si>
  <si>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</si>
  <si>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</si>
  <si>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</si>
  <si>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</si>
  <si>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</si>
  <si>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</si>
  <si>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</si>
  <si>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</si>
  <si>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</si>
  <si>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</si>
  <si>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</si>
  <si>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</si>
  <si>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</si>
  <si>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</si>
  <si>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</si>
  <si>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</si>
  <si>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</si>
  <si>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</si>
  <si>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</si>
  <si>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</si>
  <si>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</si>
  <si>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</si>
  <si>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</si>
  <si>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</si>
  <si>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</si>
  <si>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</si>
  <si>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</si>
  <si>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</si>
  <si>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</si>
  <si>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</si>
  <si>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</si>
  <si>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</si>
  <si>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</si>
  <si>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</si>
  <si>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</si>
  <si>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</si>
  <si>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</si>
  <si>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</si>
  <si>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</si>
  <si>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</si>
  <si>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</si>
  <si>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</si>
  <si>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</si>
  <si>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</si>
  <si>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</si>
  <si>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</si>
  <si>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</si>
  <si>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</si>
  <si>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</si>
  <si>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</si>
  <si>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</si>
  <si>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</si>
  <si>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</si>
  <si>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</si>
  <si>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</si>
  <si>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</si>
  <si>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</si>
  <si>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</si>
  <si>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</si>
  <si>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</si>
  <si>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</si>
  <si>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</si>
  <si>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</si>
  <si>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</si>
  <si>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</si>
  <si>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</si>
  <si>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</si>
  <si>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</si>
  <si>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</si>
  <si>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</si>
  <si>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</si>
  <si>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</si>
  <si>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</si>
  <si>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</si>
  <si>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</si>
  <si>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</si>
  <si>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</si>
  <si>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</si>
  <si>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</si>
  <si>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</si>
  <si>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</si>
  <si>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</si>
  <si>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</si>
  <si>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</si>
  <si>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</si>
  <si>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</si>
  <si>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</si>
  <si>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</si>
  <si>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</si>
  <si>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</si>
  <si>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</si>
  <si>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</si>
  <si>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</si>
  <si>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</si>
  <si>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</si>
  <si>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</si>
  <si>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</si>
  <si>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</si>
  <si>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</si>
  <si>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</si>
  <si>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</si>
  <si>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</si>
  <si>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</si>
  <si>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</si>
  <si>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</si>
  <si>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</si>
  <si>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</si>
  <si>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</si>
  <si>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</si>
  <si>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</si>
  <si>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</si>
  <si>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</si>
  <si>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</si>
  <si>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</si>
  <si>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</si>
  <si>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</si>
  <si>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</si>
  <si>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</si>
  <si>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</si>
  <si>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</si>
  <si>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</si>
  <si>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</si>
  <si>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</si>
  <si>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</si>
  <si>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</si>
  <si>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</si>
  <si>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</si>
  <si>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</si>
  <si>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</si>
  <si>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</si>
  <si>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</si>
  <si>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</si>
  <si>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</si>
  <si>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</si>
  <si>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</si>
  <si>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</si>
  <si>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</si>
  <si>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</si>
  <si>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</si>
  <si>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</si>
  <si>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</si>
  <si>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</si>
  <si>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</si>
  <si>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</si>
  <si>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</si>
  <si>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</si>
  <si>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</si>
  <si>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</si>
  <si>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</si>
  <si>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</si>
  <si>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</si>
  <si>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</si>
  <si>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</si>
  <si>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</si>
  <si>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</si>
  <si>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</si>
  <si>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</si>
  <si>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</si>
  <si>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</si>
  <si>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</si>
  <si>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</si>
  <si>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</si>
  <si>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</si>
  <si>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</si>
  <si>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</si>
  <si>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</si>
  <si>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</si>
  <si>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</si>
  <si>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</si>
  <si>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</si>
  <si>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</si>
  <si>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</si>
  <si>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</si>
  <si>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</si>
  <si>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</si>
  <si>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</si>
  <si>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</si>
  <si>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</si>
  <si>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</si>
  <si>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</si>
  <si>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</si>
  <si>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</si>
  <si>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</si>
  <si>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</si>
  <si>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</si>
  <si>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</si>
  <si>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</si>
  <si>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</si>
  <si>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</si>
  <si>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</si>
  <si>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</si>
  <si>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</si>
  <si>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</si>
  <si>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</si>
  <si>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</si>
  <si>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</si>
  <si>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</si>
  <si>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</si>
  <si>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</si>
  <si>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</si>
  <si>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</si>
  <si>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</si>
  <si>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</si>
  <si>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</si>
  <si>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</si>
  <si>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</si>
  <si>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</si>
  <si>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</si>
  <si>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</si>
  <si>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</si>
  <si>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</si>
  <si>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</si>
  <si>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</si>
  <si>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</si>
  <si>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</si>
  <si>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</si>
  <si>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</si>
  <si>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</si>
  <si>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</si>
  <si>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</si>
  <si>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</si>
  <si>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</si>
  <si>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</si>
  <si>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</si>
  <si>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</si>
  <si>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</si>
  <si>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</si>
  <si>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</si>
  <si>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</si>
  <si>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</si>
  <si>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</si>
  <si>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</si>
  <si>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</si>
  <si>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</si>
  <si>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</si>
  <si>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</si>
  <si>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</si>
  <si>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</si>
  <si>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</si>
  <si>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</si>
  <si>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</si>
  <si>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</si>
  <si>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</si>
  <si>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</si>
  <si>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</si>
  <si>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</si>
  <si>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</si>
  <si>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</si>
  <si>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</si>
  <si>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</si>
  <si>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</si>
  <si>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</si>
  <si>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</si>
  <si>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</si>
  <si>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</si>
  <si>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</si>
  <si>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</si>
  <si>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</si>
  <si>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</si>
  <si>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</si>
  <si>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</si>
  <si>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</si>
  <si>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</si>
  <si>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</si>
  <si>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</si>
  <si>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</si>
  <si>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</si>
  <si>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</si>
  <si>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</si>
  <si>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</si>
  <si>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</si>
  <si>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</si>
  <si>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</si>
  <si>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</si>
  <si>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</si>
  <si>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</si>
  <si>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</si>
  <si>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</si>
  <si>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</si>
  <si>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</si>
  <si>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</si>
  <si>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</si>
  <si>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</si>
  <si>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</si>
  <si>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</si>
  <si>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</si>
  <si>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</si>
  <si>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</si>
  <si>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</si>
  <si>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</si>
  <si>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</si>
  <si>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</si>
  <si>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</si>
  <si>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</si>
  <si>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</si>
  <si>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</si>
  <si>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</si>
  <si>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</si>
  <si>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</si>
  <si>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</si>
  <si>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</si>
  <si>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</si>
  <si>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</si>
  <si>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</si>
  <si>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</si>
  <si>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</si>
  <si>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</si>
  <si>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</si>
  <si>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</si>
  <si>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</si>
  <si>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</si>
  <si>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</si>
  <si>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</si>
  <si>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</si>
  <si>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</si>
  <si>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</si>
  <si>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</si>
  <si>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</si>
  <si>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</si>
  <si>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</si>
  <si>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</si>
  <si>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</si>
  <si>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</si>
  <si>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</si>
  <si>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</si>
  <si>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</si>
  <si>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</si>
  <si>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</si>
  <si>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</si>
  <si>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</si>
  <si>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</si>
  <si>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</si>
  <si>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</si>
  <si>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</si>
  <si>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</si>
  <si>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</si>
  <si>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</si>
  <si>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</si>
  <si>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</si>
  <si>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</si>
  <si>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</si>
  <si>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</si>
  <si>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</si>
  <si>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</si>
  <si>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</si>
  <si>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</si>
  <si>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</si>
  <si>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</si>
  <si>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</si>
  <si>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</si>
  <si>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</si>
  <si>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</si>
  <si>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</si>
  <si>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</si>
  <si>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</si>
  <si>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</si>
  <si>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</si>
  <si>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</si>
  <si>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</si>
  <si>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</si>
  <si>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</si>
  <si>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</si>
  <si>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</si>
  <si>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</si>
  <si>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</si>
  <si>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</si>
  <si>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</si>
  <si>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</si>
  <si>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</si>
  <si>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</si>
  <si>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</si>
  <si>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</si>
  <si>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</si>
  <si>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</si>
  <si>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</si>
  <si>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</si>
  <si>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</si>
  <si>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</si>
  <si>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</si>
  <si>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</si>
  <si>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</si>
  <si>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</si>
  <si>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</si>
  <si>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</si>
  <si>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</si>
  <si>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</si>
  <si>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</si>
  <si>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</si>
  <si>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</si>
  <si>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</si>
  <si>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</si>
  <si>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</si>
  <si>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</si>
  <si>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</si>
  <si>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</si>
  <si>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</si>
  <si>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</si>
  <si>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</si>
  <si>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</si>
  <si>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</si>
  <si>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</si>
  <si>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</si>
  <si>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</si>
  <si>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</si>
  <si>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</si>
  <si>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</si>
  <si>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</si>
  <si>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</si>
  <si>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</si>
  <si>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</si>
  <si>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</si>
  <si>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</si>
  <si>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</si>
  <si>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</si>
  <si>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</si>
  <si>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</si>
  <si>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</si>
  <si>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</si>
  <si>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</si>
  <si>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</si>
  <si>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</si>
  <si>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</si>
  <si>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</si>
  <si>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</si>
  <si>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</si>
  <si>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</si>
  <si>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</si>
  <si>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</si>
  <si>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</si>
  <si>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</si>
  <si>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</si>
  <si>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</si>
  <si>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</si>
  <si>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</si>
  <si>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</si>
  <si>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</si>
  <si>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</si>
  <si>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</si>
  <si>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</si>
  <si>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</si>
  <si>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</si>
  <si>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</si>
  <si>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</si>
  <si>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</si>
  <si>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</si>
  <si>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</si>
  <si>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</si>
  <si>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</si>
  <si>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</si>
  <si>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</si>
  <si>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</si>
  <si>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</si>
  <si>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</si>
  <si>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</si>
  <si>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</si>
  <si>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</si>
  <si>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</si>
  <si>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</si>
  <si>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</si>
  <si>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</si>
  <si>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</si>
  <si>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</si>
  <si>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</si>
  <si>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</si>
  <si>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</si>
  <si>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</si>
  <si>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</si>
  <si>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</si>
  <si>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</si>
  <si>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</si>
  <si>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</si>
  <si>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</si>
  <si>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</si>
  <si>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</si>
  <si>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</si>
  <si>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</si>
  <si>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</si>
  <si>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</si>
  <si>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</si>
  <si>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</si>
  <si>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</si>
  <si>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</si>
  <si>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</si>
  <si>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</si>
  <si>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</si>
  <si>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</si>
  <si>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</si>
  <si>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</si>
  <si>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</si>
  <si>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</si>
  <si>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</si>
  <si>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</si>
  <si>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</si>
  <si>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</si>
  <si>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</si>
  <si>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</si>
  <si>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</si>
  <si>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</si>
  <si>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</si>
  <si>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</si>
  <si>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</si>
  <si>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</si>
  <si>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</si>
  <si>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</si>
  <si>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</si>
  <si>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</si>
  <si>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</si>
  <si>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</si>
  <si>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</si>
  <si>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</si>
  <si>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</si>
  <si>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</si>
  <si>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</si>
  <si>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</si>
  <si>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</si>
  <si>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</si>
  <si>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</si>
  <si>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</si>
  <si>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</si>
  <si>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</si>
  <si>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</si>
  <si>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</si>
  <si>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</si>
  <si>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</si>
  <si>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</si>
  <si>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</si>
  <si>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</si>
  <si>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</si>
  <si>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</si>
  <si>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</si>
  <si>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</si>
  <si>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</si>
  <si>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</si>
  <si>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</si>
  <si>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</si>
  <si>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</si>
  <si>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</si>
  <si>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</si>
  <si>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</si>
  <si>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</si>
  <si>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</si>
  <si>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</si>
  <si>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</si>
  <si>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</si>
  <si>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</si>
  <si>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</si>
  <si>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</si>
  <si>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</si>
  <si>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</si>
  <si>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</si>
  <si>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</si>
  <si>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</si>
  <si>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</si>
  <si>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</si>
  <si>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</si>
  <si>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</si>
  <si>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</si>
  <si>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</si>
  <si>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</si>
  <si>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</si>
  <si>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</si>
  <si>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</si>
  <si>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</si>
  <si>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</si>
  <si>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</si>
  <si>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</si>
  <si>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</si>
  <si>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</si>
  <si>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</si>
  <si>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</si>
  <si>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</si>
  <si>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</si>
  <si>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</si>
  <si>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</si>
  <si>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</si>
  <si>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</si>
  <si>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</si>
  <si>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</si>
  <si>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</si>
  <si>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</si>
  <si>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</si>
  <si>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</si>
  <si>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</si>
  <si>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</si>
  <si>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</si>
  <si>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</si>
  <si>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</si>
  <si>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</si>
  <si>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</si>
  <si>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</si>
  <si>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</si>
  <si>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</si>
  <si>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</si>
  <si>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</si>
  <si>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</si>
  <si>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</si>
  <si>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</si>
  <si>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</si>
  <si>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</si>
  <si>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</si>
  <si>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</si>
  <si>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</si>
  <si>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</si>
  <si>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</si>
  <si>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</si>
  <si>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</si>
  <si>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</si>
  <si>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</si>
  <si>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</si>
  <si>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</si>
  <si>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</si>
  <si>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</si>
  <si>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</si>
  <si>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</si>
  <si>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</si>
  <si>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</si>
  <si>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</si>
  <si>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</si>
  <si>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</si>
  <si>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</si>
  <si>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</si>
  <si>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</si>
  <si>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</si>
  <si>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</si>
  <si>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</si>
  <si>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</si>
  <si>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</si>
  <si>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</si>
  <si>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</si>
  <si>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</si>
  <si>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</si>
  <si>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</si>
  <si>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</si>
  <si>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</si>
  <si>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</si>
  <si>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</si>
  <si>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</si>
  <si>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</si>
  <si>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</si>
  <si>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</si>
  <si>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</si>
  <si>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</si>
  <si>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</si>
  <si>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</si>
  <si>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</si>
  <si>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</si>
  <si>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</si>
  <si>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</si>
  <si>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</si>
  <si>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</si>
  <si>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</si>
  <si>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</si>
  <si>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</si>
  <si>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</si>
  <si>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</si>
  <si>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</si>
  <si>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</si>
  <si>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</si>
  <si>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</si>
  <si>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</si>
  <si>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</si>
  <si>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</si>
  <si>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</si>
  <si>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</si>
  <si>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</si>
  <si>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</si>
  <si>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</si>
  <si>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</si>
  <si>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</si>
  <si>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</si>
  <si>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</si>
  <si>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</si>
  <si>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</si>
  <si>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</si>
  <si>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</si>
  <si>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</si>
  <si>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</si>
  <si>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</si>
  <si>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</si>
  <si>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</si>
  <si>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</si>
  <si>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</si>
  <si>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</si>
  <si>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</si>
  <si>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</si>
  <si>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</si>
  <si>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</si>
  <si>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</si>
  <si>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</si>
  <si>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</si>
  <si>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</si>
  <si>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</si>
  <si>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</si>
  <si>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</si>
  <si>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</si>
  <si>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</si>
  <si>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</si>
  <si>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</si>
  <si>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</si>
  <si>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</si>
  <si>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</si>
  <si>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</si>
  <si>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</si>
  <si>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</si>
  <si>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</si>
  <si>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</si>
  <si>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</si>
  <si>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</si>
  <si>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</si>
  <si>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</si>
  <si>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</si>
  <si>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</si>
  <si>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</si>
  <si>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</si>
  <si>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</si>
  <si>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</si>
  <si>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</si>
  <si>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</si>
  <si>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</si>
  <si>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</si>
  <si>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</si>
  <si>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</si>
  <si>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</si>
  <si>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</si>
  <si>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</si>
  <si>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</si>
  <si>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</si>
  <si>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</si>
  <si>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</si>
  <si>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</si>
  <si>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</si>
  <si>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</si>
  <si>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</si>
  <si>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</si>
  <si>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</si>
  <si>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</si>
  <si>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</si>
  <si>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</si>
  <si>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</si>
  <si>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</si>
  <si>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</si>
  <si>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</si>
  <si>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</si>
  <si>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</si>
  <si>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</si>
  <si>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</si>
  <si>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</si>
  <si>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</si>
  <si>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</si>
  <si>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</si>
  <si>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</si>
  <si>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</si>
  <si>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</si>
  <si>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</si>
  <si>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</si>
  <si>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</si>
  <si>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</si>
  <si>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</si>
  <si>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</si>
  <si>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</si>
  <si>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</si>
  <si>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</si>
  <si>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</si>
  <si>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</si>
  <si>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</si>
  <si>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</si>
  <si>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</si>
  <si>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</si>
  <si>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</si>
  <si>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</si>
  <si>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</si>
  <si>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</si>
  <si>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</si>
  <si>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</si>
  <si>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</si>
  <si>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</si>
  <si>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</si>
  <si>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</si>
  <si>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</si>
  <si>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</si>
  <si>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</si>
  <si>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</si>
  <si>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</si>
  <si>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</si>
  <si>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</si>
  <si>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</si>
  <si>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</si>
  <si>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</si>
  <si>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</si>
  <si>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</si>
  <si>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</si>
  <si>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</si>
  <si>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</si>
  <si>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</si>
  <si>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</si>
  <si>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</si>
  <si>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</si>
  <si>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</si>
  <si>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</si>
  <si>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</si>
  <si>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</si>
  <si>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</si>
  <si>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</si>
  <si>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</si>
  <si>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</si>
  <si>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</si>
  <si>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</si>
  <si>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</si>
  <si>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</si>
  <si>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</si>
  <si>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</si>
  <si>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</si>
  <si>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</si>
  <si>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</si>
  <si>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</si>
  <si>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</si>
  <si>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</si>
  <si>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</si>
  <si>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</si>
  <si>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</si>
  <si>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</si>
  <si>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</si>
  <si>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</si>
  <si>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</si>
  <si>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</si>
  <si>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</si>
  <si>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</si>
  <si>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</si>
  <si>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</si>
  <si>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</si>
  <si>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</si>
  <si>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</si>
  <si>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</si>
  <si>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</si>
  <si>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</si>
  <si>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</si>
  <si>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</si>
  <si>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</si>
  <si>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</si>
  <si>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</si>
  <si>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</si>
  <si>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</si>
  <si>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</si>
  <si>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</si>
  <si>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</si>
  <si>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</si>
  <si>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</si>
  <si>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</si>
  <si>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</si>
  <si>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</si>
  <si>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</si>
  <si>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</si>
  <si>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</si>
  <si>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</si>
  <si>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</si>
  <si>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</si>
  <si>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</si>
  <si>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</si>
  <si>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</si>
  <si>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</si>
  <si>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</si>
  <si>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</si>
  <si>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</si>
  <si>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</si>
  <si>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</si>
  <si>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</si>
  <si>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</si>
  <si>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</si>
  <si>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</si>
  <si>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</si>
  <si>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</si>
  <si>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</si>
  <si>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</si>
  <si>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</si>
  <si>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</si>
  <si>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</si>
  <si>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</si>
  <si>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</si>
  <si>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</si>
  <si>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</si>
  <si>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</si>
  <si>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</si>
  <si>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</si>
  <si>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</si>
  <si>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</si>
  <si>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</si>
  <si>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</si>
  <si>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</si>
  <si>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</si>
  <si>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</si>
  <si>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</si>
  <si>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</si>
  <si>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</si>
  <si>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</si>
  <si>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</si>
  <si>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</si>
  <si>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</si>
  <si>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</si>
  <si>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</si>
  <si>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</si>
  <si>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</si>
  <si>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</si>
  <si>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</si>
  <si>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</si>
  <si>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</si>
  <si>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</si>
  <si>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</si>
  <si>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</si>
  <si>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</si>
  <si>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</si>
  <si>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</si>
  <si>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</si>
  <si>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</si>
  <si>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</si>
  <si>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</si>
  <si>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</si>
  <si>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</si>
  <si>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</si>
  <si>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</si>
  <si>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</si>
  <si>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</si>
  <si>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</si>
  <si>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</si>
  <si>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</si>
  <si>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</si>
  <si>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</si>
  <si>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</si>
  <si>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</si>
  <si>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</si>
  <si>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</si>
  <si>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</si>
  <si>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</si>
  <si>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</si>
  <si>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</si>
  <si>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</si>
  <si>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</si>
  <si>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</si>
  <si>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</si>
  <si>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</si>
  <si>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</si>
  <si>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</si>
  <si>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</si>
  <si>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</si>
  <si>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</si>
  <si>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</si>
  <si>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</si>
  <si>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</si>
  <si>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</si>
  <si>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</si>
  <si>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</si>
  <si>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</si>
  <si>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</si>
  <si>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</si>
  <si>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</si>
  <si>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</si>
  <si>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</si>
  <si>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</si>
  <si>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</si>
  <si>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</si>
  <si>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</si>
  <si>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</si>
  <si>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</si>
  <si>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</si>
  <si>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</si>
  <si>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</si>
  <si>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</si>
  <si>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</si>
  <si>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</si>
  <si>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</si>
  <si>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</si>
  <si>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</si>
  <si>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</si>
  <si>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</si>
  <si>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</si>
  <si>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</si>
  <si>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</si>
  <si>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</si>
  <si>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</si>
  <si>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</si>
  <si>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</si>
  <si>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</si>
  <si>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</si>
  <si>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</si>
  <si>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</si>
  <si>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</si>
  <si>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</si>
  <si>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</si>
  <si>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</si>
  <si>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</si>
  <si>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</si>
  <si>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</si>
  <si>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</si>
  <si>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</si>
  <si>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</si>
  <si>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</si>
  <si>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</si>
  <si>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</si>
  <si>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</si>
  <si>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</si>
  <si>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</si>
  <si>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</si>
  <si>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</si>
  <si>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</si>
  <si>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</si>
  <si>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</si>
  <si>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</si>
  <si>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</si>
  <si>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</si>
  <si>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</si>
  <si>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</si>
  <si>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</si>
  <si>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</si>
  <si>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</si>
  <si>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</si>
  <si>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</si>
  <si>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</si>
  <si>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</si>
  <si>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</si>
  <si>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</si>
  <si>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</si>
  <si>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</si>
  <si>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</si>
  <si>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</si>
  <si>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</si>
  <si>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</si>
  <si>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</si>
  <si>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</si>
  <si>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</si>
  <si>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</si>
  <si>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</si>
  <si>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</si>
  <si>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</si>
  <si>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</si>
  <si>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</si>
  <si>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</si>
  <si>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</si>
  <si>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</si>
  <si>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</si>
  <si>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</si>
  <si>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</si>
  <si>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</si>
  <si>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</si>
  <si>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</si>
  <si>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</si>
  <si>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</si>
  <si>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</si>
  <si>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</si>
  <si>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</si>
  <si>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</si>
  <si>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</si>
  <si>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</si>
  <si>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</si>
  <si>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</si>
  <si>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</si>
  <si>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</si>
  <si>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</si>
  <si>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</si>
  <si>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</si>
  <si>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</si>
  <si>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</si>
  <si>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</si>
  <si>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</si>
  <si>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</si>
  <si>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</si>
  <si>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</si>
  <si>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</si>
  <si>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</si>
  <si>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</si>
  <si>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</si>
  <si>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</si>
  <si>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</si>
  <si>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</si>
  <si>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</si>
  <si>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</si>
  <si>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</si>
  <si>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</si>
  <si>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</si>
  <si>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</si>
  <si>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</si>
  <si>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</si>
  <si>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</si>
  <si>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</si>
  <si>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</si>
  <si>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</si>
  <si>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</si>
  <si>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</si>
  <si>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</si>
  <si>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</si>
  <si>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</si>
  <si>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</si>
  <si>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</si>
  <si>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</si>
  <si>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</si>
  <si>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</si>
  <si>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</si>
  <si>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</si>
  <si>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</si>
  <si>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</si>
  <si>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</si>
  <si>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</si>
  <si>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</si>
  <si>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</si>
  <si>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</si>
  <si>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</si>
  <si>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</si>
  <si>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</si>
  <si>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</si>
  <si>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</si>
  <si>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</si>
  <si>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</si>
  <si>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</si>
  <si>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</si>
  <si>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</si>
  <si>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</si>
  <si>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</si>
  <si>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</si>
  <si>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</si>
  <si>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</si>
  <si>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</si>
  <si>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</si>
  <si>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</si>
  <si>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</si>
  <si>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</si>
  <si>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</si>
  <si>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</si>
  <si>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</si>
  <si>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</si>
  <si>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</si>
  <si>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</si>
  <si>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</si>
  <si>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</si>
  <si>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</si>
  <si>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</si>
  <si>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</si>
  <si>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</si>
  <si>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</si>
  <si>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</si>
  <si>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</si>
  <si>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</si>
  <si>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</si>
  <si>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</si>
  <si>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</si>
  <si>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</si>
  <si>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</si>
  <si>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</si>
  <si>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</si>
  <si>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</si>
  <si>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</si>
  <si>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</si>
  <si>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</si>
  <si>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</si>
  <si>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</si>
  <si>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</si>
  <si>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</si>
  <si>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</si>
  <si>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</si>
  <si>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</si>
  <si>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</si>
  <si>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</si>
  <si>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</si>
  <si>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</si>
  <si>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</si>
  <si>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</si>
  <si>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</si>
  <si>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</si>
  <si>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</si>
  <si>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</si>
  <si>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</si>
  <si>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</si>
  <si>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</si>
  <si>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</si>
  <si>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</si>
  <si>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</si>
  <si>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</si>
  <si>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</si>
  <si>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</si>
  <si>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</si>
  <si>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</si>
  <si>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</si>
  <si>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</si>
  <si>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</si>
  <si>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</si>
  <si>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</si>
  <si>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</si>
  <si>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</si>
  <si>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</si>
  <si>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</si>
  <si>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</si>
  <si>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</si>
  <si>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</si>
  <si>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</si>
  <si>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</si>
  <si>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</si>
  <si>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</si>
  <si>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</si>
  <si>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</si>
  <si>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</si>
  <si>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</si>
  <si>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</si>
  <si>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</si>
  <si>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</si>
  <si>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</si>
  <si>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</si>
  <si>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</si>
  <si>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</si>
  <si>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</si>
  <si>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</si>
  <si>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</si>
  <si>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</si>
  <si>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</si>
  <si>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</si>
  <si>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</si>
  <si>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</si>
  <si>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</si>
  <si>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</si>
  <si>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</si>
  <si>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</si>
  <si>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</si>
  <si>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</si>
  <si>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</si>
  <si>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</si>
  <si>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</si>
  <si>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</si>
  <si>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</si>
  <si>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</si>
  <si>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</si>
  <si>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</si>
  <si>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</si>
  <si>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</si>
  <si>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</si>
  <si>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</si>
  <si>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</si>
  <si>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</si>
  <si>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</si>
  <si>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</si>
  <si>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</si>
  <si>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</si>
  <si>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</si>
  <si>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</si>
  <si>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</si>
  <si>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</si>
  <si>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</si>
  <si>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</si>
  <si>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</si>
  <si>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</si>
  <si>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</si>
  <si>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</si>
  <si>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</si>
  <si>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</si>
  <si>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</si>
  <si>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</si>
  <si>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</si>
  <si>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</si>
  <si>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</si>
  <si>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</si>
  <si>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</si>
  <si>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</si>
  <si>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</si>
  <si>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</si>
  <si>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</si>
  <si>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</si>
  <si>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</si>
  <si>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</si>
  <si>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</si>
  <si>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</si>
  <si>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</si>
  <si>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</si>
  <si>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</si>
  <si>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</si>
  <si>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</si>
  <si>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</si>
  <si>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</si>
  <si>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</si>
  <si>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</si>
  <si>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</si>
  <si>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</si>
  <si>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</si>
  <si>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</si>
  <si>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</si>
  <si>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</si>
  <si>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</si>
  <si>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</si>
  <si>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</si>
  <si>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</si>
  <si>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</si>
  <si>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</si>
  <si>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</si>
  <si>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</si>
  <si>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</si>
  <si>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</si>
  <si>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</si>
  <si>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</si>
  <si>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</si>
  <si>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</si>
  <si>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</si>
  <si>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</si>
  <si>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</si>
  <si>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</si>
  <si>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</si>
  <si>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</si>
  <si>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</si>
  <si>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</si>
  <si>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</si>
  <si>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</si>
  <si>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</si>
  <si>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</si>
  <si>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</si>
  <si>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</si>
  <si>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</si>
  <si>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</si>
  <si>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</si>
  <si>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</si>
  <si>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</si>
  <si>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</si>
  <si>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</si>
  <si>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</si>
  <si>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</si>
  <si>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</si>
  <si>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</si>
  <si>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</si>
  <si>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</si>
  <si>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</si>
  <si>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</si>
  <si>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</si>
  <si>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</si>
  <si>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</si>
  <si>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</si>
  <si>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</si>
  <si>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</si>
  <si>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</si>
  <si>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</si>
  <si>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</si>
  <si>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</si>
  <si>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</si>
  <si>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</si>
  <si>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</si>
  <si>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</si>
  <si>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</si>
  <si>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</si>
  <si>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</si>
  <si>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</si>
  <si>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</si>
  <si>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</si>
  <si>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</si>
  <si>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</si>
  <si>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</si>
  <si>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</si>
  <si>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</si>
  <si>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</si>
  <si>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</si>
  <si>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</si>
  <si>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</si>
  <si>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</si>
  <si>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</si>
  <si>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</si>
  <si>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</si>
  <si>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</si>
  <si>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</si>
  <si>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</si>
  <si>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</si>
  <si>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</si>
  <si>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</si>
  <si>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</si>
  <si>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</si>
  <si>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</si>
  <si>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</si>
  <si>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</si>
  <si>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</si>
  <si>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</si>
  <si>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</si>
  <si>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</si>
  <si>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</si>
  <si>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</si>
  <si>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</si>
  <si>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</si>
  <si>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</si>
  <si>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</si>
  <si>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</si>
  <si>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</si>
  <si>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</si>
  <si>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</si>
  <si>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</si>
  <si>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</si>
  <si>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</si>
  <si>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</si>
  <si>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</si>
  <si>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</si>
  <si>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</si>
  <si>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</si>
  <si>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</si>
  <si>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</si>
  <si>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</si>
  <si>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</si>
  <si>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</si>
  <si>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</si>
  <si>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</si>
  <si>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</si>
  <si>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</si>
  <si>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</si>
  <si>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</si>
  <si>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</si>
  <si>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</si>
  <si>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</si>
  <si>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</si>
  <si>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</si>
  <si>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</si>
  <si>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</si>
  <si>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</si>
  <si>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</si>
  <si>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</si>
  <si>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</si>
  <si>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</si>
  <si>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</si>
  <si>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</si>
  <si>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</si>
  <si>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</si>
  <si>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</si>
  <si>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</si>
  <si>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</si>
  <si>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</si>
  <si>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</si>
  <si>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</si>
  <si>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</si>
  <si>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</si>
  <si>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</si>
  <si>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</si>
  <si>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</si>
  <si>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</si>
  <si>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</si>
  <si>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</si>
  <si>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</si>
  <si>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</si>
  <si>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</si>
  <si>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</si>
  <si>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</si>
  <si>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</si>
  <si>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</si>
  <si>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</si>
  <si>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</si>
  <si>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</si>
  <si>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</si>
  <si>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</si>
  <si>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</si>
  <si>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</si>
  <si>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</si>
  <si>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</si>
  <si>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</si>
  <si>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</si>
  <si>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</si>
  <si>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</si>
  <si>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</si>
  <si>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</si>
  <si>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</si>
  <si>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</si>
  <si>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</si>
  <si>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</si>
  <si>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</si>
  <si>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</si>
  <si>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</si>
  <si>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</si>
  <si>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</si>
  <si>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</si>
  <si>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</si>
  <si>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</si>
  <si>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</si>
  <si>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</si>
  <si>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</si>
  <si>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</si>
  <si>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</si>
  <si>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</si>
  <si>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</si>
  <si>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</si>
  <si>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</si>
  <si>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</si>
  <si>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</si>
  <si>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</si>
  <si>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</si>
  <si>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</si>
  <si>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</si>
  <si>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</si>
  <si>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</si>
  <si>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</si>
  <si>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</si>
  <si>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</si>
  <si>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</si>
  <si>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</si>
  <si>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</si>
  <si>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</si>
  <si>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</si>
  <si>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</si>
  <si>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</si>
  <si>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</si>
  <si>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</si>
  <si>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</si>
  <si>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</si>
  <si>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</si>
  <si>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</si>
  <si>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</si>
  <si>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</si>
  <si>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</si>
  <si>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</si>
  <si>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</si>
  <si>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</si>
  <si>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</si>
  <si>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</si>
  <si>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</si>
  <si>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</si>
  <si>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</si>
  <si>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</si>
  <si>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</si>
  <si>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</si>
  <si>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</si>
  <si>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</si>
  <si>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</si>
  <si>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</si>
  <si>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</si>
  <si>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</si>
  <si>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</si>
  <si>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</si>
  <si>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</si>
  <si>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</si>
  <si>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</si>
  <si>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</si>
  <si>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</si>
  <si>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</si>
  <si>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</si>
  <si>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</si>
  <si>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</si>
  <si>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</si>
  <si>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</si>
  <si>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</si>
  <si>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</si>
  <si>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</si>
  <si>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</si>
  <si>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</si>
  <si>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</si>
  <si>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</si>
  <si>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</si>
  <si>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</si>
  <si>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</si>
  <si>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</si>
  <si>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</si>
  <si>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</si>
  <si>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</si>
  <si>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</si>
  <si>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</si>
  <si>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</si>
  <si>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</si>
  <si>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</si>
  <si>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</si>
  <si>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</si>
  <si>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</si>
  <si>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</si>
  <si>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</si>
  <si>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</si>
  <si>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</si>
  <si>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</si>
  <si>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</si>
  <si>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</si>
  <si>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</si>
  <si>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</si>
  <si>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</si>
  <si>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</si>
  <si>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</si>
  <si>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</si>
  <si>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</si>
  <si>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</si>
  <si>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</si>
  <si>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</si>
  <si>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</si>
  <si>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</si>
  <si>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</si>
  <si>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</si>
  <si>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</si>
  <si>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</si>
  <si>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</si>
  <si>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</si>
  <si>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</si>
  <si>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</si>
  <si>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</si>
  <si>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</si>
  <si>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</si>
  <si>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</si>
  <si>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</si>
  <si>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</si>
  <si>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</si>
  <si>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</si>
  <si>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</si>
  <si>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</si>
  <si>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</si>
  <si>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</si>
  <si>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</si>
  <si>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</si>
  <si>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</si>
  <si>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</si>
  <si>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</si>
  <si>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</si>
  <si>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</si>
  <si>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</si>
  <si>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</si>
  <si>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</si>
  <si>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</si>
  <si>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</si>
  <si>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</si>
  <si>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</si>
  <si>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</si>
  <si>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</si>
  <si>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</si>
  <si>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</si>
  <si>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</si>
  <si>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</si>
  <si>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</si>
  <si>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</si>
  <si>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</si>
  <si>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</si>
  <si>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</si>
  <si>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</si>
  <si>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</si>
  <si>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</si>
  <si>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</si>
  <si>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</si>
  <si>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</si>
  <si>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</si>
  <si>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</si>
  <si>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</si>
  <si>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</si>
  <si>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</si>
  <si>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</si>
  <si>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</si>
  <si>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</si>
  <si>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</si>
  <si>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</si>
  <si>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</si>
  <si>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</si>
  <si>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</si>
  <si>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</si>
  <si>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</si>
  <si>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</si>
  <si>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</si>
  <si>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</si>
  <si>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</si>
  <si>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</si>
  <si>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</si>
  <si>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</si>
  <si>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</si>
  <si>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</si>
  <si>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</si>
  <si>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</si>
  <si>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</si>
  <si>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</si>
  <si>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</si>
  <si>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</si>
  <si>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</si>
  <si>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</si>
  <si>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</si>
  <si>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</si>
  <si>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</si>
  <si>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</si>
  <si>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</si>
  <si>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</si>
  <si>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</si>
  <si>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</si>
  <si>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</si>
  <si>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</si>
  <si>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</si>
  <si>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</si>
  <si>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</si>
  <si>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</si>
  <si>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</si>
  <si>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</si>
  <si>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</si>
  <si>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</si>
  <si>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</si>
  <si>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</si>
  <si>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</si>
  <si>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</si>
  <si>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</si>
  <si>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</si>
  <si>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</si>
  <si>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</si>
  <si>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</si>
  <si>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</si>
  <si>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</si>
  <si>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</si>
  <si>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</si>
  <si>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</si>
  <si>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</si>
  <si>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</si>
  <si>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</si>
  <si>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</si>
  <si>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</si>
  <si>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</si>
  <si>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</si>
  <si>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</si>
  <si>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</si>
  <si>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</si>
  <si>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</si>
  <si>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</si>
  <si>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</si>
  <si>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</si>
  <si>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</si>
  <si>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</si>
  <si>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</si>
  <si>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</si>
  <si>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</si>
  <si>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</si>
  <si>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</si>
  <si>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</si>
  <si>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</si>
  <si>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</si>
  <si>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</si>
  <si>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</si>
  <si>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</si>
  <si>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</si>
  <si>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</si>
  <si>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</si>
  <si>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</si>
  <si>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</si>
  <si>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</si>
  <si>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</si>
  <si>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</si>
  <si>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</si>
  <si>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</si>
  <si>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</si>
  <si>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</si>
  <si>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</si>
  <si>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</si>
  <si>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</si>
  <si>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</si>
  <si>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</si>
  <si>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</si>
  <si>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</si>
  <si>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</si>
  <si>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</si>
  <si>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</si>
  <si>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</si>
  <si>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</si>
  <si>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</si>
  <si>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</si>
  <si>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</si>
  <si>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</si>
  <si>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</si>
  <si>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</si>
  <si>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</si>
  <si>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</si>
  <si>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</si>
  <si>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</si>
  <si>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</si>
  <si>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</si>
  <si>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</si>
  <si>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</si>
  <si>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</si>
  <si>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</si>
  <si>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</si>
  <si>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</si>
  <si>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</si>
  <si>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</si>
  <si>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</si>
  <si>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</si>
  <si>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</si>
  <si>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</si>
  <si>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</si>
  <si>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</si>
  <si>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</si>
  <si>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</si>
  <si>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</si>
  <si>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</si>
  <si>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</si>
  <si>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</si>
  <si>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</si>
  <si>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</si>
  <si>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</si>
  <si>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</si>
  <si>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</si>
  <si>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</si>
  <si>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</si>
  <si>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</si>
  <si>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</si>
  <si>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</si>
  <si>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</si>
  <si>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</si>
  <si>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</si>
  <si>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</si>
  <si>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</si>
  <si>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</si>
  <si>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</si>
  <si>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</si>
  <si>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</si>
  <si>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</si>
  <si>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</si>
  <si>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</si>
  <si>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</si>
  <si>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</si>
  <si>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</si>
  <si>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</si>
  <si>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</si>
  <si>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</si>
  <si>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</si>
  <si>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</si>
  <si>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</si>
  <si>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</si>
  <si>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</si>
  <si>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</si>
  <si>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</si>
  <si>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</si>
  <si>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</si>
  <si>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</si>
  <si>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</si>
  <si>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</si>
  <si>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</si>
  <si>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</si>
  <si>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</si>
  <si>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</si>
  <si>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</si>
  <si>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</si>
  <si>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</si>
  <si>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</si>
  <si>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</si>
  <si>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</si>
  <si>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</si>
  <si>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</si>
  <si>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</si>
  <si>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</si>
  <si>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</si>
  <si>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</si>
  <si>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</si>
  <si>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</si>
  <si>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</si>
  <si>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</si>
  <si>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</si>
  <si>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</si>
  <si>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</si>
  <si>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</si>
  <si>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</si>
  <si>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</si>
  <si>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</si>
  <si>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</si>
  <si>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</si>
  <si>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</si>
  <si>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</si>
  <si>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</si>
  <si>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</si>
  <si>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</si>
  <si>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</si>
  <si>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</si>
  <si>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</si>
  <si>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</si>
  <si>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</si>
  <si>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</si>
  <si>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</si>
  <si>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</si>
  <si>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</si>
  <si>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</si>
  <si>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</si>
  <si>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</si>
  <si>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</si>
  <si>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</si>
  <si>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</si>
  <si>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</si>
  <si>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</si>
  <si>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</si>
  <si>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</si>
  <si>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</si>
  <si>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</si>
  <si>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</si>
  <si>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</si>
  <si>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</si>
  <si>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</si>
  <si>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</si>
  <si>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</si>
  <si>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</si>
  <si>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</si>
  <si>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</si>
  <si>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</si>
  <si>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</si>
  <si>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</si>
  <si>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</si>
  <si>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</si>
  <si>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</si>
  <si>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</si>
  <si>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</si>
  <si>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</si>
  <si>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</si>
  <si>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</si>
  <si>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</si>
  <si>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</si>
  <si>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</si>
  <si>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</si>
  <si>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</si>
  <si>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</si>
  <si>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</si>
  <si>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</si>
  <si>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</si>
  <si>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</si>
  <si>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</si>
  <si>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</si>
  <si>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</si>
  <si>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</si>
  <si>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</si>
  <si>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</si>
  <si>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</si>
  <si>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</si>
  <si>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</si>
  <si>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</si>
  <si>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</si>
  <si>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</si>
  <si>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</si>
  <si>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</si>
  <si>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</si>
  <si>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</si>
  <si>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</si>
  <si>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</si>
  <si>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</si>
  <si>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</si>
  <si>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</si>
  <si>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</si>
  <si>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</si>
  <si>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</si>
  <si>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</si>
  <si>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</si>
  <si>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</si>
  <si>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</si>
  <si>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</si>
  <si>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</si>
  <si>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</si>
  <si>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</si>
  <si>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</si>
  <si>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</si>
  <si>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</si>
  <si>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</si>
  <si>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</si>
  <si>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</si>
  <si>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</si>
  <si>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</si>
  <si>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</si>
  <si>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</si>
  <si>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</si>
  <si>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</si>
  <si>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</si>
  <si>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</si>
  <si>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</si>
  <si>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</si>
  <si>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</si>
  <si>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</si>
  <si>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</si>
  <si>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</si>
  <si>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</si>
  <si>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</si>
  <si>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</si>
  <si>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</si>
  <si>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</si>
  <si>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</si>
  <si>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</si>
  <si>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</si>
  <si>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</si>
  <si>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</si>
  <si>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</si>
  <si>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</si>
  <si>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</si>
  <si>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</si>
  <si>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</si>
  <si>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</si>
  <si>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</si>
  <si>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</si>
  <si>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</si>
  <si>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</si>
  <si>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</si>
  <si>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</si>
  <si>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</si>
  <si>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</si>
  <si>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</si>
  <si>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</si>
  <si>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</si>
  <si>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</si>
  <si>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</si>
  <si>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</si>
  <si>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</si>
  <si>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</si>
  <si>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</si>
  <si>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</si>
  <si>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</si>
  <si>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</si>
  <si>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</si>
  <si>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</si>
  <si>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</si>
  <si>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</si>
  <si>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</si>
  <si>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</si>
  <si>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</si>
  <si>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</si>
  <si>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</si>
  <si>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</si>
  <si>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</si>
  <si>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</si>
  <si>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</si>
  <si>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</si>
  <si>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</si>
  <si>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</si>
  <si>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</si>
  <si>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</si>
  <si>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</si>
  <si>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</si>
  <si>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</si>
  <si>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</si>
  <si>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</si>
  <si>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</si>
  <si>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</si>
  <si>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</si>
  <si>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</si>
  <si>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</si>
  <si>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</si>
  <si>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</si>
  <si>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</si>
  <si>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</si>
  <si>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</si>
  <si>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</si>
  <si>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</si>
  <si>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</si>
  <si>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</si>
  <si>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</si>
  <si>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</si>
  <si>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</si>
  <si>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</si>
  <si>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</si>
  <si>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</si>
  <si>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</si>
  <si>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</si>
  <si>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</si>
  <si>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</si>
  <si>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</si>
  <si>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</si>
  <si>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</si>
  <si>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</si>
  <si>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</si>
  <si>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</si>
  <si>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</si>
  <si>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</si>
  <si>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</si>
  <si>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</si>
  <si>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</si>
  <si>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</si>
  <si>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</si>
  <si>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</si>
  <si>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</si>
  <si>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</si>
  <si>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</si>
  <si>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</si>
  <si>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</si>
  <si>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</si>
  <si>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</si>
  <si>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</si>
  <si>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</si>
  <si>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</si>
  <si>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</si>
  <si>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</si>
  <si>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</si>
  <si>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</si>
  <si>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</si>
  <si>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</si>
  <si>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</si>
  <si>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</si>
  <si>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</si>
  <si>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</si>
  <si>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</si>
  <si>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</si>
  <si>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</si>
  <si>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</si>
  <si>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</si>
  <si>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</si>
  <si>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</si>
  <si>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</si>
  <si>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</si>
  <si>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</si>
  <si>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</si>
  <si>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</si>
  <si>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</si>
  <si>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</si>
  <si>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</si>
  <si>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</si>
  <si>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</si>
  <si>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</si>
  <si>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</si>
  <si>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</si>
  <si>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</si>
  <si>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</si>
  <si>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</si>
  <si>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</si>
  <si>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</si>
  <si>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</si>
  <si>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</si>
  <si>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</si>
  <si>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</si>
  <si>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</si>
  <si>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</si>
  <si>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</si>
  <si>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</si>
  <si>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</si>
  <si>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</si>
  <si>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</si>
  <si>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</si>
  <si>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</si>
  <si>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</si>
  <si>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</si>
  <si>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</si>
  <si>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</si>
  <si>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</si>
  <si>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</si>
  <si>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</si>
  <si>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</si>
  <si>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</si>
  <si>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</si>
  <si>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</si>
  <si>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</si>
  <si>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</si>
  <si>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</si>
  <si>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</si>
  <si>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</si>
  <si>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</si>
  <si>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</si>
  <si>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</si>
  <si>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</si>
  <si>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</si>
  <si>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</si>
  <si>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</si>
  <si>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</si>
  <si>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</si>
  <si>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</si>
  <si>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</si>
  <si>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</si>
  <si>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</si>
  <si>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</si>
  <si>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</si>
  <si>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</si>
  <si>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</si>
  <si>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</si>
  <si>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</si>
  <si>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</si>
  <si>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</si>
  <si>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</si>
  <si>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</si>
  <si>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</si>
  <si>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</si>
  <si>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</si>
  <si>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</si>
  <si>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</si>
  <si>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</si>
  <si>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</si>
  <si>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</si>
  <si>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</si>
  <si>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</si>
  <si>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</si>
  <si>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</si>
  <si>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</si>
  <si>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</si>
  <si>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</si>
  <si>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</si>
  <si>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</si>
  <si>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</si>
  <si>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</si>
  <si>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</si>
  <si>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</si>
  <si>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</si>
  <si>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</si>
  <si>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</si>
  <si>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</si>
  <si>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</si>
  <si>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</si>
  <si>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</si>
  <si>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</si>
  <si>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</si>
  <si>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</si>
  <si>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</si>
  <si>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</si>
  <si>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</si>
  <si>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</si>
  <si>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</si>
  <si>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</si>
  <si>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</si>
  <si>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</si>
  <si>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</si>
  <si>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</si>
  <si>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</si>
  <si>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</si>
  <si>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</si>
  <si>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</si>
  <si>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</si>
  <si>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</si>
  <si>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</si>
  <si>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</si>
  <si>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</si>
  <si>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</si>
  <si>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</si>
  <si>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</si>
  <si>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</si>
  <si>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</si>
  <si>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</si>
  <si>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</si>
  <si>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</si>
  <si>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</si>
  <si>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</si>
  <si>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</si>
  <si>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</si>
  <si>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</si>
  <si>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</si>
  <si>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</si>
  <si>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</si>
  <si>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</si>
  <si>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</si>
  <si>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</si>
  <si>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</si>
  <si>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</si>
  <si>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</si>
  <si>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</si>
  <si>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</si>
  <si>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</si>
  <si>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</si>
  <si>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</si>
  <si>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</si>
  <si>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</si>
  <si>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</si>
  <si>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</si>
  <si>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</si>
  <si>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</si>
  <si>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</si>
  <si>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</si>
  <si>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</si>
  <si>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</si>
  <si>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</si>
  <si>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</si>
  <si>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</si>
  <si>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</si>
  <si>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</si>
  <si>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</si>
  <si>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</si>
  <si>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</si>
  <si>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</si>
  <si>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</si>
  <si>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</si>
  <si>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</si>
  <si>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</si>
  <si>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</si>
  <si>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</si>
  <si>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</si>
  <si>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</si>
  <si>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</si>
  <si>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</si>
  <si>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</si>
  <si>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</si>
  <si>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</si>
  <si>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</si>
  <si>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</si>
  <si>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</si>
  <si>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</si>
  <si>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</si>
  <si>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</si>
  <si>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</si>
  <si>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</si>
  <si>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</si>
  <si>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</si>
  <si>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</si>
  <si>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</si>
  <si>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</si>
  <si>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</si>
  <si>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</si>
  <si>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</si>
  <si>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</si>
  <si>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</si>
  <si>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</si>
  <si>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</si>
  <si>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</si>
  <si>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</si>
  <si>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</si>
  <si>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</si>
  <si>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</si>
  <si>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</si>
  <si>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</si>
  <si>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</si>
  <si>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</si>
  <si>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</si>
  <si>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</si>
  <si>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</si>
  <si>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</si>
  <si>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</si>
  <si>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</si>
  <si>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</si>
  <si>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</si>
  <si>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</si>
  <si>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</si>
  <si>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</si>
  <si>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</si>
  <si>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</si>
  <si>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</si>
  <si>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</si>
  <si>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</si>
  <si>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</si>
  <si>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</si>
  <si>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</si>
  <si>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</si>
  <si>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</si>
  <si>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</si>
  <si>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</si>
  <si>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</si>
  <si>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</si>
  <si>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</si>
  <si>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</si>
  <si>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</si>
  <si>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</si>
  <si>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</si>
  <si>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</si>
  <si>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</si>
  <si>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</si>
  <si>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</si>
  <si>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</si>
  <si>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</si>
  <si>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</si>
  <si>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</si>
  <si>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</si>
  <si>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</si>
  <si>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</si>
  <si>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</si>
  <si>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</si>
  <si>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</si>
  <si>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</si>
  <si>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</si>
  <si>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</si>
  <si>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</si>
  <si>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</si>
  <si>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</si>
  <si>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</si>
  <si>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</si>
  <si>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</si>
  <si>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</si>
  <si>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</si>
  <si>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</si>
  <si>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</si>
  <si>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</si>
  <si>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</si>
  <si>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</si>
  <si>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</si>
  <si>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</si>
  <si>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</si>
  <si>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</si>
  <si>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</si>
  <si>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</si>
  <si>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</si>
  <si>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</si>
  <si>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</si>
  <si>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</si>
  <si>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</si>
  <si>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</si>
  <si>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</si>
  <si>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</si>
  <si>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</si>
  <si>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</si>
  <si>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</si>
  <si>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</si>
  <si>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</si>
  <si>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</si>
  <si>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</si>
  <si>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</si>
  <si>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</si>
  <si>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</si>
  <si>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</si>
  <si>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</si>
  <si>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</si>
  <si>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</si>
  <si>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</si>
  <si>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</si>
  <si>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</si>
  <si>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</si>
  <si>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</si>
  <si>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</si>
  <si>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</si>
  <si>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</si>
  <si>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</si>
  <si>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</si>
  <si>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</si>
  <si>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</si>
  <si>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</si>
  <si>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</si>
  <si>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</si>
  <si>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</si>
  <si>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</si>
  <si>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</si>
  <si>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</si>
  <si>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</si>
  <si>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</si>
  <si>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</si>
  <si>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</si>
  <si>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</si>
  <si>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</si>
  <si>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</si>
  <si>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</si>
  <si>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</si>
  <si>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</si>
  <si>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</si>
  <si>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</si>
  <si>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</si>
  <si>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</si>
  <si>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</si>
  <si>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</si>
  <si>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</si>
  <si>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</si>
  <si>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</si>
  <si>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</si>
  <si>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</si>
  <si>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</si>
  <si>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</si>
  <si>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</si>
  <si>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</si>
  <si>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</si>
  <si>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</si>
  <si>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</si>
  <si>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</si>
  <si>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</si>
  <si>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</si>
  <si>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</si>
  <si>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</si>
  <si>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</si>
  <si>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</si>
  <si>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</si>
  <si>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</si>
  <si>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</si>
  <si>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</si>
  <si>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</si>
  <si>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</si>
  <si>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</si>
  <si>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</si>
  <si>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</si>
  <si>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</si>
  <si>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</si>
  <si>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</si>
  <si>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</si>
  <si>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</si>
  <si>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</si>
  <si>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</si>
  <si>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</si>
  <si>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</si>
  <si>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</si>
  <si>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</si>
  <si>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</si>
  <si>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</si>
  <si>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</si>
  <si>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</si>
  <si>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</si>
  <si>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</si>
  <si>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</si>
  <si>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</si>
  <si>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</si>
  <si>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</si>
  <si>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</si>
  <si>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</si>
  <si>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</si>
  <si>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</si>
  <si>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</si>
  <si>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</si>
  <si>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</si>
  <si>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</si>
  <si>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</si>
  <si>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</si>
  <si>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</si>
  <si>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</si>
  <si>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</si>
  <si>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</si>
  <si>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</si>
  <si>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</si>
  <si>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</si>
  <si>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</si>
  <si>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</si>
  <si>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</si>
  <si>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</si>
  <si>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</si>
  <si>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</si>
  <si>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</si>
  <si>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</si>
  <si>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</si>
  <si>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</si>
  <si>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</si>
  <si>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</si>
  <si>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</si>
  <si>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</si>
  <si>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</si>
  <si>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</si>
  <si>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</si>
  <si>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</si>
  <si>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</si>
  <si>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</si>
  <si>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</si>
  <si>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</si>
  <si>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</si>
  <si>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</si>
  <si>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</si>
  <si>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</si>
  <si>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</si>
  <si>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</si>
  <si>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</si>
  <si>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</si>
  <si>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</si>
  <si>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</si>
  <si>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</si>
  <si>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</si>
  <si>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</si>
  <si>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</si>
  <si>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</si>
  <si>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</si>
  <si>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</si>
  <si>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</si>
  <si>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</si>
  <si>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</si>
  <si>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</si>
  <si>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</si>
  <si>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</si>
  <si>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</si>
  <si>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</si>
  <si>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</si>
  <si>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</si>
  <si>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</si>
  <si>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</si>
  <si>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</si>
  <si>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</si>
  <si>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</si>
  <si>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</si>
  <si>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</si>
  <si>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</si>
  <si>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</si>
  <si>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</si>
  <si>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</si>
  <si>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</si>
  <si>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</si>
  <si>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</si>
  <si>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</si>
  <si>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</si>
  <si>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</si>
  <si>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</si>
  <si>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</si>
  <si>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</si>
  <si>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</si>
  <si>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</si>
  <si>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</si>
  <si>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</si>
  <si>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</si>
  <si>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</si>
  <si>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</si>
  <si>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</si>
  <si>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</si>
  <si>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</si>
  <si>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</si>
  <si>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</si>
  <si>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</si>
  <si>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</si>
  <si>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</si>
  <si>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</si>
  <si>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</si>
  <si>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</si>
  <si>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</si>
  <si>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</si>
  <si>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</si>
  <si>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</si>
  <si>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</si>
  <si>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</si>
  <si>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</si>
  <si>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</si>
  <si>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</si>
  <si>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</si>
  <si>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</si>
  <si>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</si>
  <si>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</si>
  <si>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</si>
  <si>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</si>
  <si>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</si>
  <si>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</si>
  <si>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</si>
  <si>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</si>
  <si>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</si>
  <si>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</si>
  <si>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</si>
  <si>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</si>
  <si>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</si>
  <si>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</si>
  <si>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</si>
  <si>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</si>
  <si>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</si>
  <si>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</si>
  <si>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</si>
  <si>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</si>
  <si>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</si>
  <si>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</si>
  <si>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</si>
  <si>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</si>
  <si>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</si>
  <si>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</si>
  <si>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</si>
  <si>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</si>
  <si>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</si>
  <si>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</si>
  <si>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</si>
  <si>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</si>
  <si>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</si>
  <si>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</si>
  <si>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</si>
  <si>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</si>
  <si>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</si>
  <si>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</si>
  <si>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</si>
  <si>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</si>
  <si>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</si>
  <si>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</si>
  <si>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</si>
  <si>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</si>
  <si>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</si>
  <si>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</si>
  <si>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</si>
  <si>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</si>
  <si>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</si>
  <si>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</si>
  <si>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</si>
  <si>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</si>
  <si>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</si>
  <si>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</si>
  <si>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</si>
  <si>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</si>
  <si>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</si>
  <si>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</si>
  <si>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</si>
  <si>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</si>
  <si>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</si>
  <si>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</si>
  <si>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</si>
  <si>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</si>
  <si>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</si>
  <si>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</si>
  <si>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</si>
  <si>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</si>
  <si>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</si>
  <si>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</si>
  <si>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</si>
  <si>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</si>
  <si>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</si>
  <si>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</si>
  <si>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</si>
  <si>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</si>
  <si>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</si>
  <si>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</si>
  <si>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</si>
  <si>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</si>
  <si>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</si>
  <si>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</si>
  <si>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</si>
  <si>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</si>
  <si>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</si>
  <si>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</si>
  <si>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</si>
  <si>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</si>
  <si>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</si>
  <si>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</si>
  <si>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</si>
  <si>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</si>
  <si>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</si>
  <si>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</si>
  <si>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</si>
  <si>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</si>
  <si>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</si>
  <si>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</si>
  <si>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</si>
  <si>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</si>
  <si>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</si>
  <si>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</si>
  <si>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</si>
  <si>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</si>
  <si>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</si>
  <si>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</si>
  <si>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</si>
  <si>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</si>
  <si>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</si>
  <si>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</si>
  <si>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</si>
  <si>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</si>
  <si>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</si>
  <si>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</si>
  <si>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</si>
  <si>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</si>
  <si>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</si>
  <si>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</si>
  <si>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</si>
  <si>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</si>
  <si>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</si>
  <si>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</si>
  <si>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</si>
  <si>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</si>
  <si>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</si>
  <si>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</si>
  <si>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</si>
  <si>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</si>
  <si>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</si>
  <si>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</si>
  <si>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</si>
  <si>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</si>
  <si>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</si>
  <si>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</si>
  <si>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</si>
  <si>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</si>
  <si>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</si>
  <si>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</si>
  <si>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</si>
  <si>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</si>
  <si>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</si>
  <si>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</si>
  <si>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</si>
  <si>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</si>
  <si>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</si>
  <si>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</si>
  <si>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</si>
  <si>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</si>
  <si>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</si>
  <si>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</si>
  <si>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</si>
  <si>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</si>
  <si>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</si>
  <si>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</si>
  <si>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</si>
  <si>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</si>
  <si>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</si>
  <si>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</si>
  <si>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</si>
  <si>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</si>
  <si>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</si>
  <si>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</si>
  <si>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</si>
  <si>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</si>
  <si>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</si>
  <si>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</si>
  <si>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</si>
  <si>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</si>
  <si>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</si>
  <si>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</si>
  <si>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</si>
  <si>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</si>
  <si>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</si>
  <si>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</si>
  <si>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</si>
  <si>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</si>
  <si>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</si>
  <si>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</si>
  <si>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</si>
  <si>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</si>
  <si>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</si>
  <si>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</si>
  <si>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</si>
  <si>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</si>
  <si>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</si>
  <si>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</si>
  <si>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</si>
  <si>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</si>
  <si>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</si>
  <si>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</si>
  <si>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</si>
  <si>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</si>
  <si>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</si>
  <si>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</si>
  <si>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</si>
  <si>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</si>
  <si>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</si>
  <si>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</si>
  <si>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</si>
  <si>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</si>
  <si>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</si>
  <si>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</si>
  <si>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</si>
  <si>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</si>
  <si>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</si>
  <si>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</si>
  <si>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</si>
  <si>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</si>
  <si>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</si>
  <si>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</si>
  <si>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</si>
  <si>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</si>
  <si>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</si>
  <si>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</si>
  <si>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</si>
  <si>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</si>
  <si>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</si>
  <si>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</si>
  <si>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</si>
  <si>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</si>
  <si>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</si>
  <si>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</si>
  <si>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</si>
  <si>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</si>
  <si>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</si>
  <si>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</si>
  <si>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</si>
  <si>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</si>
  <si>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</si>
  <si>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</si>
  <si>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</si>
  <si>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</si>
  <si>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</si>
  <si>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</si>
  <si>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</si>
  <si>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</si>
  <si>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</si>
  <si>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</si>
  <si>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</si>
  <si>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</si>
  <si>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</si>
  <si>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</si>
  <si>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</si>
  <si>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</si>
  <si>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</si>
  <si>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</si>
  <si>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</si>
  <si>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</si>
  <si>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</si>
  <si>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</si>
  <si>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</si>
  <si>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</si>
  <si>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</si>
  <si>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</si>
  <si>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</si>
  <si>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</si>
  <si>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</si>
  <si>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</si>
  <si>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</si>
  <si>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</si>
  <si>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</si>
  <si>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</si>
  <si>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</si>
  <si>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</si>
  <si>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</si>
  <si>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</si>
  <si>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</si>
  <si>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</si>
  <si>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</si>
  <si>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</si>
  <si>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</si>
  <si>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</si>
  <si>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</si>
  <si>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</si>
  <si>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</si>
  <si>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</si>
  <si>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</si>
  <si>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</si>
  <si>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</si>
  <si>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</si>
  <si>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</si>
  <si>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</si>
  <si>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</si>
  <si>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</si>
  <si>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</si>
  <si>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</si>
  <si>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</si>
  <si>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</si>
  <si>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</si>
  <si>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</si>
  <si>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</si>
  <si>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</si>
  <si>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</si>
  <si>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</si>
  <si>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</si>
  <si>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</si>
  <si>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</si>
  <si>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</si>
  <si>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</si>
  <si>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</si>
  <si>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</si>
  <si>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</si>
  <si>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</si>
  <si>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</si>
  <si>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</si>
  <si>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</si>
  <si>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</si>
  <si>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</si>
  <si>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</si>
  <si>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</si>
  <si>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</si>
  <si>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</si>
  <si>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</si>
  <si>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</si>
  <si>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</si>
  <si>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</si>
  <si>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</si>
  <si>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</si>
  <si>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</si>
  <si>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</si>
  <si>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</si>
  <si>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</si>
  <si>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</si>
  <si>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</si>
  <si>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</si>
  <si>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</si>
  <si>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</si>
  <si>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</si>
  <si>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</si>
  <si>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</si>
  <si>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</si>
  <si>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</si>
  <si>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</si>
  <si>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</si>
  <si>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</si>
  <si>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</si>
  <si>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</si>
  <si>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</si>
  <si>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</si>
  <si>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</si>
  <si>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</si>
  <si>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</si>
  <si>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</si>
  <si>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</si>
  <si>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</si>
  <si>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</si>
  <si>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</si>
  <si>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</si>
  <si>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</si>
  <si>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</si>
  <si>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</si>
  <si>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</si>
  <si>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</si>
  <si>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</si>
  <si>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</si>
  <si>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</si>
  <si>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</si>
  <si>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</si>
  <si>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</si>
  <si>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</si>
  <si>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Liberado para expedição</t>
  </si>
  <si>
    <t>LIBERADO PARA EXPEDIÇÃO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</si>
  <si>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</si>
  <si>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</si>
  <si>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</si>
  <si>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</si>
  <si>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</si>
  <si>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</si>
  <si>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</si>
  <si>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</si>
  <si>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</si>
  <si>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</si>
  <si>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</si>
  <si>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</si>
  <si>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</si>
  <si>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</si>
  <si>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</si>
  <si>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</si>
  <si>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</si>
  <si>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</si>
  <si>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</si>
  <si>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</si>
  <si>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</si>
  <si>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</si>
  <si>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</si>
  <si>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</si>
  <si>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</si>
  <si>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</si>
  <si>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</si>
  <si>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</si>
  <si>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</si>
  <si>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</si>
  <si>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</si>
  <si>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</si>
  <si>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</si>
  <si>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</si>
  <si>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</si>
  <si>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</si>
  <si>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</si>
  <si>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</si>
  <si>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</si>
  <si>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</si>
  <si>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</si>
  <si>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</si>
  <si>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</si>
  <si>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</si>
  <si>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</si>
  <si>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</si>
  <si>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</si>
  <si>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</si>
  <si>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</si>
  <si>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</si>
  <si>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</si>
  <si>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</si>
  <si>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</si>
  <si>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</si>
  <si>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</si>
  <si>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</si>
  <si>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</si>
  <si>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</si>
  <si>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</si>
  <si>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</si>
  <si>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</si>
  <si>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</si>
  <si>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</si>
  <si>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</si>
  <si>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</si>
  <si>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</si>
  <si>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</si>
  <si>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</si>
  <si>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</si>
  <si>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</si>
  <si>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</si>
  <si>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</si>
  <si>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</si>
  <si>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</si>
  <si>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</si>
  <si>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</si>
  <si>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</si>
  <si>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</si>
  <si>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</si>
  <si>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</si>
  <si>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</si>
  <si>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</si>
  <si>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</si>
  <si>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</si>
  <si>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</si>
  <si>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</si>
  <si>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</si>
  <si>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</si>
  <si>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</si>
  <si>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</si>
  <si>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</si>
  <si>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</si>
  <si>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</si>
  <si>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</si>
  <si>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</si>
  <si>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</si>
  <si>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</si>
  <si>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</si>
  <si>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</si>
  <si>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</si>
  <si>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</si>
  <si>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</si>
  <si>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</si>
  <si>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</si>
  <si>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</si>
  <si>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</si>
  <si>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AGUARDADNO MATERIA PRIMA</t>
  </si>
  <si>
    <t>P.897</t>
  </si>
  <si>
    <t>NEW WAVE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</si>
  <si>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</si>
  <si>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</si>
  <si>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</si>
  <si>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</si>
  <si>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</si>
  <si>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</si>
  <si>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</si>
  <si>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</si>
  <si>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</si>
  <si>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</si>
  <si>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</si>
  <si>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</si>
  <si>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</si>
  <si>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</si>
  <si>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</si>
  <si>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</si>
  <si>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</si>
  <si>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</si>
  <si>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</si>
  <si>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</si>
  <si>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</si>
  <si>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</si>
  <si>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</si>
  <si>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</si>
  <si>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</si>
  <si>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</si>
  <si>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</si>
  <si>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</si>
  <si>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</si>
  <si>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</si>
  <si>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</si>
  <si>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</si>
  <si>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</si>
  <si>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</si>
  <si>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</si>
  <si>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</si>
  <si>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</si>
  <si>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</si>
  <si>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</si>
  <si>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</si>
  <si>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</si>
  <si>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</si>
  <si>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</si>
  <si>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</si>
  <si>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</si>
  <si>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</si>
  <si>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</si>
  <si>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</si>
  <si>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</si>
  <si>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</si>
  <si>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</si>
  <si>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</si>
  <si>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</si>
  <si>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</si>
  <si>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</si>
  <si>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</si>
  <si>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</si>
  <si>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</si>
  <si>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</si>
  <si>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</si>
  <si>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</si>
  <si>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</si>
  <si>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</si>
  <si>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</si>
  <si>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</si>
  <si>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</si>
  <si>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</si>
  <si>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</si>
  <si>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</si>
  <si>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</si>
  <si>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</si>
  <si>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</si>
  <si>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</si>
  <si>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</si>
  <si>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</si>
  <si>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</si>
  <si>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</si>
  <si>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</si>
  <si>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</si>
  <si>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</si>
  <si>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</si>
  <si>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</si>
  <si>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</si>
  <si>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</si>
  <si>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</si>
  <si>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</si>
  <si>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</si>
  <si>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</si>
  <si>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</si>
  <si>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</si>
  <si>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</si>
  <si>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</si>
  <si>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</si>
  <si>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</si>
  <si>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</si>
  <si>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</si>
  <si>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</si>
  <si>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</si>
  <si>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</si>
  <si>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</si>
  <si>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</si>
  <si>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</si>
  <si>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</si>
  <si>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</si>
  <si>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</si>
  <si>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</si>
  <si>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</si>
  <si>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</si>
  <si>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</si>
  <si>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</si>
  <si>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</si>
  <si>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</si>
  <si>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</si>
  <si>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</si>
  <si>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</si>
  <si>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</si>
  <si>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</si>
  <si>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</si>
  <si>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</si>
  <si>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</si>
  <si>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</si>
  <si>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</si>
  <si>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</si>
  <si>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</si>
  <si>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</si>
  <si>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</si>
  <si>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</si>
  <si>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</si>
  <si>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</si>
  <si>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</si>
  <si>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</si>
  <si>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</si>
  <si>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</si>
  <si>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MI-D-148-ME-DF-0138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</si>
  <si>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</si>
  <si>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</si>
  <si>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</si>
  <si>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</si>
  <si>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</si>
  <si>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</si>
  <si>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</si>
  <si>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</si>
  <si>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</si>
  <si>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</si>
  <si>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</si>
  <si>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</si>
  <si>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</si>
  <si>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</si>
  <si>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</si>
  <si>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</si>
  <si>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</si>
  <si>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</si>
  <si>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</si>
  <si>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</si>
  <si>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</si>
  <si>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</si>
  <si>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</si>
  <si>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</si>
  <si>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</si>
  <si>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</si>
  <si>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</si>
  <si>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</si>
  <si>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</si>
  <si>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</si>
  <si>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</si>
  <si>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</si>
  <si>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</si>
  <si>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</si>
  <si>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</si>
  <si>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</si>
  <si>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</si>
  <si>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</si>
  <si>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</si>
  <si>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</si>
  <si>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</si>
  <si>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</si>
  <si>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</si>
  <si>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</si>
  <si>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</si>
  <si>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</si>
  <si>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</si>
  <si>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</si>
  <si>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</si>
  <si>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</si>
  <si>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</si>
  <si>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</si>
  <si>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</si>
  <si>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</si>
  <si>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</si>
  <si>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</si>
  <si>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</si>
  <si>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</si>
  <si>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</si>
  <si>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</si>
  <si>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</si>
  <si>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</si>
  <si>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</si>
  <si>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</si>
  <si>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</si>
  <si>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</si>
  <si>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</si>
  <si>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</si>
  <si>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</si>
  <si>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</si>
  <si>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</si>
  <si>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</si>
  <si>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</si>
  <si>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</si>
  <si>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</si>
  <si>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</si>
  <si>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</si>
  <si>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</si>
  <si>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</si>
  <si>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</si>
  <si>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</si>
  <si>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</si>
  <si>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</si>
  <si>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</si>
  <si>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</si>
  <si>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</si>
  <si>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</si>
  <si>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</si>
  <si>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</si>
  <si>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</si>
  <si>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</si>
  <si>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</si>
  <si>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</si>
  <si>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</si>
  <si>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</si>
  <si>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</si>
  <si>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</si>
  <si>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</si>
  <si>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</si>
  <si>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</si>
  <si>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</si>
  <si>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</si>
  <si>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</si>
  <si>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</si>
  <si>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</si>
  <si>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</si>
  <si>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</si>
  <si>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</si>
  <si>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</si>
  <si>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</si>
  <si>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</si>
  <si>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</si>
  <si>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</si>
  <si>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</si>
  <si>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</si>
  <si>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</si>
  <si>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</si>
  <si>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</si>
  <si>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</si>
  <si>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</si>
  <si>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</si>
  <si>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</si>
  <si>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</si>
  <si>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</si>
  <si>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</si>
  <si>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</si>
  <si>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</si>
  <si>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</si>
  <si>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</si>
  <si>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</si>
  <si>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</si>
  <si>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</si>
  <si>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</si>
  <si>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</si>
  <si>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</si>
  <si>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</si>
  <si>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</si>
  <si>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</si>
  <si>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</si>
  <si>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</si>
  <si>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</si>
  <si>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</si>
  <si>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</si>
  <si>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</si>
  <si>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</si>
  <si>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</si>
  <si>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</si>
  <si>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</si>
  <si>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</si>
  <si>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</si>
  <si>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P206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</si>
  <si>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</si>
  <si>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</si>
  <si>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</si>
  <si>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</si>
  <si>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</si>
  <si>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</si>
  <si>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</si>
  <si>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</si>
  <si>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</si>
  <si>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</si>
  <si>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</si>
  <si>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</si>
  <si>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</si>
  <si>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</si>
  <si>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</si>
  <si>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</si>
  <si>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</si>
  <si>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</si>
  <si>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REVESTIMENTO DA SAPATA (REVESTIMENTO DA SAPATA) 73401A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</si>
  <si>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</si>
  <si>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</si>
  <si>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MECALD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</si>
  <si>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</si>
  <si>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</si>
  <si>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</si>
  <si>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</si>
  <si>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</si>
  <si>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</si>
  <si>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</si>
  <si>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</si>
  <si>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</si>
  <si>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</si>
  <si>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</si>
  <si>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</si>
  <si>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</si>
  <si>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</si>
  <si>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</si>
  <si>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</si>
  <si>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</si>
  <si>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</si>
  <si>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</si>
  <si>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</si>
  <si>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</si>
  <si>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</si>
  <si>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</si>
  <si>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</si>
  <si>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</si>
  <si>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</si>
  <si>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</si>
  <si>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</si>
  <si>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</si>
  <si>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</si>
  <si>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</si>
  <si>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</si>
  <si>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</si>
  <si>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</si>
  <si>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</si>
  <si>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</si>
  <si>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</si>
  <si>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</si>
  <si>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</si>
  <si>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</si>
  <si>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</si>
  <si>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</si>
  <si>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</si>
  <si>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</si>
  <si>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</si>
  <si>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</si>
  <si>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</si>
  <si>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</si>
  <si>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</si>
  <si>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</si>
  <si>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</si>
  <si>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</si>
  <si>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</si>
  <si>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</si>
  <si>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</si>
  <si>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</si>
  <si>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</si>
  <si>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</si>
  <si>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</si>
  <si>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</si>
  <si>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</si>
  <si>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</si>
  <si>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</si>
  <si>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</si>
  <si>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</si>
  <si>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</si>
  <si>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</si>
  <si>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</si>
  <si>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</si>
  <si>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</si>
  <si>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</si>
  <si>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</si>
  <si>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</si>
  <si>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</si>
  <si>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</si>
  <si>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</si>
  <si>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</si>
  <si>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</si>
  <si>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</si>
  <si>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</si>
  <si>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</si>
  <si>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</si>
  <si>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</si>
  <si>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</si>
  <si>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</si>
  <si>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</si>
  <si>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</si>
  <si>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</si>
  <si>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</si>
  <si>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</si>
  <si>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</si>
  <si>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</si>
  <si>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</si>
  <si>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</si>
  <si>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</si>
  <si>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</si>
  <si>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</si>
  <si>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</si>
  <si>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</si>
  <si>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</si>
  <si>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</si>
  <si>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</si>
  <si>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</si>
  <si>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</si>
  <si>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</si>
  <si>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</si>
  <si>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</si>
  <si>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</si>
  <si>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</si>
  <si>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</si>
  <si>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</si>
  <si>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</si>
  <si>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</si>
  <si>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</si>
  <si>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</si>
  <si>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</si>
  <si>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</si>
  <si>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</si>
  <si>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</si>
  <si>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</si>
  <si>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</si>
  <si>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</si>
  <si>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</si>
  <si>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</si>
  <si>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</si>
  <si>
    <t>T-073760-1</t>
  </si>
  <si>
    <t>MI-D-148-ME-DF-0139</t>
  </si>
  <si>
    <t>CHAPAS PROTEÇÕES PARTE MÓVEIS - CONJUNTOS E DETALHES (PROTEÇÃO 1) 73760-A</t>
  </si>
  <si>
    <t>CHAPAS PROTEÇÕES PARTE MÓVEIS - CONJUNTOS E DETALHES (PROTEÇÃO 2) 73760-B</t>
  </si>
  <si>
    <t>CHAPAS PROTEÇÕES PARTE MÓVEIS - CONJUNTOS E DETALHES (PROTEÇÃO 3) 73760-C</t>
  </si>
  <si>
    <t>CHAPAS PROTEÇÕES PARTE MÓVEIS - CONJUNTOS E DETALHES (PROTEÇÃO 4) 73760-D</t>
  </si>
  <si>
    <t>CHAPAS PROTEÇÕES PARTE MÓVEIS - CONJUNTOS E DETALHES (PROTEÇÃO 5) 73760-E</t>
  </si>
  <si>
    <t>ERO</t>
  </si>
  <si>
    <t>1 - 26/08/2026</t>
  </si>
  <si>
    <t>BASE P/ ROLO DE CARGA (BASE - 1) 73352-A</t>
  </si>
  <si>
    <t>BASE P/ ROLO DE CARGA (BASE - 2) 73352-A  - DIR./ESQ.</t>
  </si>
  <si>
    <t>BASE P/ ROLO DE IMPACTO (BASE 2) 73353-B DIR./ESQ.</t>
  </si>
  <si>
    <t>Ok</t>
  </si>
  <si>
    <t>T-073255-1</t>
  </si>
  <si>
    <t>BASE MANCAL TAMBOR DE DESVIO - DETALHES (REFORÇO DA BASE DO TAMBOR) 73253-C</t>
  </si>
  <si>
    <t xml:space="preserve">T-072983-1 </t>
  </si>
  <si>
    <t>Porca Sext. M16 DIN 934 Gr 8 GALVANIZADO - DESENHO:T-072983-1 (TAG:1073-TC-006/1073-TC-007)</t>
  </si>
  <si>
    <t>Parafuso Cab. Sext. M16 x 55 DIN 933 Gr 8.8 GALVANIZADO - DESENHO:T-072983-1 (TAG:1073-TC-006/1073-TC-007)</t>
  </si>
  <si>
    <t>Dobradiça p/ Porta 1/2" (Cachimbo) - DESENHO:T-072983-1 (TAG:1073-TC-006/1073-TC-007)</t>
  </si>
  <si>
    <t xml:space="preserve">T-072913-1 </t>
  </si>
  <si>
    <t>Parafuso Cab. Sext. Ø 5/8" x 1 3/4" ASTM A325 - GALVANIZADO DESENHO:T-072913-1 (TAG:1073-TC-0007)</t>
  </si>
  <si>
    <t>Porca Sext. Ø 5/8" ASTM A325 GALVANIZADO DESENHO:T-072913-1 (TAG:1073-TC-0007)</t>
  </si>
  <si>
    <t>Arruela Lisa Ø 5/8" ASTM A325 GALVANIZADO DESENHO:T-072913-1 (TAG:1073-TC-0007)</t>
  </si>
  <si>
    <t xml:space="preserve">T-072912-1 </t>
  </si>
  <si>
    <t>Parafuso Cab. Sext. Ø 5/8" x 1 3/4" ASTM A325 - GALVANIZADO DESENHO:T-072912-1 (TAG:1073-TC-0006)</t>
  </si>
  <si>
    <t>Porca Sext. Ø 5/8" ASTM A325 GALVANIZADO DESENHO:T-072912-1 (TAG:1073-TC-0006)</t>
  </si>
  <si>
    <t>Arruela Lisa Ø 5/8" ASTM A325 GALVANIZADO DESENHO:T-072912-1 (TAG:1073-TC-0006)</t>
  </si>
  <si>
    <t xml:space="preserve">T-072988-1 </t>
  </si>
  <si>
    <t>Parafuso Cab. Sext. Ø 3/8" x 1.1/2" ASTM A325 GALVANIZADO - DESENHO:T-072988-1 (TAG:1073-TC-006 /  1073-TC-007)</t>
  </si>
  <si>
    <t>Pino Graxeiro Ø 1/4" BSP - DESENHO:T-072988-1 (TAG:1073-TC-006 /  1073-TC-007)</t>
  </si>
  <si>
    <t xml:space="preserve">T-073002-1 </t>
  </si>
  <si>
    <t>Parafuso Cab. Sext. Ø 7/8" x 3 1/2" ASTM A325 GALVANIZADO - DESENHO:T-073002-1 (TAG:1073-TC-006 /  1073-TC-007)</t>
  </si>
  <si>
    <t>Porca Sext. Ø 7/8" ASTM A325 ANSI B18.2.2 GALVANIZADO - DESENHO:T-073002-1 (TAG:1073-TC-006 /  1073-TC-007)</t>
  </si>
  <si>
    <t>Arruela Lisa Ø 7/8" ASTM A325 ANSI B27.2 GALVANIZADO - DESENHO:T-073002-1 (TAG:1073-TC-006 /  1073-TC-007)</t>
  </si>
  <si>
    <t>Parafuso Cab. Sext. Ø 1" x 4" ASTM A325 GALVANIZADO - DESENHO:T-073002-1 (TAG:1073-TC-006 /  1073-TC-007)</t>
  </si>
  <si>
    <t>Porca Sext. Ø 1" ASTM A325 ANSI B18.2.2 GALVANIZADO - DESENHO:T-073002-1 (TAG:1073-TC-006 /  1073-TC-007)</t>
  </si>
  <si>
    <t>Arruela Lisa Ø 1" ASTM A325 ANSI B27.2 GALVANIZADO - DESENHO:T-073002-1 (TAG:1073-TC-006 /  1073-TC-007)</t>
  </si>
  <si>
    <t>Parafuso Cab. Sext. Ø 1/2" x 1 1/2" ASTM A307 GALVANIZADO - DESENHO:T-073002-1 (TAG:1073-TC-006 /  1073-TC-007)</t>
  </si>
  <si>
    <t>Porca Sext. Ø 1/2" ASTM A307 ANSI B18.2.2 GALVANIZADO - DESENHO:T-073002-1 (TAG:1073-TC-006 /  1073-TC-007)</t>
  </si>
  <si>
    <t>Arruela Lisa Ø 1/2" ASTM A307 ANSI B27.2 GALVANIZADO - DESENHO:T-073002-1 (TAG:1073-TC-006 /  1073-TC-007)</t>
  </si>
  <si>
    <t>Parafuso Cab. Sext. Ø 5/8" x 4" ASTM A325 - GALVANIZADO - DESENHO:T-073002-1 (TAG:1073-TC-006 /  1073-TC-007)</t>
  </si>
  <si>
    <t>Porca Sext. Ø 5/8" ASTM A325 ANSI B18.2.2 GALVANIZADO - DESENHO:T-073002-1 (TAG:1073-TC-006 /  1073-TC-007)</t>
  </si>
  <si>
    <t xml:space="preserve">T-073001-1 </t>
  </si>
  <si>
    <t>Parafuso Cab. Sext. Ø 5/8" x 2 1/2" ASTM A325 GALVANIZADO - DESENHO:T-073001-1 (TAG:1073-TC-006 /  1073-TC-007)</t>
  </si>
  <si>
    <t>Porca Sext. Ø 5/8" ASTM A325 ANSI B18.2.2 GALVANIZADO - DESENHO:T-073001-1 (TAG:1073-TC-006 /  1073-TC-007)</t>
  </si>
  <si>
    <t>Arruela Lisa Ø 5/8" ASTM A325 ANSI B27.2 GALVANIZADO - DESENHO:T-073001-1 (TAG:1073-TC-006 /  1073-TC-007)</t>
  </si>
  <si>
    <t>T-072912-1                            T-072913-1</t>
  </si>
  <si>
    <t>Parafuso Cab. Sext. Ø 5/8" x 1 3/4" ASTM A325 - GALVANIZADO (DESENHO:T-072912-1 e T-072913-1) TAG:1073-TC-0006</t>
  </si>
  <si>
    <t>Porca Sext. Ø 5/8" ASTM A325 ANSI B18.2.2 - GALVANIZADO (DESENHO:T-072912-1 e T-072913-1) TAG:1073-TC-0006</t>
  </si>
  <si>
    <t>Arruela Lisa Ø 5/8" ASTM A325 ANSI B27.2 - GALVANIZADO (DESENHO:T-072912-1 e T-072913-1) TAG:1073-TC-0006</t>
  </si>
  <si>
    <t>BBR-D-DF-1073-MDE-M-0062</t>
  </si>
  <si>
    <t>CONJ. CARRO DO ESTICAMENTO</t>
  </si>
  <si>
    <t>PINO DA RODA DO CARRO</t>
  </si>
  <si>
    <t>PINO DA RODA GUIA</t>
  </si>
  <si>
    <t>RODA GUIA</t>
  </si>
  <si>
    <t>RODA PLANA</t>
  </si>
  <si>
    <t>RODA CANA EM "V"</t>
  </si>
  <si>
    <t>BBR-D-DF-1073-MDE-K-0010</t>
  </si>
  <si>
    <t>ITEM 37 Caixa de junção A PROVA DE TEMPO, GASES, VAPORES, PÓS E JATOS D'ÁGUA, GRAU DE PROTEÇÃO IP 66 CONFORME ET "BBR-D-DF-1073-MDE-K-0010"</t>
  </si>
  <si>
    <t>BBR-D-DF-1073-MDE-K-0011</t>
  </si>
  <si>
    <t>ITEM 37 Caixa de junção A PROVA DE TEMPO, GASES, VAPORES, PÓS E JATOS D'ÁGUA, GRAU DE PROTEÇÃO IP 66 CONFORME ET "BBR-D-DF-1073-MDE-K-0011"</t>
  </si>
  <si>
    <t>ITEM 35 Sensor Indutivo PARA VIGIA DE VELOCIDADE.  TENSÃO DE ALIMENTAÇÃO: 20 a 250VCA/VCC CONFORME ET "BBR-D-DF-1073-MDE-K-0010"</t>
  </si>
  <si>
    <t>ITEM 35 Sensor Indutivo PARA VIGIA DE VELOCIDADE.  TENSÃO DE ALIMENTAÇÃO: 20 a 250VCA/VCC CONFORME ET "BBR-D-DF-1073-MDE-K-0011"</t>
  </si>
  <si>
    <t>ET 0188-00-037</t>
  </si>
  <si>
    <t xml:space="preserve">Balança Integradora conforme 
ET 0188-00-037
</t>
  </si>
  <si>
    <t>ET-0788-00-037</t>
  </si>
  <si>
    <t xml:space="preserve">Balança Integradora conforme 
ET-0788-00-037
</t>
  </si>
  <si>
    <t>T-072988-1</t>
  </si>
  <si>
    <t>CONJ. DE ROLDANAS</t>
  </si>
  <si>
    <t>BASE P/ MANCAL TAMBOR DE ACIONAMENTO</t>
  </si>
  <si>
    <t xml:space="preserve"> T-072974-1</t>
  </si>
  <si>
    <t>PINO Ø60 x 130 mm C/ CONTRA PINO</t>
  </si>
  <si>
    <t xml:space="preserve"> T-072975-1</t>
  </si>
  <si>
    <t>POS.17-18</t>
  </si>
  <si>
    <t xml:space="preserve"> T-072976-1</t>
  </si>
  <si>
    <t xml:space="preserve"> T-072991-1</t>
  </si>
  <si>
    <t>POS.19-20</t>
  </si>
  <si>
    <t>PINO Ø50 x 96 mm C/ CONTRA PINO</t>
  </si>
  <si>
    <t>P.205</t>
  </si>
  <si>
    <t>Em processo de fabricação</t>
  </si>
  <si>
    <t>2 - 27/08/2026</t>
  </si>
  <si>
    <t>Em Processo de fabricação</t>
  </si>
  <si>
    <t>ROLO DE CARGA 40x</t>
  </si>
  <si>
    <t>30x ROLOS IMPACTO</t>
  </si>
  <si>
    <t>10 ROLO DE IMPACTO</t>
  </si>
  <si>
    <t xml:space="preserve">Aguardadno transporte </t>
  </si>
  <si>
    <t>Entregue</t>
  </si>
  <si>
    <t>1 -21/08/2026</t>
  </si>
  <si>
    <t>2 - 20/08/2026</t>
  </si>
  <si>
    <t>4 - 20/08/2026</t>
  </si>
  <si>
    <t>3 - 13/08/2026</t>
  </si>
  <si>
    <t>2 - 13/08/2026</t>
  </si>
  <si>
    <t>1 - 19/08/2026</t>
  </si>
  <si>
    <t>3 - 19/08/2026</t>
  </si>
  <si>
    <t>T-073275-1</t>
  </si>
  <si>
    <t>MI-D-148-ME-DF-0104</t>
  </si>
  <si>
    <t>PLATAFORMA DE ACESSO - SUPORTE DO PIVÔ - DETALHES (PLATAFORMA) 73275-A</t>
  </si>
  <si>
    <t>T-073276-1</t>
  </si>
  <si>
    <t>MI-D-148-ME-DF-0105</t>
  </si>
  <si>
    <t>T-073277-1</t>
  </si>
  <si>
    <t>MI-D-148-ME-DF-0106</t>
  </si>
  <si>
    <t>PLATAFORMA DE ACESSO - PLATAFORMA LATERAL - DETALHES (PLATAFORMA LATERAL0 73276-A</t>
  </si>
  <si>
    <t>PLATAFORMA DE ACESSO - PLATAFORMA CENTRAL - DETALHES (PLATAFORMA CENTRAL)  73277-A</t>
  </si>
  <si>
    <t>PLATAFORMA DE ACESSO - PLATAFORMA CENTRAL - DETALHES (SUPORTE EIXO B)  73277-B</t>
  </si>
  <si>
    <t>MI-D-148-ME-DF-0175</t>
  </si>
  <si>
    <t>MI-D-148-ME-DF-0176</t>
  </si>
  <si>
    <t>T-073797-1</t>
  </si>
  <si>
    <t>PLATAFORMA DE ACESSO - ESCADA LATERAL DIREITA - DETALHES (ESCADA LATERAL DIREITA)  73797-A</t>
  </si>
  <si>
    <t>PLATAFORMA DE ACESSO - ESCADA LATERAL ESQUERDA - DETALHES (ESCADA LATERAL ESQUERDA)  73796-A</t>
  </si>
  <si>
    <t>T-073796-1</t>
  </si>
  <si>
    <t>T-073798-1</t>
  </si>
  <si>
    <t>MI-D-148-ME-DF-0177</t>
  </si>
  <si>
    <t>T-073799-1</t>
  </si>
  <si>
    <t>MI-D-148-ME-DF-0178</t>
  </si>
  <si>
    <t>T-073800-1</t>
  </si>
  <si>
    <t>MI-D-148-ME-DF-0179</t>
  </si>
  <si>
    <t>PLATAFORMA DE ACESSO - GUARDA CORPO  - DETALHES (GUARDA CORPO)  73800-A</t>
  </si>
  <si>
    <t>PLATAFORMA DE ACESSO - GUARDA CORPO DA ESCADA LATERAL DIREITA - DETALHES (GUARDA CORPO ESCADA)  73799-B</t>
  </si>
  <si>
    <t>PLATAFORMA DE ACESSO - GUARDA CORPO DA ESCADA LATERAL DIREITA - DETALHES (GUARDA CORPO ESCADA)  73799-A</t>
  </si>
  <si>
    <t>PLATAFORMA DE ACESSO - GUARDA CORPO DA ESCADA LATERAL ESQUERDA - DETALHES (GUARDA CORPO ESCADA)  73798-B</t>
  </si>
  <si>
    <t>PLATAFORMA DE ACESSO - GUARDA CORPO DA ESCADA LATERAL ESQUERDA - DETALHES (GUARDA CORPO ESCADA)  73798-A</t>
  </si>
  <si>
    <t>PLATAFORMA DE ACESSO - GUARDA CORPO  - DETALHES (GUARDA CORPO)  73800-B</t>
  </si>
  <si>
    <t>PLATAFORMA DE ACESSO - GUARDA CORPO  - DETALHES (GUARDA CORPO)  73800-C</t>
  </si>
  <si>
    <t>PLATAFORMA DE ACESSO - GUARDA CORPO  - DETALHES (GUARDA CORPO)  73800-D</t>
  </si>
  <si>
    <t>PLATAFORMA DE ACESSO - GUARDA CORPO  - DETALHES (GUARDA CORPO)  73800-E</t>
  </si>
  <si>
    <t>PLATAFORMA DE ACESSO - GUARDA CORPO  - DETALHES (GUARDA CORPO)  73800-F</t>
  </si>
  <si>
    <t>T-073918-1</t>
  </si>
  <si>
    <t>GUARDA CORPO ESCADA SUPERIOR LAADO ESQUERDO - DETALHES (GUARDA CORPO DIR.) 73918-A</t>
  </si>
  <si>
    <t>301-TRC-001</t>
  </si>
  <si>
    <t>P-215</t>
  </si>
  <si>
    <t>GUARDA CORPO ESCADA SUPERIOR LAADO ESQUERDO - DETALHES (GUARDA CORPO ESQ.) 73918-B</t>
  </si>
  <si>
    <t>GUARDA CORPO ESCADA SUPERIOR LAADO ESQUERDO - DETALHES (TRAVESSA DE FIXAÇÃO) 73918-D</t>
  </si>
  <si>
    <t>GUARDA CORPO ESCADA SUPERIOR LAADO ESQUERDO - DETALHES (TELA DE PROTEÇÃO 1) 73918-E</t>
  </si>
  <si>
    <t>GUARDA CORPO ESCADA SUPERIOR LAADO ESQUERDO - DETALHES (TELA DE PROTEÇÃO 2) 73918-F</t>
  </si>
  <si>
    <t>T-073917-1</t>
  </si>
  <si>
    <t>ESCADA SUPERIR LADO ESQUERDO - CONJUNTO E DETALHE (ESCADO LADO ESQUERDO) 73917-A</t>
  </si>
  <si>
    <t>T-073916-1</t>
  </si>
  <si>
    <t>PASSADIÇO E GUARDA CORPO DESVIO LADO ESQUERDO - CONJUNTO (GUARDA CORPO) 73916-A</t>
  </si>
  <si>
    <t>PASSADIÇO E GUARDA CORPO DESVIO LADO ESQUERDO - CONJUNTO (TRAVESSA DE FIXAÇÃO) 73916-B</t>
  </si>
  <si>
    <t>PASSADIÇO E GUARDA CORPO DESVIO LADO ESQUERDO - CONJUNTO (TRAVESSA DE FIXAÇÃO) 73916-C</t>
  </si>
  <si>
    <t>T-073915-1</t>
  </si>
  <si>
    <t>T-073912-1</t>
  </si>
  <si>
    <t>GUARDA CORPO ESCADA INFERIOR LADO ESQUERDO - CONJUNTO E DETALHES (GUARDA CORPO ESQ.) 73912-A</t>
  </si>
  <si>
    <t>GUARDA CORPO ESCADA INFERIOR LADO ESQUERDO - CONJUNTO E DETALHES (GUARDA CORPO DIR.) 73912-B</t>
  </si>
  <si>
    <t>T-073911-1</t>
  </si>
  <si>
    <t>ESCADA INFERIOR LADO ESQUERDO - CONJUNTO E DETALHE (ESCADA INFERIOR LADO ESQUERDO) 73911-A</t>
  </si>
  <si>
    <t xml:space="preserve"> PASSADIÇO E GUARDA LADO ESQUERDO PARTE 3 - DETALHES</t>
  </si>
  <si>
    <t>T-073914-1</t>
  </si>
  <si>
    <t>PASSADIÇO E GUARDA LADO ESQUERDO PARTE 2 - DETALHES</t>
  </si>
  <si>
    <t>T-073919-1</t>
  </si>
  <si>
    <t>PASSADIÇO E GUARDA CORPO DESVIO LADO ESQUERDO - DETALHES</t>
  </si>
  <si>
    <t>T-073913-1</t>
  </si>
  <si>
    <t>PASSADIÇO E GUARDA LADO ESQUERDO PARTE 1 - DETALHES</t>
  </si>
  <si>
    <t>REFORÇO</t>
  </si>
  <si>
    <t>BOSTON METAL</t>
  </si>
  <si>
    <t>Compra de matéria prima</t>
  </si>
  <si>
    <t>F-073361-1</t>
  </si>
  <si>
    <t>1-P-551-RB-DF-402-0102-TC09-034</t>
  </si>
  <si>
    <t>CHUTE DESCARGA - MÓDULO 02 - DETALHES (CHUTE MODULO 02) 034A</t>
  </si>
  <si>
    <t>CHUTE DESCARGA - MÓDULO 02 - DETALHES (BASE DE APOIO) 034B</t>
  </si>
  <si>
    <t>F-073341-1</t>
  </si>
  <si>
    <t>1-P-551-RB-DF-402-0102-TC09-030</t>
  </si>
  <si>
    <t>PRONTE TRELIÇADA  6 - 73341A</t>
  </si>
  <si>
    <t>T-073922-1</t>
  </si>
  <si>
    <t>PROTEÇÃO DO DESVIO LADO ESQUERDO - DETALHES (SUPORTE) 73922-A</t>
  </si>
  <si>
    <t>PROTEÇÃO DO DESVIO LADO ESQUERDO - DETALHES (PROTEÇÃO DESVIO 1 LADO ESQUERDO) 73922-B</t>
  </si>
  <si>
    <t>PROTEÇÃO DO DESVIO LADO ESQUERDO - DETALHES (PROTEÇÃO DESVIO 2 LADO ESQUERDO) 73922-C</t>
  </si>
  <si>
    <t>T-073921-1</t>
  </si>
  <si>
    <t>PROTEÇÃO DO DESVIO LADO ESQUERDO - DETALHES (SUPORTE 1) 73921-A</t>
  </si>
  <si>
    <t>PROTEÇÃO DO DESVIO LADO ESQUERDO - DETALHES (SUPORTE 2) 73921-B</t>
  </si>
  <si>
    <t>PROTEÇÃO DO DESVIO LADO ESQUERDO - DETALHES (PROTEÇÃO LATERAL 120 X 1000) 73921-C</t>
  </si>
  <si>
    <t>PROTEÇÃO DO DESVIO LADO ESQUERDO - DETALHES (PROTEÇÃO LATERAL 120 X 855) 73921-D</t>
  </si>
  <si>
    <t>PROTEÇÃO DO DESVIO LADO ESQUERDO - DETALHES (PROTEÇÃO LATERAL 120 X 654) 73921-E</t>
  </si>
  <si>
    <t>PROTEÇÃO DO DESVIO LADO ESQUERDO - DETALHES (PROTEÇÃO LATERAL 120 X 430) 73921-F</t>
  </si>
  <si>
    <t>PROTEÇÃO DO DESVIO LADO ESQUERDO - DETALHES (PROTEÇÃO LATERAL 120 X 715) 73921-G</t>
  </si>
  <si>
    <t>PROTEÇÃO DO DESVIO LADO ESQUERDO - DETALHES (PROTEÇÃO LATERAL 280 X 555) 73921-H</t>
  </si>
  <si>
    <t>PROTEÇÃO DO DESVIO LADO ESQUERDO - DETALHES (PROTEÇÃO LATERAL 120 X 680) 73921-J</t>
  </si>
  <si>
    <t>SEC2</t>
  </si>
  <si>
    <t>A-073520-1</t>
  </si>
  <si>
    <t>SUPORTE DO CHUTE - CONJUNTO E DETALHES (VIGA DIR.) 73520-A</t>
  </si>
  <si>
    <t>SUPORTE DO CHUTE - CONJUNTO E DETALHES (VIGA ESQ.) 73520-B</t>
  </si>
  <si>
    <t>SUPORTE DO CHUTE - CONJUNTO E DETALHES (TRAVESSA) 73520-C</t>
  </si>
  <si>
    <t>1 - 02/09/2026</t>
  </si>
  <si>
    <t>1- 02/09/2026</t>
  </si>
  <si>
    <t>1- 03/09/2026</t>
  </si>
  <si>
    <t>1- 04/09/2026</t>
  </si>
  <si>
    <t>PLATAFORMA DE ACESSO - SUPORTE DO PIVÔ - DETALHES (SUPORTE PIVÔ 2) 73275-B</t>
  </si>
  <si>
    <t>T- 073759-1</t>
  </si>
  <si>
    <t>CHAPA DESGASTE (HARDOX-500)  - CH 12,7 x 196 x 396 - 73759-A</t>
  </si>
  <si>
    <t>CHAPA DESGASTE (HARDOX-500) - CH 12,7 x 196 x 470 - 73759-B</t>
  </si>
  <si>
    <t>CHAPA DESGASTE (HARDOX-500) - CH 12,7 x 196 x 270 - 73759-C</t>
  </si>
  <si>
    <t>CHAPA DESGASTE (HARDOX-500) - CH 12,7 x 196 x 196 - 73759-D</t>
  </si>
  <si>
    <t>CHAPA DESGASTE (HARDOX-500) - CH 12,7 x 70 x 396 - 73759-E</t>
  </si>
  <si>
    <t>CHAPA DESGASTE (HARDOX-500) - CH 12,7 x 70 x 658 - 73759-F</t>
  </si>
  <si>
    <t>CHAPA DESGASTE (HARDOX-500) - CH 12,7 x 196 x 574 - 73759-G</t>
  </si>
  <si>
    <t>CHAPA DESGASTE (HARDOX-500) - CH 12,7 x 196 x 219 - 73759-H</t>
  </si>
  <si>
    <t>CHAPA DESGASTE (HARDOX-500) - CH 12,7 x 196 x 265 - 73759-J</t>
  </si>
  <si>
    <t>CHAPA DESGASTE (HARDOX-500) - CH 12,7 x 196 x 310 - 73759-K</t>
  </si>
  <si>
    <t>CHAPA DESGASTE (HARDOX-500) - CH 12,7 x 196 x 356 - 73759-L</t>
  </si>
  <si>
    <t>CHAPA DESGASTE (HARDOX-500) - CH 12,7 x 196 x 678 - 73759-M</t>
  </si>
  <si>
    <t>CHAPA DESGASTE (HARDOX-500) - CH 12,7 x 196 x 323 - 73759-N</t>
  </si>
  <si>
    <t>CHAPA DESGASTE (HARDOX-500) - CH 12,7 x 196 x 369 - 73759-O</t>
  </si>
  <si>
    <t>CHAPA DESGASTE (HARDOX-500) - CH 12,7 x 196 x 369 - 73759-P</t>
  </si>
  <si>
    <t>CHAPA DESGASTE (HARDOX-500) - CH 12,7 x 196 x 613 1DIR. 1ESQ. - 73759-Q</t>
  </si>
  <si>
    <t>CHAPA DESGASTE (HARDOX-500) - CH 12,7 x 196 x 570 1DIR. 1ESQ. - 73759-R</t>
  </si>
  <si>
    <t>CHAPA DESGASTE (HARDOX-500) - CH 12,7 x 196 x 527 1DIR. 1ESQ. - 73759-S</t>
  </si>
  <si>
    <t>CHAPA DESGASTE (HARDOX-500) - CH 12,7 x 196 x 647 1DIR. 1ESQ. - 73759-T</t>
  </si>
  <si>
    <t>CHAPA DESGASTE (HARDOX-500) - CH 12,7 x 295 x 385 1DIR. 1ESQ. - 73759-U</t>
  </si>
  <si>
    <t>CHAPA DESGASTE (HARDOX-500) - CH 12,7 x 196 x 396 1DIR. 1ESQ. - 73759-V</t>
  </si>
  <si>
    <t>CHAPA DESGASTE (HARDOX-500) - CH 12,7 x 196 x 743 1DIR. 1ESQ. - 73759-X</t>
  </si>
  <si>
    <t>CHAPA DESGASTE (HARDOX-500) - CH 12,7 x 196 x 550 1DIR. 1ESQ. - 73759-Z</t>
  </si>
  <si>
    <t>CHAPA DESGASTE (HARDOX-500) - CH 12,7 x 196 x 650 1DIR. 1ESQ. - 73759-AA</t>
  </si>
  <si>
    <t>CHAPA DESGASTE (HARDOX-500) - CH 12,7 x 196 x 614 1DIR. 1ESQ. - 73759-AB</t>
  </si>
  <si>
    <t>CHAPA DESGASTE (HARDOX-500) - CH 12,7 x 472 x 692 1DIR. 1ESQ. - 73759-AC</t>
  </si>
  <si>
    <t>CHAPA DESGASTE (HARDOX-500)- CH 12,7 x 472 x 692 1DIR. 1ESQ. - 73759-AD</t>
  </si>
  <si>
    <t>CHAPA DESGASTE (HARDOX-500) - CH 12,7 x 196 x 280  - 73759-AF</t>
  </si>
  <si>
    <t>CHAPA DESGASTE (HARDOX-500) - CH 12,7 x 196 x 280  - 73759-AG</t>
  </si>
  <si>
    <t>2- 04/09/2026</t>
  </si>
  <si>
    <t>CHAPAS PROTEÇÕES PARTE MÓVEIS - CONJUNTOS E DETALHES (PROTEÇÃO 6) 73760-F</t>
  </si>
  <si>
    <t>CHAPAS PROTEÇÕES PARTE MÓVEIS - CONJUNTOS E DETALHES (PROTEÇÃO 7) 73760-G</t>
  </si>
  <si>
    <t>CHAPAS PROTEÇÕES PARTE MÓVEIS - CONJUNTOS E DETALHES (PROTEÇÃO 8) 73760-H</t>
  </si>
  <si>
    <t>CHAPAS PROTEÇÕES PARTE MÓVEIS - CONJUNTOS E DETALHES (PROTEÇÃO 9) 73760-J</t>
  </si>
  <si>
    <t>CHAPAS PROTEÇÕES PARTE MÓVEIS - CONJUNTOS E DETALHES (PROTEÇÃO 10) 73760-K</t>
  </si>
  <si>
    <t>CHAPAS PROTEÇÕES PARTE MÓVEIS - CONJUNTOS E DETALHES (PROTEÇÃO 11) 73760-L</t>
  </si>
  <si>
    <t>CHAPAS PROTEÇÕES PARTE MÓVEIS - CONJUNTOS E DETALHES (PROTEÇÃO 12) 73760-M</t>
  </si>
  <si>
    <t>CHAPAS PROTEÇÕES PARTE MÓVEIS - CONJUNTOS E DETALHES (PROTEÇÃO 13) 73760-N</t>
  </si>
  <si>
    <t>Correia</t>
  </si>
  <si>
    <t xml:space="preserve">Em processo de compra </t>
  </si>
  <si>
    <t>CORREIA</t>
  </si>
  <si>
    <t>P218</t>
  </si>
  <si>
    <t>Comercial</t>
  </si>
  <si>
    <t>P-218</t>
  </si>
  <si>
    <t>P.898</t>
  </si>
  <si>
    <t>P.899</t>
  </si>
  <si>
    <t>P.900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</si>
</sst>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8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sz val="12"/>
      <name val="Calibri"/>
      <family val="2"/>
      <scheme val="minor"/>
    </font>
    <font>
      <b/>
      <sz val="14"/>
      <name val="Arial Narrow"/>
      <family val="2"/>
    </font>
    <font>
      <sz val="11"/>
      <color theme="1"/>
      <name val="Calibri"/>
      <family val="2"/>
      <scheme val="minor"/>
    </font>
    <font>
      <sz val="12"/>
      <name val="Calibri"/>
      <scheme val="minor"/>
    </font>
    <font>
      <sz val="12"/>
      <color rgb="FF002060"/>
      <name val="Calibri"/>
      <scheme val="minor"/>
    </font>
    <font>
      <sz val="11"/>
      <color theme="1"/>
      <name val="Calibri"/>
      <scheme val="minor"/>
    </font>
    <font>
      <b/>
      <sz val="14"/>
      <name val="Arial Narrow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2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91" fillId="0" borderId="79" xfId="0" applyFont="1" applyBorder="1" applyAlignment="1" applyProtection="1">
      <alignment horizontal="center" vertical="center"/>
      <protection locked="0"/>
    </xf>
    <xf numFmtId="164" fontId="1" fillId="0" borderId="1" xfId="0" applyNumberFormat="1" applyFont="1" applyBorder="1" applyAlignment="1" applyProtection="1">
      <alignment horizontal="center" vertical="center"/>
      <protection locked="0"/>
    </xf>
    <xf numFmtId="14" fontId="92" fillId="0" borderId="1" xfId="0" applyNumberFormat="1" applyFont="1" applyBorder="1" applyAlignment="1">
      <alignment vertical="center"/>
    </xf>
    <xf numFmtId="0" fontId="93" fillId="0" borderId="5" xfId="0" applyFont="1" applyBorder="1"/>
    <xf numFmtId="0" fontId="0" fillId="0" borderId="18" xfId="0" applyBorder="1"/>
    <xf numFmtId="0" fontId="86" fillId="71" borderId="18" xfId="0" applyFont="1" applyFill="1" applyBorder="1"/>
    <xf numFmtId="14" fontId="0" fillId="71" borderId="1" xfId="0" applyNumberFormat="1" applyFill="1" applyBorder="1"/>
    <xf numFmtId="0" fontId="0" fillId="71" borderId="64" xfId="0" applyFill="1" applyBorder="1"/>
    <xf numFmtId="0" fontId="89" fillId="71" borderId="5" xfId="0" applyFont="1" applyFill="1" applyBorder="1"/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0" fontId="94" fillId="0" borderId="79" xfId="0" applyNumberFormat="1" applyFont="1" applyFill="1" applyBorder="1" applyAlignment="1" applyProtection="1">
      <alignment horizontal="center" vertical="center" wrapText="1"/>
      <protection locked="0"/>
    </xf>
    <xf numFmtId="0" fontId="95" fillId="0" borderId="79" xfId="0" applyNumberFormat="1" applyFont="1" applyFill="1" applyBorder="1" applyAlignment="1" applyProtection="1">
      <alignment horizontal="center" vertical="center" wrapText="1"/>
      <protection locked="0"/>
    </xf>
    <xf numFmtId="0" fontId="96" fillId="0" borderId="5" xfId="0" applyFont="1" applyBorder="1" applyAlignment="1"/>
    <xf numFmtId="14" fontId="0" fillId="0" borderId="6" xfId="0" applyNumberFormat="1" applyBorder="1" applyAlignment="1"/>
    <xf numFmtId="0" fontId="0" fillId="0" borderId="13" xfId="0" applyBorder="1" applyAlignment="1"/>
    <xf numFmtId="0" fontId="5" fillId="0" borderId="59" xfId="0" applyFont="1" applyBorder="1" applyAlignment="1" applyProtection="1">
      <alignment horizontal="center" vertical="center"/>
      <protection locked="0"/>
    </xf>
    <xf numFmtId="0" fontId="1" fillId="0" borderId="79" xfId="0" applyNumberFormat="1" applyFont="1" applyBorder="1" applyAlignment="1">
      <alignment horizontal="center"/>
    </xf>
    <xf numFmtId="0" fontId="5" fillId="0" borderId="79" xfId="0" applyFont="1" applyBorder="1" applyProtection="1">
      <protection locked="0"/>
    </xf>
    <xf numFmtId="0" fontId="1" fillId="0" borderId="70" xfId="0" applyFont="1" applyFill="1" applyBorder="1" applyAlignment="1" applyProtection="1">
      <alignment horizontal="center" vertical="center"/>
      <protection locked="0"/>
    </xf>
    <xf numFmtId="0" fontId="5" fillId="0" borderId="7" xfId="0" applyNumberFormat="1" applyFont="1" applyBorder="1" applyAlignment="1">
      <alignment horizontal="center" vertical="center"/>
    </xf>
    <xf numFmtId="9" fontId="5" fillId="0" borderId="81" xfId="0" applyNumberFormat="1" applyFont="1" applyBorder="1" applyAlignment="1">
      <alignment horizontal="center" vertical="center"/>
    </xf>
    <xf numFmtId="9" fontId="5" fillId="0" borderId="6" xfId="0" applyNumberFormat="1" applyFont="1" applyBorder="1" applyAlignment="1">
      <alignment horizontal="center" vertical="center"/>
    </xf>
    <xf numFmtId="0" fontId="5" fillId="0" borderId="0" xfId="0" applyNumberFormat="1" applyFont="1" applyBorder="1"/>
    <xf numFmtId="0" fontId="5" fillId="0" borderId="0" xfId="0" applyFont="1" applyBorder="1"/>
    <xf numFmtId="165" fontId="5" fillId="0" borderId="0" xfId="0" applyNumberFormat="1" applyFont="1" applyBorder="1"/>
    <xf numFmtId="14" fontId="97" fillId="0" borderId="1" xfId="0" applyNumberFormat="1" applyFont="1" applyBorder="1" applyAlignment="1">
      <alignment vertical="center"/>
    </xf>
    <xf numFmtId="164" fontId="8" fillId="0" borderId="10" xfId="0" applyNumberFormat="1" applyFont="1" applyBorder="1" applyAlignment="1">
      <alignment horizontal="center"/>
    </xf>
    <xf numFmtId="14" fontId="0" fillId="0" borderId="14" xfId="0" applyNumberFormat="1" applyBorder="1" applyAlignment="1">
      <alignment horizontal="center" vertical="center"/>
    </xf>
    <xf numFmtId="1" fontId="0" fillId="0" borderId="14" xfId="0" applyNumberFormat="1" applyBorder="1" applyAlignment="1">
      <alignment horizontal="center" vertical="center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401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400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97.598500000000001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8.9472999999999985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10.351599999999999</c:v>
                </c:pt>
                <c:pt idx="4">
                  <c:v>10.814400000000001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35.840699999999998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16.2378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2.0099999999999998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61.757799999999996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20.366199999999999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12.686400000000001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81.562899999999999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4.4188999999999981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15.528999999999996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161" totalsRowShown="0" headerRowDxfId="399" tableBorderDxfId="398">
  <autoFilter ref="A1:AW1161" xr:uid="{00000000-000C-0000-FFFF-FFFF00000000}">
    <filterColumn colId="11">
      <filters>
        <filter val="P-899"/>
      </filters>
    </filterColumn>
  </autoFilter>
  <tableColumns count="49">
    <tableColumn id="1" xr3:uid="{00000000-0010-0000-0000-000001000000}" name="DESENHO_x000a_MDE" dataDxfId="397"/>
    <tableColumn id="43" xr3:uid="{56981E1B-CD3E-434D-AB02-C5F83A6F3E43}" name="DESENHO_x000a_CLIENTE" dataDxfId="396"/>
    <tableColumn id="2" xr3:uid="{00000000-0010-0000-0000-000002000000}" name="QTE" dataDxfId="395"/>
    <tableColumn id="3" xr3:uid="{00000000-0010-0000-0000-000003000000}" name="DESCRIÇÃO" dataDxfId="394"/>
    <tableColumn id="41" xr3:uid="{00000000-0010-0000-0000-000029000000}" name="COD.MDE" dataDxfId="393"/>
    <tableColumn id="40" xr3:uid="{00000000-0010-0000-0000-000028000000}" name="REMESSA" dataDxfId="392"/>
    <tableColumn id="4" xr3:uid="{00000000-0010-0000-0000-000004000000}" name="PESO UNI" dataDxfId="391"/>
    <tableColumn id="5" xr3:uid="{00000000-0010-0000-0000-000005000000}" name="PESO TOTAL" dataDxfId="390"/>
    <tableColumn id="6" xr3:uid="{00000000-0010-0000-0000-000006000000}" name="Revisão" dataDxfId="389"/>
    <tableColumn id="7" xr3:uid="{00000000-0010-0000-0000-000007000000}" name="TAG" dataDxfId="388"/>
    <tableColumn id="38" xr3:uid="{00000000-0010-0000-0000-000026000000}" name="PRODUTO" dataDxfId="387"/>
    <tableColumn id="8" xr3:uid="{00000000-0010-0000-0000-000008000000}" name="PEDIDO" dataDxfId="386"/>
    <tableColumn id="9" xr3:uid="{00000000-0010-0000-0000-000009000000}" name="Engenharia" dataDxfId="385"/>
    <tableColumn id="10" xr3:uid="{00000000-0010-0000-0000-00000A000000}" name="FORNECEDOR" dataDxfId="384"/>
    <tableColumn id="11" xr3:uid="{00000000-0010-0000-0000-00000B000000}" name="QTDE/ Fabricação" dataDxfId="383"/>
    <tableColumn id="12" xr3:uid="{00000000-0010-0000-0000-00000C000000}" name="DATA/Fabricação" dataDxfId="382"/>
    <tableColumn id="13" xr3:uid="{00000000-0010-0000-0000-00000D000000}" name="SALDO PENDENTE/Fabricação" dataDxfId="381"/>
    <tableColumn id="14" xr3:uid="{00000000-0010-0000-0000-00000E000000}" name="EVOLUÇÃO PRETO / Fabricação_x000a_(kg)" dataDxfId="380"/>
    <tableColumn id="15" xr3:uid="{00000000-0010-0000-0000-00000F000000}" name="PRONTO ACABADO kg" dataDxfId="379">
      <calculatedColumnFormula>IFERROR(H2*AG2,"")</calculatedColumnFormula>
    </tableColumn>
    <tableColumn id="16" xr3:uid="{00000000-0010-0000-0000-000010000000}" name="Pendencia  / Fabricação_x000a_EM KG" dataDxfId="378"/>
    <tableColumn id="17" xr3:uid="{00000000-0010-0000-0000-000011000000}" name="QIANTIDADE EXPEDIDA" dataDxfId="377"/>
    <tableColumn id="18" xr3:uid="{00000000-0010-0000-0000-000012000000}" name="ROMANEIO " dataDxfId="376"/>
    <tableColumn id="19" xr3:uid="{00000000-0010-0000-0000-000013000000}" name="DATA EXPEDIÇÃO" dataDxfId="375"/>
    <tableColumn id="20" xr3:uid="{00000000-0010-0000-0000-000014000000}" name="Peso Expedido" dataDxfId="374"/>
    <tableColumn id="21" xr3:uid="{00000000-0010-0000-0000-000015000000}" name="QUANTIDADE PENDENTE/Expedição" dataDxfId="373"/>
    <tableColumn id="22" xr3:uid="{00000000-0010-0000-0000-000016000000}" name="PESO PENDENTE/Expedição" dataDxfId="372"/>
    <tableColumn id="23" xr3:uid="{00000000-0010-0000-0000-000017000000}" name="MATÉRIA PRIMA" dataDxfId="371"/>
    <tableColumn id="24" xr3:uid="{00000000-0010-0000-0000-000018000000}" name="RELATORIO" dataDxfId="370"/>
    <tableColumn id="25" xr3:uid="{00000000-0010-0000-0000-000019000000}" name="PREPARAÇÃO " dataDxfId="369"/>
    <tableColumn id="26" xr3:uid="{00000000-0010-0000-0000-00001A000000}" name="CALDEIRARIA" dataDxfId="368"/>
    <tableColumn id="27" xr3:uid="{00000000-0010-0000-0000-00001B000000}" name="SOLDA" dataDxfId="367"/>
    <tableColumn id="28" xr3:uid="{00000000-0010-0000-0000-00001C000000}" name="ACABAMENTO" dataDxfId="366"/>
    <tableColumn id="29" xr3:uid="{00000000-0010-0000-0000-00001D000000}" name="PRONTO ACABADO" dataDxfId="365"/>
    <tableColumn id="30" xr3:uid="{00000000-0010-0000-0000-00001E000000}" name="EXPEDIÇÃO " dataDxfId="364"/>
    <tableColumn id="31" xr3:uid="{00000000-0010-0000-0000-00001F000000}" name="FINALIZADO " dataDxfId="363"/>
    <tableColumn id="32" xr3:uid="{00000000-0010-0000-0000-000020000000}" name="Coluna1" dataDxfId="362"/>
    <tableColumn id="33" xr3:uid="{00000000-0010-0000-0000-000021000000}" name="Coluna2" dataDxfId="361"/>
    <tableColumn id="34" xr3:uid="{00000000-0010-0000-0000-000022000000}" name="Coluna3" dataDxfId="360"/>
    <tableColumn id="35" xr3:uid="{00000000-0010-0000-0000-000023000000}" name="Coluna4" dataDxfId="359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358"/>
    <tableColumn id="42" xr3:uid="{44772FB5-94B9-4683-9D51-42A525419432}" name="Colunas7" dataDxfId="357"/>
    <tableColumn id="44" xr3:uid="{7DBCA215-A831-41EC-8668-4217050D7CEF}" name="Coluna5" dataDxfId="356"/>
    <tableColumn id="52" xr3:uid="{0F1E3E30-ACD2-41A7-9FEB-CFC4141C720F}" name="PRONTO NO PRETO" dataDxfId="355"/>
    <tableColumn id="53" xr3:uid="{7B42991E-C57D-449B-9CA4-FF51ED3B7EE1}" name="PRONTO ACABADO3" dataDxfId="354"/>
    <tableColumn id="54" xr3:uid="{B185D57F-2904-41B4-A913-414AD30553DC}" name="PESO EXPEDIDO2" dataDxfId="353"/>
    <tableColumn id="55" xr3:uid="{216FC5C0-1E81-4ACF-B1FE-D38AAA1F26E6}" name="PRONTO ACABADO2" dataDxfId="352"/>
    <tableColumn id="57" xr3:uid="{58807113-78D0-4422-B88A-8E66792B9681}" name="Coluna7" dataDxfId="351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7" totalsRowShown="0" headerRowDxfId="350" headerRowBorderDxfId="349" tableBorderDxfId="348" totalsRowBorderDxfId="347">
  <autoFilter ref="A1:F27" xr:uid="{9E04BDB3-7991-400D-A075-6EF4E207F167}"/>
  <tableColumns count="6">
    <tableColumn id="1" xr3:uid="{0986BF72-EBA9-4CAA-A22C-20021A2F0193}" name="PEDIDO" dataDxfId="346"/>
    <tableColumn id="2" xr3:uid="{1E29E510-3230-4D4A-9101-BF1603DA1959}" name="EQUIPAMENTO" dataDxfId="345"/>
    <tableColumn id="3" xr3:uid="{27EA8246-98FE-4DF0-AB4F-2563340E3A33}" name="DATA PREVISTA " dataDxfId="344"/>
    <tableColumn id="4" xr3:uid="{178705E0-20E1-4EA8-BD6A-04EDA09B960F}" name="DATA REPROGRAMADA" dataDxfId="343"/>
    <tableColumn id="5" xr3:uid="{D69E8AE6-FCF7-4D70-8443-DFF41092DBA5}" name="Observação" dataDxfId="342"/>
    <tableColumn id="6" xr3:uid="{7ED96CF2-6F65-4A02-A0B9-FFDE23E894EB}" name="CLIENTE" dataDxfId="341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340">
  <autoFilter ref="D3:R395" xr:uid="{D635AFD0-01A4-4F4C-B4BB-2C0A84AFA373}"/>
  <tableColumns count="15">
    <tableColumn id="1" xr3:uid="{71019319-E348-41C4-90A8-BD800AFA385A}" name="TAG" dataDxfId="339"/>
    <tableColumn id="2" xr3:uid="{6205B1F5-4B96-401E-A8F0-D0B582A87E91}" name="PEDIDO" dataDxfId="338">
      <calculatedColumnFormula>VLOOKUP(Tabela2[[#This Row],[TAG]],MICRO!J:L,3,0)</calculatedColumnFormula>
    </tableColumn>
    <tableColumn id="3" xr3:uid="{EBC41BBB-459B-4DB5-8152-2C7C2C7ADFAA}" name="FORNECEDOR" dataDxfId="337" dataCellStyle="Normal 2"/>
    <tableColumn id="4" xr3:uid="{EE719B42-3B82-4AC6-AB4D-66A5AF76AAFC}" name="RECEBIDO ENGENHARIA (kg)" dataDxfId="336">
      <calculatedColumnFormula>SUMIF(MICRO!AP:AP,O:O,MICRO!H:H)</calculatedColumnFormula>
    </tableColumn>
    <tableColumn id="5" xr3:uid="{F8EF71F0-2467-40E6-8596-0C50AE8B2E56}" name="EM AVANÇO NO PRETO (kg)" dataDxfId="335">
      <calculatedColumnFormula>SUMIF(MICRO!AP:AP,O:O,MICRO!R:R)</calculatedColumnFormula>
    </tableColumn>
    <tableColumn id="6" xr3:uid="{70FA8036-1726-409E-865E-BBD68DD0CF2B}" name="Pendencia  / Fabricação_x000a_EM KG _x000a_(Kg)" dataDxfId="334">
      <calculatedColumnFormula>SUMIF(MICRO!AP:AP,O:O,MICRO!T:T)</calculatedColumnFormula>
    </tableColumn>
    <tableColumn id="7" xr3:uid="{2EDBF5C8-B6A0-4234-9B37-F4D245CBE335}" name="EVOLUÇÃO %" dataDxfId="333">
      <calculatedColumnFormula>IF(G4 = 0,0,H4/G4)</calculatedColumnFormula>
    </tableColumn>
    <tableColumn id="8" xr3:uid="{981D372E-5C81-43AA-82CF-C526D0CD7BC5}" name="PESO EXPEDIDO" dataDxfId="332">
      <calculatedColumnFormula>SUMIF(MICRO!AP:AP,O:O,MICRO!X:X)</calculatedColumnFormula>
    </tableColumn>
    <tableColumn id="9" xr3:uid="{9581E1B5-4976-4A66-B050-5EDFF64499FF}" name="% EXPEDIDO" dataDxfId="331">
      <calculatedColumnFormula>IF(G4&lt;&gt;0,SUM(K4/G4*1),"0%")</calculatedColumnFormula>
    </tableColumn>
    <tableColumn id="10" xr3:uid="{5A0DEF47-FBD5-46D6-A019-DB5E3CF46E5B}" name="PESO PENDENTE4" dataDxfId="330">
      <calculatedColumnFormula>G4-K4</calculatedColumnFormula>
    </tableColumn>
    <tableColumn id="11" xr3:uid="{AD13F8E0-0652-4176-B922-E74BEC175E7A}" name="Coluna1" dataDxfId="329">
      <calculatedColumnFormula>E4&amp;F4</calculatedColumnFormula>
    </tableColumn>
    <tableColumn id="12" xr3:uid="{9AB5E2D8-1AD6-4B63-A9ED-66372E94A48F}" name="Coluna2" dataDxfId="328">
      <calculatedColumnFormula>D4&amp;E4&amp;F4</calculatedColumnFormula>
    </tableColumn>
    <tableColumn id="13" xr3:uid="{ED15B1A8-5672-4E4D-9246-3BC797332C64}" name="PRONTO NO PRETO" dataDxfId="327">
      <calculatedColumnFormula>SUMIF(MICRO!AP:AP,O4,MICRO!AS:AS)</calculatedColumnFormula>
    </tableColumn>
    <tableColumn id="14" xr3:uid="{986427E9-0E8F-46D1-987F-01DBA908B397}" name="PRONTO ACABADO" dataDxfId="326">
      <calculatedColumnFormula>SUMIF(MICRO!AP:AP,O4,MICRO!AT:AT)</calculatedColumnFormula>
    </tableColumn>
    <tableColumn id="15" xr3:uid="{4361E9F4-014E-4677-9D4A-8DBAE707BA31}" name="PESO EXPEDIDO2" dataDxfId="325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8.28515625" bestFit="1" customWidth="1"/>
    <col min="11" max="11" width="13.28515625" bestFit="1" customWidth="1"/>
  </cols>
  <sheetData>
    <row r="1" spans="1:11" x14ac:dyDescent="0.25">
      <c r="A1" s="243" t="s">
        <v>326</v>
      </c>
      <c r="B1" s="245" t="s">
        <v>891</v>
      </c>
      <c r="C1" s="246"/>
      <c r="D1" s="246"/>
      <c r="E1" s="246"/>
      <c r="F1" s="246"/>
      <c r="G1" s="247"/>
      <c r="H1" s="240" t="s">
        <v>331</v>
      </c>
      <c r="I1" s="241"/>
      <c r="J1" s="241"/>
      <c r="K1" s="242"/>
    </row>
    <row r="2" spans="1:11" x14ac:dyDescent="0.25">
      <c r="A2" s="244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5105</v>
      </c>
      <c r="J2" s="181" t="s">
        <v>5277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37"/>
      <c r="B5" s="238"/>
      <c r="C5" s="238"/>
      <c r="D5" s="238"/>
      <c r="E5" s="238"/>
      <c r="F5" s="238"/>
      <c r="G5" s="238"/>
      <c r="H5" s="238"/>
      <c r="I5" s="238"/>
      <c r="J5" s="238"/>
      <c r="K5" s="239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20</v>
      </c>
      <c r="J9" s="183">
        <v>30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161"/>
  <sheetViews>
    <sheetView showGridLines="0" tabSelected="1" topLeftCell="Q1" zoomScale="77" zoomScaleNormal="77" workbookViewId="0">
      <pane ySplit="1" topLeftCell="A862" activePane="bottomLeft" state="frozen"/>
      <selection activeCell="AF1115" sqref="AF1115"/>
      <selection pane="bottomLeft" activeCell="Z1168" sqref="Z1168"/>
    </sheetView>
  </sheetViews>
  <sheetFormatPr defaultColWidth="9.140625" defaultRowHeight="15.75" customHeight="1" x14ac:dyDescent="0.25"/>
  <cols>
    <col min="1" max="1" width="28.140625" style="25" customWidth="1"/>
    <col min="2" max="2" width="36.85546875" style="36" customWidth="1"/>
    <col min="3" max="3" width="19.42578125" style="25" customWidth="1"/>
    <col min="4" max="4" width="82.2851562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39.285156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 ca="1"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 ca="1">Tabela1[[#This Row],[QTDE/ Fabricação]]-Tabela1[[#This Row],[QTE]]</f>
        <v>-38</v>
      </c>
      <c r="R2" s="18">
        <f t="shared" ref="R2:R27" ca="1" si="0">IFERROR(H2*((AA2*0.25)+(AC2*0.25)+(AD2*0.225)+(AE2*0.225)+(AF2*0.05)),"")</f>
        <v>600.4</v>
      </c>
      <c r="S2" s="18">
        <f ca="1">IFERROR(H2*AG2,"")</f>
        <v>600.4</v>
      </c>
      <c r="T2" s="19">
        <f t="shared" ref="T2:T27" ca="1" si="1">IFERROR(S2-H2,"")</f>
        <v>0</v>
      </c>
      <c r="U2" s="16">
        <f ca="1">IFERROR(SUMIF('LISTA DE EMBARQUE'!B:B,MICRO!E:E,'LISTA DE EMBARQUE'!G:G),"")</f>
        <v>38</v>
      </c>
      <c r="V2" s="12">
        <f ca="1"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 ca="1">IFERROR(Tabela1[[#This Row],[QIANTIDADE EXPEDIDA]]*Tabela1[[#This Row],[PESO UNI]],"")</f>
        <v>600.4</v>
      </c>
      <c r="Y2" s="14">
        <f t="shared" ref="Y2:Y36" ca="1" si="2">U2-C2</f>
        <v>0</v>
      </c>
      <c r="Z2" s="20">
        <f ca="1"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ca="1" si="3">IF(Z2&lt;=0,"ok","")</f>
        <v>ok</v>
      </c>
      <c r="AJ2" s="5"/>
      <c r="AK2" t="str">
        <f ca="1">Tabela1[[#This Row],[Coluna1]]&amp;Tabela1[[#This Row],[PEDIDO]]</f>
        <v>P-188</v>
      </c>
      <c r="AL2"/>
      <c r="AM2"/>
      <c r="AN2"/>
      <c r="AO2" t="str">
        <f t="shared" ref="AO2:AO35" ca="1" si="4">A2&amp;"/"&amp;J2</f>
        <v>T-060864-1/1073-TC-006</v>
      </c>
      <c r="AP2" t="str">
        <f ca="1">Tabela1[[#This Row],[TAG]]&amp;Tabela1[[#This Row],[PEDIDO]]&amp;Tabela1[[#This Row],[PRODUTO]]</f>
        <v>1073-TC-006P-188BASES ROLETES</v>
      </c>
      <c r="AQ2" s="22" t="str">
        <f ca="1">Tabela1[[#This Row],[PRODUTO]]&amp;Tabela1[[#This Row],[TAG]]</f>
        <v>BASES ROLETES1073-TC-006</v>
      </c>
      <c r="AR2" s="24" t="str">
        <f ca="1">Tabela1[[#This Row],[PEDIDO]]&amp;Tabela1[[#This Row],[PRODUTO]]</f>
        <v>P-188BASES ROLETES</v>
      </c>
      <c r="AS2" s="37">
        <f ca="1">IF(AF2="",0,IF(ISTEXT(AF2),H2*VALUE(SUBSTITUTE(AF2,"%",""))/100,H2*AF2))-Tabela1[[#This Row],[PRONTO ACABADO2]]</f>
        <v>0</v>
      </c>
      <c r="AT2" s="37">
        <f ca="1">IF(AG2="",0,IF(ISTEXT(AG2),H2*VALUE(SUBSTITUTE(AG2,"%",""))/100,H2*AG2))-Tabela1[[#This Row],[PESO EXPEDIDO2]]</f>
        <v>0</v>
      </c>
      <c r="AU2" s="37">
        <f t="shared" ref="AU2:AU35" ca="1" si="5">IF(AH2="",0,IF(ISTEXT(AH2),H2*VALUE(SUBSTITUTE(AH2,"%",""))/100,H2*AH2))</f>
        <v>600.4</v>
      </c>
      <c r="AV2" s="37">
        <f t="shared" ref="AV2:AV35" ca="1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 ca="1"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 ca="1">Tabela1[[#This Row],[QTDE/ Fabricação]]-Tabela1[[#This Row],[QTE]]</f>
        <v>-38</v>
      </c>
      <c r="R3" s="18">
        <f t="shared" ca="1" si="0"/>
        <v>600.4</v>
      </c>
      <c r="S3" s="18">
        <f t="shared" ref="S3:S36" ca="1" si="7">IFERROR(H3*AG3,"")</f>
        <v>600.4</v>
      </c>
      <c r="T3" s="19">
        <f t="shared" ca="1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 ca="1">IFERROR(Tabela1[[#This Row],[QIANTIDADE EXPEDIDA]]*Tabela1[[#This Row],[PESO UNI]],"")</f>
        <v>600.4</v>
      </c>
      <c r="Y3" s="14">
        <f t="shared" ca="1" si="2"/>
        <v>0</v>
      </c>
      <c r="Z3" s="20">
        <f ca="1"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ca="1" si="3"/>
        <v>ok</v>
      </c>
      <c r="AJ3" s="5"/>
      <c r="AK3" t="str">
        <f ca="1">Tabela1[[#This Row],[Coluna1]]&amp;Tabela1[[#This Row],[PEDIDO]]</f>
        <v>P-188</v>
      </c>
      <c r="AL3"/>
      <c r="AM3"/>
      <c r="AN3"/>
      <c r="AO3" t="str">
        <f t="shared" ca="1" si="4"/>
        <v>T-060864-1/1073-TC-007</v>
      </c>
      <c r="AP3" t="str">
        <f ca="1">Tabela1[[#This Row],[TAG]]&amp;Tabela1[[#This Row],[PEDIDO]]&amp;Tabela1[[#This Row],[PRODUTO]]</f>
        <v>1073-TC-007P-188BASES ROLETES</v>
      </c>
      <c r="AQ3" s="22" t="str">
        <f ca="1">Tabela1[[#This Row],[PRODUTO]]&amp;Tabela1[[#This Row],[TAG]]</f>
        <v>BASES ROLETES1073-TC-007</v>
      </c>
      <c r="AR3" s="24" t="str">
        <f ca="1">Tabela1[[#This Row],[PEDIDO]]&amp;Tabela1[[#This Row],[PRODUTO]]</f>
        <v>P-188BASES ROLETES</v>
      </c>
      <c r="AS3" s="37">
        <f ca="1">IF(AF3="",0,IF(ISTEXT(AF3),H3*VALUE(SUBSTITUTE(AF3,"%",""))/100,H3*AF3))-Tabela1[[#This Row],[PRONTO ACABADO2]]</f>
        <v>0</v>
      </c>
      <c r="AT3" s="37">
        <f ca="1">IF(AG3="",0,IF(ISTEXT(AG3),H3*VALUE(SUBSTITUTE(AG3,"%",""))/100,H3*AG3))-Tabela1[[#This Row],[PESO EXPEDIDO2]]</f>
        <v>0</v>
      </c>
      <c r="AU3" s="37">
        <f t="shared" ca="1" si="5"/>
        <v>600.4</v>
      </c>
      <c r="AV3" s="37">
        <f t="shared" ca="1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 ca="1"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 ca="1">Tabela1[[#This Row],[QTDE/ Fabricação]]-Tabela1[[#This Row],[QTE]]</f>
        <v>-1</v>
      </c>
      <c r="R4" s="18">
        <f t="shared" ca="1" si="0"/>
        <v>19.2</v>
      </c>
      <c r="S4" s="18">
        <f t="shared" ca="1" si="7"/>
        <v>19.2</v>
      </c>
      <c r="T4" s="19">
        <f t="shared" ca="1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 ca="1">IFERROR(VLOOKUP(Tabela1[[#This Row],[COD.MDE]],'LISTA DE EMBARQUE'!B:M,12,0),"")</f>
        <v>46146</v>
      </c>
      <c r="X4" s="14">
        <f ca="1">IFERROR(Tabela1[[#This Row],[QIANTIDADE EXPEDIDA]]*Tabela1[[#This Row],[PESO UNI]],"")</f>
        <v>19.2</v>
      </c>
      <c r="Y4" s="14">
        <f t="shared" ca="1" si="2"/>
        <v>0</v>
      </c>
      <c r="Z4" s="20">
        <f ca="1"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ca="1" si="3"/>
        <v>ok</v>
      </c>
      <c r="AJ4" s="5"/>
      <c r="AK4" t="str">
        <f ca="1">Tabela1[[#This Row],[Coluna1]]&amp;Tabela1[[#This Row],[PEDIDO]]</f>
        <v>P-188</v>
      </c>
      <c r="AL4"/>
      <c r="AM4"/>
      <c r="AN4"/>
      <c r="AO4" t="str">
        <f t="shared" ca="1" si="4"/>
        <v>T-060860-1/1073-TC-006</v>
      </c>
      <c r="AP4" t="str">
        <f ca="1">Tabela1[[#This Row],[TAG]]&amp;Tabela1[[#This Row],[PEDIDO]]&amp;Tabela1[[#This Row],[PRODUTO]]</f>
        <v>1073-TC-006P-188BASES ROLETES</v>
      </c>
      <c r="AQ4" s="22" t="str">
        <f ca="1">Tabela1[[#This Row],[PRODUTO]]&amp;Tabela1[[#This Row],[TAG]]</f>
        <v>BASES ROLETES1073-TC-006</v>
      </c>
      <c r="AR4" s="24" t="str">
        <f ca="1">Tabela1[[#This Row],[PEDIDO]]&amp;Tabela1[[#This Row],[PRODUTO]]</f>
        <v>P-188BASES ROLETES</v>
      </c>
      <c r="AS4" s="37">
        <f ca="1">IF(AF4="",0,IF(ISTEXT(AF4),H4*VALUE(SUBSTITUTE(AF4,"%",""))/100,H4*AF4))-Tabela1[[#This Row],[PRONTO ACABADO2]]</f>
        <v>0</v>
      </c>
      <c r="AT4" s="37">
        <f ca="1">IF(AG4="",0,IF(ISTEXT(AG4),H4*VALUE(SUBSTITUTE(AG4,"%",""))/100,H4*AG4))-Tabela1[[#This Row],[PESO EXPEDIDO2]]</f>
        <v>0</v>
      </c>
      <c r="AU4" s="37">
        <f t="shared" ca="1" si="5"/>
        <v>19.2</v>
      </c>
      <c r="AV4" s="37">
        <f t="shared" ca="1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 ca="1"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 ca="1">Tabela1[[#This Row],[QTDE/ Fabricação]]-Tabela1[[#This Row],[QTE]]</f>
        <v>-1</v>
      </c>
      <c r="R5" s="18">
        <f t="shared" ca="1" si="0"/>
        <v>19.2</v>
      </c>
      <c r="S5" s="18">
        <f t="shared" ca="1" si="7"/>
        <v>19.2</v>
      </c>
      <c r="T5" s="19">
        <f t="shared" ca="1" si="1"/>
        <v>0</v>
      </c>
      <c r="U5" s="16">
        <f ca="1"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 ca="1">IFERROR(Tabela1[[#This Row],[QIANTIDADE EXPEDIDA]]*Tabela1[[#This Row],[PESO UNI]],"")</f>
        <v>19.2</v>
      </c>
      <c r="Y5" s="14">
        <f t="shared" ca="1" si="2"/>
        <v>0</v>
      </c>
      <c r="Z5" s="20">
        <f ca="1"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ca="1" si="3"/>
        <v>ok</v>
      </c>
      <c r="AJ5" s="5"/>
      <c r="AK5" t="str">
        <f ca="1">Tabela1[[#This Row],[Coluna1]]&amp;Tabela1[[#This Row],[PEDIDO]]</f>
        <v>P-188</v>
      </c>
      <c r="AL5"/>
      <c r="AM5"/>
      <c r="AN5"/>
      <c r="AO5" t="str">
        <f t="shared" ca="1" si="4"/>
        <v>T-060860-1/1073-TC-007</v>
      </c>
      <c r="AP5" t="str">
        <f ca="1">Tabela1[[#This Row],[TAG]]&amp;Tabela1[[#This Row],[PEDIDO]]&amp;Tabela1[[#This Row],[PRODUTO]]</f>
        <v>1073-TC-007P-188BASES ROLETES</v>
      </c>
      <c r="AQ5" s="22" t="str">
        <f ca="1">Tabela1[[#This Row],[PRODUTO]]&amp;Tabela1[[#This Row],[TAG]]</f>
        <v>BASES ROLETES1073-TC-007</v>
      </c>
      <c r="AR5" s="24" t="str">
        <f ca="1">Tabela1[[#This Row],[PEDIDO]]&amp;Tabela1[[#This Row],[PRODUTO]]</f>
        <v>P-188BASES ROLETES</v>
      </c>
      <c r="AS5" s="37">
        <f ca="1">IF(AF5="",0,IF(ISTEXT(AF5),H5*VALUE(SUBSTITUTE(AF5,"%",""))/100,H5*AF5))-Tabela1[[#This Row],[PRONTO ACABADO2]]</f>
        <v>0</v>
      </c>
      <c r="AT5" s="37">
        <f ca="1">IF(AG5="",0,IF(ISTEXT(AG5),H5*VALUE(SUBSTITUTE(AG5,"%",""))/100,H5*AG5))-Tabela1[[#This Row],[PESO EXPEDIDO2]]</f>
        <v>0</v>
      </c>
      <c r="AU5" s="37">
        <f t="shared" ca="1" si="5"/>
        <v>19.2</v>
      </c>
      <c r="AV5" s="37">
        <f t="shared" ca="1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 ca="1"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 ca="1">Tabela1[[#This Row],[QTDE/ Fabricação]]-Tabela1[[#This Row],[QTE]]</f>
        <v>-4</v>
      </c>
      <c r="R6" s="18">
        <f t="shared" ca="1" si="0"/>
        <v>10.8</v>
      </c>
      <c r="S6" s="18">
        <f t="shared" ca="1" si="7"/>
        <v>10.8</v>
      </c>
      <c r="T6" s="19">
        <f t="shared" ca="1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 ca="1">IFERROR(Tabela1[[#This Row],[QIANTIDADE EXPEDIDA]]*Tabela1[[#This Row],[PESO UNI]],"")</f>
        <v>10.8</v>
      </c>
      <c r="Y6" s="14">
        <f t="shared" ca="1" si="2"/>
        <v>0</v>
      </c>
      <c r="Z6" s="20">
        <f ca="1"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ca="1" si="3"/>
        <v>ok</v>
      </c>
      <c r="AJ6" s="5"/>
      <c r="AK6" t="str">
        <f ca="1">Tabela1[[#This Row],[Coluna1]]&amp;Tabela1[[#This Row],[PEDIDO]]</f>
        <v>P-188</v>
      </c>
      <c r="AL6"/>
      <c r="AM6"/>
      <c r="AN6"/>
      <c r="AO6" t="str">
        <f t="shared" ca="1" si="4"/>
        <v>T-052878-1/1073-TC-006</v>
      </c>
      <c r="AP6" t="str">
        <f ca="1">Tabela1[[#This Row],[TAG]]&amp;Tabela1[[#This Row],[PEDIDO]]&amp;Tabela1[[#This Row],[PRODUTO]]</f>
        <v>1073-TC-006P-188BASES ROLETES</v>
      </c>
      <c r="AQ6" s="22" t="str">
        <f ca="1">Tabela1[[#This Row],[PRODUTO]]&amp;Tabela1[[#This Row],[TAG]]</f>
        <v>BASES ROLETES1073-TC-006</v>
      </c>
      <c r="AR6" s="24" t="str">
        <f ca="1">Tabela1[[#This Row],[PEDIDO]]&amp;Tabela1[[#This Row],[PRODUTO]]</f>
        <v>P-188BASES ROLETES</v>
      </c>
      <c r="AS6" s="37">
        <f ca="1">IF(AF6="",0,IF(ISTEXT(AF6),H6*VALUE(SUBSTITUTE(AF6,"%",""))/100,H6*AF6))-Tabela1[[#This Row],[PRONTO ACABADO2]]</f>
        <v>0</v>
      </c>
      <c r="AT6" s="37">
        <f ca="1">IF(AG6="",0,IF(ISTEXT(AG6),H6*VALUE(SUBSTITUTE(AG6,"%",""))/100,H6*AG6))-Tabela1[[#This Row],[PESO EXPEDIDO2]]</f>
        <v>0</v>
      </c>
      <c r="AU6" s="37">
        <f t="shared" ca="1" si="5"/>
        <v>10.8</v>
      </c>
      <c r="AV6" s="37">
        <f t="shared" ca="1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 ca="1"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 ca="1">Tabela1[[#This Row],[QTDE/ Fabricação]]-Tabela1[[#This Row],[QTE]]</f>
        <v>-4</v>
      </c>
      <c r="R7" s="18">
        <f t="shared" ca="1" si="0"/>
        <v>10.8</v>
      </c>
      <c r="S7" s="18">
        <f t="shared" ca="1" si="7"/>
        <v>10.8</v>
      </c>
      <c r="T7" s="19">
        <f t="shared" ca="1" si="1"/>
        <v>0</v>
      </c>
      <c r="U7" s="16">
        <f>IFERROR(SUMIF('LISTA DE EMBARQUE'!B:B,MICRO!E:E,'LISTA DE EMBARQUE'!G:G),"")</f>
        <v>4</v>
      </c>
      <c r="V7" s="12">
        <f ca="1">IFERROR(VLOOKUP(Tabela1[[#This Row],[COD.MDE]],'LISTA DE EMBARQUE'!B:L,11,0),"")</f>
        <v>1</v>
      </c>
      <c r="W7" s="13">
        <f ca="1">IFERROR(VLOOKUP(Tabela1[[#This Row],[COD.MDE]],'LISTA DE EMBARQUE'!B:M,12,0),"")</f>
        <v>46146</v>
      </c>
      <c r="X7" s="14">
        <f ca="1">IFERROR(Tabela1[[#This Row],[QIANTIDADE EXPEDIDA]]*Tabela1[[#This Row],[PESO UNI]],"")</f>
        <v>10.8</v>
      </c>
      <c r="Y7" s="14">
        <f t="shared" ca="1" si="2"/>
        <v>0</v>
      </c>
      <c r="Z7" s="20">
        <f ca="1"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ca="1" si="3"/>
        <v>ok</v>
      </c>
      <c r="AJ7" s="5"/>
      <c r="AK7" t="str">
        <f ca="1">Tabela1[[#This Row],[Coluna1]]&amp;Tabela1[[#This Row],[PEDIDO]]</f>
        <v>P-188</v>
      </c>
      <c r="AL7"/>
      <c r="AM7"/>
      <c r="AN7"/>
      <c r="AO7" t="str">
        <f t="shared" ca="1" si="4"/>
        <v>T-052878-1/1073-TC-007</v>
      </c>
      <c r="AP7" t="str">
        <f ca="1">Tabela1[[#This Row],[TAG]]&amp;Tabela1[[#This Row],[PEDIDO]]&amp;Tabela1[[#This Row],[PRODUTO]]</f>
        <v>1073-TC-007P-188BASES ROLETES</v>
      </c>
      <c r="AQ7" s="22" t="str">
        <f ca="1">Tabela1[[#This Row],[PRODUTO]]&amp;Tabela1[[#This Row],[TAG]]</f>
        <v>BASES ROLETES1073-TC-007</v>
      </c>
      <c r="AR7" s="24" t="str">
        <f ca="1">Tabela1[[#This Row],[PEDIDO]]&amp;Tabela1[[#This Row],[PRODUTO]]</f>
        <v>P-188BASES ROLETES</v>
      </c>
      <c r="AS7" s="37">
        <f ca="1">IF(AF7="",0,IF(ISTEXT(AF7),H7*VALUE(SUBSTITUTE(AF7,"%",""))/100,H7*AF7))-Tabela1[[#This Row],[PRONTO ACABADO2]]</f>
        <v>0</v>
      </c>
      <c r="AT7" s="37">
        <f ca="1">IF(AG7="",0,IF(ISTEXT(AG7),H7*VALUE(SUBSTITUTE(AG7,"%",""))/100,H7*AG7))-Tabela1[[#This Row],[PESO EXPEDIDO2]]</f>
        <v>0</v>
      </c>
      <c r="AU7" s="37">
        <f t="shared" ca="1" si="5"/>
        <v>10.8</v>
      </c>
      <c r="AV7" s="37">
        <f t="shared" ca="1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 ca="1"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 ca="1">Tabela1[[#This Row],[QTDE/ Fabricação]]-Tabela1[[#This Row],[QTE]]</f>
        <v>-2</v>
      </c>
      <c r="R8" s="18">
        <f t="shared" ca="1" si="0"/>
        <v>136.19999999999999</v>
      </c>
      <c r="S8" s="18">
        <f t="shared" ca="1" si="7"/>
        <v>136.19999999999999</v>
      </c>
      <c r="T8" s="19">
        <f t="shared" ca="1" si="1"/>
        <v>0</v>
      </c>
      <c r="U8" s="16">
        <f>IFERROR(SUMIF('LISTA DE EMBARQUE'!B:B,MICRO!E:E,'LISTA DE EMBARQUE'!G:G),"")</f>
        <v>2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 ca="1">IFERROR(Tabela1[[#This Row],[QIANTIDADE EXPEDIDA]]*Tabela1[[#This Row],[PESO UNI]],"")</f>
        <v>136.19999999999999</v>
      </c>
      <c r="Y8" s="14">
        <f t="shared" ca="1" si="2"/>
        <v>0</v>
      </c>
      <c r="Z8" s="20">
        <f ca="1">Tabela1[[#This Row],[PESO TOTAL]]-Tabela1[[#This Row],[Peso Expedido]]</f>
        <v>0</v>
      </c>
      <c r="AA8" s="17">
        <v>1</v>
      </c>
      <c r="AB8" s="17">
        <v>1</v>
      </c>
      <c r="AC8" s="17">
        <v>1</v>
      </c>
      <c r="AD8" s="17">
        <v>1</v>
      </c>
      <c r="AE8" s="17">
        <v>1</v>
      </c>
      <c r="AF8" s="17">
        <v>1</v>
      </c>
      <c r="AG8" s="17">
        <v>1</v>
      </c>
      <c r="AH8" s="17">
        <v>1</v>
      </c>
      <c r="AI8" s="33" t="s">
        <v>4412</v>
      </c>
      <c r="AJ8" s="5"/>
      <c r="AK8" t="str">
        <f ca="1">Tabela1[[#This Row],[Coluna1]]&amp;Tabela1[[#This Row],[PEDIDO]]</f>
        <v>P-188</v>
      </c>
      <c r="AL8"/>
      <c r="AM8"/>
      <c r="AN8"/>
      <c r="AO8" t="str">
        <f t="shared" ca="1" si="4"/>
        <v>R-007180-1/1073-TC-006</v>
      </c>
      <c r="AP8" t="str">
        <f ca="1">Tabela1[[#This Row],[TAG]]&amp;Tabela1[[#This Row],[PEDIDO]]&amp;Tabela1[[#This Row],[PRODUTO]]</f>
        <v>1073-TC-006P-188BASES ROLETES</v>
      </c>
      <c r="AQ8" s="22" t="str">
        <f ca="1">Tabela1[[#This Row],[PRODUTO]]&amp;Tabela1[[#This Row],[TAG]]</f>
        <v>BASES ROLETES1073-TC-006</v>
      </c>
      <c r="AR8" s="24" t="str">
        <f ca="1">Tabela1[[#This Row],[PEDIDO]]&amp;Tabela1[[#This Row],[PRODUTO]]</f>
        <v>P-188BASES ROLETES</v>
      </c>
      <c r="AS8" s="37">
        <f ca="1">IF(AF8="",0,IF(ISTEXT(AF8),H8*VALUE(SUBSTITUTE(AF8,"%",""))/100,H8*AF8))-Tabela1[[#This Row],[PRONTO ACABADO2]]</f>
        <v>0</v>
      </c>
      <c r="AT8" s="37">
        <f ca="1">IF(AG8="",0,IF(ISTEXT(AG8),H8*VALUE(SUBSTITUTE(AG8,"%",""))/100,H8*AG8))-Tabela1[[#This Row],[PESO EXPEDIDO2]]</f>
        <v>0</v>
      </c>
      <c r="AU8" s="37">
        <f t="shared" ca="1" si="5"/>
        <v>136.19999999999999</v>
      </c>
      <c r="AV8" s="37">
        <f t="shared" ca="1" si="6"/>
        <v>136.19999999999999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 ca="1"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 ca="1">Tabela1[[#This Row],[QTDE/ Fabricação]]-Tabela1[[#This Row],[QTE]]</f>
        <v>-2</v>
      </c>
      <c r="R9" s="18">
        <f t="shared" ca="1" si="0"/>
        <v>136.19999999999999</v>
      </c>
      <c r="S9" s="18">
        <f t="shared" ca="1" si="7"/>
        <v>136.19999999999999</v>
      </c>
      <c r="T9" s="19">
        <f t="shared" ca="1" si="1"/>
        <v>0</v>
      </c>
      <c r="U9" s="16">
        <f>IFERROR(SUMIF('LISTA DE EMBARQUE'!B:B,MICRO!E:E,'LISTA DE EMBARQUE'!G:G),"")</f>
        <v>2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 ca="1">IFERROR(Tabela1[[#This Row],[QIANTIDADE EXPEDIDA]]*Tabela1[[#This Row],[PESO UNI]],"")</f>
        <v>136.19999999999999</v>
      </c>
      <c r="Y9" s="14">
        <f t="shared" ca="1" si="2"/>
        <v>0</v>
      </c>
      <c r="Z9" s="20">
        <f ca="1">Tabela1[[#This Row],[PESO TOTAL]]-Tabela1[[#This Row],[Peso Expedido]]</f>
        <v>0</v>
      </c>
      <c r="AA9" s="17">
        <v>1</v>
      </c>
      <c r="AB9" s="17">
        <v>1</v>
      </c>
      <c r="AC9" s="17">
        <v>1</v>
      </c>
      <c r="AD9" s="17">
        <v>1</v>
      </c>
      <c r="AE9" s="17">
        <v>1</v>
      </c>
      <c r="AF9" s="17">
        <v>1</v>
      </c>
      <c r="AG9" s="17">
        <v>1</v>
      </c>
      <c r="AH9" s="17">
        <v>1</v>
      </c>
      <c r="AI9" s="33" t="s">
        <v>4412</v>
      </c>
      <c r="AJ9" s="5"/>
      <c r="AK9" t="str">
        <f ca="1">Tabela1[[#This Row],[Coluna1]]&amp;Tabela1[[#This Row],[PEDIDO]]</f>
        <v>P-188</v>
      </c>
      <c r="AL9"/>
      <c r="AM9"/>
      <c r="AN9"/>
      <c r="AO9" t="str">
        <f t="shared" ca="1" si="4"/>
        <v>R-007180-1/1073-TC-007</v>
      </c>
      <c r="AP9" t="str">
        <f ca="1">Tabela1[[#This Row],[TAG]]&amp;Tabela1[[#This Row],[PEDIDO]]&amp;Tabela1[[#This Row],[PRODUTO]]</f>
        <v>1073-TC-007P-188BASES ROLETES</v>
      </c>
      <c r="AQ9" s="22" t="str">
        <f ca="1">Tabela1[[#This Row],[PRODUTO]]&amp;Tabela1[[#This Row],[TAG]]</f>
        <v>BASES ROLETES1073-TC-007</v>
      </c>
      <c r="AR9" s="24" t="str">
        <f ca="1">Tabela1[[#This Row],[PEDIDO]]&amp;Tabela1[[#This Row],[PRODUTO]]</f>
        <v>P-188BASES ROLETES</v>
      </c>
      <c r="AS9" s="37">
        <f ca="1">IF(AF9="",0,IF(ISTEXT(AF9),H9*VALUE(SUBSTITUTE(AF9,"%",""))/100,H9*AF9))-Tabela1[[#This Row],[PRONTO ACABADO2]]</f>
        <v>0</v>
      </c>
      <c r="AT9" s="37">
        <f ca="1">IF(AG9="",0,IF(ISTEXT(AG9),H9*VALUE(SUBSTITUTE(AG9,"%",""))/100,H9*AG9))-Tabela1[[#This Row],[PESO EXPEDIDO2]]</f>
        <v>0</v>
      </c>
      <c r="AU9" s="37">
        <f t="shared" ca="1" si="5"/>
        <v>136.19999999999999</v>
      </c>
      <c r="AV9" s="37">
        <f t="shared" ca="1" si="6"/>
        <v>136.19999999999999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 ca="1"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 ca="1">Tabela1[[#This Row],[QTDE/ Fabricação]]-Tabela1[[#This Row],[QTE]]</f>
        <v>-9</v>
      </c>
      <c r="R10" s="18">
        <f t="shared" ca="1" si="0"/>
        <v>51.300000000000004</v>
      </c>
      <c r="S10" s="18">
        <f t="shared" ca="1" si="7"/>
        <v>51.300000000000004</v>
      </c>
      <c r="T10" s="19">
        <f t="shared" ca="1" si="1"/>
        <v>0</v>
      </c>
      <c r="U10" s="16">
        <f ca="1">IFERROR(SUMIF('LISTA DE EMBARQUE'!B:B,MICRO!E:E,'LISTA DE EMBARQUE'!G:G),"")</f>
        <v>9</v>
      </c>
      <c r="V10" s="12">
        <f ca="1"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 ca="1">IFERROR(Tabela1[[#This Row],[QIANTIDADE EXPEDIDA]]*Tabela1[[#This Row],[PESO UNI]],"")</f>
        <v>51.300000000000004</v>
      </c>
      <c r="Y10" s="14">
        <f t="shared" ca="1" si="2"/>
        <v>0</v>
      </c>
      <c r="Z10" s="20">
        <f ca="1"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ca="1" si="3"/>
        <v>ok</v>
      </c>
      <c r="AJ10" s="5"/>
      <c r="AK10" t="str">
        <f ca="1">Tabela1[[#This Row],[Coluna1]]&amp;Tabela1[[#This Row],[PEDIDO]]</f>
        <v>P-188</v>
      </c>
      <c r="AL10"/>
      <c r="AM10"/>
      <c r="AN10"/>
      <c r="AO10" t="str">
        <f t="shared" ca="1" si="4"/>
        <v>T-007179-4/1073-TC-006</v>
      </c>
      <c r="AP10" t="str">
        <f ca="1">Tabela1[[#This Row],[TAG]]&amp;Tabela1[[#This Row],[PEDIDO]]&amp;Tabela1[[#This Row],[PRODUTO]]</f>
        <v>1073-TC-006P-188BASES ROLETES</v>
      </c>
      <c r="AQ10" s="22" t="str">
        <f ca="1">Tabela1[[#This Row],[PRODUTO]]&amp;Tabela1[[#This Row],[TAG]]</f>
        <v>BASES ROLETES1073-TC-006</v>
      </c>
      <c r="AR10" s="24" t="str">
        <f ca="1">Tabela1[[#This Row],[PEDIDO]]&amp;Tabela1[[#This Row],[PRODUTO]]</f>
        <v>P-188BASES ROLETES</v>
      </c>
      <c r="AS10" s="37">
        <f ca="1">IF(AF10="",0,IF(ISTEXT(AF10),H10*VALUE(SUBSTITUTE(AF10,"%",""))/100,H10*AF10))-Tabela1[[#This Row],[PRONTO ACABADO2]]</f>
        <v>0</v>
      </c>
      <c r="AT10" s="37">
        <f ca="1">IF(AG10="",0,IF(ISTEXT(AG10),H10*VALUE(SUBSTITUTE(AG10,"%",""))/100,H10*AG10))-Tabela1[[#This Row],[PESO EXPEDIDO2]]</f>
        <v>0</v>
      </c>
      <c r="AU10" s="37">
        <f t="shared" ca="1" si="5"/>
        <v>51.300000000000004</v>
      </c>
      <c r="AV10" s="37">
        <f t="shared" ca="1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 ca="1"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 ca="1">Tabela1[[#This Row],[QTDE/ Fabricação]]-Tabela1[[#This Row],[QTE]]</f>
        <v>-9</v>
      </c>
      <c r="R11" s="18">
        <f t="shared" ca="1" si="0"/>
        <v>51.300000000000004</v>
      </c>
      <c r="S11" s="18">
        <f t="shared" ca="1" si="7"/>
        <v>51.300000000000004</v>
      </c>
      <c r="T11" s="19">
        <f t="shared" ca="1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 ca="1">IFERROR(Tabela1[[#This Row],[QIANTIDADE EXPEDIDA]]*Tabela1[[#This Row],[PESO UNI]],"")</f>
        <v>51.300000000000004</v>
      </c>
      <c r="Y11" s="14">
        <f t="shared" ca="1" si="2"/>
        <v>0</v>
      </c>
      <c r="Z11" s="20">
        <f ca="1"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ca="1" si="3"/>
        <v>ok</v>
      </c>
      <c r="AJ11" s="5"/>
      <c r="AK11" t="str">
        <f ca="1">Tabela1[[#This Row],[Coluna1]]&amp;Tabela1[[#This Row],[PEDIDO]]</f>
        <v>P-188</v>
      </c>
      <c r="AL11"/>
      <c r="AM11"/>
      <c r="AN11"/>
      <c r="AO11" t="str">
        <f t="shared" ca="1" si="4"/>
        <v>T-007179-4/1073-TC-007</v>
      </c>
      <c r="AP11" t="str">
        <f ca="1">Tabela1[[#This Row],[TAG]]&amp;Tabela1[[#This Row],[PEDIDO]]&amp;Tabela1[[#This Row],[PRODUTO]]</f>
        <v>1073-TC-007P-188BASES ROLETES</v>
      </c>
      <c r="AQ11" s="22" t="str">
        <f ca="1">Tabela1[[#This Row],[PRODUTO]]&amp;Tabela1[[#This Row],[TAG]]</f>
        <v>BASES ROLETES1073-TC-007</v>
      </c>
      <c r="AR11" s="24" t="str">
        <f ca="1">Tabela1[[#This Row],[PEDIDO]]&amp;Tabela1[[#This Row],[PRODUTO]]</f>
        <v>P-188BASES ROLETES</v>
      </c>
      <c r="AS11" s="37">
        <f ca="1">IF(AF11="",0,IF(ISTEXT(AF11),H11*VALUE(SUBSTITUTE(AF11,"%",""))/100,H11*AF11))-Tabela1[[#This Row],[PRONTO ACABADO2]]</f>
        <v>0</v>
      </c>
      <c r="AT11" s="37">
        <f ca="1">IF(AG11="",0,IF(ISTEXT(AG11),H11*VALUE(SUBSTITUTE(AG11,"%",""))/100,H11*AG11))-Tabela1[[#This Row],[PESO EXPEDIDO2]]</f>
        <v>0</v>
      </c>
      <c r="AU11" s="37">
        <f t="shared" ca="1" si="5"/>
        <v>51.300000000000004</v>
      </c>
      <c r="AV11" s="37">
        <f t="shared" ca="1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 ca="1"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 ca="1">Tabela1[[#This Row],[QTDE/ Fabricação]]-Tabela1[[#This Row],[QTE]]</f>
        <v>-11</v>
      </c>
      <c r="R12" s="18">
        <f t="shared" ca="1" si="0"/>
        <v>210.10000000000002</v>
      </c>
      <c r="S12" s="18">
        <f t="shared" ca="1" si="7"/>
        <v>210.10000000000002</v>
      </c>
      <c r="T12" s="19">
        <f t="shared" ca="1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 ca="1">IFERROR(VLOOKUP(Tabela1[[#This Row],[COD.MDE]],'LISTA DE EMBARQUE'!B:M,12,0),"")</f>
        <v>46146</v>
      </c>
      <c r="X12" s="14">
        <f ca="1">IFERROR(Tabela1[[#This Row],[QIANTIDADE EXPEDIDA]]*Tabela1[[#This Row],[PESO UNI]],"")</f>
        <v>210.10000000000002</v>
      </c>
      <c r="Y12" s="14">
        <f t="shared" ca="1" si="2"/>
        <v>0</v>
      </c>
      <c r="Z12" s="20">
        <f ca="1"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ca="1" si="3"/>
        <v>ok</v>
      </c>
      <c r="AJ12" s="5"/>
      <c r="AK12" t="str">
        <f ca="1">Tabela1[[#This Row],[Coluna1]]&amp;Tabela1[[#This Row],[PEDIDO]]</f>
        <v>P-188</v>
      </c>
      <c r="AL12"/>
      <c r="AM12"/>
      <c r="AN12"/>
      <c r="AO12" t="str">
        <f t="shared" ca="1" si="4"/>
        <v>T-007177-1/1073-TC-006</v>
      </c>
      <c r="AP12" t="str">
        <f ca="1">Tabela1[[#This Row],[TAG]]&amp;Tabela1[[#This Row],[PEDIDO]]&amp;Tabela1[[#This Row],[PRODUTO]]</f>
        <v>1073-TC-006P-188BASES ROLETES</v>
      </c>
      <c r="AQ12" s="22" t="str">
        <f ca="1">Tabela1[[#This Row],[PRODUTO]]&amp;Tabela1[[#This Row],[TAG]]</f>
        <v>BASES ROLETES1073-TC-006</v>
      </c>
      <c r="AR12" s="24" t="str">
        <f ca="1">Tabela1[[#This Row],[PEDIDO]]&amp;Tabela1[[#This Row],[PRODUTO]]</f>
        <v>P-188BASES ROLETES</v>
      </c>
      <c r="AS12" s="37">
        <f ca="1">IF(AF12="",0,IF(ISTEXT(AF12),H12*VALUE(SUBSTITUTE(AF12,"%",""))/100,H12*AF12))-Tabela1[[#This Row],[PRONTO ACABADO2]]</f>
        <v>0</v>
      </c>
      <c r="AT12" s="37">
        <f ca="1">IF(AG12="",0,IF(ISTEXT(AG12),H12*VALUE(SUBSTITUTE(AG12,"%",""))/100,H12*AG12))-Tabela1[[#This Row],[PESO EXPEDIDO2]]</f>
        <v>0</v>
      </c>
      <c r="AU12" s="37">
        <f t="shared" ca="1" si="5"/>
        <v>210.10000000000002</v>
      </c>
      <c r="AV12" s="37">
        <f t="shared" ca="1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 ca="1"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 ca="1">Tabela1[[#This Row],[QTDE/ Fabricação]]-Tabela1[[#This Row],[QTE]]</f>
        <v>-11</v>
      </c>
      <c r="R13" s="18">
        <f t="shared" ca="1" si="0"/>
        <v>210.10000000000002</v>
      </c>
      <c r="S13" s="18">
        <f t="shared" ca="1" si="7"/>
        <v>210.10000000000002</v>
      </c>
      <c r="T13" s="19">
        <f t="shared" ca="1" si="1"/>
        <v>0</v>
      </c>
      <c r="U13" s="16">
        <f ca="1"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 ca="1">IFERROR(Tabela1[[#This Row],[QIANTIDADE EXPEDIDA]]*Tabela1[[#This Row],[PESO UNI]],"")</f>
        <v>210.10000000000002</v>
      </c>
      <c r="Y13" s="14">
        <f t="shared" ca="1" si="2"/>
        <v>0</v>
      </c>
      <c r="Z13" s="20">
        <f ca="1"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ca="1" si="3"/>
        <v>ok</v>
      </c>
      <c r="AJ13" s="5"/>
      <c r="AK13" t="str">
        <f ca="1">Tabela1[[#This Row],[Coluna1]]&amp;Tabela1[[#This Row],[PEDIDO]]</f>
        <v>P-188</v>
      </c>
      <c r="AL13"/>
      <c r="AM13"/>
      <c r="AN13"/>
      <c r="AO13" t="str">
        <f t="shared" ca="1" si="4"/>
        <v>T-007177-1/1073-TC-007</v>
      </c>
      <c r="AP13" t="str">
        <f ca="1">Tabela1[[#This Row],[TAG]]&amp;Tabela1[[#This Row],[PEDIDO]]&amp;Tabela1[[#This Row],[PRODUTO]]</f>
        <v>1073-TC-007P-188BASES ROLETES</v>
      </c>
      <c r="AQ13" s="22" t="str">
        <f ca="1">Tabela1[[#This Row],[PRODUTO]]&amp;Tabela1[[#This Row],[TAG]]</f>
        <v>BASES ROLETES1073-TC-007</v>
      </c>
      <c r="AR13" s="24" t="str">
        <f ca="1">Tabela1[[#This Row],[PEDIDO]]&amp;Tabela1[[#This Row],[PRODUTO]]</f>
        <v>P-188BASES ROLETES</v>
      </c>
      <c r="AS13" s="37">
        <f ca="1">IF(AF13="",0,IF(ISTEXT(AF13),H13*VALUE(SUBSTITUTE(AF13,"%",""))/100,H13*AF13))-Tabela1[[#This Row],[PRONTO ACABADO2]]</f>
        <v>0</v>
      </c>
      <c r="AT13" s="37">
        <f ca="1">IF(AG13="",0,IF(ISTEXT(AG13),H13*VALUE(SUBSTITUTE(AG13,"%",""))/100,H13*AG13))-Tabela1[[#This Row],[PESO EXPEDIDO2]]</f>
        <v>0</v>
      </c>
      <c r="AU13" s="37">
        <f t="shared" ca="1" si="5"/>
        <v>210.10000000000002</v>
      </c>
      <c r="AV13" s="37">
        <f t="shared" ca="1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 ca="1"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 ca="1">Tabela1[[#This Row],[QTDE/ Fabricação]]-Tabela1[[#This Row],[QTE]]</f>
        <v>-2</v>
      </c>
      <c r="R14" s="18">
        <f t="shared" ca="1" si="0"/>
        <v>46</v>
      </c>
      <c r="S14" s="18">
        <f t="shared" ca="1" si="7"/>
        <v>46</v>
      </c>
      <c r="T14" s="19">
        <f t="shared" ca="1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 ca="1">IFERROR(Tabela1[[#This Row],[QIANTIDADE EXPEDIDA]]*Tabela1[[#This Row],[PESO UNI]],"")</f>
        <v>46</v>
      </c>
      <c r="Y14" s="14">
        <f t="shared" ca="1" si="2"/>
        <v>0</v>
      </c>
      <c r="Z14" s="20">
        <f ca="1"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ca="1" si="3"/>
        <v>ok</v>
      </c>
      <c r="AJ14" s="5"/>
      <c r="AK14" t="str">
        <f ca="1">Tabela1[[#This Row],[Coluna1]]&amp;Tabela1[[#This Row],[PEDIDO]]</f>
        <v>P-188</v>
      </c>
      <c r="AL14"/>
      <c r="AM14"/>
      <c r="AN14"/>
      <c r="AO14" t="str">
        <f t="shared" ca="1" si="4"/>
        <v>T-007175-1/1073-TC-006</v>
      </c>
      <c r="AP14" t="str">
        <f ca="1">Tabela1[[#This Row],[TAG]]&amp;Tabela1[[#This Row],[PEDIDO]]&amp;Tabela1[[#This Row],[PRODUTO]]</f>
        <v>1073-TC-006P-188BASES ROLETES</v>
      </c>
      <c r="AQ14" s="22" t="str">
        <f ca="1">Tabela1[[#This Row],[PRODUTO]]&amp;Tabela1[[#This Row],[TAG]]</f>
        <v>BASES ROLETES1073-TC-006</v>
      </c>
      <c r="AR14" s="24" t="str">
        <f ca="1">Tabela1[[#This Row],[PEDIDO]]&amp;Tabela1[[#This Row],[PRODUTO]]</f>
        <v>P-188BASES ROLETES</v>
      </c>
      <c r="AS14" s="37">
        <f ca="1">IF(AF14="",0,IF(ISTEXT(AF14),H14*VALUE(SUBSTITUTE(AF14,"%",""))/100,H14*AF14))-Tabela1[[#This Row],[PRONTO ACABADO2]]</f>
        <v>0</v>
      </c>
      <c r="AT14" s="37">
        <f ca="1">IF(AG14="",0,IF(ISTEXT(AG14),H14*VALUE(SUBSTITUTE(AG14,"%",""))/100,H14*AG14))-Tabela1[[#This Row],[PESO EXPEDIDO2]]</f>
        <v>0</v>
      </c>
      <c r="AU14" s="37">
        <f t="shared" ca="1" si="5"/>
        <v>46</v>
      </c>
      <c r="AV14" s="37">
        <f t="shared" ca="1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 ca="1"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 ca="1">Tabela1[[#This Row],[QTDE/ Fabricação]]-Tabela1[[#This Row],[QTE]]</f>
        <v>-2</v>
      </c>
      <c r="R15" s="18">
        <f t="shared" ca="1" si="0"/>
        <v>46</v>
      </c>
      <c r="S15" s="18">
        <f t="shared" ca="1" si="7"/>
        <v>46</v>
      </c>
      <c r="T15" s="19">
        <f t="shared" ca="1" si="1"/>
        <v>0</v>
      </c>
      <c r="U15" s="16">
        <f>IFERROR(SUMIF('LISTA DE EMBARQUE'!B:B,MICRO!E:E,'LISTA DE EMBARQUE'!G:G),"")</f>
        <v>2</v>
      </c>
      <c r="V15" s="12">
        <f ca="1">IFERROR(VLOOKUP(Tabela1[[#This Row],[COD.MDE]],'LISTA DE EMBARQUE'!B:L,11,0),"")</f>
        <v>1</v>
      </c>
      <c r="W15" s="13">
        <f ca="1">IFERROR(VLOOKUP(Tabela1[[#This Row],[COD.MDE]],'LISTA DE EMBARQUE'!B:M,12,0),"")</f>
        <v>46146</v>
      </c>
      <c r="X15" s="14">
        <f ca="1">IFERROR(Tabela1[[#This Row],[QIANTIDADE EXPEDIDA]]*Tabela1[[#This Row],[PESO UNI]],"")</f>
        <v>46</v>
      </c>
      <c r="Y15" s="14">
        <f t="shared" ca="1" si="2"/>
        <v>0</v>
      </c>
      <c r="Z15" s="20">
        <f ca="1"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ca="1" si="3"/>
        <v>ok</v>
      </c>
      <c r="AJ15" s="5"/>
      <c r="AK15" t="str">
        <f ca="1">Tabela1[[#This Row],[Coluna1]]&amp;Tabela1[[#This Row],[PEDIDO]]</f>
        <v>P-188</v>
      </c>
      <c r="AL15"/>
      <c r="AM15"/>
      <c r="AN15"/>
      <c r="AO15" t="str">
        <f t="shared" ca="1" si="4"/>
        <v>T-007175-1/1073-TC-007</v>
      </c>
      <c r="AP15" t="str">
        <f ca="1">Tabela1[[#This Row],[TAG]]&amp;Tabela1[[#This Row],[PEDIDO]]&amp;Tabela1[[#This Row],[PRODUTO]]</f>
        <v>1073-TC-007P-188BASES ROLETES</v>
      </c>
      <c r="AQ15" s="22" t="str">
        <f ca="1">Tabela1[[#This Row],[PRODUTO]]&amp;Tabela1[[#This Row],[TAG]]</f>
        <v>BASES ROLETES1073-TC-007</v>
      </c>
      <c r="AR15" s="24" t="str">
        <f ca="1">Tabela1[[#This Row],[PEDIDO]]&amp;Tabela1[[#This Row],[PRODUTO]]</f>
        <v>P-188BASES ROLETES</v>
      </c>
      <c r="AS15" s="37">
        <f ca="1">IF(AF15="",0,IF(ISTEXT(AF15),H15*VALUE(SUBSTITUTE(AF15,"%",""))/100,H15*AF15))-Tabela1[[#This Row],[PRONTO ACABADO2]]</f>
        <v>0</v>
      </c>
      <c r="AT15" s="37">
        <f ca="1">IF(AG15="",0,IF(ISTEXT(AG15),H15*VALUE(SUBSTITUTE(AG15,"%",""))/100,H15*AG15))-Tabela1[[#This Row],[PESO EXPEDIDO2]]</f>
        <v>0</v>
      </c>
      <c r="AU15" s="37">
        <f t="shared" ca="1" si="5"/>
        <v>46</v>
      </c>
      <c r="AV15" s="37">
        <f t="shared" ca="1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 ca="1"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 ca="1">Tabela1[[#This Row],[QTDE/ Fabricação]]-Tabela1[[#This Row],[QTE]]</f>
        <v>-96</v>
      </c>
      <c r="R16" s="18">
        <f t="shared" ca="1" si="0"/>
        <v>672</v>
      </c>
      <c r="S16" s="18">
        <f t="shared" ca="1" si="7"/>
        <v>672</v>
      </c>
      <c r="T16" s="19">
        <f t="shared" ca="1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 ca="1">IFERROR(Tabela1[[#This Row],[QIANTIDADE EXPEDIDA]]*Tabela1[[#This Row],[PESO UNI]],"")</f>
        <v>693</v>
      </c>
      <c r="Y16" s="14">
        <f t="shared" ca="1" si="2"/>
        <v>3</v>
      </c>
      <c r="Z16" s="20">
        <v>0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ca="1" si="3"/>
        <v>ok</v>
      </c>
      <c r="AJ16" s="5"/>
      <c r="AK16" t="str">
        <f ca="1">Tabela1[[#This Row],[Coluna1]]&amp;Tabela1[[#This Row],[PEDIDO]]</f>
        <v>P-188</v>
      </c>
      <c r="AL16"/>
      <c r="AM16"/>
      <c r="AN16"/>
      <c r="AO16" t="str">
        <f t="shared" ca="1" si="4"/>
        <v>R-1-4-9218/1073-TC-006</v>
      </c>
      <c r="AP16" t="str">
        <f ca="1">Tabela1[[#This Row],[TAG]]&amp;Tabela1[[#This Row],[PEDIDO]]&amp;Tabela1[[#This Row],[PRODUTO]]</f>
        <v>1073-TC-006P-188ROLOS</v>
      </c>
      <c r="AQ16" s="22" t="str">
        <f ca="1">Tabela1[[#This Row],[PRODUTO]]&amp;Tabela1[[#This Row],[TAG]]</f>
        <v>ROLOS1073-TC-006</v>
      </c>
      <c r="AR16" s="24" t="str">
        <f ca="1">Tabela1[[#This Row],[PEDIDO]]&amp;Tabela1[[#This Row],[PRODUTO]]</f>
        <v>P-188ROLOS</v>
      </c>
      <c r="AS16" s="37">
        <f ca="1">IF(AF16="",0,IF(ISTEXT(AF16),H16*VALUE(SUBSTITUTE(AF16,"%",""))/100,H16*AF16))-Tabela1[[#This Row],[PRONTO ACABADO2]]</f>
        <v>0</v>
      </c>
      <c r="AT16" s="37">
        <f ca="1">IF(AG16="",0,IF(ISTEXT(AG16),H16*VALUE(SUBSTITUTE(AG16,"%",""))/100,H16*AG16))-Tabela1[[#This Row],[PESO EXPEDIDO2]]</f>
        <v>0</v>
      </c>
      <c r="AU16" s="37">
        <f t="shared" ca="1" si="5"/>
        <v>672</v>
      </c>
      <c r="AV16" s="37">
        <f t="shared" ca="1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 ca="1"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 ca="1">Tabela1[[#This Row],[QTDE/ Fabricação]]-Tabela1[[#This Row],[QTE]]</f>
        <v>-96</v>
      </c>
      <c r="R17" s="18">
        <f t="shared" ca="1" si="0"/>
        <v>672</v>
      </c>
      <c r="S17" s="18">
        <f t="shared" ca="1" si="7"/>
        <v>672</v>
      </c>
      <c r="T17" s="19">
        <f t="shared" ca="1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 ca="1">IFERROR(Tabela1[[#This Row],[QIANTIDADE EXPEDIDA]]*Tabela1[[#This Row],[PESO UNI]],"")</f>
        <v>693</v>
      </c>
      <c r="Y17" s="14">
        <f t="shared" ca="1" si="2"/>
        <v>3</v>
      </c>
      <c r="Z17" s="20">
        <v>0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ca="1" si="3"/>
        <v>ok</v>
      </c>
      <c r="AJ17" s="5"/>
      <c r="AK17" t="str">
        <f ca="1">Tabela1[[#This Row],[Coluna1]]&amp;Tabela1[[#This Row],[PEDIDO]]</f>
        <v>P-188</v>
      </c>
      <c r="AL17"/>
      <c r="AM17"/>
      <c r="AN17"/>
      <c r="AO17" t="str">
        <f t="shared" ca="1" si="4"/>
        <v>R-1-4-9218/1073-TC-007</v>
      </c>
      <c r="AP17" t="str">
        <f ca="1">Tabela1[[#This Row],[TAG]]&amp;Tabela1[[#This Row],[PEDIDO]]&amp;Tabela1[[#This Row],[PRODUTO]]</f>
        <v>1073-TC-007P-188ROLOS</v>
      </c>
      <c r="AQ17" s="22" t="str">
        <f ca="1">Tabela1[[#This Row],[PRODUTO]]&amp;Tabela1[[#This Row],[TAG]]</f>
        <v>ROLOS1073-TC-007</v>
      </c>
      <c r="AR17" s="24" t="str">
        <f ca="1">Tabela1[[#This Row],[PEDIDO]]&amp;Tabela1[[#This Row],[PRODUTO]]</f>
        <v>P-188ROLOS</v>
      </c>
      <c r="AS17" s="37">
        <f ca="1">IF(AF17="",0,IF(ISTEXT(AF17),H17*VALUE(SUBSTITUTE(AF17,"%",""))/100,H17*AF17))-Tabela1[[#This Row],[PRONTO ACABADO2]]</f>
        <v>0</v>
      </c>
      <c r="AT17" s="37">
        <f ca="1">IF(AG17="",0,IF(ISTEXT(AG17),H17*VALUE(SUBSTITUTE(AG17,"%",""))/100,H17*AG17))-Tabela1[[#This Row],[PESO EXPEDIDO2]]</f>
        <v>0</v>
      </c>
      <c r="AU17" s="37">
        <f t="shared" ca="1" si="5"/>
        <v>672</v>
      </c>
      <c r="AV17" s="37">
        <f t="shared" ca="1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 ca="1"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 ca="1">Tabela1[[#This Row],[QTDE/ Fabricação]]-Tabela1[[#This Row],[QTE]]</f>
        <v>-39</v>
      </c>
      <c r="R18" s="18">
        <f t="shared" ca="1" si="0"/>
        <v>331.5</v>
      </c>
      <c r="S18" s="18">
        <f t="shared" ca="1" si="7"/>
        <v>331.5</v>
      </c>
      <c r="T18" s="19">
        <f t="shared" ca="1" si="1"/>
        <v>0</v>
      </c>
      <c r="U18" s="16">
        <f ca="1">IFERROR(SUMIF('LISTA DE EMBARQUE'!B:B,MICRO!E:E,'LISTA DE EMBARQUE'!G:G),"")</f>
        <v>39</v>
      </c>
      <c r="V18" s="12">
        <f ca="1"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 ca="1">IFERROR(Tabela1[[#This Row],[QIANTIDADE EXPEDIDA]]*Tabela1[[#This Row],[PESO UNI]],"")</f>
        <v>331.5</v>
      </c>
      <c r="Y18" s="14">
        <f t="shared" ca="1" si="2"/>
        <v>0</v>
      </c>
      <c r="Z18" s="20">
        <f ca="1"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ca="1" si="3"/>
        <v>ok</v>
      </c>
      <c r="AJ18" s="5"/>
      <c r="AK18" t="str">
        <f ca="1">Tabela1[[#This Row],[Coluna1]]&amp;Tabela1[[#This Row],[PEDIDO]]</f>
        <v>P-188</v>
      </c>
      <c r="AL18"/>
      <c r="AM18"/>
      <c r="AN18"/>
      <c r="AO18" t="str">
        <f t="shared" ca="1" si="4"/>
        <v>R-1-4-9211/1073-TC-006</v>
      </c>
      <c r="AP18" t="str">
        <f ca="1">Tabela1[[#This Row],[TAG]]&amp;Tabela1[[#This Row],[PEDIDO]]&amp;Tabela1[[#This Row],[PRODUTO]]</f>
        <v>1073-TC-006P-188ROLOS</v>
      </c>
      <c r="AQ18" s="22" t="str">
        <f ca="1">Tabela1[[#This Row],[PRODUTO]]&amp;Tabela1[[#This Row],[TAG]]</f>
        <v>ROLOS1073-TC-006</v>
      </c>
      <c r="AR18" s="24" t="str">
        <f ca="1">Tabela1[[#This Row],[PEDIDO]]&amp;Tabela1[[#This Row],[PRODUTO]]</f>
        <v>P-188ROLOS</v>
      </c>
      <c r="AS18" s="37">
        <f ca="1">IF(AF18="",0,IF(ISTEXT(AF18),H18*VALUE(SUBSTITUTE(AF18,"%",""))/100,H18*AF18))-Tabela1[[#This Row],[PRONTO ACABADO2]]</f>
        <v>0</v>
      </c>
      <c r="AT18" s="37">
        <f ca="1">IF(AG18="",0,IF(ISTEXT(AG18),H18*VALUE(SUBSTITUTE(AG18,"%",""))/100,H18*AG18))-Tabela1[[#This Row],[PESO EXPEDIDO2]]</f>
        <v>0</v>
      </c>
      <c r="AU18" s="37">
        <f t="shared" ca="1" si="5"/>
        <v>331.5</v>
      </c>
      <c r="AV18" s="37">
        <f t="shared" ca="1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 ca="1"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 ca="1">Tabela1[[#This Row],[QTDE/ Fabricação]]-Tabela1[[#This Row],[QTE]]</f>
        <v>-39</v>
      </c>
      <c r="R19" s="18">
        <f t="shared" ca="1" si="0"/>
        <v>331.5</v>
      </c>
      <c r="S19" s="18">
        <f t="shared" ca="1" si="7"/>
        <v>331.5</v>
      </c>
      <c r="T19" s="19">
        <f t="shared" ca="1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 ca="1">IFERROR(Tabela1[[#This Row],[QIANTIDADE EXPEDIDA]]*Tabela1[[#This Row],[PESO UNI]],"")</f>
        <v>331.5</v>
      </c>
      <c r="Y19" s="14">
        <f t="shared" ca="1" si="2"/>
        <v>0</v>
      </c>
      <c r="Z19" s="20">
        <f ca="1"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ca="1" si="3"/>
        <v>ok</v>
      </c>
      <c r="AJ19" s="5"/>
      <c r="AK19" t="str">
        <f ca="1">Tabela1[[#This Row],[Coluna1]]&amp;Tabela1[[#This Row],[PEDIDO]]</f>
        <v>P-188</v>
      </c>
      <c r="AL19"/>
      <c r="AM19"/>
      <c r="AN19"/>
      <c r="AO19" t="str">
        <f t="shared" ca="1" si="4"/>
        <v>R-1-4-9211/1073-TC-007</v>
      </c>
      <c r="AP19" t="str">
        <f ca="1">Tabela1[[#This Row],[TAG]]&amp;Tabela1[[#This Row],[PEDIDO]]&amp;Tabela1[[#This Row],[PRODUTO]]</f>
        <v>1073-TC-007P-188ROLOS</v>
      </c>
      <c r="AQ19" s="22" t="str">
        <f ca="1">Tabela1[[#This Row],[PRODUTO]]&amp;Tabela1[[#This Row],[TAG]]</f>
        <v>ROLOS1073-TC-007</v>
      </c>
      <c r="AR19" s="24" t="str">
        <f ca="1">Tabela1[[#This Row],[PEDIDO]]&amp;Tabela1[[#This Row],[PRODUTO]]</f>
        <v>P-188ROLOS</v>
      </c>
      <c r="AS19" s="37">
        <f ca="1">IF(AF19="",0,IF(ISTEXT(AF19),H19*VALUE(SUBSTITUTE(AF19,"%",""))/100,H19*AF19))-Tabela1[[#This Row],[PRONTO ACABADO2]]</f>
        <v>0</v>
      </c>
      <c r="AT19" s="37">
        <f ca="1">IF(AG19="",0,IF(ISTEXT(AG19),H19*VALUE(SUBSTITUTE(AG19,"%",""))/100,H19*AG19))-Tabela1[[#This Row],[PESO EXPEDIDO2]]</f>
        <v>0</v>
      </c>
      <c r="AU19" s="37">
        <f t="shared" ca="1" si="5"/>
        <v>331.5</v>
      </c>
      <c r="AV19" s="37">
        <f t="shared" ca="1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 ca="1"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 ca="1">Tabela1[[#This Row],[QTDE/ Fabricação]]-Tabela1[[#This Row],[QTE]]</f>
        <v>-2</v>
      </c>
      <c r="R20" s="18">
        <f t="shared" ca="1" si="0"/>
        <v>2</v>
      </c>
      <c r="S20" s="18">
        <f t="shared" ca="1" si="7"/>
        <v>2</v>
      </c>
      <c r="T20" s="19">
        <f t="shared" ca="1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 ca="1">IFERROR(VLOOKUP(Tabela1[[#This Row],[COD.MDE]],'LISTA DE EMBARQUE'!B:M,12,0),"")</f>
        <v>46146</v>
      </c>
      <c r="X20" s="14">
        <f ca="1">IFERROR(Tabela1[[#This Row],[QIANTIDADE EXPEDIDA]]*Tabela1[[#This Row],[PESO UNI]],"")</f>
        <v>2</v>
      </c>
      <c r="Y20" s="14">
        <f t="shared" ca="1" si="2"/>
        <v>0</v>
      </c>
      <c r="Z20" s="20">
        <f ca="1"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ca="1" si="3"/>
        <v>ok</v>
      </c>
      <c r="AJ20" s="5"/>
      <c r="AK20" t="str">
        <f ca="1">Tabela1[[#This Row],[Coluna1]]&amp;Tabela1[[#This Row],[PEDIDO]]</f>
        <v>P-188</v>
      </c>
      <c r="AL20"/>
      <c r="AM20"/>
      <c r="AN20"/>
      <c r="AO20" t="str">
        <f t="shared" ca="1" si="4"/>
        <v>R-9-4-10210/1073-TC-006</v>
      </c>
      <c r="AP20" t="str">
        <f ca="1">Tabela1[[#This Row],[TAG]]&amp;Tabela1[[#This Row],[PEDIDO]]&amp;Tabela1[[#This Row],[PRODUTO]]</f>
        <v>1073-TC-006P-188ROLOS</v>
      </c>
      <c r="AQ20" s="22" t="str">
        <f ca="1">Tabela1[[#This Row],[PRODUTO]]&amp;Tabela1[[#This Row],[TAG]]</f>
        <v>ROLOS1073-TC-006</v>
      </c>
      <c r="AR20" s="24" t="str">
        <f ca="1">Tabela1[[#This Row],[PEDIDO]]&amp;Tabela1[[#This Row],[PRODUTO]]</f>
        <v>P-188ROLOS</v>
      </c>
      <c r="AS20" s="37">
        <f ca="1">IF(AF20="",0,IF(ISTEXT(AF20),H20*VALUE(SUBSTITUTE(AF20,"%",""))/100,H20*AF20))-Tabela1[[#This Row],[PRONTO ACABADO2]]</f>
        <v>0</v>
      </c>
      <c r="AT20" s="37">
        <f ca="1">IF(AG20="",0,IF(ISTEXT(AG20),H20*VALUE(SUBSTITUTE(AG20,"%",""))/100,H20*AG20))-Tabela1[[#This Row],[PESO EXPEDIDO2]]</f>
        <v>0</v>
      </c>
      <c r="AU20" s="37">
        <f t="shared" ca="1" si="5"/>
        <v>2</v>
      </c>
      <c r="AV20" s="37">
        <f t="shared" ca="1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 ca="1"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 ca="1">Tabela1[[#This Row],[QTDE/ Fabricação]]-Tabela1[[#This Row],[QTE]]</f>
        <v>-2</v>
      </c>
      <c r="R21" s="18">
        <f t="shared" ca="1" si="0"/>
        <v>2</v>
      </c>
      <c r="S21" s="18">
        <f t="shared" ca="1" si="7"/>
        <v>2</v>
      </c>
      <c r="T21" s="19">
        <f t="shared" ca="1" si="1"/>
        <v>0</v>
      </c>
      <c r="U21" s="16">
        <f ca="1"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 ca="1">IFERROR(Tabela1[[#This Row],[QIANTIDADE EXPEDIDA]]*Tabela1[[#This Row],[PESO UNI]],"")</f>
        <v>2</v>
      </c>
      <c r="Y21" s="14">
        <f t="shared" ca="1" si="2"/>
        <v>0</v>
      </c>
      <c r="Z21" s="20">
        <f ca="1"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ca="1" si="3"/>
        <v>ok</v>
      </c>
      <c r="AJ21" s="5"/>
      <c r="AK21" t="str">
        <f ca="1">Tabela1[[#This Row],[Coluna1]]&amp;Tabela1[[#This Row],[PEDIDO]]</f>
        <v>P-188</v>
      </c>
      <c r="AL21"/>
      <c r="AM21"/>
      <c r="AN21"/>
      <c r="AO21" t="str">
        <f t="shared" ca="1" si="4"/>
        <v>R-9-4-10210/1073-TC-007</v>
      </c>
      <c r="AP21" t="str">
        <f ca="1">Tabela1[[#This Row],[TAG]]&amp;Tabela1[[#This Row],[PEDIDO]]&amp;Tabela1[[#This Row],[PRODUTO]]</f>
        <v>1073-TC-007P-188ROLOS</v>
      </c>
      <c r="AQ21" s="22" t="str">
        <f ca="1">Tabela1[[#This Row],[PRODUTO]]&amp;Tabela1[[#This Row],[TAG]]</f>
        <v>ROLOS1073-TC-007</v>
      </c>
      <c r="AR21" s="24" t="str">
        <f ca="1">Tabela1[[#This Row],[PEDIDO]]&amp;Tabela1[[#This Row],[PRODUTO]]</f>
        <v>P-188ROLOS</v>
      </c>
      <c r="AS21" s="37">
        <f ca="1">IF(AF21="",0,IF(ISTEXT(AF21),H21*VALUE(SUBSTITUTE(AF21,"%",""))/100,H21*AF21))-Tabela1[[#This Row],[PRONTO ACABADO2]]</f>
        <v>0</v>
      </c>
      <c r="AT21" s="37">
        <f ca="1">IF(AG21="",0,IF(ISTEXT(AG21),H21*VALUE(SUBSTITUTE(AG21,"%",""))/100,H21*AG21))-Tabela1[[#This Row],[PESO EXPEDIDO2]]</f>
        <v>0</v>
      </c>
      <c r="AU21" s="37">
        <f t="shared" ca="1" si="5"/>
        <v>2</v>
      </c>
      <c r="AV21" s="37">
        <f t="shared" ca="1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 ca="1"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 ca="1">Tabela1[[#This Row],[QTDE/ Fabricação]]-Tabela1[[#This Row],[QTE]]</f>
        <v>-4</v>
      </c>
      <c r="R22" s="18">
        <f t="shared" ca="1" si="0"/>
        <v>10</v>
      </c>
      <c r="S22" s="18">
        <f t="shared" ca="1" si="7"/>
        <v>10</v>
      </c>
      <c r="T22" s="19">
        <f t="shared" ca="1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 ca="1">IFERROR(Tabela1[[#This Row],[QIANTIDADE EXPEDIDA]]*Tabela1[[#This Row],[PESO UNI]],"")</f>
        <v>10</v>
      </c>
      <c r="Y22" s="14">
        <f t="shared" ca="1" si="2"/>
        <v>0</v>
      </c>
      <c r="Z22" s="20">
        <f ca="1"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ca="1" si="3"/>
        <v>ok</v>
      </c>
      <c r="AJ22" s="5"/>
      <c r="AK22" t="str">
        <f ca="1">Tabela1[[#This Row],[Coluna1]]&amp;Tabela1[[#This Row],[PEDIDO]]</f>
        <v>P-188</v>
      </c>
      <c r="AL22"/>
      <c r="AM22"/>
      <c r="AN22"/>
      <c r="AO22" t="str">
        <f t="shared" ca="1" si="4"/>
        <v>R-1-4-10944/1073-TC-006</v>
      </c>
      <c r="AP22" t="str">
        <f ca="1">Tabela1[[#This Row],[TAG]]&amp;Tabela1[[#This Row],[PEDIDO]]&amp;Tabela1[[#This Row],[PRODUTO]]</f>
        <v>1073-TC-006P-188ROLOS</v>
      </c>
      <c r="AQ22" s="22" t="str">
        <f ca="1">Tabela1[[#This Row],[PRODUTO]]&amp;Tabela1[[#This Row],[TAG]]</f>
        <v>ROLOS1073-TC-006</v>
      </c>
      <c r="AR22" s="24" t="str">
        <f ca="1">Tabela1[[#This Row],[PEDIDO]]&amp;Tabela1[[#This Row],[PRODUTO]]</f>
        <v>P-188ROLOS</v>
      </c>
      <c r="AS22" s="37">
        <f ca="1">IF(AF22="",0,IF(ISTEXT(AF22),H22*VALUE(SUBSTITUTE(AF22,"%",""))/100,H22*AF22))-Tabela1[[#This Row],[PRONTO ACABADO2]]</f>
        <v>0</v>
      </c>
      <c r="AT22" s="37">
        <f ca="1">IF(AG22="",0,IF(ISTEXT(AG22),H22*VALUE(SUBSTITUTE(AG22,"%",""))/100,H22*AG22))-Tabela1[[#This Row],[PESO EXPEDIDO2]]</f>
        <v>0</v>
      </c>
      <c r="AU22" s="37">
        <f t="shared" ca="1" si="5"/>
        <v>10</v>
      </c>
      <c r="AV22" s="37">
        <f t="shared" ca="1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 ca="1"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 ca="1">Tabela1[[#This Row],[QTDE/ Fabricação]]-Tabela1[[#This Row],[QTE]]</f>
        <v>-4</v>
      </c>
      <c r="R23" s="18">
        <f t="shared" ca="1" si="0"/>
        <v>10</v>
      </c>
      <c r="S23" s="18">
        <f t="shared" ca="1" si="7"/>
        <v>10</v>
      </c>
      <c r="T23" s="19">
        <f t="shared" ca="1" si="1"/>
        <v>0</v>
      </c>
      <c r="U23" s="16">
        <f>IFERROR(SUMIF('LISTA DE EMBARQUE'!B:B,MICRO!E:E,'LISTA DE EMBARQUE'!G:G),"")</f>
        <v>4</v>
      </c>
      <c r="V23" s="12">
        <f ca="1">IFERROR(VLOOKUP(Tabela1[[#This Row],[COD.MDE]],'LISTA DE EMBARQUE'!B:L,11,0),"")</f>
        <v>1</v>
      </c>
      <c r="W23" s="13">
        <f ca="1">IFERROR(VLOOKUP(Tabela1[[#This Row],[COD.MDE]],'LISTA DE EMBARQUE'!B:M,12,0),"")</f>
        <v>46146</v>
      </c>
      <c r="X23" s="14">
        <f ca="1">IFERROR(Tabela1[[#This Row],[QIANTIDADE EXPEDIDA]]*Tabela1[[#This Row],[PESO UNI]],"")</f>
        <v>10</v>
      </c>
      <c r="Y23" s="14">
        <f t="shared" ca="1" si="2"/>
        <v>0</v>
      </c>
      <c r="Z23" s="20">
        <f ca="1"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ca="1" si="3"/>
        <v>ok</v>
      </c>
      <c r="AJ23" s="5"/>
      <c r="AK23" t="str">
        <f ca="1">Tabela1[[#This Row],[Coluna1]]&amp;Tabela1[[#This Row],[PEDIDO]]</f>
        <v>P-188</v>
      </c>
      <c r="AL23"/>
      <c r="AM23"/>
      <c r="AN23"/>
      <c r="AO23" t="str">
        <f t="shared" ca="1" si="4"/>
        <v>R-1-4-10944/1073-TC-007</v>
      </c>
      <c r="AP23" t="str">
        <f ca="1">Tabela1[[#This Row],[TAG]]&amp;Tabela1[[#This Row],[PEDIDO]]&amp;Tabela1[[#This Row],[PRODUTO]]</f>
        <v>1073-TC-007P-188ROLOS</v>
      </c>
      <c r="AQ23" s="22" t="str">
        <f ca="1">Tabela1[[#This Row],[PRODUTO]]&amp;Tabela1[[#This Row],[TAG]]</f>
        <v>ROLOS1073-TC-007</v>
      </c>
      <c r="AR23" s="24" t="str">
        <f ca="1">Tabela1[[#This Row],[PEDIDO]]&amp;Tabela1[[#This Row],[PRODUTO]]</f>
        <v>P-188ROLOS</v>
      </c>
      <c r="AS23" s="37">
        <f ca="1">IF(AF23="",0,IF(ISTEXT(AF23),H23*VALUE(SUBSTITUTE(AF23,"%",""))/100,H23*AF23))-Tabela1[[#This Row],[PRONTO ACABADO2]]</f>
        <v>0</v>
      </c>
      <c r="AT23" s="37">
        <f ca="1">IF(AG23="",0,IF(ISTEXT(AG23),H23*VALUE(SUBSTITUTE(AG23,"%",""))/100,H23*AG23))-Tabela1[[#This Row],[PESO EXPEDIDO2]]</f>
        <v>0</v>
      </c>
      <c r="AU23" s="37">
        <f t="shared" ca="1" si="5"/>
        <v>10</v>
      </c>
      <c r="AV23" s="37">
        <f t="shared" ca="1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 ca="1"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 ca="1">Tabela1[[#This Row],[QTDE/ Fabricação]]-Tabela1[[#This Row],[QTE]]</f>
        <v>-14</v>
      </c>
      <c r="R24" s="18">
        <f t="shared" ca="1" si="0"/>
        <v>119</v>
      </c>
      <c r="S24" s="18">
        <f t="shared" ca="1" si="7"/>
        <v>119</v>
      </c>
      <c r="T24" s="19">
        <f t="shared" ca="1" si="1"/>
        <v>0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 ca="1">IFERROR(Tabela1[[#This Row],[QIANTIDADE EXPEDIDA]]*Tabela1[[#This Row],[PESO UNI]],"")</f>
        <v>119</v>
      </c>
      <c r="Y24" s="14">
        <f t="shared" ca="1" si="2"/>
        <v>0</v>
      </c>
      <c r="Z24" s="20">
        <f ca="1">Tabela1[[#This Row],[PESO TOTAL]]-Tabela1[[#This Row],[Peso Expedido]]</f>
        <v>0</v>
      </c>
      <c r="AA24" s="17">
        <v>1</v>
      </c>
      <c r="AB24" s="17">
        <v>1</v>
      </c>
      <c r="AC24" s="17">
        <v>1</v>
      </c>
      <c r="AD24" s="17">
        <v>1</v>
      </c>
      <c r="AE24" s="17">
        <v>1</v>
      </c>
      <c r="AF24" s="17">
        <v>1</v>
      </c>
      <c r="AG24" s="17">
        <v>1</v>
      </c>
      <c r="AH24" s="17">
        <v>1</v>
      </c>
      <c r="AI24" s="33" t="s">
        <v>4412</v>
      </c>
      <c r="AJ24" s="5"/>
      <c r="AK24" t="str">
        <f ca="1">Tabela1[[#This Row],[Coluna1]]&amp;Tabela1[[#This Row],[PEDIDO]]</f>
        <v>P-188</v>
      </c>
      <c r="AL24"/>
      <c r="AM24"/>
      <c r="AN24"/>
      <c r="AO24" t="str">
        <f t="shared" ca="1" si="4"/>
        <v>R-3-4-10912/1073-TC-006</v>
      </c>
      <c r="AP24" t="str">
        <f ca="1">Tabela1[[#This Row],[TAG]]&amp;Tabela1[[#This Row],[PEDIDO]]&amp;Tabela1[[#This Row],[PRODUTO]]</f>
        <v>1073-TC-006P-188ROLOS</v>
      </c>
      <c r="AQ24" s="22" t="str">
        <f ca="1">Tabela1[[#This Row],[PRODUTO]]&amp;Tabela1[[#This Row],[TAG]]</f>
        <v>ROLOS1073-TC-006</v>
      </c>
      <c r="AR24" s="24" t="str">
        <f ca="1">Tabela1[[#This Row],[PEDIDO]]&amp;Tabela1[[#This Row],[PRODUTO]]</f>
        <v>P-188ROLOS</v>
      </c>
      <c r="AS24" s="37">
        <f ca="1">IF(AF24="",0,IF(ISTEXT(AF24),H24*VALUE(SUBSTITUTE(AF24,"%",""))/100,H24*AF24))-Tabela1[[#This Row],[PRONTO ACABADO2]]</f>
        <v>0</v>
      </c>
      <c r="AT24" s="37">
        <f ca="1">IF(AG24="",0,IF(ISTEXT(AG24),H24*VALUE(SUBSTITUTE(AG24,"%",""))/100,H24*AG24))-Tabela1[[#This Row],[PESO EXPEDIDO2]]</f>
        <v>0</v>
      </c>
      <c r="AU24" s="37">
        <f t="shared" ca="1" si="5"/>
        <v>119</v>
      </c>
      <c r="AV24" s="37">
        <f t="shared" ca="1" si="6"/>
        <v>119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 ca="1"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 ca="1">Tabela1[[#This Row],[QTDE/ Fabricação]]-Tabela1[[#This Row],[QTE]]</f>
        <v>-14</v>
      </c>
      <c r="R25" s="18">
        <f t="shared" ca="1" si="0"/>
        <v>119</v>
      </c>
      <c r="S25" s="18">
        <f t="shared" ca="1" si="7"/>
        <v>119</v>
      </c>
      <c r="T25" s="19">
        <f t="shared" ca="1" si="1"/>
        <v>0</v>
      </c>
      <c r="U25" s="16">
        <f>IFERROR(SUMIF('LISTA DE EMBARQUE'!B:B,MICRO!E:E,'LISTA DE EMBARQUE'!G:G),"")</f>
        <v>28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 ca="1">IFERROR(Tabela1[[#This Row],[QIANTIDADE EXPEDIDA]]*Tabela1[[#This Row],[PESO UNI]],"")</f>
        <v>238</v>
      </c>
      <c r="Y25" s="14">
        <f t="shared" ca="1" si="2"/>
        <v>14</v>
      </c>
      <c r="Z25" s="20">
        <v>0</v>
      </c>
      <c r="AA25" s="17">
        <v>1</v>
      </c>
      <c r="AB25" s="17">
        <v>1</v>
      </c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33" t="s">
        <v>4412</v>
      </c>
      <c r="AJ25" s="5"/>
      <c r="AK25" t="str">
        <f ca="1">Tabela1[[#This Row],[Coluna1]]&amp;Tabela1[[#This Row],[PEDIDO]]</f>
        <v>P-188</v>
      </c>
      <c r="AL25"/>
      <c r="AM25"/>
      <c r="AN25"/>
      <c r="AO25" t="str">
        <f t="shared" ca="1" si="4"/>
        <v>R-3-4-10912/1073-TC-007</v>
      </c>
      <c r="AP25" t="str">
        <f ca="1">Tabela1[[#This Row],[TAG]]&amp;Tabela1[[#This Row],[PEDIDO]]&amp;Tabela1[[#This Row],[PRODUTO]]</f>
        <v>1073-TC-007P-188ROLOS</v>
      </c>
      <c r="AQ25" s="22" t="str">
        <f ca="1">Tabela1[[#This Row],[PRODUTO]]&amp;Tabela1[[#This Row],[TAG]]</f>
        <v>ROLOS1073-TC-007</v>
      </c>
      <c r="AR25" s="24" t="str">
        <f ca="1">Tabela1[[#This Row],[PEDIDO]]&amp;Tabela1[[#This Row],[PRODUTO]]</f>
        <v>P-188ROLOS</v>
      </c>
      <c r="AS25" s="37">
        <f ca="1">IF(AF25="",0,IF(ISTEXT(AF25),H25*VALUE(SUBSTITUTE(AF25,"%",""))/100,H25*AF25))-Tabela1[[#This Row],[PRONTO ACABADO2]]</f>
        <v>0</v>
      </c>
      <c r="AT25" s="37">
        <f ca="1">IF(AG25="",0,IF(ISTEXT(AG25),H25*VALUE(SUBSTITUTE(AG25,"%",""))/100,H25*AG25))-Tabela1[[#This Row],[PESO EXPEDIDO2]]</f>
        <v>0</v>
      </c>
      <c r="AU25" s="37">
        <f t="shared" ca="1" si="5"/>
        <v>119</v>
      </c>
      <c r="AV25" s="37">
        <f t="shared" ca="1" si="6"/>
        <v>119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 ca="1"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 ca="1">Tabela1[[#This Row],[QTDE/ Fabricação]]-Tabela1[[#This Row],[QTE]]</f>
        <v>-10</v>
      </c>
      <c r="R26" s="18">
        <f t="shared" ca="1" si="0"/>
        <v>198</v>
      </c>
      <c r="S26" s="18">
        <f t="shared" ca="1" si="7"/>
        <v>198</v>
      </c>
      <c r="T26" s="19">
        <f t="shared" ca="1" si="1"/>
        <v>0</v>
      </c>
      <c r="U26" s="16">
        <f ca="1">IFERROR(SUMIF('LISTA DE EMBARQUE'!B:B,MICRO!E:E,'LISTA DE EMBARQUE'!G:G),"")</f>
        <v>10</v>
      </c>
      <c r="V26" s="12">
        <f ca="1"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 ca="1">IFERROR(Tabela1[[#This Row],[QIANTIDADE EXPEDIDA]]*Tabela1[[#This Row],[PESO UNI]],"")</f>
        <v>198</v>
      </c>
      <c r="Y26" s="14">
        <f t="shared" ca="1" si="2"/>
        <v>0</v>
      </c>
      <c r="Z26" s="20">
        <f ca="1"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ca="1" si="3"/>
        <v>ok</v>
      </c>
      <c r="AJ26" s="5"/>
      <c r="AK26" t="str">
        <f ca="1">Tabela1[[#This Row],[Coluna1]]&amp;Tabela1[[#This Row],[PEDIDO]]</f>
        <v>P-188</v>
      </c>
      <c r="AL26"/>
      <c r="AM26"/>
      <c r="AN26"/>
      <c r="AO26" t="str">
        <f t="shared" ca="1" si="4"/>
        <v>R-3-4-7843/1073-TC-006</v>
      </c>
      <c r="AP26" t="str">
        <f ca="1">Tabela1[[#This Row],[TAG]]&amp;Tabela1[[#This Row],[PEDIDO]]&amp;Tabela1[[#This Row],[PRODUTO]]</f>
        <v>1073-TC-006P-188ROLOS</v>
      </c>
      <c r="AQ26" s="22" t="str">
        <f ca="1">Tabela1[[#This Row],[PRODUTO]]&amp;Tabela1[[#This Row],[TAG]]</f>
        <v>ROLOS1073-TC-006</v>
      </c>
      <c r="AR26" s="24" t="str">
        <f ca="1">Tabela1[[#This Row],[PEDIDO]]&amp;Tabela1[[#This Row],[PRODUTO]]</f>
        <v>P-188ROLOS</v>
      </c>
      <c r="AS26" s="37">
        <f ca="1">IF(AF26="",0,IF(ISTEXT(AF26),H26*VALUE(SUBSTITUTE(AF26,"%",""))/100,H26*AF26))-Tabela1[[#This Row],[PRONTO ACABADO2]]</f>
        <v>0</v>
      </c>
      <c r="AT26" s="37">
        <f ca="1">IF(AG26="",0,IF(ISTEXT(AG26),H26*VALUE(SUBSTITUTE(AG26,"%",""))/100,H26*AG26))-Tabela1[[#This Row],[PESO EXPEDIDO2]]</f>
        <v>0</v>
      </c>
      <c r="AU26" s="37">
        <f t="shared" ca="1" si="5"/>
        <v>198</v>
      </c>
      <c r="AV26" s="37">
        <f t="shared" ca="1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 ca="1"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 ca="1">Tabela1[[#This Row],[QTDE/ Fabricação]]-Tabela1[[#This Row],[QTE]]</f>
        <v>-10</v>
      </c>
      <c r="R27" s="18">
        <f t="shared" ca="1" si="0"/>
        <v>198</v>
      </c>
      <c r="S27" s="18">
        <f t="shared" ca="1" si="7"/>
        <v>198</v>
      </c>
      <c r="T27" s="19">
        <f t="shared" ca="1" si="1"/>
        <v>0</v>
      </c>
      <c r="U27" s="16">
        <f>IFERROR(SUMIF('LISTA DE EMBARQUE'!B:B,MICRO!E:E,'LISTA DE EMBARQUE'!G:G),"")</f>
        <v>12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 ca="1">IFERROR(Tabela1[[#This Row],[QIANTIDADE EXPEDIDA]]*Tabela1[[#This Row],[PESO UNI]],"")</f>
        <v>237.60000000000002</v>
      </c>
      <c r="Y27" s="14">
        <f t="shared" ca="1" si="2"/>
        <v>2</v>
      </c>
      <c r="Z27" s="20"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ca="1" si="3"/>
        <v>ok</v>
      </c>
      <c r="AJ27" s="5"/>
      <c r="AK27" t="str">
        <f ca="1">Tabela1[[#This Row],[Coluna1]]&amp;Tabela1[[#This Row],[PEDIDO]]</f>
        <v>P-188</v>
      </c>
      <c r="AL27"/>
      <c r="AM27"/>
      <c r="AN27"/>
      <c r="AO27" t="str">
        <f t="shared" ca="1" si="4"/>
        <v>R-3-4-7843/1073-TC-007</v>
      </c>
      <c r="AP27" t="str">
        <f ca="1">Tabela1[[#This Row],[TAG]]&amp;Tabela1[[#This Row],[PEDIDO]]&amp;Tabela1[[#This Row],[PRODUTO]]</f>
        <v>1073-TC-007P-188ROLOS</v>
      </c>
      <c r="AQ27" s="22" t="str">
        <f ca="1">Tabela1[[#This Row],[PRODUTO]]&amp;Tabela1[[#This Row],[TAG]]</f>
        <v>ROLOS1073-TC-007</v>
      </c>
      <c r="AR27" s="24" t="str">
        <f ca="1">Tabela1[[#This Row],[PEDIDO]]&amp;Tabela1[[#This Row],[PRODUTO]]</f>
        <v>P-188ROLOS</v>
      </c>
      <c r="AS27" s="37">
        <f ca="1">IF(AF27="",0,IF(ISTEXT(AF27),H27*VALUE(SUBSTITUTE(AF27,"%",""))/100,H27*AF27))-Tabela1[[#This Row],[PRONTO ACABADO2]]</f>
        <v>0</v>
      </c>
      <c r="AT27" s="37">
        <f ca="1">IF(AG27="",0,IF(ISTEXT(AG27),H27*VALUE(SUBSTITUTE(AG27,"%",""))/100,H27*AG27))-Tabela1[[#This Row],[PESO EXPEDIDO2]]</f>
        <v>0</v>
      </c>
      <c r="AU27" s="37">
        <f t="shared" ca="1" si="5"/>
        <v>198</v>
      </c>
      <c r="AV27" s="37">
        <f t="shared" ca="1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 ca="1"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 ca="1">Tabela1[[#This Row],[QTDE/ Fabricação]]-Tabela1[[#This Row],[QTE]]</f>
        <v>-10</v>
      </c>
      <c r="R28" s="18">
        <f t="shared" ref="R28:R36" ca="1" si="8">IFERROR(H28*((AA28*0.25)+(AC28*0.25)+(AD28*0.225)+(AE28*0.225)+(AF28*0.05)),"")</f>
        <v>976</v>
      </c>
      <c r="S28" s="18">
        <f t="shared" ca="1" si="7"/>
        <v>976</v>
      </c>
      <c r="T28" s="19">
        <f t="shared" ref="T28:T36" ca="1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 ca="1">IFERROR(VLOOKUP(Tabela1[[#This Row],[COD.MDE]],'LISTA DE EMBARQUE'!B:M,12,0),"")</f>
        <v>46209</v>
      </c>
      <c r="X28" s="14">
        <f ca="1">IFERROR(Tabela1[[#This Row],[QIANTIDADE EXPEDIDA]]*Tabela1[[#This Row],[PESO UNI]],"")</f>
        <v>976</v>
      </c>
      <c r="Y28" s="14">
        <f t="shared" ca="1" si="2"/>
        <v>0</v>
      </c>
      <c r="Z28" s="20">
        <f ca="1"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ca="1" si="10">IF(Z28&lt;=0,"ok","")</f>
        <v>ok</v>
      </c>
      <c r="AJ28" s="5"/>
      <c r="AK28" t="str">
        <f ca="1">Tabela1[[#This Row],[Coluna1]]&amp;Tabela1[[#This Row],[PEDIDO]]</f>
        <v>P-200</v>
      </c>
      <c r="AL28"/>
      <c r="AM28"/>
      <c r="AN28"/>
      <c r="AO28" t="str">
        <f t="shared" ca="1" si="4"/>
        <v>A-010003-1/P200</v>
      </c>
      <c r="AP28" t="str">
        <f ca="1">Tabela1[[#This Row],[TAG]]&amp;Tabela1[[#This Row],[PEDIDO]]&amp;Tabela1[[#This Row],[PRODUTO]]</f>
        <v>P200P-200ESTRUTURA</v>
      </c>
      <c r="AQ28" s="22" t="str">
        <f ca="1">Tabela1[[#This Row],[PRODUTO]]&amp;Tabela1[[#This Row],[TAG]]</f>
        <v>ESTRUTURAP200</v>
      </c>
      <c r="AR28" s="24" t="str">
        <f ca="1">Tabela1[[#This Row],[PEDIDO]]&amp;Tabela1[[#This Row],[PRODUTO]]</f>
        <v>P-200ESTRUTURA</v>
      </c>
      <c r="AS28" s="37">
        <f ca="1">IF(AF28="",0,IF(ISTEXT(AF28),H28*VALUE(SUBSTITUTE(AF28,"%",""))/100,H28*AF28))-Tabela1[[#This Row],[PRONTO ACABADO2]]</f>
        <v>0</v>
      </c>
      <c r="AT28" s="37">
        <f ca="1">IF(AG28="",0,IF(ISTEXT(AG28),H28*VALUE(SUBSTITUTE(AG28,"%",""))/100,H28*AG28))-Tabela1[[#This Row],[PESO EXPEDIDO2]]</f>
        <v>0</v>
      </c>
      <c r="AU28" s="37">
        <f t="shared" ca="1" si="5"/>
        <v>976</v>
      </c>
      <c r="AV28" s="37">
        <f t="shared" ca="1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 ca="1"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 ca="1">Tabela1[[#This Row],[QTDE/ Fabricação]]-Tabela1[[#This Row],[QTE]]</f>
        <v>-1</v>
      </c>
      <c r="R29" s="18">
        <f t="shared" ca="1" si="8"/>
        <v>213.7</v>
      </c>
      <c r="S29" s="18">
        <f t="shared" ca="1" si="7"/>
        <v>213.7</v>
      </c>
      <c r="T29" s="19">
        <f t="shared" ca="1" si="9"/>
        <v>0</v>
      </c>
      <c r="U29" s="16">
        <v>1</v>
      </c>
      <c r="V29" s="12">
        <v>1</v>
      </c>
      <c r="W29" s="13" t="str">
        <f ca="1">IFERROR(VLOOKUP(Tabela1[[#This Row],[COD.MDE]],'LISTA DE EMBARQUE'!B:M,12,0),"")</f>
        <v/>
      </c>
      <c r="X29" s="14">
        <f ca="1">IFERROR(Tabela1[[#This Row],[QIANTIDADE EXPEDIDA]]*Tabela1[[#This Row],[PESO UNI]],"")</f>
        <v>213.7</v>
      </c>
      <c r="Y29" s="14">
        <f t="shared" ca="1" si="2"/>
        <v>0</v>
      </c>
      <c r="Z29" s="20">
        <f ca="1"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 ca="1">Tabela1[[#This Row],[Coluna1]]&amp;Tabela1[[#This Row],[PEDIDO]]</f>
        <v>P-201</v>
      </c>
      <c r="AL29"/>
      <c r="AM29"/>
      <c r="AN29"/>
      <c r="AO29" t="str">
        <f t="shared" ca="1" si="4"/>
        <v>T-009362-1/P201</v>
      </c>
      <c r="AP29" t="str">
        <f ca="1">Tabela1[[#This Row],[TAG]]&amp;Tabela1[[#This Row],[PEDIDO]]&amp;Tabela1[[#This Row],[PRODUTO]]</f>
        <v>P201P-201TAMBOR</v>
      </c>
      <c r="AQ29" s="22" t="str">
        <f ca="1">Tabela1[[#This Row],[PRODUTO]]&amp;Tabela1[[#This Row],[TAG]]</f>
        <v>TAMBORP201</v>
      </c>
      <c r="AR29" s="24" t="str">
        <f ca="1">Tabela1[[#This Row],[PEDIDO]]&amp;Tabela1[[#This Row],[PRODUTO]]</f>
        <v>P-201TAMBOR</v>
      </c>
      <c r="AS29" s="37">
        <f ca="1">IF(AF29="",0,IF(ISTEXT(AF29),H29*VALUE(SUBSTITUTE(AF29,"%",""))/100,H29*AF29))-Tabela1[[#This Row],[PRONTO ACABADO2]]</f>
        <v>0</v>
      </c>
      <c r="AT29" s="37">
        <f ca="1">IF(AG29="",0,IF(ISTEXT(AG29),H29*VALUE(SUBSTITUTE(AG29,"%",""))/100,H29*AG29))-Tabela1[[#This Row],[PESO EXPEDIDO2]]</f>
        <v>0</v>
      </c>
      <c r="AU29" s="37">
        <f t="shared" ca="1" si="5"/>
        <v>213.7</v>
      </c>
      <c r="AV29" s="37">
        <f t="shared" ca="1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 ca="1"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 ca="1">Tabela1[[#This Row],[QTDE/ Fabricação]]-Tabela1[[#This Row],[QTE]]</f>
        <v>-4</v>
      </c>
      <c r="R30" s="18">
        <f t="shared" ca="1" si="8"/>
        <v>10</v>
      </c>
      <c r="S30" s="18">
        <f t="shared" ca="1" si="7"/>
        <v>10</v>
      </c>
      <c r="T30" s="19">
        <f t="shared" ca="1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 ca="1">IFERROR(Tabela1[[#This Row],[QIANTIDADE EXPEDIDA]]*Tabela1[[#This Row],[PESO UNI]],"")</f>
        <v>10</v>
      </c>
      <c r="Y30" s="14">
        <f t="shared" ca="1" si="2"/>
        <v>0</v>
      </c>
      <c r="Z30" s="20">
        <f ca="1"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ca="1" si="10"/>
        <v>ok</v>
      </c>
      <c r="AJ30" s="5"/>
      <c r="AK30" t="str">
        <f ca="1">Tabela1[[#This Row],[Coluna1]]&amp;Tabela1[[#This Row],[PEDIDO]]</f>
        <v>P-202</v>
      </c>
      <c r="AL30"/>
      <c r="AM30"/>
      <c r="AN30"/>
      <c r="AO30" t="str">
        <f t="shared" ca="1" si="4"/>
        <v>R-1-4-10944/P202</v>
      </c>
      <c r="AP30" t="str">
        <f ca="1">Tabela1[[#This Row],[TAG]]&amp;Tabela1[[#This Row],[PEDIDO]]&amp;Tabela1[[#This Row],[PRODUTO]]</f>
        <v>P202P-202ROLOS</v>
      </c>
      <c r="AQ30" s="22" t="str">
        <f ca="1">Tabela1[[#This Row],[PRODUTO]]&amp;Tabela1[[#This Row],[TAG]]</f>
        <v>ROLOSP202</v>
      </c>
      <c r="AR30" s="24" t="str">
        <f ca="1">Tabela1[[#This Row],[PEDIDO]]&amp;Tabela1[[#This Row],[PRODUTO]]</f>
        <v>P-202ROLOS</v>
      </c>
      <c r="AS30" s="37">
        <f ca="1">IF(AF30="",0,IF(ISTEXT(AF30),H30*VALUE(SUBSTITUTE(AF30,"%",""))/100,H30*AF30))-Tabela1[[#This Row],[PRONTO ACABADO2]]</f>
        <v>0</v>
      </c>
      <c r="AT30" s="37">
        <f ca="1">IF(AG30="",0,IF(ISTEXT(AG30),H30*VALUE(SUBSTITUTE(AG30,"%",""))/100,H30*AG30))-Tabela1[[#This Row],[PESO EXPEDIDO2]]</f>
        <v>0</v>
      </c>
      <c r="AU30" s="37">
        <f t="shared" ca="1" si="5"/>
        <v>10</v>
      </c>
      <c r="AV30" s="37">
        <f t="shared" ca="1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 ca="1"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 ca="1">Tabela1[[#This Row],[QTDE/ Fabricação]]-Tabela1[[#This Row],[QTE]]</f>
        <v>-30</v>
      </c>
      <c r="R31" s="18">
        <f t="shared" ca="1" si="8"/>
        <v>480</v>
      </c>
      <c r="S31" s="18">
        <f t="shared" ca="1" si="7"/>
        <v>480</v>
      </c>
      <c r="T31" s="19">
        <f t="shared" ca="1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 ca="1">IFERROR(Tabela1[[#This Row],[QIANTIDADE EXPEDIDA]]*Tabela1[[#This Row],[PESO UNI]],"")</f>
        <v>480</v>
      </c>
      <c r="Y31" s="14">
        <f t="shared" ca="1" si="2"/>
        <v>0</v>
      </c>
      <c r="Z31" s="20">
        <f ca="1"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ca="1" si="10"/>
        <v>ok</v>
      </c>
      <c r="AJ31" s="5"/>
      <c r="AK31" t="str">
        <f ca="1">Tabela1[[#This Row],[Coluna1]]&amp;Tabela1[[#This Row],[PEDIDO]]</f>
        <v>P-202</v>
      </c>
      <c r="AL31"/>
      <c r="AM31"/>
      <c r="AN31"/>
      <c r="AO31" t="str">
        <f t="shared" ca="1" si="4"/>
        <v>R-1-4-11002/P202</v>
      </c>
      <c r="AP31" t="str">
        <f ca="1">Tabela1[[#This Row],[TAG]]&amp;Tabela1[[#This Row],[PEDIDO]]&amp;Tabela1[[#This Row],[PRODUTO]]</f>
        <v>P202P-202ROLOS</v>
      </c>
      <c r="AQ31" s="22" t="str">
        <f ca="1">Tabela1[[#This Row],[PRODUTO]]&amp;Tabela1[[#This Row],[TAG]]</f>
        <v>ROLOSP202</v>
      </c>
      <c r="AR31" s="24" t="str">
        <f ca="1">Tabela1[[#This Row],[PEDIDO]]&amp;Tabela1[[#This Row],[PRODUTO]]</f>
        <v>P-202ROLOS</v>
      </c>
      <c r="AS31" s="37">
        <f ca="1">IF(AF31="",0,IF(ISTEXT(AF31),H31*VALUE(SUBSTITUTE(AF31,"%",""))/100,H31*AF31))-Tabela1[[#This Row],[PRONTO ACABADO2]]</f>
        <v>0</v>
      </c>
      <c r="AT31" s="37">
        <f ca="1">IF(AG31="",0,IF(ISTEXT(AG31),H31*VALUE(SUBSTITUTE(AG31,"%",""))/100,H31*AG31))-Tabela1[[#This Row],[PESO EXPEDIDO2]]</f>
        <v>0</v>
      </c>
      <c r="AU31" s="37">
        <f t="shared" ca="1" si="5"/>
        <v>480</v>
      </c>
      <c r="AV31" s="37">
        <f t="shared" ca="1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 ca="1"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 ca="1">Tabela1[[#This Row],[QTDE/ Fabricação]]-Tabela1[[#This Row],[QTE]]</f>
        <v>-12</v>
      </c>
      <c r="R32" s="18">
        <f t="shared" ca="1" si="8"/>
        <v>192</v>
      </c>
      <c r="S32" s="18">
        <f t="shared" ca="1" si="7"/>
        <v>192</v>
      </c>
      <c r="T32" s="19">
        <f t="shared" ca="1" si="9"/>
        <v>0</v>
      </c>
      <c r="U32" s="16">
        <f ca="1">IFERROR(SUMIF('LISTA DE EMBARQUE'!B:B,MICRO!E:E,'LISTA DE EMBARQUE'!G:G),"")</f>
        <v>12</v>
      </c>
      <c r="V32" s="12">
        <f ca="1"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 ca="1">IFERROR(Tabela1[[#This Row],[QIANTIDADE EXPEDIDA]]*Tabela1[[#This Row],[PESO UNI]],"")</f>
        <v>192</v>
      </c>
      <c r="Y32" s="14">
        <f t="shared" ca="1" si="2"/>
        <v>0</v>
      </c>
      <c r="Z32" s="20">
        <f ca="1"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ca="1" si="10"/>
        <v>ok</v>
      </c>
      <c r="AJ32" s="5"/>
      <c r="AK32" t="str">
        <f ca="1">Tabela1[[#This Row],[Coluna1]]&amp;Tabela1[[#This Row],[PEDIDO]]</f>
        <v>P-202</v>
      </c>
      <c r="AL32"/>
      <c r="AM32"/>
      <c r="AN32"/>
      <c r="AO32" t="str">
        <f t="shared" ca="1" si="4"/>
        <v>R-1-4-11003/P202</v>
      </c>
      <c r="AP32" t="str">
        <f ca="1">Tabela1[[#This Row],[TAG]]&amp;Tabela1[[#This Row],[PEDIDO]]&amp;Tabela1[[#This Row],[PRODUTO]]</f>
        <v>P202P-202ROLOS</v>
      </c>
      <c r="AQ32" s="22" t="str">
        <f ca="1">Tabela1[[#This Row],[PRODUTO]]&amp;Tabela1[[#This Row],[TAG]]</f>
        <v>ROLOSP202</v>
      </c>
      <c r="AR32" s="24" t="str">
        <f ca="1">Tabela1[[#This Row],[PEDIDO]]&amp;Tabela1[[#This Row],[PRODUTO]]</f>
        <v>P-202ROLOS</v>
      </c>
      <c r="AS32" s="37">
        <f ca="1">IF(AF32="",0,IF(ISTEXT(AF32),H32*VALUE(SUBSTITUTE(AF32,"%",""))/100,H32*AF32))-Tabela1[[#This Row],[PRONTO ACABADO2]]</f>
        <v>0</v>
      </c>
      <c r="AT32" s="37">
        <f ca="1">IF(AG32="",0,IF(ISTEXT(AG32),H32*VALUE(SUBSTITUTE(AG32,"%",""))/100,H32*AG32))-Tabela1[[#This Row],[PESO EXPEDIDO2]]</f>
        <v>0</v>
      </c>
      <c r="AU32" s="37">
        <f t="shared" ca="1" si="5"/>
        <v>192</v>
      </c>
      <c r="AV32" s="37">
        <f t="shared" ca="1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 ca="1"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 ca="1">Tabela1[[#This Row],[QTDE/ Fabricação]]-Tabela1[[#This Row],[QTE]]</f>
        <v>-4</v>
      </c>
      <c r="R33" s="18">
        <f t="shared" ca="1" si="8"/>
        <v>164</v>
      </c>
      <c r="S33" s="18">
        <f t="shared" ca="1" si="7"/>
        <v>164</v>
      </c>
      <c r="T33" s="19">
        <f t="shared" ca="1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 ca="1">IFERROR(Tabela1[[#This Row],[QIANTIDADE EXPEDIDA]]*Tabela1[[#This Row],[PESO UNI]],"")</f>
        <v>164</v>
      </c>
      <c r="Y33" s="14">
        <f t="shared" ca="1" si="2"/>
        <v>0</v>
      </c>
      <c r="Z33" s="20">
        <f ca="1"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ca="1" si="10"/>
        <v>ok</v>
      </c>
      <c r="AJ33" s="5"/>
      <c r="AK33" t="str">
        <f ca="1">Tabela1[[#This Row],[Coluna1]]&amp;Tabela1[[#This Row],[PEDIDO]]</f>
        <v>P-202</v>
      </c>
      <c r="AL33"/>
      <c r="AM33"/>
      <c r="AN33"/>
      <c r="AO33" t="str">
        <f t="shared" ca="1" si="4"/>
        <v>R-3-4-11004/P202</v>
      </c>
      <c r="AP33" t="str">
        <f ca="1">Tabela1[[#This Row],[TAG]]&amp;Tabela1[[#This Row],[PEDIDO]]&amp;Tabela1[[#This Row],[PRODUTO]]</f>
        <v>P202P-202ROLOS</v>
      </c>
      <c r="AQ33" s="22" t="str">
        <f ca="1">Tabela1[[#This Row],[PRODUTO]]&amp;Tabela1[[#This Row],[TAG]]</f>
        <v>ROLOSP202</v>
      </c>
      <c r="AR33" s="24" t="str">
        <f ca="1">Tabela1[[#This Row],[PEDIDO]]&amp;Tabela1[[#This Row],[PRODUTO]]</f>
        <v>P-202ROLOS</v>
      </c>
      <c r="AS33" s="37">
        <f ca="1">IF(AF33="",0,IF(ISTEXT(AF33),H33*VALUE(SUBSTITUTE(AF33,"%",""))/100,H33*AF33))-Tabela1[[#This Row],[PRONTO ACABADO2]]</f>
        <v>0</v>
      </c>
      <c r="AT33" s="37">
        <f ca="1">IF(AG33="",0,IF(ISTEXT(AG33),H33*VALUE(SUBSTITUTE(AG33,"%",""))/100,H33*AG33))-Tabela1[[#This Row],[PESO EXPEDIDO2]]</f>
        <v>0</v>
      </c>
      <c r="AU33" s="37">
        <f t="shared" ca="1" si="5"/>
        <v>164</v>
      </c>
      <c r="AV33" s="37">
        <f t="shared" ca="1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 ca="1"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 ca="1">Tabela1[[#This Row],[QTDE/ Fabricação]]-Tabela1[[#This Row],[QTE]]</f>
        <v>-4</v>
      </c>
      <c r="R34" s="18">
        <f t="shared" ca="1" si="8"/>
        <v>7.2</v>
      </c>
      <c r="S34" s="18">
        <f t="shared" ca="1" si="7"/>
        <v>7.2</v>
      </c>
      <c r="T34" s="19">
        <f t="shared" ca="1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 ca="1">IFERROR(VLOOKUP(Tabela1[[#This Row],[COD.MDE]],'LISTA DE EMBARQUE'!B:M,12,0),"")</f>
        <v>46049</v>
      </c>
      <c r="X34" s="14">
        <f ca="1">IFERROR(Tabela1[[#This Row],[QIANTIDADE EXPEDIDA]]*Tabela1[[#This Row],[PESO UNI]],"")</f>
        <v>7.2</v>
      </c>
      <c r="Y34" s="14">
        <f t="shared" ca="1" si="2"/>
        <v>0</v>
      </c>
      <c r="Z34" s="20">
        <f ca="1"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ca="1" si="10"/>
        <v>ok</v>
      </c>
      <c r="AJ34" s="5"/>
      <c r="AK34" t="str">
        <f ca="1">Tabela1[[#This Row],[Coluna1]]&amp;Tabela1[[#This Row],[PEDIDO]]</f>
        <v>P-202</v>
      </c>
      <c r="AL34"/>
      <c r="AM34"/>
      <c r="AN34"/>
      <c r="AO34" t="str">
        <f t="shared" ca="1" si="4"/>
        <v>R-6-4-5470A/P202</v>
      </c>
      <c r="AP34" t="str">
        <f ca="1">Tabela1[[#This Row],[TAG]]&amp;Tabela1[[#This Row],[PEDIDO]]&amp;Tabela1[[#This Row],[PRODUTO]]</f>
        <v>P202P-202ROLOS</v>
      </c>
      <c r="AQ34" s="22" t="str">
        <f ca="1">Tabela1[[#This Row],[PRODUTO]]&amp;Tabela1[[#This Row],[TAG]]</f>
        <v>ROLOSP202</v>
      </c>
      <c r="AR34" s="24" t="str">
        <f ca="1">Tabela1[[#This Row],[PEDIDO]]&amp;Tabela1[[#This Row],[PRODUTO]]</f>
        <v>P-202ROLOS</v>
      </c>
      <c r="AS34" s="37">
        <f ca="1">IF(AF34="",0,IF(ISTEXT(AF34),H34*VALUE(SUBSTITUTE(AF34,"%",""))/100,H34*AF34))-Tabela1[[#This Row],[PRONTO ACABADO2]]</f>
        <v>0</v>
      </c>
      <c r="AT34" s="37">
        <f ca="1">IF(AG34="",0,IF(ISTEXT(AG34),H34*VALUE(SUBSTITUTE(AG34,"%",""))/100,H34*AG34))-Tabela1[[#This Row],[PESO EXPEDIDO2]]</f>
        <v>0</v>
      </c>
      <c r="AU34" s="37">
        <f t="shared" ca="1" si="5"/>
        <v>7.2</v>
      </c>
      <c r="AV34" s="37">
        <f t="shared" ca="1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 ca="1"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 ca="1">Tabela1[[#This Row],[QTDE/ Fabricação]]-Tabela1[[#This Row],[QTE]]</f>
        <v>-5</v>
      </c>
      <c r="R35" s="18">
        <f t="shared" ca="1" si="8"/>
        <v>99</v>
      </c>
      <c r="S35" s="18">
        <f t="shared" ca="1" si="7"/>
        <v>99</v>
      </c>
      <c r="T35" s="19">
        <f t="shared" ca="1" si="9"/>
        <v>0</v>
      </c>
      <c r="U35" s="16">
        <f ca="1"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 ca="1">IFERROR(Tabela1[[#This Row],[QIANTIDADE EXPEDIDA]]*Tabela1[[#This Row],[PESO UNI]],"")</f>
        <v>99</v>
      </c>
      <c r="Y35" s="14">
        <f t="shared" ca="1" si="2"/>
        <v>0</v>
      </c>
      <c r="Z35" s="20">
        <f ca="1"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 ca="1">Tabela1[[#This Row],[Coluna1]]&amp;Tabela1[[#This Row],[PEDIDO]]</f>
        <v>P-203</v>
      </c>
      <c r="AL35"/>
      <c r="AM35"/>
      <c r="AN35"/>
      <c r="AO35" t="str">
        <f t="shared" ca="1" si="4"/>
        <v>R-3-4-7843/P203</v>
      </c>
      <c r="AP35" t="str">
        <f ca="1">Tabela1[[#This Row],[TAG]]&amp;Tabela1[[#This Row],[PEDIDO]]&amp;Tabela1[[#This Row],[PRODUTO]]</f>
        <v>P203P-203ROLOS</v>
      </c>
      <c r="AQ35" s="22" t="str">
        <f ca="1">Tabela1[[#This Row],[PRODUTO]]&amp;Tabela1[[#This Row],[TAG]]</f>
        <v>ROLOSP203</v>
      </c>
      <c r="AR35" s="24" t="str">
        <f ca="1">Tabela1[[#This Row],[PEDIDO]]&amp;Tabela1[[#This Row],[PRODUTO]]</f>
        <v>P-203ROLOS</v>
      </c>
      <c r="AS35" s="37">
        <f ca="1">IF(AF35="",0,IF(ISTEXT(AF35),H35*VALUE(SUBSTITUTE(AF35,"%",""))/100,H35*AF35))-Tabela1[[#This Row],[PRONTO ACABADO2]]</f>
        <v>0</v>
      </c>
      <c r="AT35" s="37">
        <f ca="1">IF(AG35="",0,IF(ISTEXT(AG35),H35*VALUE(SUBSTITUTE(AG35,"%",""))/100,H35*AG35))-Tabela1[[#This Row],[PESO EXPEDIDO2]]</f>
        <v>0</v>
      </c>
      <c r="AU35" s="37">
        <f t="shared" ca="1" si="5"/>
        <v>99</v>
      </c>
      <c r="AV35" s="37">
        <f t="shared" ca="1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 ca="1"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 ca="1">Tabela1[[#This Row],[QTDE/ Fabricação]]-Tabela1[[#This Row],[QTE]]</f>
        <v>-1</v>
      </c>
      <c r="R36" s="18">
        <f t="shared" ca="1" si="8"/>
        <v>773.1</v>
      </c>
      <c r="S36" s="18">
        <f t="shared" ca="1" si="7"/>
        <v>773.1</v>
      </c>
      <c r="T36" s="19">
        <f t="shared" ca="1" si="9"/>
        <v>0</v>
      </c>
      <c r="U36" s="16">
        <v>1</v>
      </c>
      <c r="V36" s="12">
        <v>1</v>
      </c>
      <c r="W36" s="13" t="str">
        <f ca="1">IFERROR(COUNTIF(#REF!,Tabela1[[#This Row],[Colunas5]]),"")</f>
        <v/>
      </c>
      <c r="X36" s="14">
        <f ca="1">Tabela1[[#This Row],[QIANTIDADE EXPEDIDA]]*Tabela1[[#This Row],[PESO UNI]]</f>
        <v>773.1</v>
      </c>
      <c r="Y36" s="14">
        <f t="shared" ca="1" si="2"/>
        <v>0</v>
      </c>
      <c r="Z36" s="20">
        <f ca="1"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ca="1" si="10"/>
        <v>ok</v>
      </c>
      <c r="AJ36" s="5"/>
      <c r="AK36" t="str">
        <f ca="1"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 ca="1">Tabela1[[#This Row],[TAG]]&amp;Tabela1[[#This Row],[PEDIDO]]&amp;Tabela1[[#This Row],[PRODUTO]]</f>
        <v>P199P-199TAMBOR</v>
      </c>
      <c r="AQ36" s="22" t="str">
        <f ca="1">Tabela1[[#This Row],[PRODUTO]]&amp;Tabela1[[#This Row],[TAG]]</f>
        <v>TAMBORP199</v>
      </c>
      <c r="AR36" s="24" t="str">
        <f ca="1">Tabela1[[#This Row],[PEDIDO]]&amp;Tabela1[[#This Row],[PRODUTO]]</f>
        <v>P-199TAMBOR</v>
      </c>
      <c r="AS36" s="37" t="e">
        <f ca="1">IF(AF36="",0,IF(ISTEXT(AF36),#REF!*VALUE(SUBSTITUTE(AF36,"%",""))/100,#REF!*AF36))-Tabela1[[#This Row],[PRONTO ACABADO2]]</f>
        <v>#REF!</v>
      </c>
      <c r="AT36" s="37" t="e">
        <f ca="1">IF(AG36="",0,IF(ISTEXT(AG36),#REF!*VALUE(SUBSTITUTE(AG36,"%",""))/100,#REF!*AG36))-Tabela1[[#This Row],[PESO EXPEDIDO2]]</f>
        <v>#REF!</v>
      </c>
      <c r="AU36" s="37" t="e">
        <f ca="1">IF(AH36="",0,IF(ISTEXT(AH36),#REF!*VALUE(SUBSTITUTE(AH36,"%",""))/100,#REF!*AH36))</f>
        <v>#REF!</v>
      </c>
      <c r="AV36" s="37" t="e">
        <f ca="1"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 ca="1"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 ca="1">Tabela1[[#This Row],[QTDE/ Fabricação]]-Tabela1[[#This Row],[QTE]]</f>
        <v>-16</v>
      </c>
      <c r="R37" s="18">
        <f t="shared" ref="R37:R79" ca="1" si="11">IFERROR(H37*((AA37*0.25)+(AC37*0.25)+(AD37*0.225)+(AE37*0.225)+(AF37*0.05)),"")</f>
        <v>144</v>
      </c>
      <c r="S37" s="18">
        <f t="shared" ref="S37:S79" ca="1" si="12">IFERROR(H37*AG37,"")</f>
        <v>144</v>
      </c>
      <c r="T37" s="19">
        <f t="shared" ref="T37:T79" ca="1" si="13">IFERROR(S37-H37,"")</f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 ca="1">IFERROR(COUNTIF(#REF!,Tabela1[[#This Row],[Colunas5]]),"")</f>
        <v/>
      </c>
      <c r="X37" s="14">
        <f ca="1">Tabela1[[#This Row],[QIANTIDADE EXPEDIDA]]*Tabela1[[#This Row],[PESO UNI]]</f>
        <v>144</v>
      </c>
      <c r="Y37" s="14">
        <f t="shared" ref="Y37:Y79" ca="1" si="14">U37-C37</f>
        <v>0</v>
      </c>
      <c r="Z37" s="20">
        <f ca="1"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ref="AI37:AI79" ca="1" si="15">IF(Z37&lt;=0,"ok","")</f>
        <v>ok</v>
      </c>
      <c r="AJ37" s="5"/>
      <c r="AK37" t="str">
        <f ca="1">Tabela1[[#This Row],[Coluna1]]&amp;Tabela1[[#This Row],[PEDIDO]]</f>
        <v>P-198</v>
      </c>
      <c r="AL37"/>
      <c r="AM37"/>
      <c r="AN37"/>
      <c r="AO37" t="str">
        <f t="shared" ref="AO37:AO67" ca="1" si="16">A37&amp;"/"&amp;J37</f>
        <v>R-1-4-11009/05-CV-0001</v>
      </c>
      <c r="AP37" t="str">
        <f ca="1">Tabela1[[#This Row],[TAG]]&amp;Tabela1[[#This Row],[PEDIDO]]&amp;Tabela1[[#This Row],[PRODUTO]]</f>
        <v>05-CV-0001P-198ROLOS</v>
      </c>
      <c r="AQ37" s="22" t="str">
        <f ca="1">Tabela1[[#This Row],[PRODUTO]]&amp;Tabela1[[#This Row],[TAG]]</f>
        <v>ROLOS05-CV-0001</v>
      </c>
      <c r="AR37" s="24" t="str">
        <f ca="1">Tabela1[[#This Row],[PEDIDO]]&amp;Tabela1[[#This Row],[PRODUTO]]</f>
        <v>P-198ROLOS</v>
      </c>
      <c r="AS37" s="37">
        <f ca="1">IF(AF37="",0,IF(ISTEXT(AF37),H37*VALUE(SUBSTITUTE(AF37,"%",""))/100,H37*AF37))-Tabela1[[#This Row],[PRONTO ACABADO2]]</f>
        <v>0</v>
      </c>
      <c r="AT37" s="37">
        <f ca="1">IF(AG37="",0,IF(ISTEXT(AG37),H37*VALUE(SUBSTITUTE(AG37,"%",""))/100,H37*AG37))-Tabela1[[#This Row],[PESO EXPEDIDO2]]</f>
        <v>0</v>
      </c>
      <c r="AU37" s="37">
        <f t="shared" ref="AU37:AU100" ca="1" si="17">IF(AH37="",0,IF(ISTEXT(AH37),H37*VALUE(SUBSTITUTE(AH37,"%",""))/100,H37*AH37))</f>
        <v>144</v>
      </c>
      <c r="AV37" s="37">
        <f t="shared" ref="AV37:AV100" ca="1" si="18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 ca="1"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 ca="1">Tabela1[[#This Row],[QTDE/ Fabricação]]-Tabela1[[#This Row],[QTE]]</f>
        <v>-78</v>
      </c>
      <c r="R38" s="18">
        <f t="shared" ca="1" si="11"/>
        <v>741</v>
      </c>
      <c r="S38" s="18">
        <f t="shared" ca="1" si="12"/>
        <v>741</v>
      </c>
      <c r="T38" s="19">
        <f t="shared" ca="1" si="13"/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 ca="1">IFERROR(COUNTIF(#REF!,Tabela1[[#This Row],[Colunas5]]),"")</f>
        <v/>
      </c>
      <c r="X38" s="14">
        <f ca="1">Tabela1[[#This Row],[QIANTIDADE EXPEDIDA]]*Tabela1[[#This Row],[PESO UNI]]</f>
        <v>741</v>
      </c>
      <c r="Y38" s="14">
        <f t="shared" ca="1" si="14"/>
        <v>0</v>
      </c>
      <c r="Z38" s="20">
        <f ca="1"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ca="1" si="15"/>
        <v>ok</v>
      </c>
      <c r="AJ38" s="5"/>
      <c r="AK38" t="str">
        <f ca="1">Tabela1[[#This Row],[Coluna1]]&amp;Tabela1[[#This Row],[PEDIDO]]</f>
        <v>P-198</v>
      </c>
      <c r="AL38"/>
      <c r="AM38"/>
      <c r="AN38"/>
      <c r="AO38" t="str">
        <f t="shared" ca="1" si="16"/>
        <v>R-1-4-8850A/05-CV-0001</v>
      </c>
      <c r="AP38" t="str">
        <f ca="1">Tabela1[[#This Row],[TAG]]&amp;Tabela1[[#This Row],[PEDIDO]]&amp;Tabela1[[#This Row],[PRODUTO]]</f>
        <v>05-CV-0001P-198ROLOS</v>
      </c>
      <c r="AQ38" s="22" t="str">
        <f ca="1">Tabela1[[#This Row],[PRODUTO]]&amp;Tabela1[[#This Row],[TAG]]</f>
        <v>ROLOS05-CV-0001</v>
      </c>
      <c r="AR38" s="24" t="str">
        <f ca="1">Tabela1[[#This Row],[PEDIDO]]&amp;Tabela1[[#This Row],[PRODUTO]]</f>
        <v>P-198ROLOS</v>
      </c>
      <c r="AS38" s="37">
        <f ca="1">IF(AF38="",0,IF(ISTEXT(AF38),H38*VALUE(SUBSTITUTE(AF38,"%",""))/100,H38*AF38))-Tabela1[[#This Row],[PRONTO ACABADO2]]</f>
        <v>0</v>
      </c>
      <c r="AT38" s="37">
        <f ca="1">IF(AG38="",0,IF(ISTEXT(AG38),H38*VALUE(SUBSTITUTE(AG38,"%",""))/100,H38*AG38))-Tabela1[[#This Row],[PESO EXPEDIDO2]]</f>
        <v>0</v>
      </c>
      <c r="AU38" s="37">
        <f t="shared" ca="1" si="17"/>
        <v>741</v>
      </c>
      <c r="AV38" s="37">
        <f t="shared" ca="1" si="18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 ca="1"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 ca="1">Tabela1[[#This Row],[QTDE/ Fabricação]]-Tabela1[[#This Row],[QTE]]</f>
        <v>-45</v>
      </c>
      <c r="R39" s="18">
        <f t="shared" ca="1" si="11"/>
        <v>405</v>
      </c>
      <c r="S39" s="18">
        <f t="shared" ca="1" si="12"/>
        <v>405</v>
      </c>
      <c r="T39" s="19">
        <f t="shared" ca="1" si="13"/>
        <v>0</v>
      </c>
      <c r="U39" s="16">
        <f ca="1">IFERROR(SUMIF('LISTA DE EMBARQUE'!B:B,MICRO!E:E,'LISTA DE EMBARQUE'!G:G),"")</f>
        <v>45</v>
      </c>
      <c r="V39" s="12">
        <f ca="1">IFERROR(VLOOKUP(Tabela1[[#This Row],[COD.MDE]],'LISTA DE EMBARQUE'!B:L,11,0),"")</f>
        <v>1</v>
      </c>
      <c r="W39" s="13" t="str">
        <f ca="1">IFERROR(COUNTIF(#REF!,Tabela1[[#This Row],[Colunas5]]),"")</f>
        <v/>
      </c>
      <c r="X39" s="14">
        <f ca="1">Tabela1[[#This Row],[QIANTIDADE EXPEDIDA]]*Tabela1[[#This Row],[PESO UNI]]</f>
        <v>405</v>
      </c>
      <c r="Y39" s="14">
        <f t="shared" ca="1" si="14"/>
        <v>0</v>
      </c>
      <c r="Z39" s="20">
        <f ca="1"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ca="1" si="15"/>
        <v>ok</v>
      </c>
      <c r="AJ39" s="5"/>
      <c r="AK39" t="str">
        <f ca="1">Tabela1[[#This Row],[Coluna1]]&amp;Tabela1[[#This Row],[PEDIDO]]</f>
        <v>P-198</v>
      </c>
      <c r="AL39"/>
      <c r="AM39"/>
      <c r="AN39"/>
      <c r="AO39" t="str">
        <f t="shared" ca="1" si="16"/>
        <v>R-1-4-8709/05-CV-0001</v>
      </c>
      <c r="AP39" t="str">
        <f ca="1">Tabela1[[#This Row],[TAG]]&amp;Tabela1[[#This Row],[PEDIDO]]&amp;Tabela1[[#This Row],[PRODUTO]]</f>
        <v>05-CV-0001P-198ROLOS</v>
      </c>
      <c r="AQ39" s="22" t="str">
        <f ca="1">Tabela1[[#This Row],[PRODUTO]]&amp;Tabela1[[#This Row],[TAG]]</f>
        <v>ROLOS05-CV-0001</v>
      </c>
      <c r="AR39" s="24" t="str">
        <f ca="1">Tabela1[[#This Row],[PEDIDO]]&amp;Tabela1[[#This Row],[PRODUTO]]</f>
        <v>P-198ROLOS</v>
      </c>
      <c r="AS39" s="37">
        <f ca="1">IF(AF39="",0,IF(ISTEXT(AF39),H39*VALUE(SUBSTITUTE(AF39,"%",""))/100,H39*AF39))-Tabela1[[#This Row],[PRONTO ACABADO2]]</f>
        <v>0</v>
      </c>
      <c r="AT39" s="37">
        <f ca="1">IF(AG39="",0,IF(ISTEXT(AG39),H39*VALUE(SUBSTITUTE(AG39,"%",""))/100,H39*AG39))-Tabela1[[#This Row],[PESO EXPEDIDO2]]</f>
        <v>0</v>
      </c>
      <c r="AU39" s="37">
        <f t="shared" ca="1" si="17"/>
        <v>405</v>
      </c>
      <c r="AV39" s="37">
        <f t="shared" ca="1" si="18"/>
        <v>405</v>
      </c>
      <c r="AW39" s="37"/>
    </row>
    <row r="40" spans="1:49" ht="15.75" hidden="1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 ca="1"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 ca="1">Tabela1[[#This Row],[QTDE/ Fabricação]]-Tabela1[[#This Row],[QTE]]</f>
        <v>-4</v>
      </c>
      <c r="R40" s="18">
        <f t="shared" ca="1" si="11"/>
        <v>10.8</v>
      </c>
      <c r="S40" s="18">
        <f t="shared" ca="1" si="12"/>
        <v>10.8</v>
      </c>
      <c r="T40" s="19">
        <f t="shared" ca="1" si="13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 ca="1">IFERROR(COUNTIF(#REF!,Tabela1[[#This Row],[Colunas5]]),"")</f>
        <v/>
      </c>
      <c r="X40" s="14">
        <f ca="1">Tabela1[[#This Row],[QIANTIDADE EXPEDIDA]]*Tabela1[[#This Row],[PESO UNI]]</f>
        <v>10.8</v>
      </c>
      <c r="Y40" s="14">
        <f t="shared" ca="1" si="14"/>
        <v>0</v>
      </c>
      <c r="Z40" s="20">
        <f ca="1"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ca="1" si="15"/>
        <v>ok</v>
      </c>
      <c r="AJ40" s="5"/>
      <c r="AK40" t="str">
        <f ca="1">Tabela1[[#This Row],[Coluna1]]&amp;Tabela1[[#This Row],[PEDIDO]]</f>
        <v>P-198</v>
      </c>
      <c r="AL40"/>
      <c r="AM40"/>
      <c r="AN40"/>
      <c r="AO40" t="str">
        <f t="shared" ca="1" si="16"/>
        <v>T-054922-4/05-CV-0001</v>
      </c>
      <c r="AP40" t="str">
        <f ca="1">Tabela1[[#This Row],[TAG]]&amp;Tabela1[[#This Row],[PEDIDO]]&amp;Tabela1[[#This Row],[PRODUTO]]</f>
        <v>05-CV-0001P-198ROLOS</v>
      </c>
      <c r="AQ40" s="22" t="str">
        <f ca="1">Tabela1[[#This Row],[PRODUTO]]&amp;Tabela1[[#This Row],[TAG]]</f>
        <v>ROLOS05-CV-0001</v>
      </c>
      <c r="AR40" s="24" t="str">
        <f ca="1">Tabela1[[#This Row],[PEDIDO]]&amp;Tabela1[[#This Row],[PRODUTO]]</f>
        <v>P-198ROLOS</v>
      </c>
      <c r="AS40" s="37">
        <f ca="1">IF(AF40="",0,IF(ISTEXT(AF40),H40*VALUE(SUBSTITUTE(AF40,"%",""))/100,H40*AF40))-Tabela1[[#This Row],[PRONTO ACABADO2]]</f>
        <v>0</v>
      </c>
      <c r="AT40" s="37">
        <f ca="1">IF(AG40="",0,IF(ISTEXT(AG40),H40*VALUE(SUBSTITUTE(AG40,"%",""))/100,H40*AG40))-Tabela1[[#This Row],[PESO EXPEDIDO2]]</f>
        <v>0</v>
      </c>
      <c r="AU40" s="37">
        <f t="shared" ca="1" si="17"/>
        <v>10.8</v>
      </c>
      <c r="AV40" s="37">
        <f t="shared" ca="1" si="18"/>
        <v>10.8</v>
      </c>
      <c r="AW40" s="37"/>
    </row>
    <row r="41" spans="1:49" ht="15.75" hidden="1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 ca="1"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 ca="1">Tabela1[[#This Row],[QTDE/ Fabricação]]-Tabela1[[#This Row],[QTE]]</f>
        <v>-10</v>
      </c>
      <c r="R41" s="18">
        <f t="shared" ca="1" si="11"/>
        <v>160</v>
      </c>
      <c r="S41" s="18">
        <f t="shared" ca="1" si="12"/>
        <v>160</v>
      </c>
      <c r="T41" s="19">
        <f t="shared" ca="1" si="13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 ca="1">IFERROR(COUNTIF(#REF!,Tabela1[[#This Row],[Colunas5]]),"")</f>
        <v/>
      </c>
      <c r="X41" s="14">
        <f ca="1">Tabela1[[#This Row],[QIANTIDADE EXPEDIDA]]*Tabela1[[#This Row],[PESO UNI]]</f>
        <v>160</v>
      </c>
      <c r="Y41" s="14">
        <f t="shared" ca="1" si="14"/>
        <v>0</v>
      </c>
      <c r="Z41" s="20">
        <f ca="1"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ca="1" si="15"/>
        <v>ok</v>
      </c>
      <c r="AJ41" s="5"/>
      <c r="AK41" t="str">
        <f ca="1">Tabela1[[#This Row],[Coluna1]]&amp;Tabela1[[#This Row],[PEDIDO]]</f>
        <v>P-198</v>
      </c>
      <c r="AL41"/>
      <c r="AM41"/>
      <c r="AN41"/>
      <c r="AO41" t="str">
        <f t="shared" ca="1" si="16"/>
        <v>R-3-4-11010/05-CV-0001</v>
      </c>
      <c r="AP41" t="str">
        <f ca="1">Tabela1[[#This Row],[TAG]]&amp;Tabela1[[#This Row],[PEDIDO]]&amp;Tabela1[[#This Row],[PRODUTO]]</f>
        <v>05-CV-0001P-198ROLOS</v>
      </c>
      <c r="AQ41" s="22" t="str">
        <f ca="1">Tabela1[[#This Row],[PRODUTO]]&amp;Tabela1[[#This Row],[TAG]]</f>
        <v>ROLOS05-CV-0001</v>
      </c>
      <c r="AR41" s="24" t="str">
        <f ca="1">Tabela1[[#This Row],[PEDIDO]]&amp;Tabela1[[#This Row],[PRODUTO]]</f>
        <v>P-198ROLOS</v>
      </c>
      <c r="AS41" s="37">
        <f ca="1">IF(AF41="",0,IF(ISTEXT(AF41),H41*VALUE(SUBSTITUTE(AF41,"%",""))/100,H41*AF41))-Tabela1[[#This Row],[PRONTO ACABADO2]]</f>
        <v>0</v>
      </c>
      <c r="AT41" s="37">
        <f ca="1">IF(AG41="",0,IF(ISTEXT(AG41),H41*VALUE(SUBSTITUTE(AG41,"%",""))/100,H41*AG41))-Tabela1[[#This Row],[PESO EXPEDIDO2]]</f>
        <v>0</v>
      </c>
      <c r="AU41" s="37">
        <f t="shared" ca="1" si="17"/>
        <v>160</v>
      </c>
      <c r="AV41" s="37">
        <f t="shared" ca="1" si="18"/>
        <v>160</v>
      </c>
      <c r="AW41" s="37"/>
    </row>
    <row r="42" spans="1:49" ht="15.75" hidden="1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 ca="1"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 ca="1">Tabela1[[#This Row],[QTDE/ Fabricação]]-Tabela1[[#This Row],[QTE]]</f>
        <v>-4</v>
      </c>
      <c r="R42" s="18">
        <f t="shared" ca="1" si="11"/>
        <v>12.8</v>
      </c>
      <c r="S42" s="18">
        <f t="shared" ca="1" si="12"/>
        <v>12.8</v>
      </c>
      <c r="T42" s="19">
        <f t="shared" ca="1" si="13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 ca="1">IFERROR(COUNTIF(#REF!,Tabela1[[#This Row],[Colunas5]]),"")</f>
        <v/>
      </c>
      <c r="X42" s="14">
        <f ca="1">Tabela1[[#This Row],[QIANTIDADE EXPEDIDA]]*Tabela1[[#This Row],[PESO UNI]]</f>
        <v>12.8</v>
      </c>
      <c r="Y42" s="14">
        <f t="shared" ca="1" si="14"/>
        <v>0</v>
      </c>
      <c r="Z42" s="20">
        <f ca="1"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ca="1" si="15"/>
        <v>ok</v>
      </c>
      <c r="AJ42" s="5"/>
      <c r="AK42" t="str">
        <f ca="1">Tabela1[[#This Row],[Coluna1]]&amp;Tabela1[[#This Row],[PEDIDO]]</f>
        <v>P-198</v>
      </c>
      <c r="AL42"/>
      <c r="AM42"/>
      <c r="AN42"/>
      <c r="AO42" t="str">
        <f t="shared" ca="1" si="16"/>
        <v>T-054921-4/05-CV-0001</v>
      </c>
      <c r="AP42" t="str">
        <f ca="1">Tabela1[[#This Row],[TAG]]&amp;Tabela1[[#This Row],[PEDIDO]]&amp;Tabela1[[#This Row],[PRODUTO]]</f>
        <v>05-CV-0001P-198ROLOS</v>
      </c>
      <c r="AQ42" s="22" t="str">
        <f ca="1">Tabela1[[#This Row],[PRODUTO]]&amp;Tabela1[[#This Row],[TAG]]</f>
        <v>ROLOS05-CV-0001</v>
      </c>
      <c r="AR42" s="24" t="str">
        <f ca="1">Tabela1[[#This Row],[PEDIDO]]&amp;Tabela1[[#This Row],[PRODUTO]]</f>
        <v>P-198ROLOS</v>
      </c>
      <c r="AS42" s="37">
        <f ca="1">IF(AF42="",0,IF(ISTEXT(AF42),H42*VALUE(SUBSTITUTE(AF42,"%",""))/100,H42*AF42))-Tabela1[[#This Row],[PRONTO ACABADO2]]</f>
        <v>0</v>
      </c>
      <c r="AT42" s="37">
        <f ca="1">IF(AG42="",0,IF(ISTEXT(AG42),H42*VALUE(SUBSTITUTE(AG42,"%",""))/100,H42*AG42))-Tabela1[[#This Row],[PESO EXPEDIDO2]]</f>
        <v>0</v>
      </c>
      <c r="AU42" s="37">
        <f t="shared" ca="1" si="17"/>
        <v>12.8</v>
      </c>
      <c r="AV42" s="37">
        <f t="shared" ca="1" si="18"/>
        <v>12.8</v>
      </c>
      <c r="AW42" s="37"/>
    </row>
    <row r="43" spans="1:49" ht="15.75" hidden="1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 ca="1"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 ca="1">Tabela1[[#This Row],[QTDE/ Fabricação]]-Tabela1[[#This Row],[QTE]]</f>
        <v>-4</v>
      </c>
      <c r="R43" s="18">
        <f t="shared" ca="1" si="11"/>
        <v>10.8</v>
      </c>
      <c r="S43" s="18">
        <f t="shared" ca="1" si="12"/>
        <v>10.8</v>
      </c>
      <c r="T43" s="19">
        <f t="shared" ca="1" si="13"/>
        <v>0</v>
      </c>
      <c r="U43" s="16">
        <f ca="1">IFERROR(SUMIF('LISTA DE EMBARQUE'!B:B,MICRO!E:E,'LISTA DE EMBARQUE'!G:G),"")</f>
        <v>4</v>
      </c>
      <c r="V43" s="12">
        <f ca="1">IFERROR(VLOOKUP(Tabela1[[#This Row],[COD.MDE]],'LISTA DE EMBARQUE'!B:L,11,0),"")</f>
        <v>2</v>
      </c>
      <c r="W43" s="13" t="str">
        <f ca="1">IFERROR(COUNTIF(#REF!,Tabela1[[#This Row],[Colunas5]]),"")</f>
        <v/>
      </c>
      <c r="X43" s="14">
        <f ca="1">Tabela1[[#This Row],[QIANTIDADE EXPEDIDA]]*Tabela1[[#This Row],[PESO UNI]]</f>
        <v>10.8</v>
      </c>
      <c r="Y43" s="14">
        <f t="shared" ca="1" si="14"/>
        <v>0</v>
      </c>
      <c r="Z43" s="20">
        <f ca="1"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ca="1" si="15"/>
        <v>ok</v>
      </c>
      <c r="AJ43" s="5"/>
      <c r="AK43" t="str">
        <f ca="1">Tabela1[[#This Row],[Coluna1]]&amp;Tabela1[[#This Row],[PEDIDO]]</f>
        <v>P-198</v>
      </c>
      <c r="AL43"/>
      <c r="AM43"/>
      <c r="AN43"/>
      <c r="AO43" t="str">
        <f t="shared" ca="1" si="16"/>
        <v>T-054922-4/14-CV-0001</v>
      </c>
      <c r="AP43" t="str">
        <f ca="1">Tabela1[[#This Row],[TAG]]&amp;Tabela1[[#This Row],[PEDIDO]]&amp;Tabela1[[#This Row],[PRODUTO]]</f>
        <v>14-CV-0001P-198ROLOS</v>
      </c>
      <c r="AQ43" s="22" t="str">
        <f ca="1">Tabela1[[#This Row],[PRODUTO]]&amp;Tabela1[[#This Row],[TAG]]</f>
        <v>ROLOS14-CV-0001</v>
      </c>
      <c r="AR43" s="24" t="str">
        <f ca="1">Tabela1[[#This Row],[PEDIDO]]&amp;Tabela1[[#This Row],[PRODUTO]]</f>
        <v>P-198ROLOS</v>
      </c>
      <c r="AS43" s="37">
        <f ca="1">IF(AF43="",0,IF(ISTEXT(AF43),H43*VALUE(SUBSTITUTE(AF43,"%",""))/100,H43*AF43))-Tabela1[[#This Row],[PRONTO ACABADO2]]</f>
        <v>0</v>
      </c>
      <c r="AT43" s="37">
        <f ca="1">IF(AG43="",0,IF(ISTEXT(AG43),H43*VALUE(SUBSTITUTE(AG43,"%",""))/100,H43*AG43))-Tabela1[[#This Row],[PESO EXPEDIDO2]]</f>
        <v>0</v>
      </c>
      <c r="AU43" s="37">
        <f t="shared" ca="1" si="17"/>
        <v>10.8</v>
      </c>
      <c r="AV43" s="37">
        <f t="shared" ca="1" si="18"/>
        <v>10.8</v>
      </c>
      <c r="AW43" s="37"/>
    </row>
    <row r="44" spans="1:49" ht="15.75" hidden="1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 ca="1"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 ca="1">Tabela1[[#This Row],[QTDE/ Fabricação]]-Tabela1[[#This Row],[QTE]]</f>
        <v>-4</v>
      </c>
      <c r="R44" s="18">
        <f t="shared" ca="1" si="11"/>
        <v>12.8</v>
      </c>
      <c r="S44" s="18">
        <f t="shared" ca="1" si="12"/>
        <v>12.8</v>
      </c>
      <c r="T44" s="19">
        <f t="shared" ca="1" si="13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 ca="1">IFERROR(COUNTIF(#REF!,Tabela1[[#This Row],[Colunas5]]),"")</f>
        <v/>
      </c>
      <c r="X44" s="14">
        <f ca="1">Tabela1[[#This Row],[QIANTIDADE EXPEDIDA]]*Tabela1[[#This Row],[PESO UNI]]</f>
        <v>12.8</v>
      </c>
      <c r="Y44" s="14">
        <f t="shared" ca="1" si="14"/>
        <v>0</v>
      </c>
      <c r="Z44" s="20">
        <f ca="1"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ca="1" si="15"/>
        <v>ok</v>
      </c>
      <c r="AJ44" s="5"/>
      <c r="AK44" t="str">
        <f ca="1">Tabela1[[#This Row],[Coluna1]]&amp;Tabela1[[#This Row],[PEDIDO]]</f>
        <v>P-198</v>
      </c>
      <c r="AL44"/>
      <c r="AM44"/>
      <c r="AN44"/>
      <c r="AO44" t="str">
        <f t="shared" ca="1" si="16"/>
        <v>T-054921-4/14-CV-0001</v>
      </c>
      <c r="AP44" t="str">
        <f ca="1">Tabela1[[#This Row],[TAG]]&amp;Tabela1[[#This Row],[PEDIDO]]&amp;Tabela1[[#This Row],[PRODUTO]]</f>
        <v>14-CV-0001P-198ROLOS</v>
      </c>
      <c r="AQ44" s="22" t="str">
        <f ca="1">Tabela1[[#This Row],[PRODUTO]]&amp;Tabela1[[#This Row],[TAG]]</f>
        <v>ROLOS14-CV-0001</v>
      </c>
      <c r="AR44" s="24" t="str">
        <f ca="1">Tabela1[[#This Row],[PEDIDO]]&amp;Tabela1[[#This Row],[PRODUTO]]</f>
        <v>P-198ROLOS</v>
      </c>
      <c r="AS44" s="37">
        <f ca="1">IF(AF44="",0,IF(ISTEXT(AF44),H44*VALUE(SUBSTITUTE(AF44,"%",""))/100,H44*AF44))-Tabela1[[#This Row],[PRONTO ACABADO2]]</f>
        <v>0</v>
      </c>
      <c r="AT44" s="37">
        <f ca="1">IF(AG44="",0,IF(ISTEXT(AG44),H44*VALUE(SUBSTITUTE(AG44,"%",""))/100,H44*AG44))-Tabela1[[#This Row],[PESO EXPEDIDO2]]</f>
        <v>0</v>
      </c>
      <c r="AU44" s="37">
        <f t="shared" ca="1" si="17"/>
        <v>12.8</v>
      </c>
      <c r="AV44" s="37">
        <f t="shared" ca="1" si="18"/>
        <v>12.8</v>
      </c>
      <c r="AW44" s="37"/>
    </row>
    <row r="45" spans="1:49" ht="15.75" hidden="1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 ca="1"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 ca="1">Tabela1[[#This Row],[QTDE/ Fabricação]]-Tabela1[[#This Row],[QTE]]</f>
        <v>-32</v>
      </c>
      <c r="R45" s="18">
        <f t="shared" ca="1" si="11"/>
        <v>576</v>
      </c>
      <c r="S45" s="18">
        <f t="shared" ca="1" si="12"/>
        <v>576</v>
      </c>
      <c r="T45" s="19">
        <f t="shared" ca="1" si="13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 ca="1">IFERROR(COUNTIF(#REF!,Tabela1[[#This Row],[Colunas5]]),"")</f>
        <v/>
      </c>
      <c r="X45" s="14">
        <f ca="1">Tabela1[[#This Row],[QIANTIDADE EXPEDIDA]]*Tabela1[[#This Row],[PESO UNI]]</f>
        <v>576</v>
      </c>
      <c r="Y45" s="14">
        <f t="shared" ca="1" si="14"/>
        <v>0</v>
      </c>
      <c r="Z45" s="20">
        <f ca="1"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ca="1" si="15"/>
        <v>ok</v>
      </c>
      <c r="AJ45" s="5"/>
      <c r="AK45" t="str">
        <f ca="1">Tabela1[[#This Row],[Coluna1]]&amp;Tabela1[[#This Row],[PEDIDO]]</f>
        <v>P-198</v>
      </c>
      <c r="AL45"/>
      <c r="AM45"/>
      <c r="AN45"/>
      <c r="AO45" t="str">
        <f t="shared" ca="1" si="16"/>
        <v>R-3-4-11011/14-CV-0001</v>
      </c>
      <c r="AP45" t="str">
        <f ca="1">Tabela1[[#This Row],[TAG]]&amp;Tabela1[[#This Row],[PEDIDO]]&amp;Tabela1[[#This Row],[PRODUTO]]</f>
        <v>14-CV-0001P-198ROLOS</v>
      </c>
      <c r="AQ45" s="22" t="str">
        <f ca="1">Tabela1[[#This Row],[PRODUTO]]&amp;Tabela1[[#This Row],[TAG]]</f>
        <v>ROLOS14-CV-0001</v>
      </c>
      <c r="AR45" s="24" t="str">
        <f ca="1">Tabela1[[#This Row],[PEDIDO]]&amp;Tabela1[[#This Row],[PRODUTO]]</f>
        <v>P-198ROLOS</v>
      </c>
      <c r="AS45" s="37">
        <f ca="1">IF(AF45="",0,IF(ISTEXT(AF45),H45*VALUE(SUBSTITUTE(AF45,"%",""))/100,H45*AF45))-Tabela1[[#This Row],[PRONTO ACABADO2]]</f>
        <v>0</v>
      </c>
      <c r="AT45" s="37">
        <f ca="1">IF(AG45="",0,IF(ISTEXT(AG45),H45*VALUE(SUBSTITUTE(AG45,"%",""))/100,H45*AG45))-Tabela1[[#This Row],[PESO EXPEDIDO2]]</f>
        <v>0</v>
      </c>
      <c r="AU45" s="37">
        <f t="shared" ca="1" si="17"/>
        <v>576</v>
      </c>
      <c r="AV45" s="37">
        <f t="shared" ca="1" si="18"/>
        <v>576</v>
      </c>
      <c r="AW45" s="37"/>
    </row>
    <row r="46" spans="1:49" ht="15.75" hidden="1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 ca="1"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 ca="1">Tabela1[[#This Row],[QTDE/ Fabricação]]-Tabela1[[#This Row],[QTE]]</f>
        <v>-6</v>
      </c>
      <c r="R46" s="18">
        <f t="shared" ca="1" si="11"/>
        <v>96</v>
      </c>
      <c r="S46" s="18">
        <f t="shared" ca="1" si="12"/>
        <v>96</v>
      </c>
      <c r="T46" s="19">
        <f t="shared" ca="1" si="13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 ca="1">IFERROR(COUNTIF(#REF!,Tabela1[[#This Row],[Colunas5]]),"")</f>
        <v/>
      </c>
      <c r="X46" s="14">
        <f ca="1">Tabela1[[#This Row],[QIANTIDADE EXPEDIDA]]*Tabela1[[#This Row],[PESO UNI]]</f>
        <v>96</v>
      </c>
      <c r="Y46" s="14">
        <f t="shared" ca="1" si="14"/>
        <v>0</v>
      </c>
      <c r="Z46" s="20">
        <f ca="1"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ca="1" si="15"/>
        <v>ok</v>
      </c>
      <c r="AJ46" s="5"/>
      <c r="AK46" t="str">
        <f ca="1">Tabela1[[#This Row],[Coluna1]]&amp;Tabela1[[#This Row],[PEDIDO]]</f>
        <v>P-198</v>
      </c>
      <c r="AL46"/>
      <c r="AM46"/>
      <c r="AN46"/>
      <c r="AO46" t="str">
        <f t="shared" ca="1" si="16"/>
        <v>R-1-4-11012/14-CV-0001</v>
      </c>
      <c r="AP46" t="str">
        <f ca="1">Tabela1[[#This Row],[TAG]]&amp;Tabela1[[#This Row],[PEDIDO]]&amp;Tabela1[[#This Row],[PRODUTO]]</f>
        <v>14-CV-0001P-198ROLOS</v>
      </c>
      <c r="AQ46" s="22" t="str">
        <f ca="1">Tabela1[[#This Row],[PRODUTO]]&amp;Tabela1[[#This Row],[TAG]]</f>
        <v>ROLOS14-CV-0001</v>
      </c>
      <c r="AR46" s="24" t="str">
        <f ca="1">Tabela1[[#This Row],[PEDIDO]]&amp;Tabela1[[#This Row],[PRODUTO]]</f>
        <v>P-198ROLOS</v>
      </c>
      <c r="AS46" s="37">
        <f ca="1">IF(AF46="",0,IF(ISTEXT(AF46),H46*VALUE(SUBSTITUTE(AF46,"%",""))/100,H46*AF46))-Tabela1[[#This Row],[PRONTO ACABADO2]]</f>
        <v>0</v>
      </c>
      <c r="AT46" s="37">
        <f ca="1">IF(AG46="",0,IF(ISTEXT(AG46),H46*VALUE(SUBSTITUTE(AG46,"%",""))/100,H46*AG46))-Tabela1[[#This Row],[PESO EXPEDIDO2]]</f>
        <v>0</v>
      </c>
      <c r="AU46" s="37">
        <f t="shared" ca="1" si="17"/>
        <v>96</v>
      </c>
      <c r="AV46" s="37">
        <f t="shared" ca="1" si="18"/>
        <v>96</v>
      </c>
      <c r="AW46" s="37"/>
    </row>
    <row r="47" spans="1:49" ht="15.75" hidden="1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 ca="1"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 ca="1">Tabela1[[#This Row],[QTDE/ Fabricação]]-Tabela1[[#This Row],[QTE]]</f>
        <v>-21</v>
      </c>
      <c r="R47" s="18">
        <f t="shared" ca="1" si="11"/>
        <v>357</v>
      </c>
      <c r="S47" s="18">
        <f t="shared" ca="1" si="12"/>
        <v>357</v>
      </c>
      <c r="T47" s="19">
        <f t="shared" ca="1" si="13"/>
        <v>0</v>
      </c>
      <c r="U47" s="16">
        <f ca="1">IFERROR(SUMIF('LISTA DE EMBARQUE'!B:B,MICRO!E:E,'LISTA DE EMBARQUE'!G:G),"")</f>
        <v>21</v>
      </c>
      <c r="V47" s="12">
        <f ca="1">IFERROR(VLOOKUP(Tabela1[[#This Row],[COD.MDE]],'LISTA DE EMBARQUE'!B:L,11,0),"")</f>
        <v>1</v>
      </c>
      <c r="W47" s="13" t="str">
        <f ca="1">IFERROR(COUNTIF(#REF!,Tabela1[[#This Row],[Colunas5]]),"")</f>
        <v/>
      </c>
      <c r="X47" s="14">
        <f ca="1">Tabela1[[#This Row],[QIANTIDADE EXPEDIDA]]*Tabela1[[#This Row],[PESO UNI]]</f>
        <v>357</v>
      </c>
      <c r="Y47" s="14">
        <f t="shared" ca="1" si="14"/>
        <v>0</v>
      </c>
      <c r="Z47" s="20">
        <f ca="1"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ca="1" si="15"/>
        <v>ok</v>
      </c>
      <c r="AJ47" s="5"/>
      <c r="AK47" t="str">
        <f ca="1">Tabela1[[#This Row],[Coluna1]]&amp;Tabela1[[#This Row],[PEDIDO]]</f>
        <v>P-198</v>
      </c>
      <c r="AL47"/>
      <c r="AM47"/>
      <c r="AN47"/>
      <c r="AO47" t="str">
        <f t="shared" ca="1" si="16"/>
        <v>R-1-4-8742A/14-CV-0001</v>
      </c>
      <c r="AP47" t="str">
        <f ca="1">Tabela1[[#This Row],[TAG]]&amp;Tabela1[[#This Row],[PEDIDO]]&amp;Tabela1[[#This Row],[PRODUTO]]</f>
        <v>14-CV-0001P-198ROLOS</v>
      </c>
      <c r="AQ47" s="22" t="str">
        <f ca="1">Tabela1[[#This Row],[PRODUTO]]&amp;Tabela1[[#This Row],[TAG]]</f>
        <v>ROLOS14-CV-0001</v>
      </c>
      <c r="AR47" s="24" t="str">
        <f ca="1">Tabela1[[#This Row],[PEDIDO]]&amp;Tabela1[[#This Row],[PRODUTO]]</f>
        <v>P-198ROLOS</v>
      </c>
      <c r="AS47" s="37">
        <f ca="1">IF(AF47="",0,IF(ISTEXT(AF47),H47*VALUE(SUBSTITUTE(AF47,"%",""))/100,H47*AF47))-Tabela1[[#This Row],[PRONTO ACABADO2]]</f>
        <v>0</v>
      </c>
      <c r="AT47" s="37">
        <f ca="1">IF(AG47="",0,IF(ISTEXT(AG47),H47*VALUE(SUBSTITUTE(AG47,"%",""))/100,H47*AG47))-Tabela1[[#This Row],[PESO EXPEDIDO2]]</f>
        <v>0</v>
      </c>
      <c r="AU47" s="37">
        <f t="shared" ca="1" si="17"/>
        <v>357</v>
      </c>
      <c r="AV47" s="37">
        <f t="shared" ca="1" si="18"/>
        <v>357</v>
      </c>
      <c r="AW47" s="37"/>
    </row>
    <row r="48" spans="1:49" ht="15.75" hidden="1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 ca="1"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 ca="1">Tabela1[[#This Row],[QTDE/ Fabricação]]-Tabela1[[#This Row],[QTE]]</f>
        <v>-24</v>
      </c>
      <c r="R48" s="18">
        <f t="shared" ca="1" si="11"/>
        <v>384</v>
      </c>
      <c r="S48" s="18">
        <f t="shared" ca="1" si="12"/>
        <v>384</v>
      </c>
      <c r="T48" s="19">
        <f t="shared" ca="1" si="13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 ca="1">IFERROR(COUNTIF(#REF!,Tabela1[[#This Row],[Colunas5]]),"")</f>
        <v/>
      </c>
      <c r="X48" s="14">
        <f ca="1">Tabela1[[#This Row],[QIANTIDADE EXPEDIDA]]*Tabela1[[#This Row],[PESO UNI]]</f>
        <v>384</v>
      </c>
      <c r="Y48" s="14">
        <f t="shared" ca="1" si="14"/>
        <v>0</v>
      </c>
      <c r="Z48" s="20">
        <f ca="1"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ca="1" si="15"/>
        <v>ok</v>
      </c>
      <c r="AJ48" s="5"/>
      <c r="AK48" t="str">
        <f ca="1">Tabela1[[#This Row],[Coluna1]]&amp;Tabela1[[#This Row],[PEDIDO]]</f>
        <v>P-198</v>
      </c>
      <c r="AL48"/>
      <c r="AM48"/>
      <c r="AN48"/>
      <c r="AO48" t="str">
        <f t="shared" ca="1" si="16"/>
        <v>R-1-4-8465/14-CV-0001</v>
      </c>
      <c r="AP48" t="str">
        <f ca="1">Tabela1[[#This Row],[TAG]]&amp;Tabela1[[#This Row],[PEDIDO]]&amp;Tabela1[[#This Row],[PRODUTO]]</f>
        <v>14-CV-0001P-198ROLOS</v>
      </c>
      <c r="AQ48" s="22" t="str">
        <f ca="1">Tabela1[[#This Row],[PRODUTO]]&amp;Tabela1[[#This Row],[TAG]]</f>
        <v>ROLOS14-CV-0001</v>
      </c>
      <c r="AR48" s="24" t="str">
        <f ca="1">Tabela1[[#This Row],[PEDIDO]]&amp;Tabela1[[#This Row],[PRODUTO]]</f>
        <v>P-198ROLOS</v>
      </c>
      <c r="AS48" s="37">
        <f ca="1">IF(AF48="",0,IF(ISTEXT(AF48),H48*VALUE(SUBSTITUTE(AF48,"%",""))/100,H48*AF48))-Tabela1[[#This Row],[PRONTO ACABADO2]]</f>
        <v>0</v>
      </c>
      <c r="AT48" s="37">
        <f ca="1">IF(AG48="",0,IF(ISTEXT(AG48),H48*VALUE(SUBSTITUTE(AG48,"%",""))/100,H48*AG48))-Tabela1[[#This Row],[PESO EXPEDIDO2]]</f>
        <v>0</v>
      </c>
      <c r="AU48" s="37">
        <f t="shared" ca="1" si="17"/>
        <v>384</v>
      </c>
      <c r="AV48" s="37">
        <f t="shared" ca="1" si="18"/>
        <v>384</v>
      </c>
      <c r="AW48" s="37"/>
    </row>
    <row r="49" spans="1:49" ht="15.75" hidden="1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 ca="1"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 ca="1">Tabela1[[#This Row],[QTDE/ Fabricação]]-Tabela1[[#This Row],[QTE]]</f>
        <v>-132</v>
      </c>
      <c r="R49" s="18">
        <f t="shared" ca="1" si="11"/>
        <v>2112</v>
      </c>
      <c r="S49" s="18">
        <f t="shared" ca="1" si="12"/>
        <v>2112</v>
      </c>
      <c r="T49" s="19">
        <f t="shared" ca="1" si="13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 ca="1">IFERROR(COUNTIF(#REF!,Tabela1[[#This Row],[Colunas5]]),"")</f>
        <v/>
      </c>
      <c r="X49" s="14">
        <f ca="1">Tabela1[[#This Row],[QIANTIDADE EXPEDIDA]]*Tabela1[[#This Row],[PESO UNI]]</f>
        <v>2112</v>
      </c>
      <c r="Y49" s="14">
        <f t="shared" ca="1" si="14"/>
        <v>0</v>
      </c>
      <c r="Z49" s="20">
        <f ca="1"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ca="1" si="15"/>
        <v>ok</v>
      </c>
      <c r="AJ49" s="5"/>
      <c r="AK49" t="str">
        <f ca="1">Tabela1[[#This Row],[Coluna1]]&amp;Tabela1[[#This Row],[PEDIDO]]</f>
        <v>P-198</v>
      </c>
      <c r="AL49"/>
      <c r="AM49"/>
      <c r="AN49"/>
      <c r="AO49" t="str">
        <f t="shared" ca="1" si="16"/>
        <v>R-1-4-8430A/14-CV-0001</v>
      </c>
      <c r="AP49" t="str">
        <f ca="1">Tabela1[[#This Row],[TAG]]&amp;Tabela1[[#This Row],[PEDIDO]]&amp;Tabela1[[#This Row],[PRODUTO]]</f>
        <v>14-CV-0001P-198ROLOS</v>
      </c>
      <c r="AQ49" s="22" t="str">
        <f ca="1">Tabela1[[#This Row],[PRODUTO]]&amp;Tabela1[[#This Row],[TAG]]</f>
        <v>ROLOS14-CV-0001</v>
      </c>
      <c r="AR49" s="24" t="str">
        <f ca="1">Tabela1[[#This Row],[PEDIDO]]&amp;Tabela1[[#This Row],[PRODUTO]]</f>
        <v>P-198ROLOS</v>
      </c>
      <c r="AS49" s="37">
        <f ca="1">IF(AF49="",0,IF(ISTEXT(AF49),H49*VALUE(SUBSTITUTE(AF49,"%",""))/100,H49*AF49))-Tabela1[[#This Row],[PRONTO ACABADO2]]</f>
        <v>0</v>
      </c>
      <c r="AT49" s="37">
        <f ca="1">IF(AG49="",0,IF(ISTEXT(AG49),H49*VALUE(SUBSTITUTE(AG49,"%",""))/100,H49*AG49))-Tabela1[[#This Row],[PESO EXPEDIDO2]]</f>
        <v>0</v>
      </c>
      <c r="AU49" s="37">
        <f t="shared" ca="1" si="17"/>
        <v>2112</v>
      </c>
      <c r="AV49" s="37">
        <f t="shared" ca="1" si="18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 ca="1"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 ca="1">Tabela1[[#This Row],[QTDE/ Fabricação]]-Tabela1[[#This Row],[QTE]]</f>
        <v>-2</v>
      </c>
      <c r="R50" s="18">
        <f t="shared" ca="1" si="11"/>
        <v>68.400000000000006</v>
      </c>
      <c r="S50" s="18">
        <f t="shared" ca="1" si="12"/>
        <v>68.400000000000006</v>
      </c>
      <c r="T50" s="19">
        <f t="shared" ca="1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 ca="1">IFERROR(COUNTIF(#REF!,Tabela1[[#This Row],[Colunas5]]),"")</f>
        <v/>
      </c>
      <c r="X50" s="14">
        <f ca="1">Tabela1[[#This Row],[QIANTIDADE EXPEDIDA]]*Tabela1[[#This Row],[PESO UNI]]</f>
        <v>0</v>
      </c>
      <c r="Y50" s="14">
        <f t="shared" ca="1" si="14"/>
        <v>-2</v>
      </c>
      <c r="Z50" s="20">
        <f ca="1"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ca="1" si="15"/>
        <v/>
      </c>
      <c r="AJ50" s="5"/>
      <c r="AK50" t="str">
        <f ca="1">Tabela1[[#This Row],[Coluna1]]&amp;Tabela1[[#This Row],[PEDIDO]]</f>
        <v>P-198</v>
      </c>
      <c r="AL50"/>
      <c r="AM50"/>
      <c r="AN50"/>
      <c r="AO50" t="str">
        <f t="shared" ca="1" si="16"/>
        <v>T-073197-1/05-CV-0001</v>
      </c>
      <c r="AP50" t="str">
        <f ca="1">Tabela1[[#This Row],[TAG]]&amp;Tabela1[[#This Row],[PEDIDO]]&amp;Tabela1[[#This Row],[PRODUTO]]</f>
        <v>05-CV-0001P-198ESTRUTURA</v>
      </c>
      <c r="AQ50" s="22" t="str">
        <f ca="1">Tabela1[[#This Row],[PRODUTO]]&amp;Tabela1[[#This Row],[TAG]]</f>
        <v>ESTRUTURA05-CV-0001</v>
      </c>
      <c r="AR50" s="24" t="str">
        <f ca="1">Tabela1[[#This Row],[PEDIDO]]&amp;Tabela1[[#This Row],[PRODUTO]]</f>
        <v>P-198ESTRUTURA</v>
      </c>
      <c r="AS50" s="37">
        <f ca="1">IF(AF50="",0,IF(ISTEXT(AF50),H50*VALUE(SUBSTITUTE(AF50,"%",""))/100,H50*AF50))-Tabela1[[#This Row],[PRONTO ACABADO2]]</f>
        <v>0</v>
      </c>
      <c r="AT50" s="37">
        <f ca="1">IF(AG50="",0,IF(ISTEXT(AG50),H50*VALUE(SUBSTITUTE(AG50,"%",""))/100,H50*AG50))-Tabela1[[#This Row],[PESO EXPEDIDO2]]</f>
        <v>68.400000000000006</v>
      </c>
      <c r="AU50" s="37">
        <f t="shared" ca="1" si="17"/>
        <v>0</v>
      </c>
      <c r="AV50" s="37">
        <f t="shared" ca="1" si="18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 ca="1"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 ca="1">Tabela1[[#This Row],[QTDE/ Fabricação]]-Tabela1[[#This Row],[QTE]]</f>
        <v>-2</v>
      </c>
      <c r="R51" s="18">
        <f t="shared" ca="1" si="11"/>
        <v>22.785000000000004</v>
      </c>
      <c r="S51" s="18">
        <f t="shared" ca="1" si="12"/>
        <v>0</v>
      </c>
      <c r="T51" s="19">
        <f t="shared" ca="1" si="13"/>
        <v>-37.200000000000003</v>
      </c>
      <c r="U51" s="16">
        <f ca="1">IFERROR(SUMIF('LISTA DE EMBARQUE'!B:B,MICRO!E:E,'LISTA DE EMBARQUE'!G:G),"")</f>
        <v>0</v>
      </c>
      <c r="V51" s="12" t="str">
        <f ca="1">IFERROR(VLOOKUP(Tabela1[[#This Row],[COD.MDE]],'LISTA DE EMBARQUE'!B:L,11,0),"")</f>
        <v/>
      </c>
      <c r="W51" s="13" t="str">
        <f ca="1">IFERROR(COUNTIF(#REF!,Tabela1[[#This Row],[Colunas5]]),"")</f>
        <v/>
      </c>
      <c r="X51" s="14">
        <f ca="1">Tabela1[[#This Row],[QIANTIDADE EXPEDIDA]]*Tabela1[[#This Row],[PESO UNI]]</f>
        <v>0</v>
      </c>
      <c r="Y51" s="14">
        <f t="shared" ca="1" si="14"/>
        <v>-2</v>
      </c>
      <c r="Z51" s="20">
        <f ca="1">Tabela1[[#This Row],[PESO TOTAL]]-Tabela1[[#This Row],[Peso Expedido]]</f>
        <v>37.200000000000003</v>
      </c>
      <c r="AA51" s="17">
        <v>1</v>
      </c>
      <c r="AB51" s="33"/>
      <c r="AC51" s="33">
        <v>1</v>
      </c>
      <c r="AD51" s="33">
        <v>0.5</v>
      </c>
      <c r="AE51" s="33"/>
      <c r="AF51" s="33"/>
      <c r="AG51" s="33"/>
      <c r="AH51" s="33"/>
      <c r="AI51" s="33" t="str">
        <f t="shared" ca="1" si="15"/>
        <v/>
      </c>
      <c r="AJ51" s="5"/>
      <c r="AK51" t="str">
        <f ca="1">Tabela1[[#This Row],[Coluna1]]&amp;Tabela1[[#This Row],[PEDIDO]]</f>
        <v>P-198</v>
      </c>
      <c r="AL51"/>
      <c r="AM51"/>
      <c r="AN51"/>
      <c r="AO51" t="str">
        <f t="shared" ca="1" si="16"/>
        <v>T-073197-1/05-CV-0001</v>
      </c>
      <c r="AP51" t="str">
        <f ca="1">Tabela1[[#This Row],[TAG]]&amp;Tabela1[[#This Row],[PEDIDO]]&amp;Tabela1[[#This Row],[PRODUTO]]</f>
        <v>05-CV-0001P-198ESTRUTURA</v>
      </c>
      <c r="AQ51" s="22" t="str">
        <f ca="1">Tabela1[[#This Row],[PRODUTO]]&amp;Tabela1[[#This Row],[TAG]]</f>
        <v>ESTRUTURA05-CV-0001</v>
      </c>
      <c r="AR51" s="24" t="str">
        <f ca="1">Tabela1[[#This Row],[PEDIDO]]&amp;Tabela1[[#This Row],[PRODUTO]]</f>
        <v>P-198ESTRUTURA</v>
      </c>
      <c r="AS51" s="37">
        <f ca="1">IF(AF51="",0,IF(ISTEXT(AF51),H51*VALUE(SUBSTITUTE(AF51,"%",""))/100,H51*AF51))-Tabela1[[#This Row],[PRONTO ACABADO2]]</f>
        <v>0</v>
      </c>
      <c r="AT51" s="37">
        <f ca="1">IF(AG51="",0,IF(ISTEXT(AG51),H51*VALUE(SUBSTITUTE(AG51,"%",""))/100,H51*AG51))-Tabela1[[#This Row],[PESO EXPEDIDO2]]</f>
        <v>0</v>
      </c>
      <c r="AU51" s="37">
        <f t="shared" ca="1" si="17"/>
        <v>0</v>
      </c>
      <c r="AV51" s="37">
        <f t="shared" ca="1" si="18"/>
        <v>0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 ca="1"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 ca="1">Tabela1[[#This Row],[QTDE/ Fabricação]]-Tabela1[[#This Row],[QTE]]</f>
        <v>-2</v>
      </c>
      <c r="R52" s="18">
        <f t="shared" ca="1" si="11"/>
        <v>1.2250000000000001</v>
      </c>
      <c r="S52" s="18">
        <f t="shared" ca="1" si="12"/>
        <v>0</v>
      </c>
      <c r="T52" s="19">
        <f t="shared" ca="1" si="13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 ca="1">IFERROR(COUNTIF(#REF!,Tabela1[[#This Row],[Colunas5]]),"")</f>
        <v/>
      </c>
      <c r="X52" s="14">
        <f ca="1">Tabela1[[#This Row],[QIANTIDADE EXPEDIDA]]*Tabela1[[#This Row],[PESO UNI]]</f>
        <v>0</v>
      </c>
      <c r="Y52" s="14">
        <f t="shared" ca="1" si="14"/>
        <v>-2</v>
      </c>
      <c r="Z52" s="20">
        <f ca="1">Tabela1[[#This Row],[PESO TOTAL]]-Tabela1[[#This Row],[Peso Expedido]]</f>
        <v>2</v>
      </c>
      <c r="AA52" s="17">
        <v>1</v>
      </c>
      <c r="AB52" s="33"/>
      <c r="AC52" s="33">
        <v>1</v>
      </c>
      <c r="AD52" s="33">
        <v>0.5</v>
      </c>
      <c r="AE52" s="33"/>
      <c r="AF52" s="33"/>
      <c r="AG52" s="33"/>
      <c r="AH52" s="33"/>
      <c r="AI52" s="33" t="str">
        <f t="shared" ca="1" si="15"/>
        <v/>
      </c>
      <c r="AJ52" s="5"/>
      <c r="AK52" t="str">
        <f ca="1">Tabela1[[#This Row],[Coluna1]]&amp;Tabela1[[#This Row],[PEDIDO]]</f>
        <v>P-198</v>
      </c>
      <c r="AL52"/>
      <c r="AM52"/>
      <c r="AN52"/>
      <c r="AO52" t="str">
        <f t="shared" ca="1" si="16"/>
        <v>T-073197-1/05-CV-0001</v>
      </c>
      <c r="AP52" t="str">
        <f ca="1">Tabela1[[#This Row],[TAG]]&amp;Tabela1[[#This Row],[PEDIDO]]&amp;Tabela1[[#This Row],[PRODUTO]]</f>
        <v>05-CV-0001P-198ESTRUTURA</v>
      </c>
      <c r="AQ52" s="22" t="str">
        <f ca="1">Tabela1[[#This Row],[PRODUTO]]&amp;Tabela1[[#This Row],[TAG]]</f>
        <v>ESTRUTURA05-CV-0001</v>
      </c>
      <c r="AR52" s="24" t="str">
        <f ca="1">Tabela1[[#This Row],[PEDIDO]]&amp;Tabela1[[#This Row],[PRODUTO]]</f>
        <v>P-198ESTRUTURA</v>
      </c>
      <c r="AS52" s="37">
        <f ca="1">IF(AF52="",0,IF(ISTEXT(AF52),H52*VALUE(SUBSTITUTE(AF52,"%",""))/100,H52*AF52))-Tabela1[[#This Row],[PRONTO ACABADO2]]</f>
        <v>0</v>
      </c>
      <c r="AT52" s="37">
        <f ca="1">IF(AG52="",0,IF(ISTEXT(AG52),H52*VALUE(SUBSTITUTE(AG52,"%",""))/100,H52*AG52))-Tabela1[[#This Row],[PESO EXPEDIDO2]]</f>
        <v>0</v>
      </c>
      <c r="AU52" s="37">
        <f t="shared" ca="1" si="17"/>
        <v>0</v>
      </c>
      <c r="AV52" s="37">
        <f t="shared" ca="1" si="18"/>
        <v>0</v>
      </c>
      <c r="AW52" s="37"/>
    </row>
    <row r="53" spans="1:49" ht="15.75" hidden="1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 ca="1"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 ca="1">Tabela1[[#This Row],[QTDE/ Fabricação]]-Tabela1[[#This Row],[QTE]]</f>
        <v>-4</v>
      </c>
      <c r="R53" s="18">
        <f t="shared" ca="1" si="11"/>
        <v>28.8</v>
      </c>
      <c r="S53" s="18">
        <f t="shared" ca="1" si="12"/>
        <v>28.8</v>
      </c>
      <c r="T53" s="19">
        <f t="shared" ca="1" si="13"/>
        <v>0</v>
      </c>
      <c r="U53" s="16">
        <f>IFERROR(SUMIF('LISTA DE EMBARQUE'!B:B,MICRO!E:E,'LISTA DE EMBARQUE'!G:G),"")</f>
        <v>4</v>
      </c>
      <c r="V53" s="12">
        <f>IFERROR(VLOOKUP(Tabela1[[#This Row],[COD.MDE]],'LISTA DE EMBARQUE'!B:L,11,0),"")</f>
        <v>3</v>
      </c>
      <c r="W53" s="13" t="str">
        <f ca="1">IFERROR(COUNTIF(#REF!,Tabela1[[#This Row],[Colunas5]]),"")</f>
        <v/>
      </c>
      <c r="X53" s="14">
        <f ca="1">Tabela1[[#This Row],[QIANTIDADE EXPEDIDA]]*Tabela1[[#This Row],[PESO UNI]]</f>
        <v>28.8</v>
      </c>
      <c r="Y53" s="14">
        <f t="shared" ca="1" si="14"/>
        <v>0</v>
      </c>
      <c r="Z53" s="20">
        <f ca="1">Tabela1[[#This Row],[PESO TOTAL]]-Tabela1[[#This Row],[Peso Expedido]]</f>
        <v>0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>
        <v>1</v>
      </c>
      <c r="AH53" s="33">
        <v>1</v>
      </c>
      <c r="AI53" s="33" t="str">
        <f t="shared" ca="1" si="15"/>
        <v>ok</v>
      </c>
      <c r="AJ53" s="5"/>
      <c r="AK53" t="str">
        <f ca="1">Tabela1[[#This Row],[Coluna1]]&amp;Tabela1[[#This Row],[PEDIDO]]</f>
        <v>P-198</v>
      </c>
      <c r="AL53"/>
      <c r="AM53"/>
      <c r="AN53"/>
      <c r="AO53" t="str">
        <f t="shared" ca="1" si="16"/>
        <v>T-073196-1/05-CV-0001</v>
      </c>
      <c r="AP53" t="str">
        <f ca="1">Tabela1[[#This Row],[TAG]]&amp;Tabela1[[#This Row],[PEDIDO]]&amp;Tabela1[[#This Row],[PRODUTO]]</f>
        <v>05-CV-0001P-198ESTRUTURA</v>
      </c>
      <c r="AQ53" s="22" t="str">
        <f ca="1">Tabela1[[#This Row],[PRODUTO]]&amp;Tabela1[[#This Row],[TAG]]</f>
        <v>ESTRUTURA05-CV-0001</v>
      </c>
      <c r="AR53" s="24" t="str">
        <f ca="1">Tabela1[[#This Row],[PEDIDO]]&amp;Tabela1[[#This Row],[PRODUTO]]</f>
        <v>P-198ESTRUTURA</v>
      </c>
      <c r="AS53" s="37">
        <f ca="1">IF(AF53="",0,IF(ISTEXT(AF53),H53*VALUE(SUBSTITUTE(AF53,"%",""))/100,H53*AF53))-Tabela1[[#This Row],[PRONTO ACABADO2]]</f>
        <v>0</v>
      </c>
      <c r="AT53" s="37">
        <f ca="1">IF(AG53="",0,IF(ISTEXT(AG53),H53*VALUE(SUBSTITUTE(AG53,"%",""))/100,H53*AG53))-Tabela1[[#This Row],[PESO EXPEDIDO2]]</f>
        <v>0</v>
      </c>
      <c r="AU53" s="37">
        <f t="shared" ca="1" si="17"/>
        <v>28.8</v>
      </c>
      <c r="AV53" s="37">
        <f t="shared" ca="1" si="18"/>
        <v>28.8</v>
      </c>
      <c r="AW53" s="37"/>
    </row>
    <row r="54" spans="1:49" ht="15.75" hidden="1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 ca="1"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 ca="1">Tabela1[[#This Row],[QTDE/ Fabricação]]-Tabela1[[#This Row],[QTE]]</f>
        <v>-1</v>
      </c>
      <c r="R54" s="18">
        <f t="shared" ca="1" si="11"/>
        <v>520</v>
      </c>
      <c r="S54" s="18">
        <f t="shared" ca="1" si="12"/>
        <v>520</v>
      </c>
      <c r="T54" s="19">
        <f t="shared" ca="1" si="13"/>
        <v>0</v>
      </c>
      <c r="U54" s="16">
        <f>IFERROR(SUMIF('LISTA DE EMBARQUE'!B:B,MICRO!E:E,'LISTA DE EMBARQUE'!G:G),"")</f>
        <v>1</v>
      </c>
      <c r="V54" s="12">
        <f>IFERROR(VLOOKUP(Tabela1[[#This Row],[COD.MDE]],'LISTA DE EMBARQUE'!B:L,11,0),"")</f>
        <v>5</v>
      </c>
      <c r="W54" s="13" t="str">
        <f ca="1">IFERROR(COUNTIF(#REF!,Tabela1[[#This Row],[Colunas5]]),"")</f>
        <v/>
      </c>
      <c r="X54" s="14">
        <f ca="1">Tabela1[[#This Row],[QIANTIDADE EXPEDIDA]]*Tabela1[[#This Row],[PESO UNI]]</f>
        <v>520</v>
      </c>
      <c r="Y54" s="14">
        <f t="shared" ca="1" si="14"/>
        <v>0</v>
      </c>
      <c r="Z54" s="20">
        <f ca="1">Tabela1[[#This Row],[PESO TOTAL]]-Tabela1[[#This Row],[Peso Expedido]]</f>
        <v>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>
        <v>1</v>
      </c>
      <c r="AH54" s="33">
        <v>1</v>
      </c>
      <c r="AI54" s="33" t="str">
        <f t="shared" ca="1" si="15"/>
        <v>ok</v>
      </c>
      <c r="AJ54" s="5"/>
      <c r="AK54" t="str">
        <f ca="1">Tabela1[[#This Row],[Coluna1]]&amp;Tabela1[[#This Row],[PEDIDO]]</f>
        <v>P-198</v>
      </c>
      <c r="AL54"/>
      <c r="AM54"/>
      <c r="AN54"/>
      <c r="AO54" t="str">
        <f t="shared" ca="1" si="16"/>
        <v>T-073196-1/05-CV-0001</v>
      </c>
      <c r="AP54" t="str">
        <f ca="1">Tabela1[[#This Row],[TAG]]&amp;Tabela1[[#This Row],[PEDIDO]]&amp;Tabela1[[#This Row],[PRODUTO]]</f>
        <v>05-CV-0001P-198ESTRUTURA</v>
      </c>
      <c r="AQ54" s="22" t="str">
        <f ca="1">Tabela1[[#This Row],[PRODUTO]]&amp;Tabela1[[#This Row],[TAG]]</f>
        <v>ESTRUTURA05-CV-0001</v>
      </c>
      <c r="AR54" s="24" t="str">
        <f ca="1">Tabela1[[#This Row],[PEDIDO]]&amp;Tabela1[[#This Row],[PRODUTO]]</f>
        <v>P-198ESTRUTURA</v>
      </c>
      <c r="AS54" s="37">
        <f ca="1">IF(AF54="",0,IF(ISTEXT(AF54),H54*VALUE(SUBSTITUTE(AF54,"%",""))/100,H54*AF54))-Tabela1[[#This Row],[PRONTO ACABADO2]]</f>
        <v>0</v>
      </c>
      <c r="AT54" s="37">
        <f ca="1">IF(AG54="",0,IF(ISTEXT(AG54),H54*VALUE(SUBSTITUTE(AG54,"%",""))/100,H54*AG54))-Tabela1[[#This Row],[PESO EXPEDIDO2]]</f>
        <v>0</v>
      </c>
      <c r="AU54" s="37">
        <f t="shared" ca="1" si="17"/>
        <v>520</v>
      </c>
      <c r="AV54" s="37">
        <f t="shared" ca="1" si="18"/>
        <v>520</v>
      </c>
      <c r="AW54" s="37"/>
    </row>
    <row r="55" spans="1:49" ht="15.75" hidden="1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 ca="1"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 ca="1">Tabela1[[#This Row],[QTDE/ Fabricação]]-Tabela1[[#This Row],[QTE]]</f>
        <v>-2</v>
      </c>
      <c r="R55" s="18">
        <f t="shared" ca="1" si="11"/>
        <v>16.8</v>
      </c>
      <c r="S55" s="18">
        <f t="shared" ca="1" si="12"/>
        <v>16.8</v>
      </c>
      <c r="T55" s="19">
        <f t="shared" ca="1" si="13"/>
        <v>0</v>
      </c>
      <c r="U55" s="16">
        <f ca="1">IFERROR(SUMIF('LISTA DE EMBARQUE'!B:B,MICRO!E:E,'LISTA DE EMBARQUE'!G:G),"")</f>
        <v>2</v>
      </c>
      <c r="V55" s="12">
        <f ca="1">IFERROR(VLOOKUP(Tabela1[[#This Row],[COD.MDE]],'LISTA DE EMBARQUE'!B:L,11,0),"")</f>
        <v>5</v>
      </c>
      <c r="W55" s="13" t="str">
        <f ca="1">IFERROR(COUNTIF(#REF!,Tabela1[[#This Row],[Colunas5]]),"")</f>
        <v/>
      </c>
      <c r="X55" s="14">
        <f ca="1">Tabela1[[#This Row],[QIANTIDADE EXPEDIDA]]*Tabela1[[#This Row],[PESO UNI]]</f>
        <v>16.8</v>
      </c>
      <c r="Y55" s="14">
        <f t="shared" ca="1" si="14"/>
        <v>0</v>
      </c>
      <c r="Z55" s="20">
        <f ca="1">Tabela1[[#This Row],[PESO TOTAL]]-Tabela1[[#This Row],[Peso Expedido]]</f>
        <v>0</v>
      </c>
      <c r="AA55" s="17">
        <v>1</v>
      </c>
      <c r="AB55" s="33"/>
      <c r="AC55" s="33">
        <v>1</v>
      </c>
      <c r="AD55" s="33">
        <v>1</v>
      </c>
      <c r="AE55" s="33">
        <v>1</v>
      </c>
      <c r="AF55" s="33">
        <v>1</v>
      </c>
      <c r="AG55" s="33">
        <v>1</v>
      </c>
      <c r="AH55" s="33">
        <v>1</v>
      </c>
      <c r="AI55" s="33" t="str">
        <f t="shared" ca="1" si="15"/>
        <v>ok</v>
      </c>
      <c r="AJ55" s="5"/>
      <c r="AK55" t="str">
        <f ca="1">Tabela1[[#This Row],[Coluna1]]&amp;Tabela1[[#This Row],[PEDIDO]]</f>
        <v>P-198</v>
      </c>
      <c r="AL55"/>
      <c r="AM55"/>
      <c r="AN55"/>
      <c r="AO55" t="str">
        <f t="shared" ca="1" si="16"/>
        <v>T-073196-1/05-CV-0001</v>
      </c>
      <c r="AP55" t="str">
        <f ca="1">Tabela1[[#This Row],[TAG]]&amp;Tabela1[[#This Row],[PEDIDO]]&amp;Tabela1[[#This Row],[PRODUTO]]</f>
        <v>05-CV-0001P-198ESTRUTURA</v>
      </c>
      <c r="AQ55" s="22" t="str">
        <f ca="1">Tabela1[[#This Row],[PRODUTO]]&amp;Tabela1[[#This Row],[TAG]]</f>
        <v>ESTRUTURA05-CV-0001</v>
      </c>
      <c r="AR55" s="24" t="str">
        <f ca="1">Tabela1[[#This Row],[PEDIDO]]&amp;Tabela1[[#This Row],[PRODUTO]]</f>
        <v>P-198ESTRUTURA</v>
      </c>
      <c r="AS55" s="37">
        <f ca="1">IF(AF55="",0,IF(ISTEXT(AF55),H55*VALUE(SUBSTITUTE(AF55,"%",""))/100,H55*AF55))-Tabela1[[#This Row],[PRONTO ACABADO2]]</f>
        <v>0</v>
      </c>
      <c r="AT55" s="37">
        <f ca="1">IF(AG55="",0,IF(ISTEXT(AG55),H55*VALUE(SUBSTITUTE(AG55,"%",""))/100,H55*AG55))-Tabela1[[#This Row],[PESO EXPEDIDO2]]</f>
        <v>0</v>
      </c>
      <c r="AU55" s="37">
        <f t="shared" ca="1" si="17"/>
        <v>16.8</v>
      </c>
      <c r="AV55" s="37">
        <f t="shared" ca="1" si="18"/>
        <v>16.8</v>
      </c>
      <c r="AW55" s="37"/>
    </row>
    <row r="56" spans="1:49" ht="15.75" hidden="1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 ca="1"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 ca="1">Tabela1[[#This Row],[QTDE/ Fabricação]]-Tabela1[[#This Row],[QTE]]</f>
        <v>-4</v>
      </c>
      <c r="R56" s="18">
        <f t="shared" ca="1" si="11"/>
        <v>10.8</v>
      </c>
      <c r="S56" s="18">
        <f t="shared" ca="1" si="12"/>
        <v>10.8</v>
      </c>
      <c r="T56" s="19">
        <f t="shared" ca="1" si="13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 ca="1">IFERROR(COUNTIF(#REF!,Tabela1[[#This Row],[Colunas5]]),"")</f>
        <v/>
      </c>
      <c r="X56" s="14">
        <f ca="1">Tabela1[[#This Row],[QIANTIDADE EXPEDIDA]]*Tabela1[[#This Row],[PESO UNI]]</f>
        <v>10.8</v>
      </c>
      <c r="Y56" s="14">
        <f t="shared" ca="1" si="14"/>
        <v>0</v>
      </c>
      <c r="Z56" s="20">
        <f ca="1"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ca="1" si="15"/>
        <v>ok</v>
      </c>
      <c r="AJ56" s="5"/>
      <c r="AK56" t="str">
        <f ca="1">Tabela1[[#This Row],[Coluna1]]&amp;Tabela1[[#This Row],[PEDIDO]]</f>
        <v>P-198</v>
      </c>
      <c r="AL56"/>
      <c r="AM56"/>
      <c r="AN56"/>
      <c r="AO56" t="str">
        <f t="shared" ca="1" si="16"/>
        <v>T-054923-1/14-CV-0001</v>
      </c>
      <c r="AP56" t="str">
        <f ca="1">Tabela1[[#This Row],[TAG]]&amp;Tabela1[[#This Row],[PEDIDO]]&amp;Tabela1[[#This Row],[PRODUTO]]</f>
        <v>14-CV-0001P-198BASES ROLETES</v>
      </c>
      <c r="AQ56" s="22" t="str">
        <f ca="1">Tabela1[[#This Row],[PRODUTO]]&amp;Tabela1[[#This Row],[TAG]]</f>
        <v>BASES ROLETES14-CV-0001</v>
      </c>
      <c r="AR56" s="24" t="str">
        <f ca="1">Tabela1[[#This Row],[PEDIDO]]&amp;Tabela1[[#This Row],[PRODUTO]]</f>
        <v>P-198BASES ROLETES</v>
      </c>
      <c r="AS56" s="37">
        <f ca="1">IF(AF56="",0,IF(ISTEXT(AF56),H56*VALUE(SUBSTITUTE(AF56,"%",""))/100,H56*AF56))-Tabela1[[#This Row],[PRONTO ACABADO2]]</f>
        <v>0</v>
      </c>
      <c r="AT56" s="37">
        <f ca="1">IF(AG56="",0,IF(ISTEXT(AG56),H56*VALUE(SUBSTITUTE(AG56,"%",""))/100,H56*AG56))-Tabela1[[#This Row],[PESO EXPEDIDO2]]</f>
        <v>0</v>
      </c>
      <c r="AU56" s="37">
        <f t="shared" ca="1" si="17"/>
        <v>10.8</v>
      </c>
      <c r="AV56" s="37">
        <f t="shared" ca="1" si="18"/>
        <v>10.8</v>
      </c>
      <c r="AW56" s="37"/>
    </row>
    <row r="57" spans="1:49" ht="15.75" hidden="1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 ca="1"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 ca="1">Tabela1[[#This Row],[QTDE/ Fabricação]]-Tabela1[[#This Row],[QTE]]</f>
        <v>-1</v>
      </c>
      <c r="R57" s="18">
        <f t="shared" ca="1" si="11"/>
        <v>41.9</v>
      </c>
      <c r="S57" s="18">
        <f t="shared" ca="1" si="12"/>
        <v>41.9</v>
      </c>
      <c r="T57" s="19">
        <f t="shared" ca="1" si="13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 ca="1">IFERROR(COUNTIF(#REF!,Tabela1[[#This Row],[Colunas5]]),"")</f>
        <v/>
      </c>
      <c r="X57" s="14">
        <f ca="1">Tabela1[[#This Row],[QIANTIDADE EXPEDIDA]]*Tabela1[[#This Row],[PESO UNI]]</f>
        <v>41.9</v>
      </c>
      <c r="Y57" s="14">
        <f t="shared" ca="1" si="14"/>
        <v>0</v>
      </c>
      <c r="Z57" s="20">
        <f ca="1"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ca="1" si="15"/>
        <v>ok</v>
      </c>
      <c r="AJ57" s="5"/>
      <c r="AK57" t="str">
        <f ca="1">Tabela1[[#This Row],[Coluna1]]&amp;Tabela1[[#This Row],[PEDIDO]]</f>
        <v>P-198</v>
      </c>
      <c r="AL57"/>
      <c r="AM57"/>
      <c r="AN57"/>
      <c r="AO57" t="str">
        <f t="shared" ca="1" si="16"/>
        <v>T-073186-1/14-CV-0001</v>
      </c>
      <c r="AP57" t="str">
        <f ca="1">Tabela1[[#This Row],[TAG]]&amp;Tabela1[[#This Row],[PEDIDO]]&amp;Tabela1[[#This Row],[PRODUTO]]</f>
        <v>14-CV-0001P-198BASES ROLETES</v>
      </c>
      <c r="AQ57" s="22" t="str">
        <f ca="1">Tabela1[[#This Row],[PRODUTO]]&amp;Tabela1[[#This Row],[TAG]]</f>
        <v>BASES ROLETES14-CV-0001</v>
      </c>
      <c r="AR57" s="24" t="str">
        <f ca="1">Tabela1[[#This Row],[PEDIDO]]&amp;Tabela1[[#This Row],[PRODUTO]]</f>
        <v>P-198BASES ROLETES</v>
      </c>
      <c r="AS57" s="37">
        <f ca="1">IF(AF57="",0,IF(ISTEXT(AF57),H57*VALUE(SUBSTITUTE(AF57,"%",""))/100,H57*AF57))-Tabela1[[#This Row],[PRONTO ACABADO2]]</f>
        <v>0</v>
      </c>
      <c r="AT57" s="37">
        <f ca="1">IF(AG57="",0,IF(ISTEXT(AG57),H57*VALUE(SUBSTITUTE(AG57,"%",""))/100,H57*AG57))-Tabela1[[#This Row],[PESO EXPEDIDO2]]</f>
        <v>0</v>
      </c>
      <c r="AU57" s="37">
        <f t="shared" ca="1" si="17"/>
        <v>41.9</v>
      </c>
      <c r="AV57" s="37">
        <f t="shared" ca="1" si="18"/>
        <v>41.9</v>
      </c>
      <c r="AW57" s="37"/>
    </row>
    <row r="58" spans="1:49" ht="15.75" hidden="1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 ca="1"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 ca="1">Tabela1[[#This Row],[QTDE/ Fabricação]]-Tabela1[[#This Row],[QTE]]</f>
        <v>-1</v>
      </c>
      <c r="R58" s="18">
        <f t="shared" ca="1" si="11"/>
        <v>54</v>
      </c>
      <c r="S58" s="18">
        <f t="shared" ca="1" si="12"/>
        <v>54</v>
      </c>
      <c r="T58" s="19">
        <f t="shared" ca="1" si="13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 ca="1">IFERROR(COUNTIF(#REF!,Tabela1[[#This Row],[Colunas5]]),"")</f>
        <v/>
      </c>
      <c r="X58" s="14">
        <f ca="1">Tabela1[[#This Row],[QIANTIDADE EXPEDIDA]]*Tabela1[[#This Row],[PESO UNI]]</f>
        <v>54</v>
      </c>
      <c r="Y58" s="14">
        <f t="shared" ca="1" si="14"/>
        <v>0</v>
      </c>
      <c r="Z58" s="20">
        <f ca="1"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ca="1" si="15"/>
        <v>ok</v>
      </c>
      <c r="AJ58" s="5"/>
      <c r="AK58" t="str">
        <f ca="1">Tabela1[[#This Row],[Coluna1]]&amp;Tabela1[[#This Row],[PEDIDO]]</f>
        <v>P-198</v>
      </c>
      <c r="AL58"/>
      <c r="AM58"/>
      <c r="AN58"/>
      <c r="AO58" t="str">
        <f t="shared" ca="1" si="16"/>
        <v>T-073187-1/14-CV-0001</v>
      </c>
      <c r="AP58" t="str">
        <f ca="1">Tabela1[[#This Row],[TAG]]&amp;Tabela1[[#This Row],[PEDIDO]]&amp;Tabela1[[#This Row],[PRODUTO]]</f>
        <v>14-CV-0001P-198BASES ROLETES</v>
      </c>
      <c r="AQ58" s="22" t="str">
        <f ca="1">Tabela1[[#This Row],[PRODUTO]]&amp;Tabela1[[#This Row],[TAG]]</f>
        <v>BASES ROLETES14-CV-0001</v>
      </c>
      <c r="AR58" s="24" t="str">
        <f ca="1">Tabela1[[#This Row],[PEDIDO]]&amp;Tabela1[[#This Row],[PRODUTO]]</f>
        <v>P-198BASES ROLETES</v>
      </c>
      <c r="AS58" s="37">
        <f ca="1">IF(AF58="",0,IF(ISTEXT(AF58),H58*VALUE(SUBSTITUTE(AF58,"%",""))/100,H58*AF58))-Tabela1[[#This Row],[PRONTO ACABADO2]]</f>
        <v>0</v>
      </c>
      <c r="AT58" s="37">
        <f ca="1">IF(AG58="",0,IF(ISTEXT(AG58),H58*VALUE(SUBSTITUTE(AG58,"%",""))/100,H58*AG58))-Tabela1[[#This Row],[PESO EXPEDIDO2]]</f>
        <v>0</v>
      </c>
      <c r="AU58" s="37">
        <f t="shared" ca="1" si="17"/>
        <v>54</v>
      </c>
      <c r="AV58" s="37">
        <f t="shared" ca="1" si="18"/>
        <v>54</v>
      </c>
      <c r="AW58" s="37"/>
    </row>
    <row r="59" spans="1:49" ht="15.75" hidden="1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 ca="1"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 ca="1">Tabela1[[#This Row],[QTDE/ Fabricação]]-Tabela1[[#This Row],[QTE]]</f>
        <v>-2</v>
      </c>
      <c r="R59" s="18">
        <f t="shared" ca="1" si="11"/>
        <v>95.2</v>
      </c>
      <c r="S59" s="18">
        <f t="shared" ca="1" si="12"/>
        <v>95.2</v>
      </c>
      <c r="T59" s="19">
        <f t="shared" ca="1" si="13"/>
        <v>0</v>
      </c>
      <c r="U59" s="16">
        <f ca="1">IFERROR(SUMIF('LISTA DE EMBARQUE'!B:B,MICRO!E:E,'LISTA DE EMBARQUE'!G:G),"")</f>
        <v>2</v>
      </c>
      <c r="V59" s="12">
        <f ca="1">IFERROR(VLOOKUP(Tabela1[[#This Row],[COD.MDE]],'LISTA DE EMBARQUE'!B:L,11,0),"")</f>
        <v>1</v>
      </c>
      <c r="W59" s="13" t="str">
        <f ca="1">IFERROR(COUNTIF(#REF!,Tabela1[[#This Row],[Colunas5]]),"")</f>
        <v/>
      </c>
      <c r="X59" s="14">
        <f ca="1">Tabela1[[#This Row],[QIANTIDADE EXPEDIDA]]*Tabela1[[#This Row],[PESO UNI]]</f>
        <v>95.2</v>
      </c>
      <c r="Y59" s="14">
        <f t="shared" ca="1" si="14"/>
        <v>0</v>
      </c>
      <c r="Z59" s="20">
        <f ca="1"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ca="1" si="15"/>
        <v>ok</v>
      </c>
      <c r="AJ59" s="5"/>
      <c r="AK59" t="str">
        <f ca="1">Tabela1[[#This Row],[Coluna1]]&amp;Tabela1[[#This Row],[PEDIDO]]</f>
        <v>P-198</v>
      </c>
      <c r="AL59"/>
      <c r="AM59"/>
      <c r="AN59"/>
      <c r="AO59" t="str">
        <f t="shared" ca="1" si="16"/>
        <v>T-073188-1/14-CV-0001</v>
      </c>
      <c r="AP59" t="str">
        <f ca="1">Tabela1[[#This Row],[TAG]]&amp;Tabela1[[#This Row],[PEDIDO]]&amp;Tabela1[[#This Row],[PRODUTO]]</f>
        <v>14-CV-0001P-198BASES ROLETES</v>
      </c>
      <c r="AQ59" s="22" t="str">
        <f ca="1">Tabela1[[#This Row],[PRODUTO]]&amp;Tabela1[[#This Row],[TAG]]</f>
        <v>BASES ROLETES14-CV-0001</v>
      </c>
      <c r="AR59" s="24" t="str">
        <f ca="1">Tabela1[[#This Row],[PEDIDO]]&amp;Tabela1[[#This Row],[PRODUTO]]</f>
        <v>P-198BASES ROLETES</v>
      </c>
      <c r="AS59" s="37">
        <f ca="1">IF(AF59="",0,IF(ISTEXT(AF59),H59*VALUE(SUBSTITUTE(AF59,"%",""))/100,H59*AF59))-Tabela1[[#This Row],[PRONTO ACABADO2]]</f>
        <v>0</v>
      </c>
      <c r="AT59" s="37">
        <f ca="1">IF(AG59="",0,IF(ISTEXT(AG59),H59*VALUE(SUBSTITUTE(AG59,"%",""))/100,H59*AG59))-Tabela1[[#This Row],[PESO EXPEDIDO2]]</f>
        <v>0</v>
      </c>
      <c r="AU59" s="37">
        <f t="shared" ca="1" si="17"/>
        <v>95.2</v>
      </c>
      <c r="AV59" s="37">
        <f t="shared" ca="1" si="18"/>
        <v>95.2</v>
      </c>
      <c r="AW59" s="37"/>
    </row>
    <row r="60" spans="1:49" ht="15.75" hidden="1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 ca="1"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 ca="1">Tabela1[[#This Row],[QTDE/ Fabricação]]-Tabela1[[#This Row],[QTE]]</f>
        <v>-45</v>
      </c>
      <c r="R60" s="18">
        <f t="shared" ca="1" si="11"/>
        <v>2142</v>
      </c>
      <c r="S60" s="18">
        <f t="shared" ca="1" si="12"/>
        <v>2142</v>
      </c>
      <c r="T60" s="19">
        <f t="shared" ca="1" si="13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 ca="1">IFERROR(COUNTIF(#REF!,Tabela1[[#This Row],[Colunas5]]),"")</f>
        <v/>
      </c>
      <c r="X60" s="14">
        <f ca="1">Tabela1[[#This Row],[QIANTIDADE EXPEDIDA]]*Tabela1[[#This Row],[PESO UNI]]</f>
        <v>2142</v>
      </c>
      <c r="Y60" s="14">
        <f t="shared" ca="1" si="14"/>
        <v>0</v>
      </c>
      <c r="Z60" s="20">
        <f ca="1"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ca="1" si="15"/>
        <v>ok</v>
      </c>
      <c r="AJ60" s="5"/>
      <c r="AK60" t="str">
        <f ca="1">Tabela1[[#This Row],[Coluna1]]&amp;Tabela1[[#This Row],[PEDIDO]]</f>
        <v>P-198</v>
      </c>
      <c r="AL60"/>
      <c r="AM60"/>
      <c r="AN60"/>
      <c r="AO60" t="str">
        <f t="shared" ca="1" si="16"/>
        <v>T-073189-1/14-CV-0001</v>
      </c>
      <c r="AP60" t="str">
        <f ca="1">Tabela1[[#This Row],[TAG]]&amp;Tabela1[[#This Row],[PEDIDO]]&amp;Tabela1[[#This Row],[PRODUTO]]</f>
        <v>14-CV-0001P-198BASES ROLETES</v>
      </c>
      <c r="AQ60" s="22" t="str">
        <f ca="1">Tabela1[[#This Row],[PRODUTO]]&amp;Tabela1[[#This Row],[TAG]]</f>
        <v>BASES ROLETES14-CV-0001</v>
      </c>
      <c r="AR60" s="24" t="str">
        <f ca="1">Tabela1[[#This Row],[PEDIDO]]&amp;Tabela1[[#This Row],[PRODUTO]]</f>
        <v>P-198BASES ROLETES</v>
      </c>
      <c r="AS60" s="37">
        <f ca="1">IF(AF60="",0,IF(ISTEXT(AF60),H60*VALUE(SUBSTITUTE(AF60,"%",""))/100,H60*AF60))-Tabela1[[#This Row],[PRONTO ACABADO2]]</f>
        <v>0</v>
      </c>
      <c r="AT60" s="37">
        <f ca="1">IF(AG60="",0,IF(ISTEXT(AG60),H60*VALUE(SUBSTITUTE(AG60,"%",""))/100,H60*AG60))-Tabela1[[#This Row],[PESO EXPEDIDO2]]</f>
        <v>0</v>
      </c>
      <c r="AU60" s="37">
        <f t="shared" ca="1" si="17"/>
        <v>2142</v>
      </c>
      <c r="AV60" s="37">
        <f t="shared" ca="1" si="18"/>
        <v>2142</v>
      </c>
      <c r="AW60" s="37"/>
    </row>
    <row r="61" spans="1:49" ht="15.75" hidden="1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 ca="1"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 ca="1">Tabela1[[#This Row],[QTDE/ Fabricação]]-Tabela1[[#This Row],[QTE]]</f>
        <v>-11</v>
      </c>
      <c r="R61" s="18">
        <f t="shared" ca="1" si="11"/>
        <v>591.79999999999995</v>
      </c>
      <c r="S61" s="18">
        <f t="shared" ca="1" si="12"/>
        <v>591.79999999999995</v>
      </c>
      <c r="T61" s="19">
        <f t="shared" ca="1" si="13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 ca="1">IFERROR(COUNTIF(#REF!,Tabela1[[#This Row],[Colunas5]]),"")</f>
        <v/>
      </c>
      <c r="X61" s="14">
        <f ca="1">Tabela1[[#This Row],[QIANTIDADE EXPEDIDA]]*Tabela1[[#This Row],[PESO UNI]]</f>
        <v>591.79999999999995</v>
      </c>
      <c r="Y61" s="14">
        <f t="shared" ca="1" si="14"/>
        <v>0</v>
      </c>
      <c r="Z61" s="20">
        <f ca="1"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ca="1" si="15"/>
        <v>ok</v>
      </c>
      <c r="AJ61" s="5"/>
      <c r="AK61" t="str">
        <f ca="1">Tabela1[[#This Row],[Coluna1]]&amp;Tabela1[[#This Row],[PEDIDO]]</f>
        <v>P-198</v>
      </c>
      <c r="AL61"/>
      <c r="AM61"/>
      <c r="AN61"/>
      <c r="AO61" t="str">
        <f t="shared" ca="1" si="16"/>
        <v>T-073190-1/14-CV-0001</v>
      </c>
      <c r="AP61" t="str">
        <f ca="1">Tabela1[[#This Row],[TAG]]&amp;Tabela1[[#This Row],[PEDIDO]]&amp;Tabela1[[#This Row],[PRODUTO]]</f>
        <v>14-CV-0001P-198BASES ROLETES</v>
      </c>
      <c r="AQ61" s="22" t="str">
        <f ca="1">Tabela1[[#This Row],[PRODUTO]]&amp;Tabela1[[#This Row],[TAG]]</f>
        <v>BASES ROLETES14-CV-0001</v>
      </c>
      <c r="AR61" s="24" t="str">
        <f ca="1">Tabela1[[#This Row],[PEDIDO]]&amp;Tabela1[[#This Row],[PRODUTO]]</f>
        <v>P-198BASES ROLETES</v>
      </c>
      <c r="AS61" s="37">
        <f ca="1">IF(AF61="",0,IF(ISTEXT(AF61),H61*VALUE(SUBSTITUTE(AF61,"%",""))/100,H61*AF61))-Tabela1[[#This Row],[PRONTO ACABADO2]]</f>
        <v>0</v>
      </c>
      <c r="AT61" s="37">
        <f ca="1">IF(AG61="",0,IF(ISTEXT(AG61),H61*VALUE(SUBSTITUTE(AG61,"%",""))/100,H61*AG61))-Tabela1[[#This Row],[PESO EXPEDIDO2]]</f>
        <v>0</v>
      </c>
      <c r="AU61" s="37">
        <f t="shared" ca="1" si="17"/>
        <v>591.79999999999995</v>
      </c>
      <c r="AV61" s="37">
        <f t="shared" ca="1" si="18"/>
        <v>591.79999999999995</v>
      </c>
      <c r="AW61" s="37"/>
    </row>
    <row r="62" spans="1:49" ht="15.75" hidden="1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 ca="1"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 ca="1">Tabela1[[#This Row],[QTDE/ Fabricação]]-Tabela1[[#This Row],[QTE]]</f>
        <v>-15</v>
      </c>
      <c r="R62" s="18">
        <f t="shared" ca="1" si="11"/>
        <v>394.5</v>
      </c>
      <c r="S62" s="18">
        <f t="shared" ca="1" si="12"/>
        <v>394.5</v>
      </c>
      <c r="T62" s="19">
        <f t="shared" ca="1" si="13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 ca="1">IFERROR(COUNTIF(#REF!,Tabela1[[#This Row],[Colunas5]]),"")</f>
        <v/>
      </c>
      <c r="X62" s="14">
        <f ca="1">Tabela1[[#This Row],[QIANTIDADE EXPEDIDA]]*Tabela1[[#This Row],[PESO UNI]]</f>
        <v>394.5</v>
      </c>
      <c r="Y62" s="14">
        <f t="shared" ca="1" si="14"/>
        <v>0</v>
      </c>
      <c r="Z62" s="20">
        <f ca="1"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ca="1" si="15"/>
        <v>ok</v>
      </c>
      <c r="AJ62" s="5"/>
      <c r="AK62" t="str">
        <f ca="1">Tabela1[[#This Row],[Coluna1]]&amp;Tabela1[[#This Row],[PEDIDO]]</f>
        <v>P-198</v>
      </c>
      <c r="AL62"/>
      <c r="AM62"/>
      <c r="AN62"/>
      <c r="AO62" t="str">
        <f t="shared" ca="1" si="16"/>
        <v>T-073191-1/14-CV-0001</v>
      </c>
      <c r="AP62" t="str">
        <f ca="1">Tabela1[[#This Row],[TAG]]&amp;Tabela1[[#This Row],[PEDIDO]]&amp;Tabela1[[#This Row],[PRODUTO]]</f>
        <v>14-CV-0001P-198BASES ROLETES</v>
      </c>
      <c r="AQ62" s="22" t="str">
        <f ca="1">Tabela1[[#This Row],[PRODUTO]]&amp;Tabela1[[#This Row],[TAG]]</f>
        <v>BASES ROLETES14-CV-0001</v>
      </c>
      <c r="AR62" s="24" t="str">
        <f ca="1">Tabela1[[#This Row],[PEDIDO]]&amp;Tabela1[[#This Row],[PRODUTO]]</f>
        <v>P-198BASES ROLETES</v>
      </c>
      <c r="AS62" s="37">
        <f ca="1">IF(AF62="",0,IF(ISTEXT(AF62),H62*VALUE(SUBSTITUTE(AF62,"%",""))/100,H62*AF62))-Tabela1[[#This Row],[PRONTO ACABADO2]]</f>
        <v>0</v>
      </c>
      <c r="AT62" s="37">
        <f ca="1">IF(AG62="",0,IF(ISTEXT(AG62),H62*VALUE(SUBSTITUTE(AG62,"%",""))/100,H62*AG62))-Tabela1[[#This Row],[PESO EXPEDIDO2]]</f>
        <v>0</v>
      </c>
      <c r="AU62" s="37">
        <f t="shared" ca="1" si="17"/>
        <v>394.5</v>
      </c>
      <c r="AV62" s="37">
        <f t="shared" ca="1" si="18"/>
        <v>394.5</v>
      </c>
      <c r="AW62" s="37"/>
    </row>
    <row r="63" spans="1:49" ht="15.75" hidden="1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 ca="1"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 ca="1">Tabela1[[#This Row],[QTDE/ Fabricação]]-Tabela1[[#This Row],[QTE]]</f>
        <v>-2</v>
      </c>
      <c r="R63" s="18">
        <f t="shared" ca="1" si="11"/>
        <v>118.2</v>
      </c>
      <c r="S63" s="18">
        <f t="shared" ca="1" si="12"/>
        <v>118.2</v>
      </c>
      <c r="T63" s="19">
        <f t="shared" ca="1" si="13"/>
        <v>0</v>
      </c>
      <c r="U63" s="16">
        <f ca="1">IFERROR(SUMIF('LISTA DE EMBARQUE'!B:B,MICRO!E:E,'LISTA DE EMBARQUE'!G:G),"")</f>
        <v>2</v>
      </c>
      <c r="V63" s="12">
        <f ca="1">IFERROR(VLOOKUP(Tabela1[[#This Row],[COD.MDE]],'LISTA DE EMBARQUE'!B:L,11,0),"")</f>
        <v>2</v>
      </c>
      <c r="W63" s="13" t="str">
        <f ca="1">IFERROR(COUNTIF(#REF!,Tabela1[[#This Row],[Colunas5]]),"")</f>
        <v/>
      </c>
      <c r="X63" s="14">
        <f ca="1">Tabela1[[#This Row],[QIANTIDADE EXPEDIDA]]*Tabela1[[#This Row],[PESO UNI]]</f>
        <v>118.2</v>
      </c>
      <c r="Y63" s="14">
        <f t="shared" ca="1" si="14"/>
        <v>0</v>
      </c>
      <c r="Z63" s="20">
        <f ca="1"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ca="1" si="15"/>
        <v>ok</v>
      </c>
      <c r="AJ63" s="5"/>
      <c r="AK63" t="str">
        <f ca="1">Tabela1[[#This Row],[Coluna1]]&amp;Tabela1[[#This Row],[PEDIDO]]</f>
        <v>P-198</v>
      </c>
      <c r="AL63"/>
      <c r="AM63"/>
      <c r="AN63"/>
      <c r="AO63" t="str">
        <f t="shared" ca="1" si="16"/>
        <v>T-073192-1/14-CV-0001</v>
      </c>
      <c r="AP63" t="str">
        <f ca="1">Tabela1[[#This Row],[TAG]]&amp;Tabela1[[#This Row],[PEDIDO]]&amp;Tabela1[[#This Row],[PRODUTO]]</f>
        <v>14-CV-0001P-198BASES ROLETES</v>
      </c>
      <c r="AQ63" s="22" t="str">
        <f ca="1">Tabela1[[#This Row],[PRODUTO]]&amp;Tabela1[[#This Row],[TAG]]</f>
        <v>BASES ROLETES14-CV-0001</v>
      </c>
      <c r="AR63" s="24" t="str">
        <f ca="1">Tabela1[[#This Row],[PEDIDO]]&amp;Tabela1[[#This Row],[PRODUTO]]</f>
        <v>P-198BASES ROLETES</v>
      </c>
      <c r="AS63" s="37">
        <f ca="1">IF(AF63="",0,IF(ISTEXT(AF63),H63*VALUE(SUBSTITUTE(AF63,"%",""))/100,H63*AF63))-Tabela1[[#This Row],[PRONTO ACABADO2]]</f>
        <v>0</v>
      </c>
      <c r="AT63" s="37">
        <f ca="1">IF(AG63="",0,IF(ISTEXT(AG63),H63*VALUE(SUBSTITUTE(AG63,"%",""))/100,H63*AG63))-Tabela1[[#This Row],[PESO EXPEDIDO2]]</f>
        <v>0</v>
      </c>
      <c r="AU63" s="37">
        <f t="shared" ca="1" si="17"/>
        <v>118.2</v>
      </c>
      <c r="AV63" s="37">
        <f t="shared" ca="1" si="18"/>
        <v>118.2</v>
      </c>
      <c r="AW63" s="37"/>
    </row>
    <row r="64" spans="1:49" ht="15.75" hidden="1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 ca="1"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 ca="1">Tabela1[[#This Row],[QTDE/ Fabricação]]-Tabela1[[#This Row],[QTE]]</f>
        <v>-1</v>
      </c>
      <c r="R64" s="18">
        <f t="shared" ca="1" si="11"/>
        <v>53.8</v>
      </c>
      <c r="S64" s="18">
        <f t="shared" ca="1" si="12"/>
        <v>53.8</v>
      </c>
      <c r="T64" s="19">
        <f t="shared" ca="1" si="13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 ca="1">IFERROR(COUNTIF(#REF!,Tabela1[[#This Row],[Colunas5]]),"")</f>
        <v/>
      </c>
      <c r="X64" s="14">
        <f ca="1">Tabela1[[#This Row],[QIANTIDADE EXPEDIDA]]*Tabela1[[#This Row],[PESO UNI]]</f>
        <v>53.8</v>
      </c>
      <c r="Y64" s="14">
        <f t="shared" ca="1" si="14"/>
        <v>0</v>
      </c>
      <c r="Z64" s="20">
        <f ca="1"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ca="1" si="15"/>
        <v>ok</v>
      </c>
      <c r="AJ64" s="5"/>
      <c r="AK64" t="str">
        <f ca="1">Tabela1[[#This Row],[Coluna1]]&amp;Tabela1[[#This Row],[PEDIDO]]</f>
        <v>P-198</v>
      </c>
      <c r="AL64"/>
      <c r="AM64"/>
      <c r="AN64"/>
      <c r="AO64" t="str">
        <f t="shared" ca="1" si="16"/>
        <v>T-073180-1/05-CV-0001</v>
      </c>
      <c r="AP64" t="str">
        <f ca="1">Tabela1[[#This Row],[TAG]]&amp;Tabela1[[#This Row],[PEDIDO]]&amp;Tabela1[[#This Row],[PRODUTO]]</f>
        <v>05-CV-0001P-198BASES ROLETES</v>
      </c>
      <c r="AQ64" s="22" t="str">
        <f ca="1">Tabela1[[#This Row],[PRODUTO]]&amp;Tabela1[[#This Row],[TAG]]</f>
        <v>BASES ROLETES05-CV-0001</v>
      </c>
      <c r="AR64" s="24" t="str">
        <f ca="1">Tabela1[[#This Row],[PEDIDO]]&amp;Tabela1[[#This Row],[PRODUTO]]</f>
        <v>P-198BASES ROLETES</v>
      </c>
      <c r="AS64" s="37">
        <f ca="1">IF(AF64="",0,IF(ISTEXT(AF64),H64*VALUE(SUBSTITUTE(AF64,"%",""))/100,H64*AF64))-Tabela1[[#This Row],[PRONTO ACABADO2]]</f>
        <v>0</v>
      </c>
      <c r="AT64" s="37">
        <f ca="1">IF(AG64="",0,IF(ISTEXT(AG64),H64*VALUE(SUBSTITUTE(AG64,"%",""))/100,H64*AG64))-Tabela1[[#This Row],[PESO EXPEDIDO2]]</f>
        <v>0</v>
      </c>
      <c r="AU64" s="37">
        <f t="shared" ca="1" si="17"/>
        <v>53.8</v>
      </c>
      <c r="AV64" s="37">
        <f t="shared" ca="1" si="18"/>
        <v>53.8</v>
      </c>
      <c r="AW64" s="37"/>
    </row>
    <row r="65" spans="1:49" ht="15.75" hidden="1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 ca="1"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 ca="1">Tabela1[[#This Row],[QTDE/ Fabricação]]-Tabela1[[#This Row],[QTE]]</f>
        <v>-38</v>
      </c>
      <c r="R65" s="18">
        <f t="shared" ca="1" si="11"/>
        <v>1064</v>
      </c>
      <c r="S65" s="18">
        <f t="shared" ca="1" si="12"/>
        <v>1064</v>
      </c>
      <c r="T65" s="19">
        <f t="shared" ca="1" si="13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 ca="1">IFERROR(COUNTIF(#REF!,Tabela1[[#This Row],[Colunas5]]),"")</f>
        <v/>
      </c>
      <c r="X65" s="14">
        <f ca="1">Tabela1[[#This Row],[QIANTIDADE EXPEDIDA]]*Tabela1[[#This Row],[PESO UNI]]</f>
        <v>1064</v>
      </c>
      <c r="Y65" s="14">
        <f t="shared" ca="1" si="14"/>
        <v>0</v>
      </c>
      <c r="Z65" s="20">
        <f ca="1"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ca="1" si="15"/>
        <v>ok</v>
      </c>
      <c r="AJ65" s="5"/>
      <c r="AK65" t="str">
        <f ca="1">Tabela1[[#This Row],[Coluna1]]&amp;Tabela1[[#This Row],[PEDIDO]]</f>
        <v>P-198</v>
      </c>
      <c r="AL65"/>
      <c r="AM65"/>
      <c r="AN65"/>
      <c r="AO65" t="str">
        <f t="shared" ca="1" si="16"/>
        <v>T-073181-1/05-CV-0001</v>
      </c>
      <c r="AP65" t="str">
        <f ca="1">Tabela1[[#This Row],[TAG]]&amp;Tabela1[[#This Row],[PEDIDO]]&amp;Tabela1[[#This Row],[PRODUTO]]</f>
        <v>05-CV-0001P-198BASES ROLETES</v>
      </c>
      <c r="AQ65" s="22" t="str">
        <f ca="1">Tabela1[[#This Row],[PRODUTO]]&amp;Tabela1[[#This Row],[TAG]]</f>
        <v>BASES ROLETES05-CV-0001</v>
      </c>
      <c r="AR65" s="24" t="str">
        <f ca="1">Tabela1[[#This Row],[PEDIDO]]&amp;Tabela1[[#This Row],[PRODUTO]]</f>
        <v>P-198BASES ROLETES</v>
      </c>
      <c r="AS65" s="37">
        <f ca="1">IF(AF65="",0,IF(ISTEXT(AF65),H65*VALUE(SUBSTITUTE(AF65,"%",""))/100,H65*AF65))-Tabela1[[#This Row],[PRONTO ACABADO2]]</f>
        <v>0</v>
      </c>
      <c r="AT65" s="37">
        <f ca="1">IF(AG65="",0,IF(ISTEXT(AG65),H65*VALUE(SUBSTITUTE(AG65,"%",""))/100,H65*AG65))-Tabela1[[#This Row],[PESO EXPEDIDO2]]</f>
        <v>0</v>
      </c>
      <c r="AU65" s="37">
        <f t="shared" ca="1" si="17"/>
        <v>1064</v>
      </c>
      <c r="AV65" s="37">
        <f t="shared" ca="1" si="18"/>
        <v>1064</v>
      </c>
      <c r="AW65" s="37"/>
    </row>
    <row r="66" spans="1:49" ht="15.75" hidden="1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 ca="1"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 ca="1">Tabela1[[#This Row],[QTDE/ Fabricação]]-Tabela1[[#This Row],[QTE]]</f>
        <v>-8</v>
      </c>
      <c r="R66" s="18">
        <f t="shared" ca="1" si="11"/>
        <v>230.4</v>
      </c>
      <c r="S66" s="18">
        <f t="shared" ca="1" si="12"/>
        <v>230.4</v>
      </c>
      <c r="T66" s="19">
        <f t="shared" ca="1" si="13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 ca="1">IFERROR(COUNTIF(#REF!,Tabela1[[#This Row],[Colunas5]]),"")</f>
        <v/>
      </c>
      <c r="X66" s="14">
        <f ca="1">Tabela1[[#This Row],[QIANTIDADE EXPEDIDA]]*Tabela1[[#This Row],[PESO UNI]]</f>
        <v>230.4</v>
      </c>
      <c r="Y66" s="14">
        <f t="shared" ca="1" si="14"/>
        <v>0</v>
      </c>
      <c r="Z66" s="20">
        <f ca="1"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ca="1" si="15"/>
        <v>ok</v>
      </c>
      <c r="AJ66" s="5"/>
      <c r="AK66" t="str">
        <f ca="1">Tabela1[[#This Row],[Coluna1]]&amp;Tabela1[[#This Row],[PEDIDO]]</f>
        <v>P-198</v>
      </c>
      <c r="AL66"/>
      <c r="AM66"/>
      <c r="AN66"/>
      <c r="AO66" t="str">
        <f t="shared" ca="1" si="16"/>
        <v>T-073182-1/05-CV-0001</v>
      </c>
      <c r="AP66" t="str">
        <f ca="1">Tabela1[[#This Row],[TAG]]&amp;Tabela1[[#This Row],[PEDIDO]]&amp;Tabela1[[#This Row],[PRODUTO]]</f>
        <v>05-CV-0001P-198BASES ROLETES</v>
      </c>
      <c r="AQ66" s="22" t="str">
        <f ca="1">Tabela1[[#This Row],[PRODUTO]]&amp;Tabela1[[#This Row],[TAG]]</f>
        <v>BASES ROLETES05-CV-0001</v>
      </c>
      <c r="AR66" s="24" t="str">
        <f ca="1">Tabela1[[#This Row],[PEDIDO]]&amp;Tabela1[[#This Row],[PRODUTO]]</f>
        <v>P-198BASES ROLETES</v>
      </c>
      <c r="AS66" s="37">
        <f ca="1">IF(AF66="",0,IF(ISTEXT(AF66),H66*VALUE(SUBSTITUTE(AF66,"%",""))/100,H66*AF66))-Tabela1[[#This Row],[PRONTO ACABADO2]]</f>
        <v>0</v>
      </c>
      <c r="AT66" s="37">
        <f ca="1">IF(AG66="",0,IF(ISTEXT(AG66),H66*VALUE(SUBSTITUTE(AG66,"%",""))/100,H66*AG66))-Tabela1[[#This Row],[PESO EXPEDIDO2]]</f>
        <v>0</v>
      </c>
      <c r="AU66" s="37">
        <f t="shared" ca="1" si="17"/>
        <v>230.4</v>
      </c>
      <c r="AV66" s="37">
        <f t="shared" ca="1" si="18"/>
        <v>230.4</v>
      </c>
      <c r="AW66" s="37"/>
    </row>
    <row r="67" spans="1:49" ht="15.75" hidden="1" customHeight="1" x14ac:dyDescent="0.25">
      <c r="A67" s="6" t="s">
        <v>3086</v>
      </c>
      <c r="B67" s="21"/>
      <c r="C67" s="7">
        <v>16</v>
      </c>
      <c r="D67" s="39" t="s">
        <v>3085</v>
      </c>
      <c r="E67" s="7">
        <v>3763</v>
      </c>
      <c r="F67" s="7">
        <v>9</v>
      </c>
      <c r="G67" s="23">
        <v>5.2</v>
      </c>
      <c r="H67" s="34">
        <f ca="1">Tabela1[[#This Row],[PESO UNI]]*Tabela1[[#This Row],[QTE]]</f>
        <v>83.2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 ca="1">Tabela1[[#This Row],[QTDE/ Fabricação]]-Tabela1[[#This Row],[QTE]]</f>
        <v>-16</v>
      </c>
      <c r="R67" s="18">
        <f t="shared" ca="1" si="11"/>
        <v>83.2</v>
      </c>
      <c r="S67" s="18">
        <f t="shared" ca="1" si="12"/>
        <v>83.2</v>
      </c>
      <c r="T67" s="19">
        <f t="shared" ca="1" si="13"/>
        <v>0</v>
      </c>
      <c r="U67" s="16">
        <f ca="1">IFERROR(SUMIF('LISTA DE EMBARQUE'!B:B,MICRO!E:E,'LISTA DE EMBARQUE'!G:G),"")</f>
        <v>16</v>
      </c>
      <c r="V67" s="12">
        <f ca="1">IFERROR(VLOOKUP(Tabela1[[#This Row],[COD.MDE]],'LISTA DE EMBARQUE'!B:L,11,0),"")</f>
        <v>1</v>
      </c>
      <c r="W67" s="13" t="str">
        <f ca="1">IFERROR(COUNTIF(#REF!,Tabela1[[#This Row],[Colunas5]]),"")</f>
        <v/>
      </c>
      <c r="X67" s="14">
        <f ca="1">Tabela1[[#This Row],[QIANTIDADE EXPEDIDA]]*Tabela1[[#This Row],[PESO UNI]]</f>
        <v>83.2</v>
      </c>
      <c r="Y67" s="14">
        <f t="shared" ca="1" si="14"/>
        <v>0</v>
      </c>
      <c r="Z67" s="20"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ca="1" si="15"/>
        <v>ok</v>
      </c>
      <c r="AJ67" s="5"/>
      <c r="AK67" t="str">
        <f ca="1">Tabela1[[#This Row],[Coluna1]]&amp;Tabela1[[#This Row],[PEDIDO]]</f>
        <v>P-198</v>
      </c>
      <c r="AL67"/>
      <c r="AM67"/>
      <c r="AN67"/>
      <c r="AO67" t="str">
        <f t="shared" ca="1" si="16"/>
        <v>T-073183-1/05-CV-0001</v>
      </c>
      <c r="AP67" t="str">
        <f ca="1">Tabela1[[#This Row],[TAG]]&amp;Tabela1[[#This Row],[PEDIDO]]&amp;Tabela1[[#This Row],[PRODUTO]]</f>
        <v>05-CV-0001P-198BASES ROLETES</v>
      </c>
      <c r="AQ67" s="22" t="str">
        <f ca="1">Tabela1[[#This Row],[PRODUTO]]&amp;Tabela1[[#This Row],[TAG]]</f>
        <v>BASES ROLETES05-CV-0001</v>
      </c>
      <c r="AR67" s="24" t="str">
        <f ca="1">Tabela1[[#This Row],[PEDIDO]]&amp;Tabela1[[#This Row],[PRODUTO]]</f>
        <v>P-198BASES ROLETES</v>
      </c>
      <c r="AS67" s="37">
        <f ca="1">IF(AF67="",0,IF(ISTEXT(AF67),H67*VALUE(SUBSTITUTE(AF67,"%",""))/100,H67*AF67))-Tabela1[[#This Row],[PRONTO ACABADO2]]</f>
        <v>0</v>
      </c>
      <c r="AT67" s="37">
        <f ca="1">IF(AG67="",0,IF(ISTEXT(AG67),H67*VALUE(SUBSTITUTE(AG67,"%",""))/100,H67*AG67))-Tabela1[[#This Row],[PESO EXPEDIDO2]]</f>
        <v>0</v>
      </c>
      <c r="AU67" s="37">
        <f t="shared" ca="1" si="17"/>
        <v>83.2</v>
      </c>
      <c r="AV67" s="37">
        <f t="shared" ca="1" si="18"/>
        <v>83.2</v>
      </c>
      <c r="AW67" s="37"/>
    </row>
    <row r="68" spans="1:49" ht="15.75" hidden="1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 ca="1"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 ca="1">Tabela1[[#This Row],[QTDE/ Fabricação]]-Tabela1[[#This Row],[QTE]]</f>
        <v>-2</v>
      </c>
      <c r="R68" s="18">
        <f t="shared" ca="1" si="11"/>
        <v>98</v>
      </c>
      <c r="S68" s="18">
        <f t="shared" ca="1" si="12"/>
        <v>98</v>
      </c>
      <c r="T68" s="19">
        <f t="shared" ca="1" si="13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 ca="1">IFERROR(COUNTIF(#REF!,Tabela1[[#This Row],[Colunas5]]),"")</f>
        <v/>
      </c>
      <c r="X68" s="14">
        <f ca="1">Tabela1[[#This Row],[QIANTIDADE EXPEDIDA]]*Tabela1[[#This Row],[PESO UNI]]</f>
        <v>98</v>
      </c>
      <c r="Y68" s="14">
        <f t="shared" ca="1" si="14"/>
        <v>0</v>
      </c>
      <c r="Z68" s="20">
        <f ca="1"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ca="1" si="15"/>
        <v>ok</v>
      </c>
      <c r="AJ68" s="5"/>
      <c r="AK68" t="str">
        <f ca="1">Tabela1[[#This Row],[Coluna1]]&amp;Tabela1[[#This Row],[PEDIDO]]</f>
        <v>P-198</v>
      </c>
      <c r="AL68"/>
      <c r="AM68"/>
      <c r="AN68"/>
      <c r="AO68" t="str">
        <f ca="1">A35&amp;"/"&amp;J35</f>
        <v>R-3-4-7843/P203</v>
      </c>
      <c r="AP68" t="str">
        <f ca="1">Tabela1[[#This Row],[TAG]]&amp;Tabela1[[#This Row],[PEDIDO]]&amp;Tabela1[[#This Row],[PRODUTO]]</f>
        <v>05-CV-0001P-198BASES ROLETES</v>
      </c>
      <c r="AQ68" s="22" t="str">
        <f ca="1">Tabela1[[#This Row],[PRODUTO]]&amp;Tabela1[[#This Row],[TAG]]</f>
        <v>BASES ROLETES05-CV-0001</v>
      </c>
      <c r="AR68" s="24" t="str">
        <f ca="1">Tabela1[[#This Row],[PEDIDO]]&amp;Tabela1[[#This Row],[PRODUTO]]</f>
        <v>P-198BASES ROLETES</v>
      </c>
      <c r="AS68" s="37">
        <f ca="1">IF(AF68="",0,IF(ISTEXT(AF68),H68*VALUE(SUBSTITUTE(AF68,"%",""))/100,H68*AF68))-Tabela1[[#This Row],[PRONTO ACABADO2]]</f>
        <v>0</v>
      </c>
      <c r="AT68" s="37">
        <f ca="1">IF(AG68="",0,IF(ISTEXT(AG68),H68*VALUE(SUBSTITUTE(AG68,"%",""))/100,H68*AG68))-Tabela1[[#This Row],[PESO EXPEDIDO2]]</f>
        <v>0</v>
      </c>
      <c r="AU68" s="37">
        <f t="shared" ca="1" si="17"/>
        <v>98</v>
      </c>
      <c r="AV68" s="37">
        <f t="shared" ca="1" si="18"/>
        <v>98</v>
      </c>
      <c r="AW68" s="37"/>
    </row>
    <row r="69" spans="1:49" ht="15.75" hidden="1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 ca="1"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 ca="1">Tabela1[[#This Row],[QTDE/ Fabricação]]-Tabela1[[#This Row],[QTE]]</f>
        <v>-2</v>
      </c>
      <c r="R69" s="18">
        <f t="shared" ca="1" si="11"/>
        <v>56</v>
      </c>
      <c r="S69" s="18">
        <f t="shared" ca="1" si="12"/>
        <v>56</v>
      </c>
      <c r="T69" s="19">
        <f t="shared" ca="1" si="13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 ca="1">IFERROR(COUNTIF(#REF!,Tabela1[[#This Row],[Colunas5]]),"")</f>
        <v/>
      </c>
      <c r="X69" s="14">
        <f ca="1">Tabela1[[#This Row],[QIANTIDADE EXPEDIDA]]*Tabela1[[#This Row],[PESO UNI]]</f>
        <v>56</v>
      </c>
      <c r="Y69" s="14">
        <f t="shared" ca="1" si="14"/>
        <v>0</v>
      </c>
      <c r="Z69" s="20">
        <f ca="1"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ca="1" si="15"/>
        <v>ok</v>
      </c>
      <c r="AJ69" s="5"/>
      <c r="AK69" t="str">
        <f ca="1">Tabela1[[#This Row],[Coluna1]]&amp;Tabela1[[#This Row],[PEDIDO]]</f>
        <v>P-198</v>
      </c>
      <c r="AL69"/>
      <c r="AM69"/>
      <c r="AN69"/>
      <c r="AO69" t="str">
        <f t="shared" ref="AO69:AO132" ca="1" si="19">A69&amp;"/"&amp;J69</f>
        <v>T-073185-1/05-CV-0001</v>
      </c>
      <c r="AP69" t="str">
        <f ca="1">Tabela1[[#This Row],[TAG]]&amp;Tabela1[[#This Row],[PEDIDO]]&amp;Tabela1[[#This Row],[PRODUTO]]</f>
        <v>05-CV-0001P-198BASES ROLETES</v>
      </c>
      <c r="AQ69" s="22" t="str">
        <f ca="1">Tabela1[[#This Row],[PRODUTO]]&amp;Tabela1[[#This Row],[TAG]]</f>
        <v>BASES ROLETES05-CV-0001</v>
      </c>
      <c r="AR69" s="24" t="str">
        <f ca="1">Tabela1[[#This Row],[PEDIDO]]&amp;Tabela1[[#This Row],[PRODUTO]]</f>
        <v>P-198BASES ROLETES</v>
      </c>
      <c r="AS69" s="37">
        <f ca="1">IF(AF69="",0,IF(ISTEXT(AF69),H69*VALUE(SUBSTITUTE(AF69,"%",""))/100,H69*AF69))-Tabela1[[#This Row],[PRONTO ACABADO2]]</f>
        <v>0</v>
      </c>
      <c r="AT69" s="37">
        <f ca="1">IF(AG69="",0,IF(ISTEXT(AG69),H69*VALUE(SUBSTITUTE(AG69,"%",""))/100,H69*AG69))-Tabela1[[#This Row],[PESO EXPEDIDO2]]</f>
        <v>0</v>
      </c>
      <c r="AU69" s="37">
        <f t="shared" ca="1" si="17"/>
        <v>56</v>
      </c>
      <c r="AV69" s="37">
        <f t="shared" ca="1" si="18"/>
        <v>56</v>
      </c>
      <c r="AW69" s="37"/>
    </row>
    <row r="70" spans="1:49" ht="15.75" hidden="1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 ca="1"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 ca="1">Tabela1[[#This Row],[QTDE/ Fabricação]]-Tabela1[[#This Row],[QTE]]</f>
        <v>-4</v>
      </c>
      <c r="R70" s="18">
        <f t="shared" ca="1" si="11"/>
        <v>10.8</v>
      </c>
      <c r="S70" s="18">
        <f t="shared" ca="1" si="12"/>
        <v>10.8</v>
      </c>
      <c r="T70" s="19">
        <f t="shared" ca="1" si="13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 ca="1">IFERROR(COUNTIF(#REF!,Tabela1[[#This Row],[Colunas5]]),"")</f>
        <v/>
      </c>
      <c r="X70" s="14">
        <f ca="1">Tabela1[[#This Row],[QIANTIDADE EXPEDIDA]]*Tabela1[[#This Row],[PESO UNI]]</f>
        <v>10.8</v>
      </c>
      <c r="Y70" s="14">
        <f t="shared" ca="1" si="14"/>
        <v>0</v>
      </c>
      <c r="Z70" s="20">
        <f ca="1"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ca="1" si="15"/>
        <v>ok</v>
      </c>
      <c r="AJ70" s="5"/>
      <c r="AK70" t="str">
        <f ca="1">Tabela1[[#This Row],[Coluna1]]&amp;Tabela1[[#This Row],[PEDIDO]]</f>
        <v>P-198</v>
      </c>
      <c r="AL70"/>
      <c r="AM70"/>
      <c r="AN70"/>
      <c r="AO70" t="str">
        <f t="shared" ca="1" si="19"/>
        <v>T-054923-1/05-CV-0001</v>
      </c>
      <c r="AP70" t="str">
        <f ca="1">Tabela1[[#This Row],[TAG]]&amp;Tabela1[[#This Row],[PEDIDO]]&amp;Tabela1[[#This Row],[PRODUTO]]</f>
        <v>05-CV-0001P-198BASES ROLETES</v>
      </c>
      <c r="AQ70" s="22" t="str">
        <f ca="1">Tabela1[[#This Row],[PRODUTO]]&amp;Tabela1[[#This Row],[TAG]]</f>
        <v>BASES ROLETES05-CV-0001</v>
      </c>
      <c r="AR70" s="24" t="str">
        <f ca="1">Tabela1[[#This Row],[PEDIDO]]&amp;Tabela1[[#This Row],[PRODUTO]]</f>
        <v>P-198BASES ROLETES</v>
      </c>
      <c r="AS70" s="37">
        <f ca="1">IF(AF70="",0,IF(ISTEXT(AF70),H70*VALUE(SUBSTITUTE(AF70,"%",""))/100,H70*AF70))-Tabela1[[#This Row],[PRONTO ACABADO2]]</f>
        <v>0</v>
      </c>
      <c r="AT70" s="37">
        <f ca="1">IF(AG70="",0,IF(ISTEXT(AG70),H70*VALUE(SUBSTITUTE(AG70,"%",""))/100,H70*AG70))-Tabela1[[#This Row],[PESO EXPEDIDO2]]</f>
        <v>0</v>
      </c>
      <c r="AU70" s="37">
        <f t="shared" ca="1" si="17"/>
        <v>10.8</v>
      </c>
      <c r="AV70" s="37">
        <f t="shared" ca="1" si="18"/>
        <v>10.8</v>
      </c>
      <c r="AW70" s="37"/>
    </row>
    <row r="71" spans="1:49" ht="15.75" hidden="1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 ca="1"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 ca="1">Tabela1[[#This Row],[QTDE/ Fabricação]]-Tabela1[[#This Row],[QTE]]</f>
        <v>-4</v>
      </c>
      <c r="R71" s="18">
        <f t="shared" ca="1" si="11"/>
        <v>10.8</v>
      </c>
      <c r="S71" s="18">
        <f t="shared" ca="1" si="12"/>
        <v>10.8</v>
      </c>
      <c r="T71" s="19">
        <f t="shared" ca="1" si="13"/>
        <v>0</v>
      </c>
      <c r="U71" s="16">
        <f ca="1">IFERROR(SUMIF('LISTA DE EMBARQUE'!B:B,MICRO!E:E,'LISTA DE EMBARQUE'!G:G),"")</f>
        <v>4</v>
      </c>
      <c r="V71" s="12">
        <f ca="1">IFERROR(VLOOKUP(Tabela1[[#This Row],[COD.MDE]],'LISTA DE EMBARQUE'!B:L,11,0),"")</f>
        <v>1</v>
      </c>
      <c r="W71" s="13" t="str">
        <f ca="1">IFERROR(COUNTIF(#REF!,Tabela1[[#This Row],[Colunas5]]),"")</f>
        <v/>
      </c>
      <c r="X71" s="14">
        <f ca="1">Tabela1[[#This Row],[QIANTIDADE EXPEDIDA]]*Tabela1[[#This Row],[PESO UNI]]</f>
        <v>10.8</v>
      </c>
      <c r="Y71" s="14">
        <f t="shared" ca="1" si="14"/>
        <v>0</v>
      </c>
      <c r="Z71" s="20">
        <f ca="1"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ca="1" si="15"/>
        <v>ok</v>
      </c>
      <c r="AJ71" s="5"/>
      <c r="AK71" t="str">
        <f ca="1">Tabela1[[#This Row],[Coluna1]]&amp;Tabela1[[#This Row],[PEDIDO]]</f>
        <v>P-198</v>
      </c>
      <c r="AL71"/>
      <c r="AM71"/>
      <c r="AN71"/>
      <c r="AO71" t="str">
        <f t="shared" ca="1" si="19"/>
        <v>T-054923-1/14-AC-0001</v>
      </c>
      <c r="AP71" t="str">
        <f ca="1">Tabela1[[#This Row],[TAG]]&amp;Tabela1[[#This Row],[PEDIDO]]&amp;Tabela1[[#This Row],[PRODUTO]]</f>
        <v>14-AC-0001P-198BASES ROLETES</v>
      </c>
      <c r="AQ71" s="22" t="str">
        <f ca="1">Tabela1[[#This Row],[PRODUTO]]&amp;Tabela1[[#This Row],[TAG]]</f>
        <v>BASES ROLETES14-AC-0001</v>
      </c>
      <c r="AR71" s="24" t="str">
        <f ca="1">Tabela1[[#This Row],[PEDIDO]]&amp;Tabela1[[#This Row],[PRODUTO]]</f>
        <v>P-198BASES ROLETES</v>
      </c>
      <c r="AS71" s="37">
        <f ca="1">IF(AF71="",0,IF(ISTEXT(AF71),H71*VALUE(SUBSTITUTE(AF71,"%",""))/100,H71*AF71))-Tabela1[[#This Row],[PRONTO ACABADO2]]</f>
        <v>0</v>
      </c>
      <c r="AT71" s="37">
        <f ca="1">IF(AG71="",0,IF(ISTEXT(AG71),H71*VALUE(SUBSTITUTE(AG71,"%",""))/100,H71*AG71))-Tabela1[[#This Row],[PESO EXPEDIDO2]]</f>
        <v>0</v>
      </c>
      <c r="AU71" s="37">
        <f t="shared" ca="1" si="17"/>
        <v>10.8</v>
      </c>
      <c r="AV71" s="37">
        <f t="shared" ca="1" si="18"/>
        <v>10.8</v>
      </c>
      <c r="AW71" s="37"/>
    </row>
    <row r="72" spans="1:49" ht="15.75" hidden="1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 ca="1"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 ca="1">Tabela1[[#This Row],[QTDE/ Fabricação]]-Tabela1[[#This Row],[QTE]]</f>
        <v>-36</v>
      </c>
      <c r="R72" s="18">
        <f t="shared" ca="1" si="11"/>
        <v>3103.2000000000003</v>
      </c>
      <c r="S72" s="18">
        <f t="shared" ca="1" si="12"/>
        <v>3103.2000000000003</v>
      </c>
      <c r="T72" s="19">
        <f t="shared" ca="1" si="13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 ca="1">IFERROR(COUNTIF(#REF!,Tabela1[[#This Row],[Colunas5]]),"")</f>
        <v/>
      </c>
      <c r="X72" s="14">
        <f ca="1">Tabela1[[#This Row],[QIANTIDADE EXPEDIDA]]*Tabela1[[#This Row],[PESO UNI]]</f>
        <v>3103.2000000000003</v>
      </c>
      <c r="Y72" s="14">
        <f t="shared" ca="1" si="14"/>
        <v>0</v>
      </c>
      <c r="Z72" s="20">
        <f ca="1"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ca="1" si="15"/>
        <v>ok</v>
      </c>
      <c r="AJ72" s="5"/>
      <c r="AK72" t="str">
        <f ca="1">Tabela1[[#This Row],[Coluna1]]&amp;Tabela1[[#This Row],[PEDIDO]]</f>
        <v>P-198</v>
      </c>
      <c r="AL72"/>
      <c r="AM72"/>
      <c r="AN72"/>
      <c r="AO72" t="str">
        <f t="shared" ca="1" si="19"/>
        <v>T-073193-1/14-AC-0001</v>
      </c>
      <c r="AP72" t="str">
        <f ca="1">Tabela1[[#This Row],[TAG]]&amp;Tabela1[[#This Row],[PEDIDO]]&amp;Tabela1[[#This Row],[PRODUTO]]</f>
        <v>14-AC-0001P-198BASES ROLETES</v>
      </c>
      <c r="AQ72" s="22" t="str">
        <f ca="1">Tabela1[[#This Row],[PRODUTO]]&amp;Tabela1[[#This Row],[TAG]]</f>
        <v>BASES ROLETES14-AC-0001</v>
      </c>
      <c r="AR72" s="24" t="str">
        <f ca="1">Tabela1[[#This Row],[PEDIDO]]&amp;Tabela1[[#This Row],[PRODUTO]]</f>
        <v>P-198BASES ROLETES</v>
      </c>
      <c r="AS72" s="37">
        <f ca="1">IF(AF72="",0,IF(ISTEXT(AF72),H72*VALUE(SUBSTITUTE(AF72,"%",""))/100,H72*AF72))-Tabela1[[#This Row],[PRONTO ACABADO2]]</f>
        <v>0</v>
      </c>
      <c r="AT72" s="37">
        <f ca="1">IF(AG72="",0,IF(ISTEXT(AG72),H72*VALUE(SUBSTITUTE(AG72,"%",""))/100,H72*AG72))-Tabela1[[#This Row],[PESO EXPEDIDO2]]</f>
        <v>0</v>
      </c>
      <c r="AU72" s="37">
        <f t="shared" ca="1" si="17"/>
        <v>3103.2000000000003</v>
      </c>
      <c r="AV72" s="37">
        <f t="shared" ca="1" si="18"/>
        <v>3103.2000000000003</v>
      </c>
      <c r="AW72" s="37"/>
    </row>
    <row r="73" spans="1:49" ht="15.75" hidden="1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 ca="1"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 ca="1">Tabela1[[#This Row],[QTDE/ Fabricação]]-Tabela1[[#This Row],[QTE]]</f>
        <v>-4</v>
      </c>
      <c r="R73" s="18">
        <f t="shared" ca="1" si="11"/>
        <v>240</v>
      </c>
      <c r="S73" s="18">
        <f t="shared" ca="1" si="12"/>
        <v>240</v>
      </c>
      <c r="T73" s="19">
        <f t="shared" ca="1" si="13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 ca="1">IFERROR(COUNTIF(#REF!,Tabela1[[#This Row],[Colunas5]]),"")</f>
        <v/>
      </c>
      <c r="X73" s="14">
        <f ca="1">Tabela1[[#This Row],[QIANTIDADE EXPEDIDA]]*Tabela1[[#This Row],[PESO UNI]]</f>
        <v>240</v>
      </c>
      <c r="Y73" s="14">
        <f t="shared" ca="1" si="14"/>
        <v>0</v>
      </c>
      <c r="Z73" s="20">
        <f ca="1"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ca="1" si="15"/>
        <v>ok</v>
      </c>
      <c r="AJ73" s="5"/>
      <c r="AK73" t="str">
        <f ca="1">Tabela1[[#This Row],[Coluna1]]&amp;Tabela1[[#This Row],[PEDIDO]]</f>
        <v>P-198</v>
      </c>
      <c r="AL73"/>
      <c r="AM73"/>
      <c r="AN73"/>
      <c r="AO73" t="str">
        <f t="shared" ca="1" si="19"/>
        <v>T-073194-1/14-AC-0001</v>
      </c>
      <c r="AP73" t="str">
        <f ca="1">Tabela1[[#This Row],[TAG]]&amp;Tabela1[[#This Row],[PEDIDO]]&amp;Tabela1[[#This Row],[PRODUTO]]</f>
        <v>14-AC-0001P-198BASES ROLETES</v>
      </c>
      <c r="AQ73" s="22" t="str">
        <f ca="1">Tabela1[[#This Row],[PRODUTO]]&amp;Tabela1[[#This Row],[TAG]]</f>
        <v>BASES ROLETES14-AC-0001</v>
      </c>
      <c r="AR73" s="24" t="str">
        <f ca="1">Tabela1[[#This Row],[PEDIDO]]&amp;Tabela1[[#This Row],[PRODUTO]]</f>
        <v>P-198BASES ROLETES</v>
      </c>
      <c r="AS73" s="37">
        <f ca="1">IF(AF73="",0,IF(ISTEXT(AF73),H73*VALUE(SUBSTITUTE(AF73,"%",""))/100,H73*AF73))-Tabela1[[#This Row],[PRONTO ACABADO2]]</f>
        <v>0</v>
      </c>
      <c r="AT73" s="37">
        <f ca="1">IF(AG73="",0,IF(ISTEXT(AG73),H73*VALUE(SUBSTITUTE(AG73,"%",""))/100,H73*AG73))-Tabela1[[#This Row],[PESO EXPEDIDO2]]</f>
        <v>0</v>
      </c>
      <c r="AU73" s="37">
        <f t="shared" ca="1" si="17"/>
        <v>240</v>
      </c>
      <c r="AV73" s="37">
        <f t="shared" ca="1" si="18"/>
        <v>240</v>
      </c>
      <c r="AW73" s="37"/>
    </row>
    <row r="74" spans="1:49" ht="15.75" hidden="1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 ca="1"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 ca="1">Tabela1[[#This Row],[QTDE/ Fabricação]]-Tabela1[[#This Row],[QTE]]</f>
        <v>-2</v>
      </c>
      <c r="R74" s="18">
        <f t="shared" ca="1" si="11"/>
        <v>56</v>
      </c>
      <c r="S74" s="18">
        <f t="shared" ca="1" si="12"/>
        <v>56</v>
      </c>
      <c r="T74" s="19">
        <f t="shared" ca="1" si="13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 ca="1">IFERROR(COUNTIF(#REF!,Tabela1[[#This Row],[Colunas5]]),"")</f>
        <v/>
      </c>
      <c r="X74" s="14">
        <f ca="1">Tabela1[[#This Row],[QIANTIDADE EXPEDIDA]]*Tabela1[[#This Row],[PESO UNI]]</f>
        <v>56</v>
      </c>
      <c r="Y74" s="14">
        <f t="shared" ca="1" si="14"/>
        <v>0</v>
      </c>
      <c r="Z74" s="20">
        <f ca="1"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ca="1" si="15"/>
        <v>ok</v>
      </c>
      <c r="AJ74" s="5"/>
      <c r="AK74" t="str">
        <f ca="1">Tabela1[[#This Row],[Coluna1]]&amp;Tabela1[[#This Row],[PEDIDO]]</f>
        <v>P-198</v>
      </c>
      <c r="AL74"/>
      <c r="AM74"/>
      <c r="AN74"/>
      <c r="AO74" t="str">
        <f t="shared" ca="1" si="19"/>
        <v>T-073195-1/14-AC-0001</v>
      </c>
      <c r="AP74" t="str">
        <f ca="1">Tabela1[[#This Row],[TAG]]&amp;Tabela1[[#This Row],[PEDIDO]]&amp;Tabela1[[#This Row],[PRODUTO]]</f>
        <v>14-AC-0001P-198BASES ROLETES</v>
      </c>
      <c r="AQ74" s="22" t="str">
        <f ca="1">Tabela1[[#This Row],[PRODUTO]]&amp;Tabela1[[#This Row],[TAG]]</f>
        <v>BASES ROLETES14-AC-0001</v>
      </c>
      <c r="AR74" s="24" t="str">
        <f ca="1">Tabela1[[#This Row],[PEDIDO]]&amp;Tabela1[[#This Row],[PRODUTO]]</f>
        <v>P-198BASES ROLETES</v>
      </c>
      <c r="AS74" s="37">
        <f ca="1">IF(AF74="",0,IF(ISTEXT(AF74),H74*VALUE(SUBSTITUTE(AF74,"%",""))/100,H74*AF74))-Tabela1[[#This Row],[PRONTO ACABADO2]]</f>
        <v>0</v>
      </c>
      <c r="AT74" s="37">
        <f ca="1">IF(AG74="",0,IF(ISTEXT(AG74),H74*VALUE(SUBSTITUTE(AG74,"%",""))/100,H74*AG74))-Tabela1[[#This Row],[PESO EXPEDIDO2]]</f>
        <v>0</v>
      </c>
      <c r="AU74" s="37">
        <f t="shared" ca="1" si="17"/>
        <v>56</v>
      </c>
      <c r="AV74" s="37">
        <f t="shared" ca="1" si="18"/>
        <v>56</v>
      </c>
      <c r="AW74" s="37"/>
    </row>
    <row r="75" spans="1:49" ht="15.75" hidden="1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 ca="1"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 ca="1">Tabela1[[#This Row],[QTDE/ Fabricação]]-Tabela1[[#This Row],[QTE]]</f>
        <v>-24</v>
      </c>
      <c r="R75" s="18">
        <f t="shared" ca="1" si="11"/>
        <v>1200</v>
      </c>
      <c r="S75" s="18">
        <f t="shared" ca="1" si="12"/>
        <v>1200</v>
      </c>
      <c r="T75" s="19">
        <f t="shared" ca="1" si="13"/>
        <v>0</v>
      </c>
      <c r="U75" s="16">
        <f>IFERROR(SUMIF('LISTA DE EMBARQUE'!B:B,MICRO!E:E,'LISTA DE EMBARQUE'!G:G),"")</f>
        <v>24</v>
      </c>
      <c r="V75" s="12">
        <f ca="1">IFERROR(VLOOKUP(Tabela1[[#This Row],[COD.MDE]],'LISTA DE EMBARQUE'!B:L,11,0),"")</f>
        <v>2</v>
      </c>
      <c r="W75" s="13" t="str">
        <f ca="1">IFERROR(COUNTIF(#REF!,Tabela1[[#This Row],[Colunas5]]),"")</f>
        <v/>
      </c>
      <c r="X75" s="14">
        <f ca="1">Tabela1[[#This Row],[QIANTIDADE EXPEDIDA]]*Tabela1[[#This Row],[PESO UNI]]</f>
        <v>1200</v>
      </c>
      <c r="Y75" s="14">
        <f t="shared" ca="1" si="14"/>
        <v>0</v>
      </c>
      <c r="Z75" s="20">
        <f ca="1"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ca="1" si="15"/>
        <v>ok</v>
      </c>
      <c r="AJ75" s="5"/>
      <c r="AK75" t="str">
        <f ca="1">Tabela1[[#This Row],[Coluna1]]&amp;Tabela1[[#This Row],[PEDIDO]]</f>
        <v>P-198</v>
      </c>
      <c r="AL75"/>
      <c r="AM75"/>
      <c r="AN75"/>
      <c r="AO75" t="str">
        <f t="shared" ca="1" si="19"/>
        <v>R-1-4-11013/14-AC-0001</v>
      </c>
      <c r="AP75" t="str">
        <f ca="1">Tabela1[[#This Row],[TAG]]&amp;Tabela1[[#This Row],[PEDIDO]]&amp;Tabela1[[#This Row],[PRODUTO]]</f>
        <v>14-AC-0001P-198ROLOS</v>
      </c>
      <c r="AQ75" s="22" t="str">
        <f ca="1">Tabela1[[#This Row],[PRODUTO]]&amp;Tabela1[[#This Row],[TAG]]</f>
        <v>ROLOS14-AC-0001</v>
      </c>
      <c r="AR75" s="24" t="str">
        <f ca="1">Tabela1[[#This Row],[PEDIDO]]&amp;Tabela1[[#This Row],[PRODUTO]]</f>
        <v>P-198ROLOS</v>
      </c>
      <c r="AS75" s="37">
        <f ca="1">IF(AF75="",0,IF(ISTEXT(AF75),H75*VALUE(SUBSTITUTE(AF75,"%",""))/100,H75*AF75))-Tabela1[[#This Row],[PRONTO ACABADO2]]</f>
        <v>0</v>
      </c>
      <c r="AT75" s="37">
        <f ca="1">IF(AG75="",0,IF(ISTEXT(AG75),H75*VALUE(SUBSTITUTE(AG75,"%",""))/100,H75*AG75))-Tabela1[[#This Row],[PESO EXPEDIDO2]]</f>
        <v>0</v>
      </c>
      <c r="AU75" s="37">
        <f t="shared" ca="1" si="17"/>
        <v>1200</v>
      </c>
      <c r="AV75" s="37">
        <f t="shared" ca="1" si="18"/>
        <v>1200</v>
      </c>
      <c r="AW75" s="37"/>
    </row>
    <row r="76" spans="1:49" ht="15.75" hidden="1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 ca="1"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 ca="1">Tabela1[[#This Row],[QTDE/ Fabricação]]-Tabela1[[#This Row],[QTE]]</f>
        <v>-72</v>
      </c>
      <c r="R76" s="18">
        <f t="shared" ca="1" si="11"/>
        <v>864</v>
      </c>
      <c r="S76" s="18">
        <f t="shared" ca="1" si="12"/>
        <v>864</v>
      </c>
      <c r="T76" s="19">
        <f t="shared" ca="1" si="13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 ca="1">IFERROR(COUNTIF(#REF!,Tabela1[[#This Row],[Colunas5]]),"")</f>
        <v/>
      </c>
      <c r="X76" s="14">
        <f ca="1">Tabela1[[#This Row],[QIANTIDADE EXPEDIDA]]*Tabela1[[#This Row],[PESO UNI]]</f>
        <v>864</v>
      </c>
      <c r="Y76" s="14">
        <f t="shared" ca="1" si="14"/>
        <v>0</v>
      </c>
      <c r="Z76" s="20">
        <f ca="1"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ca="1" si="15"/>
        <v>ok</v>
      </c>
      <c r="AJ76" s="5"/>
      <c r="AK76" t="str">
        <f ca="1">Tabela1[[#This Row],[Coluna1]]&amp;Tabela1[[#This Row],[PEDIDO]]</f>
        <v>P-198</v>
      </c>
      <c r="AL76"/>
      <c r="AM76"/>
      <c r="AN76"/>
      <c r="AO76" t="str">
        <f t="shared" ca="1" si="19"/>
        <v>R-1-4-11014/14-AC-0001</v>
      </c>
      <c r="AP76" t="str">
        <f ca="1">Tabela1[[#This Row],[TAG]]&amp;Tabela1[[#This Row],[PEDIDO]]&amp;Tabela1[[#This Row],[PRODUTO]]</f>
        <v>14-AC-0001P-198ROLOS</v>
      </c>
      <c r="AQ76" s="22" t="str">
        <f ca="1">Tabela1[[#This Row],[PRODUTO]]&amp;Tabela1[[#This Row],[TAG]]</f>
        <v>ROLOS14-AC-0001</v>
      </c>
      <c r="AR76" s="24" t="str">
        <f ca="1">Tabela1[[#This Row],[PEDIDO]]&amp;Tabela1[[#This Row],[PRODUTO]]</f>
        <v>P-198ROLOS</v>
      </c>
      <c r="AS76" s="37">
        <f ca="1">IF(AF76="",0,IF(ISTEXT(AF76),H76*VALUE(SUBSTITUTE(AF76,"%",""))/100,H76*AF76))-Tabela1[[#This Row],[PRONTO ACABADO2]]</f>
        <v>0</v>
      </c>
      <c r="AT76" s="37">
        <f ca="1">IF(AG76="",0,IF(ISTEXT(AG76),H76*VALUE(SUBSTITUTE(AG76,"%",""))/100,H76*AG76))-Tabela1[[#This Row],[PESO EXPEDIDO2]]</f>
        <v>0</v>
      </c>
      <c r="AU76" s="37">
        <f t="shared" ca="1" si="17"/>
        <v>864</v>
      </c>
      <c r="AV76" s="37">
        <f t="shared" ca="1" si="18"/>
        <v>864</v>
      </c>
      <c r="AW76" s="37"/>
    </row>
    <row r="77" spans="1:49" ht="15.75" hidden="1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 ca="1"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 ca="1">Tabela1[[#This Row],[QTDE/ Fabricação]]-Tabela1[[#This Row],[QTE]]</f>
        <v>-12</v>
      </c>
      <c r="R77" s="18">
        <f t="shared" ca="1" si="11"/>
        <v>804</v>
      </c>
      <c r="S77" s="18">
        <f t="shared" ca="1" si="12"/>
        <v>804</v>
      </c>
      <c r="T77" s="19">
        <f t="shared" ca="1" si="13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 ca="1">IFERROR(COUNTIF(#REF!,Tabela1[[#This Row],[Colunas5]]),"")</f>
        <v/>
      </c>
      <c r="X77" s="14">
        <f ca="1">Tabela1[[#This Row],[QIANTIDADE EXPEDIDA]]*Tabela1[[#This Row],[PESO UNI]]</f>
        <v>804</v>
      </c>
      <c r="Y77" s="14">
        <f t="shared" ca="1" si="14"/>
        <v>0</v>
      </c>
      <c r="Z77" s="20">
        <f ca="1"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ca="1" si="15"/>
        <v>ok</v>
      </c>
      <c r="AJ77" s="5"/>
      <c r="AK77" t="str">
        <f ca="1">Tabela1[[#This Row],[Coluna1]]&amp;Tabela1[[#This Row],[PEDIDO]]</f>
        <v>P-198</v>
      </c>
      <c r="AL77"/>
      <c r="AM77"/>
      <c r="AN77"/>
      <c r="AO77" t="str">
        <f t="shared" ca="1" si="19"/>
        <v>R-1-4-11015/14-AC-0001</v>
      </c>
      <c r="AP77" t="str">
        <f ca="1">Tabela1[[#This Row],[TAG]]&amp;Tabela1[[#This Row],[PEDIDO]]&amp;Tabela1[[#This Row],[PRODUTO]]</f>
        <v>14-AC-0001P-198ROLOS</v>
      </c>
      <c r="AQ77" s="22" t="str">
        <f ca="1">Tabela1[[#This Row],[PRODUTO]]&amp;Tabela1[[#This Row],[TAG]]</f>
        <v>ROLOS14-AC-0001</v>
      </c>
      <c r="AR77" s="24" t="str">
        <f ca="1">Tabela1[[#This Row],[PEDIDO]]&amp;Tabela1[[#This Row],[PRODUTO]]</f>
        <v>P-198ROLOS</v>
      </c>
      <c r="AS77" s="37">
        <f ca="1">IF(AF77="",0,IF(ISTEXT(AF77),H77*VALUE(SUBSTITUTE(AF77,"%",""))/100,H77*AF77))-Tabela1[[#This Row],[PRONTO ACABADO2]]</f>
        <v>0</v>
      </c>
      <c r="AT77" s="37">
        <f ca="1">IF(AG77="",0,IF(ISTEXT(AG77),H77*VALUE(SUBSTITUTE(AG77,"%",""))/100,H77*AG77))-Tabela1[[#This Row],[PESO EXPEDIDO2]]</f>
        <v>0</v>
      </c>
      <c r="AU77" s="37">
        <f t="shared" ca="1" si="17"/>
        <v>804</v>
      </c>
      <c r="AV77" s="37">
        <f t="shared" ca="1" si="18"/>
        <v>804</v>
      </c>
      <c r="AW77" s="37"/>
    </row>
    <row r="78" spans="1:49" ht="15.75" hidden="1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 ca="1"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 ca="1">Tabela1[[#This Row],[QTDE/ Fabricação]]-Tabela1[[#This Row],[QTE]]</f>
        <v>-10</v>
      </c>
      <c r="R78" s="18">
        <f t="shared" ca="1" si="11"/>
        <v>469</v>
      </c>
      <c r="S78" s="18">
        <f t="shared" ca="1" si="12"/>
        <v>469</v>
      </c>
      <c r="T78" s="19">
        <f t="shared" ca="1" si="13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 ca="1">IFERROR(COUNTIF(#REF!,Tabela1[[#This Row],[Colunas5]]),"")</f>
        <v/>
      </c>
      <c r="X78" s="14">
        <f ca="1">Tabela1[[#This Row],[QIANTIDADE EXPEDIDA]]*Tabela1[[#This Row],[PESO UNI]]</f>
        <v>469</v>
      </c>
      <c r="Y78" s="14">
        <f t="shared" ca="1" si="14"/>
        <v>0</v>
      </c>
      <c r="Z78" s="20">
        <f ca="1"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ca="1" si="15"/>
        <v>ok</v>
      </c>
      <c r="AJ78" s="5"/>
      <c r="AK78" t="str">
        <f ca="1">Tabela1[[#This Row],[Coluna1]]&amp;Tabela1[[#This Row],[PEDIDO]]</f>
        <v>P-198</v>
      </c>
      <c r="AL78"/>
      <c r="AM78"/>
      <c r="AN78"/>
      <c r="AO78" t="str">
        <f t="shared" ca="1" si="19"/>
        <v>R-3-4-11017/14-AC-0001</v>
      </c>
      <c r="AP78" t="str">
        <f ca="1">Tabela1[[#This Row],[TAG]]&amp;Tabela1[[#This Row],[PEDIDO]]&amp;Tabela1[[#This Row],[PRODUTO]]</f>
        <v>14-AC-0001P-198ROLOS</v>
      </c>
      <c r="AQ78" s="22" t="str">
        <f ca="1">Tabela1[[#This Row],[PRODUTO]]&amp;Tabela1[[#This Row],[TAG]]</f>
        <v>ROLOS14-AC-0001</v>
      </c>
      <c r="AR78" s="24" t="str">
        <f ca="1">Tabela1[[#This Row],[PEDIDO]]&amp;Tabela1[[#This Row],[PRODUTO]]</f>
        <v>P-198ROLOS</v>
      </c>
      <c r="AS78" s="37">
        <f ca="1">IF(AF78="",0,IF(ISTEXT(AF78),H78*VALUE(SUBSTITUTE(AF78,"%",""))/100,H78*AF78))-Tabela1[[#This Row],[PRONTO ACABADO2]]</f>
        <v>0</v>
      </c>
      <c r="AT78" s="37">
        <f ca="1">IF(AG78="",0,IF(ISTEXT(AG78),H78*VALUE(SUBSTITUTE(AG78,"%",""))/100,H78*AG78))-Tabela1[[#This Row],[PESO EXPEDIDO2]]</f>
        <v>0</v>
      </c>
      <c r="AU78" s="37">
        <f t="shared" ca="1" si="17"/>
        <v>469</v>
      </c>
      <c r="AV78" s="37">
        <f t="shared" ca="1" si="18"/>
        <v>469</v>
      </c>
      <c r="AW78" s="37"/>
    </row>
    <row r="79" spans="1:49" ht="15.75" hidden="1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 ca="1"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 ca="1">Tabela1[[#This Row],[QTDE/ Fabricação]]-Tabela1[[#This Row],[QTE]]</f>
        <v>-4</v>
      </c>
      <c r="R79" s="18">
        <f t="shared" ca="1" si="11"/>
        <v>10.8</v>
      </c>
      <c r="S79" s="18">
        <f t="shared" ca="1" si="12"/>
        <v>10.8</v>
      </c>
      <c r="T79" s="19">
        <f t="shared" ca="1" si="13"/>
        <v>0</v>
      </c>
      <c r="U79" s="16">
        <f>IFERROR(SUMIF('LISTA DE EMBARQUE'!B:B,MICRO!E:E,'LISTA DE EMBARQUE'!G:G),"")</f>
        <v>4</v>
      </c>
      <c r="V79" s="12">
        <f ca="1">IFERROR(VLOOKUP(Tabela1[[#This Row],[COD.MDE]],'LISTA DE EMBARQUE'!B:L,11,0),"")</f>
        <v>2</v>
      </c>
      <c r="W79" s="13" t="str">
        <f ca="1">IFERROR(COUNTIF(#REF!,Tabela1[[#This Row],[Colunas5]]),"")</f>
        <v/>
      </c>
      <c r="X79" s="14">
        <f ca="1">Tabela1[[#This Row],[QIANTIDADE EXPEDIDA]]*Tabela1[[#This Row],[PESO UNI]]</f>
        <v>10.8</v>
      </c>
      <c r="Y79" s="14">
        <f t="shared" ca="1" si="14"/>
        <v>0</v>
      </c>
      <c r="Z79" s="20">
        <f ca="1"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ca="1" si="15"/>
        <v>ok</v>
      </c>
      <c r="AJ79" s="5"/>
      <c r="AK79" t="str">
        <f ca="1">Tabela1[[#This Row],[Coluna1]]&amp;Tabela1[[#This Row],[PEDIDO]]</f>
        <v>P-198</v>
      </c>
      <c r="AL79"/>
      <c r="AM79"/>
      <c r="AN79"/>
      <c r="AO79" t="str">
        <f t="shared" ca="1" si="19"/>
        <v>T-054922-4/14-AC-0001</v>
      </c>
      <c r="AP79" t="str">
        <f ca="1">Tabela1[[#This Row],[TAG]]&amp;Tabela1[[#This Row],[PEDIDO]]&amp;Tabela1[[#This Row],[PRODUTO]]</f>
        <v>14-AC-0001P-198ROLOS</v>
      </c>
      <c r="AQ79" s="22" t="str">
        <f ca="1">Tabela1[[#This Row],[PRODUTO]]&amp;Tabela1[[#This Row],[TAG]]</f>
        <v>ROLOS14-AC-0001</v>
      </c>
      <c r="AR79" s="24" t="str">
        <f ca="1">Tabela1[[#This Row],[PEDIDO]]&amp;Tabela1[[#This Row],[PRODUTO]]</f>
        <v>P-198ROLOS</v>
      </c>
      <c r="AS79" s="37">
        <f ca="1">IF(AF79="",0,IF(ISTEXT(AF79),H79*VALUE(SUBSTITUTE(AF79,"%",""))/100,H79*AF79))-Tabela1[[#This Row],[PRONTO ACABADO2]]</f>
        <v>0</v>
      </c>
      <c r="AT79" s="37">
        <f ca="1">IF(AG79="",0,IF(ISTEXT(AG79),H79*VALUE(SUBSTITUTE(AG79,"%",""))/100,H79*AG79))-Tabela1[[#This Row],[PESO EXPEDIDO2]]</f>
        <v>0</v>
      </c>
      <c r="AU79" s="37">
        <f t="shared" ca="1" si="17"/>
        <v>10.8</v>
      </c>
      <c r="AV79" s="37">
        <f t="shared" ca="1" si="18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 ca="1"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 ca="1">Tabela1[[#This Row],[QTDE/ Fabricação]]-Tabela1[[#This Row],[QTE]]</f>
        <v>-30</v>
      </c>
      <c r="R80" s="18">
        <f t="shared" ref="R80" ca="1" si="20">IFERROR(H80*((AA80*0.25)+(AC80*0.25)+(AD80*0.225)+(AE80*0.225)+(AF80*0.05)),"")</f>
        <v>122.99999999999999</v>
      </c>
      <c r="S80" s="18">
        <f t="shared" ref="S80:S115" ca="1" si="21">IFERROR(H80*AG80,"")</f>
        <v>122.99999999999999</v>
      </c>
      <c r="T80" s="19">
        <f t="shared" ref="T80" ca="1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 ca="1">IFERROR(COUNTIF(#REF!,Tabela1[[#This Row],[Colunas5]]),"")</f>
        <v/>
      </c>
      <c r="X80" s="14">
        <f ca="1">Tabela1[[#This Row],[QIANTIDADE EXPEDIDA]]*Tabela1[[#This Row],[PESO UNI]]</f>
        <v>122.99999999999999</v>
      </c>
      <c r="Y80" s="14">
        <f t="shared" ref="Y80:Y115" ca="1" si="23">U80-C80</f>
        <v>0</v>
      </c>
      <c r="Z80" s="20">
        <f ca="1"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ca="1" si="10"/>
        <v>ok</v>
      </c>
      <c r="AJ80" s="5"/>
      <c r="AK80" t="str">
        <f ca="1">Tabela1[[#This Row],[Coluna1]]&amp;Tabela1[[#This Row],[PEDIDO]]</f>
        <v>P-204</v>
      </c>
      <c r="AL80"/>
      <c r="AM80"/>
      <c r="AN80"/>
      <c r="AO80" t="str">
        <f t="shared" ca="1" si="19"/>
        <v>R-1-4-9509A/P204</v>
      </c>
      <c r="AP80" t="str">
        <f ca="1">Tabela1[[#This Row],[TAG]]&amp;Tabela1[[#This Row],[PEDIDO]]&amp;Tabela1[[#This Row],[PRODUTO]]</f>
        <v>P204P-204ROLOS</v>
      </c>
      <c r="AQ80" s="22" t="str">
        <f ca="1">Tabela1[[#This Row],[PRODUTO]]&amp;Tabela1[[#This Row],[TAG]]</f>
        <v>ROLOSP204</v>
      </c>
      <c r="AR80" s="24" t="str">
        <f ca="1">Tabela1[[#This Row],[PEDIDO]]&amp;Tabela1[[#This Row],[PRODUTO]]</f>
        <v>P-204ROLOS</v>
      </c>
      <c r="AS80" s="37">
        <f ca="1">IF(AF80="",0,IF(ISTEXT(AF80),H80*VALUE(SUBSTITUTE(AF80,"%",""))/100,H80*AF80))-Tabela1[[#This Row],[PRONTO ACABADO2]]</f>
        <v>0</v>
      </c>
      <c r="AT80" s="37">
        <f ca="1">IF(AG80="",0,IF(ISTEXT(AG80),H80*VALUE(SUBSTITUTE(AG80,"%",""))/100,H80*AG80))-Tabela1[[#This Row],[PESO EXPEDIDO2]]</f>
        <v>0</v>
      </c>
      <c r="AU80" s="37">
        <f t="shared" ca="1" si="17"/>
        <v>122.99999999999999</v>
      </c>
      <c r="AV80" s="37">
        <f t="shared" ca="1" si="18"/>
        <v>122.99999999999999</v>
      </c>
      <c r="AW80" s="37"/>
    </row>
    <row r="81" spans="1:49" ht="15.75" hidden="1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 ca="1"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 ca="1">Tabela1[[#This Row],[QTDE/ Fabricação]]-Tabela1[[#This Row],[QTE]]</f>
        <v>-18</v>
      </c>
      <c r="R81" s="18">
        <f t="shared" ref="R81:R114" ca="1" si="24">IFERROR(H81*((AA81*0.25)+(AC81*0.25)+(AD81*0.225)+(AE81*0.225)+(AF81*0.05)),"")</f>
        <v>45</v>
      </c>
      <c r="S81" s="18">
        <f t="shared" ref="S81:S114" ca="1" si="25">IFERROR(H81*AG81,"")</f>
        <v>45</v>
      </c>
      <c r="T81" s="19">
        <f t="shared" ref="T81:T114" ca="1" si="26">IFERROR(S81-H81,"")</f>
        <v>0</v>
      </c>
      <c r="U81" s="16">
        <f>IFERROR(SUMIF('LISTA DE EMBARQUE'!B:B,MICRO!E:E,'LISTA DE EMBARQUE'!G:G),"")</f>
        <v>18</v>
      </c>
      <c r="V81" s="12">
        <f>IFERROR(VLOOKUP(Tabela1[[#This Row],[COD.MDE]],'LISTA DE EMBARQUE'!B:L,11,0),"")</f>
        <v>5</v>
      </c>
      <c r="W81" s="13" t="str">
        <f ca="1">IFERROR(COUNTIF(#REF!,Tabela1[[#This Row],[Colunas5]]),"")</f>
        <v/>
      </c>
      <c r="X81" s="14">
        <f ca="1">Tabela1[[#This Row],[QIANTIDADE EXPEDIDA]]*Tabela1[[#This Row],[PESO UNI]]</f>
        <v>45</v>
      </c>
      <c r="Y81" s="14">
        <f t="shared" ref="Y81:Y114" ca="1" si="27">U81-C81</f>
        <v>0</v>
      </c>
      <c r="Z81" s="20">
        <f ca="1">Tabela1[[#This Row],[PESO TOTAL]]-Tabela1[[#This Row],[Peso Expedido]]</f>
        <v>0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>
        <v>1</v>
      </c>
      <c r="AI81" s="33" t="str">
        <f t="shared" ref="AI81:AI114" ca="1" si="28">IF(Z81&lt;=0,"ok","")</f>
        <v>ok</v>
      </c>
      <c r="AJ81" s="5"/>
      <c r="AK81" t="str">
        <f ca="1">Tabela1[[#This Row],[Coluna1]]&amp;Tabela1[[#This Row],[PEDIDO]]</f>
        <v>P-198</v>
      </c>
      <c r="AL81"/>
      <c r="AM81"/>
      <c r="AN81"/>
      <c r="AO81" t="str">
        <f t="shared" ca="1" si="19"/>
        <v>T-073198-1/05-CV-0001</v>
      </c>
      <c r="AP81" t="str">
        <f ca="1">Tabela1[[#This Row],[TAG]]&amp;Tabela1[[#This Row],[PEDIDO]]&amp;Tabela1[[#This Row],[PRODUTO]]</f>
        <v>05-CV-0001P-198ESTRUTURA</v>
      </c>
      <c r="AQ81" s="22" t="str">
        <f ca="1">Tabela1[[#This Row],[PRODUTO]]&amp;Tabela1[[#This Row],[TAG]]</f>
        <v>ESTRUTURA05-CV-0001</v>
      </c>
      <c r="AR81" s="24" t="str">
        <f ca="1">Tabela1[[#This Row],[PEDIDO]]&amp;Tabela1[[#This Row],[PRODUTO]]</f>
        <v>P-198ESTRUTURA</v>
      </c>
      <c r="AS81" s="37">
        <f ca="1">IF(AF81="",0,IF(ISTEXT(AF81),H81*VALUE(SUBSTITUTE(AF81,"%",""))/100,H81*AF81))-Tabela1[[#This Row],[PRONTO ACABADO2]]</f>
        <v>0</v>
      </c>
      <c r="AT81" s="37">
        <f ca="1">IF(AG81="",0,IF(ISTEXT(AG81),H81*VALUE(SUBSTITUTE(AG81,"%",""))/100,H81*AG81))-Tabela1[[#This Row],[PESO EXPEDIDO2]]</f>
        <v>0</v>
      </c>
      <c r="AU81" s="37">
        <f t="shared" ca="1" si="17"/>
        <v>45</v>
      </c>
      <c r="AV81" s="37">
        <f t="shared" ca="1" si="18"/>
        <v>45</v>
      </c>
      <c r="AW81" s="37"/>
    </row>
    <row r="82" spans="1:49" ht="15.75" hidden="1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 ca="1"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 ca="1">Tabela1[[#This Row],[QTDE/ Fabricação]]-Tabela1[[#This Row],[QTE]]</f>
        <v>-1</v>
      </c>
      <c r="R82" s="18">
        <f t="shared" ca="1" si="24"/>
        <v>396.3</v>
      </c>
      <c r="S82" s="18">
        <f t="shared" ca="1" si="25"/>
        <v>396.3</v>
      </c>
      <c r="T82" s="19">
        <f t="shared" ca="1" si="26"/>
        <v>0</v>
      </c>
      <c r="U82" s="16">
        <f>IFERROR(SUMIF('LISTA DE EMBARQUE'!B:B,MICRO!E:E,'LISTA DE EMBARQUE'!G:G),"")</f>
        <v>1</v>
      </c>
      <c r="V82" s="12">
        <f>IFERROR(VLOOKUP(Tabela1[[#This Row],[COD.MDE]],'LISTA DE EMBARQUE'!B:L,11,0),"")</f>
        <v>3</v>
      </c>
      <c r="W82" s="13" t="str">
        <f ca="1">IFERROR(COUNTIF(#REF!,Tabela1[[#This Row],[Colunas5]]),"")</f>
        <v/>
      </c>
      <c r="X82" s="14">
        <f ca="1">Tabela1[[#This Row],[QIANTIDADE EXPEDIDA]]*Tabela1[[#This Row],[PESO UNI]]</f>
        <v>396.3</v>
      </c>
      <c r="Y82" s="14">
        <f t="shared" ca="1" si="27"/>
        <v>0</v>
      </c>
      <c r="Z82" s="20">
        <f ca="1">Tabela1[[#This Row],[PESO TOTAL]]-Tabela1[[#This Row],[Peso Expedido]]</f>
        <v>0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>
        <v>1</v>
      </c>
      <c r="AI82" s="33" t="str">
        <f t="shared" ca="1" si="28"/>
        <v>ok</v>
      </c>
      <c r="AJ82" s="5"/>
      <c r="AK82" t="str">
        <f ca="1">Tabela1[[#This Row],[Coluna1]]&amp;Tabela1[[#This Row],[PEDIDO]]</f>
        <v>P-198</v>
      </c>
      <c r="AL82"/>
      <c r="AM82"/>
      <c r="AN82"/>
      <c r="AO82" t="str">
        <f t="shared" ca="1" si="19"/>
        <v>T-073198-1/05-CV-0001</v>
      </c>
      <c r="AP82" t="str">
        <f ca="1">Tabela1[[#This Row],[TAG]]&amp;Tabela1[[#This Row],[PEDIDO]]&amp;Tabela1[[#This Row],[PRODUTO]]</f>
        <v>05-CV-0001P-198ESTRUTURA</v>
      </c>
      <c r="AQ82" s="22" t="str">
        <f ca="1">Tabela1[[#This Row],[PRODUTO]]&amp;Tabela1[[#This Row],[TAG]]</f>
        <v>ESTRUTURA05-CV-0001</v>
      </c>
      <c r="AR82" s="24" t="str">
        <f ca="1">Tabela1[[#This Row],[PEDIDO]]&amp;Tabela1[[#This Row],[PRODUTO]]</f>
        <v>P-198ESTRUTURA</v>
      </c>
      <c r="AS82" s="37">
        <f ca="1">IF(AF82="",0,IF(ISTEXT(AF82),H82*VALUE(SUBSTITUTE(AF82,"%",""))/100,H82*AF82))-Tabela1[[#This Row],[PRONTO ACABADO2]]</f>
        <v>0</v>
      </c>
      <c r="AT82" s="37">
        <f ca="1">IF(AG82="",0,IF(ISTEXT(AG82),H82*VALUE(SUBSTITUTE(AG82,"%",""))/100,H82*AG82))-Tabela1[[#This Row],[PESO EXPEDIDO2]]</f>
        <v>0</v>
      </c>
      <c r="AU82" s="37">
        <f t="shared" ca="1" si="17"/>
        <v>396.3</v>
      </c>
      <c r="AV82" s="37">
        <f t="shared" ca="1" si="18"/>
        <v>396.3</v>
      </c>
      <c r="AW82" s="37"/>
    </row>
    <row r="83" spans="1:49" ht="15.75" hidden="1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 ca="1"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 ca="1">Tabela1[[#This Row],[QTDE/ Fabricação]]-Tabela1[[#This Row],[QTE]]</f>
        <v>-1</v>
      </c>
      <c r="R83" s="18">
        <f t="shared" ca="1" si="24"/>
        <v>290.60000000000002</v>
      </c>
      <c r="S83" s="18">
        <f t="shared" ca="1" si="25"/>
        <v>290.60000000000002</v>
      </c>
      <c r="T83" s="19">
        <f t="shared" ca="1" si="26"/>
        <v>0</v>
      </c>
      <c r="U83" s="16">
        <f>IFERROR(SUMIF('LISTA DE EMBARQUE'!B:B,MICRO!E:E,'LISTA DE EMBARQUE'!G:G),"")</f>
        <v>1</v>
      </c>
      <c r="V83" s="12">
        <f ca="1">IFERROR(VLOOKUP(Tabela1[[#This Row],[COD.MDE]],'LISTA DE EMBARQUE'!B:L,11,0),"")</f>
        <v>3</v>
      </c>
      <c r="W83" s="13" t="str">
        <f ca="1">IFERROR(COUNTIF(#REF!,Tabela1[[#This Row],[Colunas5]]),"")</f>
        <v/>
      </c>
      <c r="X83" s="14">
        <f ca="1">Tabela1[[#This Row],[QIANTIDADE EXPEDIDA]]*Tabela1[[#This Row],[PESO UNI]]</f>
        <v>290.60000000000002</v>
      </c>
      <c r="Y83" s="14">
        <f t="shared" ca="1" si="27"/>
        <v>0</v>
      </c>
      <c r="Z83" s="20">
        <f ca="1">Tabela1[[#This Row],[PESO TOTAL]]-Tabela1[[#This Row],[Peso Expedido]]</f>
        <v>0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>
        <v>1</v>
      </c>
      <c r="AI83" s="33" t="str">
        <f t="shared" ca="1" si="28"/>
        <v>ok</v>
      </c>
      <c r="AJ83" s="5"/>
      <c r="AK83" t="str">
        <f ca="1">Tabela1[[#This Row],[Coluna1]]&amp;Tabela1[[#This Row],[PEDIDO]]</f>
        <v>P-198</v>
      </c>
      <c r="AL83"/>
      <c r="AM83"/>
      <c r="AN83"/>
      <c r="AO83" t="str">
        <f t="shared" ca="1" si="19"/>
        <v>T-073198-1/05-CV-0001</v>
      </c>
      <c r="AP83" t="str">
        <f ca="1">Tabela1[[#This Row],[TAG]]&amp;Tabela1[[#This Row],[PEDIDO]]&amp;Tabela1[[#This Row],[PRODUTO]]</f>
        <v>05-CV-0001P-198ESTRUTURA</v>
      </c>
      <c r="AQ83" s="22" t="str">
        <f ca="1">Tabela1[[#This Row],[PRODUTO]]&amp;Tabela1[[#This Row],[TAG]]</f>
        <v>ESTRUTURA05-CV-0001</v>
      </c>
      <c r="AR83" s="24" t="str">
        <f ca="1">Tabela1[[#This Row],[PEDIDO]]&amp;Tabela1[[#This Row],[PRODUTO]]</f>
        <v>P-198ESTRUTURA</v>
      </c>
      <c r="AS83" s="37">
        <f ca="1">IF(AF83="",0,IF(ISTEXT(AF83),H83*VALUE(SUBSTITUTE(AF83,"%",""))/100,H83*AF83))-Tabela1[[#This Row],[PRONTO ACABADO2]]</f>
        <v>0</v>
      </c>
      <c r="AT83" s="37">
        <f ca="1">IF(AG83="",0,IF(ISTEXT(AG83),H83*VALUE(SUBSTITUTE(AG83,"%",""))/100,H83*AG83))-Tabela1[[#This Row],[PESO EXPEDIDO2]]</f>
        <v>0</v>
      </c>
      <c r="AU83" s="37">
        <f t="shared" ca="1" si="17"/>
        <v>290.60000000000002</v>
      </c>
      <c r="AV83" s="37">
        <f t="shared" ca="1" si="18"/>
        <v>290.60000000000002</v>
      </c>
      <c r="AW83" s="37"/>
    </row>
    <row r="84" spans="1:49" ht="15.75" hidden="1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 ca="1"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 ca="1">Tabela1[[#This Row],[QTDE/ Fabricação]]-Tabela1[[#This Row],[QTE]]</f>
        <v>-1</v>
      </c>
      <c r="R84" s="18">
        <f t="shared" ca="1" si="24"/>
        <v>290.60000000000002</v>
      </c>
      <c r="S84" s="18">
        <f t="shared" ca="1" si="25"/>
        <v>290.60000000000002</v>
      </c>
      <c r="T84" s="19">
        <f t="shared" ca="1" si="26"/>
        <v>0</v>
      </c>
      <c r="U84" s="16">
        <f>IFERROR(SUMIF('LISTA DE EMBARQUE'!B:B,MICRO!E:E,'LISTA DE EMBARQUE'!G:G),"")</f>
        <v>1</v>
      </c>
      <c r="V84" s="12">
        <f>IFERROR(VLOOKUP(Tabela1[[#This Row],[COD.MDE]],'LISTA DE EMBARQUE'!B:L,11,0),"")</f>
        <v>3</v>
      </c>
      <c r="W84" s="13" t="str">
        <f ca="1">IFERROR(COUNTIF(#REF!,Tabela1[[#This Row],[Colunas5]]),"")</f>
        <v/>
      </c>
      <c r="X84" s="14">
        <f ca="1">Tabela1[[#This Row],[QIANTIDADE EXPEDIDA]]*Tabela1[[#This Row],[PESO UNI]]</f>
        <v>290.60000000000002</v>
      </c>
      <c r="Y84" s="14">
        <f t="shared" ca="1" si="27"/>
        <v>0</v>
      </c>
      <c r="Z84" s="20">
        <f ca="1">Tabela1[[#This Row],[PESO TOTAL]]-Tabela1[[#This Row],[Peso Expedido]]</f>
        <v>0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>
        <v>1</v>
      </c>
      <c r="AI84" s="33" t="str">
        <f t="shared" ca="1" si="28"/>
        <v>ok</v>
      </c>
      <c r="AJ84" s="5"/>
      <c r="AK84" t="str">
        <f ca="1">Tabela1[[#This Row],[Coluna1]]&amp;Tabela1[[#This Row],[PEDIDO]]</f>
        <v>P-198</v>
      </c>
      <c r="AL84"/>
      <c r="AM84"/>
      <c r="AN84"/>
      <c r="AO84" t="str">
        <f t="shared" ca="1" si="19"/>
        <v>T-073198-1/05-CV-0001</v>
      </c>
      <c r="AP84" t="str">
        <f ca="1">Tabela1[[#This Row],[TAG]]&amp;Tabela1[[#This Row],[PEDIDO]]&amp;Tabela1[[#This Row],[PRODUTO]]</f>
        <v>05-CV-0001P-198ESTRUTURA</v>
      </c>
      <c r="AQ84" s="22" t="str">
        <f ca="1">Tabela1[[#This Row],[PRODUTO]]&amp;Tabela1[[#This Row],[TAG]]</f>
        <v>ESTRUTURA05-CV-0001</v>
      </c>
      <c r="AR84" s="24" t="str">
        <f ca="1">Tabela1[[#This Row],[PEDIDO]]&amp;Tabela1[[#This Row],[PRODUTO]]</f>
        <v>P-198ESTRUTURA</v>
      </c>
      <c r="AS84" s="37">
        <f ca="1">IF(AF84="",0,IF(ISTEXT(AF84),H84*VALUE(SUBSTITUTE(AF84,"%",""))/100,H84*AF84))-Tabela1[[#This Row],[PRONTO ACABADO2]]</f>
        <v>0</v>
      </c>
      <c r="AT84" s="37">
        <f ca="1">IF(AG84="",0,IF(ISTEXT(AG84),H84*VALUE(SUBSTITUTE(AG84,"%",""))/100,H84*AG84))-Tabela1[[#This Row],[PESO EXPEDIDO2]]</f>
        <v>0</v>
      </c>
      <c r="AU84" s="37">
        <f t="shared" ca="1" si="17"/>
        <v>290.60000000000002</v>
      </c>
      <c r="AV84" s="37">
        <f t="shared" ca="1" si="18"/>
        <v>290.60000000000002</v>
      </c>
      <c r="AW84" s="37"/>
    </row>
    <row r="85" spans="1:49" ht="15.75" hidden="1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 ca="1"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 ca="1">Tabela1[[#This Row],[QTDE/ Fabricação]]-Tabela1[[#This Row],[QTE]]</f>
        <v>-1</v>
      </c>
      <c r="R85" s="18">
        <f t="shared" ca="1" si="24"/>
        <v>295</v>
      </c>
      <c r="S85" s="18">
        <f t="shared" ca="1" si="25"/>
        <v>295</v>
      </c>
      <c r="T85" s="19">
        <f t="shared" ca="1" si="26"/>
        <v>0</v>
      </c>
      <c r="U85" s="16">
        <f>IFERROR(SUMIF('LISTA DE EMBARQUE'!B:B,MICRO!E:E,'LISTA DE EMBARQUE'!G:G),"")</f>
        <v>1</v>
      </c>
      <c r="V85" s="12">
        <f>IFERROR(VLOOKUP(Tabela1[[#This Row],[COD.MDE]],'LISTA DE EMBARQUE'!B:L,11,0),"")</f>
        <v>3</v>
      </c>
      <c r="W85" s="13" t="str">
        <f ca="1">IFERROR(COUNTIF(#REF!,Tabela1[[#This Row],[Colunas5]]),"")</f>
        <v/>
      </c>
      <c r="X85" s="14">
        <f ca="1">Tabela1[[#This Row],[QIANTIDADE EXPEDIDA]]*Tabela1[[#This Row],[PESO UNI]]</f>
        <v>295</v>
      </c>
      <c r="Y85" s="14">
        <f t="shared" ca="1" si="27"/>
        <v>0</v>
      </c>
      <c r="Z85" s="20">
        <f ca="1">Tabela1[[#This Row],[PESO TOTAL]]-Tabela1[[#This Row],[Peso Expedido]]</f>
        <v>0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>
        <v>1</v>
      </c>
      <c r="AI85" s="33" t="str">
        <f t="shared" ca="1" si="28"/>
        <v>ok</v>
      </c>
      <c r="AJ85" s="5"/>
      <c r="AK85" t="str">
        <f ca="1">Tabela1[[#This Row],[Coluna1]]&amp;Tabela1[[#This Row],[PEDIDO]]</f>
        <v>P-198</v>
      </c>
      <c r="AL85"/>
      <c r="AM85"/>
      <c r="AN85"/>
      <c r="AO85" t="str">
        <f t="shared" ca="1" si="19"/>
        <v>T-073198-1/05-CV-0001</v>
      </c>
      <c r="AP85" t="str">
        <f ca="1">Tabela1[[#This Row],[TAG]]&amp;Tabela1[[#This Row],[PEDIDO]]&amp;Tabela1[[#This Row],[PRODUTO]]</f>
        <v>05-CV-0001P-198ESTRUTURA</v>
      </c>
      <c r="AQ85" s="22" t="str">
        <f ca="1">Tabela1[[#This Row],[PRODUTO]]&amp;Tabela1[[#This Row],[TAG]]</f>
        <v>ESTRUTURA05-CV-0001</v>
      </c>
      <c r="AR85" s="24" t="str">
        <f ca="1">Tabela1[[#This Row],[PEDIDO]]&amp;Tabela1[[#This Row],[PRODUTO]]</f>
        <v>P-198ESTRUTURA</v>
      </c>
      <c r="AS85" s="37">
        <f ca="1">IF(AF85="",0,IF(ISTEXT(AF85),H85*VALUE(SUBSTITUTE(AF85,"%",""))/100,H85*AF85))-Tabela1[[#This Row],[PRONTO ACABADO2]]</f>
        <v>0</v>
      </c>
      <c r="AT85" s="37">
        <f ca="1">IF(AG85="",0,IF(ISTEXT(AG85),H85*VALUE(SUBSTITUTE(AG85,"%",""))/100,H85*AG85))-Tabela1[[#This Row],[PESO EXPEDIDO2]]</f>
        <v>0</v>
      </c>
      <c r="AU85" s="37">
        <f t="shared" ca="1" si="17"/>
        <v>295</v>
      </c>
      <c r="AV85" s="37">
        <f t="shared" ca="1" si="18"/>
        <v>295</v>
      </c>
      <c r="AW85" s="37"/>
    </row>
    <row r="86" spans="1:49" ht="15.75" hidden="1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 ca="1"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 ca="1">Tabela1[[#This Row],[QTDE/ Fabricação]]-Tabela1[[#This Row],[QTE]]</f>
        <v>-6</v>
      </c>
      <c r="R86" s="18">
        <f t="shared" ca="1" si="24"/>
        <v>144</v>
      </c>
      <c r="S86" s="18">
        <f t="shared" ca="1" si="25"/>
        <v>144</v>
      </c>
      <c r="T86" s="19">
        <f t="shared" ca="1" si="26"/>
        <v>0</v>
      </c>
      <c r="U86" s="16">
        <f>IFERROR(SUMIF('LISTA DE EMBARQUE'!B:B,MICRO!E:E,'LISTA DE EMBARQUE'!G:G),"")</f>
        <v>6</v>
      </c>
      <c r="V86" s="12">
        <f>IFERROR(VLOOKUP(Tabela1[[#This Row],[COD.MDE]],'LISTA DE EMBARQUE'!B:L,11,0),"")</f>
        <v>5</v>
      </c>
      <c r="W86" s="13" t="str">
        <f ca="1">IFERROR(COUNTIF(#REF!,Tabela1[[#This Row],[Colunas5]]),"")</f>
        <v/>
      </c>
      <c r="X86" s="14">
        <f ca="1">Tabela1[[#This Row],[QIANTIDADE EXPEDIDA]]*Tabela1[[#This Row],[PESO UNI]]</f>
        <v>144</v>
      </c>
      <c r="Y86" s="14">
        <f t="shared" ca="1" si="27"/>
        <v>0</v>
      </c>
      <c r="Z86" s="20">
        <f ca="1">Tabela1[[#This Row],[PESO TOTAL]]-Tabela1[[#This Row],[Peso Expedido]]</f>
        <v>0</v>
      </c>
      <c r="AA86" s="17">
        <v>1</v>
      </c>
      <c r="AB86" s="33"/>
      <c r="AC86" s="33">
        <v>1</v>
      </c>
      <c r="AD86" s="33">
        <v>1</v>
      </c>
      <c r="AE86" s="33">
        <v>1</v>
      </c>
      <c r="AF86" s="33">
        <v>1</v>
      </c>
      <c r="AG86" s="33">
        <v>1</v>
      </c>
      <c r="AH86" s="33">
        <v>1</v>
      </c>
      <c r="AI86" s="33" t="str">
        <f t="shared" ca="1" si="28"/>
        <v>ok</v>
      </c>
      <c r="AJ86" s="5"/>
      <c r="AK86" t="str">
        <f ca="1">Tabela1[[#This Row],[Coluna1]]&amp;Tabela1[[#This Row],[PEDIDO]]</f>
        <v>P-198</v>
      </c>
      <c r="AL86"/>
      <c r="AM86"/>
      <c r="AN86"/>
      <c r="AO86" t="str">
        <f t="shared" ca="1" si="19"/>
        <v>T-073198-1/05-CV-0001</v>
      </c>
      <c r="AP86" t="str">
        <f ca="1">Tabela1[[#This Row],[TAG]]&amp;Tabela1[[#This Row],[PEDIDO]]&amp;Tabela1[[#This Row],[PRODUTO]]</f>
        <v>05-CV-0001P-198ESTRUTURA</v>
      </c>
      <c r="AQ86" s="22" t="str">
        <f ca="1">Tabela1[[#This Row],[PRODUTO]]&amp;Tabela1[[#This Row],[TAG]]</f>
        <v>ESTRUTURA05-CV-0001</v>
      </c>
      <c r="AR86" s="24" t="str">
        <f ca="1">Tabela1[[#This Row],[PEDIDO]]&amp;Tabela1[[#This Row],[PRODUTO]]</f>
        <v>P-198ESTRUTURA</v>
      </c>
      <c r="AS86" s="37">
        <f ca="1">IF(AF86="",0,IF(ISTEXT(AF86),H86*VALUE(SUBSTITUTE(AF86,"%",""))/100,H86*AF86))-Tabela1[[#This Row],[PRONTO ACABADO2]]</f>
        <v>0</v>
      </c>
      <c r="AT86" s="37">
        <f ca="1">IF(AG86="",0,IF(ISTEXT(AG86),H86*VALUE(SUBSTITUTE(AG86,"%",""))/100,H86*AG86))-Tabela1[[#This Row],[PESO EXPEDIDO2]]</f>
        <v>0</v>
      </c>
      <c r="AU86" s="37">
        <f t="shared" ca="1" si="17"/>
        <v>144</v>
      </c>
      <c r="AV86" s="37">
        <f t="shared" ca="1" si="18"/>
        <v>144</v>
      </c>
      <c r="AW86" s="37"/>
    </row>
    <row r="87" spans="1:49" ht="15.75" hidden="1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 ca="1"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 ca="1">Tabela1[[#This Row],[QTDE/ Fabricação]]-Tabela1[[#This Row],[QTE]]</f>
        <v>-4</v>
      </c>
      <c r="R87" s="18">
        <f t="shared" ca="1" si="24"/>
        <v>29.6</v>
      </c>
      <c r="S87" s="18">
        <f t="shared" ca="1" si="25"/>
        <v>29.6</v>
      </c>
      <c r="T87" s="19">
        <f t="shared" ca="1" si="26"/>
        <v>0</v>
      </c>
      <c r="U87" s="16">
        <f>IFERROR(SUMIF('LISTA DE EMBARQUE'!B:B,MICRO!E:E,'LISTA DE EMBARQUE'!G:G),"")</f>
        <v>4</v>
      </c>
      <c r="V87" s="12">
        <f ca="1">IFERROR(VLOOKUP(Tabela1[[#This Row],[COD.MDE]],'LISTA DE EMBARQUE'!B:L,11,0),"")</f>
        <v>3</v>
      </c>
      <c r="W87" s="13" t="str">
        <f ca="1">IFERROR(COUNTIF(#REF!,Tabela1[[#This Row],[Colunas5]]),"")</f>
        <v/>
      </c>
      <c r="X87" s="14">
        <f ca="1">Tabela1[[#This Row],[QIANTIDADE EXPEDIDA]]*Tabela1[[#This Row],[PESO UNI]]</f>
        <v>29.6</v>
      </c>
      <c r="Y87" s="14">
        <f t="shared" ca="1" si="27"/>
        <v>0</v>
      </c>
      <c r="Z87" s="20">
        <f ca="1">Tabela1[[#This Row],[PESO TOTAL]]-Tabela1[[#This Row],[Peso Expedido]]</f>
        <v>0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>
        <v>1</v>
      </c>
      <c r="AI87" s="33" t="str">
        <f t="shared" ca="1" si="28"/>
        <v>ok</v>
      </c>
      <c r="AJ87" s="5"/>
      <c r="AK87" t="str">
        <f ca="1">Tabela1[[#This Row],[Coluna1]]&amp;Tabela1[[#This Row],[PEDIDO]]</f>
        <v>P-198</v>
      </c>
      <c r="AL87"/>
      <c r="AM87"/>
      <c r="AN87"/>
      <c r="AO87" t="str">
        <f t="shared" ca="1" si="19"/>
        <v>T-073199-1/05-CV-0001</v>
      </c>
      <c r="AP87" t="str">
        <f ca="1">Tabela1[[#This Row],[TAG]]&amp;Tabela1[[#This Row],[PEDIDO]]&amp;Tabela1[[#This Row],[PRODUTO]]</f>
        <v>05-CV-0001P-198ESTRUTURA</v>
      </c>
      <c r="AQ87" s="22" t="str">
        <f ca="1">Tabela1[[#This Row],[PRODUTO]]&amp;Tabela1[[#This Row],[TAG]]</f>
        <v>ESTRUTURA05-CV-0001</v>
      </c>
      <c r="AR87" s="24" t="str">
        <f ca="1">Tabela1[[#This Row],[PEDIDO]]&amp;Tabela1[[#This Row],[PRODUTO]]</f>
        <v>P-198ESTRUTURA</v>
      </c>
      <c r="AS87" s="37">
        <f ca="1">IF(AF87="",0,IF(ISTEXT(AF87),H87*VALUE(SUBSTITUTE(AF87,"%",""))/100,H87*AF87))-Tabela1[[#This Row],[PRONTO ACABADO2]]</f>
        <v>0</v>
      </c>
      <c r="AT87" s="37">
        <f ca="1">IF(AG87="",0,IF(ISTEXT(AG87),H87*VALUE(SUBSTITUTE(AG87,"%",""))/100,H87*AG87))-Tabela1[[#This Row],[PESO EXPEDIDO2]]</f>
        <v>0</v>
      </c>
      <c r="AU87" s="37">
        <f t="shared" ca="1" si="17"/>
        <v>29.6</v>
      </c>
      <c r="AV87" s="37">
        <f t="shared" ca="1" si="18"/>
        <v>29.6</v>
      </c>
      <c r="AW87" s="37"/>
    </row>
    <row r="88" spans="1:49" ht="15.75" hidden="1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 ca="1"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 ca="1">Tabela1[[#This Row],[QTDE/ Fabricação]]-Tabela1[[#This Row],[QTE]]</f>
        <v>-1</v>
      </c>
      <c r="R88" s="18">
        <f t="shared" ca="1" si="24"/>
        <v>252</v>
      </c>
      <c r="S88" s="18">
        <f t="shared" ca="1" si="25"/>
        <v>252</v>
      </c>
      <c r="T88" s="19">
        <f t="shared" ca="1" si="26"/>
        <v>0</v>
      </c>
      <c r="U88" s="16">
        <f>IFERROR(SUMIF('LISTA DE EMBARQUE'!B:B,MICRO!E:E,'LISTA DE EMBARQUE'!G:G),"")</f>
        <v>1</v>
      </c>
      <c r="V88" s="12">
        <f>IFERROR(VLOOKUP(Tabela1[[#This Row],[COD.MDE]],'LISTA DE EMBARQUE'!B:L,11,0),"")</f>
        <v>3</v>
      </c>
      <c r="W88" s="13" t="str">
        <f ca="1">IFERROR(COUNTIF(#REF!,Tabela1[[#This Row],[Colunas5]]),"")</f>
        <v/>
      </c>
      <c r="X88" s="14">
        <f ca="1">Tabela1[[#This Row],[QIANTIDADE EXPEDIDA]]*Tabela1[[#This Row],[PESO UNI]]</f>
        <v>252</v>
      </c>
      <c r="Y88" s="14">
        <f t="shared" ca="1" si="27"/>
        <v>0</v>
      </c>
      <c r="Z88" s="20">
        <f ca="1">Tabela1[[#This Row],[PESO TOTAL]]-Tabela1[[#This Row],[Peso Expedido]]</f>
        <v>0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>
        <v>1</v>
      </c>
      <c r="AI88" s="33" t="str">
        <f t="shared" ca="1" si="28"/>
        <v>ok</v>
      </c>
      <c r="AJ88" s="5"/>
      <c r="AK88" t="str">
        <f ca="1">Tabela1[[#This Row],[Coluna1]]&amp;Tabela1[[#This Row],[PEDIDO]]</f>
        <v>P-198</v>
      </c>
      <c r="AL88"/>
      <c r="AM88"/>
      <c r="AN88"/>
      <c r="AO88" t="str">
        <f t="shared" ca="1" si="19"/>
        <v>T-073199-1/05-CV-0001</v>
      </c>
      <c r="AP88" t="str">
        <f ca="1">Tabela1[[#This Row],[TAG]]&amp;Tabela1[[#This Row],[PEDIDO]]&amp;Tabela1[[#This Row],[PRODUTO]]</f>
        <v>05-CV-0001P-198ESTRUTURA</v>
      </c>
      <c r="AQ88" s="22" t="str">
        <f ca="1">Tabela1[[#This Row],[PRODUTO]]&amp;Tabela1[[#This Row],[TAG]]</f>
        <v>ESTRUTURA05-CV-0001</v>
      </c>
      <c r="AR88" s="24" t="str">
        <f ca="1">Tabela1[[#This Row],[PEDIDO]]&amp;Tabela1[[#This Row],[PRODUTO]]</f>
        <v>P-198ESTRUTURA</v>
      </c>
      <c r="AS88" s="37">
        <f ca="1">IF(AF88="",0,IF(ISTEXT(AF88),H88*VALUE(SUBSTITUTE(AF88,"%",""))/100,H88*AF88))-Tabela1[[#This Row],[PRONTO ACABADO2]]</f>
        <v>0</v>
      </c>
      <c r="AT88" s="37">
        <f ca="1">IF(AG88="",0,IF(ISTEXT(AG88),H88*VALUE(SUBSTITUTE(AG88,"%",""))/100,H88*AG88))-Tabela1[[#This Row],[PESO EXPEDIDO2]]</f>
        <v>0</v>
      </c>
      <c r="AU88" s="37">
        <f t="shared" ca="1" si="17"/>
        <v>252</v>
      </c>
      <c r="AV88" s="37">
        <f t="shared" ca="1" si="18"/>
        <v>252</v>
      </c>
      <c r="AW88" s="37"/>
    </row>
    <row r="89" spans="1:49" ht="15.75" hidden="1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 ca="1"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 ca="1">Tabela1[[#This Row],[QTDE/ Fabricação]]-Tabela1[[#This Row],[QTE]]</f>
        <v>-2</v>
      </c>
      <c r="R89" s="18">
        <f t="shared" ca="1" si="24"/>
        <v>154.6</v>
      </c>
      <c r="S89" s="18">
        <f t="shared" ca="1" si="25"/>
        <v>154.6</v>
      </c>
      <c r="T89" s="19">
        <f t="shared" ca="1" si="26"/>
        <v>0</v>
      </c>
      <c r="U89" s="16">
        <f>IFERROR(SUMIF('LISTA DE EMBARQUE'!B:B,MICRO!E:E,'LISTA DE EMBARQUE'!G:G),"")</f>
        <v>2</v>
      </c>
      <c r="V89" s="12">
        <f>IFERROR(VLOOKUP(Tabela1[[#This Row],[COD.MDE]],'LISTA DE EMBARQUE'!B:L,11,0),"")</f>
        <v>5</v>
      </c>
      <c r="W89" s="13" t="str">
        <f ca="1">IFERROR(COUNTIF(#REF!,Tabela1[[#This Row],[Colunas5]]),"")</f>
        <v/>
      </c>
      <c r="X89" s="14">
        <f ca="1">Tabela1[[#This Row],[QIANTIDADE EXPEDIDA]]*Tabela1[[#This Row],[PESO UNI]]</f>
        <v>154.6</v>
      </c>
      <c r="Y89" s="14">
        <f t="shared" ca="1" si="27"/>
        <v>0</v>
      </c>
      <c r="Z89" s="20">
        <f ca="1">Tabela1[[#This Row],[PESO TOTAL]]-Tabela1[[#This Row],[Peso Expedido]]</f>
        <v>0</v>
      </c>
      <c r="AA89" s="17">
        <v>1</v>
      </c>
      <c r="AB89" s="33"/>
      <c r="AC89" s="33">
        <v>1</v>
      </c>
      <c r="AD89" s="33">
        <v>1</v>
      </c>
      <c r="AE89" s="33">
        <v>1</v>
      </c>
      <c r="AF89" s="33">
        <v>1</v>
      </c>
      <c r="AG89" s="33">
        <v>1</v>
      </c>
      <c r="AH89" s="33">
        <v>1</v>
      </c>
      <c r="AI89" s="33" t="str">
        <f t="shared" ca="1" si="28"/>
        <v>ok</v>
      </c>
      <c r="AJ89" s="5"/>
      <c r="AK89" t="str">
        <f ca="1">Tabela1[[#This Row],[Coluna1]]&amp;Tabela1[[#This Row],[PEDIDO]]</f>
        <v>P-198</v>
      </c>
      <c r="AL89"/>
      <c r="AM89"/>
      <c r="AN89"/>
      <c r="AO89" t="str">
        <f t="shared" ca="1" si="19"/>
        <v>T-073205-1/05-CV-0001</v>
      </c>
      <c r="AP89" t="str">
        <f ca="1">Tabela1[[#This Row],[TAG]]&amp;Tabela1[[#This Row],[PEDIDO]]&amp;Tabela1[[#This Row],[PRODUTO]]</f>
        <v>05-CV-0001P-198ESTRUTURA</v>
      </c>
      <c r="AQ89" s="22" t="str">
        <f ca="1">Tabela1[[#This Row],[PRODUTO]]&amp;Tabela1[[#This Row],[TAG]]</f>
        <v>ESTRUTURA05-CV-0001</v>
      </c>
      <c r="AR89" s="24" t="str">
        <f ca="1">Tabela1[[#This Row],[PEDIDO]]&amp;Tabela1[[#This Row],[PRODUTO]]</f>
        <v>P-198ESTRUTURA</v>
      </c>
      <c r="AS89" s="37">
        <f ca="1">IF(AF89="",0,IF(ISTEXT(AF89),H89*VALUE(SUBSTITUTE(AF89,"%",""))/100,H89*AF89))-Tabela1[[#This Row],[PRONTO ACABADO2]]</f>
        <v>0</v>
      </c>
      <c r="AT89" s="37">
        <f ca="1">IF(AG89="",0,IF(ISTEXT(AG89),H89*VALUE(SUBSTITUTE(AG89,"%",""))/100,H89*AG89))-Tabela1[[#This Row],[PESO EXPEDIDO2]]</f>
        <v>0</v>
      </c>
      <c r="AU89" s="37">
        <f t="shared" ca="1" si="17"/>
        <v>154.6</v>
      </c>
      <c r="AV89" s="37">
        <f t="shared" ca="1" si="18"/>
        <v>154.6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 ca="1"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 ca="1">Tabela1[[#This Row],[QTDE/ Fabricação]]-Tabela1[[#This Row],[QTE]]</f>
        <v>-28</v>
      </c>
      <c r="R90" s="18">
        <f t="shared" ca="1" si="24"/>
        <v>36.4</v>
      </c>
      <c r="S90" s="18">
        <f t="shared" ca="1" si="25"/>
        <v>36.4</v>
      </c>
      <c r="T90" s="19">
        <f t="shared" ca="1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 ca="1">IFERROR(COUNTIF(#REF!,Tabela1[[#This Row],[Colunas5]]),"")</f>
        <v/>
      </c>
      <c r="X90" s="14">
        <f ca="1">Tabela1[[#This Row],[QIANTIDADE EXPEDIDA]]*Tabela1[[#This Row],[PESO UNI]]</f>
        <v>0</v>
      </c>
      <c r="Y90" s="14">
        <f t="shared" ca="1" si="27"/>
        <v>-28</v>
      </c>
      <c r="Z90" s="20">
        <f ca="1"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ca="1" si="28"/>
        <v/>
      </c>
      <c r="AJ90" s="5"/>
      <c r="AK90" t="str">
        <f ca="1">Tabela1[[#This Row],[Coluna1]]&amp;Tabela1[[#This Row],[PEDIDO]]</f>
        <v>P-198</v>
      </c>
      <c r="AL90"/>
      <c r="AM90"/>
      <c r="AN90"/>
      <c r="AO90" t="str">
        <f t="shared" ca="1" si="19"/>
        <v>T-073201-1/05-CV-0001</v>
      </c>
      <c r="AP90" t="str">
        <f ca="1">Tabela1[[#This Row],[TAG]]&amp;Tabela1[[#This Row],[PEDIDO]]&amp;Tabela1[[#This Row],[PRODUTO]]</f>
        <v>05-CV-0001P-198ESTRUTURA</v>
      </c>
      <c r="AQ90" s="22" t="str">
        <f ca="1">Tabela1[[#This Row],[PRODUTO]]&amp;Tabela1[[#This Row],[TAG]]</f>
        <v>ESTRUTURA05-CV-0001</v>
      </c>
      <c r="AR90" s="24" t="str">
        <f ca="1">Tabela1[[#This Row],[PEDIDO]]&amp;Tabela1[[#This Row],[PRODUTO]]</f>
        <v>P-198ESTRUTURA</v>
      </c>
      <c r="AS90" s="37">
        <f ca="1">IF(AF90="",0,IF(ISTEXT(AF90),H90*VALUE(SUBSTITUTE(AF90,"%",""))/100,H90*AF90))-Tabela1[[#This Row],[PRONTO ACABADO2]]</f>
        <v>0</v>
      </c>
      <c r="AT90" s="37">
        <f ca="1">IF(AG90="",0,IF(ISTEXT(AG90),H90*VALUE(SUBSTITUTE(AG90,"%",""))/100,H90*AG90))-Tabela1[[#This Row],[PESO EXPEDIDO2]]</f>
        <v>36.4</v>
      </c>
      <c r="AU90" s="37">
        <f t="shared" ca="1" si="17"/>
        <v>0</v>
      </c>
      <c r="AV90" s="37">
        <f t="shared" ca="1" si="18"/>
        <v>36.4</v>
      </c>
      <c r="AW90" s="37"/>
    </row>
    <row r="91" spans="1:49" ht="15.75" hidden="1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 ca="1"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 ca="1">Tabela1[[#This Row],[QTDE/ Fabricação]]-Tabela1[[#This Row],[QTE]]</f>
        <v>-28</v>
      </c>
      <c r="R91" s="18">
        <f t="shared" ca="1" si="24"/>
        <v>291.2</v>
      </c>
      <c r="S91" s="18">
        <f t="shared" ca="1" si="25"/>
        <v>291.2</v>
      </c>
      <c r="T91" s="19">
        <f t="shared" ca="1" si="26"/>
        <v>0</v>
      </c>
      <c r="U91" s="16">
        <f>IFERROR(SUMIF('LISTA DE EMBARQUE'!B:B,MICRO!E:E,'LISTA DE EMBARQUE'!G:G),"")</f>
        <v>28</v>
      </c>
      <c r="V91" s="12">
        <f ca="1">IFERROR(VLOOKUP(Tabela1[[#This Row],[COD.MDE]],'LISTA DE EMBARQUE'!B:L,11,0),"")</f>
        <v>3</v>
      </c>
      <c r="W91" s="13" t="str">
        <f ca="1">IFERROR(COUNTIF(#REF!,Tabela1[[#This Row],[Colunas5]]),"")</f>
        <v/>
      </c>
      <c r="X91" s="14">
        <f ca="1">Tabela1[[#This Row],[QIANTIDADE EXPEDIDA]]*Tabela1[[#This Row],[PESO UNI]]</f>
        <v>291.2</v>
      </c>
      <c r="Y91" s="14">
        <f t="shared" ca="1" si="27"/>
        <v>0</v>
      </c>
      <c r="Z91" s="20">
        <f ca="1">Tabela1[[#This Row],[PESO TOTAL]]-Tabela1[[#This Row],[Peso Expedido]]</f>
        <v>0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33">
        <v>1</v>
      </c>
      <c r="AI91" s="33" t="str">
        <f t="shared" ca="1" si="28"/>
        <v>ok</v>
      </c>
      <c r="AJ91" s="5"/>
      <c r="AK91" t="str">
        <f ca="1">Tabela1[[#This Row],[Coluna1]]&amp;Tabela1[[#This Row],[PEDIDO]]</f>
        <v>P-198</v>
      </c>
      <c r="AL91"/>
      <c r="AM91"/>
      <c r="AN91"/>
      <c r="AO91" t="str">
        <f t="shared" ca="1" si="19"/>
        <v>T-073201-1/05-CV-0001</v>
      </c>
      <c r="AP91" t="str">
        <f ca="1">Tabela1[[#This Row],[TAG]]&amp;Tabela1[[#This Row],[PEDIDO]]&amp;Tabela1[[#This Row],[PRODUTO]]</f>
        <v>05-CV-0001P-198ESTRUTURA</v>
      </c>
      <c r="AQ91" s="22" t="str">
        <f ca="1">Tabela1[[#This Row],[PRODUTO]]&amp;Tabela1[[#This Row],[TAG]]</f>
        <v>ESTRUTURA05-CV-0001</v>
      </c>
      <c r="AR91" s="24" t="str">
        <f ca="1">Tabela1[[#This Row],[PEDIDO]]&amp;Tabela1[[#This Row],[PRODUTO]]</f>
        <v>P-198ESTRUTURA</v>
      </c>
      <c r="AS91" s="37">
        <f ca="1">IF(AF91="",0,IF(ISTEXT(AF91),H91*VALUE(SUBSTITUTE(AF91,"%",""))/100,H91*AF91))-Tabela1[[#This Row],[PRONTO ACABADO2]]</f>
        <v>0</v>
      </c>
      <c r="AT91" s="37">
        <f ca="1">IF(AG91="",0,IF(ISTEXT(AG91),H91*VALUE(SUBSTITUTE(AG91,"%",""))/100,H91*AG91))-Tabela1[[#This Row],[PESO EXPEDIDO2]]</f>
        <v>0</v>
      </c>
      <c r="AU91" s="37">
        <f t="shared" ca="1" si="17"/>
        <v>291.2</v>
      </c>
      <c r="AV91" s="37">
        <f t="shared" ca="1" si="18"/>
        <v>291.2</v>
      </c>
      <c r="AW91" s="37"/>
    </row>
    <row r="92" spans="1:49" ht="15.75" hidden="1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 ca="1"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 ca="1">Tabela1[[#This Row],[QTDE/ Fabricação]]-Tabela1[[#This Row],[QTE]]</f>
        <v>-12</v>
      </c>
      <c r="R92" s="18">
        <f t="shared" ca="1" si="24"/>
        <v>691.2</v>
      </c>
      <c r="S92" s="18">
        <f t="shared" ca="1" si="25"/>
        <v>691.2</v>
      </c>
      <c r="T92" s="19">
        <f t="shared" ca="1" si="26"/>
        <v>0</v>
      </c>
      <c r="U92" s="16">
        <f>IFERROR(SUMIF('LISTA DE EMBARQUE'!B:B,MICRO!E:E,'LISTA DE EMBARQUE'!G:G),"")</f>
        <v>12</v>
      </c>
      <c r="V92" s="12">
        <f>IFERROR(VLOOKUP(Tabela1[[#This Row],[COD.MDE]],'LISTA DE EMBARQUE'!B:L,11,0),"")</f>
        <v>5</v>
      </c>
      <c r="W92" s="13" t="str">
        <f ca="1">IFERROR(COUNTIF(#REF!,Tabela1[[#This Row],[Colunas5]]),"")</f>
        <v/>
      </c>
      <c r="X92" s="14">
        <f ca="1">Tabela1[[#This Row],[QIANTIDADE EXPEDIDA]]*Tabela1[[#This Row],[PESO UNI]]</f>
        <v>691.2</v>
      </c>
      <c r="Y92" s="14">
        <f t="shared" ca="1" si="27"/>
        <v>0</v>
      </c>
      <c r="Z92" s="20">
        <f ca="1">Tabela1[[#This Row],[PESO TOTAL]]-Tabela1[[#This Row],[Peso Expedido]]</f>
        <v>0</v>
      </c>
      <c r="AA92" s="17">
        <v>1</v>
      </c>
      <c r="AB92" s="33"/>
      <c r="AC92" s="33">
        <v>1</v>
      </c>
      <c r="AD92" s="33">
        <v>1</v>
      </c>
      <c r="AE92" s="33">
        <v>1</v>
      </c>
      <c r="AF92" s="33">
        <v>1</v>
      </c>
      <c r="AG92" s="33">
        <v>1</v>
      </c>
      <c r="AH92" s="33">
        <v>1</v>
      </c>
      <c r="AI92" s="33" t="str">
        <f t="shared" ca="1" si="28"/>
        <v>ok</v>
      </c>
      <c r="AJ92" s="5"/>
      <c r="AK92" t="str">
        <f ca="1">Tabela1[[#This Row],[Coluna1]]&amp;Tabela1[[#This Row],[PEDIDO]]</f>
        <v>P-198</v>
      </c>
      <c r="AL92"/>
      <c r="AM92"/>
      <c r="AN92"/>
      <c r="AO92" t="str">
        <f t="shared" ca="1" si="19"/>
        <v>T-073201-1/05-CV-0001</v>
      </c>
      <c r="AP92" t="str">
        <f ca="1">Tabela1[[#This Row],[TAG]]&amp;Tabela1[[#This Row],[PEDIDO]]&amp;Tabela1[[#This Row],[PRODUTO]]</f>
        <v>05-CV-0001P-198ESTRUTURA</v>
      </c>
      <c r="AQ92" s="22" t="str">
        <f ca="1">Tabela1[[#This Row],[PRODUTO]]&amp;Tabela1[[#This Row],[TAG]]</f>
        <v>ESTRUTURA05-CV-0001</v>
      </c>
      <c r="AR92" s="24" t="str">
        <f ca="1">Tabela1[[#This Row],[PEDIDO]]&amp;Tabela1[[#This Row],[PRODUTO]]</f>
        <v>P-198ESTRUTURA</v>
      </c>
      <c r="AS92" s="37">
        <f ca="1">IF(AF92="",0,IF(ISTEXT(AF92),H92*VALUE(SUBSTITUTE(AF92,"%",""))/100,H92*AF92))-Tabela1[[#This Row],[PRONTO ACABADO2]]</f>
        <v>0</v>
      </c>
      <c r="AT92" s="37">
        <f ca="1">IF(AG92="",0,IF(ISTEXT(AG92),H92*VALUE(SUBSTITUTE(AG92,"%",""))/100,H92*AG92))-Tabela1[[#This Row],[PESO EXPEDIDO2]]</f>
        <v>0</v>
      </c>
      <c r="AU92" s="37">
        <f t="shared" ca="1" si="17"/>
        <v>691.2</v>
      </c>
      <c r="AV92" s="37">
        <f t="shared" ca="1" si="18"/>
        <v>691.2</v>
      </c>
      <c r="AW92" s="37"/>
    </row>
    <row r="93" spans="1:49" ht="15.75" hidden="1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 ca="1"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 ca="1">Tabela1[[#This Row],[QTDE/ Fabricação]]-Tabela1[[#This Row],[QTE]]</f>
        <v>-2</v>
      </c>
      <c r="R93" s="18">
        <f t="shared" ca="1" si="24"/>
        <v>115.2</v>
      </c>
      <c r="S93" s="18">
        <f t="shared" ca="1" si="25"/>
        <v>115.2</v>
      </c>
      <c r="T93" s="19">
        <f t="shared" ca="1" si="26"/>
        <v>0</v>
      </c>
      <c r="U93" s="16">
        <f>IFERROR(SUMIF('LISTA DE EMBARQUE'!B:B,MICRO!E:E,'LISTA DE EMBARQUE'!G:G),"")</f>
        <v>2</v>
      </c>
      <c r="V93" s="12">
        <f>IFERROR(VLOOKUP(Tabela1[[#This Row],[COD.MDE]],'LISTA DE EMBARQUE'!B:L,11,0),"")</f>
        <v>5</v>
      </c>
      <c r="W93" s="13" t="str">
        <f ca="1">IFERROR(COUNTIF(#REF!,Tabela1[[#This Row],[Colunas5]]),"")</f>
        <v/>
      </c>
      <c r="X93" s="14">
        <f ca="1">Tabela1[[#This Row],[QIANTIDADE EXPEDIDA]]*Tabela1[[#This Row],[PESO UNI]]</f>
        <v>115.2</v>
      </c>
      <c r="Y93" s="14">
        <f t="shared" ca="1" si="27"/>
        <v>0</v>
      </c>
      <c r="Z93" s="20">
        <f ca="1">Tabela1[[#This Row],[PESO TOTAL]]-Tabela1[[#This Row],[Peso Expedido]]</f>
        <v>0</v>
      </c>
      <c r="AA93" s="17">
        <v>1</v>
      </c>
      <c r="AB93" s="33"/>
      <c r="AC93" s="33">
        <v>1</v>
      </c>
      <c r="AD93" s="33">
        <v>1</v>
      </c>
      <c r="AE93" s="33">
        <v>1</v>
      </c>
      <c r="AF93" s="33">
        <v>1</v>
      </c>
      <c r="AG93" s="33">
        <v>1</v>
      </c>
      <c r="AH93" s="33">
        <v>1</v>
      </c>
      <c r="AI93" s="33" t="str">
        <f t="shared" ca="1" si="28"/>
        <v>ok</v>
      </c>
      <c r="AJ93" s="5"/>
      <c r="AK93" t="str">
        <f ca="1">Tabela1[[#This Row],[Coluna1]]&amp;Tabela1[[#This Row],[PEDIDO]]</f>
        <v>P-198</v>
      </c>
      <c r="AL93"/>
      <c r="AM93"/>
      <c r="AN93"/>
      <c r="AO93" t="str">
        <f t="shared" ca="1" si="19"/>
        <v>T-073201-1/05-CV-0001</v>
      </c>
      <c r="AP93" t="str">
        <f ca="1">Tabela1[[#This Row],[TAG]]&amp;Tabela1[[#This Row],[PEDIDO]]&amp;Tabela1[[#This Row],[PRODUTO]]</f>
        <v>05-CV-0001P-198ESTRUTURA</v>
      </c>
      <c r="AQ93" s="22" t="str">
        <f ca="1">Tabela1[[#This Row],[PRODUTO]]&amp;Tabela1[[#This Row],[TAG]]</f>
        <v>ESTRUTURA05-CV-0001</v>
      </c>
      <c r="AR93" s="24" t="str">
        <f ca="1">Tabela1[[#This Row],[PEDIDO]]&amp;Tabela1[[#This Row],[PRODUTO]]</f>
        <v>P-198ESTRUTURA</v>
      </c>
      <c r="AS93" s="37">
        <f ca="1">IF(AF93="",0,IF(ISTEXT(AF93),H93*VALUE(SUBSTITUTE(AF93,"%",""))/100,H93*AF93))-Tabela1[[#This Row],[PRONTO ACABADO2]]</f>
        <v>0</v>
      </c>
      <c r="AT93" s="37">
        <f ca="1">IF(AG93="",0,IF(ISTEXT(AG93),H93*VALUE(SUBSTITUTE(AG93,"%",""))/100,H93*AG93))-Tabela1[[#This Row],[PESO EXPEDIDO2]]</f>
        <v>0</v>
      </c>
      <c r="AU93" s="37">
        <f t="shared" ca="1" si="17"/>
        <v>115.2</v>
      </c>
      <c r="AV93" s="37">
        <f t="shared" ca="1" si="18"/>
        <v>115.2</v>
      </c>
      <c r="AW93" s="37"/>
    </row>
    <row r="94" spans="1:49" ht="15.75" hidden="1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 ca="1"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 ca="1">Tabela1[[#This Row],[QTDE/ Fabricação]]-Tabela1[[#This Row],[QTE]]</f>
        <v>-28</v>
      </c>
      <c r="R94" s="18">
        <f t="shared" ca="1" si="24"/>
        <v>134.4</v>
      </c>
      <c r="S94" s="18">
        <f t="shared" ca="1" si="25"/>
        <v>134.4</v>
      </c>
      <c r="T94" s="19">
        <f t="shared" ca="1" si="26"/>
        <v>0</v>
      </c>
      <c r="U94" s="16">
        <f>IFERROR(SUMIF('LISTA DE EMBARQUE'!B:B,MICRO!E:E,'LISTA DE EMBARQUE'!G:G),"")</f>
        <v>28</v>
      </c>
      <c r="V94" s="12">
        <f>IFERROR(VLOOKUP(Tabela1[[#This Row],[COD.MDE]],'LISTA DE EMBARQUE'!B:L,11,0),"")</f>
        <v>6</v>
      </c>
      <c r="W94" s="13" t="str">
        <f ca="1">IFERROR(COUNTIF(#REF!,Tabela1[[#This Row],[Colunas5]]),"")</f>
        <v/>
      </c>
      <c r="X94" s="14">
        <f ca="1">Tabela1[[#This Row],[QIANTIDADE EXPEDIDA]]*Tabela1[[#This Row],[PESO UNI]]</f>
        <v>134.4</v>
      </c>
      <c r="Y94" s="14">
        <f t="shared" ca="1" si="27"/>
        <v>0</v>
      </c>
      <c r="Z94" s="20">
        <f ca="1">Tabela1[[#This Row],[PESO TOTAL]]-Tabela1[[#This Row],[Peso Expedido]]</f>
        <v>0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>
        <v>1</v>
      </c>
      <c r="AI94" s="33" t="str">
        <f t="shared" ca="1" si="28"/>
        <v>ok</v>
      </c>
      <c r="AJ94" s="5"/>
      <c r="AK94" t="str">
        <f ca="1">Tabela1[[#This Row],[Coluna1]]&amp;Tabela1[[#This Row],[PEDIDO]]</f>
        <v>P-198</v>
      </c>
      <c r="AL94"/>
      <c r="AM94"/>
      <c r="AN94"/>
      <c r="AO94" t="str">
        <f t="shared" ca="1" si="19"/>
        <v>T-073201-1/05-CV-0001</v>
      </c>
      <c r="AP94" t="str">
        <f ca="1">Tabela1[[#This Row],[TAG]]&amp;Tabela1[[#This Row],[PEDIDO]]&amp;Tabela1[[#This Row],[PRODUTO]]</f>
        <v>05-CV-0001P-198ESTRUTURA</v>
      </c>
      <c r="AQ94" s="22" t="str">
        <f ca="1">Tabela1[[#This Row],[PRODUTO]]&amp;Tabela1[[#This Row],[TAG]]</f>
        <v>ESTRUTURA05-CV-0001</v>
      </c>
      <c r="AR94" s="24" t="str">
        <f ca="1">Tabela1[[#This Row],[PEDIDO]]&amp;Tabela1[[#This Row],[PRODUTO]]</f>
        <v>P-198ESTRUTURA</v>
      </c>
      <c r="AS94" s="37">
        <f ca="1">IF(AF94="",0,IF(ISTEXT(AF94),H94*VALUE(SUBSTITUTE(AF94,"%",""))/100,H94*AF94))-Tabela1[[#This Row],[PRONTO ACABADO2]]</f>
        <v>0</v>
      </c>
      <c r="AT94" s="37">
        <f ca="1">IF(AG94="",0,IF(ISTEXT(AG94),H94*VALUE(SUBSTITUTE(AG94,"%",""))/100,H94*AG94))-Tabela1[[#This Row],[PESO EXPEDIDO2]]</f>
        <v>0</v>
      </c>
      <c r="AU94" s="37">
        <f t="shared" ca="1" si="17"/>
        <v>134.4</v>
      </c>
      <c r="AV94" s="37">
        <f t="shared" ca="1" si="18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 ca="1"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 ca="1">Tabela1[[#This Row],[QTDE/ Fabricação]]-Tabela1[[#This Row],[QTE]]</f>
        <v>-14</v>
      </c>
      <c r="R95" s="18">
        <f t="shared" ca="1" si="24"/>
        <v>57.452500000000001</v>
      </c>
      <c r="S95" s="18">
        <f t="shared" ca="1" si="25"/>
        <v>0</v>
      </c>
      <c r="T95" s="19">
        <f t="shared" ca="1" si="26"/>
        <v>-93.8</v>
      </c>
      <c r="U95" s="16">
        <f>IFERROR(SUMIF('LISTA DE EMBARQUE'!B:B,MICRO!E:E,'LISTA DE EMBARQUE'!G:G),"")</f>
        <v>0</v>
      </c>
      <c r="V95" s="12" t="str">
        <f ca="1">IFERROR(VLOOKUP(Tabela1[[#This Row],[COD.MDE]],'LISTA DE EMBARQUE'!B:L,11,0),"")</f>
        <v/>
      </c>
      <c r="W95" s="13" t="str">
        <f ca="1">IFERROR(COUNTIF(#REF!,Tabela1[[#This Row],[Colunas5]]),"")</f>
        <v/>
      </c>
      <c r="X95" s="14">
        <f ca="1">Tabela1[[#This Row],[QIANTIDADE EXPEDIDA]]*Tabela1[[#This Row],[PESO UNI]]</f>
        <v>0</v>
      </c>
      <c r="Y95" s="14">
        <f t="shared" ca="1" si="27"/>
        <v>-14</v>
      </c>
      <c r="Z95" s="20">
        <f ca="1">Tabela1[[#This Row],[PESO TOTAL]]-Tabela1[[#This Row],[Peso Expedido]]</f>
        <v>93.8</v>
      </c>
      <c r="AA95" s="17">
        <v>1</v>
      </c>
      <c r="AB95" s="33"/>
      <c r="AC95" s="17">
        <v>1</v>
      </c>
      <c r="AD95" s="33">
        <v>0.5</v>
      </c>
      <c r="AE95" s="33"/>
      <c r="AF95" s="33"/>
      <c r="AG95" s="33"/>
      <c r="AH95" s="33"/>
      <c r="AI95" s="33" t="str">
        <f t="shared" ca="1" si="28"/>
        <v/>
      </c>
      <c r="AJ95" s="5"/>
      <c r="AK95" t="str">
        <f ca="1">Tabela1[[#This Row],[Coluna1]]&amp;Tabela1[[#This Row],[PEDIDO]]</f>
        <v>P-198</v>
      </c>
      <c r="AL95"/>
      <c r="AM95"/>
      <c r="AN95"/>
      <c r="AO95" t="str">
        <f t="shared" ca="1" si="19"/>
        <v>T-073201-1/05-CV-0001</v>
      </c>
      <c r="AP95" t="str">
        <f ca="1">Tabela1[[#This Row],[TAG]]&amp;Tabela1[[#This Row],[PEDIDO]]&amp;Tabela1[[#This Row],[PRODUTO]]</f>
        <v>05-CV-0001P-198ESTRUTURA</v>
      </c>
      <c r="AQ95" s="22" t="str">
        <f ca="1">Tabela1[[#This Row],[PRODUTO]]&amp;Tabela1[[#This Row],[TAG]]</f>
        <v>ESTRUTURA05-CV-0001</v>
      </c>
      <c r="AR95" s="24" t="str">
        <f ca="1">Tabela1[[#This Row],[PEDIDO]]&amp;Tabela1[[#This Row],[PRODUTO]]</f>
        <v>P-198ESTRUTURA</v>
      </c>
      <c r="AS95" s="37">
        <f ca="1">IF(AF95="",0,IF(ISTEXT(AF95),H95*VALUE(SUBSTITUTE(AF95,"%",""))/100,H95*AF95))-Tabela1[[#This Row],[PRONTO ACABADO2]]</f>
        <v>0</v>
      </c>
      <c r="AT95" s="37">
        <f ca="1">IF(AG95="",0,IF(ISTEXT(AG95),H95*VALUE(SUBSTITUTE(AG95,"%",""))/100,H95*AG95))-Tabela1[[#This Row],[PESO EXPEDIDO2]]</f>
        <v>0</v>
      </c>
      <c r="AU95" s="37">
        <f t="shared" ca="1" si="17"/>
        <v>0</v>
      </c>
      <c r="AV95" s="37">
        <f t="shared" ca="1" si="18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 ca="1"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 ca="1">Tabela1[[#This Row],[QTDE/ Fabricação]]-Tabela1[[#This Row],[QTE]]</f>
        <v>-84</v>
      </c>
      <c r="R96" s="18">
        <f t="shared" ca="1" si="24"/>
        <v>46.305000000000007</v>
      </c>
      <c r="S96" s="18">
        <f t="shared" ca="1" si="25"/>
        <v>0</v>
      </c>
      <c r="T96" s="19">
        <f t="shared" ca="1" si="26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 ca="1">IFERROR(COUNTIF(#REF!,Tabela1[[#This Row],[Colunas5]]),"")</f>
        <v/>
      </c>
      <c r="X96" s="14">
        <f ca="1">Tabela1[[#This Row],[QIANTIDADE EXPEDIDA]]*Tabela1[[#This Row],[PESO UNI]]</f>
        <v>0</v>
      </c>
      <c r="Y96" s="14">
        <f t="shared" ca="1" si="27"/>
        <v>-84</v>
      </c>
      <c r="Z96" s="20">
        <f ca="1">Tabela1[[#This Row],[PESO TOTAL]]-Tabela1[[#This Row],[Peso Expedido]]</f>
        <v>75.600000000000009</v>
      </c>
      <c r="AA96" s="17">
        <v>1</v>
      </c>
      <c r="AB96" s="33"/>
      <c r="AC96" s="17">
        <v>1</v>
      </c>
      <c r="AD96" s="33">
        <v>0.5</v>
      </c>
      <c r="AE96" s="33"/>
      <c r="AF96" s="33"/>
      <c r="AG96" s="33"/>
      <c r="AH96" s="33"/>
      <c r="AI96" s="33" t="str">
        <f t="shared" ca="1" si="28"/>
        <v/>
      </c>
      <c r="AJ96" s="5"/>
      <c r="AK96" t="str">
        <f ca="1">Tabela1[[#This Row],[Coluna1]]&amp;Tabela1[[#This Row],[PEDIDO]]</f>
        <v>P-198</v>
      </c>
      <c r="AL96"/>
      <c r="AM96"/>
      <c r="AN96"/>
      <c r="AO96" t="str">
        <f t="shared" ca="1" si="19"/>
        <v>T-073201-1/05-CV-0001</v>
      </c>
      <c r="AP96" t="str">
        <f ca="1">Tabela1[[#This Row],[TAG]]&amp;Tabela1[[#This Row],[PEDIDO]]&amp;Tabela1[[#This Row],[PRODUTO]]</f>
        <v>05-CV-0001P-198ESTRUTURA</v>
      </c>
      <c r="AQ96" s="22" t="str">
        <f ca="1">Tabela1[[#This Row],[PRODUTO]]&amp;Tabela1[[#This Row],[TAG]]</f>
        <v>ESTRUTURA05-CV-0001</v>
      </c>
      <c r="AR96" s="24" t="str">
        <f ca="1">Tabela1[[#This Row],[PEDIDO]]&amp;Tabela1[[#This Row],[PRODUTO]]</f>
        <v>P-198ESTRUTURA</v>
      </c>
      <c r="AS96" s="37">
        <f ca="1">IF(AF96="",0,IF(ISTEXT(AF96),H96*VALUE(SUBSTITUTE(AF96,"%",""))/100,H96*AF96))-Tabela1[[#This Row],[PRONTO ACABADO2]]</f>
        <v>0</v>
      </c>
      <c r="AT96" s="37">
        <f ca="1">IF(AG96="",0,IF(ISTEXT(AG96),H96*VALUE(SUBSTITUTE(AG96,"%",""))/100,H96*AG96))-Tabela1[[#This Row],[PESO EXPEDIDO2]]</f>
        <v>0</v>
      </c>
      <c r="AU96" s="37">
        <f t="shared" ca="1" si="17"/>
        <v>0</v>
      </c>
      <c r="AV96" s="37">
        <f t="shared" ca="1" si="18"/>
        <v>0</v>
      </c>
      <c r="AW96" s="37"/>
    </row>
    <row r="97" spans="1:49" ht="15.75" hidden="1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 ca="1"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 ca="1">Tabela1[[#This Row],[QTDE/ Fabricação]]-Tabela1[[#This Row],[QTE]]</f>
        <v>-1</v>
      </c>
      <c r="R97" s="18">
        <f t="shared" ca="1" si="24"/>
        <v>26.3</v>
      </c>
      <c r="S97" s="18">
        <f t="shared" ca="1" si="25"/>
        <v>26.3</v>
      </c>
      <c r="T97" s="19">
        <f t="shared" ca="1" si="26"/>
        <v>0</v>
      </c>
      <c r="U97" s="16">
        <f>IFERROR(SUMIF('LISTA DE EMBARQUE'!B:B,MICRO!E:E,'LISTA DE EMBARQUE'!G:G),"")</f>
        <v>1</v>
      </c>
      <c r="V97" s="12">
        <f>IFERROR(VLOOKUP(Tabela1[[#This Row],[COD.MDE]],'LISTA DE EMBARQUE'!B:L,11,0),"")</f>
        <v>3</v>
      </c>
      <c r="W97" s="13" t="str">
        <f ca="1">IFERROR(COUNTIF(#REF!,Tabela1[[#This Row],[Colunas5]]),"")</f>
        <v/>
      </c>
      <c r="X97" s="14">
        <f ca="1">Tabela1[[#This Row],[QIANTIDADE EXPEDIDA]]*Tabela1[[#This Row],[PESO UNI]]</f>
        <v>26.3</v>
      </c>
      <c r="Y97" s="14">
        <f t="shared" ca="1" si="27"/>
        <v>0</v>
      </c>
      <c r="Z97" s="20">
        <f ca="1">Tabela1[[#This Row],[PESO TOTAL]]-Tabela1[[#This Row],[Peso Expedido]]</f>
        <v>0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33">
        <v>1</v>
      </c>
      <c r="AI97" s="33" t="str">
        <f t="shared" ca="1" si="28"/>
        <v>ok</v>
      </c>
      <c r="AJ97" s="5"/>
      <c r="AK97" t="str">
        <f ca="1">Tabela1[[#This Row],[Coluna1]]&amp;Tabela1[[#This Row],[PEDIDO]]</f>
        <v>P-198</v>
      </c>
      <c r="AL97"/>
      <c r="AM97"/>
      <c r="AN97"/>
      <c r="AO97" t="str">
        <f t="shared" ca="1" si="19"/>
        <v>T-073201-1/05-CV-0001</v>
      </c>
      <c r="AP97" t="str">
        <f ca="1">Tabela1[[#This Row],[TAG]]&amp;Tabela1[[#This Row],[PEDIDO]]&amp;Tabela1[[#This Row],[PRODUTO]]</f>
        <v>05-CV-0001P-198ESTRUTURA</v>
      </c>
      <c r="AQ97" s="22" t="str">
        <f ca="1">Tabela1[[#This Row],[PRODUTO]]&amp;Tabela1[[#This Row],[TAG]]</f>
        <v>ESTRUTURA05-CV-0001</v>
      </c>
      <c r="AR97" s="24" t="str">
        <f ca="1">Tabela1[[#This Row],[PEDIDO]]&amp;Tabela1[[#This Row],[PRODUTO]]</f>
        <v>P-198ESTRUTURA</v>
      </c>
      <c r="AS97" s="37">
        <f ca="1">IF(AF97="",0,IF(ISTEXT(AF97),H97*VALUE(SUBSTITUTE(AF97,"%",""))/100,H97*AF97))-Tabela1[[#This Row],[PRONTO ACABADO2]]</f>
        <v>0</v>
      </c>
      <c r="AT97" s="37">
        <f ca="1">IF(AG97="",0,IF(ISTEXT(AG97),H97*VALUE(SUBSTITUTE(AG97,"%",""))/100,H97*AG97))-Tabela1[[#This Row],[PESO EXPEDIDO2]]</f>
        <v>0</v>
      </c>
      <c r="AU97" s="37">
        <f t="shared" ca="1" si="17"/>
        <v>26.3</v>
      </c>
      <c r="AV97" s="37">
        <f t="shared" ca="1" si="18"/>
        <v>26.3</v>
      </c>
      <c r="AW97" s="37"/>
    </row>
    <row r="98" spans="1:49" ht="15.75" hidden="1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 ca="1"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 ca="1">Tabela1[[#This Row],[QTDE/ Fabricação]]-Tabela1[[#This Row],[QTE]]</f>
        <v>-1</v>
      </c>
      <c r="R98" s="18">
        <f t="shared" ca="1" si="24"/>
        <v>2.4</v>
      </c>
      <c r="S98" s="18">
        <f t="shared" ca="1" si="25"/>
        <v>2.4</v>
      </c>
      <c r="T98" s="19">
        <f t="shared" ca="1" si="26"/>
        <v>0</v>
      </c>
      <c r="U98" s="16">
        <f>IFERROR(SUMIF('LISTA DE EMBARQUE'!B:B,MICRO!E:E,'LISTA DE EMBARQUE'!G:G),"")</f>
        <v>1</v>
      </c>
      <c r="V98" s="12">
        <f>IFERROR(VLOOKUP(Tabela1[[#This Row],[COD.MDE]],'LISTA DE EMBARQUE'!B:L,11,0),"")</f>
        <v>6</v>
      </c>
      <c r="W98" s="13" t="str">
        <f ca="1">IFERROR(COUNTIF(#REF!,Tabela1[[#This Row],[Colunas5]]),"")</f>
        <v/>
      </c>
      <c r="X98" s="14">
        <f ca="1">Tabela1[[#This Row],[QIANTIDADE EXPEDIDA]]*Tabela1[[#This Row],[PESO UNI]]</f>
        <v>2.4</v>
      </c>
      <c r="Y98" s="14">
        <f t="shared" ca="1" si="27"/>
        <v>0</v>
      </c>
      <c r="Z98" s="20">
        <f ca="1">Tabela1[[#This Row],[PESO TOTAL]]-Tabela1[[#This Row],[Peso Expedido]]</f>
        <v>0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>
        <v>1</v>
      </c>
      <c r="AI98" s="33" t="str">
        <f t="shared" ca="1" si="28"/>
        <v>ok</v>
      </c>
      <c r="AJ98" s="5"/>
      <c r="AK98" t="str">
        <f ca="1">Tabela1[[#This Row],[Coluna1]]&amp;Tabela1[[#This Row],[PEDIDO]]</f>
        <v>P-198</v>
      </c>
      <c r="AL98"/>
      <c r="AM98"/>
      <c r="AN98"/>
      <c r="AO98" t="str">
        <f t="shared" ca="1" si="19"/>
        <v>T-073201-1/05-CV-0001</v>
      </c>
      <c r="AP98" t="str">
        <f ca="1">Tabela1[[#This Row],[TAG]]&amp;Tabela1[[#This Row],[PEDIDO]]&amp;Tabela1[[#This Row],[PRODUTO]]</f>
        <v>05-CV-0001P-198ESTRUTURA</v>
      </c>
      <c r="AQ98" s="22" t="str">
        <f ca="1">Tabela1[[#This Row],[PRODUTO]]&amp;Tabela1[[#This Row],[TAG]]</f>
        <v>ESTRUTURA05-CV-0001</v>
      </c>
      <c r="AR98" s="24" t="str">
        <f ca="1">Tabela1[[#This Row],[PEDIDO]]&amp;Tabela1[[#This Row],[PRODUTO]]</f>
        <v>P-198ESTRUTURA</v>
      </c>
      <c r="AS98" s="37">
        <f ca="1">IF(AF98="",0,IF(ISTEXT(AF98),H98*VALUE(SUBSTITUTE(AF98,"%",""))/100,H98*AF98))-Tabela1[[#This Row],[PRONTO ACABADO2]]</f>
        <v>0</v>
      </c>
      <c r="AT98" s="37">
        <f ca="1">IF(AG98="",0,IF(ISTEXT(AG98),H98*VALUE(SUBSTITUTE(AG98,"%",""))/100,H98*AG98))-Tabela1[[#This Row],[PESO EXPEDIDO2]]</f>
        <v>0</v>
      </c>
      <c r="AU98" s="37">
        <f t="shared" ca="1" si="17"/>
        <v>2.4</v>
      </c>
      <c r="AV98" s="37">
        <f t="shared" ca="1" si="18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 ca="1"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 ca="1">Tabela1[[#This Row],[QTDE/ Fabricação]]-Tabela1[[#This Row],[QTE]]</f>
        <v>-1</v>
      </c>
      <c r="R99" s="18">
        <f t="shared" ca="1" si="24"/>
        <v>1.3475000000000001</v>
      </c>
      <c r="S99" s="18">
        <f t="shared" ca="1" si="25"/>
        <v>0</v>
      </c>
      <c r="T99" s="19">
        <f t="shared" ca="1" si="26"/>
        <v>-2.2000000000000002</v>
      </c>
      <c r="U99" s="16">
        <f>IFERROR(SUMIF('LISTA DE EMBARQUE'!B:B,MICRO!E:E,'LISTA DE EMBARQUE'!G:G),"")</f>
        <v>0</v>
      </c>
      <c r="V99" s="12" t="str">
        <f ca="1">IFERROR(VLOOKUP(Tabela1[[#This Row],[COD.MDE]],'LISTA DE EMBARQUE'!B:L,11,0),"")</f>
        <v/>
      </c>
      <c r="W99" s="13" t="str">
        <f ca="1">IFERROR(COUNTIF(#REF!,Tabela1[[#This Row],[Colunas5]]),"")</f>
        <v/>
      </c>
      <c r="X99" s="14">
        <f ca="1">Tabela1[[#This Row],[QIANTIDADE EXPEDIDA]]*Tabela1[[#This Row],[PESO UNI]]</f>
        <v>0</v>
      </c>
      <c r="Y99" s="14">
        <f t="shared" ca="1" si="27"/>
        <v>-1</v>
      </c>
      <c r="Z99" s="20">
        <f ca="1">Tabela1[[#This Row],[PESO TOTAL]]-Tabela1[[#This Row],[Peso Expedido]]</f>
        <v>2.2000000000000002</v>
      </c>
      <c r="AA99" s="17">
        <v>1</v>
      </c>
      <c r="AB99" s="33"/>
      <c r="AC99" s="17">
        <v>1</v>
      </c>
      <c r="AD99" s="33">
        <v>0.5</v>
      </c>
      <c r="AE99" s="33"/>
      <c r="AF99" s="33"/>
      <c r="AG99" s="33"/>
      <c r="AH99" s="33"/>
      <c r="AI99" s="33" t="str">
        <f t="shared" ca="1" si="28"/>
        <v/>
      </c>
      <c r="AJ99" s="5"/>
      <c r="AK99" t="str">
        <f ca="1">Tabela1[[#This Row],[Coluna1]]&amp;Tabela1[[#This Row],[PEDIDO]]</f>
        <v>P-198</v>
      </c>
      <c r="AL99"/>
      <c r="AM99"/>
      <c r="AN99"/>
      <c r="AO99" t="str">
        <f t="shared" ca="1" si="19"/>
        <v>T-073201-1/05-CV-0001</v>
      </c>
      <c r="AP99" t="str">
        <f ca="1">Tabela1[[#This Row],[TAG]]&amp;Tabela1[[#This Row],[PEDIDO]]&amp;Tabela1[[#This Row],[PRODUTO]]</f>
        <v>05-CV-0001P-198ESTRUTURA</v>
      </c>
      <c r="AQ99" s="22" t="str">
        <f ca="1">Tabela1[[#This Row],[PRODUTO]]&amp;Tabela1[[#This Row],[TAG]]</f>
        <v>ESTRUTURA05-CV-0001</v>
      </c>
      <c r="AR99" s="24" t="str">
        <f ca="1">Tabela1[[#This Row],[PEDIDO]]&amp;Tabela1[[#This Row],[PRODUTO]]</f>
        <v>P-198ESTRUTURA</v>
      </c>
      <c r="AS99" s="37">
        <f ca="1">IF(AF99="",0,IF(ISTEXT(AF99),H99*VALUE(SUBSTITUTE(AF99,"%",""))/100,H99*AF99))-Tabela1[[#This Row],[PRONTO ACABADO2]]</f>
        <v>0</v>
      </c>
      <c r="AT99" s="37">
        <f ca="1">IF(AG99="",0,IF(ISTEXT(AG99),H99*VALUE(SUBSTITUTE(AG99,"%",""))/100,H99*AG99))-Tabela1[[#This Row],[PESO EXPEDIDO2]]</f>
        <v>0</v>
      </c>
      <c r="AU99" s="37">
        <f t="shared" ca="1" si="17"/>
        <v>0</v>
      </c>
      <c r="AV99" s="37">
        <f t="shared" ca="1" si="18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 ca="1"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 ca="1">Tabela1[[#This Row],[QTDE/ Fabricação]]-Tabela1[[#This Row],[QTE]]</f>
        <v>-2</v>
      </c>
      <c r="R100" s="18">
        <f t="shared" ca="1" si="24"/>
        <v>1.47</v>
      </c>
      <c r="S100" s="18">
        <f t="shared" ca="1" si="25"/>
        <v>0</v>
      </c>
      <c r="T100" s="19">
        <f t="shared" ca="1" si="26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 ca="1">IFERROR(COUNTIF(#REF!,Tabela1[[#This Row],[Colunas5]]),"")</f>
        <v/>
      </c>
      <c r="X100" s="14">
        <f ca="1">Tabela1[[#This Row],[QIANTIDADE EXPEDIDA]]*Tabela1[[#This Row],[PESO UNI]]</f>
        <v>0</v>
      </c>
      <c r="Y100" s="14">
        <f t="shared" ca="1" si="27"/>
        <v>-2</v>
      </c>
      <c r="Z100" s="20">
        <f ca="1">Tabela1[[#This Row],[PESO TOTAL]]-Tabela1[[#This Row],[Peso Expedido]]</f>
        <v>2.4</v>
      </c>
      <c r="AA100" s="17">
        <v>1</v>
      </c>
      <c r="AB100" s="33"/>
      <c r="AC100" s="17">
        <v>1</v>
      </c>
      <c r="AD100" s="33">
        <v>0.5</v>
      </c>
      <c r="AE100" s="33"/>
      <c r="AF100" s="33"/>
      <c r="AG100" s="33"/>
      <c r="AH100" s="33"/>
      <c r="AI100" s="33" t="str">
        <f t="shared" ca="1" si="28"/>
        <v/>
      </c>
      <c r="AJ100" s="5"/>
      <c r="AK100" t="str">
        <f ca="1">Tabela1[[#This Row],[Coluna1]]&amp;Tabela1[[#This Row],[PEDIDO]]</f>
        <v>P-198</v>
      </c>
      <c r="AL100"/>
      <c r="AM100"/>
      <c r="AN100"/>
      <c r="AO100" t="str">
        <f t="shared" ca="1" si="19"/>
        <v>T-073201-1/05-CV-0001</v>
      </c>
      <c r="AP100" t="str">
        <f ca="1">Tabela1[[#This Row],[TAG]]&amp;Tabela1[[#This Row],[PEDIDO]]&amp;Tabela1[[#This Row],[PRODUTO]]</f>
        <v>05-CV-0001P-198ESTRUTURA</v>
      </c>
      <c r="AQ100" s="22" t="str">
        <f ca="1">Tabela1[[#This Row],[PRODUTO]]&amp;Tabela1[[#This Row],[TAG]]</f>
        <v>ESTRUTURA05-CV-0001</v>
      </c>
      <c r="AR100" s="24" t="str">
        <f ca="1">Tabela1[[#This Row],[PEDIDO]]&amp;Tabela1[[#This Row],[PRODUTO]]</f>
        <v>P-198ESTRUTURA</v>
      </c>
      <c r="AS100" s="37">
        <f ca="1">IF(AF100="",0,IF(ISTEXT(AF100),H100*VALUE(SUBSTITUTE(AF100,"%",""))/100,H100*AF100))-Tabela1[[#This Row],[PRONTO ACABADO2]]</f>
        <v>0</v>
      </c>
      <c r="AT100" s="37">
        <f ca="1">IF(AG100="",0,IF(ISTEXT(AG100),H100*VALUE(SUBSTITUTE(AG100,"%",""))/100,H100*AG100))-Tabela1[[#This Row],[PESO EXPEDIDO2]]</f>
        <v>0</v>
      </c>
      <c r="AU100" s="37">
        <f t="shared" ca="1" si="17"/>
        <v>0</v>
      </c>
      <c r="AV100" s="37">
        <f t="shared" ca="1" si="18"/>
        <v>0</v>
      </c>
      <c r="AW100" s="37"/>
    </row>
    <row r="101" spans="1:49" ht="15.75" hidden="1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 ca="1"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 ca="1">Tabela1[[#This Row],[QTDE/ Fabricação]]-Tabela1[[#This Row],[QTE]]</f>
        <v>-4</v>
      </c>
      <c r="R101" s="18">
        <f t="shared" ca="1" si="24"/>
        <v>10.8</v>
      </c>
      <c r="S101" s="18">
        <f t="shared" ca="1" si="25"/>
        <v>10.8</v>
      </c>
      <c r="T101" s="19">
        <f t="shared" ca="1" si="26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 ca="1">IFERROR(COUNTIF(#REF!,Tabela1[[#This Row],[Colunas5]]),"")</f>
        <v/>
      </c>
      <c r="X101" s="14">
        <f ca="1">Tabela1[[#This Row],[QIANTIDADE EXPEDIDA]]*Tabela1[[#This Row],[PESO UNI]]</f>
        <v>10.8</v>
      </c>
      <c r="Y101" s="14">
        <f t="shared" ca="1" si="27"/>
        <v>0</v>
      </c>
      <c r="Z101" s="20">
        <f ca="1"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ca="1" si="28"/>
        <v>ok</v>
      </c>
      <c r="AJ101" s="5"/>
      <c r="AK101" t="str">
        <f ca="1">Tabela1[[#This Row],[Coluna1]]&amp;Tabela1[[#This Row],[PEDIDO]]</f>
        <v>P-198</v>
      </c>
      <c r="AL101"/>
      <c r="AM101"/>
      <c r="AN101"/>
      <c r="AO101" t="str">
        <f t="shared" ca="1" si="19"/>
        <v>T-054922-4/14-CV-0005</v>
      </c>
      <c r="AP101" t="str">
        <f ca="1">Tabela1[[#This Row],[TAG]]&amp;Tabela1[[#This Row],[PEDIDO]]&amp;Tabela1[[#This Row],[PRODUTO]]</f>
        <v>14-CV-0005P-198ROLOS</v>
      </c>
      <c r="AQ101" s="22" t="str">
        <f ca="1">Tabela1[[#This Row],[PRODUTO]]&amp;Tabela1[[#This Row],[TAG]]</f>
        <v>ROLOS14-CV-0005</v>
      </c>
      <c r="AR101" s="24" t="str">
        <f ca="1">Tabela1[[#This Row],[PEDIDO]]&amp;Tabela1[[#This Row],[PRODUTO]]</f>
        <v>P-198ROLOS</v>
      </c>
      <c r="AS101" s="37">
        <f ca="1">IF(AF101="",0,IF(ISTEXT(AF101),H101*VALUE(SUBSTITUTE(AF101,"%",""))/100,H101*AF101))-Tabela1[[#This Row],[PRONTO ACABADO2]]</f>
        <v>0</v>
      </c>
      <c r="AT101" s="37">
        <f ca="1">IF(AG101="",0,IF(ISTEXT(AG101),H101*VALUE(SUBSTITUTE(AG101,"%",""))/100,H101*AG101))-Tabela1[[#This Row],[PESO EXPEDIDO2]]</f>
        <v>0</v>
      </c>
      <c r="AU101" s="37">
        <f t="shared" ref="AU101:AU163" ca="1" si="29">IF(AH101="",0,IF(ISTEXT(AH101),H101*VALUE(SUBSTITUTE(AH101,"%",""))/100,H101*AH101))</f>
        <v>10.8</v>
      </c>
      <c r="AV101" s="37">
        <f t="shared" ref="AV101:AV163" ca="1" si="30">IF(AG101="",0,IF(ISTEXT(AG101),H101*VALUE(SUBSTITUTE(AG101,"%",""))/100,H101*AG101))</f>
        <v>10.8</v>
      </c>
      <c r="AW101" s="37"/>
    </row>
    <row r="102" spans="1:49" ht="15.75" hidden="1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 ca="1"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 ca="1">Tabela1[[#This Row],[QTDE/ Fabricação]]-Tabela1[[#This Row],[QTE]]</f>
        <v>-4</v>
      </c>
      <c r="R102" s="18">
        <f t="shared" ca="1" si="24"/>
        <v>12.8</v>
      </c>
      <c r="S102" s="18">
        <f t="shared" ca="1" si="25"/>
        <v>12.8</v>
      </c>
      <c r="T102" s="19">
        <f t="shared" ca="1" si="26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 ca="1">IFERROR(COUNTIF(#REF!,Tabela1[[#This Row],[Colunas5]]),"")</f>
        <v/>
      </c>
      <c r="X102" s="14">
        <f ca="1">Tabela1[[#This Row],[QIANTIDADE EXPEDIDA]]*Tabela1[[#This Row],[PESO UNI]]</f>
        <v>12.8</v>
      </c>
      <c r="Y102" s="14">
        <f t="shared" ca="1" si="27"/>
        <v>0</v>
      </c>
      <c r="Z102" s="20">
        <f ca="1"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ca="1" si="28"/>
        <v>ok</v>
      </c>
      <c r="AJ102" s="5"/>
      <c r="AK102" t="str">
        <f ca="1">Tabela1[[#This Row],[Coluna1]]&amp;Tabela1[[#This Row],[PEDIDO]]</f>
        <v>P-198</v>
      </c>
      <c r="AL102"/>
      <c r="AM102"/>
      <c r="AN102"/>
      <c r="AO102" t="str">
        <f t="shared" ca="1" si="19"/>
        <v>T-054921-4/14-CV-0005</v>
      </c>
      <c r="AP102" t="str">
        <f ca="1">Tabela1[[#This Row],[TAG]]&amp;Tabela1[[#This Row],[PEDIDO]]&amp;Tabela1[[#This Row],[PRODUTO]]</f>
        <v>14-CV-0005P-198ROLOS</v>
      </c>
      <c r="AQ102" s="22" t="str">
        <f ca="1">Tabela1[[#This Row],[PRODUTO]]&amp;Tabela1[[#This Row],[TAG]]</f>
        <v>ROLOS14-CV-0005</v>
      </c>
      <c r="AR102" s="24" t="str">
        <f ca="1">Tabela1[[#This Row],[PEDIDO]]&amp;Tabela1[[#This Row],[PRODUTO]]</f>
        <v>P-198ROLOS</v>
      </c>
      <c r="AS102" s="37">
        <f ca="1">IF(AF102="",0,IF(ISTEXT(AF102),H102*VALUE(SUBSTITUTE(AF102,"%",""))/100,H102*AF102))-Tabela1[[#This Row],[PRONTO ACABADO2]]</f>
        <v>0</v>
      </c>
      <c r="AT102" s="37">
        <f ca="1">IF(AG102="",0,IF(ISTEXT(AG102),H102*VALUE(SUBSTITUTE(AG102,"%",""))/100,H102*AG102))-Tabela1[[#This Row],[PESO EXPEDIDO2]]</f>
        <v>0</v>
      </c>
      <c r="AU102" s="37">
        <f t="shared" ca="1" si="29"/>
        <v>12.8</v>
      </c>
      <c r="AV102" s="37">
        <f t="shared" ca="1" si="30"/>
        <v>12.8</v>
      </c>
      <c r="AW102" s="37"/>
    </row>
    <row r="103" spans="1:49" ht="15.75" hidden="1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 ca="1"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 ca="1">Tabela1[[#This Row],[QTDE/ Fabricação]]-Tabela1[[#This Row],[QTE]]</f>
        <v>-6</v>
      </c>
      <c r="R103" s="18">
        <f t="shared" ca="1" si="24"/>
        <v>324</v>
      </c>
      <c r="S103" s="18">
        <f t="shared" ca="1" si="25"/>
        <v>324</v>
      </c>
      <c r="T103" s="19">
        <f t="shared" ca="1" si="26"/>
        <v>0</v>
      </c>
      <c r="U103" s="16">
        <f>IFERROR(SUMIF('LISTA DE EMBARQUE'!B:B,MICRO!E:E,'LISTA DE EMBARQUE'!G:G),"")</f>
        <v>6</v>
      </c>
      <c r="V103" s="12">
        <f ca="1">IFERROR(VLOOKUP(Tabela1[[#This Row],[COD.MDE]],'LISTA DE EMBARQUE'!B:L,11,0),"")</f>
        <v>1</v>
      </c>
      <c r="W103" s="13" t="str">
        <f ca="1">IFERROR(COUNTIF(#REF!,Tabela1[[#This Row],[Colunas5]]),"")</f>
        <v/>
      </c>
      <c r="X103" s="14">
        <f ca="1">Tabela1[[#This Row],[QIANTIDADE EXPEDIDA]]*Tabela1[[#This Row],[PESO UNI]]</f>
        <v>324</v>
      </c>
      <c r="Y103" s="14">
        <f t="shared" ca="1" si="27"/>
        <v>0</v>
      </c>
      <c r="Z103" s="20">
        <f ca="1"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ca="1" si="28"/>
        <v>ok</v>
      </c>
      <c r="AJ103" s="5"/>
      <c r="AK103" t="str">
        <f ca="1">Tabela1[[#This Row],[Coluna1]]&amp;Tabela1[[#This Row],[PEDIDO]]</f>
        <v>P-198</v>
      </c>
      <c r="AL103"/>
      <c r="AM103"/>
      <c r="AN103"/>
      <c r="AO103" t="str">
        <f t="shared" ca="1" si="19"/>
        <v>R-3-4-10556/14-CV-0005</v>
      </c>
      <c r="AP103" t="str">
        <f ca="1">Tabela1[[#This Row],[TAG]]&amp;Tabela1[[#This Row],[PEDIDO]]&amp;Tabela1[[#This Row],[PRODUTO]]</f>
        <v>14-CV-0005P-198ROLOS</v>
      </c>
      <c r="AQ103" s="22" t="str">
        <f ca="1">Tabela1[[#This Row],[PRODUTO]]&amp;Tabela1[[#This Row],[TAG]]</f>
        <v>ROLOS14-CV-0005</v>
      </c>
      <c r="AR103" s="24" t="str">
        <f ca="1">Tabela1[[#This Row],[PEDIDO]]&amp;Tabela1[[#This Row],[PRODUTO]]</f>
        <v>P-198ROLOS</v>
      </c>
      <c r="AS103" s="37">
        <f ca="1">IF(AF103="",0,IF(ISTEXT(AF103),H103*VALUE(SUBSTITUTE(AF103,"%",""))/100,H103*AF103))-Tabela1[[#This Row],[PRONTO ACABADO2]]</f>
        <v>0</v>
      </c>
      <c r="AT103" s="37">
        <f ca="1">IF(AG103="",0,IF(ISTEXT(AG103),H103*VALUE(SUBSTITUTE(AG103,"%",""))/100,H103*AG103))-Tabela1[[#This Row],[PESO EXPEDIDO2]]</f>
        <v>0</v>
      </c>
      <c r="AU103" s="37">
        <f t="shared" ca="1" si="29"/>
        <v>324</v>
      </c>
      <c r="AV103" s="37">
        <f t="shared" ca="1" si="30"/>
        <v>324</v>
      </c>
      <c r="AW103" s="37"/>
    </row>
    <row r="104" spans="1:49" ht="15.75" hidden="1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 ca="1"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 ca="1">Tabela1[[#This Row],[QTDE/ Fabricação]]-Tabela1[[#This Row],[QTE]]</f>
        <v>-14</v>
      </c>
      <c r="R104" s="18">
        <f t="shared" ca="1" si="24"/>
        <v>65.8</v>
      </c>
      <c r="S104" s="18">
        <f t="shared" ca="1" si="25"/>
        <v>65.8</v>
      </c>
      <c r="T104" s="19">
        <f t="shared" ca="1" si="26"/>
        <v>0</v>
      </c>
      <c r="U104" s="16">
        <f>IFERROR(SUMIF('LISTA DE EMBARQUE'!B:B,MICRO!E:E,'LISTA DE EMBARQUE'!G:G),"")</f>
        <v>14</v>
      </c>
      <c r="V104" s="12">
        <f>IFERROR(VLOOKUP(Tabela1[[#This Row],[COD.MDE]],'LISTA DE EMBARQUE'!B:L,11,0),"")</f>
        <v>5</v>
      </c>
      <c r="W104" s="13" t="str">
        <f ca="1">IFERROR(COUNTIF(#REF!,Tabela1[[#This Row],[Colunas5]]),"")</f>
        <v/>
      </c>
      <c r="X104" s="14">
        <f ca="1">Tabela1[[#This Row],[QIANTIDADE EXPEDIDA]]*Tabela1[[#This Row],[PESO UNI]]</f>
        <v>65.8</v>
      </c>
      <c r="Y104" s="14">
        <f t="shared" ca="1" si="27"/>
        <v>0</v>
      </c>
      <c r="Z104" s="20">
        <f ca="1">Tabela1[[#This Row],[PESO TOTAL]]-Tabela1[[#This Row],[Peso Expedido]]</f>
        <v>0</v>
      </c>
      <c r="AA104" s="17">
        <v>1</v>
      </c>
      <c r="AB104" s="33"/>
      <c r="AC104" s="33">
        <v>1</v>
      </c>
      <c r="AD104" s="33">
        <v>1</v>
      </c>
      <c r="AE104" s="33">
        <v>1</v>
      </c>
      <c r="AF104" s="33">
        <v>1</v>
      </c>
      <c r="AG104" s="33">
        <v>1</v>
      </c>
      <c r="AH104" s="33">
        <v>1</v>
      </c>
      <c r="AI104" s="33" t="str">
        <f t="shared" ca="1" si="28"/>
        <v>ok</v>
      </c>
      <c r="AJ104" s="5"/>
      <c r="AK104" t="str">
        <f ca="1">Tabela1[[#This Row],[Coluna1]]&amp;Tabela1[[#This Row],[PEDIDO]]</f>
        <v>P-198</v>
      </c>
      <c r="AL104"/>
      <c r="AM104"/>
      <c r="AN104"/>
      <c r="AO104" t="str">
        <f t="shared" ca="1" si="19"/>
        <v>R-1-4-9144/14-CV-0005</v>
      </c>
      <c r="AP104" t="str">
        <f ca="1">Tabela1[[#This Row],[TAG]]&amp;Tabela1[[#This Row],[PEDIDO]]&amp;Tabela1[[#This Row],[PRODUTO]]</f>
        <v>14-CV-0005P-198ROLOS</v>
      </c>
      <c r="AQ104" s="22" t="str">
        <f ca="1">Tabela1[[#This Row],[PRODUTO]]&amp;Tabela1[[#This Row],[TAG]]</f>
        <v>ROLOS14-CV-0005</v>
      </c>
      <c r="AR104" s="24" t="str">
        <f ca="1">Tabela1[[#This Row],[PEDIDO]]&amp;Tabela1[[#This Row],[PRODUTO]]</f>
        <v>P-198ROLOS</v>
      </c>
      <c r="AS104" s="37">
        <f ca="1">IF(AF104="",0,IF(ISTEXT(AF104),H104*VALUE(SUBSTITUTE(AF104,"%",""))/100,H104*AF104))-Tabela1[[#This Row],[PRONTO ACABADO2]]</f>
        <v>0</v>
      </c>
      <c r="AT104" s="37">
        <f ca="1">IF(AG104="",0,IF(ISTEXT(AG104),H104*VALUE(SUBSTITUTE(AG104,"%",""))/100,H104*AG104))-Tabela1[[#This Row],[PESO EXPEDIDO2]]</f>
        <v>0</v>
      </c>
      <c r="AU104" s="37">
        <f t="shared" ca="1" si="29"/>
        <v>65.8</v>
      </c>
      <c r="AV104" s="37">
        <f t="shared" ca="1" si="30"/>
        <v>65.8</v>
      </c>
      <c r="AW104" s="37"/>
    </row>
    <row r="105" spans="1:49" ht="15.75" hidden="1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 ca="1"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 ca="1">Tabela1[[#This Row],[QTDE/ Fabricação]]-Tabela1[[#This Row],[QTE]]</f>
        <v>-42</v>
      </c>
      <c r="R105" s="18">
        <f t="shared" ca="1" si="24"/>
        <v>378</v>
      </c>
      <c r="S105" s="18">
        <f t="shared" ca="1" si="25"/>
        <v>378</v>
      </c>
      <c r="T105" s="19">
        <f t="shared" ca="1" si="26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 ca="1">IFERROR(COUNTIF(#REF!,Tabela1[[#This Row],[Colunas5]]),"")</f>
        <v/>
      </c>
      <c r="X105" s="14">
        <f ca="1">Tabela1[[#This Row],[QIANTIDADE EXPEDIDA]]*Tabela1[[#This Row],[PESO UNI]]</f>
        <v>378</v>
      </c>
      <c r="Y105" s="14">
        <f t="shared" ca="1" si="27"/>
        <v>0</v>
      </c>
      <c r="Z105" s="20">
        <f ca="1"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ca="1" si="28"/>
        <v>ok</v>
      </c>
      <c r="AJ105" s="5"/>
      <c r="AK105" t="str">
        <f ca="1">Tabela1[[#This Row],[Coluna1]]&amp;Tabela1[[#This Row],[PEDIDO]]</f>
        <v>P-198</v>
      </c>
      <c r="AL105"/>
      <c r="AM105"/>
      <c r="AN105"/>
      <c r="AO105" t="str">
        <f t="shared" ca="1" si="19"/>
        <v>R-1-4-8844/14-CV-0005</v>
      </c>
      <c r="AP105" t="str">
        <f ca="1">Tabela1[[#This Row],[TAG]]&amp;Tabela1[[#This Row],[PEDIDO]]&amp;Tabela1[[#This Row],[PRODUTO]]</f>
        <v>14-CV-0005P-198ROLOS</v>
      </c>
      <c r="AQ105" s="22" t="str">
        <f ca="1">Tabela1[[#This Row],[PRODUTO]]&amp;Tabela1[[#This Row],[TAG]]</f>
        <v>ROLOS14-CV-0005</v>
      </c>
      <c r="AR105" s="24" t="str">
        <f ca="1">Tabela1[[#This Row],[PEDIDO]]&amp;Tabela1[[#This Row],[PRODUTO]]</f>
        <v>P-198ROLOS</v>
      </c>
      <c r="AS105" s="37">
        <f ca="1">IF(AF105="",0,IF(ISTEXT(AF105),H105*VALUE(SUBSTITUTE(AF105,"%",""))/100,H105*AF105))-Tabela1[[#This Row],[PRONTO ACABADO2]]</f>
        <v>0</v>
      </c>
      <c r="AT105" s="37">
        <f ca="1">IF(AG105="",0,IF(ISTEXT(AG105),H105*VALUE(SUBSTITUTE(AG105,"%",""))/100,H105*AG105))-Tabela1[[#This Row],[PESO EXPEDIDO2]]</f>
        <v>0</v>
      </c>
      <c r="AU105" s="37">
        <f t="shared" ca="1" si="29"/>
        <v>378</v>
      </c>
      <c r="AV105" s="37">
        <f t="shared" ca="1" si="30"/>
        <v>378</v>
      </c>
      <c r="AW105" s="37"/>
    </row>
    <row r="106" spans="1:49" ht="15.75" hidden="1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 ca="1"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 ca="1">Tabela1[[#This Row],[QTDE/ Fabricação]]-Tabela1[[#This Row],[QTE]]</f>
        <v>-24</v>
      </c>
      <c r="R106" s="18">
        <f t="shared" ca="1" si="24"/>
        <v>120</v>
      </c>
      <c r="S106" s="18">
        <f t="shared" ca="1" si="25"/>
        <v>120</v>
      </c>
      <c r="T106" s="19">
        <f t="shared" ca="1" si="26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 ca="1">IFERROR(COUNTIF(#REF!,Tabela1[[#This Row],[Colunas5]]),"")</f>
        <v/>
      </c>
      <c r="X106" s="14">
        <f ca="1">Tabela1[[#This Row],[QIANTIDADE EXPEDIDA]]*Tabela1[[#This Row],[PESO UNI]]</f>
        <v>120</v>
      </c>
      <c r="Y106" s="14">
        <f t="shared" ca="1" si="27"/>
        <v>0</v>
      </c>
      <c r="Z106" s="20">
        <f ca="1"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ca="1" si="28"/>
        <v>ok</v>
      </c>
      <c r="AJ106" s="5"/>
      <c r="AK106" t="str">
        <f ca="1">Tabela1[[#This Row],[Coluna1]]&amp;Tabela1[[#This Row],[PEDIDO]]</f>
        <v>P-198</v>
      </c>
      <c r="AL106"/>
      <c r="AM106"/>
      <c r="AN106"/>
      <c r="AO106" t="str">
        <f t="shared" ca="1" si="19"/>
        <v>R-1-4-8696B/14-CV-0005</v>
      </c>
      <c r="AP106" t="str">
        <f ca="1">Tabela1[[#This Row],[TAG]]&amp;Tabela1[[#This Row],[PEDIDO]]&amp;Tabela1[[#This Row],[PRODUTO]]</f>
        <v>14-CV-0005P-198ROLOS</v>
      </c>
      <c r="AQ106" s="22" t="str">
        <f ca="1">Tabela1[[#This Row],[PRODUTO]]&amp;Tabela1[[#This Row],[TAG]]</f>
        <v>ROLOS14-CV-0005</v>
      </c>
      <c r="AR106" s="24" t="str">
        <f ca="1">Tabela1[[#This Row],[PEDIDO]]&amp;Tabela1[[#This Row],[PRODUTO]]</f>
        <v>P-198ROLOS</v>
      </c>
      <c r="AS106" s="37">
        <f ca="1">IF(AF106="",0,IF(ISTEXT(AF106),H106*VALUE(SUBSTITUTE(AF106,"%",""))/100,H106*AF106))-Tabela1[[#This Row],[PRONTO ACABADO2]]</f>
        <v>0</v>
      </c>
      <c r="AT106" s="37">
        <f ca="1">IF(AG106="",0,IF(ISTEXT(AG106),H106*VALUE(SUBSTITUTE(AG106,"%",""))/100,H106*AG106))-Tabela1[[#This Row],[PESO EXPEDIDO2]]</f>
        <v>0</v>
      </c>
      <c r="AU106" s="37">
        <f t="shared" ca="1" si="29"/>
        <v>120</v>
      </c>
      <c r="AV106" s="37">
        <f t="shared" ca="1" si="30"/>
        <v>120</v>
      </c>
      <c r="AW106" s="37"/>
    </row>
    <row r="107" spans="1:49" ht="15.75" hidden="1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 ca="1"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 ca="1">Tabela1[[#This Row],[QTDE/ Fabricação]]-Tabela1[[#This Row],[QTE]]</f>
        <v>-1</v>
      </c>
      <c r="R107" s="18">
        <f t="shared" ca="1" si="24"/>
        <v>18.5</v>
      </c>
      <c r="S107" s="18">
        <f t="shared" ca="1" si="25"/>
        <v>18.5</v>
      </c>
      <c r="T107" s="19">
        <f t="shared" ca="1" si="26"/>
        <v>0</v>
      </c>
      <c r="U107" s="16">
        <f>IFERROR(SUMIF('LISTA DE EMBARQUE'!B:B,MICRO!E:E,'LISTA DE EMBARQUE'!G:G),"")</f>
        <v>1</v>
      </c>
      <c r="V107" s="12">
        <f ca="1">IFERROR(VLOOKUP(Tabela1[[#This Row],[COD.MDE]],'LISTA DE EMBARQUE'!B:L,11,0),"")</f>
        <v>2</v>
      </c>
      <c r="W107" s="13" t="str">
        <f ca="1">IFERROR(COUNTIF(#REF!,Tabela1[[#This Row],[Colunas5]]),"")</f>
        <v/>
      </c>
      <c r="X107" s="14">
        <f ca="1">Tabela1[[#This Row],[QIANTIDADE EXPEDIDA]]*Tabela1[[#This Row],[PESO UNI]]</f>
        <v>18.5</v>
      </c>
      <c r="Y107" s="14">
        <f t="shared" ca="1" si="27"/>
        <v>0</v>
      </c>
      <c r="Z107" s="20">
        <f ca="1"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ca="1" si="28"/>
        <v>ok</v>
      </c>
      <c r="AJ107" s="5"/>
      <c r="AK107" t="str">
        <f ca="1">Tabela1[[#This Row],[Coluna1]]&amp;Tabela1[[#This Row],[PEDIDO]]</f>
        <v>P-198</v>
      </c>
      <c r="AL107"/>
      <c r="AM107"/>
      <c r="AN107"/>
      <c r="AO107" t="str">
        <f t="shared" ca="1" si="19"/>
        <v>T-073284-1/14-CV-0005</v>
      </c>
      <c r="AP107" t="str">
        <f ca="1">Tabela1[[#This Row],[TAG]]&amp;Tabela1[[#This Row],[PEDIDO]]&amp;Tabela1[[#This Row],[PRODUTO]]</f>
        <v>14-CV-0005P-198BASES ROLETES</v>
      </c>
      <c r="AQ107" s="22" t="str">
        <f ca="1">Tabela1[[#This Row],[PRODUTO]]&amp;Tabela1[[#This Row],[TAG]]</f>
        <v>BASES ROLETES14-CV-0005</v>
      </c>
      <c r="AR107" s="24" t="str">
        <f ca="1">Tabela1[[#This Row],[PEDIDO]]&amp;Tabela1[[#This Row],[PRODUTO]]</f>
        <v>P-198BASES ROLETES</v>
      </c>
      <c r="AS107" s="37">
        <f ca="1">IF(AF107="",0,IF(ISTEXT(AF107),H107*VALUE(SUBSTITUTE(AF107,"%",""))/100,H107*AF107))-Tabela1[[#This Row],[PRONTO ACABADO2]]</f>
        <v>0</v>
      </c>
      <c r="AT107" s="37">
        <f ca="1">IF(AG107="",0,IF(ISTEXT(AG107),H107*VALUE(SUBSTITUTE(AG107,"%",""))/100,H107*AG107))-Tabela1[[#This Row],[PESO EXPEDIDO2]]</f>
        <v>0</v>
      </c>
      <c r="AU107" s="37">
        <f t="shared" ca="1" si="29"/>
        <v>18.5</v>
      </c>
      <c r="AV107" s="37">
        <f t="shared" ca="1" si="30"/>
        <v>18.5</v>
      </c>
      <c r="AW107" s="37"/>
    </row>
    <row r="108" spans="1:49" ht="15.75" hidden="1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 ca="1"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 ca="1">Tabela1[[#This Row],[QTDE/ Fabricação]]-Tabela1[[#This Row],[QTE]]</f>
        <v>-1</v>
      </c>
      <c r="R108" s="18">
        <f t="shared" ca="1" si="24"/>
        <v>31.2</v>
      </c>
      <c r="S108" s="18">
        <f t="shared" ca="1" si="25"/>
        <v>31.2</v>
      </c>
      <c r="T108" s="19">
        <f t="shared" ca="1" si="26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 ca="1">IFERROR(COUNTIF(#REF!,Tabela1[[#This Row],[Colunas5]]),"")</f>
        <v/>
      </c>
      <c r="X108" s="14">
        <f ca="1">Tabela1[[#This Row],[QIANTIDADE EXPEDIDA]]*Tabela1[[#This Row],[PESO UNI]]</f>
        <v>31.2</v>
      </c>
      <c r="Y108" s="14">
        <f t="shared" ca="1" si="27"/>
        <v>0</v>
      </c>
      <c r="Z108" s="20">
        <f ca="1"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ca="1" si="28"/>
        <v>ok</v>
      </c>
      <c r="AJ108" s="5"/>
      <c r="AK108" t="str">
        <f ca="1">Tabela1[[#This Row],[Coluna1]]&amp;Tabela1[[#This Row],[PEDIDO]]</f>
        <v>P-198</v>
      </c>
      <c r="AL108"/>
      <c r="AM108"/>
      <c r="AN108"/>
      <c r="AO108" t="str">
        <f t="shared" ca="1" si="19"/>
        <v>T-073283-1/14-CV-0005</v>
      </c>
      <c r="AP108" t="str">
        <f ca="1">Tabela1[[#This Row],[TAG]]&amp;Tabela1[[#This Row],[PEDIDO]]&amp;Tabela1[[#This Row],[PRODUTO]]</f>
        <v>14-CV-0005P-198BASES ROLETES</v>
      </c>
      <c r="AQ108" s="22" t="str">
        <f ca="1">Tabela1[[#This Row],[PRODUTO]]&amp;Tabela1[[#This Row],[TAG]]</f>
        <v>BASES ROLETES14-CV-0005</v>
      </c>
      <c r="AR108" s="24" t="str">
        <f ca="1">Tabela1[[#This Row],[PEDIDO]]&amp;Tabela1[[#This Row],[PRODUTO]]</f>
        <v>P-198BASES ROLETES</v>
      </c>
      <c r="AS108" s="37">
        <f ca="1">IF(AF108="",0,IF(ISTEXT(AF108),H108*VALUE(SUBSTITUTE(AF108,"%",""))/100,H108*AF108))-Tabela1[[#This Row],[PRONTO ACABADO2]]</f>
        <v>0</v>
      </c>
      <c r="AT108" s="37">
        <f ca="1">IF(AG108="",0,IF(ISTEXT(AG108),H108*VALUE(SUBSTITUTE(AG108,"%",""))/100,H108*AG108))-Tabela1[[#This Row],[PESO EXPEDIDO2]]</f>
        <v>0</v>
      </c>
      <c r="AU108" s="37">
        <f t="shared" ca="1" si="29"/>
        <v>31.2</v>
      </c>
      <c r="AV108" s="37">
        <f t="shared" ca="1" si="30"/>
        <v>31.2</v>
      </c>
      <c r="AW108" s="37"/>
    </row>
    <row r="109" spans="1:49" ht="15.75" hidden="1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 ca="1"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 ca="1">Tabela1[[#This Row],[QTDE/ Fabricação]]-Tabela1[[#This Row],[QTE]]</f>
        <v>-5</v>
      </c>
      <c r="R109" s="18">
        <f t="shared" ca="1" si="24"/>
        <v>30</v>
      </c>
      <c r="S109" s="18">
        <f t="shared" ca="1" si="25"/>
        <v>30</v>
      </c>
      <c r="T109" s="19">
        <f t="shared" ca="1" si="26"/>
        <v>0</v>
      </c>
      <c r="U109" s="16">
        <f>IFERROR(SUMIF('LISTA DE EMBARQUE'!B:B,MICRO!E:E,'LISTA DE EMBARQUE'!G:G),"")</f>
        <v>5</v>
      </c>
      <c r="V109" s="12">
        <f>IFERROR(VLOOKUP(Tabela1[[#This Row],[COD.MDE]],'LISTA DE EMBARQUE'!B:L,11,0),"")</f>
        <v>5</v>
      </c>
      <c r="W109" s="13" t="str">
        <f ca="1">IFERROR(COUNTIF(#REF!,Tabela1[[#This Row],[Colunas5]]),"")</f>
        <v/>
      </c>
      <c r="X109" s="14">
        <f ca="1">Tabela1[[#This Row],[QIANTIDADE EXPEDIDA]]*Tabela1[[#This Row],[PESO UNI]]</f>
        <v>30</v>
      </c>
      <c r="Y109" s="14">
        <f t="shared" ca="1" si="27"/>
        <v>0</v>
      </c>
      <c r="Z109" s="20">
        <f ca="1">Tabela1[[#This Row],[PESO TOTAL]]-Tabela1[[#This Row],[Peso Expedido]]</f>
        <v>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>
        <v>1</v>
      </c>
      <c r="AI109" s="33" t="str">
        <f t="shared" ca="1" si="28"/>
        <v>ok</v>
      </c>
      <c r="AJ109" s="5"/>
      <c r="AK109" t="str">
        <f ca="1">Tabela1[[#This Row],[Coluna1]]&amp;Tabela1[[#This Row],[PEDIDO]]</f>
        <v>P-198</v>
      </c>
      <c r="AL109"/>
      <c r="AM109"/>
      <c r="AN109"/>
      <c r="AO109" t="str">
        <f t="shared" ca="1" si="19"/>
        <v>T-073282-1/14-CV-0005</v>
      </c>
      <c r="AP109" t="str">
        <f ca="1">Tabela1[[#This Row],[TAG]]&amp;Tabela1[[#This Row],[PEDIDO]]&amp;Tabela1[[#This Row],[PRODUTO]]</f>
        <v>14-CV-0005P-198BASES ROLETES</v>
      </c>
      <c r="AQ109" s="22" t="str">
        <f ca="1">Tabela1[[#This Row],[PRODUTO]]&amp;Tabela1[[#This Row],[TAG]]</f>
        <v>BASES ROLETES14-CV-0005</v>
      </c>
      <c r="AR109" s="24" t="str">
        <f ca="1">Tabela1[[#This Row],[PEDIDO]]&amp;Tabela1[[#This Row],[PRODUTO]]</f>
        <v>P-198BASES ROLETES</v>
      </c>
      <c r="AS109" s="37">
        <f ca="1">IF(AF109="",0,IF(ISTEXT(AF109),H109*VALUE(SUBSTITUTE(AF109,"%",""))/100,H109*AF109))-Tabela1[[#This Row],[PRONTO ACABADO2]]</f>
        <v>0</v>
      </c>
      <c r="AT109" s="37">
        <f ca="1">IF(AG109="",0,IF(ISTEXT(AG109),H109*VALUE(SUBSTITUTE(AG109,"%",""))/100,H109*AG109))-Tabela1[[#This Row],[PESO EXPEDIDO2]]</f>
        <v>0</v>
      </c>
      <c r="AU109" s="37">
        <f t="shared" ca="1" si="29"/>
        <v>30</v>
      </c>
      <c r="AV109" s="37">
        <f t="shared" ca="1" si="30"/>
        <v>30</v>
      </c>
      <c r="AW109" s="37"/>
    </row>
    <row r="110" spans="1:49" ht="15.75" hidden="1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 ca="1"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 ca="1">Tabela1[[#This Row],[QTDE/ Fabricação]]-Tabela1[[#This Row],[QTE]]</f>
        <v>-2</v>
      </c>
      <c r="R110" s="18">
        <f t="shared" ca="1" si="24"/>
        <v>103.2</v>
      </c>
      <c r="S110" s="18">
        <f t="shared" ca="1" si="25"/>
        <v>103.2</v>
      </c>
      <c r="T110" s="19">
        <f t="shared" ca="1" si="26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 ca="1">IFERROR(COUNTIF(#REF!,Tabela1[[#This Row],[Colunas5]]),"")</f>
        <v/>
      </c>
      <c r="X110" s="14">
        <f ca="1">Tabela1[[#This Row],[QIANTIDADE EXPEDIDA]]*Tabela1[[#This Row],[PESO UNI]]</f>
        <v>103.2</v>
      </c>
      <c r="Y110" s="14">
        <f t="shared" ca="1" si="27"/>
        <v>0</v>
      </c>
      <c r="Z110" s="20">
        <f ca="1"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ca="1" si="28"/>
        <v>ok</v>
      </c>
      <c r="AJ110" s="5"/>
      <c r="AK110" t="str">
        <f ca="1">Tabela1[[#This Row],[Coluna1]]&amp;Tabela1[[#This Row],[PEDIDO]]</f>
        <v>P-198</v>
      </c>
      <c r="AL110"/>
      <c r="AM110"/>
      <c r="AN110"/>
      <c r="AO110" t="str">
        <f t="shared" ca="1" si="19"/>
        <v>T-073281-1/14-CV-0005</v>
      </c>
      <c r="AP110" t="str">
        <f ca="1">Tabela1[[#This Row],[TAG]]&amp;Tabela1[[#This Row],[PEDIDO]]&amp;Tabela1[[#This Row],[PRODUTO]]</f>
        <v>14-CV-0005P-198BASES ROLETES</v>
      </c>
      <c r="AQ110" s="22" t="str">
        <f ca="1">Tabela1[[#This Row],[PRODUTO]]&amp;Tabela1[[#This Row],[TAG]]</f>
        <v>BASES ROLETES14-CV-0005</v>
      </c>
      <c r="AR110" s="24" t="str">
        <f ca="1">Tabela1[[#This Row],[PEDIDO]]&amp;Tabela1[[#This Row],[PRODUTO]]</f>
        <v>P-198BASES ROLETES</v>
      </c>
      <c r="AS110" s="37">
        <f ca="1">IF(AF110="",0,IF(ISTEXT(AF110),H110*VALUE(SUBSTITUTE(AF110,"%",""))/100,H110*AF110))-Tabela1[[#This Row],[PRONTO ACABADO2]]</f>
        <v>0</v>
      </c>
      <c r="AT110" s="37">
        <f ca="1">IF(AG110="",0,IF(ISTEXT(AG110),H110*VALUE(SUBSTITUTE(AG110,"%",""))/100,H110*AG110))-Tabela1[[#This Row],[PESO EXPEDIDO2]]</f>
        <v>0</v>
      </c>
      <c r="AU110" s="37">
        <f t="shared" ca="1" si="29"/>
        <v>103.2</v>
      </c>
      <c r="AV110" s="37">
        <f t="shared" ca="1" si="30"/>
        <v>103.2</v>
      </c>
      <c r="AW110" s="37"/>
    </row>
    <row r="111" spans="1:49" ht="15.75" hidden="1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 ca="1"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 ca="1">Tabela1[[#This Row],[QTDE/ Fabricação]]-Tabela1[[#This Row],[QTE]]</f>
        <v>-11</v>
      </c>
      <c r="R111" s="18">
        <f t="shared" ca="1" si="24"/>
        <v>309.10000000000002</v>
      </c>
      <c r="S111" s="18">
        <f t="shared" ca="1" si="25"/>
        <v>309.10000000000002</v>
      </c>
      <c r="T111" s="19">
        <f t="shared" ca="1" si="26"/>
        <v>0</v>
      </c>
      <c r="U111" s="16">
        <f>IFERROR(SUMIF('LISTA DE EMBARQUE'!B:B,MICRO!E:E,'LISTA DE EMBARQUE'!G:G),"")</f>
        <v>11</v>
      </c>
      <c r="V111" s="12">
        <f ca="1">IFERROR(VLOOKUP(Tabela1[[#This Row],[COD.MDE]],'LISTA DE EMBARQUE'!B:L,11,0),"")</f>
        <v>2</v>
      </c>
      <c r="W111" s="13" t="str">
        <f ca="1">IFERROR(COUNTIF(#REF!,Tabela1[[#This Row],[Colunas5]]),"")</f>
        <v/>
      </c>
      <c r="X111" s="14">
        <f ca="1">Tabela1[[#This Row],[QIANTIDADE EXPEDIDA]]*Tabela1[[#This Row],[PESO UNI]]</f>
        <v>309.10000000000002</v>
      </c>
      <c r="Y111" s="14">
        <f t="shared" ca="1" si="27"/>
        <v>0</v>
      </c>
      <c r="Z111" s="20">
        <f ca="1"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ca="1" si="28"/>
        <v>ok</v>
      </c>
      <c r="AJ111" s="5"/>
      <c r="AK111" t="str">
        <f ca="1">Tabela1[[#This Row],[Coluna1]]&amp;Tabela1[[#This Row],[PEDIDO]]</f>
        <v>P-198</v>
      </c>
      <c r="AL111"/>
      <c r="AM111"/>
      <c r="AN111"/>
      <c r="AO111" t="str">
        <f t="shared" ca="1" si="19"/>
        <v>T-073280-1/14-CV-0005</v>
      </c>
      <c r="AP111" t="str">
        <f ca="1">Tabela1[[#This Row],[TAG]]&amp;Tabela1[[#This Row],[PEDIDO]]&amp;Tabela1[[#This Row],[PRODUTO]]</f>
        <v>14-CV-0005P-198BASES ROLETES</v>
      </c>
      <c r="AQ111" s="22" t="str">
        <f ca="1">Tabela1[[#This Row],[PRODUTO]]&amp;Tabela1[[#This Row],[TAG]]</f>
        <v>BASES ROLETES14-CV-0005</v>
      </c>
      <c r="AR111" s="24" t="str">
        <f ca="1">Tabela1[[#This Row],[PEDIDO]]&amp;Tabela1[[#This Row],[PRODUTO]]</f>
        <v>P-198BASES ROLETES</v>
      </c>
      <c r="AS111" s="37">
        <f ca="1">IF(AF111="",0,IF(ISTEXT(AF111),H111*VALUE(SUBSTITUTE(AF111,"%",""))/100,H111*AF111))-Tabela1[[#This Row],[PRONTO ACABADO2]]</f>
        <v>0</v>
      </c>
      <c r="AT111" s="37">
        <f ca="1">IF(AG111="",0,IF(ISTEXT(AG111),H111*VALUE(SUBSTITUTE(AG111,"%",""))/100,H111*AG111))-Tabela1[[#This Row],[PESO EXPEDIDO2]]</f>
        <v>0</v>
      </c>
      <c r="AU111" s="37">
        <f t="shared" ca="1" si="29"/>
        <v>309.10000000000002</v>
      </c>
      <c r="AV111" s="37">
        <f t="shared" ca="1" si="30"/>
        <v>309.10000000000002</v>
      </c>
      <c r="AW111" s="37"/>
    </row>
    <row r="112" spans="1:49" ht="15.75" hidden="1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 ca="1"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 ca="1">Tabela1[[#This Row],[QTDE/ Fabricação]]-Tabela1[[#This Row],[QTE]]</f>
        <v>-14</v>
      </c>
      <c r="R112" s="18">
        <f t="shared" ca="1" si="24"/>
        <v>392</v>
      </c>
      <c r="S112" s="18">
        <f t="shared" ca="1" si="25"/>
        <v>392</v>
      </c>
      <c r="T112" s="19">
        <f t="shared" ca="1" si="26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 ca="1">IFERROR(COUNTIF(#REF!,Tabela1[[#This Row],[Colunas5]]),"")</f>
        <v/>
      </c>
      <c r="X112" s="14">
        <f ca="1">Tabela1[[#This Row],[QIANTIDADE EXPEDIDA]]*Tabela1[[#This Row],[PESO UNI]]</f>
        <v>392</v>
      </c>
      <c r="Y112" s="14">
        <f t="shared" ca="1" si="27"/>
        <v>0</v>
      </c>
      <c r="Z112" s="20">
        <f ca="1"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ca="1" si="28"/>
        <v>ok</v>
      </c>
      <c r="AJ112" s="5"/>
      <c r="AK112" t="str">
        <f ca="1">Tabela1[[#This Row],[Coluna1]]&amp;Tabela1[[#This Row],[PEDIDO]]</f>
        <v>P-198</v>
      </c>
      <c r="AL112"/>
      <c r="AM112"/>
      <c r="AN112"/>
      <c r="AO112" t="str">
        <f t="shared" ca="1" si="19"/>
        <v>T-073279-1/14-CV-0005</v>
      </c>
      <c r="AP112" t="str">
        <f ca="1">Tabela1[[#This Row],[TAG]]&amp;Tabela1[[#This Row],[PEDIDO]]&amp;Tabela1[[#This Row],[PRODUTO]]</f>
        <v>14-CV-0005P-198BASES ROLETES</v>
      </c>
      <c r="AQ112" s="22" t="str">
        <f ca="1">Tabela1[[#This Row],[PRODUTO]]&amp;Tabela1[[#This Row],[TAG]]</f>
        <v>BASES ROLETES14-CV-0005</v>
      </c>
      <c r="AR112" s="24" t="str">
        <f ca="1">Tabela1[[#This Row],[PEDIDO]]&amp;Tabela1[[#This Row],[PRODUTO]]</f>
        <v>P-198BASES ROLETES</v>
      </c>
      <c r="AS112" s="37">
        <f ca="1">IF(AF112="",0,IF(ISTEXT(AF112),H112*VALUE(SUBSTITUTE(AF112,"%",""))/100,H112*AF112))-Tabela1[[#This Row],[PRONTO ACABADO2]]</f>
        <v>0</v>
      </c>
      <c r="AT112" s="37">
        <f ca="1">IF(AG112="",0,IF(ISTEXT(AG112),H112*VALUE(SUBSTITUTE(AG112,"%",""))/100,H112*AG112))-Tabela1[[#This Row],[PESO EXPEDIDO2]]</f>
        <v>0</v>
      </c>
      <c r="AU112" s="37">
        <f t="shared" ca="1" si="29"/>
        <v>392</v>
      </c>
      <c r="AV112" s="37">
        <f t="shared" ca="1" si="30"/>
        <v>392</v>
      </c>
      <c r="AW112" s="37"/>
    </row>
    <row r="113" spans="1:49" ht="15.75" hidden="1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 ca="1"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 ca="1">Tabela1[[#This Row],[QTDE/ Fabricação]]-Tabela1[[#This Row],[QTE]]</f>
        <v>-1</v>
      </c>
      <c r="R113" s="18">
        <f t="shared" ca="1" si="24"/>
        <v>41.8</v>
      </c>
      <c r="S113" s="18">
        <f t="shared" ca="1" si="25"/>
        <v>41.8</v>
      </c>
      <c r="T113" s="19">
        <f t="shared" ca="1" si="26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 ca="1">IFERROR(COUNTIF(#REF!,Tabela1[[#This Row],[Colunas5]]),"")</f>
        <v/>
      </c>
      <c r="X113" s="14">
        <f ca="1">Tabela1[[#This Row],[QIANTIDADE EXPEDIDA]]*Tabela1[[#This Row],[PESO UNI]]</f>
        <v>41.8</v>
      </c>
      <c r="Y113" s="14">
        <f t="shared" ca="1" si="27"/>
        <v>0</v>
      </c>
      <c r="Z113" s="20">
        <f ca="1"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ca="1" si="28"/>
        <v>ok</v>
      </c>
      <c r="AJ113" s="5"/>
      <c r="AK113" t="str">
        <f ca="1">Tabela1[[#This Row],[Coluna1]]&amp;Tabela1[[#This Row],[PEDIDO]]</f>
        <v>P-198</v>
      </c>
      <c r="AL113"/>
      <c r="AM113"/>
      <c r="AN113"/>
      <c r="AO113" t="str">
        <f t="shared" ca="1" si="19"/>
        <v>T-073278-1/14-CV-0005</v>
      </c>
      <c r="AP113" t="str">
        <f ca="1">Tabela1[[#This Row],[TAG]]&amp;Tabela1[[#This Row],[PEDIDO]]&amp;Tabela1[[#This Row],[PRODUTO]]</f>
        <v>14-CV-0005P-198BASES ROLETES</v>
      </c>
      <c r="AQ113" s="22" t="str">
        <f ca="1">Tabela1[[#This Row],[PRODUTO]]&amp;Tabela1[[#This Row],[TAG]]</f>
        <v>BASES ROLETES14-CV-0005</v>
      </c>
      <c r="AR113" s="24" t="str">
        <f ca="1">Tabela1[[#This Row],[PEDIDO]]&amp;Tabela1[[#This Row],[PRODUTO]]</f>
        <v>P-198BASES ROLETES</v>
      </c>
      <c r="AS113" s="37">
        <f ca="1">IF(AF113="",0,IF(ISTEXT(AF113),H113*VALUE(SUBSTITUTE(AF113,"%",""))/100,H113*AF113))-Tabela1[[#This Row],[PRONTO ACABADO2]]</f>
        <v>0</v>
      </c>
      <c r="AT113" s="37">
        <f ca="1">IF(AG113="",0,IF(ISTEXT(AG113),H113*VALUE(SUBSTITUTE(AG113,"%",""))/100,H113*AG113))-Tabela1[[#This Row],[PESO EXPEDIDO2]]</f>
        <v>0</v>
      </c>
      <c r="AU113" s="37">
        <f t="shared" ca="1" si="29"/>
        <v>41.8</v>
      </c>
      <c r="AV113" s="37">
        <f t="shared" ca="1" si="30"/>
        <v>41.8</v>
      </c>
      <c r="AW113" s="37"/>
    </row>
    <row r="114" spans="1:49" ht="15.75" hidden="1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 ca="1"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 ca="1">Tabela1[[#This Row],[QTDE/ Fabricação]]-Tabela1[[#This Row],[QTE]]</f>
        <v>-4</v>
      </c>
      <c r="R114" s="18">
        <f t="shared" ca="1" si="24"/>
        <v>10.8</v>
      </c>
      <c r="S114" s="18">
        <f t="shared" ca="1" si="25"/>
        <v>10.8</v>
      </c>
      <c r="T114" s="19">
        <f t="shared" ca="1" si="26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 ca="1">IFERROR(COUNTIF(#REF!,Tabela1[[#This Row],[Colunas5]]),"")</f>
        <v/>
      </c>
      <c r="X114" s="14">
        <f ca="1">Tabela1[[#This Row],[QIANTIDADE EXPEDIDA]]*Tabela1[[#This Row],[PESO UNI]]</f>
        <v>10.8</v>
      </c>
      <c r="Y114" s="14">
        <f t="shared" ca="1" si="27"/>
        <v>0</v>
      </c>
      <c r="Z114" s="20">
        <f ca="1"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ca="1" si="28"/>
        <v>ok</v>
      </c>
      <c r="AJ114" s="5"/>
      <c r="AK114" t="str">
        <f ca="1">Tabela1[[#This Row],[Coluna1]]&amp;Tabela1[[#This Row],[PEDIDO]]</f>
        <v>P-198</v>
      </c>
      <c r="AL114"/>
      <c r="AM114"/>
      <c r="AN114"/>
      <c r="AO114" t="str">
        <f t="shared" ca="1" si="19"/>
        <v>T-054923-1/14-CV-0005</v>
      </c>
      <c r="AP114" t="str">
        <f ca="1">Tabela1[[#This Row],[TAG]]&amp;Tabela1[[#This Row],[PEDIDO]]&amp;Tabela1[[#This Row],[PRODUTO]]</f>
        <v>14-CV-0005P-198BASES ROLETES</v>
      </c>
      <c r="AQ114" s="22" t="str">
        <f ca="1">Tabela1[[#This Row],[PRODUTO]]&amp;Tabela1[[#This Row],[TAG]]</f>
        <v>BASES ROLETES14-CV-0005</v>
      </c>
      <c r="AR114" s="24" t="str">
        <f ca="1">Tabela1[[#This Row],[PEDIDO]]&amp;Tabela1[[#This Row],[PRODUTO]]</f>
        <v>P-198BASES ROLETES</v>
      </c>
      <c r="AS114" s="37">
        <f ca="1">IF(AF114="",0,IF(ISTEXT(AF114),H114*VALUE(SUBSTITUTE(AF114,"%",""))/100,H114*AF114))-Tabela1[[#This Row],[PRONTO ACABADO2]]</f>
        <v>0</v>
      </c>
      <c r="AT114" s="37">
        <f ca="1">IF(AG114="",0,IF(ISTEXT(AG114),H114*VALUE(SUBSTITUTE(AG114,"%",""))/100,H114*AG114))-Tabela1[[#This Row],[PESO EXPEDIDO2]]</f>
        <v>0</v>
      </c>
      <c r="AU114" s="37">
        <f t="shared" ca="1" si="29"/>
        <v>10.8</v>
      </c>
      <c r="AV114" s="37">
        <f t="shared" ca="1" si="30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 ca="1"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 ca="1">Tabela1[[#This Row],[QTDE/ Fabricação]]-Tabela1[[#This Row],[QTE]]</f>
        <v>-3</v>
      </c>
      <c r="R115" s="18">
        <f t="shared" ref="R115" ca="1" si="31">IFERROR(H115*((AA115*0.25)+(AC115*0.25)+(AD115*0.225)+(AE115*0.225)+(AF115*0.05)),"")</f>
        <v>97.199999999999989</v>
      </c>
      <c r="S115" s="18">
        <f t="shared" ca="1" si="21"/>
        <v>97.199999999999989</v>
      </c>
      <c r="T115" s="19">
        <f t="shared" ref="T115" ca="1" si="32">IFERROR(S115-H115,"")</f>
        <v>0</v>
      </c>
      <c r="U115" s="16">
        <f>IFERROR(SUMIF('LISTA DE EMBARQUE'!B:B,MICRO!E:E,'LISTA DE EMBARQUE'!G:G),"")</f>
        <v>3</v>
      </c>
      <c r="V115" s="12">
        <f ca="1">IFERROR(VLOOKUP(Tabela1[[#This Row],[COD.MDE]],'LISTA DE EMBARQUE'!B:L,11,0),"")</f>
        <v>1</v>
      </c>
      <c r="W115" s="13" t="str">
        <f ca="1">IFERROR(COUNTIF(#REF!,Tabela1[[#This Row],[Colunas5]]),"")</f>
        <v/>
      </c>
      <c r="X115" s="14">
        <f ca="1">Tabela1[[#This Row],[QIANTIDADE EXPEDIDA]]*Tabela1[[#This Row],[PESO UNI]]</f>
        <v>97.199999999999989</v>
      </c>
      <c r="Y115" s="14">
        <f t="shared" ca="1" si="23"/>
        <v>0</v>
      </c>
      <c r="Z115" s="20">
        <f ca="1">Tabela1[[#This Row],[PESO TOTAL]]-Tabela1[[#This Row],[Peso Expedido]]</f>
        <v>0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>
        <v>1</v>
      </c>
      <c r="AI115" s="33" t="str">
        <f t="shared" ref="AI115:AI154" ca="1" si="33">IF(Z115&lt;=0,"ok","")</f>
        <v>ok</v>
      </c>
      <c r="AJ115" s="5"/>
      <c r="AK115" t="str">
        <f ca="1">Tabela1[[#This Row],[Coluna1]]&amp;Tabela1[[#This Row],[PEDIDO]]</f>
        <v>P-205</v>
      </c>
      <c r="AL115"/>
      <c r="AM115"/>
      <c r="AN115"/>
      <c r="AO115" t="str">
        <f t="shared" ca="1" si="19"/>
        <v>T-008064-1/P205</v>
      </c>
      <c r="AP115" t="str">
        <f ca="1">Tabela1[[#This Row],[TAG]]&amp;Tabela1[[#This Row],[PEDIDO]]&amp;Tabela1[[#This Row],[PRODUTO]]</f>
        <v>P205P-205BASES ROLETES</v>
      </c>
      <c r="AQ115" s="22" t="str">
        <f ca="1">Tabela1[[#This Row],[PRODUTO]]&amp;Tabela1[[#This Row],[TAG]]</f>
        <v>BASES ROLETESP205</v>
      </c>
      <c r="AR115" s="24" t="str">
        <f ca="1">Tabela1[[#This Row],[PEDIDO]]&amp;Tabela1[[#This Row],[PRODUTO]]</f>
        <v>P-205BASES ROLETES</v>
      </c>
      <c r="AS115" s="37">
        <f ca="1">IF(AF115="",0,IF(ISTEXT(AF115),H115*VALUE(SUBSTITUTE(AF115,"%",""))/100,H115*AF115))-Tabela1[[#This Row],[PRONTO ACABADO2]]</f>
        <v>0</v>
      </c>
      <c r="AT115" s="37">
        <f ca="1">IF(AG115="",0,IF(ISTEXT(AG115),H115*VALUE(SUBSTITUTE(AG115,"%",""))/100,H115*AG115))-Tabela1[[#This Row],[PESO EXPEDIDO2]]</f>
        <v>0</v>
      </c>
      <c r="AU115" s="37">
        <f t="shared" ca="1" si="29"/>
        <v>97.199999999999989</v>
      </c>
      <c r="AV115" s="37">
        <f t="shared" ca="1" si="30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 ca="1"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 ca="1">Tabela1[[#This Row],[QTDE/ Fabricação]]-Tabela1[[#This Row],[QTE]]</f>
        <v>-1</v>
      </c>
      <c r="R116" s="18">
        <f t="shared" ref="R116:R152" ca="1" si="34">IFERROR(H116*((AA116*0.25)+(AC116*0.25)+(AD116*0.225)+(AE116*0.225)+(AF116*0.05)),"")</f>
        <v>11.75625</v>
      </c>
      <c r="S116" s="18">
        <f t="shared" ref="S116:S152" ca="1" si="35">IFERROR(H116*AG116,"")</f>
        <v>0</v>
      </c>
      <c r="T116" s="19">
        <f t="shared" ref="T116:T152" ca="1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 ca="1">IFERROR(COUNTIF(#REF!,Tabela1[[#This Row],[Colunas5]]),"")</f>
        <v/>
      </c>
      <c r="X116" s="14">
        <f ca="1">Tabela1[[#This Row],[QIANTIDADE EXPEDIDA]]*Tabela1[[#This Row],[PESO UNI]]</f>
        <v>0</v>
      </c>
      <c r="Y116" s="14">
        <f t="shared" ref="Y116:Y152" ca="1" si="37">U116-C116</f>
        <v>-1</v>
      </c>
      <c r="Z116" s="20">
        <f ca="1"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ca="1" si="38">IF(Z116&lt;=0,"ok","")</f>
        <v/>
      </c>
      <c r="AJ116" s="5"/>
      <c r="AK116" t="str">
        <f ca="1">Tabela1[[#This Row],[Coluna1]]&amp;Tabela1[[#This Row],[PEDIDO]]</f>
        <v>P-198</v>
      </c>
      <c r="AL116"/>
      <c r="AM116"/>
      <c r="AN116"/>
      <c r="AO116" t="str">
        <f t="shared" ca="1" si="19"/>
        <v>T-073202-1/05-CV-0001</v>
      </c>
      <c r="AP116" t="str">
        <f ca="1">Tabela1[[#This Row],[TAG]]&amp;Tabela1[[#This Row],[PEDIDO]]&amp;Tabela1[[#This Row],[PRODUTO]]</f>
        <v>05-CV-0001P-198ESTRUTURA</v>
      </c>
      <c r="AQ116" s="22" t="str">
        <f ca="1">Tabela1[[#This Row],[PRODUTO]]&amp;Tabela1[[#This Row],[TAG]]</f>
        <v>ESTRUTURA05-CV-0001</v>
      </c>
      <c r="AR116" s="24" t="str">
        <f ca="1">Tabela1[[#This Row],[PEDIDO]]&amp;Tabela1[[#This Row],[PRODUTO]]</f>
        <v>P-198ESTRUTURA</v>
      </c>
      <c r="AS116" s="37">
        <f ca="1">IF(AF116="",0,IF(ISTEXT(AF116),H116*VALUE(SUBSTITUTE(AF116,"%",""))/100,H116*AF116))-Tabela1[[#This Row],[PRONTO ACABADO2]]</f>
        <v>0</v>
      </c>
      <c r="AT116" s="37">
        <f ca="1">IF(AG116="",0,IF(ISTEXT(AG116),H116*VALUE(SUBSTITUTE(AG116,"%",""))/100,H116*AG116))-Tabela1[[#This Row],[PESO EXPEDIDO2]]</f>
        <v>0</v>
      </c>
      <c r="AU116" s="37">
        <f t="shared" ca="1" si="29"/>
        <v>0</v>
      </c>
      <c r="AV116" s="37">
        <f t="shared" ca="1" si="30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 ca="1"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 ca="1">Tabela1[[#This Row],[QTDE/ Fabricação]]-Tabela1[[#This Row],[QTE]]</f>
        <v>-4</v>
      </c>
      <c r="R117" s="18">
        <f t="shared" ca="1" si="34"/>
        <v>96.524999999999991</v>
      </c>
      <c r="S117" s="18">
        <f t="shared" ca="1" si="35"/>
        <v>0</v>
      </c>
      <c r="T117" s="19">
        <f t="shared" ca="1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 ca="1">IFERROR(COUNTIF(#REF!,Tabela1[[#This Row],[Colunas5]]),"")</f>
        <v/>
      </c>
      <c r="X117" s="14">
        <f ca="1">Tabela1[[#This Row],[QIANTIDADE EXPEDIDA]]*Tabela1[[#This Row],[PESO UNI]]</f>
        <v>0</v>
      </c>
      <c r="Y117" s="14">
        <f t="shared" ca="1" si="37"/>
        <v>-4</v>
      </c>
      <c r="Z117" s="20">
        <f ca="1"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ca="1" si="38"/>
        <v/>
      </c>
      <c r="AJ117" s="5"/>
      <c r="AK117" t="str">
        <f ca="1">Tabela1[[#This Row],[Coluna1]]&amp;Tabela1[[#This Row],[PEDIDO]]</f>
        <v>P-198</v>
      </c>
      <c r="AL117"/>
      <c r="AM117"/>
      <c r="AN117"/>
      <c r="AO117" t="str">
        <f t="shared" ca="1" si="19"/>
        <v>T-073202-1/05-CV-0001</v>
      </c>
      <c r="AP117" t="str">
        <f ca="1">Tabela1[[#This Row],[TAG]]&amp;Tabela1[[#This Row],[PEDIDO]]&amp;Tabela1[[#This Row],[PRODUTO]]</f>
        <v>05-CV-0001P-198ESTRUTURA</v>
      </c>
      <c r="AQ117" s="22" t="str">
        <f ca="1">Tabela1[[#This Row],[PRODUTO]]&amp;Tabela1[[#This Row],[TAG]]</f>
        <v>ESTRUTURA05-CV-0001</v>
      </c>
      <c r="AR117" s="24" t="str">
        <f ca="1">Tabela1[[#This Row],[PEDIDO]]&amp;Tabela1[[#This Row],[PRODUTO]]</f>
        <v>P-198ESTRUTURA</v>
      </c>
      <c r="AS117" s="37">
        <f ca="1">IF(AF117="",0,IF(ISTEXT(AF117),H117*VALUE(SUBSTITUTE(AF117,"%",""))/100,H117*AF117))-Tabela1[[#This Row],[PRONTO ACABADO2]]</f>
        <v>0</v>
      </c>
      <c r="AT117" s="37">
        <f ca="1">IF(AG117="",0,IF(ISTEXT(AG117),H117*VALUE(SUBSTITUTE(AG117,"%",""))/100,H117*AG117))-Tabela1[[#This Row],[PESO EXPEDIDO2]]</f>
        <v>0</v>
      </c>
      <c r="AU117" s="37">
        <f t="shared" ca="1" si="29"/>
        <v>0</v>
      </c>
      <c r="AV117" s="37">
        <f t="shared" ca="1" si="30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 ca="1"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 ca="1">Tabela1[[#This Row],[QTDE/ Fabricação]]-Tabela1[[#This Row],[QTE]]</f>
        <v>-1</v>
      </c>
      <c r="R118" s="18">
        <f t="shared" ca="1" si="34"/>
        <v>24.75</v>
      </c>
      <c r="S118" s="18">
        <f t="shared" ca="1" si="35"/>
        <v>0</v>
      </c>
      <c r="T118" s="19">
        <f t="shared" ca="1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 ca="1">IFERROR(COUNTIF(#REF!,Tabela1[[#This Row],[Colunas5]]),"")</f>
        <v/>
      </c>
      <c r="X118" s="14">
        <f ca="1">Tabela1[[#This Row],[QIANTIDADE EXPEDIDA]]*Tabela1[[#This Row],[PESO UNI]]</f>
        <v>0</v>
      </c>
      <c r="Y118" s="14">
        <f t="shared" ca="1" si="37"/>
        <v>-1</v>
      </c>
      <c r="Z118" s="20">
        <f ca="1"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ca="1" si="38"/>
        <v/>
      </c>
      <c r="AJ118" s="5"/>
      <c r="AK118" t="str">
        <f ca="1">Tabela1[[#This Row],[Coluna1]]&amp;Tabela1[[#This Row],[PEDIDO]]</f>
        <v>P-198</v>
      </c>
      <c r="AL118"/>
      <c r="AM118"/>
      <c r="AN118"/>
      <c r="AO118" t="str">
        <f t="shared" ca="1" si="19"/>
        <v>T-073202-1/05-CV-0001</v>
      </c>
      <c r="AP118" t="str">
        <f ca="1">Tabela1[[#This Row],[TAG]]&amp;Tabela1[[#This Row],[PEDIDO]]&amp;Tabela1[[#This Row],[PRODUTO]]</f>
        <v>05-CV-0001P-198ESTRUTURA</v>
      </c>
      <c r="AQ118" s="22" t="str">
        <f ca="1">Tabela1[[#This Row],[PRODUTO]]&amp;Tabela1[[#This Row],[TAG]]</f>
        <v>ESTRUTURA05-CV-0001</v>
      </c>
      <c r="AR118" s="24" t="str">
        <f ca="1">Tabela1[[#This Row],[PEDIDO]]&amp;Tabela1[[#This Row],[PRODUTO]]</f>
        <v>P-198ESTRUTURA</v>
      </c>
      <c r="AS118" s="37">
        <f ca="1">IF(AF118="",0,IF(ISTEXT(AF118),H118*VALUE(SUBSTITUTE(AF118,"%",""))/100,H118*AF118))-Tabela1[[#This Row],[PRONTO ACABADO2]]</f>
        <v>0</v>
      </c>
      <c r="AT118" s="37">
        <f ca="1">IF(AG118="",0,IF(ISTEXT(AG118),H118*VALUE(SUBSTITUTE(AG118,"%",""))/100,H118*AG118))-Tabela1[[#This Row],[PESO EXPEDIDO2]]</f>
        <v>0</v>
      </c>
      <c r="AU118" s="37">
        <f t="shared" ca="1" si="29"/>
        <v>0</v>
      </c>
      <c r="AV118" s="37">
        <f t="shared" ca="1" si="30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 ca="1"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 ca="1">Tabela1[[#This Row],[QTDE/ Fabricação]]-Tabela1[[#This Row],[QTE]]</f>
        <v>-1</v>
      </c>
      <c r="R119" s="18">
        <f t="shared" ca="1" si="34"/>
        <v>24.131249999999998</v>
      </c>
      <c r="S119" s="18">
        <f t="shared" ca="1" si="35"/>
        <v>0</v>
      </c>
      <c r="T119" s="19">
        <f t="shared" ca="1" si="36"/>
        <v>-42.9</v>
      </c>
      <c r="U119" s="16">
        <f>IFERROR(SUMIF('LISTA DE EMBARQUE'!B:B,MICRO!E:E,'LISTA DE EMBARQUE'!G:G),"")</f>
        <v>0</v>
      </c>
      <c r="V119" s="12" t="str">
        <f ca="1">IFERROR(VLOOKUP(Tabela1[[#This Row],[COD.MDE]],'LISTA DE EMBARQUE'!B:L,11,0),"")</f>
        <v/>
      </c>
      <c r="W119" s="13" t="str">
        <f ca="1">IFERROR(COUNTIF(#REF!,Tabela1[[#This Row],[Colunas5]]),"")</f>
        <v/>
      </c>
      <c r="X119" s="14">
        <f ca="1">Tabela1[[#This Row],[QIANTIDADE EXPEDIDA]]*Tabela1[[#This Row],[PESO UNI]]</f>
        <v>0</v>
      </c>
      <c r="Y119" s="14">
        <f t="shared" ca="1" si="37"/>
        <v>-1</v>
      </c>
      <c r="Z119" s="20">
        <f ca="1"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ca="1" si="38"/>
        <v/>
      </c>
      <c r="AJ119" s="5"/>
      <c r="AK119" t="str">
        <f ca="1">Tabela1[[#This Row],[Coluna1]]&amp;Tabela1[[#This Row],[PEDIDO]]</f>
        <v>P-198</v>
      </c>
      <c r="AL119"/>
      <c r="AM119"/>
      <c r="AN119"/>
      <c r="AO119" t="str">
        <f t="shared" ca="1" si="19"/>
        <v>T-073202-1/05-CV-0001</v>
      </c>
      <c r="AP119" t="str">
        <f ca="1">Tabela1[[#This Row],[TAG]]&amp;Tabela1[[#This Row],[PEDIDO]]&amp;Tabela1[[#This Row],[PRODUTO]]</f>
        <v>05-CV-0001P-198ESTRUTURA</v>
      </c>
      <c r="AQ119" s="22" t="str">
        <f ca="1">Tabela1[[#This Row],[PRODUTO]]&amp;Tabela1[[#This Row],[TAG]]</f>
        <v>ESTRUTURA05-CV-0001</v>
      </c>
      <c r="AR119" s="24" t="str">
        <f ca="1">Tabela1[[#This Row],[PEDIDO]]&amp;Tabela1[[#This Row],[PRODUTO]]</f>
        <v>P-198ESTRUTURA</v>
      </c>
      <c r="AS119" s="37">
        <f ca="1">IF(AF119="",0,IF(ISTEXT(AF119),H119*VALUE(SUBSTITUTE(AF119,"%",""))/100,H119*AF119))-Tabela1[[#This Row],[PRONTO ACABADO2]]</f>
        <v>0</v>
      </c>
      <c r="AT119" s="37">
        <f ca="1">IF(AG119="",0,IF(ISTEXT(AG119),H119*VALUE(SUBSTITUTE(AG119,"%",""))/100,H119*AG119))-Tabela1[[#This Row],[PESO EXPEDIDO2]]</f>
        <v>0</v>
      </c>
      <c r="AU119" s="37">
        <f t="shared" ca="1" si="29"/>
        <v>0</v>
      </c>
      <c r="AV119" s="37">
        <f t="shared" ca="1" si="30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 ca="1"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 ca="1">Tabela1[[#This Row],[QTDE/ Fabricação]]-Tabela1[[#This Row],[QTE]]</f>
        <v>-1</v>
      </c>
      <c r="R120" s="18">
        <f t="shared" ca="1" si="34"/>
        <v>23.568749999999998</v>
      </c>
      <c r="S120" s="18">
        <f t="shared" ca="1" si="35"/>
        <v>0</v>
      </c>
      <c r="T120" s="19">
        <f t="shared" ca="1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 ca="1">IFERROR(COUNTIF(#REF!,Tabela1[[#This Row],[Colunas5]]),"")</f>
        <v/>
      </c>
      <c r="X120" s="14">
        <f ca="1">Tabela1[[#This Row],[QIANTIDADE EXPEDIDA]]*Tabela1[[#This Row],[PESO UNI]]</f>
        <v>0</v>
      </c>
      <c r="Y120" s="14">
        <f t="shared" ca="1" si="37"/>
        <v>-1</v>
      </c>
      <c r="Z120" s="20">
        <f ca="1"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ca="1" si="38"/>
        <v/>
      </c>
      <c r="AJ120" s="5"/>
      <c r="AK120" t="str">
        <f ca="1">Tabela1[[#This Row],[Coluna1]]&amp;Tabela1[[#This Row],[PEDIDO]]</f>
        <v>P-198</v>
      </c>
      <c r="AL120"/>
      <c r="AM120"/>
      <c r="AN120"/>
      <c r="AO120" t="str">
        <f t="shared" ca="1" si="19"/>
        <v>T-073202-1/05-CV-0001</v>
      </c>
      <c r="AP120" t="str">
        <f ca="1">Tabela1[[#This Row],[TAG]]&amp;Tabela1[[#This Row],[PEDIDO]]&amp;Tabela1[[#This Row],[PRODUTO]]</f>
        <v>05-CV-0001P-198ESTRUTURA</v>
      </c>
      <c r="AQ120" s="22" t="str">
        <f ca="1">Tabela1[[#This Row],[PRODUTO]]&amp;Tabela1[[#This Row],[TAG]]</f>
        <v>ESTRUTURA05-CV-0001</v>
      </c>
      <c r="AR120" s="24" t="str">
        <f ca="1">Tabela1[[#This Row],[PEDIDO]]&amp;Tabela1[[#This Row],[PRODUTO]]</f>
        <v>P-198ESTRUTURA</v>
      </c>
      <c r="AS120" s="37">
        <f ca="1">IF(AF120="",0,IF(ISTEXT(AF120),H120*VALUE(SUBSTITUTE(AF120,"%",""))/100,H120*AF120))-Tabela1[[#This Row],[PRONTO ACABADO2]]</f>
        <v>0</v>
      </c>
      <c r="AT120" s="37">
        <f ca="1">IF(AG120="",0,IF(ISTEXT(AG120),H120*VALUE(SUBSTITUTE(AG120,"%",""))/100,H120*AG120))-Tabela1[[#This Row],[PESO EXPEDIDO2]]</f>
        <v>0</v>
      </c>
      <c r="AU120" s="37">
        <f t="shared" ca="1" si="29"/>
        <v>0</v>
      </c>
      <c r="AV120" s="37">
        <f t="shared" ca="1" si="30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 ca="1"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 ca="1">Tabela1[[#This Row],[QTDE/ Fabricação]]-Tabela1[[#This Row],[QTE]]</f>
        <v>-1</v>
      </c>
      <c r="R121" s="18">
        <f ca="1">IFERROR(H121*((AA121*0.25)+(AC121*0.25)+(AD121*0.225)+(AE121*0.225)+(AF121*0.05)),"")</f>
        <v>22.612500000000001</v>
      </c>
      <c r="S121" s="18">
        <f t="shared" ca="1" si="35"/>
        <v>0</v>
      </c>
      <c r="T121" s="19">
        <f t="shared" ca="1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 ca="1">IFERROR(COUNTIF(#REF!,Tabela1[[#This Row],[Colunas5]]),"")</f>
        <v/>
      </c>
      <c r="X121" s="14">
        <f ca="1">Tabela1[[#This Row],[QIANTIDADE EXPEDIDA]]*Tabela1[[#This Row],[PESO UNI]]</f>
        <v>0</v>
      </c>
      <c r="Y121" s="14">
        <f t="shared" ca="1" si="37"/>
        <v>-1</v>
      </c>
      <c r="Z121" s="20">
        <f ca="1"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ca="1" si="38"/>
        <v/>
      </c>
      <c r="AJ121" s="5"/>
      <c r="AK121" t="str">
        <f ca="1">Tabela1[[#This Row],[Coluna1]]&amp;Tabela1[[#This Row],[PEDIDO]]</f>
        <v>P-198</v>
      </c>
      <c r="AL121"/>
      <c r="AM121"/>
      <c r="AN121"/>
      <c r="AO121" t="str">
        <f t="shared" ca="1" si="19"/>
        <v>T-073202-1/05-CV-0001</v>
      </c>
      <c r="AP121" t="str">
        <f ca="1">Tabela1[[#This Row],[TAG]]&amp;Tabela1[[#This Row],[PEDIDO]]&amp;Tabela1[[#This Row],[PRODUTO]]</f>
        <v>05-CV-0001P-198ESTRUTURA</v>
      </c>
      <c r="AQ121" s="22" t="str">
        <f ca="1">Tabela1[[#This Row],[PRODUTO]]&amp;Tabela1[[#This Row],[TAG]]</f>
        <v>ESTRUTURA05-CV-0001</v>
      </c>
      <c r="AR121" s="24" t="str">
        <f ca="1">Tabela1[[#This Row],[PEDIDO]]&amp;Tabela1[[#This Row],[PRODUTO]]</f>
        <v>P-198ESTRUTURA</v>
      </c>
      <c r="AS121" s="37">
        <f ca="1">IF(AF121="",0,IF(ISTEXT(AF121),H121*VALUE(SUBSTITUTE(AF121,"%",""))/100,H121*AF121))-Tabela1[[#This Row],[PRONTO ACABADO2]]</f>
        <v>0</v>
      </c>
      <c r="AT121" s="37">
        <f ca="1">IF(AG121="",0,IF(ISTEXT(AG121),H121*VALUE(SUBSTITUTE(AG121,"%",""))/100,H121*AG121))-Tabela1[[#This Row],[PESO EXPEDIDO2]]</f>
        <v>0</v>
      </c>
      <c r="AU121" s="37">
        <f t="shared" ca="1" si="29"/>
        <v>0</v>
      </c>
      <c r="AV121" s="37">
        <f t="shared" ca="1" si="30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 ca="1"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 ca="1">Tabela1[[#This Row],[QTDE/ Fabricação]]-Tabela1[[#This Row],[QTE]]</f>
        <v>-1</v>
      </c>
      <c r="R122" s="18" t="str">
        <f ca="1">IFERROR(H122*((#REF!*0.25)+(#REF!*0.25)+(#REF!*0.225)+(AE122*0.225)+(AF122*0.05)),"")</f>
        <v/>
      </c>
      <c r="S122" s="18">
        <f t="shared" ca="1" si="35"/>
        <v>0</v>
      </c>
      <c r="T122" s="19">
        <f t="shared" ca="1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 ca="1">IFERROR(COUNTIF(#REF!,Tabela1[[#This Row],[Colunas5]]),"")</f>
        <v/>
      </c>
      <c r="X122" s="14">
        <f ca="1">Tabela1[[#This Row],[QIANTIDADE EXPEDIDA]]*Tabela1[[#This Row],[PESO UNI]]</f>
        <v>0</v>
      </c>
      <c r="Y122" s="14">
        <f t="shared" ca="1" si="37"/>
        <v>-1</v>
      </c>
      <c r="Z122" s="20">
        <f ca="1"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ca="1" si="38"/>
        <v/>
      </c>
      <c r="AJ122" s="5"/>
      <c r="AK122" t="str">
        <f ca="1">Tabela1[[#This Row],[Coluna1]]&amp;Tabela1[[#This Row],[PEDIDO]]</f>
        <v>P-198</v>
      </c>
      <c r="AL122"/>
      <c r="AM122"/>
      <c r="AN122"/>
      <c r="AO122" t="str">
        <f t="shared" ca="1" si="19"/>
        <v>T-073537-1/14-CV-0005</v>
      </c>
      <c r="AP122" t="str">
        <f ca="1">Tabela1[[#This Row],[TAG]]&amp;Tabela1[[#This Row],[PEDIDO]]&amp;Tabela1[[#This Row],[PRODUTO]]</f>
        <v>14-CV-0005P-198TAMBOR</v>
      </c>
      <c r="AQ122" s="22" t="str">
        <f ca="1">Tabela1[[#This Row],[PRODUTO]]&amp;Tabela1[[#This Row],[TAG]]</f>
        <v>TAMBOR14-CV-0005</v>
      </c>
      <c r="AR122" s="24" t="str">
        <f ca="1">Tabela1[[#This Row],[PEDIDO]]&amp;Tabela1[[#This Row],[PRODUTO]]</f>
        <v>P-198TAMBOR</v>
      </c>
      <c r="AS122" s="37">
        <f ca="1">IF(AF122="",0,IF(ISTEXT(AF122),H122*VALUE(SUBSTITUTE(AF122,"%",""))/100,H122*AF122))-Tabela1[[#This Row],[PRONTO ACABADO2]]</f>
        <v>0</v>
      </c>
      <c r="AT122" s="37">
        <f ca="1">IF(AG122="",0,IF(ISTEXT(AG122),H122*VALUE(SUBSTITUTE(AG122,"%",""))/100,H122*AG122))-Tabela1[[#This Row],[PESO EXPEDIDO2]]</f>
        <v>0</v>
      </c>
      <c r="AU122" s="37">
        <f t="shared" ca="1" si="29"/>
        <v>0</v>
      </c>
      <c r="AV122" s="37">
        <f t="shared" ca="1" si="30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 ca="1"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 ca="1">Tabela1[[#This Row],[QTDE/ Fabricação]]-Tabela1[[#This Row],[QTE]]</f>
        <v>-1</v>
      </c>
      <c r="R123" s="18">
        <f t="shared" ca="1" si="34"/>
        <v>566.49374999999998</v>
      </c>
      <c r="S123" s="18">
        <f t="shared" ca="1" si="35"/>
        <v>0</v>
      </c>
      <c r="T123" s="19">
        <f t="shared" ca="1" si="36"/>
        <v>-1007.1</v>
      </c>
      <c r="U123" s="16">
        <f>IFERROR(SUMIF('LISTA DE EMBARQUE'!B:B,MICRO!E:E,'LISTA DE EMBARQUE'!G:G),"")</f>
        <v>0</v>
      </c>
      <c r="V123" s="12" t="str">
        <f ca="1">IFERROR(VLOOKUP(Tabela1[[#This Row],[COD.MDE]],'LISTA DE EMBARQUE'!B:L,11,0),"")</f>
        <v/>
      </c>
      <c r="W123" s="13" t="str">
        <f ca="1">IFERROR(COUNTIF(#REF!,Tabela1[[#This Row],[Colunas5]]),"")</f>
        <v/>
      </c>
      <c r="X123" s="14">
        <f ca="1">Tabela1[[#This Row],[QIANTIDADE EXPEDIDA]]*Tabela1[[#This Row],[PESO UNI]]</f>
        <v>0</v>
      </c>
      <c r="Y123" s="14">
        <f t="shared" ca="1" si="37"/>
        <v>-1</v>
      </c>
      <c r="Z123" s="20">
        <f ca="1"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ca="1" si="38"/>
        <v/>
      </c>
      <c r="AJ123" s="5"/>
      <c r="AK123" t="str">
        <f ca="1">Tabela1[[#This Row],[Coluna1]]&amp;Tabela1[[#This Row],[PEDIDO]]</f>
        <v>P-198</v>
      </c>
      <c r="AL123"/>
      <c r="AM123"/>
      <c r="AN123"/>
      <c r="AO123" t="str">
        <f t="shared" ca="1" si="19"/>
        <v>T-073536-1/05-CV-0001</v>
      </c>
      <c r="AP123" t="str">
        <f ca="1">Tabela1[[#This Row],[TAG]]&amp;Tabela1[[#This Row],[PEDIDO]]&amp;Tabela1[[#This Row],[PRODUTO]]</f>
        <v>05-CV-0001P-198TAMBOR</v>
      </c>
      <c r="AQ123" s="22" t="str">
        <f ca="1">Tabela1[[#This Row],[PRODUTO]]&amp;Tabela1[[#This Row],[TAG]]</f>
        <v>TAMBOR05-CV-0001</v>
      </c>
      <c r="AR123" s="24" t="str">
        <f ca="1">Tabela1[[#This Row],[PEDIDO]]&amp;Tabela1[[#This Row],[PRODUTO]]</f>
        <v>P-198TAMBOR</v>
      </c>
      <c r="AS123" s="37">
        <f ca="1">IF(AF123="",0,IF(ISTEXT(AF123),H123*VALUE(SUBSTITUTE(AF123,"%",""))/100,H123*AF123))-Tabela1[[#This Row],[PRONTO ACABADO2]]</f>
        <v>0</v>
      </c>
      <c r="AT123" s="37">
        <f ca="1">IF(AG123="",0,IF(ISTEXT(AG123),H123*VALUE(SUBSTITUTE(AG123,"%",""))/100,H123*AG123))-Tabela1[[#This Row],[PESO EXPEDIDO2]]</f>
        <v>0</v>
      </c>
      <c r="AU123" s="37">
        <f t="shared" ca="1" si="29"/>
        <v>0</v>
      </c>
      <c r="AV123" s="37">
        <f t="shared" ca="1" si="30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 ca="1"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 ca="1">Tabela1[[#This Row],[QTDE/ Fabricação]]-Tabela1[[#This Row],[QTE]]</f>
        <v>-1</v>
      </c>
      <c r="R124" s="18">
        <f t="shared" ca="1" si="34"/>
        <v>515.47500000000002</v>
      </c>
      <c r="S124" s="18">
        <f t="shared" ca="1" si="35"/>
        <v>0</v>
      </c>
      <c r="T124" s="19">
        <f t="shared" ca="1" si="36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 ca="1">IFERROR(COUNTIF(#REF!,Tabela1[[#This Row],[Colunas5]]),"")</f>
        <v/>
      </c>
      <c r="X124" s="14">
        <f ca="1">Tabela1[[#This Row],[QIANTIDADE EXPEDIDA]]*Tabela1[[#This Row],[PESO UNI]]</f>
        <v>0</v>
      </c>
      <c r="Y124" s="14">
        <f t="shared" ca="1" si="37"/>
        <v>-1</v>
      </c>
      <c r="Z124" s="20">
        <f ca="1">Tabela1[[#This Row],[PESO TOTAL]]-Tabela1[[#This Row],[Peso Expedido]]</f>
        <v>916.4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ca="1" si="38"/>
        <v/>
      </c>
      <c r="AJ124" s="5"/>
      <c r="AK124" t="str">
        <f ca="1">Tabela1[[#This Row],[Coluna1]]&amp;Tabela1[[#This Row],[PEDIDO]]</f>
        <v>P-198</v>
      </c>
      <c r="AL124"/>
      <c r="AM124"/>
      <c r="AN124"/>
      <c r="AO124" t="str">
        <f t="shared" ca="1" si="19"/>
        <v>T-073535-1/14-CV-0001</v>
      </c>
      <c r="AP124" t="str">
        <f ca="1">Tabela1[[#This Row],[TAG]]&amp;Tabela1[[#This Row],[PEDIDO]]&amp;Tabela1[[#This Row],[PRODUTO]]</f>
        <v>14-CV-0001P-198TAMBOR</v>
      </c>
      <c r="AQ124" s="22" t="str">
        <f ca="1">Tabela1[[#This Row],[PRODUTO]]&amp;Tabela1[[#This Row],[TAG]]</f>
        <v>TAMBOR14-CV-0001</v>
      </c>
      <c r="AR124" s="24" t="str">
        <f ca="1">Tabela1[[#This Row],[PEDIDO]]&amp;Tabela1[[#This Row],[PRODUTO]]</f>
        <v>P-198TAMBOR</v>
      </c>
      <c r="AS124" s="37">
        <f ca="1">IF(AF124="",0,IF(ISTEXT(AF124),H124*VALUE(SUBSTITUTE(AF124,"%",""))/100,H124*AF124))-Tabela1[[#This Row],[PRONTO ACABADO2]]</f>
        <v>0</v>
      </c>
      <c r="AT124" s="37">
        <f ca="1">IF(AG124="",0,IF(ISTEXT(AG124),H124*VALUE(SUBSTITUTE(AG124,"%",""))/100,H124*AG124))-Tabela1[[#This Row],[PESO EXPEDIDO2]]</f>
        <v>0</v>
      </c>
      <c r="AU124" s="37">
        <f t="shared" ca="1" si="29"/>
        <v>0</v>
      </c>
      <c r="AV124" s="37">
        <f t="shared" ca="1" si="30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 ca="1"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 ca="1">Tabela1[[#This Row],[QTDE/ Fabricação]]-Tabela1[[#This Row],[QTE]]</f>
        <v>-1</v>
      </c>
      <c r="R125" s="18">
        <f t="shared" ca="1" si="34"/>
        <v>127.91250000000001</v>
      </c>
      <c r="S125" s="18">
        <f t="shared" ca="1" si="35"/>
        <v>0</v>
      </c>
      <c r="T125" s="19">
        <f t="shared" ca="1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 ca="1">IFERROR(COUNTIF(#REF!,Tabela1[[#This Row],[Colunas5]]),"")</f>
        <v/>
      </c>
      <c r="X125" s="14">
        <f ca="1">Tabela1[[#This Row],[QIANTIDADE EXPEDIDA]]*Tabela1[[#This Row],[PESO UNI]]</f>
        <v>0</v>
      </c>
      <c r="Y125" s="14">
        <f t="shared" ca="1" si="37"/>
        <v>-1</v>
      </c>
      <c r="Z125" s="20">
        <f ca="1"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ca="1" si="38"/>
        <v/>
      </c>
      <c r="AJ125" s="5"/>
      <c r="AK125" t="str">
        <f ca="1">Tabela1[[#This Row],[Coluna1]]&amp;Tabela1[[#This Row],[PEDIDO]]</f>
        <v>P-198</v>
      </c>
      <c r="AL125"/>
      <c r="AM125"/>
      <c r="AN125"/>
      <c r="AO125" t="str">
        <f t="shared" ca="1" si="19"/>
        <v>T-073533-1/14-CV-0005</v>
      </c>
      <c r="AP125" t="str">
        <f ca="1">Tabela1[[#This Row],[TAG]]&amp;Tabela1[[#This Row],[PEDIDO]]&amp;Tabela1[[#This Row],[PRODUTO]]</f>
        <v>14-CV-0005P-198TAMBOR</v>
      </c>
      <c r="AQ125" s="22" t="str">
        <f ca="1">Tabela1[[#This Row],[PRODUTO]]&amp;Tabela1[[#This Row],[TAG]]</f>
        <v>TAMBOR14-CV-0005</v>
      </c>
      <c r="AR125" s="24" t="str">
        <f ca="1">Tabela1[[#This Row],[PEDIDO]]&amp;Tabela1[[#This Row],[PRODUTO]]</f>
        <v>P-198TAMBOR</v>
      </c>
      <c r="AS125" s="37">
        <f ca="1">IF(AF125="",0,IF(ISTEXT(AF125),H125*VALUE(SUBSTITUTE(AF125,"%",""))/100,H125*AF125))-Tabela1[[#This Row],[PRONTO ACABADO2]]</f>
        <v>0</v>
      </c>
      <c r="AT125" s="37">
        <f ca="1">IF(AG125="",0,IF(ISTEXT(AG125),H125*VALUE(SUBSTITUTE(AG125,"%",""))/100,H125*AG125))-Tabela1[[#This Row],[PESO EXPEDIDO2]]</f>
        <v>0</v>
      </c>
      <c r="AU125" s="37">
        <f t="shared" ca="1" si="29"/>
        <v>0</v>
      </c>
      <c r="AV125" s="37">
        <f t="shared" ca="1" si="30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 ca="1"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 ca="1">Tabela1[[#This Row],[QTDE/ Fabricação]]-Tabela1[[#This Row],[QTE]]</f>
        <v>-1</v>
      </c>
      <c r="R126" s="18">
        <f t="shared" ca="1" si="34"/>
        <v>394.875</v>
      </c>
      <c r="S126" s="18">
        <f t="shared" ca="1" si="35"/>
        <v>0</v>
      </c>
      <c r="T126" s="19">
        <f t="shared" ca="1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 ca="1">IFERROR(COUNTIF(#REF!,Tabela1[[#This Row],[Colunas5]]),"")</f>
        <v/>
      </c>
      <c r="X126" s="14">
        <f ca="1">Tabela1[[#This Row],[QIANTIDADE EXPEDIDA]]*Tabela1[[#This Row],[PESO UNI]]</f>
        <v>0</v>
      </c>
      <c r="Y126" s="14">
        <f t="shared" ca="1" si="37"/>
        <v>-1</v>
      </c>
      <c r="Z126" s="20">
        <f ca="1"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ca="1" si="38"/>
        <v/>
      </c>
      <c r="AJ126" s="5"/>
      <c r="AK126" t="str">
        <f ca="1">Tabela1[[#This Row],[Coluna1]]&amp;Tabela1[[#This Row],[PEDIDO]]</f>
        <v>P-198</v>
      </c>
      <c r="AL126"/>
      <c r="AM126"/>
      <c r="AN126"/>
      <c r="AO126" t="str">
        <f t="shared" ca="1" si="19"/>
        <v>T-073532-1/05-CV-0001</v>
      </c>
      <c r="AP126" t="str">
        <f ca="1">Tabela1[[#This Row],[TAG]]&amp;Tabela1[[#This Row],[PEDIDO]]&amp;Tabela1[[#This Row],[PRODUTO]]</f>
        <v>05-CV-0001P-198TAMBOR</v>
      </c>
      <c r="AQ126" s="22" t="str">
        <f ca="1">Tabela1[[#This Row],[PRODUTO]]&amp;Tabela1[[#This Row],[TAG]]</f>
        <v>TAMBOR05-CV-0001</v>
      </c>
      <c r="AR126" s="24" t="str">
        <f ca="1">Tabela1[[#This Row],[PEDIDO]]&amp;Tabela1[[#This Row],[PRODUTO]]</f>
        <v>P-198TAMBOR</v>
      </c>
      <c r="AS126" s="37">
        <f ca="1">IF(AF126="",0,IF(ISTEXT(AF126),H126*VALUE(SUBSTITUTE(AF126,"%",""))/100,H126*AF126))-Tabela1[[#This Row],[PRONTO ACABADO2]]</f>
        <v>0</v>
      </c>
      <c r="AT126" s="37">
        <f ca="1">IF(AG126="",0,IF(ISTEXT(AG126),H126*VALUE(SUBSTITUTE(AG126,"%",""))/100,H126*AG126))-Tabela1[[#This Row],[PESO EXPEDIDO2]]</f>
        <v>0</v>
      </c>
      <c r="AU126" s="37">
        <f t="shared" ca="1" si="29"/>
        <v>0</v>
      </c>
      <c r="AV126" s="37">
        <f t="shared" ca="1" si="30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 ca="1"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 ca="1">Tabela1[[#This Row],[QTDE/ Fabricação]]-Tabela1[[#This Row],[QTE]]</f>
        <v>-4</v>
      </c>
      <c r="R127" s="18">
        <f t="shared" ca="1" si="34"/>
        <v>1357.2</v>
      </c>
      <c r="S127" s="18">
        <f t="shared" ca="1" si="35"/>
        <v>0</v>
      </c>
      <c r="T127" s="19">
        <f t="shared" ca="1" si="36"/>
        <v>-2412.8000000000002</v>
      </c>
      <c r="U127" s="16">
        <f>IFERROR(SUMIF('LISTA DE EMBARQUE'!B:B,MICRO!E:E,'LISTA DE EMBARQUE'!G:G),"")</f>
        <v>0</v>
      </c>
      <c r="V127" s="12" t="str">
        <f ca="1">IFERROR(VLOOKUP(Tabela1[[#This Row],[COD.MDE]],'LISTA DE EMBARQUE'!B:L,11,0),"")</f>
        <v/>
      </c>
      <c r="W127" s="13" t="str">
        <f ca="1">IFERROR(COUNTIF(#REF!,Tabela1[[#This Row],[Colunas5]]),"")</f>
        <v/>
      </c>
      <c r="X127" s="14">
        <f ca="1">Tabela1[[#This Row],[QIANTIDADE EXPEDIDA]]*Tabela1[[#This Row],[PESO UNI]]</f>
        <v>0</v>
      </c>
      <c r="Y127" s="14">
        <f t="shared" ca="1" si="37"/>
        <v>-4</v>
      </c>
      <c r="Z127" s="20">
        <f ca="1"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ca="1" si="38"/>
        <v/>
      </c>
      <c r="AJ127" s="5"/>
      <c r="AK127" t="str">
        <f ca="1">Tabela1[[#This Row],[Coluna1]]&amp;Tabela1[[#This Row],[PEDIDO]]</f>
        <v>P-198</v>
      </c>
      <c r="AL127"/>
      <c r="AM127"/>
      <c r="AN127"/>
      <c r="AO127" t="str">
        <f t="shared" ca="1" si="19"/>
        <v>T-073531-1/14-CV-0001</v>
      </c>
      <c r="AP127" t="str">
        <f ca="1">Tabela1[[#This Row],[TAG]]&amp;Tabela1[[#This Row],[PEDIDO]]&amp;Tabela1[[#This Row],[PRODUTO]]</f>
        <v>14-CV-0001P-198TAMBOR</v>
      </c>
      <c r="AQ127" s="22" t="str">
        <f ca="1">Tabela1[[#This Row],[PRODUTO]]&amp;Tabela1[[#This Row],[TAG]]</f>
        <v>TAMBOR14-CV-0001</v>
      </c>
      <c r="AR127" s="24" t="str">
        <f ca="1">Tabela1[[#This Row],[PEDIDO]]&amp;Tabela1[[#This Row],[PRODUTO]]</f>
        <v>P-198TAMBOR</v>
      </c>
      <c r="AS127" s="37">
        <f ca="1">IF(AF127="",0,IF(ISTEXT(AF127),H127*VALUE(SUBSTITUTE(AF127,"%",""))/100,H127*AF127))-Tabela1[[#This Row],[PRONTO ACABADO2]]</f>
        <v>0</v>
      </c>
      <c r="AT127" s="37">
        <f ca="1">IF(AG127="",0,IF(ISTEXT(AG127),H127*VALUE(SUBSTITUTE(AG127,"%",""))/100,H127*AG127))-Tabela1[[#This Row],[PESO EXPEDIDO2]]</f>
        <v>0</v>
      </c>
      <c r="AU127" s="37">
        <f t="shared" ca="1" si="29"/>
        <v>0</v>
      </c>
      <c r="AV127" s="37">
        <f t="shared" ca="1" si="30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 ca="1"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 ca="1">Tabela1[[#This Row],[QTDE/ Fabricação]]-Tabela1[[#This Row],[QTE]]</f>
        <v>-1</v>
      </c>
      <c r="R128" s="18">
        <f t="shared" ca="1" si="34"/>
        <v>33</v>
      </c>
      <c r="S128" s="18">
        <f t="shared" ca="1" si="35"/>
        <v>33</v>
      </c>
      <c r="T128" s="19">
        <f t="shared" ca="1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 ca="1">IFERROR(COUNTIF(#REF!,Tabela1[[#This Row],[Colunas5]]),"")</f>
        <v/>
      </c>
      <c r="X128" s="14">
        <f ca="1">Tabela1[[#This Row],[QIANTIDADE EXPEDIDA]]*Tabela1[[#This Row],[PESO UNI]]</f>
        <v>0</v>
      </c>
      <c r="Y128" s="14">
        <f t="shared" ca="1" si="37"/>
        <v>-1</v>
      </c>
      <c r="Z128" s="20">
        <f ca="1"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ca="1" si="38"/>
        <v/>
      </c>
      <c r="AJ128" s="5"/>
      <c r="AK128" t="str">
        <f ca="1">Tabela1[[#This Row],[Coluna1]]&amp;Tabela1[[#This Row],[PEDIDO]]</f>
        <v>P-198</v>
      </c>
      <c r="AL128"/>
      <c r="AM128"/>
      <c r="AN128"/>
      <c r="AO128" t="str">
        <f t="shared" ca="1" si="19"/>
        <v>T-073209-1/05-CV-0001</v>
      </c>
      <c r="AP128" t="str">
        <f ca="1">Tabela1[[#This Row],[TAG]]&amp;Tabela1[[#This Row],[PEDIDO]]&amp;Tabela1[[#This Row],[PRODUTO]]</f>
        <v>05-CV-0001P-198ESTRUTURA</v>
      </c>
      <c r="AQ128" s="22" t="str">
        <f ca="1">Tabela1[[#This Row],[PRODUTO]]&amp;Tabela1[[#This Row],[TAG]]</f>
        <v>ESTRUTURA05-CV-0001</v>
      </c>
      <c r="AR128" s="24" t="str">
        <f ca="1">Tabela1[[#This Row],[PEDIDO]]&amp;Tabela1[[#This Row],[PRODUTO]]</f>
        <v>P-198ESTRUTURA</v>
      </c>
      <c r="AS128" s="37">
        <f ca="1">IF(AF128="",0,IF(ISTEXT(AF128),H128*VALUE(SUBSTITUTE(AF128,"%",""))/100,H128*AF128))-Tabela1[[#This Row],[PRONTO ACABADO2]]</f>
        <v>0</v>
      </c>
      <c r="AT128" s="37">
        <f ca="1">IF(AG128="",0,IF(ISTEXT(AG128),H128*VALUE(SUBSTITUTE(AG128,"%",""))/100,H128*AG128))-Tabela1[[#This Row],[PESO EXPEDIDO2]]</f>
        <v>33</v>
      </c>
      <c r="AU128" s="37">
        <f t="shared" ca="1" si="29"/>
        <v>0</v>
      </c>
      <c r="AV128" s="37">
        <f t="shared" ca="1" si="30"/>
        <v>33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4865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 ca="1">Tabela1[[#This Row],[QTDE/ Fabricação]]-Tabela1[[#This Row],[QTE]]</f>
        <v>-1</v>
      </c>
      <c r="R129" s="18">
        <f t="shared" ca="1" si="34"/>
        <v>453.9</v>
      </c>
      <c r="S129" s="18">
        <f t="shared" ca="1" si="35"/>
        <v>453.9</v>
      </c>
      <c r="T129" s="19">
        <f t="shared" ca="1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 ca="1">IFERROR(COUNTIF(#REF!,Tabela1[[#This Row],[Colunas5]]),"")</f>
        <v/>
      </c>
      <c r="X129" s="14">
        <f ca="1">Tabela1[[#This Row],[QIANTIDADE EXPEDIDA]]*Tabela1[[#This Row],[PESO UNI]]</f>
        <v>448.3</v>
      </c>
      <c r="Y129" s="14">
        <f t="shared" ca="1" si="37"/>
        <v>0</v>
      </c>
      <c r="Z129" s="20">
        <f ca="1"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 ca="1">Tabela1[[#This Row],[Coluna1]]&amp;Tabela1[[#This Row],[PEDIDO]]</f>
        <v>P-198</v>
      </c>
      <c r="AL129"/>
      <c r="AM129"/>
      <c r="AN129"/>
      <c r="AO129" t="str">
        <f t="shared" ca="1" si="19"/>
        <v>T-073208-1/05-CV-0001</v>
      </c>
      <c r="AP129" t="str">
        <f ca="1">Tabela1[[#This Row],[TAG]]&amp;Tabela1[[#This Row],[PEDIDO]]&amp;Tabela1[[#This Row],[PRODUTO]]</f>
        <v>05-CV-0001P-198ESTRUTURA</v>
      </c>
      <c r="AQ129" s="22" t="str">
        <f ca="1">Tabela1[[#This Row],[PRODUTO]]&amp;Tabela1[[#This Row],[TAG]]</f>
        <v>ESTRUTURA05-CV-0001</v>
      </c>
      <c r="AR129" s="24" t="str">
        <f ca="1">Tabela1[[#This Row],[PEDIDO]]&amp;Tabela1[[#This Row],[PRODUTO]]</f>
        <v>P-198ESTRUTURA</v>
      </c>
      <c r="AS129" s="37">
        <f ca="1">IF(AF129="",0,IF(ISTEXT(AF129),H129*VALUE(SUBSTITUTE(AF129,"%",""))/100,H129*AF129))-Tabela1[[#This Row],[PRONTO ACABADO2]]</f>
        <v>0</v>
      </c>
      <c r="AT129" s="37">
        <f ca="1">IF(AG129="",0,IF(ISTEXT(AG129),H129*VALUE(SUBSTITUTE(AG129,"%",""))/100,H129*AG129))-Tabela1[[#This Row],[PESO EXPEDIDO2]]</f>
        <v>0</v>
      </c>
      <c r="AU129" s="37">
        <f t="shared" ca="1" si="29"/>
        <v>453.9</v>
      </c>
      <c r="AV129" s="37">
        <f t="shared" ca="1" si="30"/>
        <v>453.9</v>
      </c>
      <c r="AW129" s="37"/>
    </row>
    <row r="130" spans="1:49" ht="15.75" hidden="1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 ca="1">Tabela1[[#This Row],[PESO UNI]]*Tabela1[[#This Row],[QTE]]</f>
        <v>22.200000000000003</v>
      </c>
      <c r="I130" s="7" t="s">
        <v>4865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 ca="1">Tabela1[[#This Row],[QTDE/ Fabricação]]-Tabela1[[#This Row],[QTE]]</f>
        <v>-3</v>
      </c>
      <c r="R130" s="18">
        <f t="shared" ca="1" si="34"/>
        <v>22.200000000000003</v>
      </c>
      <c r="S130" s="18">
        <f t="shared" ca="1" si="35"/>
        <v>22.200000000000003</v>
      </c>
      <c r="T130" s="19">
        <f t="shared" ca="1" si="36"/>
        <v>0</v>
      </c>
      <c r="U130" s="16">
        <f>IFERROR(SUMIF('LISTA DE EMBARQUE'!B:B,MICRO!E:E,'LISTA DE EMBARQUE'!G:G),"")</f>
        <v>3</v>
      </c>
      <c r="V130" s="12">
        <f>IFERROR(VLOOKUP(Tabela1[[#This Row],[COD.MDE]],'LISTA DE EMBARQUE'!B:L,11,0),"")</f>
        <v>5</v>
      </c>
      <c r="W130" s="13" t="str">
        <f ca="1">IFERROR(COUNTIF(#REF!,Tabela1[[#This Row],[Colunas5]]),"")</f>
        <v/>
      </c>
      <c r="X130" s="14">
        <f ca="1">Tabela1[[#This Row],[QIANTIDADE EXPEDIDA]]*Tabela1[[#This Row],[PESO UNI]]</f>
        <v>22.200000000000003</v>
      </c>
      <c r="Y130" s="14">
        <f t="shared" ca="1" si="37"/>
        <v>0</v>
      </c>
      <c r="Z130" s="20">
        <f ca="1">Tabela1[[#This Row],[PESO TOTAL]]-Tabela1[[#This Row],[Peso Expedido]]</f>
        <v>0</v>
      </c>
      <c r="AA130" s="17">
        <v>1</v>
      </c>
      <c r="AB130" s="33"/>
      <c r="AC130" s="33">
        <v>1</v>
      </c>
      <c r="AD130" s="33">
        <v>1</v>
      </c>
      <c r="AE130" s="33">
        <v>1</v>
      </c>
      <c r="AF130" s="33">
        <v>1</v>
      </c>
      <c r="AG130" s="33">
        <v>1</v>
      </c>
      <c r="AH130" s="33">
        <v>1</v>
      </c>
      <c r="AI130" s="33" t="str">
        <f t="shared" ref="AI130:AI152" ca="1" si="39">IF(Z130&lt;=0,"ok","")</f>
        <v>ok</v>
      </c>
      <c r="AJ130" s="5"/>
      <c r="AK130" t="str">
        <f ca="1">Tabela1[[#This Row],[Coluna1]]&amp;Tabela1[[#This Row],[PEDIDO]]</f>
        <v>P-198</v>
      </c>
      <c r="AL130"/>
      <c r="AM130"/>
      <c r="AN130"/>
      <c r="AO130" t="str">
        <f t="shared" ca="1" si="19"/>
        <v>T-073207-1/05-CV-0001</v>
      </c>
      <c r="AP130" t="str">
        <f ca="1">Tabela1[[#This Row],[TAG]]&amp;Tabela1[[#This Row],[PEDIDO]]&amp;Tabela1[[#This Row],[PRODUTO]]</f>
        <v>05-CV-0001P-198ESTRUTURA</v>
      </c>
      <c r="AQ130" s="22" t="str">
        <f ca="1">Tabela1[[#This Row],[PRODUTO]]&amp;Tabela1[[#This Row],[TAG]]</f>
        <v>ESTRUTURA05-CV-0001</v>
      </c>
      <c r="AR130" s="24" t="str">
        <f ca="1">Tabela1[[#This Row],[PEDIDO]]&amp;Tabela1[[#This Row],[PRODUTO]]</f>
        <v>P-198ESTRUTURA</v>
      </c>
      <c r="AS130" s="37">
        <f ca="1">IF(AF130="",0,IF(ISTEXT(AF130),H130*VALUE(SUBSTITUTE(AF130,"%",""))/100,H130*AF130))-Tabela1[[#This Row],[PRONTO ACABADO2]]</f>
        <v>0</v>
      </c>
      <c r="AT130" s="37">
        <f ca="1">IF(AG130="",0,IF(ISTEXT(AG130),H130*VALUE(SUBSTITUTE(AG130,"%",""))/100,H130*AG130))-Tabela1[[#This Row],[PESO EXPEDIDO2]]</f>
        <v>0</v>
      </c>
      <c r="AU130" s="37">
        <f t="shared" ca="1" si="29"/>
        <v>22.200000000000003</v>
      </c>
      <c r="AV130" s="37">
        <f t="shared" ca="1" si="30"/>
        <v>22.200000000000003</v>
      </c>
      <c r="AW130" s="37"/>
    </row>
    <row r="131" spans="1:49" ht="15.75" hidden="1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 ca="1">Tabela1[[#This Row],[PESO UNI]]*Tabela1[[#This Row],[QTE]]</f>
        <v>470.6</v>
      </c>
      <c r="I131" s="7" t="s">
        <v>4865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 ca="1">Tabela1[[#This Row],[QTDE/ Fabricação]]-Tabela1[[#This Row],[QTE]]</f>
        <v>-1</v>
      </c>
      <c r="R131" s="18">
        <f t="shared" ca="1" si="34"/>
        <v>470.6</v>
      </c>
      <c r="S131" s="18">
        <f t="shared" ca="1" si="35"/>
        <v>470.6</v>
      </c>
      <c r="T131" s="19">
        <f t="shared" ca="1" si="36"/>
        <v>0</v>
      </c>
      <c r="U131" s="16">
        <f>IFERROR(SUMIF('LISTA DE EMBARQUE'!B:B,MICRO!E:E,'LISTA DE EMBARQUE'!G:G),"")</f>
        <v>1</v>
      </c>
      <c r="V131" s="12">
        <f ca="1">IFERROR(VLOOKUP(Tabela1[[#This Row],[COD.MDE]],'LISTA DE EMBARQUE'!B:L,11,0),"")</f>
        <v>3</v>
      </c>
      <c r="W131" s="13" t="str">
        <f ca="1">IFERROR(COUNTIF(#REF!,Tabela1[[#This Row],[Colunas5]]),"")</f>
        <v/>
      </c>
      <c r="X131" s="14">
        <f ca="1">Tabela1[[#This Row],[QIANTIDADE EXPEDIDA]]*Tabela1[[#This Row],[PESO UNI]]</f>
        <v>470.6</v>
      </c>
      <c r="Y131" s="14">
        <f t="shared" ca="1" si="37"/>
        <v>0</v>
      </c>
      <c r="Z131" s="20">
        <f ca="1">Tabela1[[#This Row],[PESO TOTAL]]-Tabela1[[#This Row],[Peso Expedido]]</f>
        <v>0</v>
      </c>
      <c r="AA131" s="17">
        <v>1</v>
      </c>
      <c r="AB131" s="33"/>
      <c r="AC131" s="33">
        <v>1</v>
      </c>
      <c r="AD131" s="33">
        <v>1</v>
      </c>
      <c r="AE131" s="33">
        <v>1</v>
      </c>
      <c r="AF131" s="33">
        <v>1</v>
      </c>
      <c r="AG131" s="33">
        <v>1</v>
      </c>
      <c r="AH131" s="33">
        <v>1</v>
      </c>
      <c r="AI131" s="33" t="str">
        <f t="shared" ca="1" si="39"/>
        <v>ok</v>
      </c>
      <c r="AJ131" s="5"/>
      <c r="AK131" t="str">
        <f ca="1">Tabela1[[#This Row],[Coluna1]]&amp;Tabela1[[#This Row],[PEDIDO]]</f>
        <v>P-198</v>
      </c>
      <c r="AL131"/>
      <c r="AM131"/>
      <c r="AN131"/>
      <c r="AO131" t="str">
        <f t="shared" ca="1" si="19"/>
        <v>T-073207-1/05-CV-0001</v>
      </c>
      <c r="AP131" t="str">
        <f ca="1">Tabela1[[#This Row],[TAG]]&amp;Tabela1[[#This Row],[PEDIDO]]&amp;Tabela1[[#This Row],[PRODUTO]]</f>
        <v>05-CV-0001P-198ESTRUTURA</v>
      </c>
      <c r="AQ131" s="22" t="str">
        <f ca="1">Tabela1[[#This Row],[PRODUTO]]&amp;Tabela1[[#This Row],[TAG]]</f>
        <v>ESTRUTURA05-CV-0001</v>
      </c>
      <c r="AR131" s="24" t="str">
        <f ca="1">Tabela1[[#This Row],[PEDIDO]]&amp;Tabela1[[#This Row],[PRODUTO]]</f>
        <v>P-198ESTRUTURA</v>
      </c>
      <c r="AS131" s="37">
        <f ca="1">IF(AF131="",0,IF(ISTEXT(AF131),H131*VALUE(SUBSTITUTE(AF131,"%",""))/100,H131*AF131))-Tabela1[[#This Row],[PRONTO ACABADO2]]</f>
        <v>0</v>
      </c>
      <c r="AT131" s="37">
        <f ca="1">IF(AG131="",0,IF(ISTEXT(AG131),H131*VALUE(SUBSTITUTE(AG131,"%",""))/100,H131*AG131))-Tabela1[[#This Row],[PESO EXPEDIDO2]]</f>
        <v>0</v>
      </c>
      <c r="AU131" s="37">
        <f t="shared" ca="1" si="29"/>
        <v>470.6</v>
      </c>
      <c r="AV131" s="37">
        <f t="shared" ca="1" si="30"/>
        <v>470.6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 ca="1"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 ca="1">Tabela1[[#This Row],[QTDE/ Fabricação]]-Tabela1[[#This Row],[QTE]]</f>
        <v>-72</v>
      </c>
      <c r="R132" s="18">
        <f t="shared" ca="1" si="34"/>
        <v>316.8</v>
      </c>
      <c r="S132" s="18">
        <f t="shared" ca="1" si="35"/>
        <v>316.8</v>
      </c>
      <c r="T132" s="19">
        <f t="shared" ca="1" si="36"/>
        <v>0</v>
      </c>
      <c r="U132" s="16">
        <f>IFERROR(SUMIF('LISTA DE EMBARQUE'!B:B,MICRO!E:E,'LISTA DE EMBARQUE'!G:G),"")</f>
        <v>0</v>
      </c>
      <c r="V132" s="12">
        <v>1</v>
      </c>
      <c r="W132" s="13" t="str">
        <f ca="1">IFERROR(COUNTIF(#REF!,Tabela1[[#This Row],[Colunas5]]),"")</f>
        <v/>
      </c>
      <c r="X132" s="14">
        <f ca="1">Tabela1[[#This Row],[QIANTIDADE EXPEDIDA]]*Tabela1[[#This Row],[PESO UNI]]</f>
        <v>0</v>
      </c>
      <c r="Y132" s="14">
        <f t="shared" ca="1" si="37"/>
        <v>-72</v>
      </c>
      <c r="Z132" s="20">
        <f ca="1"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>
        <v>1</v>
      </c>
      <c r="AI132" s="33" t="s">
        <v>4412</v>
      </c>
      <c r="AJ132" s="5"/>
      <c r="AK132" t="str">
        <f ca="1">Tabela1[[#This Row],[Coluna1]]&amp;Tabela1[[#This Row],[PEDIDO]]</f>
        <v>P-198</v>
      </c>
      <c r="AL132"/>
      <c r="AM132"/>
      <c r="AN132"/>
      <c r="AO132" t="str">
        <f t="shared" ca="1" si="19"/>
        <v>T-073193-1/14-AC-0001</v>
      </c>
      <c r="AP132" t="str">
        <f ca="1">Tabela1[[#This Row],[TAG]]&amp;Tabela1[[#This Row],[PEDIDO]]&amp;Tabela1[[#This Row],[PRODUTO]]</f>
        <v>14-AC-0001P-198BASES ROLETES</v>
      </c>
      <c r="AQ132" s="22" t="str">
        <f ca="1">Tabela1[[#This Row],[PRODUTO]]&amp;Tabela1[[#This Row],[TAG]]</f>
        <v>BASES ROLETES14-AC-0001</v>
      </c>
      <c r="AR132" s="24" t="str">
        <f ca="1">Tabela1[[#This Row],[PEDIDO]]&amp;Tabela1[[#This Row],[PRODUTO]]</f>
        <v>P-198BASES ROLETES</v>
      </c>
      <c r="AS132" s="37">
        <f ca="1">IF(AF132="",0,IF(ISTEXT(AF132),H132*VALUE(SUBSTITUTE(AF132,"%",""))/100,H132*AF132))-Tabela1[[#This Row],[PRONTO ACABADO2]]</f>
        <v>0</v>
      </c>
      <c r="AT132" s="37">
        <f ca="1">IF(AG132="",0,IF(ISTEXT(AG132),H132*VALUE(SUBSTITUTE(AG132,"%",""))/100,H132*AG132))-Tabela1[[#This Row],[PESO EXPEDIDO2]]</f>
        <v>0</v>
      </c>
      <c r="AU132" s="37">
        <f t="shared" ca="1" si="29"/>
        <v>316.8</v>
      </c>
      <c r="AV132" s="37">
        <f t="shared" ca="1" si="30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 ca="1"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 ca="1">Tabela1[[#This Row],[QTDE/ Fabricação]]-Tabela1[[#This Row],[QTE]]</f>
        <v>-72</v>
      </c>
      <c r="R133" s="18">
        <f t="shared" ca="1" si="34"/>
        <v>324</v>
      </c>
      <c r="S133" s="18">
        <f t="shared" ca="1" si="35"/>
        <v>324</v>
      </c>
      <c r="T133" s="19">
        <f t="shared" ca="1" si="36"/>
        <v>0</v>
      </c>
      <c r="U133" s="16">
        <f>IFERROR(SUMIF('LISTA DE EMBARQUE'!B:B,MICRO!E:E,'LISTA DE EMBARQUE'!G:G),"")</f>
        <v>0</v>
      </c>
      <c r="V133" s="12">
        <v>1</v>
      </c>
      <c r="W133" s="13" t="str">
        <f ca="1">IFERROR(COUNTIF(#REF!,Tabela1[[#This Row],[Colunas5]]),"")</f>
        <v/>
      </c>
      <c r="X133" s="14">
        <f ca="1">Tabela1[[#This Row],[QIANTIDADE EXPEDIDA]]*Tabela1[[#This Row],[PESO UNI]]</f>
        <v>0</v>
      </c>
      <c r="Y133" s="14">
        <f t="shared" ca="1" si="37"/>
        <v>-72</v>
      </c>
      <c r="Z133" s="20">
        <f ca="1"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>
        <v>1</v>
      </c>
      <c r="AI133" s="33" t="s">
        <v>4412</v>
      </c>
      <c r="AJ133" s="5"/>
      <c r="AK133" t="str">
        <f ca="1">Tabela1[[#This Row],[Coluna1]]&amp;Tabela1[[#This Row],[PEDIDO]]</f>
        <v>P-198</v>
      </c>
      <c r="AL133"/>
      <c r="AM133"/>
      <c r="AN133"/>
      <c r="AO133" t="str">
        <f t="shared" ref="AO133:AO195" ca="1" si="40">A133&amp;"/"&amp;J133</f>
        <v>T-073193-1/14-AC-0001</v>
      </c>
      <c r="AP133" t="str">
        <f ca="1">Tabela1[[#This Row],[TAG]]&amp;Tabela1[[#This Row],[PEDIDO]]&amp;Tabela1[[#This Row],[PRODUTO]]</f>
        <v>14-AC-0001P-198BASES ROLETES</v>
      </c>
      <c r="AQ133" s="22" t="str">
        <f ca="1">Tabela1[[#This Row],[PRODUTO]]&amp;Tabela1[[#This Row],[TAG]]</f>
        <v>BASES ROLETES14-AC-0001</v>
      </c>
      <c r="AR133" s="24" t="str">
        <f ca="1">Tabela1[[#This Row],[PEDIDO]]&amp;Tabela1[[#This Row],[PRODUTO]]</f>
        <v>P-198BASES ROLETES</v>
      </c>
      <c r="AS133" s="37">
        <f ca="1">IF(AF133="",0,IF(ISTEXT(AF133),H133*VALUE(SUBSTITUTE(AF133,"%",""))/100,H133*AF133))-Tabela1[[#This Row],[PRONTO ACABADO2]]</f>
        <v>0</v>
      </c>
      <c r="AT133" s="37">
        <f ca="1">IF(AG133="",0,IF(ISTEXT(AG133),H133*VALUE(SUBSTITUTE(AG133,"%",""))/100,H133*AG133))-Tabela1[[#This Row],[PESO EXPEDIDO2]]</f>
        <v>0</v>
      </c>
      <c r="AU133" s="37">
        <f t="shared" ca="1" si="29"/>
        <v>324</v>
      </c>
      <c r="AV133" s="37">
        <f t="shared" ca="1" si="30"/>
        <v>324</v>
      </c>
      <c r="AW133" s="37"/>
    </row>
    <row r="134" spans="1:49" ht="15.75" hidden="1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 ca="1"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 ca="1">Tabela1[[#This Row],[QTDE/ Fabricação]]-Tabela1[[#This Row],[QTE]]</f>
        <v>-76</v>
      </c>
      <c r="R134" s="18">
        <f t="shared" ca="1" si="34"/>
        <v>547.20000000000005</v>
      </c>
      <c r="S134" s="18">
        <f t="shared" ca="1" si="35"/>
        <v>547.20000000000005</v>
      </c>
      <c r="T134" s="19">
        <f t="shared" ca="1" si="36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 ca="1">IFERROR(COUNTIF(#REF!,Tabela1[[#This Row],[Colunas5]]),"")</f>
        <v/>
      </c>
      <c r="X134" s="14">
        <f ca="1">Tabela1[[#This Row],[QIANTIDADE EXPEDIDA]]*Tabela1[[#This Row],[PESO UNI]]</f>
        <v>547.20000000000005</v>
      </c>
      <c r="Y134" s="14">
        <f t="shared" ca="1" si="37"/>
        <v>0</v>
      </c>
      <c r="Z134" s="20">
        <f ca="1"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 t="shared" ca="1" si="39"/>
        <v>ok</v>
      </c>
      <c r="AJ134" s="5"/>
      <c r="AK134" t="str">
        <f ca="1">Tabela1[[#This Row],[Coluna1]]&amp;Tabela1[[#This Row],[PEDIDO]]</f>
        <v>P-198</v>
      </c>
      <c r="AL134"/>
      <c r="AM134"/>
      <c r="AN134"/>
      <c r="AO134" t="str">
        <f t="shared" ca="1" si="40"/>
        <v>T-073181-1/05-CV-0001</v>
      </c>
      <c r="AP134" t="str">
        <f ca="1">Tabela1[[#This Row],[TAG]]&amp;Tabela1[[#This Row],[PEDIDO]]&amp;Tabela1[[#This Row],[PRODUTO]]</f>
        <v>05-CV-0001P-198BASES ROLETES</v>
      </c>
      <c r="AQ134" s="22" t="str">
        <f ca="1">Tabela1[[#This Row],[PRODUTO]]&amp;Tabela1[[#This Row],[TAG]]</f>
        <v>BASES ROLETES05-CV-0001</v>
      </c>
      <c r="AR134" s="24" t="str">
        <f ca="1">Tabela1[[#This Row],[PEDIDO]]&amp;Tabela1[[#This Row],[PRODUTO]]</f>
        <v>P-198BASES ROLETES</v>
      </c>
      <c r="AS134" s="37">
        <f ca="1">IF(AF134="",0,IF(ISTEXT(AF134),H134*VALUE(SUBSTITUTE(AF134,"%",""))/100,H134*AF134))-Tabela1[[#This Row],[PRONTO ACABADO2]]</f>
        <v>0</v>
      </c>
      <c r="AT134" s="37">
        <f ca="1">IF(AG134="",0,IF(ISTEXT(AG134),H134*VALUE(SUBSTITUTE(AG134,"%",""))/100,H134*AG134))-Tabela1[[#This Row],[PESO EXPEDIDO2]]</f>
        <v>0</v>
      </c>
      <c r="AU134" s="37">
        <f t="shared" ca="1" si="29"/>
        <v>547.20000000000005</v>
      </c>
      <c r="AV134" s="37">
        <f t="shared" ca="1" si="30"/>
        <v>547.20000000000005</v>
      </c>
      <c r="AW134" s="37"/>
    </row>
    <row r="135" spans="1:49" ht="15.75" hidden="1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 ca="1"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 ca="1">Tabela1[[#This Row],[QTDE/ Fabricação]]-Tabela1[[#This Row],[QTE]]</f>
        <v>-38</v>
      </c>
      <c r="R135" s="18">
        <f t="shared" ca="1" si="34"/>
        <v>98.8</v>
      </c>
      <c r="S135" s="18">
        <f t="shared" ca="1" si="35"/>
        <v>98.8</v>
      </c>
      <c r="T135" s="19">
        <f t="shared" ca="1" si="36"/>
        <v>0</v>
      </c>
      <c r="U135" s="16">
        <f>IFERROR(SUMIF('LISTA DE EMBARQUE'!B:B,MICRO!E:E,'LISTA DE EMBARQUE'!G:G),"")</f>
        <v>38</v>
      </c>
      <c r="V135" s="12">
        <f>IFERROR(VLOOKUP(Tabela1[[#This Row],[COD.MDE]],'LISTA DE EMBARQUE'!B:L,11,0),"")</f>
        <v>5</v>
      </c>
      <c r="W135" s="13" t="str">
        <f ca="1">IFERROR(COUNTIF(#REF!,Tabela1[[#This Row],[Colunas5]]),"")</f>
        <v/>
      </c>
      <c r="X135" s="14">
        <f ca="1">Tabela1[[#This Row],[QIANTIDADE EXPEDIDA]]*Tabela1[[#This Row],[PESO UNI]]</f>
        <v>98.8</v>
      </c>
      <c r="Y135" s="14">
        <f t="shared" ca="1" si="37"/>
        <v>0</v>
      </c>
      <c r="Z135" s="20">
        <f ca="1">Tabela1[[#This Row],[PESO TOTAL]]-Tabela1[[#This Row],[Peso Expedido]]</f>
        <v>0</v>
      </c>
      <c r="AA135" s="17">
        <v>1</v>
      </c>
      <c r="AB135" s="33"/>
      <c r="AC135" s="33">
        <v>1</v>
      </c>
      <c r="AD135" s="33">
        <v>1</v>
      </c>
      <c r="AE135" s="33">
        <v>1</v>
      </c>
      <c r="AF135" s="33">
        <v>1</v>
      </c>
      <c r="AG135" s="33">
        <v>1</v>
      </c>
      <c r="AH135" s="33">
        <v>1</v>
      </c>
      <c r="AI135" s="33" t="str">
        <f t="shared" ca="1" si="39"/>
        <v>ok</v>
      </c>
      <c r="AJ135" s="5"/>
      <c r="AK135" t="str">
        <f ca="1">Tabela1[[#This Row],[Coluna1]]&amp;Tabela1[[#This Row],[PEDIDO]]</f>
        <v>P-198</v>
      </c>
      <c r="AL135"/>
      <c r="AM135"/>
      <c r="AN135"/>
      <c r="AO135" t="str">
        <f t="shared" ca="1" si="40"/>
        <v>T-073204-1/05-CV-0001</v>
      </c>
      <c r="AP135" t="str">
        <f ca="1">Tabela1[[#This Row],[TAG]]&amp;Tabela1[[#This Row],[PEDIDO]]&amp;Tabela1[[#This Row],[PRODUTO]]</f>
        <v>05-CV-0001P-198ESTRUTURA</v>
      </c>
      <c r="AQ135" s="22" t="str">
        <f ca="1">Tabela1[[#This Row],[PRODUTO]]&amp;Tabela1[[#This Row],[TAG]]</f>
        <v>ESTRUTURA05-CV-0001</v>
      </c>
      <c r="AR135" s="24" t="str">
        <f ca="1">Tabela1[[#This Row],[PEDIDO]]&amp;Tabela1[[#This Row],[PRODUTO]]</f>
        <v>P-198ESTRUTURA</v>
      </c>
      <c r="AS135" s="37">
        <f ca="1">IF(AF135="",0,IF(ISTEXT(AF135),H135*VALUE(SUBSTITUTE(AF135,"%",""))/100,H135*AF135))-Tabela1[[#This Row],[PRONTO ACABADO2]]</f>
        <v>0</v>
      </c>
      <c r="AT135" s="37">
        <f ca="1">IF(AG135="",0,IF(ISTEXT(AG135),H135*VALUE(SUBSTITUTE(AG135,"%",""))/100,H135*AG135))-Tabela1[[#This Row],[PESO EXPEDIDO2]]</f>
        <v>0</v>
      </c>
      <c r="AU135" s="37">
        <f t="shared" ca="1" si="29"/>
        <v>98.8</v>
      </c>
      <c r="AV135" s="37">
        <f t="shared" ca="1" si="30"/>
        <v>98.8</v>
      </c>
      <c r="AW135" s="37"/>
    </row>
    <row r="136" spans="1:49" ht="15.75" hidden="1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 ca="1"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 ca="1">Tabela1[[#This Row],[QTDE/ Fabricação]]-Tabela1[[#This Row],[QTE]]</f>
        <v>-16</v>
      </c>
      <c r="R136" s="18">
        <f t="shared" ca="1" si="34"/>
        <v>40</v>
      </c>
      <c r="S136" s="18">
        <f t="shared" ca="1" si="35"/>
        <v>40</v>
      </c>
      <c r="T136" s="19">
        <f t="shared" ca="1" si="36"/>
        <v>0</v>
      </c>
      <c r="U136" s="16">
        <f>IFERROR(SUMIF('LISTA DE EMBARQUE'!B:B,MICRO!E:E,'LISTA DE EMBARQUE'!G:G),"")</f>
        <v>18</v>
      </c>
      <c r="V136" s="12">
        <f ca="1">IFERROR(VLOOKUP(Tabela1[[#This Row],[COD.MDE]],'LISTA DE EMBARQUE'!B:L,11,0),"")</f>
        <v>5</v>
      </c>
      <c r="W136" s="13" t="str">
        <f ca="1">IFERROR(COUNTIF(#REF!,Tabela1[[#This Row],[Colunas5]]),"")</f>
        <v/>
      </c>
      <c r="X136" s="14">
        <f ca="1">Tabela1[[#This Row],[QIANTIDADE EXPEDIDA]]*Tabela1[[#This Row],[PESO UNI]]</f>
        <v>45</v>
      </c>
      <c r="Y136" s="14">
        <f t="shared" ca="1" si="37"/>
        <v>2</v>
      </c>
      <c r="Z136" s="20">
        <v>0</v>
      </c>
      <c r="AA136" s="17">
        <v>1</v>
      </c>
      <c r="AB136" s="33"/>
      <c r="AC136" s="33">
        <v>1</v>
      </c>
      <c r="AD136" s="33">
        <v>1</v>
      </c>
      <c r="AE136" s="33">
        <v>1</v>
      </c>
      <c r="AF136" s="33">
        <v>1</v>
      </c>
      <c r="AG136" s="33">
        <v>1</v>
      </c>
      <c r="AH136" s="33">
        <v>1</v>
      </c>
      <c r="AI136" s="33" t="str">
        <f t="shared" ca="1" si="39"/>
        <v>ok</v>
      </c>
      <c r="AJ136" s="5"/>
      <c r="AK136" t="str">
        <f ca="1">Tabela1[[#This Row],[Coluna1]]&amp;Tabela1[[#This Row],[PEDIDO]]</f>
        <v>P-198</v>
      </c>
      <c r="AL136"/>
      <c r="AM136"/>
      <c r="AN136"/>
      <c r="AO136" t="str">
        <f t="shared" ca="1" si="40"/>
        <v>T-073204-1/05-CV-0001</v>
      </c>
      <c r="AP136" t="str">
        <f ca="1">Tabela1[[#This Row],[TAG]]&amp;Tabela1[[#This Row],[PEDIDO]]&amp;Tabela1[[#This Row],[PRODUTO]]</f>
        <v>05-CV-0001P-198ESTRUTURA</v>
      </c>
      <c r="AQ136" s="22" t="str">
        <f ca="1">Tabela1[[#This Row],[PRODUTO]]&amp;Tabela1[[#This Row],[TAG]]</f>
        <v>ESTRUTURA05-CV-0001</v>
      </c>
      <c r="AR136" s="24" t="str">
        <f ca="1">Tabela1[[#This Row],[PEDIDO]]&amp;Tabela1[[#This Row],[PRODUTO]]</f>
        <v>P-198ESTRUTURA</v>
      </c>
      <c r="AS136" s="37">
        <f ca="1">IF(AF136="",0,IF(ISTEXT(AF136),H136*VALUE(SUBSTITUTE(AF136,"%",""))/100,H136*AF136))-Tabela1[[#This Row],[PRONTO ACABADO2]]</f>
        <v>0</v>
      </c>
      <c r="AT136" s="37">
        <f ca="1">IF(AG136="",0,IF(ISTEXT(AG136),H136*VALUE(SUBSTITUTE(AG136,"%",""))/100,H136*AG136))-Tabela1[[#This Row],[PESO EXPEDIDO2]]</f>
        <v>0</v>
      </c>
      <c r="AU136" s="37">
        <f t="shared" ca="1" si="29"/>
        <v>40</v>
      </c>
      <c r="AV136" s="37">
        <f t="shared" ca="1" si="30"/>
        <v>40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 ca="1"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 ca="1">Tabela1[[#This Row],[QTDE/ Fabricação]]-Tabela1[[#This Row],[QTE]]</f>
        <v>-54</v>
      </c>
      <c r="R137" s="18">
        <f t="shared" ca="1" si="34"/>
        <v>26.730000000000004</v>
      </c>
      <c r="S137" s="18">
        <f t="shared" ca="1" si="35"/>
        <v>0</v>
      </c>
      <c r="T137" s="19">
        <f t="shared" ca="1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 ca="1">IFERROR(COUNTIF(#REF!,Tabela1[[#This Row],[Colunas5]]),"")</f>
        <v/>
      </c>
      <c r="X137" s="14">
        <f ca="1">Tabela1[[#This Row],[QIANTIDADE EXPEDIDA]]*Tabela1[[#This Row],[PESO UNI]]</f>
        <v>0</v>
      </c>
      <c r="Y137" s="14">
        <f t="shared" ca="1" si="37"/>
        <v>-54</v>
      </c>
      <c r="Z137" s="20">
        <f ca="1"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ca="1" si="39"/>
        <v/>
      </c>
      <c r="AJ137" s="5"/>
      <c r="AK137" t="str">
        <f ca="1">Tabela1[[#This Row],[Coluna1]]&amp;Tabela1[[#This Row],[PEDIDO]]</f>
        <v>P-198</v>
      </c>
      <c r="AL137"/>
      <c r="AM137"/>
      <c r="AN137"/>
      <c r="AO137" t="str">
        <f t="shared" ca="1" si="40"/>
        <v>T-073204-1/05-CV-0001</v>
      </c>
      <c r="AP137" t="str">
        <f ca="1">Tabela1[[#This Row],[TAG]]&amp;Tabela1[[#This Row],[PEDIDO]]&amp;Tabela1[[#This Row],[PRODUTO]]</f>
        <v>05-CV-0001P-198ESTRUTURA</v>
      </c>
      <c r="AQ137" s="22" t="str">
        <f ca="1">Tabela1[[#This Row],[PRODUTO]]&amp;Tabela1[[#This Row],[TAG]]</f>
        <v>ESTRUTURA05-CV-0001</v>
      </c>
      <c r="AR137" s="24" t="str">
        <f ca="1">Tabela1[[#This Row],[PEDIDO]]&amp;Tabela1[[#This Row],[PRODUTO]]</f>
        <v>P-198ESTRUTURA</v>
      </c>
      <c r="AS137" s="37">
        <f ca="1">IF(AF137="",0,IF(ISTEXT(AF137),H137*VALUE(SUBSTITUTE(AF137,"%",""))/100,H137*AF137))-Tabela1[[#This Row],[PRONTO ACABADO2]]</f>
        <v>0</v>
      </c>
      <c r="AT137" s="37">
        <f ca="1">IF(AG137="",0,IF(ISTEXT(AG137),H137*VALUE(SUBSTITUTE(AG137,"%",""))/100,H137*AG137))-Tabela1[[#This Row],[PESO EXPEDIDO2]]</f>
        <v>0</v>
      </c>
      <c r="AU137" s="37">
        <f t="shared" ca="1" si="29"/>
        <v>0</v>
      </c>
      <c r="AV137" s="37">
        <f t="shared" ca="1" si="30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 ca="1"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 ca="1">Tabela1[[#This Row],[QTDE/ Fabricação]]-Tabela1[[#This Row],[QTE]]</f>
        <v>-54</v>
      </c>
      <c r="R138" s="18">
        <f t="shared" ca="1" si="34"/>
        <v>48.6</v>
      </c>
      <c r="S138" s="18">
        <f t="shared" ca="1" si="35"/>
        <v>0</v>
      </c>
      <c r="T138" s="19">
        <f t="shared" ca="1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 ca="1">IFERROR(COUNTIF(#REF!,Tabela1[[#This Row],[Colunas5]]),"")</f>
        <v/>
      </c>
      <c r="X138" s="14">
        <f ca="1">Tabela1[[#This Row],[QIANTIDADE EXPEDIDA]]*Tabela1[[#This Row],[PESO UNI]]</f>
        <v>0</v>
      </c>
      <c r="Y138" s="14">
        <f t="shared" ca="1" si="37"/>
        <v>-54</v>
      </c>
      <c r="Z138" s="20">
        <f ca="1"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ca="1" si="39"/>
        <v/>
      </c>
      <c r="AJ138" s="5"/>
      <c r="AK138" t="str">
        <f ca="1">Tabela1[[#This Row],[Coluna1]]&amp;Tabela1[[#This Row],[PEDIDO]]</f>
        <v>P-198</v>
      </c>
      <c r="AL138"/>
      <c r="AM138"/>
      <c r="AN138"/>
      <c r="AO138" t="str">
        <f t="shared" ca="1" si="40"/>
        <v>T-073204-1/05-CV-0001</v>
      </c>
      <c r="AP138" t="str">
        <f ca="1">Tabela1[[#This Row],[TAG]]&amp;Tabela1[[#This Row],[PEDIDO]]&amp;Tabela1[[#This Row],[PRODUTO]]</f>
        <v>05-CV-0001P-198ESTRUTURA</v>
      </c>
      <c r="AQ138" s="22" t="str">
        <f ca="1">Tabela1[[#This Row],[PRODUTO]]&amp;Tabela1[[#This Row],[TAG]]</f>
        <v>ESTRUTURA05-CV-0001</v>
      </c>
      <c r="AR138" s="24" t="str">
        <f ca="1">Tabela1[[#This Row],[PEDIDO]]&amp;Tabela1[[#This Row],[PRODUTO]]</f>
        <v>P-198ESTRUTURA</v>
      </c>
      <c r="AS138" s="37">
        <f ca="1">IF(AF138="",0,IF(ISTEXT(AF138),H138*VALUE(SUBSTITUTE(AF138,"%",""))/100,H138*AF138))-Tabela1[[#This Row],[PRONTO ACABADO2]]</f>
        <v>0</v>
      </c>
      <c r="AT138" s="37">
        <f ca="1">IF(AG138="",0,IF(ISTEXT(AG138),H138*VALUE(SUBSTITUTE(AG138,"%",""))/100,H138*AG138))-Tabela1[[#This Row],[PESO EXPEDIDO2]]</f>
        <v>0</v>
      </c>
      <c r="AU138" s="37">
        <f t="shared" ca="1" si="29"/>
        <v>0</v>
      </c>
      <c r="AV138" s="37">
        <f t="shared" ca="1" si="30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 ca="1"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 ca="1">Tabela1[[#This Row],[QTDE/ Fabricação]]-Tabela1[[#This Row],[QTE]]</f>
        <v>-208</v>
      </c>
      <c r="R139" s="18">
        <f t="shared" ca="1" si="34"/>
        <v>234</v>
      </c>
      <c r="S139" s="18">
        <f t="shared" ca="1" si="35"/>
        <v>0</v>
      </c>
      <c r="T139" s="19">
        <f t="shared" ca="1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 ca="1">IFERROR(COUNTIF(#REF!,Tabela1[[#This Row],[Colunas5]]),"")</f>
        <v/>
      </c>
      <c r="X139" s="14">
        <f ca="1">Tabela1[[#This Row],[QIANTIDADE EXPEDIDA]]*Tabela1[[#This Row],[PESO UNI]]</f>
        <v>0</v>
      </c>
      <c r="Y139" s="14">
        <f t="shared" ca="1" si="37"/>
        <v>-208</v>
      </c>
      <c r="Z139" s="20">
        <f ca="1"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ca="1" si="39"/>
        <v/>
      </c>
      <c r="AJ139" s="5"/>
      <c r="AK139" t="str">
        <f ca="1">Tabela1[[#This Row],[Coluna1]]&amp;Tabela1[[#This Row],[PEDIDO]]</f>
        <v>P-198</v>
      </c>
      <c r="AL139"/>
      <c r="AM139"/>
      <c r="AN139"/>
      <c r="AO139" t="str">
        <f t="shared" ca="1" si="40"/>
        <v>T-073204-1/05-CV-0001</v>
      </c>
      <c r="AP139" t="str">
        <f ca="1">Tabela1[[#This Row],[TAG]]&amp;Tabela1[[#This Row],[PEDIDO]]&amp;Tabela1[[#This Row],[PRODUTO]]</f>
        <v>05-CV-0001P-198ESTRUTURA</v>
      </c>
      <c r="AQ139" s="22" t="str">
        <f ca="1">Tabela1[[#This Row],[PRODUTO]]&amp;Tabela1[[#This Row],[TAG]]</f>
        <v>ESTRUTURA05-CV-0001</v>
      </c>
      <c r="AR139" s="24" t="str">
        <f ca="1">Tabela1[[#This Row],[PEDIDO]]&amp;Tabela1[[#This Row],[PRODUTO]]</f>
        <v>P-198ESTRUTURA</v>
      </c>
      <c r="AS139" s="37">
        <f ca="1">IF(AF139="",0,IF(ISTEXT(AF139),H139*VALUE(SUBSTITUTE(AF139,"%",""))/100,H139*AF139))-Tabela1[[#This Row],[PRONTO ACABADO2]]</f>
        <v>0</v>
      </c>
      <c r="AT139" s="37">
        <f ca="1">IF(AG139="",0,IF(ISTEXT(AG139),H139*VALUE(SUBSTITUTE(AG139,"%",""))/100,H139*AG139))-Tabela1[[#This Row],[PESO EXPEDIDO2]]</f>
        <v>0</v>
      </c>
      <c r="AU139" s="37">
        <f t="shared" ca="1" si="29"/>
        <v>0</v>
      </c>
      <c r="AV139" s="37">
        <f t="shared" ca="1" si="30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 ca="1"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 ca="1">Tabela1[[#This Row],[QTDE/ Fabricação]]-Tabela1[[#This Row],[QTE]]</f>
        <v>-2</v>
      </c>
      <c r="R140" s="18">
        <f t="shared" ca="1" si="34"/>
        <v>2.9699999999999998</v>
      </c>
      <c r="S140" s="18">
        <f t="shared" ca="1" si="35"/>
        <v>0</v>
      </c>
      <c r="T140" s="19">
        <f t="shared" ca="1" si="36"/>
        <v>-6.6</v>
      </c>
      <c r="U140" s="16">
        <f>IFERROR(SUMIF('LISTA DE EMBARQUE'!B:B,MICRO!E:E,'LISTA DE EMBARQUE'!G:G),"")</f>
        <v>0</v>
      </c>
      <c r="V140" s="12" t="str">
        <f ca="1">IFERROR(VLOOKUP(Tabela1[[#This Row],[COD.MDE]],'LISTA DE EMBARQUE'!B:L,11,0),"")</f>
        <v/>
      </c>
      <c r="W140" s="13" t="str">
        <f ca="1">IFERROR(COUNTIF(#REF!,Tabela1[[#This Row],[Colunas5]]),"")</f>
        <v/>
      </c>
      <c r="X140" s="14">
        <f ca="1">Tabela1[[#This Row],[QIANTIDADE EXPEDIDA]]*Tabela1[[#This Row],[PESO UNI]]</f>
        <v>0</v>
      </c>
      <c r="Y140" s="14">
        <f t="shared" ca="1" si="37"/>
        <v>-2</v>
      </c>
      <c r="Z140" s="20">
        <f ca="1"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ca="1" si="39"/>
        <v/>
      </c>
      <c r="AJ140" s="5"/>
      <c r="AK140" t="str">
        <f ca="1">Tabela1[[#This Row],[Coluna1]]&amp;Tabela1[[#This Row],[PEDIDO]]</f>
        <v>P-198</v>
      </c>
      <c r="AL140"/>
      <c r="AM140"/>
      <c r="AN140"/>
      <c r="AO140" t="str">
        <f t="shared" ca="1" si="40"/>
        <v>T-073204-1/05-CV-0001</v>
      </c>
      <c r="AP140" t="str">
        <f ca="1">Tabela1[[#This Row],[TAG]]&amp;Tabela1[[#This Row],[PEDIDO]]&amp;Tabela1[[#This Row],[PRODUTO]]</f>
        <v>05-CV-0001P-198ESTRUTURA</v>
      </c>
      <c r="AQ140" s="22" t="str">
        <f ca="1">Tabela1[[#This Row],[PRODUTO]]&amp;Tabela1[[#This Row],[TAG]]</f>
        <v>ESTRUTURA05-CV-0001</v>
      </c>
      <c r="AR140" s="24" t="str">
        <f ca="1">Tabela1[[#This Row],[PEDIDO]]&amp;Tabela1[[#This Row],[PRODUTO]]</f>
        <v>P-198ESTRUTURA</v>
      </c>
      <c r="AS140" s="37">
        <f ca="1">IF(AF140="",0,IF(ISTEXT(AF140),H140*VALUE(SUBSTITUTE(AF140,"%",""))/100,H140*AF140))-Tabela1[[#This Row],[PRONTO ACABADO2]]</f>
        <v>0</v>
      </c>
      <c r="AT140" s="37">
        <f ca="1">IF(AG140="",0,IF(ISTEXT(AG140),H140*VALUE(SUBSTITUTE(AG140,"%",""))/100,H140*AG140))-Tabela1[[#This Row],[PESO EXPEDIDO2]]</f>
        <v>0</v>
      </c>
      <c r="AU140" s="37">
        <f t="shared" ca="1" si="29"/>
        <v>0</v>
      </c>
      <c r="AV140" s="37">
        <f t="shared" ca="1" si="30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 ca="1"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 ca="1">Tabela1[[#This Row],[QTDE/ Fabricação]]-Tabela1[[#This Row],[QTE]]</f>
        <v>-2</v>
      </c>
      <c r="R141" s="18">
        <f ca="1">IFERROR(H141*((AA142*0.25)+(AC142*0.25)+(AD141*0.225)+(AE141*0.225)+(AF141*0.05)),"")</f>
        <v>12.96</v>
      </c>
      <c r="S141" s="18">
        <f t="shared" ca="1" si="35"/>
        <v>0</v>
      </c>
      <c r="T141" s="19">
        <f t="shared" ca="1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 ca="1">IFERROR(COUNTIF(#REF!,Tabela1[[#This Row],[Colunas5]]),"")</f>
        <v/>
      </c>
      <c r="X141" s="14">
        <f ca="1">Tabela1[[#This Row],[QIANTIDADE EXPEDIDA]]*Tabela1[[#This Row],[PESO UNI]]</f>
        <v>0</v>
      </c>
      <c r="Y141" s="14">
        <f t="shared" ca="1" si="37"/>
        <v>-2</v>
      </c>
      <c r="Z141" s="20">
        <f ca="1"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ca="1" si="39"/>
        <v/>
      </c>
      <c r="AJ141" s="5"/>
      <c r="AK141" t="str">
        <f ca="1">Tabela1[[#This Row],[Coluna1]]&amp;Tabela1[[#This Row],[PEDIDO]]</f>
        <v>P-198</v>
      </c>
      <c r="AL141"/>
      <c r="AM141"/>
      <c r="AN141"/>
      <c r="AO141" t="str">
        <f t="shared" ca="1" si="40"/>
        <v>T-073204-1/05-CV-0001</v>
      </c>
      <c r="AP141" t="str">
        <f ca="1">Tabela1[[#This Row],[TAG]]&amp;Tabela1[[#This Row],[PEDIDO]]&amp;Tabela1[[#This Row],[PRODUTO]]</f>
        <v>05-CV-0001P-198ESTRUTURA</v>
      </c>
      <c r="AQ141" s="22" t="str">
        <f ca="1">Tabela1[[#This Row],[PRODUTO]]&amp;Tabela1[[#This Row],[TAG]]</f>
        <v>ESTRUTURA05-CV-0001</v>
      </c>
      <c r="AR141" s="24" t="str">
        <f ca="1">Tabela1[[#This Row],[PEDIDO]]&amp;Tabela1[[#This Row],[PRODUTO]]</f>
        <v>P-198ESTRUTURA</v>
      </c>
      <c r="AS141" s="37">
        <f ca="1">IF(AF141="",0,IF(ISTEXT(AF141),H141*VALUE(SUBSTITUTE(AF141,"%",""))/100,H141*AF141))-Tabela1[[#This Row],[PRONTO ACABADO2]]</f>
        <v>0</v>
      </c>
      <c r="AT141" s="37">
        <f ca="1">IF(AG141="",0,IF(ISTEXT(AG141),H141*VALUE(SUBSTITUTE(AG141,"%",""))/100,H141*AG141))-Tabela1[[#This Row],[PESO EXPEDIDO2]]</f>
        <v>0</v>
      </c>
      <c r="AU141" s="37">
        <f t="shared" ca="1" si="29"/>
        <v>0</v>
      </c>
      <c r="AV141" s="37">
        <f t="shared" ca="1" si="30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 ca="1"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 ca="1">Tabela1[[#This Row],[QTDE/ Fabricação]]-Tabela1[[#This Row],[QTE]]</f>
        <v>-14</v>
      </c>
      <c r="R142" s="18" t="str">
        <f ca="1">IFERROR(H142*((#REF!*0.25)+(#REF!*0.25)+(AD142*0.225)+(AE142*0.225)+(AF142*0.05)),"")</f>
        <v/>
      </c>
      <c r="S142" s="18">
        <f t="shared" ca="1" si="35"/>
        <v>0</v>
      </c>
      <c r="T142" s="19">
        <f t="shared" ca="1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 ca="1">IFERROR(COUNTIF(#REF!,Tabela1[[#This Row],[Colunas5]]),"")</f>
        <v/>
      </c>
      <c r="X142" s="14">
        <f ca="1">Tabela1[[#This Row],[QIANTIDADE EXPEDIDA]]*Tabela1[[#This Row],[PESO UNI]]</f>
        <v>0</v>
      </c>
      <c r="Y142" s="14">
        <f t="shared" ca="1" si="37"/>
        <v>-14</v>
      </c>
      <c r="Z142" s="20">
        <f ca="1"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ca="1" si="39"/>
        <v/>
      </c>
      <c r="AJ142" s="5"/>
      <c r="AK142" t="str">
        <f ca="1">Tabela1[[#This Row],[Coluna1]]&amp;Tabela1[[#This Row],[PEDIDO]]</f>
        <v>P-198</v>
      </c>
      <c r="AL142"/>
      <c r="AM142"/>
      <c r="AN142"/>
      <c r="AO142" t="str">
        <f t="shared" ca="1" si="40"/>
        <v>T-073204-1/05-CV-0001</v>
      </c>
      <c r="AP142" t="str">
        <f ca="1">Tabela1[[#This Row],[TAG]]&amp;Tabela1[[#This Row],[PEDIDO]]&amp;Tabela1[[#This Row],[PRODUTO]]</f>
        <v>05-CV-0001P-198ESTRUTURA</v>
      </c>
      <c r="AQ142" s="22" t="str">
        <f ca="1">Tabela1[[#This Row],[PRODUTO]]&amp;Tabela1[[#This Row],[TAG]]</f>
        <v>ESTRUTURA05-CV-0001</v>
      </c>
      <c r="AR142" s="24" t="str">
        <f ca="1">Tabela1[[#This Row],[PEDIDO]]&amp;Tabela1[[#This Row],[PRODUTO]]</f>
        <v>P-198ESTRUTURA</v>
      </c>
      <c r="AS142" s="37">
        <f ca="1">IF(AF142="",0,IF(ISTEXT(AF142),H142*VALUE(SUBSTITUTE(AF142,"%",""))/100,H142*AF142))-Tabela1[[#This Row],[PRONTO ACABADO2]]</f>
        <v>0</v>
      </c>
      <c r="AT142" s="37">
        <f ca="1">IF(AG142="",0,IF(ISTEXT(AG142),H142*VALUE(SUBSTITUTE(AG142,"%",""))/100,H142*AG142))-Tabela1[[#This Row],[PESO EXPEDIDO2]]</f>
        <v>0</v>
      </c>
      <c r="AU142" s="37">
        <f t="shared" ca="1" si="29"/>
        <v>0</v>
      </c>
      <c r="AV142" s="37">
        <f t="shared" ca="1" si="30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 ca="1"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 ca="1">Tabela1[[#This Row],[QTDE/ Fabricação]]-Tabela1[[#This Row],[QTE]]</f>
        <v>-14</v>
      </c>
      <c r="R143" s="18">
        <f t="shared" ca="1" si="34"/>
        <v>10.71</v>
      </c>
      <c r="S143" s="18">
        <f t="shared" ca="1" si="35"/>
        <v>0</v>
      </c>
      <c r="T143" s="19">
        <f t="shared" ca="1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 ca="1">IFERROR(COUNTIF(#REF!,Tabela1[[#This Row],[Colunas5]]),"")</f>
        <v/>
      </c>
      <c r="X143" s="14">
        <f ca="1">Tabela1[[#This Row],[QIANTIDADE EXPEDIDA]]*Tabela1[[#This Row],[PESO UNI]]</f>
        <v>0</v>
      </c>
      <c r="Y143" s="14">
        <f t="shared" ca="1" si="37"/>
        <v>-14</v>
      </c>
      <c r="Z143" s="20">
        <f ca="1"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ca="1" si="39"/>
        <v/>
      </c>
      <c r="AJ143" s="5"/>
      <c r="AK143" t="str">
        <f ca="1">Tabela1[[#This Row],[Coluna1]]&amp;Tabela1[[#This Row],[PEDIDO]]</f>
        <v>P-198</v>
      </c>
      <c r="AL143"/>
      <c r="AM143"/>
      <c r="AN143"/>
      <c r="AO143" t="str">
        <f t="shared" ca="1" si="40"/>
        <v>T-073204-1/05-CV-0001</v>
      </c>
      <c r="AP143" t="str">
        <f ca="1">Tabela1[[#This Row],[TAG]]&amp;Tabela1[[#This Row],[PEDIDO]]&amp;Tabela1[[#This Row],[PRODUTO]]</f>
        <v>05-CV-0001P-198ESTRUTURA</v>
      </c>
      <c r="AQ143" s="22" t="str">
        <f ca="1">Tabela1[[#This Row],[PRODUTO]]&amp;Tabela1[[#This Row],[TAG]]</f>
        <v>ESTRUTURA05-CV-0001</v>
      </c>
      <c r="AR143" s="24" t="str">
        <f ca="1">Tabela1[[#This Row],[PEDIDO]]&amp;Tabela1[[#This Row],[PRODUTO]]</f>
        <v>P-198ESTRUTURA</v>
      </c>
      <c r="AS143" s="37">
        <f ca="1">IF(AF143="",0,IF(ISTEXT(AF143),H143*VALUE(SUBSTITUTE(AF143,"%",""))/100,H143*AF143))-Tabela1[[#This Row],[PRONTO ACABADO2]]</f>
        <v>0</v>
      </c>
      <c r="AT143" s="37">
        <f ca="1">IF(AG143="",0,IF(ISTEXT(AG143),H143*VALUE(SUBSTITUTE(AG143,"%",""))/100,H143*AG143))-Tabela1[[#This Row],[PESO EXPEDIDO2]]</f>
        <v>0</v>
      </c>
      <c r="AU143" s="37">
        <f t="shared" ca="1" si="29"/>
        <v>0</v>
      </c>
      <c r="AV143" s="37">
        <f t="shared" ca="1" si="30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 ca="1"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 ca="1">Tabela1[[#This Row],[QTDE/ Fabricação]]-Tabela1[[#This Row],[QTE]]</f>
        <v>-4</v>
      </c>
      <c r="R144" s="18">
        <f t="shared" ca="1" si="34"/>
        <v>25.740000000000002</v>
      </c>
      <c r="S144" s="18">
        <f t="shared" ca="1" si="35"/>
        <v>0</v>
      </c>
      <c r="T144" s="19">
        <f t="shared" ca="1" si="36"/>
        <v>-57.2</v>
      </c>
      <c r="U144" s="16">
        <f>IFERROR(SUMIF('LISTA DE EMBARQUE'!B:B,MICRO!E:E,'LISTA DE EMBARQUE'!G:G),"")</f>
        <v>0</v>
      </c>
      <c r="V144" s="12" t="str">
        <f ca="1">IFERROR(VLOOKUP(Tabela1[[#This Row],[COD.MDE]],'LISTA DE EMBARQUE'!B:L,11,0),"")</f>
        <v/>
      </c>
      <c r="W144" s="13" t="str">
        <f ca="1">IFERROR(COUNTIF(#REF!,Tabela1[[#This Row],[Colunas5]]),"")</f>
        <v/>
      </c>
      <c r="X144" s="14">
        <f ca="1">Tabela1[[#This Row],[QIANTIDADE EXPEDIDA]]*Tabela1[[#This Row],[PESO UNI]]</f>
        <v>0</v>
      </c>
      <c r="Y144" s="14">
        <f t="shared" ca="1" si="37"/>
        <v>-4</v>
      </c>
      <c r="Z144" s="20">
        <f ca="1"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ca="1" si="39"/>
        <v/>
      </c>
      <c r="AJ144" s="5"/>
      <c r="AK144" t="str">
        <f ca="1">Tabela1[[#This Row],[Coluna1]]&amp;Tabela1[[#This Row],[PEDIDO]]</f>
        <v>P-198</v>
      </c>
      <c r="AL144"/>
      <c r="AM144"/>
      <c r="AN144"/>
      <c r="AO144" t="str">
        <f t="shared" ca="1" si="40"/>
        <v>T-073204-1/05-CV-0001</v>
      </c>
      <c r="AP144" t="str">
        <f ca="1">Tabela1[[#This Row],[TAG]]&amp;Tabela1[[#This Row],[PEDIDO]]&amp;Tabela1[[#This Row],[PRODUTO]]</f>
        <v>05-CV-0001P-198ESTRUTURA</v>
      </c>
      <c r="AQ144" s="22" t="str">
        <f ca="1">Tabela1[[#This Row],[PRODUTO]]&amp;Tabela1[[#This Row],[TAG]]</f>
        <v>ESTRUTURA05-CV-0001</v>
      </c>
      <c r="AR144" s="24" t="str">
        <f ca="1">Tabela1[[#This Row],[PEDIDO]]&amp;Tabela1[[#This Row],[PRODUTO]]</f>
        <v>P-198ESTRUTURA</v>
      </c>
      <c r="AS144" s="37">
        <f ca="1">IF(AF144="",0,IF(ISTEXT(AF144),H144*VALUE(SUBSTITUTE(AF144,"%",""))/100,H144*AF144))-Tabela1[[#This Row],[PRONTO ACABADO2]]</f>
        <v>0</v>
      </c>
      <c r="AT144" s="37">
        <f ca="1">IF(AG144="",0,IF(ISTEXT(AG144),H144*VALUE(SUBSTITUTE(AG144,"%",""))/100,H144*AG144))-Tabela1[[#This Row],[PESO EXPEDIDO2]]</f>
        <v>0</v>
      </c>
      <c r="AU144" s="37">
        <f t="shared" ca="1" si="29"/>
        <v>0</v>
      </c>
      <c r="AV144" s="37">
        <f t="shared" ca="1" si="30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 ca="1"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 ca="1">Tabela1[[#This Row],[QTDE/ Fabricação]]-Tabela1[[#This Row],[QTE]]</f>
        <v>-2</v>
      </c>
      <c r="R145" s="18">
        <f t="shared" ca="1" si="34"/>
        <v>12.33</v>
      </c>
      <c r="S145" s="18">
        <f t="shared" ca="1" si="35"/>
        <v>0</v>
      </c>
      <c r="T145" s="19">
        <f t="shared" ca="1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 ca="1">IFERROR(COUNTIF(#REF!,Tabela1[[#This Row],[Colunas5]]),"")</f>
        <v/>
      </c>
      <c r="X145" s="14">
        <f ca="1">Tabela1[[#This Row],[QIANTIDADE EXPEDIDA]]*Tabela1[[#This Row],[PESO UNI]]</f>
        <v>0</v>
      </c>
      <c r="Y145" s="14">
        <f t="shared" ca="1" si="37"/>
        <v>-2</v>
      </c>
      <c r="Z145" s="20">
        <f ca="1"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ca="1" si="39"/>
        <v/>
      </c>
      <c r="AJ145" s="5"/>
      <c r="AK145" t="str">
        <f ca="1">Tabela1[[#This Row],[Coluna1]]&amp;Tabela1[[#This Row],[PEDIDO]]</f>
        <v>P-198</v>
      </c>
      <c r="AL145"/>
      <c r="AM145"/>
      <c r="AN145"/>
      <c r="AO145" t="str">
        <f t="shared" ca="1" si="40"/>
        <v>T-073204-1/05-CV-0001</v>
      </c>
      <c r="AP145" t="str">
        <f ca="1">Tabela1[[#This Row],[TAG]]&amp;Tabela1[[#This Row],[PEDIDO]]&amp;Tabela1[[#This Row],[PRODUTO]]</f>
        <v>05-CV-0001P-198ESTRUTURA</v>
      </c>
      <c r="AQ145" s="22" t="str">
        <f ca="1">Tabela1[[#This Row],[PRODUTO]]&amp;Tabela1[[#This Row],[TAG]]</f>
        <v>ESTRUTURA05-CV-0001</v>
      </c>
      <c r="AR145" s="24" t="str">
        <f ca="1">Tabela1[[#This Row],[PEDIDO]]&amp;Tabela1[[#This Row],[PRODUTO]]</f>
        <v>P-198ESTRUTURA</v>
      </c>
      <c r="AS145" s="37">
        <f ca="1">IF(AF145="",0,IF(ISTEXT(AF145),H145*VALUE(SUBSTITUTE(AF145,"%",""))/100,H145*AF145))-Tabela1[[#This Row],[PRONTO ACABADO2]]</f>
        <v>0</v>
      </c>
      <c r="AT145" s="37">
        <f ca="1">IF(AG145="",0,IF(ISTEXT(AG145),H145*VALUE(SUBSTITUTE(AG145,"%",""))/100,H145*AG145))-Tabela1[[#This Row],[PESO EXPEDIDO2]]</f>
        <v>0</v>
      </c>
      <c r="AU145" s="37">
        <f t="shared" ca="1" si="29"/>
        <v>0</v>
      </c>
      <c r="AV145" s="37">
        <f t="shared" ca="1" si="30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 ca="1"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 ca="1">Tabela1[[#This Row],[QTDE/ Fabricação]]-Tabela1[[#This Row],[QTE]]</f>
        <v>-2</v>
      </c>
      <c r="R146" s="18">
        <f t="shared" ca="1" si="34"/>
        <v>0.9900000000000001</v>
      </c>
      <c r="S146" s="18">
        <f t="shared" ca="1" si="35"/>
        <v>0</v>
      </c>
      <c r="T146" s="19">
        <f t="shared" ca="1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 ca="1">IFERROR(COUNTIF(#REF!,Tabela1[[#This Row],[Colunas5]]),"")</f>
        <v/>
      </c>
      <c r="X146" s="14">
        <f ca="1">Tabela1[[#This Row],[QIANTIDADE EXPEDIDA]]*Tabela1[[#This Row],[PESO UNI]]</f>
        <v>0</v>
      </c>
      <c r="Y146" s="14">
        <f t="shared" ca="1" si="37"/>
        <v>-2</v>
      </c>
      <c r="Z146" s="20">
        <f ca="1"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ca="1" si="39"/>
        <v/>
      </c>
      <c r="AJ146" s="5"/>
      <c r="AK146" t="str">
        <f ca="1">Tabela1[[#This Row],[Coluna1]]&amp;Tabela1[[#This Row],[PEDIDO]]</f>
        <v>P-198</v>
      </c>
      <c r="AL146"/>
      <c r="AM146"/>
      <c r="AN146"/>
      <c r="AO146" t="str">
        <f t="shared" ca="1" si="40"/>
        <v>T-073204-1/05-CV-0001</v>
      </c>
      <c r="AP146" t="str">
        <f ca="1">Tabela1[[#This Row],[TAG]]&amp;Tabela1[[#This Row],[PEDIDO]]&amp;Tabela1[[#This Row],[PRODUTO]]</f>
        <v>05-CV-0001P-198ESTRUTURA</v>
      </c>
      <c r="AQ146" s="22" t="str">
        <f ca="1">Tabela1[[#This Row],[PRODUTO]]&amp;Tabela1[[#This Row],[TAG]]</f>
        <v>ESTRUTURA05-CV-0001</v>
      </c>
      <c r="AR146" s="24" t="str">
        <f ca="1">Tabela1[[#This Row],[PEDIDO]]&amp;Tabela1[[#This Row],[PRODUTO]]</f>
        <v>P-198ESTRUTURA</v>
      </c>
      <c r="AS146" s="37">
        <f ca="1">IF(AF146="",0,IF(ISTEXT(AF146),H146*VALUE(SUBSTITUTE(AF146,"%",""))/100,H146*AF146))-Tabela1[[#This Row],[PRONTO ACABADO2]]</f>
        <v>0</v>
      </c>
      <c r="AT146" s="37">
        <f ca="1">IF(AG146="",0,IF(ISTEXT(AG146),H146*VALUE(SUBSTITUTE(AG146,"%",""))/100,H146*AG146))-Tabela1[[#This Row],[PESO EXPEDIDO2]]</f>
        <v>0</v>
      </c>
      <c r="AU146" s="37">
        <f t="shared" ca="1" si="29"/>
        <v>0</v>
      </c>
      <c r="AV146" s="37">
        <f t="shared" ca="1" si="30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 ca="1"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 ca="1">Tabela1[[#This Row],[QTDE/ Fabricação]]-Tabela1[[#This Row],[QTE]]</f>
        <v>-2</v>
      </c>
      <c r="R147" s="18">
        <f t="shared" ca="1" si="34"/>
        <v>1.26</v>
      </c>
      <c r="S147" s="18">
        <f t="shared" ca="1" si="35"/>
        <v>0</v>
      </c>
      <c r="T147" s="19">
        <f t="shared" ca="1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 ca="1">IFERROR(COUNTIF(#REF!,Tabela1[[#This Row],[Colunas5]]),"")</f>
        <v/>
      </c>
      <c r="X147" s="14">
        <f ca="1">Tabela1[[#This Row],[QIANTIDADE EXPEDIDA]]*Tabela1[[#This Row],[PESO UNI]]</f>
        <v>0</v>
      </c>
      <c r="Y147" s="14">
        <f t="shared" ca="1" si="37"/>
        <v>-2</v>
      </c>
      <c r="Z147" s="20">
        <f ca="1"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ca="1" si="39"/>
        <v/>
      </c>
      <c r="AJ147" s="5"/>
      <c r="AK147" t="str">
        <f ca="1">Tabela1[[#This Row],[Coluna1]]&amp;Tabela1[[#This Row],[PEDIDO]]</f>
        <v>P-198</v>
      </c>
      <c r="AL147"/>
      <c r="AM147"/>
      <c r="AN147"/>
      <c r="AO147" t="str">
        <f t="shared" ca="1" si="40"/>
        <v>T-073204-1/05-CV-0001</v>
      </c>
      <c r="AP147" t="str">
        <f ca="1">Tabela1[[#This Row],[TAG]]&amp;Tabela1[[#This Row],[PEDIDO]]&amp;Tabela1[[#This Row],[PRODUTO]]</f>
        <v>05-CV-0001P-198ESTRUTURA</v>
      </c>
      <c r="AQ147" s="22" t="str">
        <f ca="1">Tabela1[[#This Row],[PRODUTO]]&amp;Tabela1[[#This Row],[TAG]]</f>
        <v>ESTRUTURA05-CV-0001</v>
      </c>
      <c r="AR147" s="24" t="str">
        <f ca="1">Tabela1[[#This Row],[PEDIDO]]&amp;Tabela1[[#This Row],[PRODUTO]]</f>
        <v>P-198ESTRUTURA</v>
      </c>
      <c r="AS147" s="37">
        <f ca="1">IF(AF147="",0,IF(ISTEXT(AF147),H147*VALUE(SUBSTITUTE(AF147,"%",""))/100,H147*AF147))-Tabela1[[#This Row],[PRONTO ACABADO2]]</f>
        <v>0</v>
      </c>
      <c r="AT147" s="37">
        <f ca="1">IF(AG147="",0,IF(ISTEXT(AG147),H147*VALUE(SUBSTITUTE(AG147,"%",""))/100,H147*AG147))-Tabela1[[#This Row],[PESO EXPEDIDO2]]</f>
        <v>0</v>
      </c>
      <c r="AU147" s="37">
        <f t="shared" ca="1" si="29"/>
        <v>0</v>
      </c>
      <c r="AV147" s="37">
        <f t="shared" ca="1" si="30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 ca="1"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 ca="1">Tabela1[[#This Row],[QTDE/ Fabricação]]-Tabela1[[#This Row],[QTE]]</f>
        <v>-2</v>
      </c>
      <c r="R148" s="18">
        <f ca="1">IFERROR(H148*((AA149*0.25)+(AC149*0.25)+(AD148*0.225)+(AE148*0.225)+(AF148*0.05)),"")</f>
        <v>16.38</v>
      </c>
      <c r="S148" s="18">
        <f t="shared" ca="1" si="35"/>
        <v>0</v>
      </c>
      <c r="T148" s="19">
        <f t="shared" ca="1" si="36"/>
        <v>-36.4</v>
      </c>
      <c r="U148" s="16">
        <f>IFERROR(SUMIF('LISTA DE EMBARQUE'!B:B,MICRO!E:E,'LISTA DE EMBARQUE'!G:G),"")</f>
        <v>0</v>
      </c>
      <c r="V148" s="12" t="str">
        <f ca="1">IFERROR(VLOOKUP(Tabela1[[#This Row],[COD.MDE]],'LISTA DE EMBARQUE'!B:L,11,0),"")</f>
        <v/>
      </c>
      <c r="W148" s="13" t="str">
        <f ca="1">IFERROR(COUNTIF(#REF!,Tabela1[[#This Row],[Colunas5]]),"")</f>
        <v/>
      </c>
      <c r="X148" s="14">
        <f ca="1">Tabela1[[#This Row],[QIANTIDADE EXPEDIDA]]*Tabela1[[#This Row],[PESO UNI]]</f>
        <v>0</v>
      </c>
      <c r="Y148" s="14">
        <f t="shared" ca="1" si="37"/>
        <v>-2</v>
      </c>
      <c r="Z148" s="20">
        <f ca="1"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ca="1" si="39"/>
        <v/>
      </c>
      <c r="AJ148" s="5"/>
      <c r="AK148" t="str">
        <f ca="1">Tabela1[[#This Row],[Coluna1]]&amp;Tabela1[[#This Row],[PEDIDO]]</f>
        <v>P-198</v>
      </c>
      <c r="AL148"/>
      <c r="AM148"/>
      <c r="AN148"/>
      <c r="AO148" t="str">
        <f t="shared" ca="1" si="40"/>
        <v>T-073204-1/05-CV-0001</v>
      </c>
      <c r="AP148" t="str">
        <f ca="1">Tabela1[[#This Row],[TAG]]&amp;Tabela1[[#This Row],[PEDIDO]]&amp;Tabela1[[#This Row],[PRODUTO]]</f>
        <v>05-CV-0001P-198ESTRUTURA</v>
      </c>
      <c r="AQ148" s="22" t="str">
        <f ca="1">Tabela1[[#This Row],[PRODUTO]]&amp;Tabela1[[#This Row],[TAG]]</f>
        <v>ESTRUTURA05-CV-0001</v>
      </c>
      <c r="AR148" s="24" t="str">
        <f ca="1">Tabela1[[#This Row],[PEDIDO]]&amp;Tabela1[[#This Row],[PRODUTO]]</f>
        <v>P-198ESTRUTURA</v>
      </c>
      <c r="AS148" s="37">
        <f ca="1">IF(AF148="",0,IF(ISTEXT(AF148),H148*VALUE(SUBSTITUTE(AF148,"%",""))/100,H148*AF148))-Tabela1[[#This Row],[PRONTO ACABADO2]]</f>
        <v>0</v>
      </c>
      <c r="AT148" s="37">
        <f ca="1">IF(AG148="",0,IF(ISTEXT(AG148),H148*VALUE(SUBSTITUTE(AG148,"%",""))/100,H148*AG148))-Tabela1[[#This Row],[PESO EXPEDIDO2]]</f>
        <v>0</v>
      </c>
      <c r="AU148" s="37">
        <f t="shared" ca="1" si="29"/>
        <v>0</v>
      </c>
      <c r="AV148" s="37">
        <f t="shared" ca="1" si="30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 ca="1"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 ca="1">Tabela1[[#This Row],[QTDE/ Fabricação]]-Tabela1[[#This Row],[QTE]]</f>
        <v>-2</v>
      </c>
      <c r="R149" s="18" t="str">
        <f ca="1">IFERROR(H149*((#REF!*0.25)+(#REF!*0.25)+(AD149*0.225)+(AE149*0.225)+(AF149*0.05)),"")</f>
        <v/>
      </c>
      <c r="S149" s="18">
        <f t="shared" ca="1" si="35"/>
        <v>0</v>
      </c>
      <c r="T149" s="19">
        <f t="shared" ca="1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 ca="1">IFERROR(COUNTIF(#REF!,Tabela1[[#This Row],[Colunas5]]),"")</f>
        <v/>
      </c>
      <c r="X149" s="14">
        <f ca="1">Tabela1[[#This Row],[QIANTIDADE EXPEDIDA]]*Tabela1[[#This Row],[PESO UNI]]</f>
        <v>0</v>
      </c>
      <c r="Y149" s="14">
        <f t="shared" ca="1" si="37"/>
        <v>-2</v>
      </c>
      <c r="Z149" s="20">
        <f ca="1"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ca="1" si="39"/>
        <v/>
      </c>
      <c r="AJ149" s="5"/>
      <c r="AK149" t="str">
        <f ca="1">Tabela1[[#This Row],[Coluna1]]&amp;Tabela1[[#This Row],[PEDIDO]]</f>
        <v>P-198</v>
      </c>
      <c r="AL149"/>
      <c r="AM149"/>
      <c r="AN149"/>
      <c r="AO149" t="str">
        <f t="shared" ca="1" si="40"/>
        <v>T-073204-1/05-CV-0001</v>
      </c>
      <c r="AP149" t="str">
        <f ca="1">Tabela1[[#This Row],[TAG]]&amp;Tabela1[[#This Row],[PEDIDO]]&amp;Tabela1[[#This Row],[PRODUTO]]</f>
        <v>05-CV-0001P-198ESTRUTURA</v>
      </c>
      <c r="AQ149" s="22" t="str">
        <f ca="1">Tabela1[[#This Row],[PRODUTO]]&amp;Tabela1[[#This Row],[TAG]]</f>
        <v>ESTRUTURA05-CV-0001</v>
      </c>
      <c r="AR149" s="24" t="str">
        <f ca="1">Tabela1[[#This Row],[PEDIDO]]&amp;Tabela1[[#This Row],[PRODUTO]]</f>
        <v>P-198ESTRUTURA</v>
      </c>
      <c r="AS149" s="37">
        <f ca="1">IF(AF149="",0,IF(ISTEXT(AF149),H149*VALUE(SUBSTITUTE(AF149,"%",""))/100,H149*AF149))-Tabela1[[#This Row],[PRONTO ACABADO2]]</f>
        <v>0</v>
      </c>
      <c r="AT149" s="37">
        <f ca="1">IF(AG149="",0,IF(ISTEXT(AG149),H149*VALUE(SUBSTITUTE(AG149,"%",""))/100,H149*AG149))-Tabela1[[#This Row],[PESO EXPEDIDO2]]</f>
        <v>0</v>
      </c>
      <c r="AU149" s="37">
        <f t="shared" ca="1" si="29"/>
        <v>0</v>
      </c>
      <c r="AV149" s="37">
        <f t="shared" ca="1" si="30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 ca="1"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 ca="1">Tabela1[[#This Row],[QTDE/ Fabricação]]-Tabela1[[#This Row],[QTE]]</f>
        <v>-2</v>
      </c>
      <c r="R150" s="18">
        <f t="shared" ca="1" si="34"/>
        <v>1.4400000000000002</v>
      </c>
      <c r="S150" s="18">
        <f t="shared" ca="1" si="35"/>
        <v>0</v>
      </c>
      <c r="T150" s="19">
        <f t="shared" ca="1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 ca="1">IFERROR(COUNTIF(#REF!,Tabela1[[#This Row],[Colunas5]]),"")</f>
        <v/>
      </c>
      <c r="X150" s="14">
        <f ca="1">Tabela1[[#This Row],[QIANTIDADE EXPEDIDA]]*Tabela1[[#This Row],[PESO UNI]]</f>
        <v>0</v>
      </c>
      <c r="Y150" s="14">
        <f t="shared" ca="1" si="37"/>
        <v>-2</v>
      </c>
      <c r="Z150" s="20">
        <f ca="1"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ca="1" si="39"/>
        <v/>
      </c>
      <c r="AJ150" s="5"/>
      <c r="AK150" t="str">
        <f ca="1">Tabela1[[#This Row],[Coluna1]]&amp;Tabela1[[#This Row],[PEDIDO]]</f>
        <v>P-198</v>
      </c>
      <c r="AL150"/>
      <c r="AM150"/>
      <c r="AN150"/>
      <c r="AO150" t="str">
        <f t="shared" ca="1" si="40"/>
        <v>T-073204-1/05-CV-0001</v>
      </c>
      <c r="AP150" t="str">
        <f ca="1">Tabela1[[#This Row],[TAG]]&amp;Tabela1[[#This Row],[PEDIDO]]&amp;Tabela1[[#This Row],[PRODUTO]]</f>
        <v>05-CV-0001P-198ESTRUTURA</v>
      </c>
      <c r="AQ150" s="22" t="str">
        <f ca="1">Tabela1[[#This Row],[PRODUTO]]&amp;Tabela1[[#This Row],[TAG]]</f>
        <v>ESTRUTURA05-CV-0001</v>
      </c>
      <c r="AR150" s="24" t="str">
        <f ca="1">Tabela1[[#This Row],[PEDIDO]]&amp;Tabela1[[#This Row],[PRODUTO]]</f>
        <v>P-198ESTRUTURA</v>
      </c>
      <c r="AS150" s="37">
        <f ca="1">IF(AF150="",0,IF(ISTEXT(AF150),H150*VALUE(SUBSTITUTE(AF150,"%",""))/100,H150*AF150))-Tabela1[[#This Row],[PRONTO ACABADO2]]</f>
        <v>0</v>
      </c>
      <c r="AT150" s="37">
        <f ca="1">IF(AG150="",0,IF(ISTEXT(AG150),H150*VALUE(SUBSTITUTE(AG150,"%",""))/100,H150*AG150))-Tabela1[[#This Row],[PESO EXPEDIDO2]]</f>
        <v>0</v>
      </c>
      <c r="AU150" s="37">
        <f t="shared" ca="1" si="29"/>
        <v>0</v>
      </c>
      <c r="AV150" s="37">
        <f t="shared" ca="1" si="30"/>
        <v>0</v>
      </c>
      <c r="AW150" s="37"/>
    </row>
    <row r="151" spans="1:49" ht="15.75" hidden="1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 ca="1"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 ca="1">Tabela1[[#This Row],[QTDE/ Fabricação]]-Tabela1[[#This Row],[QTE]]</f>
        <v>-4</v>
      </c>
      <c r="R151" s="18">
        <f t="shared" ca="1" si="34"/>
        <v>240.4</v>
      </c>
      <c r="S151" s="18">
        <f t="shared" ca="1" si="35"/>
        <v>240.4</v>
      </c>
      <c r="T151" s="19">
        <f t="shared" ca="1" si="36"/>
        <v>0</v>
      </c>
      <c r="U151" s="16">
        <f>IFERROR(SUMIF('LISTA DE EMBARQUE'!B:B,MICRO!E:E,'LISTA DE EMBARQUE'!G:G),"")</f>
        <v>4</v>
      </c>
      <c r="V151" s="12">
        <f>IFERROR(VLOOKUP(Tabela1[[#This Row],[COD.MDE]],'LISTA DE EMBARQUE'!B:L,11,0),"")</f>
        <v>3</v>
      </c>
      <c r="W151" s="13" t="str">
        <f ca="1">IFERROR(COUNTIF(#REF!,Tabela1[[#This Row],[Colunas5]]),"")</f>
        <v/>
      </c>
      <c r="X151" s="14">
        <f ca="1">Tabela1[[#This Row],[QIANTIDADE EXPEDIDA]]*Tabela1[[#This Row],[PESO UNI]]</f>
        <v>240.4</v>
      </c>
      <c r="Y151" s="14">
        <f t="shared" ca="1" si="37"/>
        <v>0</v>
      </c>
      <c r="Z151" s="20">
        <f ca="1">Tabela1[[#This Row],[PESO TOTAL]]-Tabela1[[#This Row],[Peso Expedido]]</f>
        <v>0</v>
      </c>
      <c r="AA151" s="17">
        <v>1</v>
      </c>
      <c r="AB151" s="33"/>
      <c r="AC151" s="33">
        <v>1</v>
      </c>
      <c r="AD151" s="33">
        <v>1</v>
      </c>
      <c r="AE151" s="33">
        <v>1</v>
      </c>
      <c r="AF151" s="33">
        <v>1</v>
      </c>
      <c r="AG151" s="33">
        <v>1</v>
      </c>
      <c r="AH151" s="33">
        <v>1</v>
      </c>
      <c r="AI151" s="33" t="str">
        <f t="shared" ca="1" si="39"/>
        <v>ok</v>
      </c>
      <c r="AJ151" s="5"/>
      <c r="AK151" t="str">
        <f ca="1">Tabela1[[#This Row],[Coluna1]]&amp;Tabela1[[#This Row],[PEDIDO]]</f>
        <v>P-198</v>
      </c>
      <c r="AL151"/>
      <c r="AM151"/>
      <c r="AN151"/>
      <c r="AO151" t="str">
        <f t="shared" ca="1" si="40"/>
        <v>T-073239-1/14-CV-0001</v>
      </c>
      <c r="AP151" t="str">
        <f ca="1">Tabela1[[#This Row],[TAG]]&amp;Tabela1[[#This Row],[PEDIDO]]&amp;Tabela1[[#This Row],[PRODUTO]]</f>
        <v>14-CV-0001P-198ESTRUTURA</v>
      </c>
      <c r="AQ151" s="22" t="str">
        <f ca="1">Tabela1[[#This Row],[PRODUTO]]&amp;Tabela1[[#This Row],[TAG]]</f>
        <v>ESTRUTURA14-CV-0001</v>
      </c>
      <c r="AR151" s="24" t="str">
        <f ca="1">Tabela1[[#This Row],[PEDIDO]]&amp;Tabela1[[#This Row],[PRODUTO]]</f>
        <v>P-198ESTRUTURA</v>
      </c>
      <c r="AS151" s="37">
        <f ca="1">IF(AF151="",0,IF(ISTEXT(AF151),H151*VALUE(SUBSTITUTE(AF151,"%",""))/100,H151*AF151))-Tabela1[[#This Row],[PRONTO ACABADO2]]</f>
        <v>0</v>
      </c>
      <c r="AT151" s="37">
        <f ca="1">IF(AG151="",0,IF(ISTEXT(AG151),H151*VALUE(SUBSTITUTE(AG151,"%",""))/100,H151*AG151))-Tabela1[[#This Row],[PESO EXPEDIDO2]]</f>
        <v>0</v>
      </c>
      <c r="AU151" s="37">
        <f t="shared" ca="1" si="29"/>
        <v>240.4</v>
      </c>
      <c r="AV151" s="37">
        <f t="shared" ca="1" si="30"/>
        <v>240.4</v>
      </c>
      <c r="AW151" s="37"/>
    </row>
    <row r="152" spans="1:49" ht="15.75" hidden="1" customHeight="1" x14ac:dyDescent="0.25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 ca="1">Tabela1[[#This Row],[PESO UNI]]*Tabela1[[#This Row],[QTE]]</f>
        <v>374.4</v>
      </c>
      <c r="I152" s="7" t="s">
        <v>4868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 ca="1">Tabela1[[#This Row],[QTDE/ Fabricação]]-Tabela1[[#This Row],[QTE]]</f>
        <v>-1</v>
      </c>
      <c r="R152" s="18">
        <f t="shared" ca="1" si="34"/>
        <v>374.4</v>
      </c>
      <c r="S152" s="18">
        <f t="shared" ca="1" si="35"/>
        <v>374.4</v>
      </c>
      <c r="T152" s="19">
        <f t="shared" ca="1" si="36"/>
        <v>0</v>
      </c>
      <c r="U152" s="16">
        <f>IFERROR(SUMIF('LISTA DE EMBARQUE'!B:B,MICRO!E:E,'LISTA DE EMBARQUE'!G:G),"")</f>
        <v>1</v>
      </c>
      <c r="V152" s="12">
        <f ca="1">IFERROR(VLOOKUP(Tabela1[[#This Row],[COD.MDE]],'LISTA DE EMBARQUE'!B:L,11,0),"")</f>
        <v>5</v>
      </c>
      <c r="W152" s="13" t="str">
        <f ca="1">IFERROR(COUNTIF(#REF!,Tabela1[[#This Row],[Colunas5]]),"")</f>
        <v/>
      </c>
      <c r="X152" s="14">
        <f ca="1">Tabela1[[#This Row],[QIANTIDADE EXPEDIDA]]*Tabela1[[#This Row],[PESO UNI]]</f>
        <v>374.4</v>
      </c>
      <c r="Y152" s="14">
        <f t="shared" ca="1" si="37"/>
        <v>0</v>
      </c>
      <c r="Z152" s="20">
        <f ca="1">Tabela1[[#This Row],[PESO TOTAL]]-Tabela1[[#This Row],[Peso Expedido]]</f>
        <v>0</v>
      </c>
      <c r="AA152" s="17">
        <v>1</v>
      </c>
      <c r="AB152" s="33"/>
      <c r="AC152" s="33">
        <v>1</v>
      </c>
      <c r="AD152" s="33">
        <v>1</v>
      </c>
      <c r="AE152" s="33">
        <v>1</v>
      </c>
      <c r="AF152" s="33">
        <v>1</v>
      </c>
      <c r="AG152" s="33">
        <v>1</v>
      </c>
      <c r="AH152" s="33">
        <v>1</v>
      </c>
      <c r="AI152" s="33" t="str">
        <f t="shared" ca="1" si="39"/>
        <v>ok</v>
      </c>
      <c r="AJ152" s="5"/>
      <c r="AK152" t="str">
        <f ca="1">Tabela1[[#This Row],[Coluna1]]&amp;Tabela1[[#This Row],[PEDIDO]]</f>
        <v>P-198</v>
      </c>
      <c r="AL152"/>
      <c r="AM152"/>
      <c r="AN152"/>
      <c r="AO152" t="str">
        <f t="shared" ca="1" si="40"/>
        <v>T-073240-1/14-CV-0001</v>
      </c>
      <c r="AP152" t="str">
        <f ca="1">Tabela1[[#This Row],[TAG]]&amp;Tabela1[[#This Row],[PEDIDO]]&amp;Tabela1[[#This Row],[PRODUTO]]</f>
        <v>14-CV-0001P-198ESTRUTURA</v>
      </c>
      <c r="AQ152" s="22" t="str">
        <f ca="1">Tabela1[[#This Row],[PRODUTO]]&amp;Tabela1[[#This Row],[TAG]]</f>
        <v>ESTRUTURA14-CV-0001</v>
      </c>
      <c r="AR152" s="24" t="str">
        <f ca="1">Tabela1[[#This Row],[PEDIDO]]&amp;Tabela1[[#This Row],[PRODUTO]]</f>
        <v>P-198ESTRUTURA</v>
      </c>
      <c r="AS152" s="37">
        <f ca="1">IF(AF152="",0,IF(ISTEXT(AF152),H152*VALUE(SUBSTITUTE(AF152,"%",""))/100,H152*AF152))-Tabela1[[#This Row],[PRONTO ACABADO2]]</f>
        <v>0</v>
      </c>
      <c r="AT152" s="37">
        <f ca="1">IF(AG152="",0,IF(ISTEXT(AG152),H152*VALUE(SUBSTITUTE(AG152,"%",""))/100,H152*AG152))-Tabela1[[#This Row],[PESO EXPEDIDO2]]</f>
        <v>0</v>
      </c>
      <c r="AU152" s="37">
        <f t="shared" ca="1" si="29"/>
        <v>374.4</v>
      </c>
      <c r="AV152" s="37">
        <f t="shared" ca="1" si="30"/>
        <v>374.4</v>
      </c>
      <c r="AW152" s="37"/>
    </row>
    <row r="153" spans="1:49" ht="15.75" hidden="1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 ca="1"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 ca="1">Tabela1[[#This Row],[QTDE/ Fabricação]]-Tabela1[[#This Row],[QTE]]</f>
        <v>-1</v>
      </c>
      <c r="R153" s="18">
        <f t="shared" ref="R153:R216" ca="1" si="41">IFERROR(H153*((AA153*0.25)+(AC153*0.25)+(AD153*0.225)+(AE153*0.225)+(AF153*0.05)),"")</f>
        <v>1360</v>
      </c>
      <c r="S153" s="18">
        <f t="shared" ref="S153:S180" ca="1" si="42">IFERROR(H153*AG153,"")</f>
        <v>1360</v>
      </c>
      <c r="T153" s="19">
        <f t="shared" ref="T153:T216" ca="1" si="43">IFERROR(S153-H153,"")</f>
        <v>0</v>
      </c>
      <c r="U153" s="205">
        <v>1</v>
      </c>
      <c r="V153" s="12">
        <f>IFERROR(VLOOKUP(Tabela1[[#This Row],[COD.MDE]],'LISTA DE EMBARQUE'!B:L,11,0),"")</f>
        <v>2</v>
      </c>
      <c r="W153" s="13"/>
      <c r="X153" s="14">
        <f ca="1">IFERROR(Tabela1[[#This Row],[QIANTIDADE EXPEDIDA]]*Tabela1[[#This Row],[PESO UNI]],"")</f>
        <v>1360</v>
      </c>
      <c r="Y153" s="14">
        <f t="shared" ref="Y153:Y179" ca="1" si="44">U153-C153</f>
        <v>0</v>
      </c>
      <c r="Z153" s="20">
        <f ca="1"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ca="1" si="3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 ca="1"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 ca="1">Tabela1[[#This Row],[QTDE/ Fabricação]]-Tabela1[[#This Row],[QTE]]</f>
        <v>-1</v>
      </c>
      <c r="R154" s="18">
        <f t="shared" ca="1" si="41"/>
        <v>1360</v>
      </c>
      <c r="S154" s="18">
        <f t="shared" ca="1" si="42"/>
        <v>1360</v>
      </c>
      <c r="T154" s="19">
        <f t="shared" ca="1" si="43"/>
        <v>0</v>
      </c>
      <c r="U154" s="205">
        <v>1</v>
      </c>
      <c r="V154" s="12">
        <f>IFERROR(VLOOKUP(Tabela1[[#This Row],[COD.MDE]],'LISTA DE EMBARQUE'!B:L,11,0),"")</f>
        <v>2</v>
      </c>
      <c r="W154" s="13"/>
      <c r="X154" s="14">
        <f ca="1">IFERROR(Tabela1[[#This Row],[QIANTIDADE EXPEDIDA]]*Tabela1[[#This Row],[PESO UNI]],"")</f>
        <v>1360</v>
      </c>
      <c r="Y154" s="14">
        <f t="shared" ca="1" si="44"/>
        <v>0</v>
      </c>
      <c r="Z154" s="20">
        <f ca="1"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ca="1" si="33"/>
        <v>ok</v>
      </c>
      <c r="AJ154" s="5"/>
      <c r="AK154" t="str">
        <f ca="1">Tabela1[[#This Row],[Coluna1]]&amp;Tabela1[[#This Row],[PEDIDO]]</f>
        <v>P-188</v>
      </c>
      <c r="AL154"/>
      <c r="AM154"/>
      <c r="AN154"/>
      <c r="AO154" t="str">
        <f t="shared" ca="1" si="40"/>
        <v>T-072951-1/1073-TC-007</v>
      </c>
      <c r="AP154" t="str">
        <f ca="1">Tabela1[[#This Row],[TAG]]&amp;Tabela1[[#This Row],[PEDIDO]]&amp;Tabela1[[#This Row],[PRODUTO]]</f>
        <v>1073-TC-007P-188RMF</v>
      </c>
      <c r="AQ154" s="22" t="str">
        <f ca="1">Tabela1[[#This Row],[PRODUTO]]&amp;Tabela1[[#This Row],[TAG]]</f>
        <v>RMF1073-TC-007</v>
      </c>
      <c r="AR154" s="24" t="str">
        <f ca="1">Tabela1[[#This Row],[PEDIDO]]&amp;Tabela1[[#This Row],[PRODUTO]]</f>
        <v>P-188RMF</v>
      </c>
      <c r="AS154" s="37">
        <f ca="1">IF(AF154="",0,IF(ISTEXT(AF154),H154*VALUE(SUBSTITUTE(AF154,"%",""))/100,H154*AF154))-Tabela1[[#This Row],[PRONTO ACABADO2]]</f>
        <v>0</v>
      </c>
      <c r="AT154" s="37">
        <f ca="1">IF(AG154="",0,IF(ISTEXT(AG154),H154*VALUE(SUBSTITUTE(AG154,"%",""))/100,H154*AG154))-Tabela1[[#This Row],[PESO EXPEDIDO2]]</f>
        <v>0</v>
      </c>
      <c r="AU154" s="37">
        <f t="shared" ca="1" si="29"/>
        <v>1360</v>
      </c>
      <c r="AV154" s="37">
        <f t="shared" ca="1" si="30"/>
        <v>1360</v>
      </c>
      <c r="AW154" s="37"/>
    </row>
    <row r="155" spans="1:49" ht="15.75" hidden="1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 ca="1"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 ca="1">Tabela1[[#This Row],[QTDE/ Fabricação]]-Tabela1[[#This Row],[QTE]]</f>
        <v>-1</v>
      </c>
      <c r="R155" s="18">
        <f t="shared" ca="1" si="41"/>
        <v>1335.1</v>
      </c>
      <c r="S155" s="18">
        <f t="shared" ca="1" si="42"/>
        <v>1335.1</v>
      </c>
      <c r="T155" s="19">
        <f t="shared" ca="1" si="43"/>
        <v>0</v>
      </c>
      <c r="U155" s="205">
        <v>1</v>
      </c>
      <c r="V155" s="12" t="str">
        <f>IFERROR(VLOOKUP(Tabela1[[#This Row],[COD.MDE]],'LISTA DE EMBARQUE'!B:L,11,0),"")</f>
        <v/>
      </c>
      <c r="W155" s="13"/>
      <c r="X155" s="14">
        <f ca="1">IFERROR(Tabela1[[#This Row],[QIANTIDADE EXPEDIDA]]*Tabela1[[#This Row],[PESO UNI]],"")</f>
        <v>1335.1</v>
      </c>
      <c r="Y155" s="14">
        <f t="shared" ca="1" si="44"/>
        <v>0</v>
      </c>
      <c r="Z155" s="20">
        <f ca="1"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ca="1" si="45">IF(Z155&lt;=0,"ok","")</f>
        <v>ok</v>
      </c>
      <c r="AJ155" s="5"/>
      <c r="AK155" t="str">
        <f ca="1">Tabela1[[#This Row],[Coluna1]]&amp;Tabela1[[#This Row],[PEDIDO]]</f>
        <v>P-188</v>
      </c>
      <c r="AL155"/>
      <c r="AM155"/>
      <c r="AN155"/>
      <c r="AO155" t="str">
        <f t="shared" ca="1" si="40"/>
        <v>T-072952-1/1073-TC-006</v>
      </c>
      <c r="AP155" t="str">
        <f ca="1">Tabela1[[#This Row],[TAG]]&amp;Tabela1[[#This Row],[PEDIDO]]&amp;Tabela1[[#This Row],[PRODUTO]]</f>
        <v>1073-TC-006P-188RMF</v>
      </c>
      <c r="AQ155" s="22" t="str">
        <f ca="1">Tabela1[[#This Row],[PRODUTO]]&amp;Tabela1[[#This Row],[TAG]]</f>
        <v>RMF1073-TC-006</v>
      </c>
      <c r="AR155" s="24" t="str">
        <f ca="1">Tabela1[[#This Row],[PEDIDO]]&amp;Tabela1[[#This Row],[PRODUTO]]</f>
        <v>P-188RMF</v>
      </c>
      <c r="AS155" s="37">
        <f ca="1">IF(AF155="",0,IF(ISTEXT(AF155),H155*VALUE(SUBSTITUTE(AF155,"%",""))/100,H155*AF155))-Tabela1[[#This Row],[PRONTO ACABADO2]]</f>
        <v>0</v>
      </c>
      <c r="AT155" s="37">
        <f ca="1">IF(AG155="",0,IF(ISTEXT(AG155),H155*VALUE(SUBSTITUTE(AG155,"%",""))/100,H155*AG155))-Tabela1[[#This Row],[PESO EXPEDIDO2]]</f>
        <v>0</v>
      </c>
      <c r="AU155" s="37">
        <f t="shared" ca="1" si="29"/>
        <v>1335.1</v>
      </c>
      <c r="AV155" s="37">
        <f t="shared" ca="1" si="30"/>
        <v>1335.1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 ca="1"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 ca="1">Tabela1[[#This Row],[QTDE/ Fabricação]]-Tabela1[[#This Row],[QTE]]</f>
        <v>-1</v>
      </c>
      <c r="R156" s="18">
        <f t="shared" ca="1" si="41"/>
        <v>1335.1</v>
      </c>
      <c r="S156" s="18">
        <f t="shared" ca="1" si="42"/>
        <v>1335.1</v>
      </c>
      <c r="T156" s="19">
        <f t="shared" ca="1" si="43"/>
        <v>0</v>
      </c>
      <c r="U156" s="205">
        <v>1</v>
      </c>
      <c r="V156" s="12" t="str">
        <f>IFERROR(VLOOKUP(Tabela1[[#This Row],[COD.MDE]],'LISTA DE EMBARQUE'!B:L,11,0),"")</f>
        <v/>
      </c>
      <c r="W156" s="13"/>
      <c r="X156" s="14">
        <f ca="1">IFERROR(Tabela1[[#This Row],[QIANTIDADE EXPEDIDA]]*Tabela1[[#This Row],[PESO UNI]],"")</f>
        <v>1335.1</v>
      </c>
      <c r="Y156" s="14">
        <f t="shared" ca="1" si="44"/>
        <v>0</v>
      </c>
      <c r="Z156" s="20">
        <f ca="1"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ca="1" si="45"/>
        <v>ok</v>
      </c>
      <c r="AJ156" s="5"/>
      <c r="AK156" t="str">
        <f ca="1">Tabela1[[#This Row],[Coluna1]]&amp;Tabela1[[#This Row],[PEDIDO]]</f>
        <v>P-188</v>
      </c>
      <c r="AL156"/>
      <c r="AM156"/>
      <c r="AN156"/>
      <c r="AO156" t="str">
        <f t="shared" ca="1" si="40"/>
        <v>T-072952-1/1073-TC-007</v>
      </c>
      <c r="AP156" t="str">
        <f ca="1">Tabela1[[#This Row],[TAG]]&amp;Tabela1[[#This Row],[PEDIDO]]&amp;Tabela1[[#This Row],[PRODUTO]]</f>
        <v>1073-TC-007P-188RMF</v>
      </c>
      <c r="AQ156" s="22" t="str">
        <f ca="1">Tabela1[[#This Row],[PRODUTO]]&amp;Tabela1[[#This Row],[TAG]]</f>
        <v>RMF1073-TC-007</v>
      </c>
      <c r="AR156" s="24" t="str">
        <f ca="1">Tabela1[[#This Row],[PEDIDO]]&amp;Tabela1[[#This Row],[PRODUTO]]</f>
        <v>P-188RMF</v>
      </c>
      <c r="AS156" s="37">
        <f ca="1">IF(AF156="",0,IF(ISTEXT(AF156),H156*VALUE(SUBSTITUTE(AF156,"%",""))/100,H156*AF156))-Tabela1[[#This Row],[PRONTO ACABADO2]]</f>
        <v>0</v>
      </c>
      <c r="AT156" s="37">
        <f ca="1">IF(AG156="",0,IF(ISTEXT(AG156),H156*VALUE(SUBSTITUTE(AG156,"%",""))/100,H156*AG156))-Tabela1[[#This Row],[PESO EXPEDIDO2]]</f>
        <v>0</v>
      </c>
      <c r="AU156" s="37">
        <f t="shared" ca="1" si="29"/>
        <v>1335.1</v>
      </c>
      <c r="AV156" s="37">
        <f t="shared" ca="1" si="30"/>
        <v>1335.1</v>
      </c>
      <c r="AW156" s="37"/>
    </row>
    <row r="157" spans="1:49" ht="15.75" hidden="1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 ca="1"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 ca="1">Tabela1[[#This Row],[QTDE/ Fabricação]]-Tabela1[[#This Row],[QTE]]</f>
        <v>-2</v>
      </c>
      <c r="R157" s="18">
        <f t="shared" ca="1" si="41"/>
        <v>25.2</v>
      </c>
      <c r="S157" s="18">
        <f t="shared" ca="1" si="42"/>
        <v>25.2</v>
      </c>
      <c r="T157" s="19">
        <f t="shared" ca="1" si="43"/>
        <v>0</v>
      </c>
      <c r="U157" s="205">
        <v>2</v>
      </c>
      <c r="V157" s="12" t="str">
        <f>IFERROR(VLOOKUP(Tabela1[[#This Row],[COD.MDE]],'LISTA DE EMBARQUE'!B:L,11,0),"")</f>
        <v/>
      </c>
      <c r="W157" s="13"/>
      <c r="X157" s="14">
        <f ca="1">IFERROR(Tabela1[[#This Row],[QIANTIDADE EXPEDIDA]]*Tabela1[[#This Row],[PESO UNI]],"")</f>
        <v>25.2</v>
      </c>
      <c r="Y157" s="14">
        <f t="shared" ca="1" si="44"/>
        <v>0</v>
      </c>
      <c r="Z157" s="20">
        <f ca="1"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ca="1" si="45"/>
        <v>ok</v>
      </c>
      <c r="AJ157" s="5"/>
      <c r="AK157" t="str">
        <f ca="1">Tabela1[[#This Row],[Coluna1]]&amp;Tabela1[[#This Row],[PEDIDO]]</f>
        <v>P-188</v>
      </c>
      <c r="AL157"/>
      <c r="AM157"/>
      <c r="AN157"/>
      <c r="AO157" t="str">
        <f t="shared" ca="1" si="40"/>
        <v>T-072974-1/1073-TC-006</v>
      </c>
      <c r="AP157" t="str">
        <f ca="1">Tabela1[[#This Row],[TAG]]&amp;Tabela1[[#This Row],[PEDIDO]]&amp;Tabela1[[#This Row],[PRODUTO]]</f>
        <v>1073-TC-006P-188RMF</v>
      </c>
      <c r="AQ157" s="22" t="str">
        <f ca="1">Tabela1[[#This Row],[PRODUTO]]&amp;Tabela1[[#This Row],[TAG]]</f>
        <v>RMF1073-TC-006</v>
      </c>
      <c r="AR157" s="24" t="str">
        <f ca="1">Tabela1[[#This Row],[PEDIDO]]&amp;Tabela1[[#This Row],[PRODUTO]]</f>
        <v>P-188RMF</v>
      </c>
      <c r="AS157" s="37">
        <f ca="1">IF(AF157="",0,IF(ISTEXT(AF157),H157*VALUE(SUBSTITUTE(AF157,"%",""))/100,H157*AF157))-Tabela1[[#This Row],[PRONTO ACABADO2]]</f>
        <v>0</v>
      </c>
      <c r="AT157" s="37">
        <f ca="1">IF(AG157="",0,IF(ISTEXT(AG157),H157*VALUE(SUBSTITUTE(AG157,"%",""))/100,H157*AG157))-Tabela1[[#This Row],[PESO EXPEDIDO2]]</f>
        <v>0</v>
      </c>
      <c r="AU157" s="37">
        <f t="shared" ca="1" si="29"/>
        <v>25.2</v>
      </c>
      <c r="AV157" s="37">
        <f t="shared" ca="1" si="30"/>
        <v>25.2</v>
      </c>
      <c r="AW157" s="37"/>
    </row>
    <row r="158" spans="1:49" ht="15.75" hidden="1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 ca="1"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 ca="1">Tabela1[[#This Row],[QTDE/ Fabricação]]-Tabela1[[#This Row],[QTE]]</f>
        <v>-4</v>
      </c>
      <c r="R158" s="18">
        <f t="shared" ca="1" si="41"/>
        <v>50.4</v>
      </c>
      <c r="S158" s="18">
        <f t="shared" ca="1" si="42"/>
        <v>50.4</v>
      </c>
      <c r="T158" s="19">
        <f t="shared" ca="1" si="43"/>
        <v>0</v>
      </c>
      <c r="U158" s="205">
        <v>4</v>
      </c>
      <c r="V158" s="12" t="str">
        <f>IFERROR(VLOOKUP(Tabela1[[#This Row],[COD.MDE]],'LISTA DE EMBARQUE'!B:L,11,0),"")</f>
        <v/>
      </c>
      <c r="W158" s="13"/>
      <c r="X158" s="14">
        <f ca="1">IFERROR(Tabela1[[#This Row],[QIANTIDADE EXPEDIDA]]*Tabela1[[#This Row],[PESO UNI]],"")</f>
        <v>50.4</v>
      </c>
      <c r="Y158" s="14">
        <f t="shared" ca="1" si="44"/>
        <v>0</v>
      </c>
      <c r="Z158" s="20">
        <f ca="1"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ca="1" si="45"/>
        <v>ok</v>
      </c>
      <c r="AJ158" s="5"/>
      <c r="AK158" t="str">
        <f ca="1">Tabela1[[#This Row],[Coluna1]]&amp;Tabela1[[#This Row],[PEDIDO]]</f>
        <v>P-188</v>
      </c>
      <c r="AL158"/>
      <c r="AM158"/>
      <c r="AN158"/>
      <c r="AO158" t="str">
        <f t="shared" ca="1" si="40"/>
        <v>T-072974-1/1073-TC-006</v>
      </c>
      <c r="AP158" t="str">
        <f ca="1">Tabela1[[#This Row],[TAG]]&amp;Tabela1[[#This Row],[PEDIDO]]&amp;Tabela1[[#This Row],[PRODUTO]]</f>
        <v>1073-TC-006P-188RMF</v>
      </c>
      <c r="AQ158" s="22" t="str">
        <f ca="1">Tabela1[[#This Row],[PRODUTO]]&amp;Tabela1[[#This Row],[TAG]]</f>
        <v>RMF1073-TC-006</v>
      </c>
      <c r="AR158" s="24" t="str">
        <f ca="1">Tabela1[[#This Row],[PEDIDO]]&amp;Tabela1[[#This Row],[PRODUTO]]</f>
        <v>P-188RMF</v>
      </c>
      <c r="AS158" s="37">
        <f ca="1">IF(AF158="",0,IF(ISTEXT(AF158),H158*VALUE(SUBSTITUTE(AF158,"%",""))/100,H158*AF158))-Tabela1[[#This Row],[PRONTO ACABADO2]]</f>
        <v>0</v>
      </c>
      <c r="AT158" s="37">
        <f ca="1">IF(AG158="",0,IF(ISTEXT(AG158),H158*VALUE(SUBSTITUTE(AG158,"%",""))/100,H158*AG158))-Tabela1[[#This Row],[PESO EXPEDIDO2]]</f>
        <v>0</v>
      </c>
      <c r="AU158" s="37">
        <f t="shared" ca="1" si="29"/>
        <v>50.4</v>
      </c>
      <c r="AV158" s="37">
        <f t="shared" ca="1" si="30"/>
        <v>50.4</v>
      </c>
      <c r="AW158" s="37"/>
    </row>
    <row r="159" spans="1:49" ht="15.75" hidden="1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 ca="1"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 ca="1">Tabela1[[#This Row],[QTDE/ Fabricação]]-Tabela1[[#This Row],[QTE]]</f>
        <v>-4</v>
      </c>
      <c r="R159" s="18">
        <f t="shared" ca="1" si="41"/>
        <v>228.4</v>
      </c>
      <c r="S159" s="18">
        <f t="shared" ca="1" si="42"/>
        <v>228.4</v>
      </c>
      <c r="T159" s="19">
        <f t="shared" ca="1" si="43"/>
        <v>0</v>
      </c>
      <c r="U159" s="205">
        <v>4</v>
      </c>
      <c r="V159" s="12" t="str">
        <f>IFERROR(VLOOKUP(Tabela1[[#This Row],[COD.MDE]],'LISTA DE EMBARQUE'!B:L,11,0),"")</f>
        <v/>
      </c>
      <c r="W159" s="13"/>
      <c r="X159" s="14">
        <f ca="1">IFERROR(Tabela1[[#This Row],[QIANTIDADE EXPEDIDA]]*Tabela1[[#This Row],[PESO UNI]],"")</f>
        <v>228.4</v>
      </c>
      <c r="Y159" s="14">
        <f t="shared" ca="1" si="44"/>
        <v>0</v>
      </c>
      <c r="Z159" s="20">
        <f ca="1"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ca="1" si="45"/>
        <v>ok</v>
      </c>
      <c r="AJ159" s="5"/>
      <c r="AK159" t="str">
        <f ca="1">Tabela1[[#This Row],[Coluna1]]&amp;Tabela1[[#This Row],[PEDIDO]]</f>
        <v>P-188</v>
      </c>
      <c r="AL159"/>
      <c r="AM159"/>
      <c r="AN159"/>
      <c r="AO159" t="str">
        <f t="shared" ca="1" si="40"/>
        <v>T-072974-1/1073-TC-006</v>
      </c>
      <c r="AP159" t="str">
        <f ca="1">Tabela1[[#This Row],[TAG]]&amp;Tabela1[[#This Row],[PEDIDO]]&amp;Tabela1[[#This Row],[PRODUTO]]</f>
        <v>1073-TC-006P-188RMF</v>
      </c>
      <c r="AQ159" s="22" t="str">
        <f ca="1">Tabela1[[#This Row],[PRODUTO]]&amp;Tabela1[[#This Row],[TAG]]</f>
        <v>RMF1073-TC-006</v>
      </c>
      <c r="AR159" s="24" t="str">
        <f ca="1">Tabela1[[#This Row],[PEDIDO]]&amp;Tabela1[[#This Row],[PRODUTO]]</f>
        <v>P-188RMF</v>
      </c>
      <c r="AS159" s="37">
        <f ca="1">IF(AF159="",0,IF(ISTEXT(AF159),H159*VALUE(SUBSTITUTE(AF159,"%",""))/100,H159*AF159))-Tabela1[[#This Row],[PRONTO ACABADO2]]</f>
        <v>0</v>
      </c>
      <c r="AT159" s="37">
        <f ca="1">IF(AG159="",0,IF(ISTEXT(AG159),H159*VALUE(SUBSTITUTE(AG159,"%",""))/100,H159*AG159))-Tabela1[[#This Row],[PESO EXPEDIDO2]]</f>
        <v>0</v>
      </c>
      <c r="AU159" s="37">
        <f t="shared" ca="1" si="29"/>
        <v>228.4</v>
      </c>
      <c r="AV159" s="37">
        <f t="shared" ca="1" si="30"/>
        <v>228.4</v>
      </c>
      <c r="AW159" s="37"/>
    </row>
    <row r="160" spans="1:49" ht="15.75" hidden="1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 ca="1"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 ca="1">Tabela1[[#This Row],[QTDE/ Fabricação]]-Tabela1[[#This Row],[QTE]]</f>
        <v>-24</v>
      </c>
      <c r="R160" s="18">
        <f t="shared" ca="1" si="41"/>
        <v>19.200000000000003</v>
      </c>
      <c r="S160" s="18">
        <f t="shared" ca="1" si="42"/>
        <v>19.200000000000003</v>
      </c>
      <c r="T160" s="19">
        <f t="shared" ca="1" si="43"/>
        <v>0</v>
      </c>
      <c r="U160" s="16">
        <v>24</v>
      </c>
      <c r="V160" s="12" t="str">
        <f ca="1"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 ca="1">IFERROR(Tabela1[[#This Row],[QIANTIDADE EXPEDIDA]]*Tabela1[[#This Row],[PESO UNI]],"")</f>
        <v>19.200000000000003</v>
      </c>
      <c r="Y160" s="14">
        <f t="shared" ca="1" si="44"/>
        <v>0</v>
      </c>
      <c r="Z160" s="20">
        <f ca="1"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 ca="1">Tabela1[[#This Row],[Coluna1]]&amp;Tabela1[[#This Row],[PEDIDO]]</f>
        <v>P-188</v>
      </c>
      <c r="AL160"/>
      <c r="AM160"/>
      <c r="AN160"/>
      <c r="AO160" t="str">
        <f t="shared" ca="1" si="40"/>
        <v>T-072974-1/1073-TC-006</v>
      </c>
      <c r="AP160" t="str">
        <f ca="1">Tabela1[[#This Row],[TAG]]&amp;Tabela1[[#This Row],[PEDIDO]]&amp;Tabela1[[#This Row],[PRODUTO]]</f>
        <v>1073-TC-006P-188RMF</v>
      </c>
      <c r="AQ160" s="22" t="str">
        <f ca="1">Tabela1[[#This Row],[PRODUTO]]&amp;Tabela1[[#This Row],[TAG]]</f>
        <v>RMF1073-TC-006</v>
      </c>
      <c r="AR160" s="24" t="str">
        <f ca="1">Tabela1[[#This Row],[PEDIDO]]&amp;Tabela1[[#This Row],[PRODUTO]]</f>
        <v>P-188RMF</v>
      </c>
      <c r="AS160" s="37">
        <f ca="1">IF(AF160="",0,IF(ISTEXT(AF160),H160*VALUE(SUBSTITUTE(AF160,"%",""))/100,H160*AF160))-Tabela1[[#This Row],[PRONTO ACABADO2]]</f>
        <v>0</v>
      </c>
      <c r="AT160" s="37">
        <f ca="1">IF(AG160="",0,IF(ISTEXT(AG160),H160*VALUE(SUBSTITUTE(AG160,"%",""))/100,H160*AG160))-Tabela1[[#This Row],[PESO EXPEDIDO2]]</f>
        <v>0</v>
      </c>
      <c r="AU160" s="37">
        <f t="shared" ca="1" si="29"/>
        <v>19.200000000000003</v>
      </c>
      <c r="AV160" s="37">
        <f t="shared" ca="1" si="30"/>
        <v>19.200000000000003</v>
      </c>
      <c r="AW160" s="37"/>
    </row>
    <row r="161" spans="1:49" ht="15.75" hidden="1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 ca="1"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 ca="1">Tabela1[[#This Row],[QTDE/ Fabricação]]-Tabela1[[#This Row],[QTE]]</f>
        <v>-1</v>
      </c>
      <c r="R161" s="18">
        <f t="shared" ca="1" si="41"/>
        <v>128.80000000000001</v>
      </c>
      <c r="S161" s="18">
        <f t="shared" ca="1" si="42"/>
        <v>128.80000000000001</v>
      </c>
      <c r="T161" s="19">
        <f t="shared" ca="1" si="43"/>
        <v>0</v>
      </c>
      <c r="U161" s="16">
        <v>1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 ca="1">IFERROR(Tabela1[[#This Row],[QIANTIDADE EXPEDIDA]]*Tabela1[[#This Row],[PESO UNI]],"")</f>
        <v>128.80000000000001</v>
      </c>
      <c r="Y161" s="14">
        <f t="shared" ca="1" si="44"/>
        <v>0</v>
      </c>
      <c r="Z161" s="20">
        <f ca="1">Tabela1[[#This Row],[PESO TOTAL]]-Tabela1[[#This Row],[Peso Expedido]]</f>
        <v>0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 ca="1">Tabela1[[#This Row],[Coluna1]]&amp;Tabela1[[#This Row],[PEDIDO]]</f>
        <v>P-188</v>
      </c>
      <c r="AL161"/>
      <c r="AM161"/>
      <c r="AN161"/>
      <c r="AO161" t="str">
        <f t="shared" ca="1" si="40"/>
        <v>T-072974-1/1073-TC-006</v>
      </c>
      <c r="AP161" t="str">
        <f ca="1">Tabela1[[#This Row],[TAG]]&amp;Tabela1[[#This Row],[PEDIDO]]&amp;Tabela1[[#This Row],[PRODUTO]]</f>
        <v>1073-TC-006P-188RMF</v>
      </c>
      <c r="AQ161" s="22" t="str">
        <f ca="1">Tabela1[[#This Row],[PRODUTO]]&amp;Tabela1[[#This Row],[TAG]]</f>
        <v>RMF1073-TC-006</v>
      </c>
      <c r="AR161" s="24" t="str">
        <f ca="1">Tabela1[[#This Row],[PEDIDO]]&amp;Tabela1[[#This Row],[PRODUTO]]</f>
        <v>P-188RMF</v>
      </c>
      <c r="AS161" s="37">
        <f ca="1">IF(AF161="",0,IF(ISTEXT(AF161),H161*VALUE(SUBSTITUTE(AF161,"%",""))/100,H161*AF161))-Tabela1[[#This Row],[PRONTO ACABADO2]]</f>
        <v>0</v>
      </c>
      <c r="AT161" s="37">
        <f ca="1">IF(AG161="",0,IF(ISTEXT(AG161),H161*VALUE(SUBSTITUTE(AG161,"%",""))/100,H161*AG161))-Tabela1[[#This Row],[PESO EXPEDIDO2]]</f>
        <v>0</v>
      </c>
      <c r="AU161" s="37">
        <f t="shared" ca="1" si="29"/>
        <v>128.80000000000001</v>
      </c>
      <c r="AV161" s="37">
        <f t="shared" ca="1" si="30"/>
        <v>128.80000000000001</v>
      </c>
      <c r="AW161" s="37"/>
    </row>
    <row r="162" spans="1:49" ht="15.75" hidden="1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 ca="1"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 ca="1">Tabela1[[#This Row],[QTDE/ Fabricação]]-Tabela1[[#This Row],[QTE]]</f>
        <v>-2</v>
      </c>
      <c r="R162" s="18">
        <f t="shared" ca="1" si="41"/>
        <v>25.2</v>
      </c>
      <c r="S162" s="18">
        <f t="shared" ca="1" si="42"/>
        <v>25.2</v>
      </c>
      <c r="T162" s="19">
        <f t="shared" ca="1" si="43"/>
        <v>0</v>
      </c>
      <c r="U162" s="205">
        <v>2</v>
      </c>
      <c r="V162" s="12" t="str">
        <f>IFERROR(VLOOKUP(Tabela1[[#This Row],[COD.MDE]],'LISTA DE EMBARQUE'!B:L,11,0),"")</f>
        <v/>
      </c>
      <c r="W162" s="13"/>
      <c r="X162" s="14">
        <f ca="1">IFERROR(Tabela1[[#This Row],[QIANTIDADE EXPEDIDA]]*Tabela1[[#This Row],[PESO UNI]],"")</f>
        <v>25.2</v>
      </c>
      <c r="Y162" s="14">
        <f t="shared" ca="1" si="44"/>
        <v>0</v>
      </c>
      <c r="Z162" s="20">
        <f ca="1"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 ca="1">IF(Z162&lt;=0,"ok","")</f>
        <v>ok</v>
      </c>
      <c r="AJ162" s="5"/>
      <c r="AK162" t="str">
        <f ca="1">Tabela1[[#This Row],[Coluna1]]&amp;Tabela1[[#This Row],[PEDIDO]]</f>
        <v>P-188</v>
      </c>
      <c r="AL162"/>
      <c r="AM162"/>
      <c r="AN162"/>
      <c r="AO162" t="str">
        <f t="shared" ca="1" si="40"/>
        <v>T-072974-1/1073-TC-007</v>
      </c>
      <c r="AP162" t="str">
        <f ca="1">Tabela1[[#This Row],[TAG]]&amp;Tabela1[[#This Row],[PEDIDO]]&amp;Tabela1[[#This Row],[PRODUTO]]</f>
        <v>1073-TC-007P-188RMF</v>
      </c>
      <c r="AQ162" s="22" t="str">
        <f ca="1">Tabela1[[#This Row],[PRODUTO]]&amp;Tabela1[[#This Row],[TAG]]</f>
        <v>RMF1073-TC-007</v>
      </c>
      <c r="AR162" s="24" t="str">
        <f ca="1">Tabela1[[#This Row],[PEDIDO]]&amp;Tabela1[[#This Row],[PRODUTO]]</f>
        <v>P-188RMF</v>
      </c>
      <c r="AS162" s="37">
        <f ca="1">IF(AF162="",0,IF(ISTEXT(AF162),H162*VALUE(SUBSTITUTE(AF162,"%",""))/100,H162*AF162))-Tabela1[[#This Row],[PRONTO ACABADO2]]</f>
        <v>0</v>
      </c>
      <c r="AT162" s="37">
        <f ca="1">IF(AG162="",0,IF(ISTEXT(AG162),H162*VALUE(SUBSTITUTE(AG162,"%",""))/100,H162*AG162))-Tabela1[[#This Row],[PESO EXPEDIDO2]]</f>
        <v>0</v>
      </c>
      <c r="AU162" s="37">
        <f t="shared" ca="1" si="29"/>
        <v>25.2</v>
      </c>
      <c r="AV162" s="37">
        <f t="shared" ca="1" si="30"/>
        <v>25.2</v>
      </c>
      <c r="AW162" s="37"/>
    </row>
    <row r="163" spans="1:49" ht="15.75" hidden="1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 ca="1"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 ca="1">Tabela1[[#This Row],[QTDE/ Fabricação]]-Tabela1[[#This Row],[QTE]]</f>
        <v>-4</v>
      </c>
      <c r="R163" s="18">
        <f t="shared" ca="1" si="41"/>
        <v>50.4</v>
      </c>
      <c r="S163" s="18">
        <f t="shared" ca="1" si="42"/>
        <v>50.4</v>
      </c>
      <c r="T163" s="19">
        <f t="shared" ca="1" si="43"/>
        <v>0</v>
      </c>
      <c r="U163" s="205">
        <v>4</v>
      </c>
      <c r="V163" s="12" t="str">
        <f>IFERROR(VLOOKUP(Tabela1[[#This Row],[COD.MDE]],'LISTA DE EMBARQUE'!B:L,11,0),"")</f>
        <v/>
      </c>
      <c r="W163" s="13"/>
      <c r="X163" s="14">
        <f ca="1">IFERROR(Tabela1[[#This Row],[QIANTIDADE EXPEDIDA]]*Tabela1[[#This Row],[PESO UNI]],"")</f>
        <v>50.4</v>
      </c>
      <c r="Y163" s="14">
        <f t="shared" ca="1" si="44"/>
        <v>0</v>
      </c>
      <c r="Z163" s="20">
        <f ca="1"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 ca="1">IF(Z163&lt;=0,"ok","")</f>
        <v>ok</v>
      </c>
      <c r="AJ163" s="5"/>
      <c r="AK163" t="str">
        <f ca="1">Tabela1[[#This Row],[Coluna1]]&amp;Tabela1[[#This Row],[PEDIDO]]</f>
        <v>P-188</v>
      </c>
      <c r="AL163"/>
      <c r="AM163"/>
      <c r="AN163"/>
      <c r="AO163" t="str">
        <f t="shared" ca="1" si="40"/>
        <v>T-072974-1/1073-TC-007</v>
      </c>
      <c r="AP163" t="str">
        <f ca="1">Tabela1[[#This Row],[TAG]]&amp;Tabela1[[#This Row],[PEDIDO]]&amp;Tabela1[[#This Row],[PRODUTO]]</f>
        <v>1073-TC-007P-188RMF</v>
      </c>
      <c r="AQ163" s="22" t="str">
        <f ca="1">Tabela1[[#This Row],[PRODUTO]]&amp;Tabela1[[#This Row],[TAG]]</f>
        <v>RMF1073-TC-007</v>
      </c>
      <c r="AR163" s="24" t="str">
        <f ca="1">Tabela1[[#This Row],[PEDIDO]]&amp;Tabela1[[#This Row],[PRODUTO]]</f>
        <v>P-188RMF</v>
      </c>
      <c r="AS163" s="37">
        <f ca="1">IF(AF163="",0,IF(ISTEXT(AF163),H163*VALUE(SUBSTITUTE(AF163,"%",""))/100,H163*AF163))-Tabela1[[#This Row],[PRONTO ACABADO2]]</f>
        <v>0</v>
      </c>
      <c r="AT163" s="37">
        <f ca="1">IF(AG163="",0,IF(ISTEXT(AG163),H163*VALUE(SUBSTITUTE(AG163,"%",""))/100,H163*AG163))-Tabela1[[#This Row],[PESO EXPEDIDO2]]</f>
        <v>0</v>
      </c>
      <c r="AU163" s="37">
        <f t="shared" ca="1" si="29"/>
        <v>50.4</v>
      </c>
      <c r="AV163" s="37">
        <f t="shared" ca="1" si="30"/>
        <v>50.4</v>
      </c>
      <c r="AW163" s="37"/>
    </row>
    <row r="164" spans="1:49" ht="15.75" hidden="1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 ca="1"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 ca="1">Tabela1[[#This Row],[QTDE/ Fabricação]]-Tabela1[[#This Row],[QTE]]</f>
        <v>-4</v>
      </c>
      <c r="R164" s="18">
        <f t="shared" ca="1" si="41"/>
        <v>228.4</v>
      </c>
      <c r="S164" s="18">
        <f t="shared" ca="1" si="42"/>
        <v>228.4</v>
      </c>
      <c r="T164" s="19">
        <f t="shared" ca="1" si="43"/>
        <v>0</v>
      </c>
      <c r="U164" s="205">
        <v>4</v>
      </c>
      <c r="V164" s="12" t="str">
        <f>IFERROR(VLOOKUP(Tabela1[[#This Row],[COD.MDE]],'LISTA DE EMBARQUE'!B:L,11,0),"")</f>
        <v/>
      </c>
      <c r="W164" s="13"/>
      <c r="X164" s="14">
        <f ca="1">IFERROR(Tabela1[[#This Row],[QIANTIDADE EXPEDIDA]]*Tabela1[[#This Row],[PESO UNI]],"")</f>
        <v>228.4</v>
      </c>
      <c r="Y164" s="14">
        <f t="shared" ca="1" si="44"/>
        <v>0</v>
      </c>
      <c r="Z164" s="20">
        <f ca="1"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 ca="1">IF(Z164&lt;=0,"ok","")</f>
        <v>ok</v>
      </c>
      <c r="AJ164" s="5"/>
      <c r="AK164" t="str">
        <f ca="1">Tabela1[[#This Row],[Coluna1]]&amp;Tabela1[[#This Row],[PEDIDO]]</f>
        <v>P-188</v>
      </c>
      <c r="AL164"/>
      <c r="AM164"/>
      <c r="AN164"/>
      <c r="AO164" t="str">
        <f t="shared" ca="1" si="40"/>
        <v>T-072974-1/1073-TC-007</v>
      </c>
      <c r="AP164" t="str">
        <f ca="1">Tabela1[[#This Row],[TAG]]&amp;Tabela1[[#This Row],[PEDIDO]]&amp;Tabela1[[#This Row],[PRODUTO]]</f>
        <v>1073-TC-007P-188RMF</v>
      </c>
      <c r="AQ164" s="22" t="str">
        <f ca="1">Tabela1[[#This Row],[PRODUTO]]&amp;Tabela1[[#This Row],[TAG]]</f>
        <v>RMF1073-TC-007</v>
      </c>
      <c r="AR164" s="24" t="str">
        <f ca="1">Tabela1[[#This Row],[PEDIDO]]&amp;Tabela1[[#This Row],[PRODUTO]]</f>
        <v>P-188RMF</v>
      </c>
      <c r="AS164" s="37">
        <f ca="1">IF(AF164="",0,IF(ISTEXT(AF164),H164*VALUE(SUBSTITUTE(AF164,"%",""))/100,H164*AF164))-Tabela1[[#This Row],[PRONTO ACABADO2]]</f>
        <v>0</v>
      </c>
      <c r="AT164" s="37">
        <f ca="1">IF(AG164="",0,IF(ISTEXT(AG164),H164*VALUE(SUBSTITUTE(AG164,"%",""))/100,H164*AG164))-Tabela1[[#This Row],[PESO EXPEDIDO2]]</f>
        <v>0</v>
      </c>
      <c r="AU164" s="37">
        <f t="shared" ref="AU164:AU227" ca="1" si="46">IF(AH164="",0,IF(ISTEXT(AH164),H164*VALUE(SUBSTITUTE(AH164,"%",""))/100,H164*AH164))</f>
        <v>228.4</v>
      </c>
      <c r="AV164" s="37">
        <f t="shared" ref="AV164:AV227" ca="1" si="47">IF(AG164="",0,IF(ISTEXT(AG164),H164*VALUE(SUBSTITUTE(AG164,"%",""))/100,H164*AG164))</f>
        <v>228.4</v>
      </c>
      <c r="AW164" s="37"/>
    </row>
    <row r="165" spans="1:49" ht="15.75" hidden="1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 ca="1"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 ca="1">Tabela1[[#This Row],[QTDE/ Fabricação]]-Tabela1[[#This Row],[QTE]]</f>
        <v>-1</v>
      </c>
      <c r="R165" s="18">
        <f t="shared" ca="1" si="41"/>
        <v>128.80000000000001</v>
      </c>
      <c r="S165" s="18">
        <f t="shared" ca="1" si="42"/>
        <v>128.80000000000001</v>
      </c>
      <c r="T165" s="19">
        <f t="shared" ca="1" si="43"/>
        <v>0</v>
      </c>
      <c r="U165" s="16">
        <v>1</v>
      </c>
      <c r="V165" s="12" t="str">
        <f>IFERROR(VLOOKUP(Tabela1[[#This Row],[COD.MDE]],'LISTA DE EMBARQUE'!B:L,11,0),"")</f>
        <v/>
      </c>
      <c r="W165" s="13" t="str">
        <f ca="1">IFERROR(VLOOKUP(Tabela1[[#This Row],[COD.MDE]],'LISTA DE EMBARQUE'!B:M,12,0),"")</f>
        <v/>
      </c>
      <c r="X165" s="14">
        <f ca="1">IFERROR(Tabela1[[#This Row],[QIANTIDADE EXPEDIDA]]*Tabela1[[#This Row],[PESO UNI]],"")</f>
        <v>128.80000000000001</v>
      </c>
      <c r="Y165" s="14">
        <f t="shared" ca="1" si="44"/>
        <v>0</v>
      </c>
      <c r="Z165" s="20">
        <f ca="1"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 ca="1">Tabela1[[#This Row],[Coluna1]]&amp;Tabela1[[#This Row],[PEDIDO]]</f>
        <v>P-188</v>
      </c>
      <c r="AL165"/>
      <c r="AM165"/>
      <c r="AN165"/>
      <c r="AO165" t="str">
        <f t="shared" ca="1" si="40"/>
        <v>T-072974-1/1073-TC-007</v>
      </c>
      <c r="AP165" t="str">
        <f ca="1">Tabela1[[#This Row],[TAG]]&amp;Tabela1[[#This Row],[PEDIDO]]&amp;Tabela1[[#This Row],[PRODUTO]]</f>
        <v>1073-TC-007P-188RMF</v>
      </c>
      <c r="AQ165" s="22" t="str">
        <f ca="1">Tabela1[[#This Row],[PRODUTO]]&amp;Tabela1[[#This Row],[TAG]]</f>
        <v>RMF1073-TC-007</v>
      </c>
      <c r="AR165" s="24" t="str">
        <f ca="1">Tabela1[[#This Row],[PEDIDO]]&amp;Tabela1[[#This Row],[PRODUTO]]</f>
        <v>P-188RMF</v>
      </c>
      <c r="AS165" s="37">
        <f ca="1">IF(AF165="",0,IF(ISTEXT(AF165),H165*VALUE(SUBSTITUTE(AF165,"%",""))/100,H165*AF165))-Tabela1[[#This Row],[PRONTO ACABADO2]]</f>
        <v>0</v>
      </c>
      <c r="AT165" s="37">
        <f ca="1">IF(AG165="",0,IF(ISTEXT(AG165),H165*VALUE(SUBSTITUTE(AG165,"%",""))/100,H165*AG165))-Tabela1[[#This Row],[PESO EXPEDIDO2]]</f>
        <v>0</v>
      </c>
      <c r="AU165" s="37">
        <f t="shared" ca="1" si="46"/>
        <v>128.80000000000001</v>
      </c>
      <c r="AV165" s="37">
        <f t="shared" ca="1" si="47"/>
        <v>128.80000000000001</v>
      </c>
      <c r="AW165" s="37"/>
    </row>
    <row r="166" spans="1:49" ht="15.75" hidden="1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 ca="1"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 ca="1">Tabela1[[#This Row],[QTDE/ Fabricação]]-Tabela1[[#This Row],[QTE]]</f>
        <v>-24</v>
      </c>
      <c r="R166" s="18">
        <f t="shared" ca="1" si="41"/>
        <v>19.200000000000003</v>
      </c>
      <c r="S166" s="18">
        <f t="shared" ca="1" si="42"/>
        <v>19.200000000000003</v>
      </c>
      <c r="T166" s="19">
        <f t="shared" ca="1" si="43"/>
        <v>0</v>
      </c>
      <c r="U166" s="16">
        <v>24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 ca="1">IFERROR(Tabela1[[#This Row],[QIANTIDADE EXPEDIDA]]*Tabela1[[#This Row],[PESO UNI]],"")</f>
        <v>19.200000000000003</v>
      </c>
      <c r="Y166" s="14">
        <f t="shared" ca="1" si="44"/>
        <v>0</v>
      </c>
      <c r="Z166" s="20">
        <f ca="1">Tabela1[[#This Row],[PESO TOTAL]]-Tabela1[[#This Row],[Peso Expedido]]</f>
        <v>0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 ca="1">Tabela1[[#This Row],[Coluna1]]&amp;Tabela1[[#This Row],[PEDIDO]]</f>
        <v>P-188</v>
      </c>
      <c r="AL166"/>
      <c r="AM166"/>
      <c r="AN166"/>
      <c r="AO166" t="str">
        <f t="shared" ca="1" si="40"/>
        <v>T-072974-1/1073-TC-007</v>
      </c>
      <c r="AP166" t="str">
        <f ca="1">Tabela1[[#This Row],[TAG]]&amp;Tabela1[[#This Row],[PEDIDO]]&amp;Tabela1[[#This Row],[PRODUTO]]</f>
        <v>1073-TC-007P-188RMF</v>
      </c>
      <c r="AQ166" s="22" t="str">
        <f ca="1">Tabela1[[#This Row],[PRODUTO]]&amp;Tabela1[[#This Row],[TAG]]</f>
        <v>RMF1073-TC-007</v>
      </c>
      <c r="AR166" s="24" t="str">
        <f ca="1">Tabela1[[#This Row],[PEDIDO]]&amp;Tabela1[[#This Row],[PRODUTO]]</f>
        <v>P-188RMF</v>
      </c>
      <c r="AS166" s="37">
        <f ca="1">IF(AF166="",0,IF(ISTEXT(AF166),H166*VALUE(SUBSTITUTE(AF166,"%",""))/100,H166*AF166))-Tabela1[[#This Row],[PRONTO ACABADO2]]</f>
        <v>0</v>
      </c>
      <c r="AT166" s="37">
        <f ca="1">IF(AG166="",0,IF(ISTEXT(AG166),H166*VALUE(SUBSTITUTE(AG166,"%",""))/100,H166*AG166))-Tabela1[[#This Row],[PESO EXPEDIDO2]]</f>
        <v>0</v>
      </c>
      <c r="AU166" s="37">
        <f t="shared" ca="1" si="46"/>
        <v>19.200000000000003</v>
      </c>
      <c r="AV166" s="37">
        <f t="shared" ca="1" si="47"/>
        <v>19.200000000000003</v>
      </c>
      <c r="AW166" s="37"/>
    </row>
    <row r="167" spans="1:49" ht="15.75" hidden="1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 ca="1"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 ca="1">Tabela1[[#This Row],[QTDE/ Fabricação]]-Tabela1[[#This Row],[QTE]]</f>
        <v>-1</v>
      </c>
      <c r="R167" s="18">
        <f t="shared" ca="1" si="41"/>
        <v>1137.2</v>
      </c>
      <c r="S167" s="18">
        <f t="shared" ca="1" si="42"/>
        <v>1137.2</v>
      </c>
      <c r="T167" s="19">
        <f t="shared" ca="1" si="43"/>
        <v>0</v>
      </c>
      <c r="U167" s="205">
        <v>1</v>
      </c>
      <c r="V167" s="12">
        <f>IFERROR(VLOOKUP(Tabela1[[#This Row],[COD.MDE]],'LISTA DE EMBARQUE'!B:L,11,0),"")</f>
        <v>2</v>
      </c>
      <c r="W167" s="13"/>
      <c r="X167" s="14">
        <f ca="1">IFERROR(Tabela1[[#This Row],[QIANTIDADE EXPEDIDA]]*Tabela1[[#This Row],[PESO UNI]],"")</f>
        <v>1137.2</v>
      </c>
      <c r="Y167" s="14">
        <f t="shared" ca="1" si="44"/>
        <v>0</v>
      </c>
      <c r="Z167" s="20">
        <f ca="1"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ca="1" si="45"/>
        <v>ok</v>
      </c>
      <c r="AJ167" s="5"/>
      <c r="AK167" t="str">
        <f ca="1">Tabela1[[#This Row],[Coluna1]]&amp;Tabela1[[#This Row],[PEDIDO]]</f>
        <v>P-188</v>
      </c>
      <c r="AL167"/>
      <c r="AM167"/>
      <c r="AN167"/>
      <c r="AO167" t="str">
        <f t="shared" ca="1" si="40"/>
        <v>T-072953-1/1073-TC-006</v>
      </c>
      <c r="AP167" t="str">
        <f ca="1">Tabela1[[#This Row],[TAG]]&amp;Tabela1[[#This Row],[PEDIDO]]&amp;Tabela1[[#This Row],[PRODUTO]]</f>
        <v>1073-TC-006P-188RMF</v>
      </c>
      <c r="AQ167" s="22" t="str">
        <f ca="1">Tabela1[[#This Row],[PRODUTO]]&amp;Tabela1[[#This Row],[TAG]]</f>
        <v>RMF1073-TC-006</v>
      </c>
      <c r="AR167" s="24" t="str">
        <f ca="1">Tabela1[[#This Row],[PEDIDO]]&amp;Tabela1[[#This Row],[PRODUTO]]</f>
        <v>P-188RMF</v>
      </c>
      <c r="AS167" s="37">
        <f ca="1">IF(AF167="",0,IF(ISTEXT(AF167),H167*VALUE(SUBSTITUTE(AF167,"%",""))/100,H167*AF167))-Tabela1[[#This Row],[PRONTO ACABADO2]]</f>
        <v>0</v>
      </c>
      <c r="AT167" s="37">
        <f ca="1">IF(AG167="",0,IF(ISTEXT(AG167),H167*VALUE(SUBSTITUTE(AG167,"%",""))/100,H167*AG167))-Tabela1[[#This Row],[PESO EXPEDIDO2]]</f>
        <v>0</v>
      </c>
      <c r="AU167" s="37">
        <f t="shared" ca="1" si="46"/>
        <v>1137.2</v>
      </c>
      <c r="AV167" s="37">
        <f t="shared" ca="1" si="47"/>
        <v>1137.2</v>
      </c>
      <c r="AW167" s="37"/>
    </row>
    <row r="168" spans="1:49" ht="15.75" hidden="1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 ca="1"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 ca="1">Tabela1[[#This Row],[QTDE/ Fabricação]]-Tabela1[[#This Row],[QTE]]</f>
        <v>-1</v>
      </c>
      <c r="R168" s="18">
        <f t="shared" ca="1" si="41"/>
        <v>142.19999999999999</v>
      </c>
      <c r="S168" s="18">
        <f t="shared" ca="1" si="42"/>
        <v>142.19999999999999</v>
      </c>
      <c r="T168" s="19">
        <f t="shared" ca="1" si="43"/>
        <v>0</v>
      </c>
      <c r="U168" s="205">
        <v>1</v>
      </c>
      <c r="V168" s="12">
        <v>13</v>
      </c>
      <c r="W168" s="13"/>
      <c r="X168" s="14">
        <f ca="1">IFERROR(Tabela1[[#This Row],[QIANTIDADE EXPEDIDA]]*Tabela1[[#This Row],[PESO UNI]],"")</f>
        <v>142.19999999999999</v>
      </c>
      <c r="Y168" s="14">
        <f t="shared" ca="1" si="44"/>
        <v>0</v>
      </c>
      <c r="Z168" s="20">
        <f ca="1"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ca="1" si="45"/>
        <v>ok</v>
      </c>
      <c r="AJ168" s="5"/>
      <c r="AK168" t="str">
        <f ca="1">Tabela1[[#This Row],[Coluna1]]&amp;Tabela1[[#This Row],[PEDIDO]]</f>
        <v>P-188</v>
      </c>
      <c r="AL168"/>
      <c r="AM168"/>
      <c r="AN168"/>
      <c r="AO168" t="str">
        <f t="shared" ca="1" si="40"/>
        <v>T-072953-1/1073-TC-006</v>
      </c>
      <c r="AP168" t="str">
        <f ca="1">Tabela1[[#This Row],[TAG]]&amp;Tabela1[[#This Row],[PEDIDO]]&amp;Tabela1[[#This Row],[PRODUTO]]</f>
        <v>1073-TC-006P-188RMF</v>
      </c>
      <c r="AQ168" s="22" t="str">
        <f ca="1">Tabela1[[#This Row],[PRODUTO]]&amp;Tabela1[[#This Row],[TAG]]</f>
        <v>RMF1073-TC-006</v>
      </c>
      <c r="AR168" s="24" t="str">
        <f ca="1">Tabela1[[#This Row],[PEDIDO]]&amp;Tabela1[[#This Row],[PRODUTO]]</f>
        <v>P-188RMF</v>
      </c>
      <c r="AS168" s="37">
        <f ca="1">IF(AF168="",0,IF(ISTEXT(AF168),H168*VALUE(SUBSTITUTE(AF168,"%",""))/100,H168*AF168))-Tabela1[[#This Row],[PRONTO ACABADO2]]</f>
        <v>0</v>
      </c>
      <c r="AT168" s="37">
        <f ca="1">IF(AG168="",0,IF(ISTEXT(AG168),H168*VALUE(SUBSTITUTE(AG168,"%",""))/100,H168*AG168))-Tabela1[[#This Row],[PESO EXPEDIDO2]]</f>
        <v>0</v>
      </c>
      <c r="AU168" s="37">
        <f t="shared" ca="1" si="46"/>
        <v>142.19999999999999</v>
      </c>
      <c r="AV168" s="37">
        <f t="shared" ca="1" si="47"/>
        <v>142.19999999999999</v>
      </c>
      <c r="AW168" s="37"/>
    </row>
    <row r="169" spans="1:49" ht="15.75" hidden="1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 ca="1"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 ca="1">Tabela1[[#This Row],[QTDE/ Fabricação]]-Tabela1[[#This Row],[QTE]]</f>
        <v>-1</v>
      </c>
      <c r="R169" s="18">
        <f t="shared" ca="1" si="41"/>
        <v>295.39999999999998</v>
      </c>
      <c r="S169" s="18">
        <f t="shared" ca="1" si="42"/>
        <v>295.39999999999998</v>
      </c>
      <c r="T169" s="19">
        <f t="shared" ca="1" si="43"/>
        <v>0</v>
      </c>
      <c r="U169" s="205">
        <v>1</v>
      </c>
      <c r="V169" s="12">
        <v>13</v>
      </c>
      <c r="W169" s="13"/>
      <c r="X169" s="14">
        <f ca="1">IFERROR(Tabela1[[#This Row],[QIANTIDADE EXPEDIDA]]*Tabela1[[#This Row],[PESO UNI]],"")</f>
        <v>295.39999999999998</v>
      </c>
      <c r="Y169" s="14">
        <f t="shared" ca="1" si="44"/>
        <v>0</v>
      </c>
      <c r="Z169" s="20">
        <f ca="1"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ca="1" si="45"/>
        <v>ok</v>
      </c>
      <c r="AJ169" s="5"/>
      <c r="AK169" t="str">
        <f ca="1">Tabela1[[#This Row],[Coluna1]]&amp;Tabela1[[#This Row],[PEDIDO]]</f>
        <v>P-188</v>
      </c>
      <c r="AL169"/>
      <c r="AM169"/>
      <c r="AN169"/>
      <c r="AO169" t="str">
        <f t="shared" ca="1" si="40"/>
        <v>T-072953-1/1073-TC-006</v>
      </c>
      <c r="AP169" t="str">
        <f ca="1">Tabela1[[#This Row],[TAG]]&amp;Tabela1[[#This Row],[PEDIDO]]&amp;Tabela1[[#This Row],[PRODUTO]]</f>
        <v>1073-TC-006P-188RMF</v>
      </c>
      <c r="AQ169" s="22" t="str">
        <f ca="1">Tabela1[[#This Row],[PRODUTO]]&amp;Tabela1[[#This Row],[TAG]]</f>
        <v>RMF1073-TC-006</v>
      </c>
      <c r="AR169" s="24" t="str">
        <f ca="1">Tabela1[[#This Row],[PEDIDO]]&amp;Tabela1[[#This Row],[PRODUTO]]</f>
        <v>P-188RMF</v>
      </c>
      <c r="AS169" s="37">
        <f ca="1">IF(AF169="",0,IF(ISTEXT(AF169),H169*VALUE(SUBSTITUTE(AF169,"%",""))/100,H169*AF169))-Tabela1[[#This Row],[PRONTO ACABADO2]]</f>
        <v>0</v>
      </c>
      <c r="AT169" s="37">
        <f ca="1">IF(AG169="",0,IF(ISTEXT(AG169),H169*VALUE(SUBSTITUTE(AG169,"%",""))/100,H169*AG169))-Tabela1[[#This Row],[PESO EXPEDIDO2]]</f>
        <v>0</v>
      </c>
      <c r="AU169" s="37">
        <f t="shared" ca="1" si="46"/>
        <v>295.39999999999998</v>
      </c>
      <c r="AV169" s="37">
        <f t="shared" ca="1" si="47"/>
        <v>295.39999999999998</v>
      </c>
      <c r="AW169" s="37"/>
    </row>
    <row r="170" spans="1:49" ht="15.75" hidden="1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 ca="1"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 ca="1">Tabela1[[#This Row],[QTDE/ Fabricação]]-Tabela1[[#This Row],[QTE]]</f>
        <v>-1</v>
      </c>
      <c r="R170" s="18">
        <f t="shared" ca="1" si="41"/>
        <v>1137.2</v>
      </c>
      <c r="S170" s="18">
        <f t="shared" ca="1" si="42"/>
        <v>1137.2</v>
      </c>
      <c r="T170" s="19">
        <f t="shared" ca="1" si="43"/>
        <v>0</v>
      </c>
      <c r="U170" s="205">
        <v>1</v>
      </c>
      <c r="V170" s="12">
        <v>13</v>
      </c>
      <c r="W170" s="13"/>
      <c r="X170" s="14">
        <f ca="1">IFERROR(Tabela1[[#This Row],[QIANTIDADE EXPEDIDA]]*Tabela1[[#This Row],[PESO UNI]],"")</f>
        <v>1137.2</v>
      </c>
      <c r="Y170" s="14">
        <f t="shared" ca="1" si="44"/>
        <v>0</v>
      </c>
      <c r="Z170" s="20">
        <f ca="1"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ca="1" si="45"/>
        <v>ok</v>
      </c>
      <c r="AJ170" s="5"/>
      <c r="AK170" t="str">
        <f ca="1">Tabela1[[#This Row],[Coluna1]]&amp;Tabela1[[#This Row],[PEDIDO]]</f>
        <v>P-188</v>
      </c>
      <c r="AL170"/>
      <c r="AM170"/>
      <c r="AN170"/>
      <c r="AO170" t="str">
        <f t="shared" ca="1" si="40"/>
        <v>T-072953-1/1073-TC-007</v>
      </c>
      <c r="AP170" t="str">
        <f ca="1">Tabela1[[#This Row],[TAG]]&amp;Tabela1[[#This Row],[PEDIDO]]&amp;Tabela1[[#This Row],[PRODUTO]]</f>
        <v>1073-TC-007P-188RMF</v>
      </c>
      <c r="AQ170" s="22" t="str">
        <f ca="1">Tabela1[[#This Row],[PRODUTO]]&amp;Tabela1[[#This Row],[TAG]]</f>
        <v>RMF1073-TC-007</v>
      </c>
      <c r="AR170" s="24" t="str">
        <f ca="1">Tabela1[[#This Row],[PEDIDO]]&amp;Tabela1[[#This Row],[PRODUTO]]</f>
        <v>P-188RMF</v>
      </c>
      <c r="AS170" s="37">
        <f ca="1">IF(AF170="",0,IF(ISTEXT(AF170),H170*VALUE(SUBSTITUTE(AF170,"%",""))/100,H170*AF170))-Tabela1[[#This Row],[PRONTO ACABADO2]]</f>
        <v>0</v>
      </c>
      <c r="AT170" s="37">
        <f ca="1">IF(AG170="",0,IF(ISTEXT(AG170),H170*VALUE(SUBSTITUTE(AG170,"%",""))/100,H170*AG170))-Tabela1[[#This Row],[PESO EXPEDIDO2]]</f>
        <v>0</v>
      </c>
      <c r="AU170" s="37">
        <f t="shared" ca="1" si="46"/>
        <v>1137.2</v>
      </c>
      <c r="AV170" s="37">
        <f t="shared" ca="1" si="47"/>
        <v>1137.2</v>
      </c>
      <c r="AW170" s="37"/>
    </row>
    <row r="171" spans="1:49" ht="15.75" hidden="1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 ca="1"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 ca="1">Tabela1[[#This Row],[QTDE/ Fabricação]]-Tabela1[[#This Row],[QTE]]</f>
        <v>-1</v>
      </c>
      <c r="R171" s="18">
        <f t="shared" ca="1" si="41"/>
        <v>142.19999999999999</v>
      </c>
      <c r="S171" s="18">
        <f t="shared" ca="1" si="42"/>
        <v>142.19999999999999</v>
      </c>
      <c r="T171" s="19">
        <f t="shared" ca="1" si="43"/>
        <v>0</v>
      </c>
      <c r="U171" s="205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 ca="1">IFERROR(Tabela1[[#This Row],[QIANTIDADE EXPEDIDA]]*Tabela1[[#This Row],[PESO UNI]],"")</f>
        <v>142.19999999999999</v>
      </c>
      <c r="Y171" s="14">
        <f t="shared" ca="1" si="44"/>
        <v>0</v>
      </c>
      <c r="Z171" s="20">
        <f ca="1"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ca="1" si="45"/>
        <v>ok</v>
      </c>
      <c r="AJ171" s="5"/>
      <c r="AK171" t="str">
        <f ca="1">Tabela1[[#This Row],[Coluna1]]&amp;Tabela1[[#This Row],[PEDIDO]]</f>
        <v>P-188</v>
      </c>
      <c r="AL171"/>
      <c r="AM171"/>
      <c r="AN171"/>
      <c r="AO171" t="str">
        <f t="shared" ca="1" si="40"/>
        <v>T-072953-1/1073-TC-007</v>
      </c>
      <c r="AP171" t="str">
        <f ca="1">Tabela1[[#This Row],[TAG]]&amp;Tabela1[[#This Row],[PEDIDO]]&amp;Tabela1[[#This Row],[PRODUTO]]</f>
        <v>1073-TC-007P-188RMF</v>
      </c>
      <c r="AQ171" s="22" t="str">
        <f ca="1">Tabela1[[#This Row],[PRODUTO]]&amp;Tabela1[[#This Row],[TAG]]</f>
        <v>RMF1073-TC-007</v>
      </c>
      <c r="AR171" s="24" t="str">
        <f ca="1">Tabela1[[#This Row],[PEDIDO]]&amp;Tabela1[[#This Row],[PRODUTO]]</f>
        <v>P-188RMF</v>
      </c>
      <c r="AS171" s="37">
        <f ca="1">IF(AF171="",0,IF(ISTEXT(AF171),H171*VALUE(SUBSTITUTE(AF171,"%",""))/100,H171*AF171))-Tabela1[[#This Row],[PRONTO ACABADO2]]</f>
        <v>0</v>
      </c>
      <c r="AT171" s="37">
        <f ca="1">IF(AG171="",0,IF(ISTEXT(AG171),H171*VALUE(SUBSTITUTE(AG171,"%",""))/100,H171*AG171))-Tabela1[[#This Row],[PESO EXPEDIDO2]]</f>
        <v>0</v>
      </c>
      <c r="AU171" s="37">
        <f t="shared" ca="1" si="46"/>
        <v>142.19999999999999</v>
      </c>
      <c r="AV171" s="37">
        <f t="shared" ca="1" si="47"/>
        <v>142.19999999999999</v>
      </c>
      <c r="AW171" s="37"/>
    </row>
    <row r="172" spans="1:49" ht="15.75" hidden="1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 ca="1"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 ca="1">Tabela1[[#This Row],[QTDE/ Fabricação]]-Tabela1[[#This Row],[QTE]]</f>
        <v>-1</v>
      </c>
      <c r="R172" s="18">
        <f t="shared" ca="1" si="41"/>
        <v>295.39999999999998</v>
      </c>
      <c r="S172" s="18">
        <f t="shared" ca="1" si="42"/>
        <v>295.39999999999998</v>
      </c>
      <c r="T172" s="19">
        <f t="shared" ca="1" si="43"/>
        <v>0</v>
      </c>
      <c r="U172" s="205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 ca="1">IFERROR(Tabela1[[#This Row],[QIANTIDADE EXPEDIDA]]*Tabela1[[#This Row],[PESO UNI]],"")</f>
        <v>295.39999999999998</v>
      </c>
      <c r="Y172" s="14">
        <f t="shared" ca="1" si="44"/>
        <v>0</v>
      </c>
      <c r="Z172" s="20">
        <f ca="1"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ca="1" si="45"/>
        <v>ok</v>
      </c>
      <c r="AJ172" s="5"/>
      <c r="AK172" t="str">
        <f ca="1">Tabela1[[#This Row],[Coluna1]]&amp;Tabela1[[#This Row],[PEDIDO]]</f>
        <v>P-188</v>
      </c>
      <c r="AL172"/>
      <c r="AM172"/>
      <c r="AN172"/>
      <c r="AO172" t="str">
        <f t="shared" ca="1" si="40"/>
        <v>T-072953-1/1073-TC-007</v>
      </c>
      <c r="AP172" t="str">
        <f ca="1">Tabela1[[#This Row],[TAG]]&amp;Tabela1[[#This Row],[PEDIDO]]&amp;Tabela1[[#This Row],[PRODUTO]]</f>
        <v>1073-TC-007P-188RMF</v>
      </c>
      <c r="AQ172" s="22" t="str">
        <f ca="1">Tabela1[[#This Row],[PRODUTO]]&amp;Tabela1[[#This Row],[TAG]]</f>
        <v>RMF1073-TC-007</v>
      </c>
      <c r="AR172" s="24" t="str">
        <f ca="1">Tabela1[[#This Row],[PEDIDO]]&amp;Tabela1[[#This Row],[PRODUTO]]</f>
        <v>P-188RMF</v>
      </c>
      <c r="AS172" s="37">
        <f ca="1">IF(AF172="",0,IF(ISTEXT(AF172),H172*VALUE(SUBSTITUTE(AF172,"%",""))/100,H172*AF172))-Tabela1[[#This Row],[PRONTO ACABADO2]]</f>
        <v>0</v>
      </c>
      <c r="AT172" s="37">
        <f ca="1">IF(AG172="",0,IF(ISTEXT(AG172),H172*VALUE(SUBSTITUTE(AG172,"%",""))/100,H172*AG172))-Tabela1[[#This Row],[PESO EXPEDIDO2]]</f>
        <v>0</v>
      </c>
      <c r="AU172" s="37">
        <f t="shared" ca="1" si="46"/>
        <v>295.39999999999998</v>
      </c>
      <c r="AV172" s="37">
        <f t="shared" ca="1" si="47"/>
        <v>295.39999999999998</v>
      </c>
      <c r="AW172" s="37"/>
    </row>
    <row r="173" spans="1:49" ht="15.75" hidden="1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 ca="1"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 ca="1">Tabela1[[#This Row],[QTDE/ Fabricação]]-Tabela1[[#This Row],[QTE]]</f>
        <v>-1</v>
      </c>
      <c r="R173" s="18">
        <f t="shared" ca="1" si="41"/>
        <v>950.5</v>
      </c>
      <c r="S173" s="18">
        <f t="shared" ca="1" si="42"/>
        <v>950.5</v>
      </c>
      <c r="T173" s="19">
        <f t="shared" ca="1" si="43"/>
        <v>0</v>
      </c>
      <c r="U173" s="205">
        <v>1</v>
      </c>
      <c r="V173" s="12" t="str">
        <f ca="1">IFERROR(VLOOKUP(Tabela1[[#This Row],[COD.MDE]],'LISTA DE EMBARQUE'!B:L,11,0),"")</f>
        <v/>
      </c>
      <c r="W173" s="13"/>
      <c r="X173" s="14">
        <f ca="1">IFERROR(Tabela1[[#This Row],[QIANTIDADE EXPEDIDA]]*Tabela1[[#This Row],[PESO UNI]],"")</f>
        <v>950.5</v>
      </c>
      <c r="Y173" s="14">
        <f t="shared" ca="1" si="44"/>
        <v>0</v>
      </c>
      <c r="Z173" s="20">
        <f ca="1"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ca="1" si="45"/>
        <v>ok</v>
      </c>
      <c r="AJ173" s="5"/>
      <c r="AK173" t="str">
        <f ca="1">Tabela1[[#This Row],[Coluna1]]&amp;Tabela1[[#This Row],[PEDIDO]]</f>
        <v>P-188</v>
      </c>
      <c r="AL173"/>
      <c r="AM173"/>
      <c r="AN173"/>
      <c r="AO173" t="str">
        <f t="shared" ca="1" si="40"/>
        <v>T-072975-1/1073-TC-006</v>
      </c>
      <c r="AP173" t="str">
        <f ca="1">Tabela1[[#This Row],[TAG]]&amp;Tabela1[[#This Row],[PEDIDO]]&amp;Tabela1[[#This Row],[PRODUTO]]</f>
        <v>1073-TC-006P-188RMF</v>
      </c>
      <c r="AQ173" s="22" t="str">
        <f ca="1">Tabela1[[#This Row],[PRODUTO]]&amp;Tabela1[[#This Row],[TAG]]</f>
        <v>RMF1073-TC-006</v>
      </c>
      <c r="AR173" s="24" t="str">
        <f ca="1">Tabela1[[#This Row],[PEDIDO]]&amp;Tabela1[[#This Row],[PRODUTO]]</f>
        <v>P-188RMF</v>
      </c>
      <c r="AS173" s="37">
        <f ca="1">IF(AF173="",0,IF(ISTEXT(AF173),H173*VALUE(SUBSTITUTE(AF173,"%",""))/100,H173*AF173))-Tabela1[[#This Row],[PRONTO ACABADO2]]</f>
        <v>0</v>
      </c>
      <c r="AT173" s="37">
        <f ca="1">IF(AG173="",0,IF(ISTEXT(AG173),H173*VALUE(SUBSTITUTE(AG173,"%",""))/100,H173*AG173))-Tabela1[[#This Row],[PESO EXPEDIDO2]]</f>
        <v>0</v>
      </c>
      <c r="AU173" s="37">
        <f t="shared" ca="1" si="46"/>
        <v>950.5</v>
      </c>
      <c r="AV173" s="37">
        <f t="shared" ca="1" si="47"/>
        <v>950.5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 ca="1"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 ca="1">Tabela1[[#This Row],[QTDE/ Fabricação]]-Tabela1[[#This Row],[QTE]]</f>
        <v>-1</v>
      </c>
      <c r="R174" s="18">
        <f t="shared" ca="1" si="41"/>
        <v>950.5</v>
      </c>
      <c r="S174" s="18">
        <f t="shared" ca="1" si="42"/>
        <v>950.5</v>
      </c>
      <c r="T174" s="19">
        <f t="shared" ca="1" si="43"/>
        <v>0</v>
      </c>
      <c r="U174" s="205">
        <v>1</v>
      </c>
      <c r="V174" s="12" t="str">
        <f>IFERROR(VLOOKUP(Tabela1[[#This Row],[COD.MDE]],'LISTA DE EMBARQUE'!B:L,11,0),"")</f>
        <v/>
      </c>
      <c r="W174" s="13"/>
      <c r="X174" s="14">
        <f ca="1">IFERROR(Tabela1[[#This Row],[QIANTIDADE EXPEDIDA]]*Tabela1[[#This Row],[PESO UNI]],"")</f>
        <v>950.5</v>
      </c>
      <c r="Y174" s="14">
        <f t="shared" ca="1" si="44"/>
        <v>0</v>
      </c>
      <c r="Z174" s="20">
        <f ca="1"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ca="1" si="45"/>
        <v>ok</v>
      </c>
      <c r="AJ174" s="5"/>
      <c r="AK174" t="str">
        <f ca="1">Tabela1[[#This Row],[Coluna1]]&amp;Tabela1[[#This Row],[PEDIDO]]</f>
        <v>P-188</v>
      </c>
      <c r="AL174"/>
      <c r="AM174"/>
      <c r="AN174"/>
      <c r="AO174" t="str">
        <f t="shared" ca="1" si="40"/>
        <v>T-072975-1/1073-TC-007</v>
      </c>
      <c r="AP174" t="str">
        <f ca="1">Tabela1[[#This Row],[TAG]]&amp;Tabela1[[#This Row],[PEDIDO]]&amp;Tabela1[[#This Row],[PRODUTO]]</f>
        <v>1073-TC-007P-188RMF</v>
      </c>
      <c r="AQ174" s="22" t="str">
        <f ca="1">Tabela1[[#This Row],[PRODUTO]]&amp;Tabela1[[#This Row],[TAG]]</f>
        <v>RMF1073-TC-007</v>
      </c>
      <c r="AR174" s="24" t="str">
        <f ca="1">Tabela1[[#This Row],[PEDIDO]]&amp;Tabela1[[#This Row],[PRODUTO]]</f>
        <v>P-188RMF</v>
      </c>
      <c r="AS174" s="37">
        <f ca="1">IF(AF174="",0,IF(ISTEXT(AF174),H174*VALUE(SUBSTITUTE(AF174,"%",""))/100,H174*AF174))-Tabela1[[#This Row],[PRONTO ACABADO2]]</f>
        <v>0</v>
      </c>
      <c r="AT174" s="37">
        <f ca="1">IF(AG174="",0,IF(ISTEXT(AG174),H174*VALUE(SUBSTITUTE(AG174,"%",""))/100,H174*AG174))-Tabela1[[#This Row],[PESO EXPEDIDO2]]</f>
        <v>0</v>
      </c>
      <c r="AU174" s="37">
        <f t="shared" ca="1" si="46"/>
        <v>950.5</v>
      </c>
      <c r="AV174" s="37">
        <f t="shared" ca="1" si="47"/>
        <v>950.5</v>
      </c>
      <c r="AW174" s="37"/>
    </row>
    <row r="175" spans="1:49" ht="15.75" hidden="1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 ca="1"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 ca="1">Tabela1[[#This Row],[QTDE/ Fabricação]]-Tabela1[[#This Row],[QTE]]</f>
        <v>-1</v>
      </c>
      <c r="R175" s="18">
        <f t="shared" ca="1" si="41"/>
        <v>675.7</v>
      </c>
      <c r="S175" s="18">
        <f t="shared" ca="1" si="42"/>
        <v>675.7</v>
      </c>
      <c r="T175" s="19">
        <f t="shared" ca="1" si="43"/>
        <v>0</v>
      </c>
      <c r="U175" s="205">
        <v>1</v>
      </c>
      <c r="V175" s="12" t="str">
        <f>IFERROR(VLOOKUP(Tabela1[[#This Row],[COD.MDE]],'LISTA DE EMBARQUE'!B:L,11,0),"")</f>
        <v/>
      </c>
      <c r="W175" s="13"/>
      <c r="X175" s="14">
        <f ca="1">IFERROR(Tabela1[[#This Row],[QIANTIDADE EXPEDIDA]]*Tabela1[[#This Row],[PESO UNI]],"")</f>
        <v>675.7</v>
      </c>
      <c r="Y175" s="14">
        <f t="shared" ca="1" si="44"/>
        <v>0</v>
      </c>
      <c r="Z175" s="20">
        <f ca="1"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ca="1" si="45"/>
        <v>ok</v>
      </c>
      <c r="AJ175" s="5"/>
      <c r="AK175" t="str">
        <f ca="1">Tabela1[[#This Row],[Coluna1]]&amp;Tabela1[[#This Row],[PEDIDO]]</f>
        <v>P-188</v>
      </c>
      <c r="AL175"/>
      <c r="AM175"/>
      <c r="AN175"/>
      <c r="AO175" t="str">
        <f t="shared" ca="1" si="40"/>
        <v>T-072976-1/1073-TC-006</v>
      </c>
      <c r="AP175" t="str">
        <f ca="1">Tabela1[[#This Row],[TAG]]&amp;Tabela1[[#This Row],[PEDIDO]]&amp;Tabela1[[#This Row],[PRODUTO]]</f>
        <v>1073-TC-006P-188RMF</v>
      </c>
      <c r="AQ175" s="22" t="str">
        <f ca="1">Tabela1[[#This Row],[PRODUTO]]&amp;Tabela1[[#This Row],[TAG]]</f>
        <v>RMF1073-TC-006</v>
      </c>
      <c r="AR175" s="24" t="str">
        <f ca="1">Tabela1[[#This Row],[PEDIDO]]&amp;Tabela1[[#This Row],[PRODUTO]]</f>
        <v>P-188RMF</v>
      </c>
      <c r="AS175" s="37">
        <f ca="1">IF(AF175="",0,IF(ISTEXT(AF175),H175*VALUE(SUBSTITUTE(AF175,"%",""))/100,H175*AF175))-Tabela1[[#This Row],[PRONTO ACABADO2]]</f>
        <v>0</v>
      </c>
      <c r="AT175" s="37">
        <f ca="1">IF(AG175="",0,IF(ISTEXT(AG175),H175*VALUE(SUBSTITUTE(AG175,"%",""))/100,H175*AG175))-Tabela1[[#This Row],[PESO EXPEDIDO2]]</f>
        <v>0</v>
      </c>
      <c r="AU175" s="37">
        <f t="shared" ca="1" si="46"/>
        <v>675.7</v>
      </c>
      <c r="AV175" s="37">
        <f t="shared" ca="1" si="47"/>
        <v>675.7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 ca="1"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 ca="1">Tabela1[[#This Row],[QTDE/ Fabricação]]-Tabela1[[#This Row],[QTE]]</f>
        <v>-1</v>
      </c>
      <c r="R176" s="18">
        <f t="shared" ca="1" si="41"/>
        <v>675.7</v>
      </c>
      <c r="S176" s="18">
        <f t="shared" ca="1" si="42"/>
        <v>675.7</v>
      </c>
      <c r="T176" s="19">
        <f t="shared" ca="1" si="43"/>
        <v>0</v>
      </c>
      <c r="U176" s="205">
        <v>1</v>
      </c>
      <c r="V176" s="12" t="str">
        <f>IFERROR(VLOOKUP(Tabela1[[#This Row],[COD.MDE]],'LISTA DE EMBARQUE'!B:L,11,0),"")</f>
        <v/>
      </c>
      <c r="W176" s="13"/>
      <c r="X176" s="14">
        <f ca="1">IFERROR(Tabela1[[#This Row],[QIANTIDADE EXPEDIDA]]*Tabela1[[#This Row],[PESO UNI]],"")</f>
        <v>675.7</v>
      </c>
      <c r="Y176" s="14">
        <f t="shared" ca="1" si="44"/>
        <v>0</v>
      </c>
      <c r="Z176" s="20">
        <f ca="1"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ca="1" si="45"/>
        <v>ok</v>
      </c>
      <c r="AJ176" s="5"/>
      <c r="AK176" t="str">
        <f ca="1">Tabela1[[#This Row],[Coluna1]]&amp;Tabela1[[#This Row],[PEDIDO]]</f>
        <v>P-188</v>
      </c>
      <c r="AL176"/>
      <c r="AM176"/>
      <c r="AN176"/>
      <c r="AO176" t="str">
        <f t="shared" ca="1" si="40"/>
        <v>T-072976-1/1073-TC-007</v>
      </c>
      <c r="AP176" t="str">
        <f ca="1">Tabela1[[#This Row],[TAG]]&amp;Tabela1[[#This Row],[PEDIDO]]&amp;Tabela1[[#This Row],[PRODUTO]]</f>
        <v>1073-TC-007P-188RMF</v>
      </c>
      <c r="AQ176" s="22" t="str">
        <f ca="1">Tabela1[[#This Row],[PRODUTO]]&amp;Tabela1[[#This Row],[TAG]]</f>
        <v>RMF1073-TC-007</v>
      </c>
      <c r="AR176" s="24" t="str">
        <f ca="1">Tabela1[[#This Row],[PEDIDO]]&amp;Tabela1[[#This Row],[PRODUTO]]</f>
        <v>P-188RMF</v>
      </c>
      <c r="AS176" s="37">
        <f ca="1">IF(AF176="",0,IF(ISTEXT(AF176),H176*VALUE(SUBSTITUTE(AF176,"%",""))/100,H176*AF176))-Tabela1[[#This Row],[PRONTO ACABADO2]]</f>
        <v>0</v>
      </c>
      <c r="AT176" s="37">
        <f ca="1">IF(AG176="",0,IF(ISTEXT(AG176),H176*VALUE(SUBSTITUTE(AG176,"%",""))/100,H176*AG176))-Tabela1[[#This Row],[PESO EXPEDIDO2]]</f>
        <v>0</v>
      </c>
      <c r="AU176" s="37">
        <f t="shared" ca="1" si="46"/>
        <v>675.7</v>
      </c>
      <c r="AV176" s="37">
        <f t="shared" ca="1" si="47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 ca="1"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 ca="1">Tabela1[[#This Row],[QTDE/ Fabricação]]-Tabela1[[#This Row],[QTE]]</f>
        <v>-2</v>
      </c>
      <c r="R177" s="18">
        <f t="shared" ca="1" si="41"/>
        <v>1.04</v>
      </c>
      <c r="S177" s="18">
        <f t="shared" ca="1" si="42"/>
        <v>1.04</v>
      </c>
      <c r="T177" s="19">
        <f t="shared" ca="1" si="43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 ca="1">IFERROR(Tabela1[[#This Row],[QIANTIDADE EXPEDIDA]]*Tabela1[[#This Row],[PESO UNI]],"")</f>
        <v>1.04</v>
      </c>
      <c r="Y177" s="14">
        <f t="shared" ca="1" si="44"/>
        <v>0</v>
      </c>
      <c r="Z177" s="20">
        <f ca="1"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ca="1" si="45"/>
        <v>ok</v>
      </c>
      <c r="AJ177" s="5"/>
      <c r="AK177" t="str">
        <f ca="1">Tabela1[[#This Row],[Coluna1]]&amp;Tabela1[[#This Row],[PEDIDO]]</f>
        <v>P-188</v>
      </c>
      <c r="AL177"/>
      <c r="AM177"/>
      <c r="AN177"/>
      <c r="AO177" t="str">
        <f t="shared" ca="1" si="40"/>
        <v>T-072917-1/1073-TC-006/007</v>
      </c>
      <c r="AP177" t="str">
        <f ca="1">Tabela1[[#This Row],[TAG]]&amp;Tabela1[[#This Row],[PEDIDO]]&amp;Tabela1[[#This Row],[PRODUTO]]</f>
        <v>1073-TC-006/007P-188RMF</v>
      </c>
      <c r="AQ177" s="22" t="str">
        <f ca="1">Tabela1[[#This Row],[PRODUTO]]&amp;Tabela1[[#This Row],[TAG]]</f>
        <v>RMF1073-TC-006/007</v>
      </c>
      <c r="AR177" s="24" t="str">
        <f ca="1">Tabela1[[#This Row],[PEDIDO]]&amp;Tabela1[[#This Row],[PRODUTO]]</f>
        <v>P-188RMF</v>
      </c>
      <c r="AS177" s="37">
        <f ca="1">IF(AF177="",0,IF(ISTEXT(AF177),H177*VALUE(SUBSTITUTE(AF177,"%",""))/100,H177*AF177))-Tabela1[[#This Row],[PRONTO ACABADO2]]</f>
        <v>0</v>
      </c>
      <c r="AT177" s="37">
        <f ca="1">IF(AG177="",0,IF(ISTEXT(AG177),H177*VALUE(SUBSTITUTE(AG177,"%",""))/100,H177*AG177))-Tabela1[[#This Row],[PESO EXPEDIDO2]]</f>
        <v>0</v>
      </c>
      <c r="AU177" s="37">
        <f t="shared" ca="1" si="46"/>
        <v>1.04</v>
      </c>
      <c r="AV177" s="37">
        <f t="shared" ca="1" si="47"/>
        <v>1.04</v>
      </c>
      <c r="AW177" s="37"/>
    </row>
    <row r="178" spans="1:49" ht="15.75" hidden="1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 ca="1"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 ca="1">Tabela1[[#This Row],[QTDE/ Fabricação]]-Tabela1[[#This Row],[QTE]]</f>
        <v>-2</v>
      </c>
      <c r="R178" s="18">
        <f t="shared" ca="1" si="41"/>
        <v>1.32</v>
      </c>
      <c r="S178" s="18">
        <f t="shared" ca="1" si="42"/>
        <v>1.32</v>
      </c>
      <c r="T178" s="19">
        <f t="shared" ca="1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 ca="1">IFERROR(Tabela1[[#This Row],[QIANTIDADE EXPEDIDA]]*Tabela1[[#This Row],[PESO UNI]],"")</f>
        <v>1.32</v>
      </c>
      <c r="Y178" s="14">
        <f t="shared" ca="1" si="44"/>
        <v>0</v>
      </c>
      <c r="Z178" s="20">
        <f ca="1"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ca="1" si="45"/>
        <v>ok</v>
      </c>
      <c r="AJ178" s="5"/>
      <c r="AK178" t="str">
        <f ca="1">Tabela1[[#This Row],[Coluna1]]&amp;Tabela1[[#This Row],[PEDIDO]]</f>
        <v>P-188</v>
      </c>
      <c r="AL178"/>
      <c r="AM178"/>
      <c r="AN178"/>
      <c r="AO178" t="str">
        <f t="shared" ca="1" si="40"/>
        <v>T-072917-1/1073-TC-006/007</v>
      </c>
      <c r="AP178" t="str">
        <f ca="1">Tabela1[[#This Row],[TAG]]&amp;Tabela1[[#This Row],[PEDIDO]]&amp;Tabela1[[#This Row],[PRODUTO]]</f>
        <v>1073-TC-006/007P-188RMF</v>
      </c>
      <c r="AQ178" s="22" t="str">
        <f ca="1">Tabela1[[#This Row],[PRODUTO]]&amp;Tabela1[[#This Row],[TAG]]</f>
        <v>RMF1073-TC-006/007</v>
      </c>
      <c r="AR178" s="24" t="str">
        <f ca="1">Tabela1[[#This Row],[PEDIDO]]&amp;Tabela1[[#This Row],[PRODUTO]]</f>
        <v>P-188RMF</v>
      </c>
      <c r="AS178" s="37">
        <f ca="1">IF(AF178="",0,IF(ISTEXT(AF178),H178*VALUE(SUBSTITUTE(AF178,"%",""))/100,H178*AF178))-Tabela1[[#This Row],[PRONTO ACABADO2]]</f>
        <v>0</v>
      </c>
      <c r="AT178" s="37">
        <f ca="1">IF(AG178="",0,IF(ISTEXT(AG178),H178*VALUE(SUBSTITUTE(AG178,"%",""))/100,H178*AG178))-Tabela1[[#This Row],[PESO EXPEDIDO2]]</f>
        <v>0</v>
      </c>
      <c r="AU178" s="37">
        <f t="shared" ca="1" si="46"/>
        <v>1.32</v>
      </c>
      <c r="AV178" s="37">
        <f t="shared" ca="1" si="47"/>
        <v>1.32</v>
      </c>
      <c r="AW178" s="37"/>
    </row>
    <row r="179" spans="1:49" ht="15.75" hidden="1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 ca="1"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 ca="1">Tabela1[[#This Row],[QTDE/ Fabricação]]-Tabela1[[#This Row],[QTE]]</f>
        <v>-4</v>
      </c>
      <c r="R179" s="18">
        <f t="shared" ca="1" si="41"/>
        <v>2.04</v>
      </c>
      <c r="S179" s="18">
        <f t="shared" ca="1" si="42"/>
        <v>2.04</v>
      </c>
      <c r="T179" s="19">
        <f t="shared" ca="1" si="43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 ca="1">IFERROR(Tabela1[[#This Row],[QIANTIDADE EXPEDIDA]]*Tabela1[[#This Row],[PESO UNI]],"")</f>
        <v>2.04</v>
      </c>
      <c r="Y179" s="14">
        <f t="shared" ca="1" si="44"/>
        <v>0</v>
      </c>
      <c r="Z179" s="20">
        <f ca="1"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ca="1" si="45"/>
        <v>ok</v>
      </c>
      <c r="AJ179" s="5"/>
      <c r="AK179" t="str">
        <f ca="1">Tabela1[[#This Row],[Coluna1]]&amp;Tabela1[[#This Row],[PEDIDO]]</f>
        <v>P-188</v>
      </c>
      <c r="AL179"/>
      <c r="AM179"/>
      <c r="AN179"/>
      <c r="AO179" t="str">
        <f t="shared" ca="1" si="40"/>
        <v>T-072917-1/1073-TC-006/007</v>
      </c>
      <c r="AP179" t="str">
        <f ca="1">Tabela1[[#This Row],[TAG]]&amp;Tabela1[[#This Row],[PEDIDO]]&amp;Tabela1[[#This Row],[PRODUTO]]</f>
        <v>1073-TC-006/007P-188RMF</v>
      </c>
      <c r="AQ179" s="22" t="str">
        <f ca="1">Tabela1[[#This Row],[PRODUTO]]&amp;Tabela1[[#This Row],[TAG]]</f>
        <v>RMF1073-TC-006/007</v>
      </c>
      <c r="AR179" s="24" t="str">
        <f ca="1">Tabela1[[#This Row],[PEDIDO]]&amp;Tabela1[[#This Row],[PRODUTO]]</f>
        <v>P-188RMF</v>
      </c>
      <c r="AS179" s="37">
        <f ca="1">IF(AF179="",0,IF(ISTEXT(AF179),H179*VALUE(SUBSTITUTE(AF179,"%",""))/100,H179*AF179))-Tabela1[[#This Row],[PRONTO ACABADO2]]</f>
        <v>0</v>
      </c>
      <c r="AT179" s="37">
        <f ca="1">IF(AG179="",0,IF(ISTEXT(AG179),H179*VALUE(SUBSTITUTE(AG179,"%",""))/100,H179*AG179))-Tabela1[[#This Row],[PESO EXPEDIDO2]]</f>
        <v>0</v>
      </c>
      <c r="AU179" s="37">
        <f t="shared" ca="1" si="46"/>
        <v>2.04</v>
      </c>
      <c r="AV179" s="37">
        <f t="shared" ca="1" si="47"/>
        <v>2.04</v>
      </c>
      <c r="AW179" s="37"/>
    </row>
    <row r="180" spans="1:49" ht="15.75" hidden="1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 ca="1"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 ca="1">Tabela1[[#This Row],[QTDE/ Fabricação]]-Tabela1[[#This Row],[QTE]]</f>
        <v>-8</v>
      </c>
      <c r="R180" s="18">
        <f t="shared" ca="1" si="41"/>
        <v>0.4</v>
      </c>
      <c r="S180" s="18">
        <f t="shared" ca="1" si="42"/>
        <v>0.4</v>
      </c>
      <c r="T180" s="19">
        <f t="shared" ca="1" si="43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 ca="1">IFERROR(Tabela1[[#This Row],[QIANTIDADE EXPEDIDA]]*Tabela1[[#This Row],[PESO UNI]],"")</f>
        <v>0.4</v>
      </c>
      <c r="Y180" s="14">
        <f t="shared" ref="Y180:Y243" ca="1" si="48">U180-C180</f>
        <v>0</v>
      </c>
      <c r="Z180" s="20">
        <f ca="1"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ca="1" si="45"/>
        <v>ok</v>
      </c>
      <c r="AJ180" s="5"/>
      <c r="AK180" t="str">
        <f ca="1">Tabela1[[#This Row],[Coluna1]]&amp;Tabela1[[#This Row],[PEDIDO]]</f>
        <v>P-188</v>
      </c>
      <c r="AL180"/>
      <c r="AM180"/>
      <c r="AN180"/>
      <c r="AO180" t="str">
        <f t="shared" ca="1" si="40"/>
        <v>T-072917-1/1073-TC-006/007</v>
      </c>
      <c r="AP180" t="str">
        <f ca="1">Tabela1[[#This Row],[TAG]]&amp;Tabela1[[#This Row],[PEDIDO]]&amp;Tabela1[[#This Row],[PRODUTO]]</f>
        <v>1073-TC-006/007P-188RMF</v>
      </c>
      <c r="AQ180" s="22" t="str">
        <f ca="1">Tabela1[[#This Row],[PRODUTO]]&amp;Tabela1[[#This Row],[TAG]]</f>
        <v>RMF1073-TC-006/007</v>
      </c>
      <c r="AR180" s="24" t="str">
        <f ca="1">Tabela1[[#This Row],[PEDIDO]]&amp;Tabela1[[#This Row],[PRODUTO]]</f>
        <v>P-188RMF</v>
      </c>
      <c r="AS180" s="37">
        <f ca="1">IF(AF180="",0,IF(ISTEXT(AF180),H180*VALUE(SUBSTITUTE(AF180,"%",""))/100,H180*AF180))-Tabela1[[#This Row],[PRONTO ACABADO2]]</f>
        <v>0</v>
      </c>
      <c r="AT180" s="37">
        <f ca="1">IF(AG180="",0,IF(ISTEXT(AG180),H180*VALUE(SUBSTITUTE(AG180,"%",""))/100,H180*AG180))-Tabela1[[#This Row],[PESO EXPEDIDO2]]</f>
        <v>0</v>
      </c>
      <c r="AU180" s="37">
        <f t="shared" ca="1" si="46"/>
        <v>0.4</v>
      </c>
      <c r="AV180" s="37">
        <f t="shared" ca="1" si="47"/>
        <v>0.4</v>
      </c>
      <c r="AW180" s="37"/>
    </row>
    <row r="181" spans="1:49" ht="15.75" hidden="1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 ca="1"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 ca="1">Tabela1[[#This Row],[QTDE/ Fabricação]]-Tabela1[[#This Row],[QTE]]</f>
        <v>-8</v>
      </c>
      <c r="R181" s="18">
        <f t="shared" ca="1" si="41"/>
        <v>2.56</v>
      </c>
      <c r="S181" s="18">
        <f t="shared" ref="S181:S244" ca="1" si="49">IFERROR(H181*AG181,"")</f>
        <v>2.56</v>
      </c>
      <c r="T181" s="19">
        <f t="shared" ca="1" si="43"/>
        <v>0</v>
      </c>
      <c r="U181" s="16">
        <v>8</v>
      </c>
      <c r="V181" s="12">
        <v>13</v>
      </c>
      <c r="W181" s="13" t="str">
        <f ca="1">IFERROR(VLOOKUP(Tabela1[[#This Row],[COD.MDE]],'LISTA DE EMBARQUE'!B:M,12,0),"")</f>
        <v/>
      </c>
      <c r="X181" s="14">
        <f ca="1">IFERROR(Tabela1[[#This Row],[QIANTIDADE EXPEDIDA]]*Tabela1[[#This Row],[PESO UNI]],"")</f>
        <v>2.56</v>
      </c>
      <c r="Y181" s="14">
        <f t="shared" ca="1" si="48"/>
        <v>0</v>
      </c>
      <c r="Z181" s="20">
        <f ca="1"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ca="1" si="45"/>
        <v>ok</v>
      </c>
      <c r="AJ181" s="5"/>
      <c r="AK181" t="str">
        <f ca="1">Tabela1[[#This Row],[Coluna1]]&amp;Tabela1[[#This Row],[PEDIDO]]</f>
        <v>P-188</v>
      </c>
      <c r="AL181"/>
      <c r="AM181"/>
      <c r="AN181"/>
      <c r="AO181" t="str">
        <f t="shared" ca="1" si="40"/>
        <v>T-072918-1/1073-TC-006/007</v>
      </c>
      <c r="AP181" t="str">
        <f ca="1">Tabela1[[#This Row],[TAG]]&amp;Tabela1[[#This Row],[PEDIDO]]&amp;Tabela1[[#This Row],[PRODUTO]]</f>
        <v>1073-TC-006/007P-188RMF</v>
      </c>
      <c r="AQ181" s="22" t="str">
        <f ca="1">Tabela1[[#This Row],[PRODUTO]]&amp;Tabela1[[#This Row],[TAG]]</f>
        <v>RMF1073-TC-006/007</v>
      </c>
      <c r="AR181" s="24" t="str">
        <f ca="1">Tabela1[[#This Row],[PEDIDO]]&amp;Tabela1[[#This Row],[PRODUTO]]</f>
        <v>P-188RMF</v>
      </c>
      <c r="AS181" s="37">
        <f ca="1">IF(AF181="",0,IF(ISTEXT(AF181),H181*VALUE(SUBSTITUTE(AF181,"%",""))/100,H181*AF181))-Tabela1[[#This Row],[PRONTO ACABADO2]]</f>
        <v>0</v>
      </c>
      <c r="AT181" s="37">
        <f ca="1">IF(AG181="",0,IF(ISTEXT(AG181),H181*VALUE(SUBSTITUTE(AG181,"%",""))/100,H181*AG181))-Tabela1[[#This Row],[PESO EXPEDIDO2]]</f>
        <v>0</v>
      </c>
      <c r="AU181" s="37">
        <f t="shared" ca="1" si="46"/>
        <v>2.56</v>
      </c>
      <c r="AV181" s="37">
        <f t="shared" ca="1" si="47"/>
        <v>2.56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 ca="1"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 ca="1">Tabela1[[#This Row],[QTDE/ Fabricação]]-Tabela1[[#This Row],[QTE]]</f>
        <v>-8</v>
      </c>
      <c r="R182" s="18">
        <f t="shared" ca="1" si="41"/>
        <v>3.12</v>
      </c>
      <c r="S182" s="18">
        <f t="shared" ca="1" si="49"/>
        <v>3.12</v>
      </c>
      <c r="T182" s="19">
        <f t="shared" ca="1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 ca="1">IFERROR(Tabela1[[#This Row],[QIANTIDADE EXPEDIDA]]*Tabela1[[#This Row],[PESO UNI]],"")</f>
        <v>3.12</v>
      </c>
      <c r="Y182" s="14">
        <f t="shared" ca="1" si="48"/>
        <v>0</v>
      </c>
      <c r="Z182" s="20">
        <f ca="1"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ca="1" si="45"/>
        <v>ok</v>
      </c>
      <c r="AJ182" s="5"/>
      <c r="AK182" t="str">
        <f ca="1">Tabela1[[#This Row],[Coluna1]]&amp;Tabela1[[#This Row],[PEDIDO]]</f>
        <v>P-188</v>
      </c>
      <c r="AL182"/>
      <c r="AM182"/>
      <c r="AN182"/>
      <c r="AO182" t="str">
        <f t="shared" ca="1" si="40"/>
        <v>T-072919-1/1073-TC-006/007</v>
      </c>
      <c r="AP182" t="str">
        <f ca="1">Tabela1[[#This Row],[TAG]]&amp;Tabela1[[#This Row],[PEDIDO]]&amp;Tabela1[[#This Row],[PRODUTO]]</f>
        <v>1073-TC-006/007P-188RMF</v>
      </c>
      <c r="AQ182" s="22" t="str">
        <f ca="1">Tabela1[[#This Row],[PRODUTO]]&amp;Tabela1[[#This Row],[TAG]]</f>
        <v>RMF1073-TC-006/007</v>
      </c>
      <c r="AR182" s="24" t="str">
        <f ca="1">Tabela1[[#This Row],[PEDIDO]]&amp;Tabela1[[#This Row],[PRODUTO]]</f>
        <v>P-188RMF</v>
      </c>
      <c r="AS182" s="37">
        <f ca="1">IF(AF182="",0,IF(ISTEXT(AF182),H182*VALUE(SUBSTITUTE(AF182,"%",""))/100,H182*AF182))-Tabela1[[#This Row],[PRONTO ACABADO2]]</f>
        <v>0</v>
      </c>
      <c r="AT182" s="37">
        <f ca="1">IF(AG182="",0,IF(ISTEXT(AG182),H182*VALUE(SUBSTITUTE(AG182,"%",""))/100,H182*AG182))-Tabela1[[#This Row],[PESO EXPEDIDO2]]</f>
        <v>0</v>
      </c>
      <c r="AU182" s="37">
        <f t="shared" ca="1" si="46"/>
        <v>3.12</v>
      </c>
      <c r="AV182" s="37">
        <f t="shared" ca="1" si="47"/>
        <v>3.12</v>
      </c>
      <c r="AW182" s="37"/>
    </row>
    <row r="183" spans="1:49" ht="15.75" hidden="1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 ca="1"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 ca="1">Tabela1[[#This Row],[QTDE/ Fabricação]]-Tabela1[[#This Row],[QTE]]</f>
        <v>-2</v>
      </c>
      <c r="R183" s="18">
        <f t="shared" ca="1" si="41"/>
        <v>1.06</v>
      </c>
      <c r="S183" s="18">
        <f t="shared" ca="1" si="49"/>
        <v>1.06</v>
      </c>
      <c r="T183" s="19">
        <f t="shared" ca="1" si="43"/>
        <v>0</v>
      </c>
      <c r="U183" s="16">
        <v>2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 ca="1">IFERROR(Tabela1[[#This Row],[QIANTIDADE EXPEDIDA]]*Tabela1[[#This Row],[PESO UNI]],"")</f>
        <v>1.06</v>
      </c>
      <c r="Y183" s="14">
        <f t="shared" ca="1" si="48"/>
        <v>0</v>
      </c>
      <c r="Z183" s="20">
        <f ca="1">Tabela1[[#This Row],[PESO TOTAL]]-Tabela1[[#This Row],[Peso Expedido]]</f>
        <v>0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>
        <v>1</v>
      </c>
      <c r="AI183" s="33" t="str">
        <f t="shared" ca="1" si="45"/>
        <v>ok</v>
      </c>
      <c r="AJ183" s="5"/>
      <c r="AK183" t="str">
        <f ca="1">Tabela1[[#This Row],[Coluna1]]&amp;Tabela1[[#This Row],[PEDIDO]]</f>
        <v>P-188</v>
      </c>
      <c r="AL183"/>
      <c r="AM183"/>
      <c r="AN183"/>
      <c r="AO183" t="str">
        <f t="shared" ca="1" si="40"/>
        <v xml:space="preserve"> T-072923-1/1073-TC-006/007</v>
      </c>
      <c r="AP183" t="str">
        <f ca="1">Tabela1[[#This Row],[TAG]]&amp;Tabela1[[#This Row],[PEDIDO]]&amp;Tabela1[[#This Row],[PRODUTO]]</f>
        <v>1073-TC-006/007P-188RMF</v>
      </c>
      <c r="AQ183" s="22" t="str">
        <f ca="1">Tabela1[[#This Row],[PRODUTO]]&amp;Tabela1[[#This Row],[TAG]]</f>
        <v>RMF1073-TC-006/007</v>
      </c>
      <c r="AR183" s="24" t="str">
        <f ca="1">Tabela1[[#This Row],[PEDIDO]]&amp;Tabela1[[#This Row],[PRODUTO]]</f>
        <v>P-188RMF</v>
      </c>
      <c r="AS183" s="37">
        <f ca="1">IF(AF183="",0,IF(ISTEXT(AF183),H183*VALUE(SUBSTITUTE(AF183,"%",""))/100,H183*AF183))-Tabela1[[#This Row],[PRONTO ACABADO2]]</f>
        <v>0</v>
      </c>
      <c r="AT183" s="37">
        <f ca="1">IF(AG183="",0,IF(ISTEXT(AG183),H183*VALUE(SUBSTITUTE(AG183,"%",""))/100,H183*AG183))-Tabela1[[#This Row],[PESO EXPEDIDO2]]</f>
        <v>0</v>
      </c>
      <c r="AU183" s="37">
        <f t="shared" ca="1" si="46"/>
        <v>1.06</v>
      </c>
      <c r="AV183" s="37">
        <f t="shared" ca="1" si="47"/>
        <v>1.06</v>
      </c>
      <c r="AW183" s="37"/>
    </row>
    <row r="184" spans="1:49" ht="15.75" hidden="1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 ca="1"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 ca="1">Tabela1[[#This Row],[QTDE/ Fabricação]]-Tabela1[[#This Row],[QTE]]</f>
        <v>-2</v>
      </c>
      <c r="R184" s="18">
        <f t="shared" ca="1" si="41"/>
        <v>1.48</v>
      </c>
      <c r="S184" s="18">
        <f t="shared" ca="1" si="49"/>
        <v>1.48</v>
      </c>
      <c r="T184" s="19">
        <f t="shared" ca="1" si="43"/>
        <v>0</v>
      </c>
      <c r="U184" s="16">
        <v>2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 ca="1">IFERROR(Tabela1[[#This Row],[QIANTIDADE EXPEDIDA]]*Tabela1[[#This Row],[PESO UNI]],"")</f>
        <v>1.48</v>
      </c>
      <c r="Y184" s="14">
        <f t="shared" ca="1" si="48"/>
        <v>0</v>
      </c>
      <c r="Z184" s="20">
        <f ca="1">Tabela1[[#This Row],[PESO TOTAL]]-Tabela1[[#This Row],[Peso Expedido]]</f>
        <v>0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>
        <v>1</v>
      </c>
      <c r="AI184" s="33" t="str">
        <f t="shared" ca="1" si="45"/>
        <v>ok</v>
      </c>
      <c r="AJ184" s="5"/>
      <c r="AK184" t="str">
        <f ca="1">Tabela1[[#This Row],[Coluna1]]&amp;Tabela1[[#This Row],[PEDIDO]]</f>
        <v>P-188</v>
      </c>
      <c r="AL184"/>
      <c r="AM184"/>
      <c r="AN184"/>
      <c r="AO184" t="str">
        <f t="shared" ca="1" si="40"/>
        <v xml:space="preserve"> T-072923-1/1073-TC-006/007</v>
      </c>
      <c r="AP184" t="str">
        <f ca="1">Tabela1[[#This Row],[TAG]]&amp;Tabela1[[#This Row],[PEDIDO]]&amp;Tabela1[[#This Row],[PRODUTO]]</f>
        <v>1073-TC-006/007P-188RMF</v>
      </c>
      <c r="AQ184" s="22" t="str">
        <f ca="1">Tabela1[[#This Row],[PRODUTO]]&amp;Tabela1[[#This Row],[TAG]]</f>
        <v>RMF1073-TC-006/007</v>
      </c>
      <c r="AR184" s="24" t="str">
        <f ca="1">Tabela1[[#This Row],[PEDIDO]]&amp;Tabela1[[#This Row],[PRODUTO]]</f>
        <v>P-188RMF</v>
      </c>
      <c r="AS184" s="37">
        <f ca="1">IF(AF184="",0,IF(ISTEXT(AF184),H184*VALUE(SUBSTITUTE(AF184,"%",""))/100,H184*AF184))-Tabela1[[#This Row],[PRONTO ACABADO2]]</f>
        <v>0</v>
      </c>
      <c r="AT184" s="37">
        <f ca="1">IF(AG184="",0,IF(ISTEXT(AG184),H184*VALUE(SUBSTITUTE(AG184,"%",""))/100,H184*AG184))-Tabela1[[#This Row],[PESO EXPEDIDO2]]</f>
        <v>0</v>
      </c>
      <c r="AU184" s="37">
        <f t="shared" ca="1" si="46"/>
        <v>1.48</v>
      </c>
      <c r="AV184" s="37">
        <f t="shared" ca="1" si="47"/>
        <v>1.48</v>
      </c>
      <c r="AW184" s="37"/>
    </row>
    <row r="185" spans="1:49" ht="15.75" hidden="1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 ca="1"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 ca="1">Tabela1[[#This Row],[QTDE/ Fabricação]]-Tabela1[[#This Row],[QTE]]</f>
        <v>-2</v>
      </c>
      <c r="R185" s="18">
        <f t="shared" ca="1" si="41"/>
        <v>1.02</v>
      </c>
      <c r="S185" s="18">
        <f t="shared" ca="1" si="49"/>
        <v>1.02</v>
      </c>
      <c r="T185" s="19">
        <f t="shared" ca="1" si="43"/>
        <v>0</v>
      </c>
      <c r="U185" s="16">
        <v>2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 ca="1">IFERROR(Tabela1[[#This Row],[QIANTIDADE EXPEDIDA]]*Tabela1[[#This Row],[PESO UNI]],"")</f>
        <v>1.02</v>
      </c>
      <c r="Y185" s="14">
        <f t="shared" ca="1" si="48"/>
        <v>0</v>
      </c>
      <c r="Z185" s="20">
        <f ca="1">Tabela1[[#This Row],[PESO TOTAL]]-Tabela1[[#This Row],[Peso Expedido]]</f>
        <v>0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>
        <v>1</v>
      </c>
      <c r="AI185" s="33" t="str">
        <f t="shared" ca="1" si="45"/>
        <v>ok</v>
      </c>
      <c r="AJ185" s="5"/>
      <c r="AK185" t="str">
        <f ca="1">Tabela1[[#This Row],[Coluna1]]&amp;Tabela1[[#This Row],[PEDIDO]]</f>
        <v>P-188</v>
      </c>
      <c r="AL185"/>
      <c r="AM185"/>
      <c r="AN185"/>
      <c r="AO185" t="str">
        <f t="shared" ca="1" si="40"/>
        <v xml:space="preserve"> T-072923-1/1073-TC-006/007</v>
      </c>
      <c r="AP185" t="str">
        <f ca="1">Tabela1[[#This Row],[TAG]]&amp;Tabela1[[#This Row],[PEDIDO]]&amp;Tabela1[[#This Row],[PRODUTO]]</f>
        <v>1073-TC-006/007P-188RMF</v>
      </c>
      <c r="AQ185" s="22" t="str">
        <f ca="1">Tabela1[[#This Row],[PRODUTO]]&amp;Tabela1[[#This Row],[TAG]]</f>
        <v>RMF1073-TC-006/007</v>
      </c>
      <c r="AR185" s="24" t="str">
        <f ca="1">Tabela1[[#This Row],[PEDIDO]]&amp;Tabela1[[#This Row],[PRODUTO]]</f>
        <v>P-188RMF</v>
      </c>
      <c r="AS185" s="37">
        <f ca="1">IF(AF185="",0,IF(ISTEXT(AF185),H185*VALUE(SUBSTITUTE(AF185,"%",""))/100,H185*AF185))-Tabela1[[#This Row],[PRONTO ACABADO2]]</f>
        <v>0</v>
      </c>
      <c r="AT185" s="37">
        <f ca="1">IF(AG185="",0,IF(ISTEXT(AG185),H185*VALUE(SUBSTITUTE(AG185,"%",""))/100,H185*AG185))-Tabela1[[#This Row],[PESO EXPEDIDO2]]</f>
        <v>0</v>
      </c>
      <c r="AU185" s="37">
        <f t="shared" ca="1" si="46"/>
        <v>1.02</v>
      </c>
      <c r="AV185" s="37">
        <f t="shared" ca="1" si="47"/>
        <v>1.02</v>
      </c>
      <c r="AW185" s="37"/>
    </row>
    <row r="186" spans="1:49" ht="15.75" hidden="1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 ca="1"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 ca="1">Tabela1[[#This Row],[QTDE/ Fabricação]]-Tabela1[[#This Row],[QTE]]</f>
        <v>-6</v>
      </c>
      <c r="R186" s="18">
        <f t="shared" ca="1" si="41"/>
        <v>0.30000000000000004</v>
      </c>
      <c r="S186" s="18">
        <f t="shared" ca="1" si="49"/>
        <v>0.30000000000000004</v>
      </c>
      <c r="T186" s="19">
        <f t="shared" ca="1" si="43"/>
        <v>0</v>
      </c>
      <c r="U186" s="16">
        <v>6</v>
      </c>
      <c r="V186" s="12" t="str">
        <f ca="1"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 ca="1">IFERROR(Tabela1[[#This Row],[QIANTIDADE EXPEDIDA]]*Tabela1[[#This Row],[PESO UNI]],"")</f>
        <v>0.30000000000000004</v>
      </c>
      <c r="Y186" s="14">
        <f t="shared" ca="1" si="48"/>
        <v>0</v>
      </c>
      <c r="Z186" s="20">
        <f ca="1">Tabela1[[#This Row],[PESO TOTAL]]-Tabela1[[#This Row],[Peso Expedido]]</f>
        <v>0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>
        <v>1</v>
      </c>
      <c r="AI186" s="33" t="str">
        <f t="shared" ca="1" si="45"/>
        <v>ok</v>
      </c>
      <c r="AJ186" s="5"/>
      <c r="AK186" t="str">
        <f ca="1">Tabela1[[#This Row],[Coluna1]]&amp;Tabela1[[#This Row],[PEDIDO]]</f>
        <v>P-188</v>
      </c>
      <c r="AL186"/>
      <c r="AM186"/>
      <c r="AN186"/>
      <c r="AO186" t="str">
        <f t="shared" ca="1" si="40"/>
        <v xml:space="preserve"> T-072923-1/1073-TC-006/007</v>
      </c>
      <c r="AP186" t="str">
        <f ca="1">Tabela1[[#This Row],[TAG]]&amp;Tabela1[[#This Row],[PEDIDO]]&amp;Tabela1[[#This Row],[PRODUTO]]</f>
        <v>1073-TC-006/007P-188RMF</v>
      </c>
      <c r="AQ186" s="22" t="str">
        <f ca="1">Tabela1[[#This Row],[PRODUTO]]&amp;Tabela1[[#This Row],[TAG]]</f>
        <v>RMF1073-TC-006/007</v>
      </c>
      <c r="AR186" s="24" t="str">
        <f ca="1">Tabela1[[#This Row],[PEDIDO]]&amp;Tabela1[[#This Row],[PRODUTO]]</f>
        <v>P-188RMF</v>
      </c>
      <c r="AS186" s="37">
        <f ca="1">IF(AF186="",0,IF(ISTEXT(AF186),H186*VALUE(SUBSTITUTE(AF186,"%",""))/100,H186*AF186))-Tabela1[[#This Row],[PRONTO ACABADO2]]</f>
        <v>0</v>
      </c>
      <c r="AT186" s="37">
        <f ca="1">IF(AG186="",0,IF(ISTEXT(AG186),H186*VALUE(SUBSTITUTE(AG186,"%",""))/100,H186*AG186))-Tabela1[[#This Row],[PESO EXPEDIDO2]]</f>
        <v>0</v>
      </c>
      <c r="AU186" s="37">
        <f t="shared" ca="1" si="46"/>
        <v>0.30000000000000004</v>
      </c>
      <c r="AV186" s="37">
        <f t="shared" ca="1" si="47"/>
        <v>0.30000000000000004</v>
      </c>
      <c r="AW186" s="37"/>
    </row>
    <row r="187" spans="1:49" ht="15.75" hidden="1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 ca="1"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 ca="1">Tabela1[[#This Row],[QTDE/ Fabricação]]-Tabela1[[#This Row],[QTE]]</f>
        <v>-2</v>
      </c>
      <c r="R187" s="18">
        <f t="shared" ca="1" si="41"/>
        <v>323.33999999999997</v>
      </c>
      <c r="S187" s="18">
        <f t="shared" ca="1" si="49"/>
        <v>323.33999999999997</v>
      </c>
      <c r="T187" s="19">
        <f t="shared" ca="1" si="43"/>
        <v>0</v>
      </c>
      <c r="U187" s="205">
        <v>2</v>
      </c>
      <c r="V187" s="12" t="str">
        <f>IFERROR(VLOOKUP(Tabela1[[#This Row],[COD.MDE]],'LISTA DE EMBARQUE'!B:L,11,0),"")</f>
        <v/>
      </c>
      <c r="W187" s="13"/>
      <c r="X187" s="14">
        <f ca="1">IFERROR(Tabela1[[#This Row],[QIANTIDADE EXPEDIDA]]*Tabela1[[#This Row],[PESO UNI]],"")</f>
        <v>323.33999999999997</v>
      </c>
      <c r="Y187" s="14">
        <f t="shared" ca="1" si="48"/>
        <v>0</v>
      </c>
      <c r="Z187" s="20">
        <f ca="1"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ca="1" si="45"/>
        <v>ok</v>
      </c>
      <c r="AJ187" s="5"/>
      <c r="AK187" t="str">
        <f ca="1">Tabela1[[#This Row],[Coluna1]]&amp;Tabela1[[#This Row],[PEDIDO]]</f>
        <v>P-188</v>
      </c>
      <c r="AL187"/>
      <c r="AM187"/>
      <c r="AN187"/>
      <c r="AO187" t="str">
        <f t="shared" ca="1" si="40"/>
        <v>T-072954-1/1073-TC-006/007</v>
      </c>
      <c r="AP187" t="str">
        <f ca="1">Tabela1[[#This Row],[TAG]]&amp;Tabela1[[#This Row],[PEDIDO]]&amp;Tabela1[[#This Row],[PRODUTO]]</f>
        <v>1073-TC-006/007P-188RMF</v>
      </c>
      <c r="AQ187" s="22" t="str">
        <f ca="1">Tabela1[[#This Row],[PRODUTO]]&amp;Tabela1[[#This Row],[TAG]]</f>
        <v>RMF1073-TC-006/007</v>
      </c>
      <c r="AR187" s="24" t="str">
        <f ca="1">Tabela1[[#This Row],[PEDIDO]]&amp;Tabela1[[#This Row],[PRODUTO]]</f>
        <v>P-188RMF</v>
      </c>
      <c r="AS187" s="37">
        <f ca="1">IF(AF187="",0,IF(ISTEXT(AF187),H187*VALUE(SUBSTITUTE(AF187,"%",""))/100,H187*AF187))-Tabela1[[#This Row],[PRONTO ACABADO2]]</f>
        <v>0</v>
      </c>
      <c r="AT187" s="37">
        <f ca="1">IF(AG187="",0,IF(ISTEXT(AG187),H187*VALUE(SUBSTITUTE(AG187,"%",""))/100,H187*AG187))-Tabela1[[#This Row],[PESO EXPEDIDO2]]</f>
        <v>0</v>
      </c>
      <c r="AU187" s="37">
        <f t="shared" ca="1" si="46"/>
        <v>323.33999999999997</v>
      </c>
      <c r="AV187" s="37">
        <f t="shared" ca="1" si="47"/>
        <v>323.33999999999997</v>
      </c>
      <c r="AW187" s="37"/>
    </row>
    <row r="188" spans="1:49" ht="15.75" hidden="1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 ca="1"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 ca="1">Tabela1[[#This Row],[QTDE/ Fabricação]]-Tabela1[[#This Row],[QTE]]</f>
        <v>-2</v>
      </c>
      <c r="R188" s="18">
        <f t="shared" ca="1" si="41"/>
        <v>323.33999999999997</v>
      </c>
      <c r="S188" s="18">
        <f t="shared" ca="1" si="49"/>
        <v>323.33999999999997</v>
      </c>
      <c r="T188" s="19">
        <f t="shared" ca="1" si="43"/>
        <v>0</v>
      </c>
      <c r="U188" s="205">
        <v>2</v>
      </c>
      <c r="V188" s="12" t="str">
        <f>IFERROR(VLOOKUP(Tabela1[[#This Row],[COD.MDE]],'LISTA DE EMBARQUE'!B:L,11,0),"")</f>
        <v/>
      </c>
      <c r="W188" s="13"/>
      <c r="X188" s="14">
        <f ca="1">IFERROR(Tabela1[[#This Row],[QIANTIDADE EXPEDIDA]]*Tabela1[[#This Row],[PESO UNI]],"")</f>
        <v>323.33999999999997</v>
      </c>
      <c r="Y188" s="14">
        <f t="shared" ca="1" si="48"/>
        <v>0</v>
      </c>
      <c r="Z188" s="20">
        <f ca="1"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ca="1" si="45"/>
        <v>ok</v>
      </c>
      <c r="AJ188" s="5"/>
      <c r="AK188" t="str">
        <f ca="1">Tabela1[[#This Row],[Coluna1]]&amp;Tabela1[[#This Row],[PEDIDO]]</f>
        <v>P-188</v>
      </c>
      <c r="AL188"/>
      <c r="AM188"/>
      <c r="AN188"/>
      <c r="AO188" t="str">
        <f t="shared" ca="1" si="40"/>
        <v>T-072954-1/1073-TC-006/007</v>
      </c>
      <c r="AP188" t="str">
        <f ca="1">Tabela1[[#This Row],[TAG]]&amp;Tabela1[[#This Row],[PEDIDO]]&amp;Tabela1[[#This Row],[PRODUTO]]</f>
        <v>1073-TC-006/007P-188RMF</v>
      </c>
      <c r="AQ188" s="22" t="str">
        <f ca="1">Tabela1[[#This Row],[PRODUTO]]&amp;Tabela1[[#This Row],[TAG]]</f>
        <v>RMF1073-TC-006/007</v>
      </c>
      <c r="AR188" s="24" t="str">
        <f ca="1">Tabela1[[#This Row],[PEDIDO]]&amp;Tabela1[[#This Row],[PRODUTO]]</f>
        <v>P-188RMF</v>
      </c>
      <c r="AS188" s="37">
        <f ca="1">IF(AF188="",0,IF(ISTEXT(AF188),H188*VALUE(SUBSTITUTE(AF188,"%",""))/100,H188*AF188))-Tabela1[[#This Row],[PRONTO ACABADO2]]</f>
        <v>0</v>
      </c>
      <c r="AT188" s="37">
        <f ca="1">IF(AG188="",0,IF(ISTEXT(AG188),H188*VALUE(SUBSTITUTE(AG188,"%",""))/100,H188*AG188))-Tabela1[[#This Row],[PESO EXPEDIDO2]]</f>
        <v>0</v>
      </c>
      <c r="AU188" s="37">
        <f t="shared" ca="1" si="46"/>
        <v>323.33999999999997</v>
      </c>
      <c r="AV188" s="37">
        <f t="shared" ca="1" si="47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 ca="1"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 ca="1">Tabela1[[#This Row],[QTDE/ Fabricação]]-Tabela1[[#This Row],[QTE]]</f>
        <v>-8</v>
      </c>
      <c r="R189" s="18">
        <f t="shared" ca="1" si="41"/>
        <v>189.44</v>
      </c>
      <c r="S189" s="18">
        <f t="shared" ca="1" si="49"/>
        <v>189.44</v>
      </c>
      <c r="T189" s="19">
        <f t="shared" ca="1" si="43"/>
        <v>0</v>
      </c>
      <c r="U189" s="205">
        <v>8</v>
      </c>
      <c r="V189" s="12" t="str">
        <f>IFERROR(VLOOKUP(Tabela1[[#This Row],[COD.MDE]],'LISTA DE EMBARQUE'!B:L,11,0),"")</f>
        <v/>
      </c>
      <c r="W189" s="13"/>
      <c r="X189" s="14">
        <f ca="1">IFERROR(Tabela1[[#This Row],[QIANTIDADE EXPEDIDA]]*Tabela1[[#This Row],[PESO UNI]],"")</f>
        <v>189.44</v>
      </c>
      <c r="Y189" s="14">
        <f t="shared" ca="1" si="48"/>
        <v>0</v>
      </c>
      <c r="Z189" s="20">
        <f ca="1"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ca="1" si="45"/>
        <v>ok</v>
      </c>
      <c r="AJ189" s="5"/>
      <c r="AK189" t="str">
        <f ca="1">Tabela1[[#This Row],[Coluna1]]&amp;Tabela1[[#This Row],[PEDIDO]]</f>
        <v>P-188</v>
      </c>
      <c r="AL189"/>
      <c r="AM189"/>
      <c r="AN189"/>
      <c r="AO189" t="str">
        <f t="shared" ca="1" si="40"/>
        <v>T-072954-1/1073-TC-006/007</v>
      </c>
      <c r="AP189" t="str">
        <f ca="1">Tabela1[[#This Row],[TAG]]&amp;Tabela1[[#This Row],[PEDIDO]]&amp;Tabela1[[#This Row],[PRODUTO]]</f>
        <v>1073-TC-006/007P-188RMF</v>
      </c>
      <c r="AQ189" s="22" t="str">
        <f ca="1">Tabela1[[#This Row],[PRODUTO]]&amp;Tabela1[[#This Row],[TAG]]</f>
        <v>RMF1073-TC-006/007</v>
      </c>
      <c r="AR189" s="24" t="str">
        <f ca="1">Tabela1[[#This Row],[PEDIDO]]&amp;Tabela1[[#This Row],[PRODUTO]]</f>
        <v>P-188RMF</v>
      </c>
      <c r="AS189" s="37">
        <f ca="1">IF(AF189="",0,IF(ISTEXT(AF189),H189*VALUE(SUBSTITUTE(AF189,"%",""))/100,H189*AF189))-Tabela1[[#This Row],[PRONTO ACABADO2]]</f>
        <v>0</v>
      </c>
      <c r="AT189" s="37">
        <f ca="1">IF(AG189="",0,IF(ISTEXT(AG189),H189*VALUE(SUBSTITUTE(AG189,"%",""))/100,H189*AG189))-Tabela1[[#This Row],[PESO EXPEDIDO2]]</f>
        <v>0</v>
      </c>
      <c r="AU189" s="37">
        <f t="shared" ca="1" si="46"/>
        <v>189.44</v>
      </c>
      <c r="AV189" s="37">
        <f t="shared" ca="1" si="47"/>
        <v>189.44</v>
      </c>
      <c r="AW189" s="37"/>
    </row>
    <row r="190" spans="1:49" ht="15.75" hidden="1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 ca="1"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 ca="1">Tabela1[[#This Row],[QTDE/ Fabricação]]-Tabela1[[#This Row],[QTE]]</f>
        <v>-2</v>
      </c>
      <c r="R190" s="18">
        <f t="shared" ca="1" si="41"/>
        <v>51.88</v>
      </c>
      <c r="S190" s="18">
        <f t="shared" ca="1" si="49"/>
        <v>51.88</v>
      </c>
      <c r="T190" s="19">
        <f t="shared" ca="1" si="43"/>
        <v>0</v>
      </c>
      <c r="U190" s="205">
        <v>2</v>
      </c>
      <c r="V190" s="12" t="str">
        <f>IFERROR(VLOOKUP(Tabela1[[#This Row],[COD.MDE]],'LISTA DE EMBARQUE'!B:L,11,0),"")</f>
        <v/>
      </c>
      <c r="W190" s="13"/>
      <c r="X190" s="14">
        <f ca="1">IFERROR(Tabela1[[#This Row],[QIANTIDADE EXPEDIDA]]*Tabela1[[#This Row],[PESO UNI]],"")</f>
        <v>51.88</v>
      </c>
      <c r="Y190" s="14">
        <f t="shared" ca="1" si="48"/>
        <v>0</v>
      </c>
      <c r="Z190" s="20">
        <f ca="1"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ca="1" si="45"/>
        <v>ok</v>
      </c>
      <c r="AJ190" s="5"/>
      <c r="AK190" t="str">
        <f ca="1">Tabela1[[#This Row],[Coluna1]]&amp;Tabela1[[#This Row],[PEDIDO]]</f>
        <v>P-188</v>
      </c>
      <c r="AL190"/>
      <c r="AM190"/>
      <c r="AN190"/>
      <c r="AO190" t="str">
        <f t="shared" ca="1" si="40"/>
        <v>T-072954-1/1073-TC-006/007</v>
      </c>
      <c r="AP190" t="str">
        <f ca="1">Tabela1[[#This Row],[TAG]]&amp;Tabela1[[#This Row],[PEDIDO]]&amp;Tabela1[[#This Row],[PRODUTO]]</f>
        <v>1073-TC-006/007P-188RMF</v>
      </c>
      <c r="AQ190" s="22" t="str">
        <f ca="1">Tabela1[[#This Row],[PRODUTO]]&amp;Tabela1[[#This Row],[TAG]]</f>
        <v>RMF1073-TC-006/007</v>
      </c>
      <c r="AR190" s="24" t="str">
        <f ca="1">Tabela1[[#This Row],[PEDIDO]]&amp;Tabela1[[#This Row],[PRODUTO]]</f>
        <v>P-188RMF</v>
      </c>
      <c r="AS190" s="37">
        <f ca="1">IF(AF190="",0,IF(ISTEXT(AF190),H190*VALUE(SUBSTITUTE(AF190,"%",""))/100,H190*AF190))-Tabela1[[#This Row],[PRONTO ACABADO2]]</f>
        <v>0</v>
      </c>
      <c r="AT190" s="37">
        <f ca="1">IF(AG190="",0,IF(ISTEXT(AG190),H190*VALUE(SUBSTITUTE(AG190,"%",""))/100,H190*AG190))-Tabela1[[#This Row],[PESO EXPEDIDO2]]</f>
        <v>0</v>
      </c>
      <c r="AU190" s="37">
        <f t="shared" ca="1" si="46"/>
        <v>51.88</v>
      </c>
      <c r="AV190" s="37">
        <f t="shared" ca="1" si="47"/>
        <v>51.88</v>
      </c>
      <c r="AW190" s="37"/>
    </row>
    <row r="191" spans="1:49" ht="15.75" hidden="1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 ca="1"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 ca="1">Tabela1[[#This Row],[QTDE/ Fabricação]]-Tabela1[[#This Row],[QTE]]</f>
        <v>-4</v>
      </c>
      <c r="R191" s="18">
        <f t="shared" ca="1" si="41"/>
        <v>133.64000000000001</v>
      </c>
      <c r="S191" s="18">
        <f t="shared" ca="1" si="49"/>
        <v>133.64000000000001</v>
      </c>
      <c r="T191" s="19">
        <f t="shared" ca="1" si="43"/>
        <v>0</v>
      </c>
      <c r="U191" s="205">
        <v>4</v>
      </c>
      <c r="V191" s="12" t="str">
        <f>IFERROR(VLOOKUP(Tabela1[[#This Row],[COD.MDE]],'LISTA DE EMBARQUE'!B:L,11,0),"")</f>
        <v/>
      </c>
      <c r="W191" s="13"/>
      <c r="X191" s="14">
        <f ca="1">IFERROR(Tabela1[[#This Row],[QIANTIDADE EXPEDIDA]]*Tabela1[[#This Row],[PESO UNI]],"")</f>
        <v>133.64000000000001</v>
      </c>
      <c r="Y191" s="14">
        <f t="shared" ca="1" si="48"/>
        <v>0</v>
      </c>
      <c r="Z191" s="20">
        <f ca="1"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ca="1" si="45"/>
        <v>ok</v>
      </c>
      <c r="AJ191" s="5"/>
      <c r="AK191" t="str">
        <f ca="1">Tabela1[[#This Row],[Coluna1]]&amp;Tabela1[[#This Row],[PEDIDO]]</f>
        <v>P-188</v>
      </c>
      <c r="AL191"/>
      <c r="AM191"/>
      <c r="AN191"/>
      <c r="AO191" t="str">
        <f t="shared" ca="1" si="40"/>
        <v>T-072954-1/1073-TC-006/007</v>
      </c>
      <c r="AP191" t="str">
        <f ca="1">Tabela1[[#This Row],[TAG]]&amp;Tabela1[[#This Row],[PEDIDO]]&amp;Tabela1[[#This Row],[PRODUTO]]</f>
        <v>1073-TC-006/007P-188RMF</v>
      </c>
      <c r="AQ191" s="22" t="str">
        <f ca="1">Tabela1[[#This Row],[PRODUTO]]&amp;Tabela1[[#This Row],[TAG]]</f>
        <v>RMF1073-TC-006/007</v>
      </c>
      <c r="AR191" s="24" t="str">
        <f ca="1">Tabela1[[#This Row],[PEDIDO]]&amp;Tabela1[[#This Row],[PRODUTO]]</f>
        <v>P-188RMF</v>
      </c>
      <c r="AS191" s="37">
        <f ca="1">IF(AF191="",0,IF(ISTEXT(AF191),H191*VALUE(SUBSTITUTE(AF191,"%",""))/100,H191*AF191))-Tabela1[[#This Row],[PRONTO ACABADO2]]</f>
        <v>0</v>
      </c>
      <c r="AT191" s="37">
        <f ca="1">IF(AG191="",0,IF(ISTEXT(AG191),H191*VALUE(SUBSTITUTE(AG191,"%",""))/100,H191*AG191))-Tabela1[[#This Row],[PESO EXPEDIDO2]]</f>
        <v>0</v>
      </c>
      <c r="AU191" s="37">
        <f t="shared" ca="1" si="46"/>
        <v>133.64000000000001</v>
      </c>
      <c r="AV191" s="37">
        <f t="shared" ca="1" si="47"/>
        <v>133.64000000000001</v>
      </c>
      <c r="AW191" s="37"/>
    </row>
    <row r="192" spans="1:49" ht="15.75" hidden="1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 ca="1"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 ca="1">Tabela1[[#This Row],[QTDE/ Fabricação]]-Tabela1[[#This Row],[QTE]]</f>
        <v>-2</v>
      </c>
      <c r="R192" s="18">
        <f t="shared" ca="1" si="41"/>
        <v>51.88</v>
      </c>
      <c r="S192" s="18">
        <f t="shared" ca="1" si="49"/>
        <v>51.88</v>
      </c>
      <c r="T192" s="19">
        <f t="shared" ca="1" si="43"/>
        <v>0</v>
      </c>
      <c r="U192" s="205">
        <v>2</v>
      </c>
      <c r="V192" s="12" t="str">
        <f>IFERROR(VLOOKUP(Tabela1[[#This Row],[COD.MDE]],'LISTA DE EMBARQUE'!B:L,11,0),"")</f>
        <v/>
      </c>
      <c r="W192" s="13"/>
      <c r="X192" s="14">
        <f ca="1">IFERROR(Tabela1[[#This Row],[QIANTIDADE EXPEDIDA]]*Tabela1[[#This Row],[PESO UNI]],"")</f>
        <v>51.88</v>
      </c>
      <c r="Y192" s="14">
        <f t="shared" ca="1" si="48"/>
        <v>0</v>
      </c>
      <c r="Z192" s="20">
        <f ca="1"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ca="1" si="45"/>
        <v>ok</v>
      </c>
      <c r="AJ192" s="5"/>
      <c r="AK192" t="str">
        <f ca="1">Tabela1[[#This Row],[Coluna1]]&amp;Tabela1[[#This Row],[PEDIDO]]</f>
        <v>P-188</v>
      </c>
      <c r="AL192"/>
      <c r="AM192"/>
      <c r="AN192"/>
      <c r="AO192" t="str">
        <f t="shared" ca="1" si="40"/>
        <v>T-072954-1/1073-TC-006/007</v>
      </c>
      <c r="AP192" t="str">
        <f ca="1">Tabela1[[#This Row],[TAG]]&amp;Tabela1[[#This Row],[PEDIDO]]&amp;Tabela1[[#This Row],[PRODUTO]]</f>
        <v>1073-TC-006/007P-188RMF</v>
      </c>
      <c r="AQ192" s="22" t="str">
        <f ca="1">Tabela1[[#This Row],[PRODUTO]]&amp;Tabela1[[#This Row],[TAG]]</f>
        <v>RMF1073-TC-006/007</v>
      </c>
      <c r="AR192" s="24" t="str">
        <f ca="1">Tabela1[[#This Row],[PEDIDO]]&amp;Tabela1[[#This Row],[PRODUTO]]</f>
        <v>P-188RMF</v>
      </c>
      <c r="AS192" s="37">
        <f ca="1">IF(AF192="",0,IF(ISTEXT(AF192),H192*VALUE(SUBSTITUTE(AF192,"%",""))/100,H192*AF192))-Tabela1[[#This Row],[PRONTO ACABADO2]]</f>
        <v>0</v>
      </c>
      <c r="AT192" s="37">
        <f ca="1">IF(AG192="",0,IF(ISTEXT(AG192),H192*VALUE(SUBSTITUTE(AG192,"%",""))/100,H192*AG192))-Tabela1[[#This Row],[PESO EXPEDIDO2]]</f>
        <v>0</v>
      </c>
      <c r="AU192" s="37">
        <f t="shared" ca="1" si="46"/>
        <v>51.88</v>
      </c>
      <c r="AV192" s="37">
        <f t="shared" ca="1" si="47"/>
        <v>51.88</v>
      </c>
      <c r="AW192" s="37"/>
    </row>
    <row r="193" spans="1:49" ht="15.75" hidden="1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 ca="1"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 ca="1">Tabela1[[#This Row],[QTDE/ Fabricação]]-Tabela1[[#This Row],[QTE]]</f>
        <v>-4</v>
      </c>
      <c r="R193" s="18">
        <f t="shared" ca="1" si="41"/>
        <v>195.76</v>
      </c>
      <c r="S193" s="18">
        <f t="shared" ca="1" si="49"/>
        <v>195.76</v>
      </c>
      <c r="T193" s="19">
        <f t="shared" ca="1" si="43"/>
        <v>0</v>
      </c>
      <c r="U193" s="205">
        <v>4</v>
      </c>
      <c r="V193" s="12" t="str">
        <f ca="1">IFERROR(VLOOKUP(Tabela1[[#This Row],[COD.MDE]],'LISTA DE EMBARQUE'!B:L,11,0),"")</f>
        <v/>
      </c>
      <c r="W193" s="13"/>
      <c r="X193" s="14">
        <f ca="1">IFERROR(Tabela1[[#This Row],[QIANTIDADE EXPEDIDA]]*Tabela1[[#This Row],[PESO UNI]],"")</f>
        <v>195.76</v>
      </c>
      <c r="Y193" s="14">
        <f t="shared" ca="1" si="48"/>
        <v>0</v>
      </c>
      <c r="Z193" s="20">
        <f ca="1"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ca="1" si="45"/>
        <v>ok</v>
      </c>
      <c r="AJ193" s="5"/>
      <c r="AK193" t="str">
        <f ca="1">Tabela1[[#This Row],[Coluna1]]&amp;Tabela1[[#This Row],[PEDIDO]]</f>
        <v>P-188</v>
      </c>
      <c r="AL193"/>
      <c r="AM193"/>
      <c r="AN193"/>
      <c r="AO193" t="str">
        <f t="shared" ca="1" si="40"/>
        <v>T-072955-1/1073-TC-006/007</v>
      </c>
      <c r="AP193" t="str">
        <f ca="1">Tabela1[[#This Row],[TAG]]&amp;Tabela1[[#This Row],[PEDIDO]]&amp;Tabela1[[#This Row],[PRODUTO]]</f>
        <v>1073-TC-006/007P-188RMF</v>
      </c>
      <c r="AQ193" s="22" t="str">
        <f ca="1">Tabela1[[#This Row],[PRODUTO]]&amp;Tabela1[[#This Row],[TAG]]</f>
        <v>RMF1073-TC-006/007</v>
      </c>
      <c r="AR193" s="24" t="str">
        <f ca="1">Tabela1[[#This Row],[PEDIDO]]&amp;Tabela1[[#This Row],[PRODUTO]]</f>
        <v>P-188RMF</v>
      </c>
      <c r="AS193" s="37">
        <f ca="1">IF(AF193="",0,IF(ISTEXT(AF193),H193*VALUE(SUBSTITUTE(AF193,"%",""))/100,H193*AF193))-Tabela1[[#This Row],[PRONTO ACABADO2]]</f>
        <v>0</v>
      </c>
      <c r="AT193" s="37">
        <f ca="1">IF(AG193="",0,IF(ISTEXT(AG193),H193*VALUE(SUBSTITUTE(AG193,"%",""))/100,H193*AG193))-Tabela1[[#This Row],[PESO EXPEDIDO2]]</f>
        <v>0</v>
      </c>
      <c r="AU193" s="37">
        <f t="shared" ca="1" si="46"/>
        <v>195.76</v>
      </c>
      <c r="AV193" s="37">
        <f t="shared" ca="1" si="47"/>
        <v>195.76</v>
      </c>
      <c r="AW193" s="37"/>
    </row>
    <row r="194" spans="1:49" ht="15.75" hidden="1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 ca="1"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 ca="1">Tabela1[[#This Row],[QTDE/ Fabricação]]-Tabela1[[#This Row],[QTE]]</f>
        <v>-4</v>
      </c>
      <c r="R194" s="18">
        <f t="shared" ca="1" si="41"/>
        <v>327.64</v>
      </c>
      <c r="S194" s="18">
        <f t="shared" ca="1" si="49"/>
        <v>327.64</v>
      </c>
      <c r="T194" s="19">
        <f t="shared" ca="1" si="43"/>
        <v>0</v>
      </c>
      <c r="U194" s="205">
        <v>4</v>
      </c>
      <c r="V194" s="12" t="str">
        <f>IFERROR(VLOOKUP(Tabela1[[#This Row],[COD.MDE]],'LISTA DE EMBARQUE'!B:L,11,0),"")</f>
        <v/>
      </c>
      <c r="W194" s="13"/>
      <c r="X194" s="14">
        <f ca="1">IFERROR(Tabela1[[#This Row],[QIANTIDADE EXPEDIDA]]*Tabela1[[#This Row],[PESO UNI]],"")</f>
        <v>327.64</v>
      </c>
      <c r="Y194" s="14">
        <f t="shared" ca="1" si="48"/>
        <v>0</v>
      </c>
      <c r="Z194" s="20">
        <f ca="1"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ca="1" si="45"/>
        <v>ok</v>
      </c>
      <c r="AJ194" s="5"/>
      <c r="AK194" t="str">
        <f ca="1">Tabela1[[#This Row],[Coluna1]]&amp;Tabela1[[#This Row],[PEDIDO]]</f>
        <v>P-188</v>
      </c>
      <c r="AL194"/>
      <c r="AM194"/>
      <c r="AN194"/>
      <c r="AO194" t="str">
        <f t="shared" ca="1" si="40"/>
        <v>T-072955-1/1073-TC-006/007</v>
      </c>
      <c r="AP194" t="str">
        <f ca="1">Tabela1[[#This Row],[TAG]]&amp;Tabela1[[#This Row],[PEDIDO]]&amp;Tabela1[[#This Row],[PRODUTO]]</f>
        <v>1073-TC-006/007P-188RMF</v>
      </c>
      <c r="AQ194" s="22" t="str">
        <f ca="1">Tabela1[[#This Row],[PRODUTO]]&amp;Tabela1[[#This Row],[TAG]]</f>
        <v>RMF1073-TC-006/007</v>
      </c>
      <c r="AR194" s="24" t="str">
        <f ca="1">Tabela1[[#This Row],[PEDIDO]]&amp;Tabela1[[#This Row],[PRODUTO]]</f>
        <v>P-188RMF</v>
      </c>
      <c r="AS194" s="37">
        <f ca="1">IF(AF194="",0,IF(ISTEXT(AF194),H194*VALUE(SUBSTITUTE(AF194,"%",""))/100,H194*AF194))-Tabela1[[#This Row],[PRONTO ACABADO2]]</f>
        <v>0</v>
      </c>
      <c r="AT194" s="37">
        <f ca="1">IF(AG194="",0,IF(ISTEXT(AG194),H194*VALUE(SUBSTITUTE(AG194,"%",""))/100,H194*AG194))-Tabela1[[#This Row],[PESO EXPEDIDO2]]</f>
        <v>0</v>
      </c>
      <c r="AU194" s="37">
        <f t="shared" ca="1" si="46"/>
        <v>327.64</v>
      </c>
      <c r="AV194" s="37">
        <f t="shared" ca="1" si="47"/>
        <v>327.64</v>
      </c>
      <c r="AW194" s="37"/>
    </row>
    <row r="195" spans="1:49" ht="15.75" hidden="1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 ca="1"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 ca="1">Tabela1[[#This Row],[QTDE/ Fabricação]]-Tabela1[[#This Row],[QTE]]</f>
        <v>-4</v>
      </c>
      <c r="R195" s="18">
        <f t="shared" ca="1" si="41"/>
        <v>186.12</v>
      </c>
      <c r="S195" s="18">
        <f t="shared" ca="1" si="49"/>
        <v>186.12</v>
      </c>
      <c r="T195" s="19">
        <f t="shared" ca="1" si="43"/>
        <v>0</v>
      </c>
      <c r="U195" s="205">
        <v>4</v>
      </c>
      <c r="V195" s="12" t="str">
        <f>IFERROR(VLOOKUP(Tabela1[[#This Row],[COD.MDE]],'LISTA DE EMBARQUE'!B:L,11,0),"")</f>
        <v/>
      </c>
      <c r="W195" s="13"/>
      <c r="X195" s="14">
        <f ca="1">IFERROR(Tabela1[[#This Row],[QIANTIDADE EXPEDIDA]]*Tabela1[[#This Row],[PESO UNI]],"")</f>
        <v>186.12</v>
      </c>
      <c r="Y195" s="14">
        <f t="shared" ca="1" si="48"/>
        <v>0</v>
      </c>
      <c r="Z195" s="20">
        <f ca="1"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ca="1" si="45"/>
        <v>ok</v>
      </c>
      <c r="AJ195" s="5"/>
      <c r="AK195" t="str">
        <f ca="1">Tabela1[[#This Row],[Coluna1]]&amp;Tabela1[[#This Row],[PEDIDO]]</f>
        <v>P-188</v>
      </c>
      <c r="AL195"/>
      <c r="AM195"/>
      <c r="AN195"/>
      <c r="AO195" t="str">
        <f t="shared" ca="1" si="40"/>
        <v>T-072955-1/1073-TC-006/007</v>
      </c>
      <c r="AP195" t="str">
        <f ca="1">Tabela1[[#This Row],[TAG]]&amp;Tabela1[[#This Row],[PEDIDO]]&amp;Tabela1[[#This Row],[PRODUTO]]</f>
        <v>1073-TC-006/007P-188RMF</v>
      </c>
      <c r="AQ195" s="22" t="str">
        <f ca="1">Tabela1[[#This Row],[PRODUTO]]&amp;Tabela1[[#This Row],[TAG]]</f>
        <v>RMF1073-TC-006/007</v>
      </c>
      <c r="AR195" s="24" t="str">
        <f ca="1">Tabela1[[#This Row],[PEDIDO]]&amp;Tabela1[[#This Row],[PRODUTO]]</f>
        <v>P-188RMF</v>
      </c>
      <c r="AS195" s="37">
        <f ca="1">IF(AF195="",0,IF(ISTEXT(AF195),H195*VALUE(SUBSTITUTE(AF195,"%",""))/100,H195*AF195))-Tabela1[[#This Row],[PRONTO ACABADO2]]</f>
        <v>0</v>
      </c>
      <c r="AT195" s="37">
        <f ca="1">IF(AG195="",0,IF(ISTEXT(AG195),H195*VALUE(SUBSTITUTE(AG195,"%",""))/100,H195*AG195))-Tabela1[[#This Row],[PESO EXPEDIDO2]]</f>
        <v>0</v>
      </c>
      <c r="AU195" s="37">
        <f t="shared" ca="1" si="46"/>
        <v>186.12</v>
      </c>
      <c r="AV195" s="37">
        <f t="shared" ca="1" si="47"/>
        <v>186.12</v>
      </c>
      <c r="AW195" s="37"/>
    </row>
    <row r="196" spans="1:49" ht="15.75" hidden="1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 ca="1"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 ca="1">Tabela1[[#This Row],[QTDE/ Fabricação]]-Tabela1[[#This Row],[QTE]]</f>
        <v>-4</v>
      </c>
      <c r="R196" s="18">
        <f t="shared" ca="1" si="41"/>
        <v>199.48</v>
      </c>
      <c r="S196" s="18">
        <f t="shared" ca="1" si="49"/>
        <v>199.48</v>
      </c>
      <c r="T196" s="19">
        <f t="shared" ca="1" si="43"/>
        <v>0</v>
      </c>
      <c r="U196" s="16">
        <v>4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 ca="1">IFERROR(Tabela1[[#This Row],[QIANTIDADE EXPEDIDA]]*Tabela1[[#This Row],[PESO UNI]],"")</f>
        <v>199.48</v>
      </c>
      <c r="Y196" s="14">
        <f t="shared" ca="1" si="48"/>
        <v>0</v>
      </c>
      <c r="Z196" s="20">
        <f ca="1"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ca="1" si="45"/>
        <v>ok</v>
      </c>
      <c r="AJ196" s="5"/>
      <c r="AK196" t="str">
        <f ca="1">Tabela1[[#This Row],[Coluna1]]&amp;Tabela1[[#This Row],[PEDIDO]]</f>
        <v>P-188</v>
      </c>
      <c r="AL196"/>
      <c r="AM196"/>
      <c r="AN196"/>
      <c r="AO196" t="str">
        <f t="shared" ref="AO196:AO259" ca="1" si="50">A196&amp;"/"&amp;J196</f>
        <v>T-072955-1/1073-TC-006/007</v>
      </c>
      <c r="AP196" t="str">
        <f ca="1">Tabela1[[#This Row],[TAG]]&amp;Tabela1[[#This Row],[PEDIDO]]&amp;Tabela1[[#This Row],[PRODUTO]]</f>
        <v>1073-TC-006/007P-188RMF</v>
      </c>
      <c r="AQ196" s="22" t="str">
        <f ca="1">Tabela1[[#This Row],[PRODUTO]]&amp;Tabela1[[#This Row],[TAG]]</f>
        <v>RMF1073-TC-006/007</v>
      </c>
      <c r="AR196" s="24" t="str">
        <f ca="1">Tabela1[[#This Row],[PEDIDO]]&amp;Tabela1[[#This Row],[PRODUTO]]</f>
        <v>P-188RMF</v>
      </c>
      <c r="AS196" s="37">
        <f ca="1">IF(AF196="",0,IF(ISTEXT(AF196),H196*VALUE(SUBSTITUTE(AF196,"%",""))/100,H196*AF196))-Tabela1[[#This Row],[PRONTO ACABADO2]]</f>
        <v>0</v>
      </c>
      <c r="AT196" s="37">
        <f ca="1">IF(AG196="",0,IF(ISTEXT(AG196),H196*VALUE(SUBSTITUTE(AG196,"%",""))/100,H196*AG196))-Tabela1[[#This Row],[PESO EXPEDIDO2]]</f>
        <v>0</v>
      </c>
      <c r="AU196" s="37">
        <f t="shared" ca="1" si="46"/>
        <v>199.48</v>
      </c>
      <c r="AV196" s="37">
        <f t="shared" ca="1" si="47"/>
        <v>199.48</v>
      </c>
      <c r="AW196" s="37"/>
    </row>
    <row r="197" spans="1:49" ht="15.75" hidden="1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 ca="1"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 ca="1">Tabela1[[#This Row],[QTDE/ Fabricação]]-Tabela1[[#This Row],[QTE]]</f>
        <v>-2</v>
      </c>
      <c r="R197" s="18">
        <f t="shared" ca="1" si="41"/>
        <v>318.5</v>
      </c>
      <c r="S197" s="18">
        <f t="shared" ca="1" si="49"/>
        <v>318.5</v>
      </c>
      <c r="T197" s="19">
        <f t="shared" ca="1" si="43"/>
        <v>0</v>
      </c>
      <c r="U197" s="205">
        <v>2</v>
      </c>
      <c r="V197" s="12" t="str">
        <f>IFERROR(VLOOKUP(Tabela1[[#This Row],[COD.MDE]],'LISTA DE EMBARQUE'!B:L,11,0),"")</f>
        <v/>
      </c>
      <c r="W197" s="13"/>
      <c r="X197" s="14">
        <f ca="1">IFERROR(Tabela1[[#This Row],[QIANTIDADE EXPEDIDA]]*Tabela1[[#This Row],[PESO UNI]],"")</f>
        <v>318.5</v>
      </c>
      <c r="Y197" s="14">
        <f t="shared" ca="1" si="48"/>
        <v>0</v>
      </c>
      <c r="Z197" s="20">
        <f ca="1"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ca="1" si="45"/>
        <v>ok</v>
      </c>
      <c r="AJ197" s="5"/>
      <c r="AK197" t="str">
        <f ca="1">Tabela1[[#This Row],[Coluna1]]&amp;Tabela1[[#This Row],[PEDIDO]]</f>
        <v>P-188</v>
      </c>
      <c r="AL197"/>
      <c r="AM197"/>
      <c r="AN197"/>
      <c r="AO197" t="str">
        <f t="shared" ca="1" si="50"/>
        <v>T-072956-1/1073-TC-006/007</v>
      </c>
      <c r="AP197" t="str">
        <f ca="1">Tabela1[[#This Row],[TAG]]&amp;Tabela1[[#This Row],[PEDIDO]]&amp;Tabela1[[#This Row],[PRODUTO]]</f>
        <v>1073-TC-006/007P-188RMF</v>
      </c>
      <c r="AQ197" s="22" t="str">
        <f ca="1">Tabela1[[#This Row],[PRODUTO]]&amp;Tabela1[[#This Row],[TAG]]</f>
        <v>RMF1073-TC-006/007</v>
      </c>
      <c r="AR197" s="24" t="str">
        <f ca="1">Tabela1[[#This Row],[PEDIDO]]&amp;Tabela1[[#This Row],[PRODUTO]]</f>
        <v>P-188RMF</v>
      </c>
      <c r="AS197" s="37">
        <f ca="1">IF(AF197="",0,IF(ISTEXT(AF197),H197*VALUE(SUBSTITUTE(AF197,"%",""))/100,H197*AF197))-Tabela1[[#This Row],[PRONTO ACABADO2]]</f>
        <v>0</v>
      </c>
      <c r="AT197" s="37">
        <f ca="1">IF(AG197="",0,IF(ISTEXT(AG197),H197*VALUE(SUBSTITUTE(AG197,"%",""))/100,H197*AG197))-Tabela1[[#This Row],[PESO EXPEDIDO2]]</f>
        <v>0</v>
      </c>
      <c r="AU197" s="37">
        <f t="shared" ca="1" si="46"/>
        <v>318.5</v>
      </c>
      <c r="AV197" s="37">
        <f t="shared" ca="1" si="47"/>
        <v>318.5</v>
      </c>
      <c r="AW197" s="37"/>
    </row>
    <row r="198" spans="1:49" ht="15.75" hidden="1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 ca="1"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 ca="1">Tabela1[[#This Row],[QTDE/ Fabricação]]-Tabela1[[#This Row],[QTE]]</f>
        <v>-2</v>
      </c>
      <c r="R198" s="18">
        <f t="shared" ca="1" si="41"/>
        <v>318.5</v>
      </c>
      <c r="S198" s="18">
        <f t="shared" ca="1" si="49"/>
        <v>318.5</v>
      </c>
      <c r="T198" s="19">
        <f t="shared" ca="1" si="43"/>
        <v>0</v>
      </c>
      <c r="U198" s="205">
        <v>2</v>
      </c>
      <c r="V198" s="12" t="str">
        <f>IFERROR(VLOOKUP(Tabela1[[#This Row],[COD.MDE]],'LISTA DE EMBARQUE'!B:L,11,0),"")</f>
        <v/>
      </c>
      <c r="W198" s="13"/>
      <c r="X198" s="14">
        <f ca="1">IFERROR(Tabela1[[#This Row],[QIANTIDADE EXPEDIDA]]*Tabela1[[#This Row],[PESO UNI]],"")</f>
        <v>318.5</v>
      </c>
      <c r="Y198" s="14">
        <f t="shared" ca="1" si="48"/>
        <v>0</v>
      </c>
      <c r="Z198" s="20">
        <f ca="1"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ca="1" si="45"/>
        <v>ok</v>
      </c>
      <c r="AJ198" s="5"/>
      <c r="AK198" t="str">
        <f ca="1">Tabela1[[#This Row],[Coluna1]]&amp;Tabela1[[#This Row],[PEDIDO]]</f>
        <v>P-188</v>
      </c>
      <c r="AL198"/>
      <c r="AM198"/>
      <c r="AN198"/>
      <c r="AO198" t="str">
        <f t="shared" ca="1" si="50"/>
        <v>T-072956-1/1073-TC-006/007</v>
      </c>
      <c r="AP198" t="str">
        <f ca="1">Tabela1[[#This Row],[TAG]]&amp;Tabela1[[#This Row],[PEDIDO]]&amp;Tabela1[[#This Row],[PRODUTO]]</f>
        <v>1073-TC-006/007P-188RMF</v>
      </c>
      <c r="AQ198" s="22" t="str">
        <f ca="1">Tabela1[[#This Row],[PRODUTO]]&amp;Tabela1[[#This Row],[TAG]]</f>
        <v>RMF1073-TC-006/007</v>
      </c>
      <c r="AR198" s="24" t="str">
        <f ca="1">Tabela1[[#This Row],[PEDIDO]]&amp;Tabela1[[#This Row],[PRODUTO]]</f>
        <v>P-188RMF</v>
      </c>
      <c r="AS198" s="37">
        <f ca="1">IF(AF198="",0,IF(ISTEXT(AF198),H198*VALUE(SUBSTITUTE(AF198,"%",""))/100,H198*AF198))-Tabela1[[#This Row],[PRONTO ACABADO2]]</f>
        <v>0</v>
      </c>
      <c r="AT198" s="37">
        <f ca="1">IF(AG198="",0,IF(ISTEXT(AG198),H198*VALUE(SUBSTITUTE(AG198,"%",""))/100,H198*AG198))-Tabela1[[#This Row],[PESO EXPEDIDO2]]</f>
        <v>0</v>
      </c>
      <c r="AU198" s="37">
        <f t="shared" ca="1" si="46"/>
        <v>318.5</v>
      </c>
      <c r="AV198" s="37">
        <f t="shared" ca="1" si="47"/>
        <v>318.5</v>
      </c>
      <c r="AW198" s="37"/>
    </row>
    <row r="199" spans="1:49" ht="15.75" hidden="1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 ca="1"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 ca="1">Tabela1[[#This Row],[QTDE/ Fabricação]]-Tabela1[[#This Row],[QTE]]</f>
        <v>-2</v>
      </c>
      <c r="R199" s="18">
        <f t="shared" ca="1" si="41"/>
        <v>66.819999999999993</v>
      </c>
      <c r="S199" s="18">
        <f t="shared" ca="1" si="49"/>
        <v>66.819999999999993</v>
      </c>
      <c r="T199" s="19">
        <f t="shared" ca="1" si="43"/>
        <v>0</v>
      </c>
      <c r="U199" s="205">
        <v>2</v>
      </c>
      <c r="V199" s="12" t="str">
        <f>IFERROR(VLOOKUP(Tabela1[[#This Row],[COD.MDE]],'LISTA DE EMBARQUE'!B:L,11,0),"")</f>
        <v/>
      </c>
      <c r="W199" s="13"/>
      <c r="X199" s="14">
        <f ca="1">IFERROR(Tabela1[[#This Row],[QIANTIDADE EXPEDIDA]]*Tabela1[[#This Row],[PESO UNI]],"")</f>
        <v>66.819999999999993</v>
      </c>
      <c r="Y199" s="14">
        <f t="shared" ca="1" si="48"/>
        <v>0</v>
      </c>
      <c r="Z199" s="20">
        <f ca="1"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ca="1" si="45"/>
        <v>ok</v>
      </c>
      <c r="AJ199" s="5"/>
      <c r="AK199" t="str">
        <f ca="1">Tabela1[[#This Row],[Coluna1]]&amp;Tabela1[[#This Row],[PEDIDO]]</f>
        <v>P-188</v>
      </c>
      <c r="AL199"/>
      <c r="AM199"/>
      <c r="AN199"/>
      <c r="AO199" t="str">
        <f t="shared" ca="1" si="50"/>
        <v>T-072956-1/1073-TC-006/007</v>
      </c>
      <c r="AP199" t="str">
        <f ca="1">Tabela1[[#This Row],[TAG]]&amp;Tabela1[[#This Row],[PEDIDO]]&amp;Tabela1[[#This Row],[PRODUTO]]</f>
        <v>1073-TC-006/007P-188RMF</v>
      </c>
      <c r="AQ199" s="22" t="str">
        <f ca="1">Tabela1[[#This Row],[PRODUTO]]&amp;Tabela1[[#This Row],[TAG]]</f>
        <v>RMF1073-TC-006/007</v>
      </c>
      <c r="AR199" s="24" t="str">
        <f ca="1">Tabela1[[#This Row],[PEDIDO]]&amp;Tabela1[[#This Row],[PRODUTO]]</f>
        <v>P-188RMF</v>
      </c>
      <c r="AS199" s="37">
        <f ca="1">IF(AF199="",0,IF(ISTEXT(AF199),H199*VALUE(SUBSTITUTE(AF199,"%",""))/100,H199*AF199))-Tabela1[[#This Row],[PRONTO ACABADO2]]</f>
        <v>0</v>
      </c>
      <c r="AT199" s="37">
        <f ca="1">IF(AG199="",0,IF(ISTEXT(AG199),H199*VALUE(SUBSTITUTE(AG199,"%",""))/100,H199*AG199))-Tabela1[[#This Row],[PESO EXPEDIDO2]]</f>
        <v>0</v>
      </c>
      <c r="AU199" s="37">
        <f t="shared" ca="1" si="46"/>
        <v>66.819999999999993</v>
      </c>
      <c r="AV199" s="37">
        <f t="shared" ca="1" si="47"/>
        <v>66.819999999999993</v>
      </c>
      <c r="AW199" s="37"/>
    </row>
    <row r="200" spans="1:49" ht="15.75" hidden="1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 ca="1"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 ca="1">Tabela1[[#This Row],[QTDE/ Fabricação]]-Tabela1[[#This Row],[QTE]]</f>
        <v>-2</v>
      </c>
      <c r="R200" s="18">
        <f t="shared" ca="1" si="41"/>
        <v>47.36</v>
      </c>
      <c r="S200" s="18">
        <f t="shared" ca="1" si="49"/>
        <v>47.36</v>
      </c>
      <c r="T200" s="19">
        <f t="shared" ca="1" si="43"/>
        <v>0</v>
      </c>
      <c r="U200" s="205">
        <v>2</v>
      </c>
      <c r="V200" s="12" t="str">
        <f ca="1">IFERROR(VLOOKUP(Tabela1[[#This Row],[COD.MDE]],'LISTA DE EMBARQUE'!B:L,11,0),"")</f>
        <v/>
      </c>
      <c r="W200" s="13"/>
      <c r="X200" s="14">
        <f ca="1">IFERROR(Tabela1[[#This Row],[QIANTIDADE EXPEDIDA]]*Tabela1[[#This Row],[PESO UNI]],"")</f>
        <v>47.36</v>
      </c>
      <c r="Y200" s="14">
        <f t="shared" ca="1" si="48"/>
        <v>0</v>
      </c>
      <c r="Z200" s="20">
        <f ca="1"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ca="1" si="45"/>
        <v>ok</v>
      </c>
      <c r="AJ200" s="5"/>
      <c r="AK200" t="str">
        <f ca="1">Tabela1[[#This Row],[Coluna1]]&amp;Tabela1[[#This Row],[PEDIDO]]</f>
        <v>P-188</v>
      </c>
      <c r="AL200"/>
      <c r="AM200"/>
      <c r="AN200"/>
      <c r="AO200" t="str">
        <f t="shared" ca="1" si="50"/>
        <v>T-072956-1/1073-TC-006/007</v>
      </c>
      <c r="AP200" t="str">
        <f ca="1">Tabela1[[#This Row],[TAG]]&amp;Tabela1[[#This Row],[PEDIDO]]&amp;Tabela1[[#This Row],[PRODUTO]]</f>
        <v>1073-TC-006/007P-188RMF</v>
      </c>
      <c r="AQ200" s="22" t="str">
        <f ca="1">Tabela1[[#This Row],[PRODUTO]]&amp;Tabela1[[#This Row],[TAG]]</f>
        <v>RMF1073-TC-006/007</v>
      </c>
      <c r="AR200" s="24" t="str">
        <f ca="1">Tabela1[[#This Row],[PEDIDO]]&amp;Tabela1[[#This Row],[PRODUTO]]</f>
        <v>P-188RMF</v>
      </c>
      <c r="AS200" s="37">
        <f ca="1">IF(AF200="",0,IF(ISTEXT(AF200),H200*VALUE(SUBSTITUTE(AF200,"%",""))/100,H200*AF200))-Tabela1[[#This Row],[PRONTO ACABADO2]]</f>
        <v>0</v>
      </c>
      <c r="AT200" s="37">
        <f ca="1">IF(AG200="",0,IF(ISTEXT(AG200),H200*VALUE(SUBSTITUTE(AG200,"%",""))/100,H200*AG200))-Tabela1[[#This Row],[PESO EXPEDIDO2]]</f>
        <v>0</v>
      </c>
      <c r="AU200" s="37">
        <f t="shared" ca="1" si="46"/>
        <v>47.36</v>
      </c>
      <c r="AV200" s="37">
        <f t="shared" ca="1" si="47"/>
        <v>47.36</v>
      </c>
      <c r="AW200" s="37"/>
    </row>
    <row r="201" spans="1:49" ht="15.75" hidden="1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 ca="1"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 ca="1">Tabela1[[#This Row],[QTDE/ Fabricação]]-Tabela1[[#This Row],[QTE]]</f>
        <v>-6</v>
      </c>
      <c r="R201" s="18">
        <f t="shared" ca="1" si="41"/>
        <v>142.07999999999998</v>
      </c>
      <c r="S201" s="18">
        <f t="shared" ca="1" si="49"/>
        <v>142.07999999999998</v>
      </c>
      <c r="T201" s="19">
        <f t="shared" ca="1" si="43"/>
        <v>0</v>
      </c>
      <c r="U201" s="205">
        <v>6</v>
      </c>
      <c r="V201" s="12" t="str">
        <f>IFERROR(VLOOKUP(Tabela1[[#This Row],[COD.MDE]],'LISTA DE EMBARQUE'!B:L,11,0),"")</f>
        <v/>
      </c>
      <c r="W201" s="13"/>
      <c r="X201" s="14">
        <f ca="1">IFERROR(Tabela1[[#This Row],[QIANTIDADE EXPEDIDA]]*Tabela1[[#This Row],[PESO UNI]],"")</f>
        <v>142.07999999999998</v>
      </c>
      <c r="Y201" s="14">
        <f t="shared" ca="1" si="48"/>
        <v>0</v>
      </c>
      <c r="Z201" s="20">
        <f ca="1"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ca="1" si="45"/>
        <v>ok</v>
      </c>
      <c r="AJ201" s="5"/>
      <c r="AK201" t="str">
        <f ca="1">Tabela1[[#This Row],[Coluna1]]&amp;Tabela1[[#This Row],[PEDIDO]]</f>
        <v>P-188</v>
      </c>
      <c r="AL201"/>
      <c r="AM201"/>
      <c r="AN201"/>
      <c r="AO201" t="str">
        <f t="shared" ca="1" si="50"/>
        <v>T-072956-1/1073-TC-006/007</v>
      </c>
      <c r="AP201" t="str">
        <f ca="1">Tabela1[[#This Row],[TAG]]&amp;Tabela1[[#This Row],[PEDIDO]]&amp;Tabela1[[#This Row],[PRODUTO]]</f>
        <v>1073-TC-006/007P-188RMF</v>
      </c>
      <c r="AQ201" s="22" t="str">
        <f ca="1">Tabela1[[#This Row],[PRODUTO]]&amp;Tabela1[[#This Row],[TAG]]</f>
        <v>RMF1073-TC-006/007</v>
      </c>
      <c r="AR201" s="24" t="str">
        <f ca="1">Tabela1[[#This Row],[PEDIDO]]&amp;Tabela1[[#This Row],[PRODUTO]]</f>
        <v>P-188RMF</v>
      </c>
      <c r="AS201" s="37">
        <f ca="1">IF(AF201="",0,IF(ISTEXT(AF201),H201*VALUE(SUBSTITUTE(AF201,"%",""))/100,H201*AF201))-Tabela1[[#This Row],[PRONTO ACABADO2]]</f>
        <v>0</v>
      </c>
      <c r="AT201" s="37">
        <f ca="1">IF(AG201="",0,IF(ISTEXT(AG201),H201*VALUE(SUBSTITUTE(AG201,"%",""))/100,H201*AG201))-Tabela1[[#This Row],[PESO EXPEDIDO2]]</f>
        <v>0</v>
      </c>
      <c r="AU201" s="37">
        <f t="shared" ca="1" si="46"/>
        <v>142.07999999999998</v>
      </c>
      <c r="AV201" s="37">
        <f t="shared" ca="1" si="47"/>
        <v>142.07999999999998</v>
      </c>
      <c r="AW201" s="37"/>
    </row>
    <row r="202" spans="1:49" ht="15.75" hidden="1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 ca="1"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 ca="1">Tabela1[[#This Row],[QTDE/ Fabricação]]-Tabela1[[#This Row],[QTE]]</f>
        <v>-4</v>
      </c>
      <c r="R202" s="18">
        <f t="shared" ca="1" si="41"/>
        <v>103.76</v>
      </c>
      <c r="S202" s="18">
        <f t="shared" ca="1" si="49"/>
        <v>103.76</v>
      </c>
      <c r="T202" s="19">
        <f t="shared" ca="1" si="43"/>
        <v>0</v>
      </c>
      <c r="U202" s="205">
        <v>4</v>
      </c>
      <c r="V202" s="12" t="str">
        <f>IFERROR(VLOOKUP(Tabela1[[#This Row],[COD.MDE]],'LISTA DE EMBARQUE'!B:L,11,0),"")</f>
        <v/>
      </c>
      <c r="W202" s="13"/>
      <c r="X202" s="14">
        <f ca="1">IFERROR(Tabela1[[#This Row],[QIANTIDADE EXPEDIDA]]*Tabela1[[#This Row],[PESO UNI]],"")</f>
        <v>103.76</v>
      </c>
      <c r="Y202" s="14">
        <f t="shared" ca="1" si="48"/>
        <v>0</v>
      </c>
      <c r="Z202" s="20">
        <f ca="1"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ca="1" si="45"/>
        <v>ok</v>
      </c>
      <c r="AJ202" s="5"/>
      <c r="AK202" t="str">
        <f ca="1">Tabela1[[#This Row],[Coluna1]]&amp;Tabela1[[#This Row],[PEDIDO]]</f>
        <v>P-188</v>
      </c>
      <c r="AL202"/>
      <c r="AM202"/>
      <c r="AN202"/>
      <c r="AO202" t="str">
        <f t="shared" ca="1" si="50"/>
        <v>T-072956-1/1073-TC-006/007</v>
      </c>
      <c r="AP202" t="str">
        <f ca="1">Tabela1[[#This Row],[TAG]]&amp;Tabela1[[#This Row],[PEDIDO]]&amp;Tabela1[[#This Row],[PRODUTO]]</f>
        <v>1073-TC-006/007P-188RMF</v>
      </c>
      <c r="AQ202" s="22" t="str">
        <f ca="1">Tabela1[[#This Row],[PRODUTO]]&amp;Tabela1[[#This Row],[TAG]]</f>
        <v>RMF1073-TC-006/007</v>
      </c>
      <c r="AR202" s="24" t="str">
        <f ca="1">Tabela1[[#This Row],[PEDIDO]]&amp;Tabela1[[#This Row],[PRODUTO]]</f>
        <v>P-188RMF</v>
      </c>
      <c r="AS202" s="37">
        <f ca="1">IF(AF202="",0,IF(ISTEXT(AF202),H202*VALUE(SUBSTITUTE(AF202,"%",""))/100,H202*AF202))-Tabela1[[#This Row],[PRONTO ACABADO2]]</f>
        <v>0</v>
      </c>
      <c r="AT202" s="37">
        <f ca="1">IF(AG202="",0,IF(ISTEXT(AG202),H202*VALUE(SUBSTITUTE(AG202,"%",""))/100,H202*AG202))-Tabela1[[#This Row],[PESO EXPEDIDO2]]</f>
        <v>0</v>
      </c>
      <c r="AU202" s="37">
        <f t="shared" ca="1" si="46"/>
        <v>103.76</v>
      </c>
      <c r="AV202" s="37">
        <f t="shared" ca="1" si="47"/>
        <v>103.76</v>
      </c>
      <c r="AW202" s="37"/>
    </row>
    <row r="203" spans="1:49" ht="15.75" hidden="1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 ca="1"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 ca="1">Tabela1[[#This Row],[QTDE/ Fabricação]]-Tabela1[[#This Row],[QTE]]</f>
        <v>-4</v>
      </c>
      <c r="R203" s="18">
        <f t="shared" ca="1" si="41"/>
        <v>308</v>
      </c>
      <c r="S203" s="18">
        <f t="shared" ca="1" si="49"/>
        <v>308</v>
      </c>
      <c r="T203" s="19">
        <f t="shared" ca="1" si="43"/>
        <v>0</v>
      </c>
      <c r="U203" s="205">
        <v>4</v>
      </c>
      <c r="V203" s="12" t="str">
        <f>IFERROR(VLOOKUP(Tabela1[[#This Row],[COD.MDE]],'LISTA DE EMBARQUE'!B:L,11,0),"")</f>
        <v/>
      </c>
      <c r="W203" s="13"/>
      <c r="X203" s="14">
        <f ca="1">IFERROR(Tabela1[[#This Row],[QIANTIDADE EXPEDIDA]]*Tabela1[[#This Row],[PESO UNI]],"")</f>
        <v>308</v>
      </c>
      <c r="Y203" s="14">
        <f t="shared" ca="1" si="48"/>
        <v>0</v>
      </c>
      <c r="Z203" s="20">
        <f ca="1"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ca="1" si="45"/>
        <v>ok</v>
      </c>
      <c r="AJ203" s="5"/>
      <c r="AK203" t="str">
        <f ca="1">Tabela1[[#This Row],[Coluna1]]&amp;Tabela1[[#This Row],[PEDIDO]]</f>
        <v>P-188</v>
      </c>
      <c r="AL203"/>
      <c r="AM203"/>
      <c r="AN203"/>
      <c r="AO203" t="str">
        <f t="shared" ca="1" si="50"/>
        <v>T-072957-1/1073-TC-006/007</v>
      </c>
      <c r="AP203" t="str">
        <f ca="1">Tabela1[[#This Row],[TAG]]&amp;Tabela1[[#This Row],[PEDIDO]]&amp;Tabela1[[#This Row],[PRODUTO]]</f>
        <v>1073-TC-006/007P-188RMF</v>
      </c>
      <c r="AQ203" s="22" t="str">
        <f ca="1">Tabela1[[#This Row],[PRODUTO]]&amp;Tabela1[[#This Row],[TAG]]</f>
        <v>RMF1073-TC-006/007</v>
      </c>
      <c r="AR203" s="24" t="str">
        <f ca="1">Tabela1[[#This Row],[PEDIDO]]&amp;Tabela1[[#This Row],[PRODUTO]]</f>
        <v>P-188RMF</v>
      </c>
      <c r="AS203" s="37">
        <f ca="1">IF(AF203="",0,IF(ISTEXT(AF203),H203*VALUE(SUBSTITUTE(AF203,"%",""))/100,H203*AF203))-Tabela1[[#This Row],[PRONTO ACABADO2]]</f>
        <v>0</v>
      </c>
      <c r="AT203" s="37">
        <f ca="1">IF(AG203="",0,IF(ISTEXT(AG203),H203*VALUE(SUBSTITUTE(AG203,"%",""))/100,H203*AG203))-Tabela1[[#This Row],[PESO EXPEDIDO2]]</f>
        <v>0</v>
      </c>
      <c r="AU203" s="37">
        <f t="shared" ca="1" si="46"/>
        <v>308</v>
      </c>
      <c r="AV203" s="37">
        <f t="shared" ca="1" si="47"/>
        <v>308</v>
      </c>
      <c r="AW203" s="37"/>
    </row>
    <row r="204" spans="1:49" ht="15.75" hidden="1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 ca="1"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 ca="1">Tabela1[[#This Row],[QTDE/ Fabricação]]-Tabela1[[#This Row],[QTE]]</f>
        <v>-4</v>
      </c>
      <c r="R204" s="18">
        <f t="shared" ca="1" si="41"/>
        <v>340</v>
      </c>
      <c r="S204" s="18">
        <f t="shared" ca="1" si="49"/>
        <v>340</v>
      </c>
      <c r="T204" s="19">
        <f t="shared" ca="1" si="43"/>
        <v>0</v>
      </c>
      <c r="U204" s="205">
        <v>4</v>
      </c>
      <c r="V204" s="12" t="str">
        <f>IFERROR(VLOOKUP(Tabela1[[#This Row],[COD.MDE]],'LISTA DE EMBARQUE'!B:L,11,0),"")</f>
        <v/>
      </c>
      <c r="W204" s="13"/>
      <c r="X204" s="14">
        <f ca="1">IFERROR(Tabela1[[#This Row],[QIANTIDADE EXPEDIDA]]*Tabela1[[#This Row],[PESO UNI]],"")</f>
        <v>340</v>
      </c>
      <c r="Y204" s="14">
        <f t="shared" ca="1" si="48"/>
        <v>0</v>
      </c>
      <c r="Z204" s="20">
        <f ca="1"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ca="1" si="45"/>
        <v>ok</v>
      </c>
      <c r="AJ204" s="5"/>
      <c r="AK204" t="str">
        <f ca="1">Tabela1[[#This Row],[Coluna1]]&amp;Tabela1[[#This Row],[PEDIDO]]</f>
        <v>P-188</v>
      </c>
      <c r="AL204"/>
      <c r="AM204"/>
      <c r="AN204"/>
      <c r="AO204" t="str">
        <f t="shared" ca="1" si="50"/>
        <v>T-072957-1/1073-TC-006/007</v>
      </c>
      <c r="AP204" t="str">
        <f ca="1">Tabela1[[#This Row],[TAG]]&amp;Tabela1[[#This Row],[PEDIDO]]&amp;Tabela1[[#This Row],[PRODUTO]]</f>
        <v>1073-TC-006/007P-188RMF</v>
      </c>
      <c r="AQ204" s="22" t="str">
        <f ca="1">Tabela1[[#This Row],[PRODUTO]]&amp;Tabela1[[#This Row],[TAG]]</f>
        <v>RMF1073-TC-006/007</v>
      </c>
      <c r="AR204" s="24" t="str">
        <f ca="1">Tabela1[[#This Row],[PEDIDO]]&amp;Tabela1[[#This Row],[PRODUTO]]</f>
        <v>P-188RMF</v>
      </c>
      <c r="AS204" s="37">
        <f ca="1">IF(AF204="",0,IF(ISTEXT(AF204),H204*VALUE(SUBSTITUTE(AF204,"%",""))/100,H204*AF204))-Tabela1[[#This Row],[PRONTO ACABADO2]]</f>
        <v>0</v>
      </c>
      <c r="AT204" s="37">
        <f ca="1">IF(AG204="",0,IF(ISTEXT(AG204),H204*VALUE(SUBSTITUTE(AG204,"%",""))/100,H204*AG204))-Tabela1[[#This Row],[PESO EXPEDIDO2]]</f>
        <v>0</v>
      </c>
      <c r="AU204" s="37">
        <f t="shared" ca="1" si="46"/>
        <v>340</v>
      </c>
      <c r="AV204" s="37">
        <f t="shared" ca="1" si="47"/>
        <v>340</v>
      </c>
      <c r="AW204" s="37"/>
    </row>
    <row r="205" spans="1:49" ht="15.75" hidden="1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 ca="1"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 ca="1">Tabela1[[#This Row],[QTDE/ Fabricação]]-Tabela1[[#This Row],[QTE]]</f>
        <v>-4</v>
      </c>
      <c r="R205" s="18">
        <f t="shared" ca="1" si="41"/>
        <v>200</v>
      </c>
      <c r="S205" s="18">
        <f t="shared" ca="1" si="49"/>
        <v>200</v>
      </c>
      <c r="T205" s="19">
        <f t="shared" ca="1" si="43"/>
        <v>0</v>
      </c>
      <c r="U205" s="16">
        <v>4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 ca="1">IFERROR(Tabela1[[#This Row],[QIANTIDADE EXPEDIDA]]*Tabela1[[#This Row],[PESO UNI]],"")</f>
        <v>200</v>
      </c>
      <c r="Y205" s="14">
        <f t="shared" ca="1" si="48"/>
        <v>0</v>
      </c>
      <c r="Z205" s="20">
        <f ca="1"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ca="1" si="45"/>
        <v>ok</v>
      </c>
      <c r="AJ205" s="5"/>
      <c r="AK205" t="str">
        <f ca="1">Tabela1[[#This Row],[Coluna1]]&amp;Tabela1[[#This Row],[PEDIDO]]</f>
        <v>P-188</v>
      </c>
      <c r="AL205"/>
      <c r="AM205"/>
      <c r="AN205"/>
      <c r="AO205" t="str">
        <f t="shared" ca="1" si="50"/>
        <v>T-072957-1/1073-TC-006/007</v>
      </c>
      <c r="AP205" t="str">
        <f ca="1">Tabela1[[#This Row],[TAG]]&amp;Tabela1[[#This Row],[PEDIDO]]&amp;Tabela1[[#This Row],[PRODUTO]]</f>
        <v>1073-TC-006/007P-188RMF</v>
      </c>
      <c r="AQ205" s="22" t="str">
        <f ca="1">Tabela1[[#This Row],[PRODUTO]]&amp;Tabela1[[#This Row],[TAG]]</f>
        <v>RMF1073-TC-006/007</v>
      </c>
      <c r="AR205" s="24" t="str">
        <f ca="1">Tabela1[[#This Row],[PEDIDO]]&amp;Tabela1[[#This Row],[PRODUTO]]</f>
        <v>P-188RMF</v>
      </c>
      <c r="AS205" s="37">
        <f ca="1">IF(AF205="",0,IF(ISTEXT(AF205),H205*VALUE(SUBSTITUTE(AF205,"%",""))/100,H205*AF205))-Tabela1[[#This Row],[PRONTO ACABADO2]]</f>
        <v>0</v>
      </c>
      <c r="AT205" s="37">
        <f ca="1">IF(AG205="",0,IF(ISTEXT(AG205),H205*VALUE(SUBSTITUTE(AG205,"%",""))/100,H205*AG205))-Tabela1[[#This Row],[PESO EXPEDIDO2]]</f>
        <v>0</v>
      </c>
      <c r="AU205" s="37">
        <f t="shared" ca="1" si="46"/>
        <v>200</v>
      </c>
      <c r="AV205" s="37">
        <f t="shared" ca="1" si="47"/>
        <v>200</v>
      </c>
      <c r="AW205" s="37"/>
    </row>
    <row r="206" spans="1:49" ht="15.75" hidden="1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 ca="1"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 ca="1">Tabela1[[#This Row],[QTDE/ Fabricação]]-Tabela1[[#This Row],[QTE]]</f>
        <v>-2</v>
      </c>
      <c r="R206" s="18">
        <f t="shared" ca="1" si="41"/>
        <v>163.36000000000001</v>
      </c>
      <c r="S206" s="18">
        <f t="shared" ca="1" si="49"/>
        <v>163.36000000000001</v>
      </c>
      <c r="T206" s="19">
        <f t="shared" ca="1" si="43"/>
        <v>0</v>
      </c>
      <c r="U206" s="205">
        <v>2</v>
      </c>
      <c r="V206" s="12" t="str">
        <f>IFERROR(VLOOKUP(Tabela1[[#This Row],[COD.MDE]],'LISTA DE EMBARQUE'!B:L,11,0),"")</f>
        <v/>
      </c>
      <c r="W206" s="13"/>
      <c r="X206" s="14">
        <f ca="1">IFERROR(Tabela1[[#This Row],[QIANTIDADE EXPEDIDA]]*Tabela1[[#This Row],[PESO UNI]],"")</f>
        <v>163.36000000000001</v>
      </c>
      <c r="Y206" s="14">
        <f t="shared" ca="1" si="48"/>
        <v>0</v>
      </c>
      <c r="Z206" s="20">
        <f ca="1"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ca="1" si="45"/>
        <v>ok</v>
      </c>
      <c r="AJ206" s="5"/>
      <c r="AK206" t="str">
        <f ca="1">Tabela1[[#This Row],[Coluna1]]&amp;Tabela1[[#This Row],[PEDIDO]]</f>
        <v>P-188</v>
      </c>
      <c r="AL206"/>
      <c r="AM206"/>
      <c r="AN206"/>
      <c r="AO206" t="str">
        <f t="shared" ca="1" si="50"/>
        <v>T-072960-1/1073-TC-006/007</v>
      </c>
      <c r="AP206" t="str">
        <f ca="1">Tabela1[[#This Row],[TAG]]&amp;Tabela1[[#This Row],[PEDIDO]]&amp;Tabela1[[#This Row],[PRODUTO]]</f>
        <v>1073-TC-006/007P-188RMF</v>
      </c>
      <c r="AQ206" s="22" t="str">
        <f ca="1">Tabela1[[#This Row],[PRODUTO]]&amp;Tabela1[[#This Row],[TAG]]</f>
        <v>RMF1073-TC-006/007</v>
      </c>
      <c r="AR206" s="24" t="str">
        <f ca="1">Tabela1[[#This Row],[PEDIDO]]&amp;Tabela1[[#This Row],[PRODUTO]]</f>
        <v>P-188RMF</v>
      </c>
      <c r="AS206" s="37">
        <f ca="1">IF(AF206="",0,IF(ISTEXT(AF206),H206*VALUE(SUBSTITUTE(AF206,"%",""))/100,H206*AF206))-Tabela1[[#This Row],[PRONTO ACABADO2]]</f>
        <v>0</v>
      </c>
      <c r="AT206" s="37">
        <f ca="1">IF(AG206="",0,IF(ISTEXT(AG206),H206*VALUE(SUBSTITUTE(AG206,"%",""))/100,H206*AG206))-Tabela1[[#This Row],[PESO EXPEDIDO2]]</f>
        <v>0</v>
      </c>
      <c r="AU206" s="37">
        <f t="shared" ca="1" si="46"/>
        <v>163.36000000000001</v>
      </c>
      <c r="AV206" s="37">
        <f t="shared" ca="1" si="47"/>
        <v>163.36000000000001</v>
      </c>
      <c r="AW206" s="37"/>
    </row>
    <row r="207" spans="1:49" ht="15.75" hidden="1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 ca="1"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 ca="1">Tabela1[[#This Row],[QTDE/ Fabricação]]-Tabela1[[#This Row],[QTE]]</f>
        <v>-2</v>
      </c>
      <c r="R207" s="18">
        <f t="shared" ca="1" si="41"/>
        <v>166.34</v>
      </c>
      <c r="S207" s="18">
        <f t="shared" ca="1" si="49"/>
        <v>166.34</v>
      </c>
      <c r="T207" s="19">
        <f t="shared" ca="1" si="43"/>
        <v>0</v>
      </c>
      <c r="U207" s="205">
        <v>2</v>
      </c>
      <c r="V207" s="12" t="str">
        <f ca="1">IFERROR(VLOOKUP(Tabela1[[#This Row],[COD.MDE]],'LISTA DE EMBARQUE'!B:L,11,0),"")</f>
        <v/>
      </c>
      <c r="W207" s="13"/>
      <c r="X207" s="14">
        <f ca="1">IFERROR(Tabela1[[#This Row],[QIANTIDADE EXPEDIDA]]*Tabela1[[#This Row],[PESO UNI]],"")</f>
        <v>166.34</v>
      </c>
      <c r="Y207" s="14">
        <f t="shared" ca="1" si="48"/>
        <v>0</v>
      </c>
      <c r="Z207" s="20">
        <f ca="1"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ca="1" si="45"/>
        <v>ok</v>
      </c>
      <c r="AJ207" s="5"/>
      <c r="AK207" t="str">
        <f ca="1">Tabela1[[#This Row],[Coluna1]]&amp;Tabela1[[#This Row],[PEDIDO]]</f>
        <v>P-188</v>
      </c>
      <c r="AL207"/>
      <c r="AM207"/>
      <c r="AN207"/>
      <c r="AO207" t="str">
        <f t="shared" ca="1" si="50"/>
        <v>T-072960-1/1073-TC-006/007</v>
      </c>
      <c r="AP207" t="str">
        <f ca="1">Tabela1[[#This Row],[TAG]]&amp;Tabela1[[#This Row],[PEDIDO]]&amp;Tabela1[[#This Row],[PRODUTO]]</f>
        <v>1073-TC-006/007P-188RMF</v>
      </c>
      <c r="AQ207" s="22" t="str">
        <f ca="1">Tabela1[[#This Row],[PRODUTO]]&amp;Tabela1[[#This Row],[TAG]]</f>
        <v>RMF1073-TC-006/007</v>
      </c>
      <c r="AR207" s="24" t="str">
        <f ca="1">Tabela1[[#This Row],[PEDIDO]]&amp;Tabela1[[#This Row],[PRODUTO]]</f>
        <v>P-188RMF</v>
      </c>
      <c r="AS207" s="37">
        <f ca="1">IF(AF207="",0,IF(ISTEXT(AF207),H207*VALUE(SUBSTITUTE(AF207,"%",""))/100,H207*AF207))-Tabela1[[#This Row],[PRONTO ACABADO2]]</f>
        <v>0</v>
      </c>
      <c r="AT207" s="37">
        <f ca="1">IF(AG207="",0,IF(ISTEXT(AG207),H207*VALUE(SUBSTITUTE(AG207,"%",""))/100,H207*AG207))-Tabela1[[#This Row],[PESO EXPEDIDO2]]</f>
        <v>0</v>
      </c>
      <c r="AU207" s="37">
        <f t="shared" ca="1" si="46"/>
        <v>166.34</v>
      </c>
      <c r="AV207" s="37">
        <f t="shared" ca="1" si="47"/>
        <v>166.34</v>
      </c>
      <c r="AW207" s="37"/>
    </row>
    <row r="208" spans="1:49" ht="15.75" hidden="1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 ca="1"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 ca="1">Tabela1[[#This Row],[QTDE/ Fabricação]]-Tabela1[[#This Row],[QTE]]</f>
        <v>-2</v>
      </c>
      <c r="R208" s="18">
        <f t="shared" ca="1" si="41"/>
        <v>230.2</v>
      </c>
      <c r="S208" s="18">
        <f t="shared" ca="1" si="49"/>
        <v>230.2</v>
      </c>
      <c r="T208" s="19">
        <f t="shared" ca="1" si="43"/>
        <v>0</v>
      </c>
      <c r="U208" s="205">
        <v>2</v>
      </c>
      <c r="V208" s="12" t="str">
        <f>IFERROR(VLOOKUP(Tabela1[[#This Row],[COD.MDE]],'LISTA DE EMBARQUE'!B:L,11,0),"")</f>
        <v/>
      </c>
      <c r="W208" s="13"/>
      <c r="X208" s="14">
        <f ca="1">IFERROR(Tabela1[[#This Row],[QIANTIDADE EXPEDIDA]]*Tabela1[[#This Row],[PESO UNI]],"")</f>
        <v>230.2</v>
      </c>
      <c r="Y208" s="14">
        <f t="shared" ca="1" si="48"/>
        <v>0</v>
      </c>
      <c r="Z208" s="20">
        <f ca="1"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ca="1" si="45"/>
        <v>ok</v>
      </c>
      <c r="AJ208" s="5"/>
      <c r="AK208" t="str">
        <f ca="1">Tabela1[[#This Row],[Coluna1]]&amp;Tabela1[[#This Row],[PEDIDO]]</f>
        <v>P-188</v>
      </c>
      <c r="AL208"/>
      <c r="AM208"/>
      <c r="AN208"/>
      <c r="AO208" t="str">
        <f t="shared" ca="1" si="50"/>
        <v>T-072960-1/1073-TC-006/007</v>
      </c>
      <c r="AP208" t="str">
        <f ca="1">Tabela1[[#This Row],[TAG]]&amp;Tabela1[[#This Row],[PEDIDO]]&amp;Tabela1[[#This Row],[PRODUTO]]</f>
        <v>1073-TC-006/007P-188RMF</v>
      </c>
      <c r="AQ208" s="22" t="str">
        <f ca="1">Tabela1[[#This Row],[PRODUTO]]&amp;Tabela1[[#This Row],[TAG]]</f>
        <v>RMF1073-TC-006/007</v>
      </c>
      <c r="AR208" s="24" t="str">
        <f ca="1">Tabela1[[#This Row],[PEDIDO]]&amp;Tabela1[[#This Row],[PRODUTO]]</f>
        <v>P-188RMF</v>
      </c>
      <c r="AS208" s="37">
        <f ca="1">IF(AF208="",0,IF(ISTEXT(AF208),H208*VALUE(SUBSTITUTE(AF208,"%",""))/100,H208*AF208))-Tabela1[[#This Row],[PRONTO ACABADO2]]</f>
        <v>0</v>
      </c>
      <c r="AT208" s="37">
        <f ca="1">IF(AG208="",0,IF(ISTEXT(AG208),H208*VALUE(SUBSTITUTE(AG208,"%",""))/100,H208*AG208))-Tabela1[[#This Row],[PESO EXPEDIDO2]]</f>
        <v>0</v>
      </c>
      <c r="AU208" s="37">
        <f t="shared" ca="1" si="46"/>
        <v>230.2</v>
      </c>
      <c r="AV208" s="37">
        <f t="shared" ca="1" si="47"/>
        <v>230.2</v>
      </c>
      <c r="AW208" s="37"/>
    </row>
    <row r="209" spans="1:49" ht="15.75" hidden="1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 ca="1"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 ca="1">Tabela1[[#This Row],[QTDE/ Fabricação]]-Tabela1[[#This Row],[QTE]]</f>
        <v>-2</v>
      </c>
      <c r="R209" s="18">
        <f t="shared" ca="1" si="41"/>
        <v>88.64</v>
      </c>
      <c r="S209" s="18">
        <f t="shared" ca="1" si="49"/>
        <v>88.64</v>
      </c>
      <c r="T209" s="19">
        <f t="shared" ca="1" si="43"/>
        <v>0</v>
      </c>
      <c r="U209" s="205">
        <v>2</v>
      </c>
      <c r="V209" s="12" t="str">
        <f>IFERROR(VLOOKUP(Tabela1[[#This Row],[COD.MDE]],'LISTA DE EMBARQUE'!B:L,11,0),"")</f>
        <v/>
      </c>
      <c r="W209" s="13"/>
      <c r="X209" s="14">
        <f ca="1">IFERROR(Tabela1[[#This Row],[QIANTIDADE EXPEDIDA]]*Tabela1[[#This Row],[PESO UNI]],"")</f>
        <v>88.64</v>
      </c>
      <c r="Y209" s="14">
        <f t="shared" ca="1" si="48"/>
        <v>0</v>
      </c>
      <c r="Z209" s="20">
        <f ca="1"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ca="1" si="45"/>
        <v>ok</v>
      </c>
      <c r="AJ209" s="5"/>
      <c r="AK209" t="str">
        <f ca="1">Tabela1[[#This Row],[Coluna1]]&amp;Tabela1[[#This Row],[PEDIDO]]</f>
        <v>P-188</v>
      </c>
      <c r="AL209"/>
      <c r="AM209"/>
      <c r="AN209"/>
      <c r="AO209" t="str">
        <f t="shared" ca="1" si="50"/>
        <v>T-072960-1/1073-TC-006/007</v>
      </c>
      <c r="AP209" t="str">
        <f ca="1">Tabela1[[#This Row],[TAG]]&amp;Tabela1[[#This Row],[PEDIDO]]&amp;Tabela1[[#This Row],[PRODUTO]]</f>
        <v>1073-TC-006/007P-188RMF</v>
      </c>
      <c r="AQ209" s="22" t="str">
        <f ca="1">Tabela1[[#This Row],[PRODUTO]]&amp;Tabela1[[#This Row],[TAG]]</f>
        <v>RMF1073-TC-006/007</v>
      </c>
      <c r="AR209" s="24" t="str">
        <f ca="1">Tabela1[[#This Row],[PEDIDO]]&amp;Tabela1[[#This Row],[PRODUTO]]</f>
        <v>P-188RMF</v>
      </c>
      <c r="AS209" s="37">
        <f ca="1">IF(AF209="",0,IF(ISTEXT(AF209),H209*VALUE(SUBSTITUTE(AF209,"%",""))/100,H209*AF209))-Tabela1[[#This Row],[PRONTO ACABADO2]]</f>
        <v>0</v>
      </c>
      <c r="AT209" s="37">
        <f ca="1">IF(AG209="",0,IF(ISTEXT(AG209),H209*VALUE(SUBSTITUTE(AG209,"%",""))/100,H209*AG209))-Tabela1[[#This Row],[PESO EXPEDIDO2]]</f>
        <v>0</v>
      </c>
      <c r="AU209" s="37">
        <f t="shared" ca="1" si="46"/>
        <v>88.64</v>
      </c>
      <c r="AV209" s="37">
        <f t="shared" ca="1" si="47"/>
        <v>88.64</v>
      </c>
      <c r="AW209" s="37"/>
    </row>
    <row r="210" spans="1:49" ht="15.75" hidden="1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 ca="1"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 ca="1">Tabela1[[#This Row],[QTDE/ Fabricação]]-Tabela1[[#This Row],[QTE]]</f>
        <v>-2</v>
      </c>
      <c r="R210" s="18">
        <f t="shared" ca="1" si="41"/>
        <v>203.5</v>
      </c>
      <c r="S210" s="18">
        <f t="shared" ca="1" si="49"/>
        <v>203.5</v>
      </c>
      <c r="T210" s="19">
        <f t="shared" ca="1" si="43"/>
        <v>0</v>
      </c>
      <c r="U210" s="205">
        <v>2</v>
      </c>
      <c r="V210" s="12" t="str">
        <f>IFERROR(VLOOKUP(Tabela1[[#This Row],[COD.MDE]],'LISTA DE EMBARQUE'!B:L,11,0),"")</f>
        <v/>
      </c>
      <c r="W210" s="13"/>
      <c r="X210" s="14">
        <f ca="1">IFERROR(Tabela1[[#This Row],[QIANTIDADE EXPEDIDA]]*Tabela1[[#This Row],[PESO UNI]],"")</f>
        <v>203.5</v>
      </c>
      <c r="Y210" s="14">
        <f t="shared" ca="1" si="48"/>
        <v>0</v>
      </c>
      <c r="Z210" s="20">
        <f ca="1"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ca="1" si="45"/>
        <v>ok</v>
      </c>
      <c r="AJ210" s="5"/>
      <c r="AK210" t="str">
        <f ca="1">Tabela1[[#This Row],[Coluna1]]&amp;Tabela1[[#This Row],[PEDIDO]]</f>
        <v>P-188</v>
      </c>
      <c r="AL210"/>
      <c r="AM210"/>
      <c r="AN210"/>
      <c r="AO210" t="str">
        <f t="shared" ca="1" si="50"/>
        <v>T-072964-1/1073-TC-006/007</v>
      </c>
      <c r="AP210" t="str">
        <f ca="1">Tabela1[[#This Row],[TAG]]&amp;Tabela1[[#This Row],[PEDIDO]]&amp;Tabela1[[#This Row],[PRODUTO]]</f>
        <v>1073-TC-006/007P-188RMF</v>
      </c>
      <c r="AQ210" s="22" t="str">
        <f ca="1">Tabela1[[#This Row],[PRODUTO]]&amp;Tabela1[[#This Row],[TAG]]</f>
        <v>RMF1073-TC-006/007</v>
      </c>
      <c r="AR210" s="24" t="str">
        <f ca="1">Tabela1[[#This Row],[PEDIDO]]&amp;Tabela1[[#This Row],[PRODUTO]]</f>
        <v>P-188RMF</v>
      </c>
      <c r="AS210" s="37">
        <f ca="1">IF(AF210="",0,IF(ISTEXT(AF210),H210*VALUE(SUBSTITUTE(AF210,"%",""))/100,H210*AF210))-Tabela1[[#This Row],[PRONTO ACABADO2]]</f>
        <v>0</v>
      </c>
      <c r="AT210" s="37">
        <f ca="1">IF(AG210="",0,IF(ISTEXT(AG210),H210*VALUE(SUBSTITUTE(AG210,"%",""))/100,H210*AG210))-Tabela1[[#This Row],[PESO EXPEDIDO2]]</f>
        <v>0</v>
      </c>
      <c r="AU210" s="37">
        <f t="shared" ca="1" si="46"/>
        <v>203.5</v>
      </c>
      <c r="AV210" s="37">
        <f t="shared" ca="1" si="47"/>
        <v>203.5</v>
      </c>
      <c r="AW210" s="37"/>
    </row>
    <row r="211" spans="1:49" ht="15.75" hidden="1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 ca="1"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 ca="1">Tabela1[[#This Row],[QTDE/ Fabricação]]-Tabela1[[#This Row],[QTE]]</f>
        <v>-4</v>
      </c>
      <c r="R211" s="18">
        <f t="shared" ca="1" si="41"/>
        <v>125.56</v>
      </c>
      <c r="S211" s="18">
        <f t="shared" ca="1" si="49"/>
        <v>125.56</v>
      </c>
      <c r="T211" s="19">
        <f t="shared" ca="1" si="43"/>
        <v>0</v>
      </c>
      <c r="U211" s="205">
        <v>4</v>
      </c>
      <c r="V211" s="12" t="str">
        <f>IFERROR(VLOOKUP(Tabela1[[#This Row],[COD.MDE]],'LISTA DE EMBARQUE'!B:L,11,0),"")</f>
        <v/>
      </c>
      <c r="W211" s="13"/>
      <c r="X211" s="14">
        <f ca="1">IFERROR(Tabela1[[#This Row],[QIANTIDADE EXPEDIDA]]*Tabela1[[#This Row],[PESO UNI]],"")</f>
        <v>125.56</v>
      </c>
      <c r="Y211" s="14">
        <f t="shared" ca="1" si="48"/>
        <v>0</v>
      </c>
      <c r="Z211" s="20">
        <f ca="1"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ca="1" si="45"/>
        <v>ok</v>
      </c>
      <c r="AJ211" s="5"/>
      <c r="AK211" t="str">
        <f ca="1">Tabela1[[#This Row],[Coluna1]]&amp;Tabela1[[#This Row],[PEDIDO]]</f>
        <v>P-188</v>
      </c>
      <c r="AL211"/>
      <c r="AM211"/>
      <c r="AN211"/>
      <c r="AO211" t="str">
        <f t="shared" ca="1" si="50"/>
        <v>T-072964-1/1073-TC-006/007</v>
      </c>
      <c r="AP211" t="str">
        <f ca="1">Tabela1[[#This Row],[TAG]]&amp;Tabela1[[#This Row],[PEDIDO]]&amp;Tabela1[[#This Row],[PRODUTO]]</f>
        <v>1073-TC-006/007P-188RMF</v>
      </c>
      <c r="AQ211" s="22" t="str">
        <f ca="1">Tabela1[[#This Row],[PRODUTO]]&amp;Tabela1[[#This Row],[TAG]]</f>
        <v>RMF1073-TC-006/007</v>
      </c>
      <c r="AR211" s="24" t="str">
        <f ca="1">Tabela1[[#This Row],[PEDIDO]]&amp;Tabela1[[#This Row],[PRODUTO]]</f>
        <v>P-188RMF</v>
      </c>
      <c r="AS211" s="37">
        <f ca="1">IF(AF211="",0,IF(ISTEXT(AF211),H211*VALUE(SUBSTITUTE(AF211,"%",""))/100,H211*AF211))-Tabela1[[#This Row],[PRONTO ACABADO2]]</f>
        <v>0</v>
      </c>
      <c r="AT211" s="37">
        <f ca="1">IF(AG211="",0,IF(ISTEXT(AG211),H211*VALUE(SUBSTITUTE(AG211,"%",""))/100,H211*AG211))-Tabela1[[#This Row],[PESO EXPEDIDO2]]</f>
        <v>0</v>
      </c>
      <c r="AU211" s="37">
        <f t="shared" ca="1" si="46"/>
        <v>125.56</v>
      </c>
      <c r="AV211" s="37">
        <f t="shared" ca="1" si="47"/>
        <v>125.56</v>
      </c>
      <c r="AW211" s="37"/>
    </row>
    <row r="212" spans="1:49" ht="15.75" hidden="1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 ca="1"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 ca="1">Tabela1[[#This Row],[QTDE/ Fabricação]]-Tabela1[[#This Row],[QTE]]</f>
        <v>-2</v>
      </c>
      <c r="R212" s="18">
        <f t="shared" ca="1" si="41"/>
        <v>124.24</v>
      </c>
      <c r="S212" s="18">
        <f t="shared" ca="1" si="49"/>
        <v>124.24</v>
      </c>
      <c r="T212" s="19">
        <f t="shared" ca="1" si="43"/>
        <v>0</v>
      </c>
      <c r="U212" s="205">
        <v>2</v>
      </c>
      <c r="V212" s="12" t="str">
        <f>IFERROR(VLOOKUP(Tabela1[[#This Row],[COD.MDE]],'LISTA DE EMBARQUE'!B:L,11,0),"")</f>
        <v/>
      </c>
      <c r="W212" s="13"/>
      <c r="X212" s="14">
        <f ca="1">IFERROR(Tabela1[[#This Row],[QIANTIDADE EXPEDIDA]]*Tabela1[[#This Row],[PESO UNI]],"")</f>
        <v>124.24</v>
      </c>
      <c r="Y212" s="14">
        <f t="shared" ca="1" si="48"/>
        <v>0</v>
      </c>
      <c r="Z212" s="20">
        <f ca="1"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ca="1" si="45"/>
        <v>ok</v>
      </c>
      <c r="AJ212" s="5"/>
      <c r="AK212" t="str">
        <f ca="1">Tabela1[[#This Row],[Coluna1]]&amp;Tabela1[[#This Row],[PEDIDO]]</f>
        <v>P-188</v>
      </c>
      <c r="AL212"/>
      <c r="AM212"/>
      <c r="AN212"/>
      <c r="AO212" t="str">
        <f t="shared" ca="1" si="50"/>
        <v>T-072964-1/1073-TC-006/007</v>
      </c>
      <c r="AP212" t="str">
        <f ca="1">Tabela1[[#This Row],[TAG]]&amp;Tabela1[[#This Row],[PEDIDO]]&amp;Tabela1[[#This Row],[PRODUTO]]</f>
        <v>1073-TC-006/007P-188RMF</v>
      </c>
      <c r="AQ212" s="22" t="str">
        <f ca="1">Tabela1[[#This Row],[PRODUTO]]&amp;Tabela1[[#This Row],[TAG]]</f>
        <v>RMF1073-TC-006/007</v>
      </c>
      <c r="AR212" s="24" t="str">
        <f ca="1">Tabela1[[#This Row],[PEDIDO]]&amp;Tabela1[[#This Row],[PRODUTO]]</f>
        <v>P-188RMF</v>
      </c>
      <c r="AS212" s="37">
        <f ca="1">IF(AF212="",0,IF(ISTEXT(AF212),H212*VALUE(SUBSTITUTE(AF212,"%",""))/100,H212*AF212))-Tabela1[[#This Row],[PRONTO ACABADO2]]</f>
        <v>0</v>
      </c>
      <c r="AT212" s="37">
        <f ca="1">IF(AG212="",0,IF(ISTEXT(AG212),H212*VALUE(SUBSTITUTE(AG212,"%",""))/100,H212*AG212))-Tabela1[[#This Row],[PESO EXPEDIDO2]]</f>
        <v>0</v>
      </c>
      <c r="AU212" s="37">
        <f t="shared" ca="1" si="46"/>
        <v>124.24</v>
      </c>
      <c r="AV212" s="37">
        <f t="shared" ca="1" si="47"/>
        <v>124.24</v>
      </c>
      <c r="AW212" s="37"/>
    </row>
    <row r="213" spans="1:49" ht="15.75" hidden="1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 ca="1"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 ca="1">Tabela1[[#This Row],[QTDE/ Fabricação]]-Tabela1[[#This Row],[QTE]]</f>
        <v>-2</v>
      </c>
      <c r="R213" s="18">
        <f t="shared" ca="1" si="41"/>
        <v>81.64</v>
      </c>
      <c r="S213" s="18">
        <f t="shared" ca="1" si="49"/>
        <v>81.64</v>
      </c>
      <c r="T213" s="19">
        <f t="shared" ca="1" si="43"/>
        <v>0</v>
      </c>
      <c r="U213" s="205">
        <v>2</v>
      </c>
      <c r="V213" s="12" t="str">
        <f>IFERROR(VLOOKUP(Tabela1[[#This Row],[COD.MDE]],'LISTA DE EMBARQUE'!B:L,11,0),"")</f>
        <v/>
      </c>
      <c r="W213" s="13"/>
      <c r="X213" s="14">
        <f ca="1">IFERROR(Tabela1[[#This Row],[QIANTIDADE EXPEDIDA]]*Tabela1[[#This Row],[PESO UNI]],"")</f>
        <v>81.64</v>
      </c>
      <c r="Y213" s="14">
        <f t="shared" ca="1" si="48"/>
        <v>0</v>
      </c>
      <c r="Z213" s="20">
        <f ca="1"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ca="1" si="45"/>
        <v>ok</v>
      </c>
      <c r="AJ213" s="5"/>
      <c r="AK213" t="str">
        <f ca="1">Tabela1[[#This Row],[Coluna1]]&amp;Tabela1[[#This Row],[PEDIDO]]</f>
        <v>P-188</v>
      </c>
      <c r="AL213"/>
      <c r="AM213"/>
      <c r="AN213"/>
      <c r="AO213" t="str">
        <f t="shared" ca="1" si="50"/>
        <v>T-072964-1/1073-TC-006/007</v>
      </c>
      <c r="AP213" t="str">
        <f ca="1">Tabela1[[#This Row],[TAG]]&amp;Tabela1[[#This Row],[PEDIDO]]&amp;Tabela1[[#This Row],[PRODUTO]]</f>
        <v>1073-TC-006/007P-188RMF</v>
      </c>
      <c r="AQ213" s="22" t="str">
        <f ca="1">Tabela1[[#This Row],[PRODUTO]]&amp;Tabela1[[#This Row],[TAG]]</f>
        <v>RMF1073-TC-006/007</v>
      </c>
      <c r="AR213" s="24" t="str">
        <f ca="1">Tabela1[[#This Row],[PEDIDO]]&amp;Tabela1[[#This Row],[PRODUTO]]</f>
        <v>P-188RMF</v>
      </c>
      <c r="AS213" s="37">
        <f ca="1">IF(AF213="",0,IF(ISTEXT(AF213),H213*VALUE(SUBSTITUTE(AF213,"%",""))/100,H213*AF213))-Tabela1[[#This Row],[PRONTO ACABADO2]]</f>
        <v>0</v>
      </c>
      <c r="AT213" s="37">
        <f ca="1">IF(AG213="",0,IF(ISTEXT(AG213),H213*VALUE(SUBSTITUTE(AG213,"%",""))/100,H213*AG213))-Tabela1[[#This Row],[PESO EXPEDIDO2]]</f>
        <v>0</v>
      </c>
      <c r="AU213" s="37">
        <f t="shared" ca="1" si="46"/>
        <v>81.64</v>
      </c>
      <c r="AV213" s="37">
        <f t="shared" ca="1" si="47"/>
        <v>81.64</v>
      </c>
      <c r="AW213" s="37"/>
    </row>
    <row r="214" spans="1:49" ht="15.75" hidden="1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 ca="1"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 ca="1">Tabela1[[#This Row],[QTDE/ Fabricação]]-Tabela1[[#This Row],[QTE]]</f>
        <v>-2</v>
      </c>
      <c r="R214" s="18">
        <f t="shared" ca="1" si="41"/>
        <v>78.760000000000005</v>
      </c>
      <c r="S214" s="18">
        <f t="shared" ca="1" si="49"/>
        <v>78.760000000000005</v>
      </c>
      <c r="T214" s="19">
        <f t="shared" ca="1" si="43"/>
        <v>0</v>
      </c>
      <c r="U214" s="205">
        <v>2</v>
      </c>
      <c r="V214" s="12" t="str">
        <f>IFERROR(VLOOKUP(Tabela1[[#This Row],[COD.MDE]],'LISTA DE EMBARQUE'!B:L,11,0),"")</f>
        <v/>
      </c>
      <c r="W214" s="13"/>
      <c r="X214" s="14">
        <f ca="1">IFERROR(Tabela1[[#This Row],[QIANTIDADE EXPEDIDA]]*Tabela1[[#This Row],[PESO UNI]],"")</f>
        <v>78.760000000000005</v>
      </c>
      <c r="Y214" s="14">
        <f t="shared" ca="1" si="48"/>
        <v>0</v>
      </c>
      <c r="Z214" s="20">
        <f ca="1"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ca="1" si="45"/>
        <v>ok</v>
      </c>
      <c r="AJ214" s="5"/>
      <c r="AK214" t="str">
        <f ca="1">Tabela1[[#This Row],[Coluna1]]&amp;Tabela1[[#This Row],[PEDIDO]]</f>
        <v>P-188</v>
      </c>
      <c r="AL214"/>
      <c r="AM214"/>
      <c r="AN214"/>
      <c r="AO214" t="str">
        <f t="shared" ca="1" si="50"/>
        <v>T-072965-1/1073-TC-006/007</v>
      </c>
      <c r="AP214" t="str">
        <f ca="1">Tabela1[[#This Row],[TAG]]&amp;Tabela1[[#This Row],[PEDIDO]]&amp;Tabela1[[#This Row],[PRODUTO]]</f>
        <v>1073-TC-006/007P-188RMF</v>
      </c>
      <c r="AQ214" s="22" t="str">
        <f ca="1">Tabela1[[#This Row],[PRODUTO]]&amp;Tabela1[[#This Row],[TAG]]</f>
        <v>RMF1073-TC-006/007</v>
      </c>
      <c r="AR214" s="24" t="str">
        <f ca="1">Tabela1[[#This Row],[PEDIDO]]&amp;Tabela1[[#This Row],[PRODUTO]]</f>
        <v>P-188RMF</v>
      </c>
      <c r="AS214" s="37">
        <f ca="1">IF(AF214="",0,IF(ISTEXT(AF214),H214*VALUE(SUBSTITUTE(AF214,"%",""))/100,H214*AF214))-Tabela1[[#This Row],[PRONTO ACABADO2]]</f>
        <v>0</v>
      </c>
      <c r="AT214" s="37">
        <f ca="1">IF(AG214="",0,IF(ISTEXT(AG214),H214*VALUE(SUBSTITUTE(AG214,"%",""))/100,H214*AG214))-Tabela1[[#This Row],[PESO EXPEDIDO2]]</f>
        <v>0</v>
      </c>
      <c r="AU214" s="37">
        <f t="shared" ca="1" si="46"/>
        <v>78.760000000000005</v>
      </c>
      <c r="AV214" s="37">
        <f t="shared" ca="1" si="47"/>
        <v>78.760000000000005</v>
      </c>
      <c r="AW214" s="37"/>
    </row>
    <row r="215" spans="1:49" ht="15.75" hidden="1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 ca="1"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 ca="1">Tabela1[[#This Row],[QTDE/ Fabricação]]-Tabela1[[#This Row],[QTE]]</f>
        <v>-4</v>
      </c>
      <c r="R215" s="18">
        <f t="shared" ca="1" si="41"/>
        <v>159.12</v>
      </c>
      <c r="S215" s="18">
        <f t="shared" ca="1" si="49"/>
        <v>159.12</v>
      </c>
      <c r="T215" s="19">
        <f t="shared" ca="1" si="43"/>
        <v>0</v>
      </c>
      <c r="U215" s="205">
        <v>4</v>
      </c>
      <c r="V215" s="12" t="str">
        <f ca="1">IFERROR(VLOOKUP(Tabela1[[#This Row],[COD.MDE]],'LISTA DE EMBARQUE'!B:L,11,0),"")</f>
        <v/>
      </c>
      <c r="W215" s="13"/>
      <c r="X215" s="14">
        <f ca="1">IFERROR(Tabela1[[#This Row],[QIANTIDADE EXPEDIDA]]*Tabela1[[#This Row],[PESO UNI]],"")</f>
        <v>159.12</v>
      </c>
      <c r="Y215" s="14">
        <f t="shared" ca="1" si="48"/>
        <v>0</v>
      </c>
      <c r="Z215" s="20">
        <f ca="1"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ca="1" si="45"/>
        <v>ok</v>
      </c>
      <c r="AJ215" s="5"/>
      <c r="AK215" t="str">
        <f ca="1">Tabela1[[#This Row],[Coluna1]]&amp;Tabela1[[#This Row],[PEDIDO]]</f>
        <v>P-188</v>
      </c>
      <c r="AL215"/>
      <c r="AM215"/>
      <c r="AN215"/>
      <c r="AO215" t="str">
        <f t="shared" ca="1" si="50"/>
        <v>T-072965-1/1073-TC-006/007</v>
      </c>
      <c r="AP215" t="str">
        <f ca="1">Tabela1[[#This Row],[TAG]]&amp;Tabela1[[#This Row],[PEDIDO]]&amp;Tabela1[[#This Row],[PRODUTO]]</f>
        <v>1073-TC-006/007P-188RMF</v>
      </c>
      <c r="AQ215" s="22" t="str">
        <f ca="1">Tabela1[[#This Row],[PRODUTO]]&amp;Tabela1[[#This Row],[TAG]]</f>
        <v>RMF1073-TC-006/007</v>
      </c>
      <c r="AR215" s="24" t="str">
        <f ca="1">Tabela1[[#This Row],[PEDIDO]]&amp;Tabela1[[#This Row],[PRODUTO]]</f>
        <v>P-188RMF</v>
      </c>
      <c r="AS215" s="37">
        <f ca="1">IF(AF215="",0,IF(ISTEXT(AF215),H215*VALUE(SUBSTITUTE(AF215,"%",""))/100,H215*AF215))-Tabela1[[#This Row],[PRONTO ACABADO2]]</f>
        <v>0</v>
      </c>
      <c r="AT215" s="37">
        <f ca="1">IF(AG215="",0,IF(ISTEXT(AG215),H215*VALUE(SUBSTITUTE(AG215,"%",""))/100,H215*AG215))-Tabela1[[#This Row],[PESO EXPEDIDO2]]</f>
        <v>0</v>
      </c>
      <c r="AU215" s="37">
        <f t="shared" ca="1" si="46"/>
        <v>159.12</v>
      </c>
      <c r="AV215" s="37">
        <f t="shared" ca="1" si="47"/>
        <v>159.12</v>
      </c>
      <c r="AW215" s="37"/>
    </row>
    <row r="216" spans="1:49" ht="15.75" hidden="1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 ca="1"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 ca="1">Tabela1[[#This Row],[QTDE/ Fabricação]]-Tabela1[[#This Row],[QTE]]</f>
        <v>-4</v>
      </c>
      <c r="R216" s="18">
        <f t="shared" ca="1" si="41"/>
        <v>539.91999999999996</v>
      </c>
      <c r="S216" s="18">
        <f t="shared" ca="1" si="49"/>
        <v>539.91999999999996</v>
      </c>
      <c r="T216" s="19">
        <f t="shared" ca="1" si="43"/>
        <v>0</v>
      </c>
      <c r="U216" s="205">
        <v>4</v>
      </c>
      <c r="V216" s="12" t="str">
        <f>IFERROR(VLOOKUP(Tabela1[[#This Row],[COD.MDE]],'LISTA DE EMBARQUE'!B:L,11,0),"")</f>
        <v/>
      </c>
      <c r="W216" s="13"/>
      <c r="X216" s="14">
        <f ca="1">IFERROR(Tabela1[[#This Row],[QIANTIDADE EXPEDIDA]]*Tabela1[[#This Row],[PESO UNI]],"")</f>
        <v>539.91999999999996</v>
      </c>
      <c r="Y216" s="14">
        <f t="shared" ca="1" si="48"/>
        <v>0</v>
      </c>
      <c r="Z216" s="20">
        <f ca="1"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ca="1" si="45"/>
        <v>ok</v>
      </c>
      <c r="AJ216" s="5"/>
      <c r="AK216" t="str">
        <f ca="1">Tabela1[[#This Row],[Coluna1]]&amp;Tabela1[[#This Row],[PEDIDO]]</f>
        <v>P-188</v>
      </c>
      <c r="AL216"/>
      <c r="AM216"/>
      <c r="AN216"/>
      <c r="AO216" t="str">
        <f t="shared" ca="1" si="50"/>
        <v>T-072965-1/1073-TC-006/007</v>
      </c>
      <c r="AP216" t="str">
        <f ca="1">Tabela1[[#This Row],[TAG]]&amp;Tabela1[[#This Row],[PEDIDO]]&amp;Tabela1[[#This Row],[PRODUTO]]</f>
        <v>1073-TC-006/007P-188RMF</v>
      </c>
      <c r="AQ216" s="22" t="str">
        <f ca="1">Tabela1[[#This Row],[PRODUTO]]&amp;Tabela1[[#This Row],[TAG]]</f>
        <v>RMF1073-TC-006/007</v>
      </c>
      <c r="AR216" s="24" t="str">
        <f ca="1">Tabela1[[#This Row],[PEDIDO]]&amp;Tabela1[[#This Row],[PRODUTO]]</f>
        <v>P-188RMF</v>
      </c>
      <c r="AS216" s="37">
        <f ca="1">IF(AF216="",0,IF(ISTEXT(AF216),H216*VALUE(SUBSTITUTE(AF216,"%",""))/100,H216*AF216))-Tabela1[[#This Row],[PRONTO ACABADO2]]</f>
        <v>0</v>
      </c>
      <c r="AT216" s="37">
        <f ca="1">IF(AG216="",0,IF(ISTEXT(AG216),H216*VALUE(SUBSTITUTE(AG216,"%",""))/100,H216*AG216))-Tabela1[[#This Row],[PESO EXPEDIDO2]]</f>
        <v>0</v>
      </c>
      <c r="AU216" s="37">
        <f t="shared" ca="1" si="46"/>
        <v>539.91999999999996</v>
      </c>
      <c r="AV216" s="37">
        <f t="shared" ca="1" si="47"/>
        <v>539.91999999999996</v>
      </c>
      <c r="AW216" s="37"/>
    </row>
    <row r="217" spans="1:49" ht="15.75" hidden="1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 ca="1"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 ca="1">Tabela1[[#This Row],[QTDE/ Fabricação]]-Tabela1[[#This Row],[QTE]]</f>
        <v>-4</v>
      </c>
      <c r="R217" s="18">
        <f t="shared" ref="R217:R280" ca="1" si="51">IFERROR(H217*((AA217*0.25)+(AC217*0.25)+(AD217*0.225)+(AE217*0.225)+(AF217*0.05)),"")</f>
        <v>189.88</v>
      </c>
      <c r="S217" s="18">
        <f t="shared" ca="1" si="49"/>
        <v>189.88</v>
      </c>
      <c r="T217" s="19">
        <f t="shared" ref="T217:T280" ca="1" si="52">IFERROR(S217-H217,"")</f>
        <v>0</v>
      </c>
      <c r="U217" s="205">
        <v>4</v>
      </c>
      <c r="V217" s="12">
        <v>13</v>
      </c>
      <c r="W217" s="13"/>
      <c r="X217" s="14">
        <f ca="1">IFERROR(Tabela1[[#This Row],[QIANTIDADE EXPEDIDA]]*Tabela1[[#This Row],[PESO UNI]],"")</f>
        <v>189.88</v>
      </c>
      <c r="Y217" s="14">
        <f t="shared" ca="1" si="48"/>
        <v>0</v>
      </c>
      <c r="Z217" s="20">
        <f ca="1"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ca="1" si="45"/>
        <v>ok</v>
      </c>
      <c r="AJ217" s="5"/>
      <c r="AK217" t="str">
        <f ca="1">Tabela1[[#This Row],[Coluna1]]&amp;Tabela1[[#This Row],[PEDIDO]]</f>
        <v>P-188</v>
      </c>
      <c r="AL217"/>
      <c r="AM217"/>
      <c r="AN217"/>
      <c r="AO217" t="str">
        <f t="shared" ca="1" si="50"/>
        <v>T-072966-1/1073-TC-006/007</v>
      </c>
      <c r="AP217" t="str">
        <f ca="1">Tabela1[[#This Row],[TAG]]&amp;Tabela1[[#This Row],[PEDIDO]]&amp;Tabela1[[#This Row],[PRODUTO]]</f>
        <v>1073-TC-006/007P-188RMF</v>
      </c>
      <c r="AQ217" s="22" t="str">
        <f ca="1">Tabela1[[#This Row],[PRODUTO]]&amp;Tabela1[[#This Row],[TAG]]</f>
        <v>RMF1073-TC-006/007</v>
      </c>
      <c r="AR217" s="24" t="str">
        <f ca="1">Tabela1[[#This Row],[PEDIDO]]&amp;Tabela1[[#This Row],[PRODUTO]]</f>
        <v>P-188RMF</v>
      </c>
      <c r="AS217" s="37">
        <f ca="1">IF(AF217="",0,IF(ISTEXT(AF217),H217*VALUE(SUBSTITUTE(AF217,"%",""))/100,H217*AF217))-Tabela1[[#This Row],[PRONTO ACABADO2]]</f>
        <v>0</v>
      </c>
      <c r="AT217" s="37">
        <f ca="1">IF(AG217="",0,IF(ISTEXT(AG217),H217*VALUE(SUBSTITUTE(AG217,"%",""))/100,H217*AG217))-Tabela1[[#This Row],[PESO EXPEDIDO2]]</f>
        <v>0</v>
      </c>
      <c r="AU217" s="37">
        <f t="shared" ca="1" si="46"/>
        <v>189.88</v>
      </c>
      <c r="AV217" s="37">
        <f t="shared" ca="1" si="47"/>
        <v>189.88</v>
      </c>
      <c r="AW217" s="37"/>
    </row>
    <row r="218" spans="1:49" ht="15.75" hidden="1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 ca="1"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 ca="1">Tabela1[[#This Row],[QTDE/ Fabricação]]-Tabela1[[#This Row],[QTE]]</f>
        <v>-2</v>
      </c>
      <c r="R218" s="18">
        <f t="shared" ca="1" si="51"/>
        <v>101.64</v>
      </c>
      <c r="S218" s="18">
        <f t="shared" ca="1" si="49"/>
        <v>101.64</v>
      </c>
      <c r="T218" s="19">
        <f t="shared" ca="1" si="52"/>
        <v>0</v>
      </c>
      <c r="U218" s="205">
        <v>2</v>
      </c>
      <c r="V218" s="12">
        <v>13</v>
      </c>
      <c r="W218" s="13"/>
      <c r="X218" s="14">
        <f ca="1">IFERROR(Tabela1[[#This Row],[QIANTIDADE EXPEDIDA]]*Tabela1[[#This Row],[PESO UNI]],"")</f>
        <v>101.64</v>
      </c>
      <c r="Y218" s="14">
        <f t="shared" ca="1" si="48"/>
        <v>0</v>
      </c>
      <c r="Z218" s="20">
        <f ca="1"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ca="1" si="45"/>
        <v>ok</v>
      </c>
      <c r="AJ218" s="5"/>
      <c r="AK218" t="str">
        <f ca="1">Tabela1[[#This Row],[Coluna1]]&amp;Tabela1[[#This Row],[PEDIDO]]</f>
        <v>P-188</v>
      </c>
      <c r="AL218"/>
      <c r="AM218"/>
      <c r="AN218"/>
      <c r="AO218" t="str">
        <f t="shared" ca="1" si="50"/>
        <v>T-072966-1/1073-TC-006/007</v>
      </c>
      <c r="AP218" t="str">
        <f ca="1">Tabela1[[#This Row],[TAG]]&amp;Tabela1[[#This Row],[PEDIDO]]&amp;Tabela1[[#This Row],[PRODUTO]]</f>
        <v>1073-TC-006/007P-188RMF</v>
      </c>
      <c r="AQ218" s="22" t="str">
        <f ca="1">Tabela1[[#This Row],[PRODUTO]]&amp;Tabela1[[#This Row],[TAG]]</f>
        <v>RMF1073-TC-006/007</v>
      </c>
      <c r="AR218" s="24" t="str">
        <f ca="1">Tabela1[[#This Row],[PEDIDO]]&amp;Tabela1[[#This Row],[PRODUTO]]</f>
        <v>P-188RMF</v>
      </c>
      <c r="AS218" s="37">
        <f ca="1">IF(AF218="",0,IF(ISTEXT(AF218),H218*VALUE(SUBSTITUTE(AF218,"%",""))/100,H218*AF218))-Tabela1[[#This Row],[PRONTO ACABADO2]]</f>
        <v>0</v>
      </c>
      <c r="AT218" s="37">
        <f ca="1">IF(AG218="",0,IF(ISTEXT(AG218),H218*VALUE(SUBSTITUTE(AG218,"%",""))/100,H218*AG218))-Tabela1[[#This Row],[PESO EXPEDIDO2]]</f>
        <v>0</v>
      </c>
      <c r="AU218" s="37">
        <f t="shared" ca="1" si="46"/>
        <v>101.64</v>
      </c>
      <c r="AV218" s="37">
        <f t="shared" ca="1" si="47"/>
        <v>101.64</v>
      </c>
      <c r="AW218" s="37"/>
    </row>
    <row r="219" spans="1:49" ht="15.75" hidden="1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 ca="1"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 ca="1">Tabela1[[#This Row],[QTDE/ Fabricação]]-Tabela1[[#This Row],[QTE]]</f>
        <v>-2</v>
      </c>
      <c r="R219" s="18">
        <f t="shared" ca="1" si="51"/>
        <v>111.62</v>
      </c>
      <c r="S219" s="18">
        <f t="shared" ca="1" si="49"/>
        <v>111.62</v>
      </c>
      <c r="T219" s="19">
        <f t="shared" ca="1" si="52"/>
        <v>0</v>
      </c>
      <c r="U219" s="205">
        <v>2</v>
      </c>
      <c r="V219" s="12">
        <v>13</v>
      </c>
      <c r="W219" s="13"/>
      <c r="X219" s="14">
        <f ca="1">IFERROR(Tabela1[[#This Row],[QIANTIDADE EXPEDIDA]]*Tabela1[[#This Row],[PESO UNI]],"")</f>
        <v>111.62</v>
      </c>
      <c r="Y219" s="14">
        <f t="shared" ca="1" si="48"/>
        <v>0</v>
      </c>
      <c r="Z219" s="20">
        <f ca="1"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ca="1" si="53">IF(Z219&lt;=0,"ok","")</f>
        <v>ok</v>
      </c>
      <c r="AJ219" s="5"/>
      <c r="AK219" t="str">
        <f ca="1">Tabela1[[#This Row],[Coluna1]]&amp;Tabela1[[#This Row],[PEDIDO]]</f>
        <v>P-188</v>
      </c>
      <c r="AL219"/>
      <c r="AM219"/>
      <c r="AN219"/>
      <c r="AO219" t="str">
        <f t="shared" ca="1" si="50"/>
        <v>T-072966-1/1073-TC-006/007</v>
      </c>
      <c r="AP219" t="str">
        <f ca="1">Tabela1[[#This Row],[TAG]]&amp;Tabela1[[#This Row],[PEDIDO]]&amp;Tabela1[[#This Row],[PRODUTO]]</f>
        <v>1073-TC-006/007P-188RMF</v>
      </c>
      <c r="AQ219" s="22" t="str">
        <f ca="1">Tabela1[[#This Row],[PRODUTO]]&amp;Tabela1[[#This Row],[TAG]]</f>
        <v>RMF1073-TC-006/007</v>
      </c>
      <c r="AR219" s="24" t="str">
        <f ca="1">Tabela1[[#This Row],[PEDIDO]]&amp;Tabela1[[#This Row],[PRODUTO]]</f>
        <v>P-188RMF</v>
      </c>
      <c r="AS219" s="37">
        <f ca="1">IF(AF219="",0,IF(ISTEXT(AF219),H219*VALUE(SUBSTITUTE(AF219,"%",""))/100,H219*AF219))-Tabela1[[#This Row],[PRONTO ACABADO2]]</f>
        <v>0</v>
      </c>
      <c r="AT219" s="37">
        <f ca="1">IF(AG219="",0,IF(ISTEXT(AG219),H219*VALUE(SUBSTITUTE(AG219,"%",""))/100,H219*AG219))-Tabela1[[#This Row],[PESO EXPEDIDO2]]</f>
        <v>0</v>
      </c>
      <c r="AU219" s="37">
        <f t="shared" ca="1" si="46"/>
        <v>111.62</v>
      </c>
      <c r="AV219" s="37">
        <f t="shared" ca="1" si="47"/>
        <v>111.62</v>
      </c>
      <c r="AW219" s="37"/>
    </row>
    <row r="220" spans="1:49" ht="15.75" hidden="1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 ca="1"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 ca="1">Tabela1[[#This Row],[QTDE/ Fabricação]]-Tabela1[[#This Row],[QTE]]</f>
        <v>-2</v>
      </c>
      <c r="R220" s="18">
        <f t="shared" ca="1" si="51"/>
        <v>156.66</v>
      </c>
      <c r="S220" s="18">
        <f t="shared" ca="1" si="49"/>
        <v>156.66</v>
      </c>
      <c r="T220" s="19">
        <f t="shared" ca="1" si="52"/>
        <v>0</v>
      </c>
      <c r="U220" s="205">
        <v>2</v>
      </c>
      <c r="V220" s="12">
        <v>13</v>
      </c>
      <c r="W220" s="13"/>
      <c r="X220" s="14">
        <f ca="1">IFERROR(Tabela1[[#This Row],[QIANTIDADE EXPEDIDA]]*Tabela1[[#This Row],[PESO UNI]],"")</f>
        <v>156.66</v>
      </c>
      <c r="Y220" s="14">
        <f t="shared" ca="1" si="48"/>
        <v>0</v>
      </c>
      <c r="Z220" s="20">
        <f ca="1"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ca="1" si="53"/>
        <v>ok</v>
      </c>
      <c r="AJ220" s="5"/>
      <c r="AK220" t="str">
        <f ca="1">Tabela1[[#This Row],[Coluna1]]&amp;Tabela1[[#This Row],[PEDIDO]]</f>
        <v>P-188</v>
      </c>
      <c r="AL220"/>
      <c r="AM220"/>
      <c r="AN220"/>
      <c r="AO220" t="str">
        <f t="shared" ca="1" si="50"/>
        <v>T-072966-1/1073-TC-006/007</v>
      </c>
      <c r="AP220" t="str">
        <f ca="1">Tabela1[[#This Row],[TAG]]&amp;Tabela1[[#This Row],[PEDIDO]]&amp;Tabela1[[#This Row],[PRODUTO]]</f>
        <v>1073-TC-006/007P-188RMF</v>
      </c>
      <c r="AQ220" s="22" t="str">
        <f ca="1">Tabela1[[#This Row],[PRODUTO]]&amp;Tabela1[[#This Row],[TAG]]</f>
        <v>RMF1073-TC-006/007</v>
      </c>
      <c r="AR220" s="24" t="str">
        <f ca="1">Tabela1[[#This Row],[PEDIDO]]&amp;Tabela1[[#This Row],[PRODUTO]]</f>
        <v>P-188RMF</v>
      </c>
      <c r="AS220" s="37">
        <f ca="1">IF(AF220="",0,IF(ISTEXT(AF220),H220*VALUE(SUBSTITUTE(AF220,"%",""))/100,H220*AF220))-Tabela1[[#This Row],[PRONTO ACABADO2]]</f>
        <v>0</v>
      </c>
      <c r="AT220" s="37">
        <f ca="1">IF(AG220="",0,IF(ISTEXT(AG220),H220*VALUE(SUBSTITUTE(AG220,"%",""))/100,H220*AG220))-Tabela1[[#This Row],[PESO EXPEDIDO2]]</f>
        <v>0</v>
      </c>
      <c r="AU220" s="37">
        <f t="shared" ca="1" si="46"/>
        <v>156.66</v>
      </c>
      <c r="AV220" s="37">
        <f t="shared" ca="1" si="47"/>
        <v>156.66</v>
      </c>
      <c r="AW220" s="37"/>
    </row>
    <row r="221" spans="1:49" ht="15.75" hidden="1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 ca="1"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 ca="1">Tabela1[[#This Row],[QTDE/ Fabricação]]-Tabela1[[#This Row],[QTE]]</f>
        <v>-2</v>
      </c>
      <c r="R221" s="18">
        <f t="shared" ca="1" si="51"/>
        <v>151.04</v>
      </c>
      <c r="S221" s="18">
        <f t="shared" ca="1" si="49"/>
        <v>151.04</v>
      </c>
      <c r="T221" s="19">
        <f t="shared" ca="1" si="52"/>
        <v>0</v>
      </c>
      <c r="U221" s="205">
        <v>2</v>
      </c>
      <c r="V221" s="12">
        <v>13</v>
      </c>
      <c r="W221" s="13"/>
      <c r="X221" s="14">
        <f ca="1">IFERROR(Tabela1[[#This Row],[QIANTIDADE EXPEDIDA]]*Tabela1[[#This Row],[PESO UNI]],"")</f>
        <v>151.04</v>
      </c>
      <c r="Y221" s="14">
        <f t="shared" ca="1" si="48"/>
        <v>0</v>
      </c>
      <c r="Z221" s="20">
        <f ca="1"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ca="1" si="53"/>
        <v>ok</v>
      </c>
      <c r="AJ221" s="5"/>
      <c r="AK221" t="str">
        <f ca="1">Tabela1[[#This Row],[Coluna1]]&amp;Tabela1[[#This Row],[PEDIDO]]</f>
        <v>P-188</v>
      </c>
      <c r="AL221"/>
      <c r="AM221"/>
      <c r="AN221"/>
      <c r="AO221" t="str">
        <f t="shared" ca="1" si="50"/>
        <v>T-072966-1/1073-TC-006/007</v>
      </c>
      <c r="AP221" t="str">
        <f ca="1">Tabela1[[#This Row],[TAG]]&amp;Tabela1[[#This Row],[PEDIDO]]&amp;Tabela1[[#This Row],[PRODUTO]]</f>
        <v>1073-TC-006/007P-188RMF</v>
      </c>
      <c r="AQ221" s="22" t="str">
        <f ca="1">Tabela1[[#This Row],[PRODUTO]]&amp;Tabela1[[#This Row],[TAG]]</f>
        <v>RMF1073-TC-006/007</v>
      </c>
      <c r="AR221" s="24" t="str">
        <f ca="1">Tabela1[[#This Row],[PEDIDO]]&amp;Tabela1[[#This Row],[PRODUTO]]</f>
        <v>P-188RMF</v>
      </c>
      <c r="AS221" s="37">
        <f ca="1">IF(AF221="",0,IF(ISTEXT(AF221),H221*VALUE(SUBSTITUTE(AF221,"%",""))/100,H221*AF221))-Tabela1[[#This Row],[PRONTO ACABADO2]]</f>
        <v>0</v>
      </c>
      <c r="AT221" s="37">
        <f ca="1">IF(AG221="",0,IF(ISTEXT(AG221),H221*VALUE(SUBSTITUTE(AG221,"%",""))/100,H221*AG221))-Tabela1[[#This Row],[PESO EXPEDIDO2]]</f>
        <v>0</v>
      </c>
      <c r="AU221" s="37">
        <f t="shared" ca="1" si="46"/>
        <v>151.04</v>
      </c>
      <c r="AV221" s="37">
        <f t="shared" ca="1" si="47"/>
        <v>151.04</v>
      </c>
      <c r="AW221" s="37"/>
    </row>
    <row r="222" spans="1:49" ht="15.75" hidden="1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 ca="1"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 ca="1">Tabela1[[#This Row],[QTDE/ Fabricação]]-Tabela1[[#This Row],[QTE]]</f>
        <v>-2</v>
      </c>
      <c r="R222" s="18">
        <f t="shared" ca="1" si="51"/>
        <v>350.08</v>
      </c>
      <c r="S222" s="18">
        <f t="shared" ca="1" si="49"/>
        <v>350.08</v>
      </c>
      <c r="T222" s="19">
        <f t="shared" ca="1" si="52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 ca="1">IFERROR(Tabela1[[#This Row],[QIANTIDADE EXPEDIDA]]*Tabela1[[#This Row],[PESO UNI]],"")</f>
        <v>350.08</v>
      </c>
      <c r="Y222" s="14">
        <f t="shared" ca="1" si="48"/>
        <v>0</v>
      </c>
      <c r="Z222" s="20">
        <f ca="1"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ca="1" si="53"/>
        <v>ok</v>
      </c>
      <c r="AJ222" s="5"/>
      <c r="AK222" t="str">
        <f ca="1">Tabela1[[#This Row],[Coluna1]]&amp;Tabela1[[#This Row],[PEDIDO]]</f>
        <v>P-188</v>
      </c>
      <c r="AL222"/>
      <c r="AM222"/>
      <c r="AN222"/>
      <c r="AO222" t="str">
        <f t="shared" ca="1" si="50"/>
        <v>T-072963-1/1073-TC-006/007</v>
      </c>
      <c r="AP222" t="str">
        <f ca="1">Tabela1[[#This Row],[TAG]]&amp;Tabela1[[#This Row],[PEDIDO]]&amp;Tabela1[[#This Row],[PRODUTO]]</f>
        <v>1073-TC-006/007P-188RMF</v>
      </c>
      <c r="AQ222" s="22" t="str">
        <f ca="1">Tabela1[[#This Row],[PRODUTO]]&amp;Tabela1[[#This Row],[TAG]]</f>
        <v>RMF1073-TC-006/007</v>
      </c>
      <c r="AR222" s="24" t="str">
        <f ca="1">Tabela1[[#This Row],[PEDIDO]]&amp;Tabela1[[#This Row],[PRODUTO]]</f>
        <v>P-188RMF</v>
      </c>
      <c r="AS222" s="37">
        <f ca="1">IF(AF222="",0,IF(ISTEXT(AF222),H222*VALUE(SUBSTITUTE(AF222,"%",""))/100,H222*AF222))-Tabela1[[#This Row],[PRONTO ACABADO2]]</f>
        <v>0</v>
      </c>
      <c r="AT222" s="37">
        <f ca="1">IF(AG222="",0,IF(ISTEXT(AG222),H222*VALUE(SUBSTITUTE(AG222,"%",""))/100,H222*AG222))-Tabela1[[#This Row],[PESO EXPEDIDO2]]</f>
        <v>0</v>
      </c>
      <c r="AU222" s="37">
        <f t="shared" ca="1" si="46"/>
        <v>350.08</v>
      </c>
      <c r="AV222" s="37">
        <f t="shared" ca="1" si="47"/>
        <v>350.08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 ca="1"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 ca="1">Tabela1[[#This Row],[QTDE/ Fabricação]]-Tabela1[[#This Row],[QTE]]</f>
        <v>-2</v>
      </c>
      <c r="R223" s="18">
        <f t="shared" ca="1" si="51"/>
        <v>304.44</v>
      </c>
      <c r="S223" s="18">
        <f t="shared" ca="1" si="49"/>
        <v>304.44</v>
      </c>
      <c r="T223" s="19">
        <f t="shared" ca="1" si="52"/>
        <v>0</v>
      </c>
      <c r="U223" s="205">
        <v>2</v>
      </c>
      <c r="V223" s="12" t="str">
        <f>IFERROR(VLOOKUP(Tabela1[[#This Row],[COD.MDE]],'LISTA DE EMBARQUE'!B:L,11,0),"")</f>
        <v/>
      </c>
      <c r="W223" s="13"/>
      <c r="X223" s="14">
        <f ca="1">IFERROR(Tabela1[[#This Row],[QIANTIDADE EXPEDIDA]]*Tabela1[[#This Row],[PESO UNI]],"")</f>
        <v>304.44</v>
      </c>
      <c r="Y223" s="14">
        <f t="shared" ca="1" si="48"/>
        <v>0</v>
      </c>
      <c r="Z223" s="20">
        <f ca="1"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ca="1" si="53"/>
        <v>ok</v>
      </c>
      <c r="AJ223" s="5"/>
      <c r="AK223" t="str">
        <f ca="1">Tabela1[[#This Row],[Coluna1]]&amp;Tabela1[[#This Row],[PEDIDO]]</f>
        <v>P-188</v>
      </c>
      <c r="AL223"/>
      <c r="AM223"/>
      <c r="AN223"/>
      <c r="AO223" t="str">
        <f t="shared" ca="1" si="50"/>
        <v>T-072959-1/1073-TC-006/007</v>
      </c>
      <c r="AP223" t="str">
        <f ca="1">Tabela1[[#This Row],[TAG]]&amp;Tabela1[[#This Row],[PEDIDO]]&amp;Tabela1[[#This Row],[PRODUTO]]</f>
        <v>1073-TC-006/007P-188RMF</v>
      </c>
      <c r="AQ223" s="22" t="str">
        <f ca="1">Tabela1[[#This Row],[PRODUTO]]&amp;Tabela1[[#This Row],[TAG]]</f>
        <v>RMF1073-TC-006/007</v>
      </c>
      <c r="AR223" s="24" t="str">
        <f ca="1">Tabela1[[#This Row],[PEDIDO]]&amp;Tabela1[[#This Row],[PRODUTO]]</f>
        <v>P-188RMF</v>
      </c>
      <c r="AS223" s="37">
        <f ca="1">IF(AF223="",0,IF(ISTEXT(AF223),H223*VALUE(SUBSTITUTE(AF223,"%",""))/100,H223*AF223))-Tabela1[[#This Row],[PRONTO ACABADO2]]</f>
        <v>0</v>
      </c>
      <c r="AT223" s="37">
        <f ca="1">IF(AG223="",0,IF(ISTEXT(AG223),H223*VALUE(SUBSTITUTE(AG223,"%",""))/100,H223*AG223))-Tabela1[[#This Row],[PESO EXPEDIDO2]]</f>
        <v>0</v>
      </c>
      <c r="AU223" s="37">
        <f t="shared" ca="1" si="46"/>
        <v>304.44</v>
      </c>
      <c r="AV223" s="37">
        <f t="shared" ca="1" si="47"/>
        <v>304.44</v>
      </c>
      <c r="AW223" s="37"/>
    </row>
    <row r="224" spans="1:49" ht="15.75" hidden="1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 ca="1"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 ca="1">Tabela1[[#This Row],[QTDE/ Fabricação]]-Tabela1[[#This Row],[QTE]]</f>
        <v>-2</v>
      </c>
      <c r="R224" s="18">
        <f t="shared" ca="1" si="51"/>
        <v>304.44</v>
      </c>
      <c r="S224" s="18">
        <f t="shared" ca="1" si="49"/>
        <v>304.44</v>
      </c>
      <c r="T224" s="19">
        <f t="shared" ca="1" si="52"/>
        <v>0</v>
      </c>
      <c r="U224" s="205">
        <v>2</v>
      </c>
      <c r="V224" s="12" t="str">
        <f>IFERROR(VLOOKUP(Tabela1[[#This Row],[COD.MDE]],'LISTA DE EMBARQUE'!B:L,11,0),"")</f>
        <v/>
      </c>
      <c r="W224" s="13"/>
      <c r="X224" s="14">
        <f ca="1">IFERROR(Tabela1[[#This Row],[QIANTIDADE EXPEDIDA]]*Tabela1[[#This Row],[PESO UNI]],"")</f>
        <v>304.44</v>
      </c>
      <c r="Y224" s="14">
        <f t="shared" ca="1" si="48"/>
        <v>0</v>
      </c>
      <c r="Z224" s="20">
        <f ca="1"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ca="1" si="53"/>
        <v>ok</v>
      </c>
      <c r="AJ224" s="5"/>
      <c r="AK224" t="str">
        <f ca="1">Tabela1[[#This Row],[Coluna1]]&amp;Tabela1[[#This Row],[PEDIDO]]</f>
        <v>P-188</v>
      </c>
      <c r="AL224"/>
      <c r="AM224"/>
      <c r="AN224"/>
      <c r="AO224" t="str">
        <f t="shared" ca="1" si="50"/>
        <v>T-072959-1/1073-TC-006/007</v>
      </c>
      <c r="AP224" t="str">
        <f ca="1">Tabela1[[#This Row],[TAG]]&amp;Tabela1[[#This Row],[PEDIDO]]&amp;Tabela1[[#This Row],[PRODUTO]]</f>
        <v>1073-TC-006/007P-188RMF</v>
      </c>
      <c r="AQ224" s="22" t="str">
        <f ca="1">Tabela1[[#This Row],[PRODUTO]]&amp;Tabela1[[#This Row],[TAG]]</f>
        <v>RMF1073-TC-006/007</v>
      </c>
      <c r="AR224" s="24" t="str">
        <f ca="1">Tabela1[[#This Row],[PEDIDO]]&amp;Tabela1[[#This Row],[PRODUTO]]</f>
        <v>P-188RMF</v>
      </c>
      <c r="AS224" s="37">
        <f ca="1">IF(AF224="",0,IF(ISTEXT(AF224),H224*VALUE(SUBSTITUTE(AF224,"%",""))/100,H224*AF224))-Tabela1[[#This Row],[PRONTO ACABADO2]]</f>
        <v>0</v>
      </c>
      <c r="AT224" s="37">
        <f ca="1">IF(AG224="",0,IF(ISTEXT(AG224),H224*VALUE(SUBSTITUTE(AG224,"%",""))/100,H224*AG224))-Tabela1[[#This Row],[PESO EXPEDIDO2]]</f>
        <v>0</v>
      </c>
      <c r="AU224" s="37">
        <f t="shared" ca="1" si="46"/>
        <v>304.44</v>
      </c>
      <c r="AV224" s="37">
        <f t="shared" ca="1" si="47"/>
        <v>304.44</v>
      </c>
      <c r="AW224" s="37"/>
    </row>
    <row r="225" spans="1:49" ht="15.75" hidden="1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 ca="1"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 ca="1">Tabela1[[#This Row],[QTDE/ Fabricação]]-Tabela1[[#This Row],[QTE]]</f>
        <v>-10</v>
      </c>
      <c r="R225" s="18">
        <f t="shared" ca="1" si="51"/>
        <v>279</v>
      </c>
      <c r="S225" s="18">
        <f t="shared" ca="1" si="49"/>
        <v>279</v>
      </c>
      <c r="T225" s="19">
        <f t="shared" ca="1" si="52"/>
        <v>0</v>
      </c>
      <c r="U225" s="205">
        <v>10</v>
      </c>
      <c r="V225" s="12" t="str">
        <f>IFERROR(VLOOKUP(Tabela1[[#This Row],[COD.MDE]],'LISTA DE EMBARQUE'!B:L,11,0),"")</f>
        <v/>
      </c>
      <c r="W225" s="13"/>
      <c r="X225" s="14">
        <f ca="1">IFERROR(Tabela1[[#This Row],[QIANTIDADE EXPEDIDA]]*Tabela1[[#This Row],[PESO UNI]],"")</f>
        <v>279</v>
      </c>
      <c r="Y225" s="14">
        <f t="shared" ca="1" si="48"/>
        <v>0</v>
      </c>
      <c r="Z225" s="20">
        <f ca="1"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ca="1" si="53"/>
        <v>ok</v>
      </c>
      <c r="AJ225" s="5"/>
      <c r="AK225" t="str">
        <f ca="1">Tabela1[[#This Row],[Coluna1]]&amp;Tabela1[[#This Row],[PEDIDO]]</f>
        <v>P-188</v>
      </c>
      <c r="AL225"/>
      <c r="AM225"/>
      <c r="AN225"/>
      <c r="AO225" t="str">
        <f t="shared" ca="1" si="50"/>
        <v>T-072959-1/1073-TC-006/007</v>
      </c>
      <c r="AP225" t="str">
        <f ca="1">Tabela1[[#This Row],[TAG]]&amp;Tabela1[[#This Row],[PEDIDO]]&amp;Tabela1[[#This Row],[PRODUTO]]</f>
        <v>1073-TC-006/007P-188RMF</v>
      </c>
      <c r="AQ225" s="22" t="str">
        <f ca="1">Tabela1[[#This Row],[PRODUTO]]&amp;Tabela1[[#This Row],[TAG]]</f>
        <v>RMF1073-TC-006/007</v>
      </c>
      <c r="AR225" s="24" t="str">
        <f ca="1">Tabela1[[#This Row],[PEDIDO]]&amp;Tabela1[[#This Row],[PRODUTO]]</f>
        <v>P-188RMF</v>
      </c>
      <c r="AS225" s="37">
        <f ca="1">IF(AF225="",0,IF(ISTEXT(AF225),H225*VALUE(SUBSTITUTE(AF225,"%",""))/100,H225*AF225))-Tabela1[[#This Row],[PRONTO ACABADO2]]</f>
        <v>0</v>
      </c>
      <c r="AT225" s="37">
        <f ca="1">IF(AG225="",0,IF(ISTEXT(AG225),H225*VALUE(SUBSTITUTE(AG225,"%",""))/100,H225*AG225))-Tabela1[[#This Row],[PESO EXPEDIDO2]]</f>
        <v>0</v>
      </c>
      <c r="AU225" s="37">
        <f t="shared" ca="1" si="46"/>
        <v>279</v>
      </c>
      <c r="AV225" s="37">
        <f t="shared" ca="1" si="47"/>
        <v>279</v>
      </c>
      <c r="AW225" s="37"/>
    </row>
    <row r="226" spans="1:49" ht="15.75" hidden="1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 ca="1"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 ca="1">Tabela1[[#This Row],[QTDE/ Fabricação]]-Tabela1[[#This Row],[QTE]]</f>
        <v>-2</v>
      </c>
      <c r="R226" s="18">
        <f t="shared" ca="1" si="51"/>
        <v>50.04</v>
      </c>
      <c r="S226" s="18">
        <f t="shared" ca="1" si="49"/>
        <v>50.04</v>
      </c>
      <c r="T226" s="19">
        <f t="shared" ca="1" si="52"/>
        <v>0</v>
      </c>
      <c r="U226" s="205">
        <v>2</v>
      </c>
      <c r="V226" s="12" t="str">
        <f>IFERROR(VLOOKUP(Tabela1[[#This Row],[COD.MDE]],'LISTA DE EMBARQUE'!B:L,11,0),"")</f>
        <v/>
      </c>
      <c r="W226" s="13"/>
      <c r="X226" s="14">
        <f ca="1">IFERROR(Tabela1[[#This Row],[QIANTIDADE EXPEDIDA]]*Tabela1[[#This Row],[PESO UNI]],"")</f>
        <v>50.04</v>
      </c>
      <c r="Y226" s="14">
        <f t="shared" ca="1" si="48"/>
        <v>0</v>
      </c>
      <c r="Z226" s="20">
        <f ca="1"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ca="1" si="53"/>
        <v>ok</v>
      </c>
      <c r="AJ226" s="5"/>
      <c r="AK226" t="str">
        <f ca="1">Tabela1[[#This Row],[Coluna1]]&amp;Tabela1[[#This Row],[PEDIDO]]</f>
        <v>P-188</v>
      </c>
      <c r="AL226"/>
      <c r="AM226"/>
      <c r="AN226"/>
      <c r="AO226" t="str">
        <f t="shared" ca="1" si="50"/>
        <v>T-072959-1/1073-TC-006/007</v>
      </c>
      <c r="AP226" t="str">
        <f ca="1">Tabela1[[#This Row],[TAG]]&amp;Tabela1[[#This Row],[PEDIDO]]&amp;Tabela1[[#This Row],[PRODUTO]]</f>
        <v>1073-TC-006/007P-188RMF</v>
      </c>
      <c r="AQ226" s="22" t="str">
        <f ca="1">Tabela1[[#This Row],[PRODUTO]]&amp;Tabela1[[#This Row],[TAG]]</f>
        <v>RMF1073-TC-006/007</v>
      </c>
      <c r="AR226" s="24" t="str">
        <f ca="1">Tabela1[[#This Row],[PEDIDO]]&amp;Tabela1[[#This Row],[PRODUTO]]</f>
        <v>P-188RMF</v>
      </c>
      <c r="AS226" s="37">
        <f ca="1">IF(AF226="",0,IF(ISTEXT(AF226),H226*VALUE(SUBSTITUTE(AF226,"%",""))/100,H226*AF226))-Tabela1[[#This Row],[PRONTO ACABADO2]]</f>
        <v>0</v>
      </c>
      <c r="AT226" s="37">
        <f ca="1">IF(AG226="",0,IF(ISTEXT(AG226),H226*VALUE(SUBSTITUTE(AG226,"%",""))/100,H226*AG226))-Tabela1[[#This Row],[PESO EXPEDIDO2]]</f>
        <v>0</v>
      </c>
      <c r="AU226" s="37">
        <f t="shared" ca="1" si="46"/>
        <v>50.04</v>
      </c>
      <c r="AV226" s="37">
        <f t="shared" ca="1" si="47"/>
        <v>50.04</v>
      </c>
      <c r="AW226" s="37"/>
    </row>
    <row r="227" spans="1:49" ht="15.75" hidden="1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 ca="1"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 ca="1">Tabela1[[#This Row],[QTDE/ Fabricação]]-Tabela1[[#This Row],[QTE]]</f>
        <v>-2</v>
      </c>
      <c r="R227" s="18">
        <f t="shared" ca="1" si="51"/>
        <v>47.36</v>
      </c>
      <c r="S227" s="18">
        <f t="shared" ca="1" si="49"/>
        <v>47.36</v>
      </c>
      <c r="T227" s="19">
        <f t="shared" ca="1" si="52"/>
        <v>0</v>
      </c>
      <c r="U227" s="205">
        <v>2</v>
      </c>
      <c r="V227" s="12" t="str">
        <f ca="1">IFERROR(VLOOKUP(Tabela1[[#This Row],[COD.MDE]],'LISTA DE EMBARQUE'!B:L,11,0),"")</f>
        <v/>
      </c>
      <c r="W227" s="13"/>
      <c r="X227" s="14">
        <f ca="1">IFERROR(Tabela1[[#This Row],[QIANTIDADE EXPEDIDA]]*Tabela1[[#This Row],[PESO UNI]],"")</f>
        <v>47.36</v>
      </c>
      <c r="Y227" s="14">
        <f t="shared" ca="1" si="48"/>
        <v>0</v>
      </c>
      <c r="Z227" s="20">
        <f ca="1"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ca="1" si="53"/>
        <v>ok</v>
      </c>
      <c r="AJ227" s="5"/>
      <c r="AK227" t="str">
        <f ca="1">Tabela1[[#This Row],[Coluna1]]&amp;Tabela1[[#This Row],[PEDIDO]]</f>
        <v>P-188</v>
      </c>
      <c r="AL227"/>
      <c r="AM227"/>
      <c r="AN227"/>
      <c r="AO227" t="str">
        <f t="shared" ca="1" si="50"/>
        <v>T-072959-1/1073-TC-006/007</v>
      </c>
      <c r="AP227" t="str">
        <f ca="1">Tabela1[[#This Row],[TAG]]&amp;Tabela1[[#This Row],[PEDIDO]]&amp;Tabela1[[#This Row],[PRODUTO]]</f>
        <v>1073-TC-006/007P-188RMF</v>
      </c>
      <c r="AQ227" s="22" t="str">
        <f ca="1">Tabela1[[#This Row],[PRODUTO]]&amp;Tabela1[[#This Row],[TAG]]</f>
        <v>RMF1073-TC-006/007</v>
      </c>
      <c r="AR227" s="24" t="str">
        <f ca="1">Tabela1[[#This Row],[PEDIDO]]&amp;Tabela1[[#This Row],[PRODUTO]]</f>
        <v>P-188RMF</v>
      </c>
      <c r="AS227" s="37">
        <f ca="1">IF(AF227="",0,IF(ISTEXT(AF227),H227*VALUE(SUBSTITUTE(AF227,"%",""))/100,H227*AF227))-Tabela1[[#This Row],[PRONTO ACABADO2]]</f>
        <v>0</v>
      </c>
      <c r="AT227" s="37">
        <f ca="1">IF(AG227="",0,IF(ISTEXT(AG227),H227*VALUE(SUBSTITUTE(AG227,"%",""))/100,H227*AG227))-Tabela1[[#This Row],[PESO EXPEDIDO2]]</f>
        <v>0</v>
      </c>
      <c r="AU227" s="37">
        <f t="shared" ca="1" si="46"/>
        <v>47.36</v>
      </c>
      <c r="AV227" s="37">
        <f t="shared" ca="1" si="47"/>
        <v>47.36</v>
      </c>
      <c r="AW227" s="37"/>
    </row>
    <row r="228" spans="1:49" ht="15.75" hidden="1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 ca="1"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 ca="1">Tabela1[[#This Row],[QTDE/ Fabricação]]-Tabela1[[#This Row],[QTE]]</f>
        <v>-2</v>
      </c>
      <c r="R228" s="18">
        <f t="shared" ca="1" si="51"/>
        <v>245.96</v>
      </c>
      <c r="S228" s="18">
        <f t="shared" ca="1" si="49"/>
        <v>245.96</v>
      </c>
      <c r="T228" s="19">
        <f t="shared" ca="1" si="52"/>
        <v>0</v>
      </c>
      <c r="U228" s="205">
        <v>2</v>
      </c>
      <c r="V228" s="12">
        <v>13</v>
      </c>
      <c r="W228" s="13"/>
      <c r="X228" s="14">
        <f ca="1">IFERROR(Tabela1[[#This Row],[QIANTIDADE EXPEDIDA]]*Tabela1[[#This Row],[PESO UNI]],"")</f>
        <v>245.96</v>
      </c>
      <c r="Y228" s="14">
        <f t="shared" ca="1" si="48"/>
        <v>0</v>
      </c>
      <c r="Z228" s="20">
        <f ca="1"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ca="1" si="53"/>
        <v>ok</v>
      </c>
      <c r="AJ228" s="5"/>
      <c r="AK228" t="str">
        <f ca="1">Tabela1[[#This Row],[Coluna1]]&amp;Tabela1[[#This Row],[PEDIDO]]</f>
        <v>P-188</v>
      </c>
      <c r="AL228"/>
      <c r="AM228"/>
      <c r="AN228"/>
      <c r="AO228" t="str">
        <f t="shared" ca="1" si="50"/>
        <v>T-072962-1/1073-TC-006/007</v>
      </c>
      <c r="AP228" t="str">
        <f ca="1">Tabela1[[#This Row],[TAG]]&amp;Tabela1[[#This Row],[PEDIDO]]&amp;Tabela1[[#This Row],[PRODUTO]]</f>
        <v>1073-TC-006/007P-188RMF</v>
      </c>
      <c r="AQ228" s="22" t="str">
        <f ca="1">Tabela1[[#This Row],[PRODUTO]]&amp;Tabela1[[#This Row],[TAG]]</f>
        <v>RMF1073-TC-006/007</v>
      </c>
      <c r="AR228" s="24" t="str">
        <f ca="1">Tabela1[[#This Row],[PEDIDO]]&amp;Tabela1[[#This Row],[PRODUTO]]</f>
        <v>P-188RMF</v>
      </c>
      <c r="AS228" s="37">
        <f ca="1">IF(AF228="",0,IF(ISTEXT(AF228),H228*VALUE(SUBSTITUTE(AF228,"%",""))/100,H228*AF228))-Tabela1[[#This Row],[PRONTO ACABADO2]]</f>
        <v>0</v>
      </c>
      <c r="AT228" s="37">
        <f ca="1">IF(AG228="",0,IF(ISTEXT(AG228),H228*VALUE(SUBSTITUTE(AG228,"%",""))/100,H228*AG228))-Tabela1[[#This Row],[PESO EXPEDIDO2]]</f>
        <v>0</v>
      </c>
      <c r="AU228" s="37">
        <f t="shared" ref="AU228:AU291" ca="1" si="54">IF(AH228="",0,IF(ISTEXT(AH228),H228*VALUE(SUBSTITUTE(AH228,"%",""))/100,H228*AH228))</f>
        <v>245.96</v>
      </c>
      <c r="AV228" s="37">
        <f t="shared" ref="AV228:AV291" ca="1" si="55">IF(AG228="",0,IF(ISTEXT(AG228),H228*VALUE(SUBSTITUTE(AG228,"%",""))/100,H228*AG228))</f>
        <v>245.96</v>
      </c>
      <c r="AW228" s="37"/>
    </row>
    <row r="229" spans="1:49" ht="15.75" hidden="1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 ca="1"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 ca="1">Tabela1[[#This Row],[QTDE/ Fabricação]]-Tabela1[[#This Row],[QTE]]</f>
        <v>-2</v>
      </c>
      <c r="R229" s="18">
        <f t="shared" ca="1" si="51"/>
        <v>245.96</v>
      </c>
      <c r="S229" s="18">
        <f t="shared" ca="1" si="49"/>
        <v>245.96</v>
      </c>
      <c r="T229" s="19">
        <f t="shared" ca="1" si="52"/>
        <v>0</v>
      </c>
      <c r="U229" s="205">
        <v>2</v>
      </c>
      <c r="V229" s="12">
        <v>13</v>
      </c>
      <c r="W229" s="13"/>
      <c r="X229" s="14">
        <f ca="1">IFERROR(Tabela1[[#This Row],[QIANTIDADE EXPEDIDA]]*Tabela1[[#This Row],[PESO UNI]],"")</f>
        <v>245.96</v>
      </c>
      <c r="Y229" s="14">
        <f t="shared" ca="1" si="48"/>
        <v>0</v>
      </c>
      <c r="Z229" s="20">
        <f ca="1"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ca="1" si="53"/>
        <v>ok</v>
      </c>
      <c r="AJ229" s="5"/>
      <c r="AK229" t="str">
        <f ca="1">Tabela1[[#This Row],[Coluna1]]&amp;Tabela1[[#This Row],[PEDIDO]]</f>
        <v>P-188</v>
      </c>
      <c r="AL229"/>
      <c r="AM229"/>
      <c r="AN229"/>
      <c r="AO229" t="str">
        <f t="shared" ca="1" si="50"/>
        <v>T-072962-1/1073-TC-006/007</v>
      </c>
      <c r="AP229" t="str">
        <f ca="1">Tabela1[[#This Row],[TAG]]&amp;Tabela1[[#This Row],[PEDIDO]]&amp;Tabela1[[#This Row],[PRODUTO]]</f>
        <v>1073-TC-006/007P-188RMF</v>
      </c>
      <c r="AQ229" s="22" t="str">
        <f ca="1">Tabela1[[#This Row],[PRODUTO]]&amp;Tabela1[[#This Row],[TAG]]</f>
        <v>RMF1073-TC-006/007</v>
      </c>
      <c r="AR229" s="24" t="str">
        <f ca="1">Tabela1[[#This Row],[PEDIDO]]&amp;Tabela1[[#This Row],[PRODUTO]]</f>
        <v>P-188RMF</v>
      </c>
      <c r="AS229" s="37">
        <f ca="1">IF(AF229="",0,IF(ISTEXT(AF229),H229*VALUE(SUBSTITUTE(AF229,"%",""))/100,H229*AF229))-Tabela1[[#This Row],[PRONTO ACABADO2]]</f>
        <v>0</v>
      </c>
      <c r="AT229" s="37">
        <f ca="1">IF(AG229="",0,IF(ISTEXT(AG229),H229*VALUE(SUBSTITUTE(AG229,"%",""))/100,H229*AG229))-Tabela1[[#This Row],[PESO EXPEDIDO2]]</f>
        <v>0</v>
      </c>
      <c r="AU229" s="37">
        <f t="shared" ca="1" si="54"/>
        <v>245.96</v>
      </c>
      <c r="AV229" s="37">
        <f t="shared" ca="1" si="55"/>
        <v>245.96</v>
      </c>
      <c r="AW229" s="37"/>
    </row>
    <row r="230" spans="1:49" ht="15.75" hidden="1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 ca="1"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 ca="1">Tabela1[[#This Row],[QTDE/ Fabricação]]-Tabela1[[#This Row],[QTE]]</f>
        <v>-2</v>
      </c>
      <c r="R230" s="18">
        <f t="shared" ca="1" si="51"/>
        <v>68.8</v>
      </c>
      <c r="S230" s="18">
        <f t="shared" ca="1" si="49"/>
        <v>68.8</v>
      </c>
      <c r="T230" s="19">
        <f t="shared" ca="1" si="52"/>
        <v>0</v>
      </c>
      <c r="U230" s="205">
        <v>2</v>
      </c>
      <c r="V230" s="12">
        <v>13</v>
      </c>
      <c r="W230" s="13"/>
      <c r="X230" s="14">
        <f ca="1">IFERROR(Tabela1[[#This Row],[QIANTIDADE EXPEDIDA]]*Tabela1[[#This Row],[PESO UNI]],"")</f>
        <v>68.8</v>
      </c>
      <c r="Y230" s="14">
        <f t="shared" ca="1" si="48"/>
        <v>0</v>
      </c>
      <c r="Z230" s="20">
        <f ca="1"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ca="1" si="53"/>
        <v>ok</v>
      </c>
      <c r="AJ230" s="5"/>
      <c r="AK230" t="str">
        <f ca="1">Tabela1[[#This Row],[Coluna1]]&amp;Tabela1[[#This Row],[PEDIDO]]</f>
        <v>P-188</v>
      </c>
      <c r="AL230"/>
      <c r="AM230"/>
      <c r="AN230"/>
      <c r="AO230" t="str">
        <f t="shared" ca="1" si="50"/>
        <v>T-072962-1/1073-TC-006/007</v>
      </c>
      <c r="AP230" t="str">
        <f ca="1">Tabela1[[#This Row],[TAG]]&amp;Tabela1[[#This Row],[PEDIDO]]&amp;Tabela1[[#This Row],[PRODUTO]]</f>
        <v>1073-TC-006/007P-188RMF</v>
      </c>
      <c r="AQ230" s="22" t="str">
        <f ca="1">Tabela1[[#This Row],[PRODUTO]]&amp;Tabela1[[#This Row],[TAG]]</f>
        <v>RMF1073-TC-006/007</v>
      </c>
      <c r="AR230" s="24" t="str">
        <f ca="1">Tabela1[[#This Row],[PEDIDO]]&amp;Tabela1[[#This Row],[PRODUTO]]</f>
        <v>P-188RMF</v>
      </c>
      <c r="AS230" s="37">
        <f ca="1">IF(AF230="",0,IF(ISTEXT(AF230),H230*VALUE(SUBSTITUTE(AF230,"%",""))/100,H230*AF230))-Tabela1[[#This Row],[PRONTO ACABADO2]]</f>
        <v>0</v>
      </c>
      <c r="AT230" s="37">
        <f ca="1">IF(AG230="",0,IF(ISTEXT(AG230),H230*VALUE(SUBSTITUTE(AG230,"%",""))/100,H230*AG230))-Tabela1[[#This Row],[PESO EXPEDIDO2]]</f>
        <v>0</v>
      </c>
      <c r="AU230" s="37">
        <f t="shared" ca="1" si="54"/>
        <v>68.8</v>
      </c>
      <c r="AV230" s="37">
        <f t="shared" ca="1" si="55"/>
        <v>68.8</v>
      </c>
      <c r="AW230" s="37"/>
    </row>
    <row r="231" spans="1:49" ht="15.75" hidden="1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 ca="1"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 ca="1">Tabela1[[#This Row],[QTDE/ Fabricação]]-Tabela1[[#This Row],[QTE]]</f>
        <v>-2</v>
      </c>
      <c r="R231" s="18">
        <f t="shared" ca="1" si="51"/>
        <v>68.739999999999995</v>
      </c>
      <c r="S231" s="18">
        <f t="shared" ca="1" si="49"/>
        <v>68.739999999999995</v>
      </c>
      <c r="T231" s="19">
        <f t="shared" ca="1" si="52"/>
        <v>0</v>
      </c>
      <c r="U231" s="205">
        <v>2</v>
      </c>
      <c r="V231" s="12">
        <v>13</v>
      </c>
      <c r="W231" s="13"/>
      <c r="X231" s="14">
        <f ca="1">IFERROR(Tabela1[[#This Row],[QIANTIDADE EXPEDIDA]]*Tabela1[[#This Row],[PESO UNI]],"")</f>
        <v>68.739999999999995</v>
      </c>
      <c r="Y231" s="14">
        <f t="shared" ca="1" si="48"/>
        <v>0</v>
      </c>
      <c r="Z231" s="20">
        <f ca="1"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ca="1" si="53"/>
        <v>ok</v>
      </c>
      <c r="AJ231" s="5"/>
      <c r="AK231" t="str">
        <f ca="1">Tabela1[[#This Row],[Coluna1]]&amp;Tabela1[[#This Row],[PEDIDO]]</f>
        <v>P-188</v>
      </c>
      <c r="AL231"/>
      <c r="AM231"/>
      <c r="AN231"/>
      <c r="AO231" t="str">
        <f t="shared" ca="1" si="50"/>
        <v>T-072962-1/1073-TC-006/007</v>
      </c>
      <c r="AP231" t="str">
        <f ca="1">Tabela1[[#This Row],[TAG]]&amp;Tabela1[[#This Row],[PEDIDO]]&amp;Tabela1[[#This Row],[PRODUTO]]</f>
        <v>1073-TC-006/007P-188RMF</v>
      </c>
      <c r="AQ231" s="22" t="str">
        <f ca="1">Tabela1[[#This Row],[PRODUTO]]&amp;Tabela1[[#This Row],[TAG]]</f>
        <v>RMF1073-TC-006/007</v>
      </c>
      <c r="AR231" s="24" t="str">
        <f ca="1">Tabela1[[#This Row],[PEDIDO]]&amp;Tabela1[[#This Row],[PRODUTO]]</f>
        <v>P-188RMF</v>
      </c>
      <c r="AS231" s="37">
        <f ca="1">IF(AF231="",0,IF(ISTEXT(AF231),H231*VALUE(SUBSTITUTE(AF231,"%",""))/100,H231*AF231))-Tabela1[[#This Row],[PRONTO ACABADO2]]</f>
        <v>0</v>
      </c>
      <c r="AT231" s="37">
        <f ca="1">IF(AG231="",0,IF(ISTEXT(AG231),H231*VALUE(SUBSTITUTE(AG231,"%",""))/100,H231*AG231))-Tabela1[[#This Row],[PESO EXPEDIDO2]]</f>
        <v>0</v>
      </c>
      <c r="AU231" s="37">
        <f t="shared" ca="1" si="54"/>
        <v>68.739999999999995</v>
      </c>
      <c r="AV231" s="37">
        <f t="shared" ca="1" si="55"/>
        <v>68.739999999999995</v>
      </c>
      <c r="AW231" s="37"/>
    </row>
    <row r="232" spans="1:49" ht="15.75" hidden="1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 ca="1"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 ca="1">Tabela1[[#This Row],[QTDE/ Fabricação]]-Tabela1[[#This Row],[QTE]]</f>
        <v>-2</v>
      </c>
      <c r="R232" s="18">
        <f t="shared" ca="1" si="51"/>
        <v>68.739999999999995</v>
      </c>
      <c r="S232" s="18">
        <f t="shared" ca="1" si="49"/>
        <v>68.739999999999995</v>
      </c>
      <c r="T232" s="19">
        <f t="shared" ca="1" si="52"/>
        <v>0</v>
      </c>
      <c r="U232" s="205">
        <v>2</v>
      </c>
      <c r="V232" s="12">
        <v>13</v>
      </c>
      <c r="W232" s="13"/>
      <c r="X232" s="14">
        <f ca="1">IFERROR(Tabela1[[#This Row],[QIANTIDADE EXPEDIDA]]*Tabela1[[#This Row],[PESO UNI]],"")</f>
        <v>68.739999999999995</v>
      </c>
      <c r="Y232" s="14">
        <f t="shared" ca="1" si="48"/>
        <v>0</v>
      </c>
      <c r="Z232" s="20">
        <f ca="1"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ca="1" si="53"/>
        <v>ok</v>
      </c>
      <c r="AJ232" s="5"/>
      <c r="AK232" t="str">
        <f ca="1">Tabela1[[#This Row],[Coluna1]]&amp;Tabela1[[#This Row],[PEDIDO]]</f>
        <v>P-188</v>
      </c>
      <c r="AL232"/>
      <c r="AM232"/>
      <c r="AN232"/>
      <c r="AO232" t="str">
        <f t="shared" ca="1" si="50"/>
        <v>T-072962-1/1073-TC-006/007</v>
      </c>
      <c r="AP232" t="str">
        <f ca="1">Tabela1[[#This Row],[TAG]]&amp;Tabela1[[#This Row],[PEDIDO]]&amp;Tabela1[[#This Row],[PRODUTO]]</f>
        <v>1073-TC-006/007P-188RMF</v>
      </c>
      <c r="AQ232" s="22" t="str">
        <f ca="1">Tabela1[[#This Row],[PRODUTO]]&amp;Tabela1[[#This Row],[TAG]]</f>
        <v>RMF1073-TC-006/007</v>
      </c>
      <c r="AR232" s="24" t="str">
        <f ca="1">Tabela1[[#This Row],[PEDIDO]]&amp;Tabela1[[#This Row],[PRODUTO]]</f>
        <v>P-188RMF</v>
      </c>
      <c r="AS232" s="37">
        <f ca="1">IF(AF232="",0,IF(ISTEXT(AF232),H232*VALUE(SUBSTITUTE(AF232,"%",""))/100,H232*AF232))-Tabela1[[#This Row],[PRONTO ACABADO2]]</f>
        <v>0</v>
      </c>
      <c r="AT232" s="37">
        <f ca="1">IF(AG232="",0,IF(ISTEXT(AG232),H232*VALUE(SUBSTITUTE(AG232,"%",""))/100,H232*AG232))-Tabela1[[#This Row],[PESO EXPEDIDO2]]</f>
        <v>0</v>
      </c>
      <c r="AU232" s="37">
        <f t="shared" ca="1" si="54"/>
        <v>68.739999999999995</v>
      </c>
      <c r="AV232" s="37">
        <f t="shared" ca="1" si="55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 ca="1"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 ca="1">Tabela1[[#This Row],[QTDE/ Fabricação]]-Tabela1[[#This Row],[QTE]]</f>
        <v>-2</v>
      </c>
      <c r="R233" s="18">
        <f t="shared" ca="1" si="51"/>
        <v>54.02</v>
      </c>
      <c r="S233" s="18">
        <f t="shared" ca="1" si="49"/>
        <v>54.02</v>
      </c>
      <c r="T233" s="19">
        <f t="shared" ca="1" si="52"/>
        <v>0</v>
      </c>
      <c r="U233" s="205">
        <v>2</v>
      </c>
      <c r="V233" s="12">
        <v>13</v>
      </c>
      <c r="W233" s="13"/>
      <c r="X233" s="14">
        <f ca="1">IFERROR(Tabela1[[#This Row],[QIANTIDADE EXPEDIDA]]*Tabela1[[#This Row],[PESO UNI]],"")</f>
        <v>54.02</v>
      </c>
      <c r="Y233" s="14">
        <f t="shared" ca="1" si="48"/>
        <v>0</v>
      </c>
      <c r="Z233" s="20">
        <f ca="1"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ca="1" si="53"/>
        <v>ok</v>
      </c>
      <c r="AJ233" s="5"/>
      <c r="AK233" t="str">
        <f ca="1">Tabela1[[#This Row],[Coluna1]]&amp;Tabela1[[#This Row],[PEDIDO]]</f>
        <v>P-188</v>
      </c>
      <c r="AL233"/>
      <c r="AM233"/>
      <c r="AN233"/>
      <c r="AO233" t="str">
        <f t="shared" ca="1" si="50"/>
        <v>T-072962-1/1073-TC-006/007</v>
      </c>
      <c r="AP233" t="str">
        <f ca="1">Tabela1[[#This Row],[TAG]]&amp;Tabela1[[#This Row],[PEDIDO]]&amp;Tabela1[[#This Row],[PRODUTO]]</f>
        <v>1073-TC-006/007P-188RMF</v>
      </c>
      <c r="AQ233" s="22" t="str">
        <f ca="1">Tabela1[[#This Row],[PRODUTO]]&amp;Tabela1[[#This Row],[TAG]]</f>
        <v>RMF1073-TC-006/007</v>
      </c>
      <c r="AR233" s="24" t="str">
        <f ca="1">Tabela1[[#This Row],[PEDIDO]]&amp;Tabela1[[#This Row],[PRODUTO]]</f>
        <v>P-188RMF</v>
      </c>
      <c r="AS233" s="37">
        <f ca="1">IF(AF233="",0,IF(ISTEXT(AF233),H233*VALUE(SUBSTITUTE(AF233,"%",""))/100,H233*AF233))-Tabela1[[#This Row],[PRONTO ACABADO2]]</f>
        <v>0</v>
      </c>
      <c r="AT233" s="37">
        <f ca="1">IF(AG233="",0,IF(ISTEXT(AG233),H233*VALUE(SUBSTITUTE(AG233,"%",""))/100,H233*AG233))-Tabela1[[#This Row],[PESO EXPEDIDO2]]</f>
        <v>0</v>
      </c>
      <c r="AU233" s="37">
        <f t="shared" ca="1" si="54"/>
        <v>54.02</v>
      </c>
      <c r="AV233" s="37">
        <f t="shared" ca="1" si="55"/>
        <v>54.02</v>
      </c>
      <c r="AW233" s="37"/>
    </row>
    <row r="234" spans="1:49" ht="15.75" hidden="1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 ca="1"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 ca="1">Tabela1[[#This Row],[QTDE/ Fabricação]]-Tabela1[[#This Row],[QTE]]</f>
        <v>-2</v>
      </c>
      <c r="R234" s="18">
        <f t="shared" ca="1" si="51"/>
        <v>54.02</v>
      </c>
      <c r="S234" s="18">
        <f t="shared" ca="1" si="49"/>
        <v>54.02</v>
      </c>
      <c r="T234" s="19">
        <f t="shared" ca="1" si="52"/>
        <v>0</v>
      </c>
      <c r="U234" s="205">
        <v>2</v>
      </c>
      <c r="V234" s="12">
        <v>13</v>
      </c>
      <c r="W234" s="13"/>
      <c r="X234" s="14">
        <f ca="1">IFERROR(Tabela1[[#This Row],[QIANTIDADE EXPEDIDA]]*Tabela1[[#This Row],[PESO UNI]],"")</f>
        <v>54.02</v>
      </c>
      <c r="Y234" s="14">
        <f t="shared" ca="1" si="48"/>
        <v>0</v>
      </c>
      <c r="Z234" s="20">
        <f ca="1"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ca="1" si="53"/>
        <v>ok</v>
      </c>
      <c r="AJ234" s="5"/>
      <c r="AK234" t="str">
        <f ca="1">Tabela1[[#This Row],[Coluna1]]&amp;Tabela1[[#This Row],[PEDIDO]]</f>
        <v>P-188</v>
      </c>
      <c r="AL234"/>
      <c r="AM234"/>
      <c r="AN234"/>
      <c r="AO234" t="str">
        <f t="shared" ca="1" si="50"/>
        <v>T-072962-1/1073-TC-006/007</v>
      </c>
      <c r="AP234" t="str">
        <f ca="1">Tabela1[[#This Row],[TAG]]&amp;Tabela1[[#This Row],[PEDIDO]]&amp;Tabela1[[#This Row],[PRODUTO]]</f>
        <v>1073-TC-006/007P-188RMF</v>
      </c>
      <c r="AQ234" s="22" t="str">
        <f ca="1">Tabela1[[#This Row],[PRODUTO]]&amp;Tabela1[[#This Row],[TAG]]</f>
        <v>RMF1073-TC-006/007</v>
      </c>
      <c r="AR234" s="24" t="str">
        <f ca="1">Tabela1[[#This Row],[PEDIDO]]&amp;Tabela1[[#This Row],[PRODUTO]]</f>
        <v>P-188RMF</v>
      </c>
      <c r="AS234" s="37">
        <f ca="1">IF(AF234="",0,IF(ISTEXT(AF234),H234*VALUE(SUBSTITUTE(AF234,"%",""))/100,H234*AF234))-Tabela1[[#This Row],[PRONTO ACABADO2]]</f>
        <v>0</v>
      </c>
      <c r="AT234" s="37">
        <f ca="1">IF(AG234="",0,IF(ISTEXT(AG234),H234*VALUE(SUBSTITUTE(AG234,"%",""))/100,H234*AG234))-Tabela1[[#This Row],[PESO EXPEDIDO2]]</f>
        <v>0</v>
      </c>
      <c r="AU234" s="37">
        <f t="shared" ca="1" si="54"/>
        <v>54.02</v>
      </c>
      <c r="AV234" s="37">
        <f t="shared" ca="1" si="55"/>
        <v>54.02</v>
      </c>
      <c r="AW234" s="37"/>
    </row>
    <row r="235" spans="1:49" ht="15.75" hidden="1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 ca="1"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 ca="1">Tabela1[[#This Row],[QTDE/ Fabricação]]-Tabela1[[#This Row],[QTE]]</f>
        <v>-4</v>
      </c>
      <c r="R235" s="18">
        <f t="shared" ca="1" si="51"/>
        <v>95</v>
      </c>
      <c r="S235" s="18">
        <f t="shared" ca="1" si="49"/>
        <v>95</v>
      </c>
      <c r="T235" s="19">
        <f t="shared" ca="1" si="52"/>
        <v>0</v>
      </c>
      <c r="U235" s="205">
        <v>4</v>
      </c>
      <c r="V235" s="12">
        <v>13</v>
      </c>
      <c r="W235" s="13"/>
      <c r="X235" s="14">
        <f ca="1">IFERROR(Tabela1[[#This Row],[QIANTIDADE EXPEDIDA]]*Tabela1[[#This Row],[PESO UNI]],"")</f>
        <v>95</v>
      </c>
      <c r="Y235" s="14">
        <f t="shared" ca="1" si="48"/>
        <v>0</v>
      </c>
      <c r="Z235" s="20">
        <f ca="1"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ca="1" si="53"/>
        <v>ok</v>
      </c>
      <c r="AJ235" s="5"/>
      <c r="AK235" t="str">
        <f ca="1">Tabela1[[#This Row],[Coluna1]]&amp;Tabela1[[#This Row],[PEDIDO]]</f>
        <v>P-188</v>
      </c>
      <c r="AL235"/>
      <c r="AM235"/>
      <c r="AN235"/>
      <c r="AO235" t="str">
        <f t="shared" ca="1" si="50"/>
        <v>T-072962-1/1073-TC-006/007</v>
      </c>
      <c r="AP235" t="str">
        <f ca="1">Tabela1[[#This Row],[TAG]]&amp;Tabela1[[#This Row],[PEDIDO]]&amp;Tabela1[[#This Row],[PRODUTO]]</f>
        <v>1073-TC-006/007P-188RMF</v>
      </c>
      <c r="AQ235" s="22" t="str">
        <f ca="1">Tabela1[[#This Row],[PRODUTO]]&amp;Tabela1[[#This Row],[TAG]]</f>
        <v>RMF1073-TC-006/007</v>
      </c>
      <c r="AR235" s="24" t="str">
        <f ca="1">Tabela1[[#This Row],[PEDIDO]]&amp;Tabela1[[#This Row],[PRODUTO]]</f>
        <v>P-188RMF</v>
      </c>
      <c r="AS235" s="37">
        <f ca="1">IF(AF235="",0,IF(ISTEXT(AF235),H235*VALUE(SUBSTITUTE(AF235,"%",""))/100,H235*AF235))-Tabela1[[#This Row],[PRONTO ACABADO2]]</f>
        <v>0</v>
      </c>
      <c r="AT235" s="37">
        <f ca="1">IF(AG235="",0,IF(ISTEXT(AG235),H235*VALUE(SUBSTITUTE(AG235,"%",""))/100,H235*AG235))-Tabela1[[#This Row],[PESO EXPEDIDO2]]</f>
        <v>0</v>
      </c>
      <c r="AU235" s="37">
        <f t="shared" ca="1" si="54"/>
        <v>95</v>
      </c>
      <c r="AV235" s="37">
        <f t="shared" ca="1" si="55"/>
        <v>95</v>
      </c>
      <c r="AW235" s="37"/>
    </row>
    <row r="236" spans="1:49" ht="15.75" hidden="1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 ca="1"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 ca="1">Tabela1[[#This Row],[QTDE/ Fabricação]]-Tabela1[[#This Row],[QTE]]</f>
        <v>-2</v>
      </c>
      <c r="R236" s="18">
        <f t="shared" ca="1" si="51"/>
        <v>258.18</v>
      </c>
      <c r="S236" s="18">
        <f t="shared" ca="1" si="49"/>
        <v>258.18</v>
      </c>
      <c r="T236" s="19">
        <f t="shared" ca="1" si="52"/>
        <v>0</v>
      </c>
      <c r="U236" s="205">
        <v>2</v>
      </c>
      <c r="V236" s="12" t="str">
        <f>IFERROR(VLOOKUP(Tabela1[[#This Row],[COD.MDE]],'LISTA DE EMBARQUE'!B:L,11,0),"")</f>
        <v/>
      </c>
      <c r="W236" s="13"/>
      <c r="X236" s="14">
        <f ca="1">IFERROR(Tabela1[[#This Row],[QIANTIDADE EXPEDIDA]]*Tabela1[[#This Row],[PESO UNI]],"")</f>
        <v>258.18</v>
      </c>
      <c r="Y236" s="14">
        <f t="shared" ca="1" si="48"/>
        <v>0</v>
      </c>
      <c r="Z236" s="20">
        <f ca="1"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ca="1" si="53"/>
        <v>ok</v>
      </c>
      <c r="AJ236" s="5"/>
      <c r="AK236" t="str">
        <f ca="1">Tabela1[[#This Row],[Coluna1]]&amp;Tabela1[[#This Row],[PEDIDO]]</f>
        <v>P-188</v>
      </c>
      <c r="AL236"/>
      <c r="AM236"/>
      <c r="AN236"/>
      <c r="AO236" t="str">
        <f t="shared" ca="1" si="50"/>
        <v>T-072967-1/1073-TC-006/007</v>
      </c>
      <c r="AP236" t="str">
        <f ca="1">Tabela1[[#This Row],[TAG]]&amp;Tabela1[[#This Row],[PEDIDO]]&amp;Tabela1[[#This Row],[PRODUTO]]</f>
        <v>1073-TC-006/007P-188RMF</v>
      </c>
      <c r="AQ236" s="22" t="str">
        <f ca="1">Tabela1[[#This Row],[PRODUTO]]&amp;Tabela1[[#This Row],[TAG]]</f>
        <v>RMF1073-TC-006/007</v>
      </c>
      <c r="AR236" s="24" t="str">
        <f ca="1">Tabela1[[#This Row],[PEDIDO]]&amp;Tabela1[[#This Row],[PRODUTO]]</f>
        <v>P-188RMF</v>
      </c>
      <c r="AS236" s="37">
        <f ca="1">IF(AF236="",0,IF(ISTEXT(AF236),H236*VALUE(SUBSTITUTE(AF236,"%",""))/100,H236*AF236))-Tabela1[[#This Row],[PRONTO ACABADO2]]</f>
        <v>0</v>
      </c>
      <c r="AT236" s="37">
        <f ca="1">IF(AG236="",0,IF(ISTEXT(AG236),H236*VALUE(SUBSTITUTE(AG236,"%",""))/100,H236*AG236))-Tabela1[[#This Row],[PESO EXPEDIDO2]]</f>
        <v>0</v>
      </c>
      <c r="AU236" s="37">
        <f t="shared" ca="1" si="54"/>
        <v>258.18</v>
      </c>
      <c r="AV236" s="37">
        <f t="shared" ca="1" si="55"/>
        <v>258.18</v>
      </c>
      <c r="AW236" s="37"/>
    </row>
    <row r="237" spans="1:49" ht="15.75" hidden="1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 ca="1"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 ca="1">Tabela1[[#This Row],[QTDE/ Fabricação]]-Tabela1[[#This Row],[QTE]]</f>
        <v>-2</v>
      </c>
      <c r="R237" s="18">
        <f t="shared" ca="1" si="51"/>
        <v>258.18</v>
      </c>
      <c r="S237" s="18">
        <f t="shared" ca="1" si="49"/>
        <v>258.18</v>
      </c>
      <c r="T237" s="19">
        <f t="shared" ca="1" si="52"/>
        <v>0</v>
      </c>
      <c r="U237" s="205">
        <v>2</v>
      </c>
      <c r="V237" s="12" t="str">
        <f>IFERROR(VLOOKUP(Tabela1[[#This Row],[COD.MDE]],'LISTA DE EMBARQUE'!B:L,11,0),"")</f>
        <v/>
      </c>
      <c r="W237" s="13"/>
      <c r="X237" s="14">
        <f ca="1">IFERROR(Tabela1[[#This Row],[QIANTIDADE EXPEDIDA]]*Tabela1[[#This Row],[PESO UNI]],"")</f>
        <v>258.18</v>
      </c>
      <c r="Y237" s="14">
        <f t="shared" ca="1" si="48"/>
        <v>0</v>
      </c>
      <c r="Z237" s="20">
        <f ca="1"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ca="1" si="53"/>
        <v>ok</v>
      </c>
      <c r="AJ237" s="5"/>
      <c r="AK237" t="str">
        <f ca="1">Tabela1[[#This Row],[Coluna1]]&amp;Tabela1[[#This Row],[PEDIDO]]</f>
        <v>P-188</v>
      </c>
      <c r="AL237"/>
      <c r="AM237"/>
      <c r="AN237"/>
      <c r="AO237" t="str">
        <f t="shared" ca="1" si="50"/>
        <v>T-072967-1/1073-TC-006/007</v>
      </c>
      <c r="AP237" t="str">
        <f ca="1">Tabela1[[#This Row],[TAG]]&amp;Tabela1[[#This Row],[PEDIDO]]&amp;Tabela1[[#This Row],[PRODUTO]]</f>
        <v>1073-TC-006/007P-188RMF</v>
      </c>
      <c r="AQ237" s="22" t="str">
        <f ca="1">Tabela1[[#This Row],[PRODUTO]]&amp;Tabela1[[#This Row],[TAG]]</f>
        <v>RMF1073-TC-006/007</v>
      </c>
      <c r="AR237" s="24" t="str">
        <f ca="1">Tabela1[[#This Row],[PEDIDO]]&amp;Tabela1[[#This Row],[PRODUTO]]</f>
        <v>P-188RMF</v>
      </c>
      <c r="AS237" s="37">
        <f ca="1">IF(AF237="",0,IF(ISTEXT(AF237),H237*VALUE(SUBSTITUTE(AF237,"%",""))/100,H237*AF237))-Tabela1[[#This Row],[PRONTO ACABADO2]]</f>
        <v>0</v>
      </c>
      <c r="AT237" s="37">
        <f ca="1">IF(AG237="",0,IF(ISTEXT(AG237),H237*VALUE(SUBSTITUTE(AG237,"%",""))/100,H237*AG237))-Tabela1[[#This Row],[PESO EXPEDIDO2]]</f>
        <v>0</v>
      </c>
      <c r="AU237" s="37">
        <f t="shared" ca="1" si="54"/>
        <v>258.18</v>
      </c>
      <c r="AV237" s="37">
        <f t="shared" ca="1" si="55"/>
        <v>258.18</v>
      </c>
      <c r="AW237" s="37"/>
    </row>
    <row r="238" spans="1:49" ht="15.75" hidden="1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 ca="1"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 ca="1">Tabela1[[#This Row],[QTDE/ Fabricação]]-Tabela1[[#This Row],[QTE]]</f>
        <v>-12</v>
      </c>
      <c r="R238" s="18">
        <f t="shared" ca="1" si="51"/>
        <v>284.15999999999997</v>
      </c>
      <c r="S238" s="18">
        <f t="shared" ca="1" si="49"/>
        <v>284.15999999999997</v>
      </c>
      <c r="T238" s="19">
        <f t="shared" ca="1" si="52"/>
        <v>0</v>
      </c>
      <c r="U238" s="205">
        <v>12</v>
      </c>
      <c r="V238" s="12" t="str">
        <f>IFERROR(VLOOKUP(Tabela1[[#This Row],[COD.MDE]],'LISTA DE EMBARQUE'!B:L,11,0),"")</f>
        <v/>
      </c>
      <c r="W238" s="13"/>
      <c r="X238" s="14">
        <f ca="1">IFERROR(Tabela1[[#This Row],[QIANTIDADE EXPEDIDA]]*Tabela1[[#This Row],[PESO UNI]],"")</f>
        <v>284.15999999999997</v>
      </c>
      <c r="Y238" s="14">
        <f t="shared" ca="1" si="48"/>
        <v>0</v>
      </c>
      <c r="Z238" s="20">
        <f ca="1"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ca="1" si="53"/>
        <v>ok</v>
      </c>
      <c r="AJ238" s="5"/>
      <c r="AK238" t="str">
        <f ca="1">Tabela1[[#This Row],[Coluna1]]&amp;Tabela1[[#This Row],[PEDIDO]]</f>
        <v>P-188</v>
      </c>
      <c r="AL238"/>
      <c r="AM238"/>
      <c r="AN238"/>
      <c r="AO238" t="str">
        <f t="shared" ca="1" si="50"/>
        <v>T-072967-1/1073-TC-006/007</v>
      </c>
      <c r="AP238" t="str">
        <f ca="1">Tabela1[[#This Row],[TAG]]&amp;Tabela1[[#This Row],[PEDIDO]]&amp;Tabela1[[#This Row],[PRODUTO]]</f>
        <v>1073-TC-006/007P-188RMF</v>
      </c>
      <c r="AQ238" s="22" t="str">
        <f ca="1">Tabela1[[#This Row],[PRODUTO]]&amp;Tabela1[[#This Row],[TAG]]</f>
        <v>RMF1073-TC-006/007</v>
      </c>
      <c r="AR238" s="24" t="str">
        <f ca="1">Tabela1[[#This Row],[PEDIDO]]&amp;Tabela1[[#This Row],[PRODUTO]]</f>
        <v>P-188RMF</v>
      </c>
      <c r="AS238" s="37">
        <f ca="1">IF(AF238="",0,IF(ISTEXT(AF238),H238*VALUE(SUBSTITUTE(AF238,"%",""))/100,H238*AF238))-Tabela1[[#This Row],[PRONTO ACABADO2]]</f>
        <v>0</v>
      </c>
      <c r="AT238" s="37">
        <f ca="1">IF(AG238="",0,IF(ISTEXT(AG238),H238*VALUE(SUBSTITUTE(AG238,"%",""))/100,H238*AG238))-Tabela1[[#This Row],[PESO EXPEDIDO2]]</f>
        <v>0</v>
      </c>
      <c r="AU238" s="37">
        <f t="shared" ca="1" si="54"/>
        <v>284.15999999999997</v>
      </c>
      <c r="AV238" s="37">
        <f t="shared" ca="1" si="55"/>
        <v>284.15999999999997</v>
      </c>
      <c r="AW238" s="37"/>
    </row>
    <row r="239" spans="1:49" ht="15.75" hidden="1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 ca="1"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 ca="1">Tabela1[[#This Row],[QTDE/ Fabricação]]-Tabela1[[#This Row],[QTE]]</f>
        <v>-4</v>
      </c>
      <c r="R239" s="18">
        <f t="shared" ca="1" si="51"/>
        <v>285.76</v>
      </c>
      <c r="S239" s="18">
        <f t="shared" ca="1" si="49"/>
        <v>285.76</v>
      </c>
      <c r="T239" s="19">
        <f t="shared" ca="1" si="52"/>
        <v>0</v>
      </c>
      <c r="U239" s="205">
        <v>4</v>
      </c>
      <c r="V239" s="12" t="str">
        <f>IFERROR(VLOOKUP(Tabela1[[#This Row],[COD.MDE]],'LISTA DE EMBARQUE'!B:L,11,0),"")</f>
        <v/>
      </c>
      <c r="W239" s="13"/>
      <c r="X239" s="14">
        <f ca="1">IFERROR(Tabela1[[#This Row],[QIANTIDADE EXPEDIDA]]*Tabela1[[#This Row],[PESO UNI]],"")</f>
        <v>285.76</v>
      </c>
      <c r="Y239" s="14">
        <f t="shared" ca="1" si="48"/>
        <v>0</v>
      </c>
      <c r="Z239" s="20">
        <f ca="1"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ca="1" si="53"/>
        <v>ok</v>
      </c>
      <c r="AJ239" s="5"/>
      <c r="AK239" t="str">
        <f ca="1">Tabela1[[#This Row],[Coluna1]]&amp;Tabela1[[#This Row],[PEDIDO]]</f>
        <v>P-188</v>
      </c>
      <c r="AL239"/>
      <c r="AM239"/>
      <c r="AN239"/>
      <c r="AO239" t="str">
        <f t="shared" ca="1" si="50"/>
        <v>T-072967-1/1073-TC-006/007</v>
      </c>
      <c r="AP239" t="str">
        <f ca="1">Tabela1[[#This Row],[TAG]]&amp;Tabela1[[#This Row],[PEDIDO]]&amp;Tabela1[[#This Row],[PRODUTO]]</f>
        <v>1073-TC-006/007P-188RMF</v>
      </c>
      <c r="AQ239" s="22" t="str">
        <f ca="1">Tabela1[[#This Row],[PRODUTO]]&amp;Tabela1[[#This Row],[TAG]]</f>
        <v>RMF1073-TC-006/007</v>
      </c>
      <c r="AR239" s="24" t="str">
        <f ca="1">Tabela1[[#This Row],[PEDIDO]]&amp;Tabela1[[#This Row],[PRODUTO]]</f>
        <v>P-188RMF</v>
      </c>
      <c r="AS239" s="37">
        <f ca="1">IF(AF239="",0,IF(ISTEXT(AF239),H239*VALUE(SUBSTITUTE(AF239,"%",""))/100,H239*AF239))-Tabela1[[#This Row],[PRONTO ACABADO2]]</f>
        <v>0</v>
      </c>
      <c r="AT239" s="37">
        <f ca="1">IF(AG239="",0,IF(ISTEXT(AG239),H239*VALUE(SUBSTITUTE(AG239,"%",""))/100,H239*AG239))-Tabela1[[#This Row],[PESO EXPEDIDO2]]</f>
        <v>0</v>
      </c>
      <c r="AU239" s="37">
        <f t="shared" ca="1" si="54"/>
        <v>285.76</v>
      </c>
      <c r="AV239" s="37">
        <f t="shared" ca="1" si="55"/>
        <v>285.76</v>
      </c>
      <c r="AW239" s="37"/>
    </row>
    <row r="240" spans="1:49" ht="15.75" hidden="1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 ca="1"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 ca="1">Tabela1[[#This Row],[QTDE/ Fabricação]]-Tabela1[[#This Row],[QTE]]</f>
        <v>-4</v>
      </c>
      <c r="R240" s="18">
        <f t="shared" ca="1" si="51"/>
        <v>285.76</v>
      </c>
      <c r="S240" s="18">
        <f t="shared" ca="1" si="49"/>
        <v>285.76</v>
      </c>
      <c r="T240" s="19">
        <f t="shared" ca="1" si="52"/>
        <v>0</v>
      </c>
      <c r="U240" s="205">
        <v>4</v>
      </c>
      <c r="V240" s="12" t="str">
        <f>IFERROR(VLOOKUP(Tabela1[[#This Row],[COD.MDE]],'LISTA DE EMBARQUE'!B:L,11,0),"")</f>
        <v/>
      </c>
      <c r="W240" s="13"/>
      <c r="X240" s="14">
        <f ca="1">IFERROR(Tabela1[[#This Row],[QIANTIDADE EXPEDIDA]]*Tabela1[[#This Row],[PESO UNI]],"")</f>
        <v>285.76</v>
      </c>
      <c r="Y240" s="14">
        <f t="shared" ca="1" si="48"/>
        <v>0</v>
      </c>
      <c r="Z240" s="20">
        <f ca="1"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ca="1" si="53"/>
        <v>ok</v>
      </c>
      <c r="AJ240" s="5"/>
      <c r="AK240" t="str">
        <f ca="1">Tabela1[[#This Row],[Coluna1]]&amp;Tabela1[[#This Row],[PEDIDO]]</f>
        <v>P-188</v>
      </c>
      <c r="AL240"/>
      <c r="AM240"/>
      <c r="AN240"/>
      <c r="AO240" t="str">
        <f t="shared" ca="1" si="50"/>
        <v>T-072967-1/1073-TC-006/007</v>
      </c>
      <c r="AP240" t="str">
        <f ca="1">Tabela1[[#This Row],[TAG]]&amp;Tabela1[[#This Row],[PEDIDO]]&amp;Tabela1[[#This Row],[PRODUTO]]</f>
        <v>1073-TC-006/007P-188RMF</v>
      </c>
      <c r="AQ240" s="22" t="str">
        <f ca="1">Tabela1[[#This Row],[PRODUTO]]&amp;Tabela1[[#This Row],[TAG]]</f>
        <v>RMF1073-TC-006/007</v>
      </c>
      <c r="AR240" s="24" t="str">
        <f ca="1">Tabela1[[#This Row],[PEDIDO]]&amp;Tabela1[[#This Row],[PRODUTO]]</f>
        <v>P-188RMF</v>
      </c>
      <c r="AS240" s="37">
        <f ca="1">IF(AF240="",0,IF(ISTEXT(AF240),H240*VALUE(SUBSTITUTE(AF240,"%",""))/100,H240*AF240))-Tabela1[[#This Row],[PRONTO ACABADO2]]</f>
        <v>0</v>
      </c>
      <c r="AT240" s="37">
        <f ca="1">IF(AG240="",0,IF(ISTEXT(AG240),H240*VALUE(SUBSTITUTE(AG240,"%",""))/100,H240*AG240))-Tabela1[[#This Row],[PESO EXPEDIDO2]]</f>
        <v>0</v>
      </c>
      <c r="AU240" s="37">
        <f t="shared" ca="1" si="54"/>
        <v>285.76</v>
      </c>
      <c r="AV240" s="37">
        <f t="shared" ca="1" si="55"/>
        <v>285.76</v>
      </c>
      <c r="AW240" s="37"/>
    </row>
    <row r="241" spans="1:49" ht="15.75" hidden="1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 ca="1"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 ca="1">Tabela1[[#This Row],[QTDE/ Fabricação]]-Tabela1[[#This Row],[QTE]]</f>
        <v>-2</v>
      </c>
      <c r="R241" s="18">
        <f t="shared" ca="1" si="51"/>
        <v>257.72000000000003</v>
      </c>
      <c r="S241" s="18">
        <f t="shared" ca="1" si="49"/>
        <v>257.72000000000003</v>
      </c>
      <c r="T241" s="19">
        <f t="shared" ca="1" si="52"/>
        <v>0</v>
      </c>
      <c r="U241" s="205">
        <v>2</v>
      </c>
      <c r="V241" s="12" t="str">
        <f>IFERROR(VLOOKUP(Tabela1[[#This Row],[COD.MDE]],'LISTA DE EMBARQUE'!B:L,11,0),"")</f>
        <v/>
      </c>
      <c r="W241" s="13"/>
      <c r="X241" s="14">
        <f ca="1">IFERROR(Tabela1[[#This Row],[QIANTIDADE EXPEDIDA]]*Tabela1[[#This Row],[PESO UNI]],"")</f>
        <v>257.72000000000003</v>
      </c>
      <c r="Y241" s="14">
        <f t="shared" ca="1" si="48"/>
        <v>0</v>
      </c>
      <c r="Z241" s="20">
        <f ca="1"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ca="1" si="53"/>
        <v>ok</v>
      </c>
      <c r="AJ241" s="5"/>
      <c r="AK241" t="str">
        <f ca="1">Tabela1[[#This Row],[Coluna1]]&amp;Tabela1[[#This Row],[PEDIDO]]</f>
        <v>P-188</v>
      </c>
      <c r="AL241"/>
      <c r="AM241"/>
      <c r="AN241"/>
      <c r="AO241" t="str">
        <f t="shared" ca="1" si="50"/>
        <v>T-072958-1/1073-TC-006/007</v>
      </c>
      <c r="AP241" t="str">
        <f ca="1">Tabela1[[#This Row],[TAG]]&amp;Tabela1[[#This Row],[PEDIDO]]&amp;Tabela1[[#This Row],[PRODUTO]]</f>
        <v>1073-TC-006/007P-188RMF</v>
      </c>
      <c r="AQ241" s="22" t="str">
        <f ca="1">Tabela1[[#This Row],[PRODUTO]]&amp;Tabela1[[#This Row],[TAG]]</f>
        <v>RMF1073-TC-006/007</v>
      </c>
      <c r="AR241" s="24" t="str">
        <f ca="1">Tabela1[[#This Row],[PEDIDO]]&amp;Tabela1[[#This Row],[PRODUTO]]</f>
        <v>P-188RMF</v>
      </c>
      <c r="AS241" s="37">
        <f ca="1">IF(AF241="",0,IF(ISTEXT(AF241),H241*VALUE(SUBSTITUTE(AF241,"%",""))/100,H241*AF241))-Tabela1[[#This Row],[PRONTO ACABADO2]]</f>
        <v>0</v>
      </c>
      <c r="AT241" s="37">
        <f ca="1">IF(AG241="",0,IF(ISTEXT(AG241),H241*VALUE(SUBSTITUTE(AG241,"%",""))/100,H241*AG241))-Tabela1[[#This Row],[PESO EXPEDIDO2]]</f>
        <v>0</v>
      </c>
      <c r="AU241" s="37">
        <f t="shared" ca="1" si="54"/>
        <v>257.72000000000003</v>
      </c>
      <c r="AV241" s="37">
        <f t="shared" ca="1" si="55"/>
        <v>257.72000000000003</v>
      </c>
      <c r="AW241" s="37"/>
    </row>
    <row r="242" spans="1:49" ht="15.75" hidden="1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 ca="1"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 ca="1">Tabela1[[#This Row],[QTDE/ Fabricação]]-Tabela1[[#This Row],[QTE]]</f>
        <v>-2</v>
      </c>
      <c r="R242" s="18">
        <f t="shared" ca="1" si="51"/>
        <v>257.72000000000003</v>
      </c>
      <c r="S242" s="18">
        <f t="shared" ca="1" si="49"/>
        <v>257.72000000000003</v>
      </c>
      <c r="T242" s="19">
        <f t="shared" ca="1" si="52"/>
        <v>0</v>
      </c>
      <c r="U242" s="205">
        <v>2</v>
      </c>
      <c r="V242" s="12" t="str">
        <f>IFERROR(VLOOKUP(Tabela1[[#This Row],[COD.MDE]],'LISTA DE EMBARQUE'!B:L,11,0),"")</f>
        <v/>
      </c>
      <c r="W242" s="13"/>
      <c r="X242" s="14">
        <f ca="1">IFERROR(Tabela1[[#This Row],[QIANTIDADE EXPEDIDA]]*Tabela1[[#This Row],[PESO UNI]],"")</f>
        <v>257.72000000000003</v>
      </c>
      <c r="Y242" s="14">
        <f t="shared" ca="1" si="48"/>
        <v>0</v>
      </c>
      <c r="Z242" s="20">
        <f ca="1"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ca="1" si="53"/>
        <v>ok</v>
      </c>
      <c r="AJ242" s="5"/>
      <c r="AK242" t="str">
        <f ca="1">Tabela1[[#This Row],[Coluna1]]&amp;Tabela1[[#This Row],[PEDIDO]]</f>
        <v>P-188</v>
      </c>
      <c r="AL242"/>
      <c r="AM242"/>
      <c r="AN242"/>
      <c r="AO242" t="str">
        <f t="shared" ca="1" si="50"/>
        <v>T-072958-1/1073-TC-006/007</v>
      </c>
      <c r="AP242" t="str">
        <f ca="1">Tabela1[[#This Row],[TAG]]&amp;Tabela1[[#This Row],[PEDIDO]]&amp;Tabela1[[#This Row],[PRODUTO]]</f>
        <v>1073-TC-006/007P-188RMF</v>
      </c>
      <c r="AQ242" s="22" t="str">
        <f ca="1">Tabela1[[#This Row],[PRODUTO]]&amp;Tabela1[[#This Row],[TAG]]</f>
        <v>RMF1073-TC-006/007</v>
      </c>
      <c r="AR242" s="24" t="str">
        <f ca="1">Tabela1[[#This Row],[PEDIDO]]&amp;Tabela1[[#This Row],[PRODUTO]]</f>
        <v>P-188RMF</v>
      </c>
      <c r="AS242" s="37">
        <f ca="1">IF(AF242="",0,IF(ISTEXT(AF242),H242*VALUE(SUBSTITUTE(AF242,"%",""))/100,H242*AF242))-Tabela1[[#This Row],[PRONTO ACABADO2]]</f>
        <v>0</v>
      </c>
      <c r="AT242" s="37">
        <f ca="1">IF(AG242="",0,IF(ISTEXT(AG242),H242*VALUE(SUBSTITUTE(AG242,"%",""))/100,H242*AG242))-Tabela1[[#This Row],[PESO EXPEDIDO2]]</f>
        <v>0</v>
      </c>
      <c r="AU242" s="37">
        <f t="shared" ca="1" si="54"/>
        <v>257.72000000000003</v>
      </c>
      <c r="AV242" s="37">
        <f t="shared" ca="1" si="55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 ca="1"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 ca="1">Tabela1[[#This Row],[QTDE/ Fabricação]]-Tabela1[[#This Row],[QTE]]</f>
        <v>-12</v>
      </c>
      <c r="R243" s="18">
        <f t="shared" ca="1" si="51"/>
        <v>284.15999999999997</v>
      </c>
      <c r="S243" s="18">
        <f t="shared" ca="1" si="49"/>
        <v>284.15999999999997</v>
      </c>
      <c r="T243" s="19">
        <f t="shared" ca="1" si="52"/>
        <v>0</v>
      </c>
      <c r="U243" s="205">
        <v>12</v>
      </c>
      <c r="V243" s="12" t="str">
        <f ca="1">IFERROR(VLOOKUP(Tabela1[[#This Row],[COD.MDE]],'LISTA DE EMBARQUE'!B:L,11,0),"")</f>
        <v/>
      </c>
      <c r="W243" s="13"/>
      <c r="X243" s="14">
        <f ca="1">IFERROR(Tabela1[[#This Row],[QIANTIDADE EXPEDIDA]]*Tabela1[[#This Row],[PESO UNI]],"")</f>
        <v>284.15999999999997</v>
      </c>
      <c r="Y243" s="14">
        <f t="shared" ca="1" si="48"/>
        <v>0</v>
      </c>
      <c r="Z243" s="20">
        <f ca="1"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ca="1" si="53"/>
        <v>ok</v>
      </c>
      <c r="AJ243" s="5"/>
      <c r="AK243" t="str">
        <f ca="1">Tabela1[[#This Row],[Coluna1]]&amp;Tabela1[[#This Row],[PEDIDO]]</f>
        <v>P-188</v>
      </c>
      <c r="AL243"/>
      <c r="AM243"/>
      <c r="AN243"/>
      <c r="AO243" t="str">
        <f t="shared" ca="1" si="50"/>
        <v>T-072958-1/1073-TC-006/007</v>
      </c>
      <c r="AP243" t="str">
        <f ca="1">Tabela1[[#This Row],[TAG]]&amp;Tabela1[[#This Row],[PEDIDO]]&amp;Tabela1[[#This Row],[PRODUTO]]</f>
        <v>1073-TC-006/007P-188RMF</v>
      </c>
      <c r="AQ243" s="22" t="str">
        <f ca="1">Tabela1[[#This Row],[PRODUTO]]&amp;Tabela1[[#This Row],[TAG]]</f>
        <v>RMF1073-TC-006/007</v>
      </c>
      <c r="AR243" s="24" t="str">
        <f ca="1">Tabela1[[#This Row],[PEDIDO]]&amp;Tabela1[[#This Row],[PRODUTO]]</f>
        <v>P-188RMF</v>
      </c>
      <c r="AS243" s="37">
        <f ca="1">IF(AF243="",0,IF(ISTEXT(AF243),H243*VALUE(SUBSTITUTE(AF243,"%",""))/100,H243*AF243))-Tabela1[[#This Row],[PRONTO ACABADO2]]</f>
        <v>0</v>
      </c>
      <c r="AT243" s="37">
        <f ca="1">IF(AG243="",0,IF(ISTEXT(AG243),H243*VALUE(SUBSTITUTE(AG243,"%",""))/100,H243*AG243))-Tabela1[[#This Row],[PESO EXPEDIDO2]]</f>
        <v>0</v>
      </c>
      <c r="AU243" s="37">
        <f t="shared" ca="1" si="54"/>
        <v>284.15999999999997</v>
      </c>
      <c r="AV243" s="37">
        <f t="shared" ca="1" si="55"/>
        <v>284.15999999999997</v>
      </c>
      <c r="AW243" s="37"/>
    </row>
    <row r="244" spans="1:49" ht="15.75" hidden="1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 ca="1"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 ca="1">Tabela1[[#This Row],[QTDE/ Fabricação]]-Tabela1[[#This Row],[QTE]]</f>
        <v>-8</v>
      </c>
      <c r="R244" s="18">
        <f t="shared" ca="1" si="51"/>
        <v>571.52</v>
      </c>
      <c r="S244" s="18">
        <f t="shared" ca="1" si="49"/>
        <v>571.52</v>
      </c>
      <c r="T244" s="19">
        <f t="shared" ca="1" si="52"/>
        <v>0</v>
      </c>
      <c r="U244" s="205">
        <v>8</v>
      </c>
      <c r="V244" s="12" t="str">
        <f>IFERROR(VLOOKUP(Tabela1[[#This Row],[COD.MDE]],'LISTA DE EMBARQUE'!B:L,11,0),"")</f>
        <v/>
      </c>
      <c r="W244" s="13"/>
      <c r="X244" s="14">
        <f ca="1">IFERROR(Tabela1[[#This Row],[QIANTIDADE EXPEDIDA]]*Tabela1[[#This Row],[PESO UNI]],"")</f>
        <v>571.52</v>
      </c>
      <c r="Y244" s="14">
        <f t="shared" ref="Y244:Y307" ca="1" si="56">U244-C244</f>
        <v>0</v>
      </c>
      <c r="Z244" s="20">
        <f ca="1"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ca="1" si="53"/>
        <v>ok</v>
      </c>
      <c r="AJ244" s="5"/>
      <c r="AK244" t="str">
        <f ca="1">Tabela1[[#This Row],[Coluna1]]&amp;Tabela1[[#This Row],[PEDIDO]]</f>
        <v>P-188</v>
      </c>
      <c r="AL244"/>
      <c r="AM244"/>
      <c r="AN244"/>
      <c r="AO244" t="str">
        <f t="shared" ca="1" si="50"/>
        <v>T-072958-1/1073-TC-006/007</v>
      </c>
      <c r="AP244" t="str">
        <f ca="1">Tabela1[[#This Row],[TAG]]&amp;Tabela1[[#This Row],[PEDIDO]]&amp;Tabela1[[#This Row],[PRODUTO]]</f>
        <v>1073-TC-006/007P-188RMF</v>
      </c>
      <c r="AQ244" s="22" t="str">
        <f ca="1">Tabela1[[#This Row],[PRODUTO]]&amp;Tabela1[[#This Row],[TAG]]</f>
        <v>RMF1073-TC-006/007</v>
      </c>
      <c r="AR244" s="24" t="str">
        <f ca="1">Tabela1[[#This Row],[PEDIDO]]&amp;Tabela1[[#This Row],[PRODUTO]]</f>
        <v>P-188RMF</v>
      </c>
      <c r="AS244" s="37">
        <f ca="1">IF(AF244="",0,IF(ISTEXT(AF244),H244*VALUE(SUBSTITUTE(AF244,"%",""))/100,H244*AF244))-Tabela1[[#This Row],[PRONTO ACABADO2]]</f>
        <v>0</v>
      </c>
      <c r="AT244" s="37">
        <f ca="1">IF(AG244="",0,IF(ISTEXT(AG244),H244*VALUE(SUBSTITUTE(AG244,"%",""))/100,H244*AG244))-Tabela1[[#This Row],[PESO EXPEDIDO2]]</f>
        <v>0</v>
      </c>
      <c r="AU244" s="37">
        <f t="shared" ca="1" si="54"/>
        <v>571.52</v>
      </c>
      <c r="AV244" s="37">
        <f t="shared" ca="1" si="55"/>
        <v>571.52</v>
      </c>
      <c r="AW244" s="37"/>
    </row>
    <row r="245" spans="1:49" ht="15.75" hidden="1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 ca="1"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 ca="1">Tabela1[[#This Row],[QTDE/ Fabricação]]-Tabela1[[#This Row],[QTE]]</f>
        <v>-1</v>
      </c>
      <c r="R245" s="18">
        <f t="shared" ca="1" si="51"/>
        <v>383.4</v>
      </c>
      <c r="S245" s="18">
        <f t="shared" ref="S245:S308" ca="1" si="57">IFERROR(H245*AG245,"")</f>
        <v>383.4</v>
      </c>
      <c r="T245" s="19">
        <f t="shared" ca="1" si="52"/>
        <v>0</v>
      </c>
      <c r="U245" s="205">
        <v>1</v>
      </c>
      <c r="V245" s="12">
        <f>IFERROR(VLOOKUP(Tabela1[[#This Row],[COD.MDE]],'LISTA DE EMBARQUE'!B:L,11,0),"")</f>
        <v>0</v>
      </c>
      <c r="W245" s="13"/>
      <c r="X245" s="14">
        <f ca="1">IFERROR(Tabela1[[#This Row],[QIANTIDADE EXPEDIDA]]*Tabela1[[#This Row],[PESO UNI]],"")</f>
        <v>383.4</v>
      </c>
      <c r="Y245" s="14">
        <f t="shared" ca="1" si="56"/>
        <v>0</v>
      </c>
      <c r="Z245" s="20">
        <f ca="1"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ca="1" si="53"/>
        <v>ok</v>
      </c>
      <c r="AJ245" s="5"/>
      <c r="AK245" t="str">
        <f ca="1">Tabela1[[#This Row],[Coluna1]]&amp;Tabela1[[#This Row],[PEDIDO]]</f>
        <v>P-188</v>
      </c>
      <c r="AL245"/>
      <c r="AM245"/>
      <c r="AN245"/>
      <c r="AO245" t="str">
        <f t="shared" ca="1" si="50"/>
        <v>T-072978-1/1073-TC-006</v>
      </c>
      <c r="AP245" t="str">
        <f ca="1">Tabela1[[#This Row],[TAG]]&amp;Tabela1[[#This Row],[PEDIDO]]&amp;Tabela1[[#This Row],[PRODUTO]]</f>
        <v>1073-TC-006P-188RMF</v>
      </c>
      <c r="AQ245" s="22" t="str">
        <f ca="1">Tabela1[[#This Row],[PRODUTO]]&amp;Tabela1[[#This Row],[TAG]]</f>
        <v>RMF1073-TC-006</v>
      </c>
      <c r="AR245" s="24" t="str">
        <f ca="1">Tabela1[[#This Row],[PEDIDO]]&amp;Tabela1[[#This Row],[PRODUTO]]</f>
        <v>P-188RMF</v>
      </c>
      <c r="AS245" s="37">
        <f ca="1">IF(AF245="",0,IF(ISTEXT(AF245),H245*VALUE(SUBSTITUTE(AF245,"%",""))/100,H245*AF245))-Tabela1[[#This Row],[PRONTO ACABADO2]]</f>
        <v>0</v>
      </c>
      <c r="AT245" s="37">
        <f ca="1">IF(AG245="",0,IF(ISTEXT(AG245),H245*VALUE(SUBSTITUTE(AG245,"%",""))/100,H245*AG245))-Tabela1[[#This Row],[PESO EXPEDIDO2]]</f>
        <v>0</v>
      </c>
      <c r="AU245" s="37">
        <f t="shared" ca="1" si="54"/>
        <v>383.4</v>
      </c>
      <c r="AV245" s="37">
        <f t="shared" ca="1" si="55"/>
        <v>383.4</v>
      </c>
      <c r="AW245" s="37"/>
    </row>
    <row r="246" spans="1:49" ht="15.75" hidden="1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 ca="1"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 ca="1">Tabela1[[#This Row],[QTDE/ Fabricação]]-Tabela1[[#This Row],[QTE]]</f>
        <v>-4</v>
      </c>
      <c r="R246" s="18">
        <f t="shared" ca="1" si="51"/>
        <v>1.2</v>
      </c>
      <c r="S246" s="18">
        <f t="shared" ca="1" si="57"/>
        <v>1.2</v>
      </c>
      <c r="T246" s="19">
        <f t="shared" ca="1" si="52"/>
        <v>0</v>
      </c>
      <c r="U246" s="205">
        <v>4</v>
      </c>
      <c r="V246" s="12" t="str">
        <f>IFERROR(VLOOKUP(Tabela1[[#This Row],[COD.MDE]],'LISTA DE EMBARQUE'!B:L,11,0),"")</f>
        <v/>
      </c>
      <c r="W246" s="13"/>
      <c r="X246" s="14">
        <f ca="1">IFERROR(Tabela1[[#This Row],[QIANTIDADE EXPEDIDA]]*Tabela1[[#This Row],[PESO UNI]],"")</f>
        <v>1.2</v>
      </c>
      <c r="Y246" s="14">
        <f t="shared" ca="1" si="56"/>
        <v>0</v>
      </c>
      <c r="Z246" s="20">
        <f ca="1"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ca="1" si="53"/>
        <v>ok</v>
      </c>
      <c r="AJ246" s="5"/>
      <c r="AK246" t="str">
        <f ca="1">Tabela1[[#This Row],[Coluna1]]&amp;Tabela1[[#This Row],[PEDIDO]]</f>
        <v>P-188</v>
      </c>
      <c r="AL246"/>
      <c r="AM246"/>
      <c r="AN246"/>
      <c r="AO246" t="str">
        <f t="shared" ca="1" si="50"/>
        <v>T-072978-1/1073-TC-006</v>
      </c>
      <c r="AP246" t="str">
        <f ca="1">Tabela1[[#This Row],[TAG]]&amp;Tabela1[[#This Row],[PEDIDO]]&amp;Tabela1[[#This Row],[PRODUTO]]</f>
        <v>1073-TC-006P-188RMF</v>
      </c>
      <c r="AQ246" s="22" t="str">
        <f ca="1">Tabela1[[#This Row],[PRODUTO]]&amp;Tabela1[[#This Row],[TAG]]</f>
        <v>RMF1073-TC-006</v>
      </c>
      <c r="AR246" s="24" t="str">
        <f ca="1">Tabela1[[#This Row],[PEDIDO]]&amp;Tabela1[[#This Row],[PRODUTO]]</f>
        <v>P-188RMF</v>
      </c>
      <c r="AS246" s="37">
        <f ca="1">IF(AF246="",0,IF(ISTEXT(AF246),H246*VALUE(SUBSTITUTE(AF246,"%",""))/100,H246*AF246))-Tabela1[[#This Row],[PRONTO ACABADO2]]</f>
        <v>0</v>
      </c>
      <c r="AT246" s="37">
        <f ca="1">IF(AG246="",0,IF(ISTEXT(AG246),H246*VALUE(SUBSTITUTE(AG246,"%",""))/100,H246*AG246))-Tabela1[[#This Row],[PESO EXPEDIDO2]]</f>
        <v>0</v>
      </c>
      <c r="AU246" s="37">
        <f t="shared" ca="1" si="54"/>
        <v>1.2</v>
      </c>
      <c r="AV246" s="37">
        <f t="shared" ca="1" si="55"/>
        <v>1.2</v>
      </c>
      <c r="AW246" s="37"/>
    </row>
    <row r="247" spans="1:49" ht="15.75" hidden="1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 ca="1"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 ca="1">Tabela1[[#This Row],[QTDE/ Fabricação]]-Tabela1[[#This Row],[QTE]]</f>
        <v>-1</v>
      </c>
      <c r="R247" s="18">
        <f t="shared" ca="1" si="51"/>
        <v>383.4</v>
      </c>
      <c r="S247" s="18">
        <f t="shared" ca="1" si="57"/>
        <v>383.4</v>
      </c>
      <c r="T247" s="19">
        <f t="shared" ca="1" si="52"/>
        <v>0</v>
      </c>
      <c r="U247" s="205">
        <v>1</v>
      </c>
      <c r="V247" s="12">
        <f>IFERROR(VLOOKUP(Tabela1[[#This Row],[COD.MDE]],'LISTA DE EMBARQUE'!B:L,11,0),"")</f>
        <v>0</v>
      </c>
      <c r="W247" s="13"/>
      <c r="X247" s="14">
        <f ca="1">IFERROR(Tabela1[[#This Row],[QIANTIDADE EXPEDIDA]]*Tabela1[[#This Row],[PESO UNI]],"")</f>
        <v>383.4</v>
      </c>
      <c r="Y247" s="14">
        <f t="shared" ca="1" si="56"/>
        <v>0</v>
      </c>
      <c r="Z247" s="20">
        <f ca="1"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ca="1" si="53"/>
        <v>ok</v>
      </c>
      <c r="AJ247" s="5"/>
      <c r="AK247" t="str">
        <f ca="1">Tabela1[[#This Row],[Coluna1]]&amp;Tabela1[[#This Row],[PEDIDO]]</f>
        <v>P-188</v>
      </c>
      <c r="AL247"/>
      <c r="AM247"/>
      <c r="AN247"/>
      <c r="AO247" t="str">
        <f t="shared" ca="1" si="50"/>
        <v>T-072978-1/1073-TC-007</v>
      </c>
      <c r="AP247" t="str">
        <f ca="1">Tabela1[[#This Row],[TAG]]&amp;Tabela1[[#This Row],[PEDIDO]]&amp;Tabela1[[#This Row],[PRODUTO]]</f>
        <v>1073-TC-007P-188RMF</v>
      </c>
      <c r="AQ247" s="22" t="str">
        <f ca="1">Tabela1[[#This Row],[PRODUTO]]&amp;Tabela1[[#This Row],[TAG]]</f>
        <v>RMF1073-TC-007</v>
      </c>
      <c r="AR247" s="24" t="str">
        <f ca="1">Tabela1[[#This Row],[PEDIDO]]&amp;Tabela1[[#This Row],[PRODUTO]]</f>
        <v>P-188RMF</v>
      </c>
      <c r="AS247" s="37">
        <f ca="1">IF(AF247="",0,IF(ISTEXT(AF247),H247*VALUE(SUBSTITUTE(AF247,"%",""))/100,H247*AF247))-Tabela1[[#This Row],[PRONTO ACABADO2]]</f>
        <v>0</v>
      </c>
      <c r="AT247" s="37">
        <f ca="1">IF(AG247="",0,IF(ISTEXT(AG247),H247*VALUE(SUBSTITUTE(AG247,"%",""))/100,H247*AG247))-Tabela1[[#This Row],[PESO EXPEDIDO2]]</f>
        <v>0</v>
      </c>
      <c r="AU247" s="37">
        <f t="shared" ca="1" si="54"/>
        <v>383.4</v>
      </c>
      <c r="AV247" s="37">
        <f t="shared" ca="1" si="55"/>
        <v>383.4</v>
      </c>
      <c r="AW247" s="37"/>
    </row>
    <row r="248" spans="1:49" ht="15.75" hidden="1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 ca="1"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 ca="1">Tabela1[[#This Row],[QTDE/ Fabricação]]-Tabela1[[#This Row],[QTE]]</f>
        <v>-4</v>
      </c>
      <c r="R248" s="18">
        <f t="shared" ca="1" si="51"/>
        <v>1.2</v>
      </c>
      <c r="S248" s="18">
        <f t="shared" ca="1" si="57"/>
        <v>1.2</v>
      </c>
      <c r="T248" s="19">
        <f t="shared" ca="1" si="52"/>
        <v>0</v>
      </c>
      <c r="U248" s="205">
        <v>4</v>
      </c>
      <c r="V248" s="12" t="str">
        <f>IFERROR(VLOOKUP(Tabela1[[#This Row],[COD.MDE]],'LISTA DE EMBARQUE'!B:L,11,0),"")</f>
        <v/>
      </c>
      <c r="W248" s="13"/>
      <c r="X248" s="14">
        <f ca="1">IFERROR(Tabela1[[#This Row],[QIANTIDADE EXPEDIDA]]*Tabela1[[#This Row],[PESO UNI]],"")</f>
        <v>1.2</v>
      </c>
      <c r="Y248" s="14">
        <f t="shared" ca="1" si="56"/>
        <v>0</v>
      </c>
      <c r="Z248" s="20">
        <f ca="1"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ca="1" si="53"/>
        <v>ok</v>
      </c>
      <c r="AJ248" s="5"/>
      <c r="AK248" t="str">
        <f ca="1">Tabela1[[#This Row],[Coluna1]]&amp;Tabela1[[#This Row],[PEDIDO]]</f>
        <v>P-188</v>
      </c>
      <c r="AL248"/>
      <c r="AM248"/>
      <c r="AN248"/>
      <c r="AO248" t="str">
        <f t="shared" ca="1" si="50"/>
        <v>T-072978-1/1073-TC-007</v>
      </c>
      <c r="AP248" t="str">
        <f ca="1">Tabela1[[#This Row],[TAG]]&amp;Tabela1[[#This Row],[PEDIDO]]&amp;Tabela1[[#This Row],[PRODUTO]]</f>
        <v>1073-TC-007P-188RMF</v>
      </c>
      <c r="AQ248" s="22" t="str">
        <f ca="1">Tabela1[[#This Row],[PRODUTO]]&amp;Tabela1[[#This Row],[TAG]]</f>
        <v>RMF1073-TC-007</v>
      </c>
      <c r="AR248" s="24" t="str">
        <f ca="1">Tabela1[[#This Row],[PEDIDO]]&amp;Tabela1[[#This Row],[PRODUTO]]</f>
        <v>P-188RMF</v>
      </c>
      <c r="AS248" s="37">
        <f ca="1">IF(AF248="",0,IF(ISTEXT(AF248),H248*VALUE(SUBSTITUTE(AF248,"%",""))/100,H248*AF248))-Tabela1[[#This Row],[PRONTO ACABADO2]]</f>
        <v>0</v>
      </c>
      <c r="AT248" s="37">
        <f ca="1">IF(AG248="",0,IF(ISTEXT(AG248),H248*VALUE(SUBSTITUTE(AG248,"%",""))/100,H248*AG248))-Tabela1[[#This Row],[PESO EXPEDIDO2]]</f>
        <v>0</v>
      </c>
      <c r="AU248" s="37">
        <f t="shared" ca="1" si="54"/>
        <v>1.2</v>
      </c>
      <c r="AV248" s="37">
        <f t="shared" ca="1" si="55"/>
        <v>1.2</v>
      </c>
      <c r="AW248" s="37"/>
    </row>
    <row r="249" spans="1:49" ht="15.75" hidden="1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 ca="1"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 ca="1">Tabela1[[#This Row],[QTDE/ Fabricação]]-Tabela1[[#This Row],[QTE]]</f>
        <v>-1</v>
      </c>
      <c r="R249" s="18">
        <f t="shared" ca="1" si="51"/>
        <v>638</v>
      </c>
      <c r="S249" s="18">
        <f t="shared" ca="1" si="57"/>
        <v>638</v>
      </c>
      <c r="T249" s="19">
        <f t="shared" ca="1" si="52"/>
        <v>0</v>
      </c>
      <c r="U249" s="16">
        <v>1</v>
      </c>
      <c r="V249" s="12">
        <f>IFERROR(VLOOKUP(Tabela1[[#This Row],[COD.MDE]],'LISTA DE EMBARQUE'!B:L,11,0),"")</f>
        <v>14</v>
      </c>
      <c r="W249" s="13">
        <f>IFERROR(VLOOKUP(Tabela1[[#This Row],[COD.MDE]],'LISTA DE EMBARQUE'!B:M,12,0),"")</f>
        <v>46261</v>
      </c>
      <c r="X249" s="14">
        <f ca="1">IFERROR(Tabela1[[#This Row],[QIANTIDADE EXPEDIDA]]*Tabela1[[#This Row],[PESO UNI]],"")</f>
        <v>638</v>
      </c>
      <c r="Y249" s="14">
        <f t="shared" ca="1" si="56"/>
        <v>0</v>
      </c>
      <c r="Z249" s="20">
        <f ca="1"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ca="1" si="53"/>
        <v>ok</v>
      </c>
      <c r="AJ249" s="5"/>
      <c r="AK249" t="str">
        <f ca="1">Tabela1[[#This Row],[Coluna1]]&amp;Tabela1[[#This Row],[PEDIDO]]</f>
        <v>P-188</v>
      </c>
      <c r="AL249"/>
      <c r="AM249"/>
      <c r="AN249"/>
      <c r="AO249" t="str">
        <f t="shared" ca="1" si="50"/>
        <v>T-072979-1/1073-TC-006</v>
      </c>
      <c r="AP249" t="str">
        <f ca="1">Tabela1[[#This Row],[TAG]]&amp;Tabela1[[#This Row],[PEDIDO]]&amp;Tabela1[[#This Row],[PRODUTO]]</f>
        <v>1073-TC-006P-188RMF</v>
      </c>
      <c r="AQ249" s="22" t="str">
        <f ca="1">Tabela1[[#This Row],[PRODUTO]]&amp;Tabela1[[#This Row],[TAG]]</f>
        <v>RMF1073-TC-006</v>
      </c>
      <c r="AR249" s="24" t="str">
        <f ca="1">Tabela1[[#This Row],[PEDIDO]]&amp;Tabela1[[#This Row],[PRODUTO]]</f>
        <v>P-188RMF</v>
      </c>
      <c r="AS249" s="37">
        <f ca="1">IF(AF249="",0,IF(ISTEXT(AF249),H249*VALUE(SUBSTITUTE(AF249,"%",""))/100,H249*AF249))-Tabela1[[#This Row],[PRONTO ACABADO2]]</f>
        <v>0</v>
      </c>
      <c r="AT249" s="37">
        <f ca="1">IF(AG249="",0,IF(ISTEXT(AG249),H249*VALUE(SUBSTITUTE(AG249,"%",""))/100,H249*AG249))-Tabela1[[#This Row],[PESO EXPEDIDO2]]</f>
        <v>0</v>
      </c>
      <c r="AU249" s="37">
        <f t="shared" ca="1" si="54"/>
        <v>638</v>
      </c>
      <c r="AV249" s="37">
        <f t="shared" ca="1" si="55"/>
        <v>638</v>
      </c>
      <c r="AW249" s="37"/>
    </row>
    <row r="250" spans="1:49" ht="15.75" hidden="1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 ca="1"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 ca="1">Tabela1[[#This Row],[QTDE/ Fabricação]]-Tabela1[[#This Row],[QTE]]</f>
        <v>-4</v>
      </c>
      <c r="R250" s="18">
        <f t="shared" ca="1" si="51"/>
        <v>18</v>
      </c>
      <c r="S250" s="18">
        <f t="shared" ca="1" si="57"/>
        <v>18</v>
      </c>
      <c r="T250" s="19">
        <f t="shared" ca="1" si="52"/>
        <v>0</v>
      </c>
      <c r="U250" s="16">
        <v>4</v>
      </c>
      <c r="V250" s="12">
        <f ca="1">IFERROR(VLOOKUP(Tabela1[[#This Row],[COD.MDE]],'LISTA DE EMBARQUE'!B:L,11,0),"")</f>
        <v>14</v>
      </c>
      <c r="W250" s="13">
        <f>IFERROR(VLOOKUP(Tabela1[[#This Row],[COD.MDE]],'LISTA DE EMBARQUE'!B:M,12,0),"")</f>
        <v>46261</v>
      </c>
      <c r="X250" s="14">
        <f ca="1">IFERROR(Tabela1[[#This Row],[QIANTIDADE EXPEDIDA]]*Tabela1[[#This Row],[PESO UNI]],"")</f>
        <v>18</v>
      </c>
      <c r="Y250" s="14">
        <f t="shared" ca="1" si="56"/>
        <v>0</v>
      </c>
      <c r="Z250" s="20">
        <f ca="1"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ca="1" si="53"/>
        <v>ok</v>
      </c>
      <c r="AJ250" s="5"/>
      <c r="AK250" t="str">
        <f ca="1">Tabela1[[#This Row],[Coluna1]]&amp;Tabela1[[#This Row],[PEDIDO]]</f>
        <v>P-188</v>
      </c>
      <c r="AL250"/>
      <c r="AM250"/>
      <c r="AN250"/>
      <c r="AO250" t="str">
        <f t="shared" ca="1" si="50"/>
        <v>T-072979-1/1073-TC-006</v>
      </c>
      <c r="AP250" t="str">
        <f ca="1">Tabela1[[#This Row],[TAG]]&amp;Tabela1[[#This Row],[PEDIDO]]&amp;Tabela1[[#This Row],[PRODUTO]]</f>
        <v>1073-TC-006P-188RMF</v>
      </c>
      <c r="AQ250" s="22" t="str">
        <f ca="1">Tabela1[[#This Row],[PRODUTO]]&amp;Tabela1[[#This Row],[TAG]]</f>
        <v>RMF1073-TC-006</v>
      </c>
      <c r="AR250" s="24" t="str">
        <f ca="1">Tabela1[[#This Row],[PEDIDO]]&amp;Tabela1[[#This Row],[PRODUTO]]</f>
        <v>P-188RMF</v>
      </c>
      <c r="AS250" s="37">
        <f ca="1">IF(AF250="",0,IF(ISTEXT(AF250),H250*VALUE(SUBSTITUTE(AF250,"%",""))/100,H250*AF250))-Tabela1[[#This Row],[PRONTO ACABADO2]]</f>
        <v>0</v>
      </c>
      <c r="AT250" s="37">
        <f ca="1">IF(AG250="",0,IF(ISTEXT(AG250),H250*VALUE(SUBSTITUTE(AG250,"%",""))/100,H250*AG250))-Tabela1[[#This Row],[PESO EXPEDIDO2]]</f>
        <v>0</v>
      </c>
      <c r="AU250" s="37">
        <f t="shared" ca="1" si="54"/>
        <v>18</v>
      </c>
      <c r="AV250" s="37">
        <f t="shared" ca="1" si="55"/>
        <v>18</v>
      </c>
      <c r="AW250" s="37"/>
    </row>
    <row r="251" spans="1:49" ht="15.75" hidden="1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 ca="1"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 ca="1">Tabela1[[#This Row],[QTDE/ Fabricação]]-Tabela1[[#This Row],[QTE]]</f>
        <v>-4</v>
      </c>
      <c r="R251" s="18">
        <f t="shared" ca="1" si="51"/>
        <v>23.2</v>
      </c>
      <c r="S251" s="18">
        <f t="shared" ca="1" si="57"/>
        <v>23.2</v>
      </c>
      <c r="T251" s="19">
        <f t="shared" ca="1" si="52"/>
        <v>0</v>
      </c>
      <c r="U251" s="16">
        <v>4</v>
      </c>
      <c r="V251" s="12">
        <f>IFERROR(VLOOKUP(Tabela1[[#This Row],[COD.MDE]],'LISTA DE EMBARQUE'!B:L,11,0),"")</f>
        <v>14</v>
      </c>
      <c r="W251" s="13">
        <f>IFERROR(VLOOKUP(Tabela1[[#This Row],[COD.MDE]],'LISTA DE EMBARQUE'!B:M,12,0),"")</f>
        <v>46261</v>
      </c>
      <c r="X251" s="14">
        <f ca="1">IFERROR(Tabela1[[#This Row],[QIANTIDADE EXPEDIDA]]*Tabela1[[#This Row],[PESO UNI]],"")</f>
        <v>23.2</v>
      </c>
      <c r="Y251" s="14">
        <f t="shared" ca="1" si="56"/>
        <v>0</v>
      </c>
      <c r="Z251" s="20">
        <f ca="1"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ca="1" si="53"/>
        <v>ok</v>
      </c>
      <c r="AJ251" s="5"/>
      <c r="AK251" t="str">
        <f ca="1">Tabela1[[#This Row],[Coluna1]]&amp;Tabela1[[#This Row],[PEDIDO]]</f>
        <v>P-188</v>
      </c>
      <c r="AL251"/>
      <c r="AM251"/>
      <c r="AN251"/>
      <c r="AO251" t="str">
        <f t="shared" ca="1" si="50"/>
        <v>T-072979-1/1073-TC-006</v>
      </c>
      <c r="AP251" t="str">
        <f ca="1">Tabela1[[#This Row],[TAG]]&amp;Tabela1[[#This Row],[PEDIDO]]&amp;Tabela1[[#This Row],[PRODUTO]]</f>
        <v>1073-TC-006P-188RMF</v>
      </c>
      <c r="AQ251" s="22" t="str">
        <f ca="1">Tabela1[[#This Row],[PRODUTO]]&amp;Tabela1[[#This Row],[TAG]]</f>
        <v>RMF1073-TC-006</v>
      </c>
      <c r="AR251" s="24" t="str">
        <f ca="1">Tabela1[[#This Row],[PEDIDO]]&amp;Tabela1[[#This Row],[PRODUTO]]</f>
        <v>P-188RMF</v>
      </c>
      <c r="AS251" s="37">
        <f ca="1">IF(AF251="",0,IF(ISTEXT(AF251),H251*VALUE(SUBSTITUTE(AF251,"%",""))/100,H251*AF251))-Tabela1[[#This Row],[PRONTO ACABADO2]]</f>
        <v>0</v>
      </c>
      <c r="AT251" s="37">
        <f ca="1">IF(AG251="",0,IF(ISTEXT(AG251),H251*VALUE(SUBSTITUTE(AG251,"%",""))/100,H251*AG251))-Tabela1[[#This Row],[PESO EXPEDIDO2]]</f>
        <v>0</v>
      </c>
      <c r="AU251" s="37">
        <f t="shared" ca="1" si="54"/>
        <v>23.2</v>
      </c>
      <c r="AV251" s="37">
        <f t="shared" ca="1" si="55"/>
        <v>23.2</v>
      </c>
      <c r="AW251" s="37"/>
    </row>
    <row r="252" spans="1:49" ht="15.75" hidden="1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 ca="1"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 ca="1">Tabela1[[#This Row],[QTDE/ Fabricação]]-Tabela1[[#This Row],[QTE]]</f>
        <v>-8</v>
      </c>
      <c r="R252" s="18">
        <f t="shared" ca="1" si="51"/>
        <v>0.8</v>
      </c>
      <c r="S252" s="18">
        <f t="shared" ca="1" si="57"/>
        <v>0.8</v>
      </c>
      <c r="T252" s="19">
        <f t="shared" ca="1" si="52"/>
        <v>0</v>
      </c>
      <c r="U252" s="16">
        <v>8</v>
      </c>
      <c r="V252" s="12">
        <f>IFERROR(VLOOKUP(Tabela1[[#This Row],[COD.MDE]],'LISTA DE EMBARQUE'!B:L,11,0),"")</f>
        <v>14</v>
      </c>
      <c r="W252" s="13">
        <f>IFERROR(VLOOKUP(Tabela1[[#This Row],[COD.MDE]],'LISTA DE EMBARQUE'!B:M,12,0),"")</f>
        <v>46261</v>
      </c>
      <c r="X252" s="14">
        <f ca="1">IFERROR(Tabela1[[#This Row],[QIANTIDADE EXPEDIDA]]*Tabela1[[#This Row],[PESO UNI]],"")</f>
        <v>0.8</v>
      </c>
      <c r="Y252" s="14">
        <f t="shared" ca="1" si="56"/>
        <v>0</v>
      </c>
      <c r="Z252" s="20">
        <f ca="1"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ca="1" si="53"/>
        <v>ok</v>
      </c>
      <c r="AJ252" s="5"/>
      <c r="AK252" t="str">
        <f ca="1">Tabela1[[#This Row],[Coluna1]]&amp;Tabela1[[#This Row],[PEDIDO]]</f>
        <v>P-188</v>
      </c>
      <c r="AL252"/>
      <c r="AM252"/>
      <c r="AN252"/>
      <c r="AO252" t="str">
        <f t="shared" ca="1" si="50"/>
        <v>T-072979-1/1073-TC-006</v>
      </c>
      <c r="AP252" t="str">
        <f ca="1">Tabela1[[#This Row],[TAG]]&amp;Tabela1[[#This Row],[PEDIDO]]&amp;Tabela1[[#This Row],[PRODUTO]]</f>
        <v>1073-TC-006P-188RMF</v>
      </c>
      <c r="AQ252" s="22" t="str">
        <f ca="1">Tabela1[[#This Row],[PRODUTO]]&amp;Tabela1[[#This Row],[TAG]]</f>
        <v>RMF1073-TC-006</v>
      </c>
      <c r="AR252" s="24" t="str">
        <f ca="1">Tabela1[[#This Row],[PEDIDO]]&amp;Tabela1[[#This Row],[PRODUTO]]</f>
        <v>P-188RMF</v>
      </c>
      <c r="AS252" s="37">
        <f ca="1">IF(AF252="",0,IF(ISTEXT(AF252),H252*VALUE(SUBSTITUTE(AF252,"%",""))/100,H252*AF252))-Tabela1[[#This Row],[PRONTO ACABADO2]]</f>
        <v>0</v>
      </c>
      <c r="AT252" s="37">
        <f ca="1">IF(AG252="",0,IF(ISTEXT(AG252),H252*VALUE(SUBSTITUTE(AG252,"%",""))/100,H252*AG252))-Tabela1[[#This Row],[PESO EXPEDIDO2]]</f>
        <v>0</v>
      </c>
      <c r="AU252" s="37">
        <f t="shared" ca="1" si="54"/>
        <v>0.8</v>
      </c>
      <c r="AV252" s="37">
        <f t="shared" ca="1" si="55"/>
        <v>0.8</v>
      </c>
      <c r="AW252" s="37"/>
    </row>
    <row r="253" spans="1:49" ht="15.75" hidden="1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 ca="1"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 ca="1">Tabela1[[#This Row],[QTDE/ Fabricação]]-Tabela1[[#This Row],[QTE]]</f>
        <v>-8</v>
      </c>
      <c r="R253" s="18">
        <f t="shared" ca="1" si="51"/>
        <v>0.8</v>
      </c>
      <c r="S253" s="18">
        <f t="shared" ca="1" si="57"/>
        <v>0.8</v>
      </c>
      <c r="T253" s="19">
        <f t="shared" ca="1" si="52"/>
        <v>0</v>
      </c>
      <c r="U253" s="16">
        <v>8</v>
      </c>
      <c r="V253" s="12">
        <f>IFERROR(VLOOKUP(Tabela1[[#This Row],[COD.MDE]],'LISTA DE EMBARQUE'!B:L,11,0),"")</f>
        <v>14</v>
      </c>
      <c r="W253" s="13">
        <f>IFERROR(VLOOKUP(Tabela1[[#This Row],[COD.MDE]],'LISTA DE EMBARQUE'!B:M,12,0),"")</f>
        <v>46261</v>
      </c>
      <c r="X253" s="14">
        <f ca="1">IFERROR(Tabela1[[#This Row],[QIANTIDADE EXPEDIDA]]*Tabela1[[#This Row],[PESO UNI]],"")</f>
        <v>0.8</v>
      </c>
      <c r="Y253" s="14">
        <f t="shared" ca="1" si="56"/>
        <v>0</v>
      </c>
      <c r="Z253" s="20">
        <f ca="1"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ca="1" si="53"/>
        <v>ok</v>
      </c>
      <c r="AJ253" s="5"/>
      <c r="AK253" t="str">
        <f ca="1">Tabela1[[#This Row],[Coluna1]]&amp;Tabela1[[#This Row],[PEDIDO]]</f>
        <v>P-188</v>
      </c>
      <c r="AL253"/>
      <c r="AM253"/>
      <c r="AN253"/>
      <c r="AO253" t="str">
        <f t="shared" ca="1" si="50"/>
        <v>T-072979-1/1073-TC-006</v>
      </c>
      <c r="AP253" t="str">
        <f ca="1">Tabela1[[#This Row],[TAG]]&amp;Tabela1[[#This Row],[PEDIDO]]&amp;Tabela1[[#This Row],[PRODUTO]]</f>
        <v>1073-TC-006P-188RMF</v>
      </c>
      <c r="AQ253" s="22" t="str">
        <f ca="1">Tabela1[[#This Row],[PRODUTO]]&amp;Tabela1[[#This Row],[TAG]]</f>
        <v>RMF1073-TC-006</v>
      </c>
      <c r="AR253" s="24" t="str">
        <f ca="1">Tabela1[[#This Row],[PEDIDO]]&amp;Tabela1[[#This Row],[PRODUTO]]</f>
        <v>P-188RMF</v>
      </c>
      <c r="AS253" s="37">
        <f ca="1">IF(AF253="",0,IF(ISTEXT(AF253),H253*VALUE(SUBSTITUTE(AF253,"%",""))/100,H253*AF253))-Tabela1[[#This Row],[PRONTO ACABADO2]]</f>
        <v>0</v>
      </c>
      <c r="AT253" s="37">
        <f ca="1">IF(AG253="",0,IF(ISTEXT(AG253),H253*VALUE(SUBSTITUTE(AG253,"%",""))/100,H253*AG253))-Tabela1[[#This Row],[PESO EXPEDIDO2]]</f>
        <v>0</v>
      </c>
      <c r="AU253" s="37">
        <f t="shared" ca="1" si="54"/>
        <v>0.8</v>
      </c>
      <c r="AV253" s="37">
        <f t="shared" ca="1" si="55"/>
        <v>0.8</v>
      </c>
      <c r="AW253" s="37"/>
    </row>
    <row r="254" spans="1:49" ht="15.75" hidden="1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 ca="1"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 ca="1">Tabela1[[#This Row],[QTDE/ Fabricação]]-Tabela1[[#This Row],[QTE]]</f>
        <v>-4</v>
      </c>
      <c r="R254" s="18">
        <f t="shared" ca="1" si="51"/>
        <v>0.4</v>
      </c>
      <c r="S254" s="18">
        <f t="shared" ca="1" si="57"/>
        <v>0.4</v>
      </c>
      <c r="T254" s="19">
        <f t="shared" ca="1" si="52"/>
        <v>0</v>
      </c>
      <c r="U254" s="16">
        <v>4</v>
      </c>
      <c r="V254" s="12">
        <f ca="1">IFERROR(VLOOKUP(Tabela1[[#This Row],[COD.MDE]],'LISTA DE EMBARQUE'!B:L,11,0),"")</f>
        <v>14</v>
      </c>
      <c r="W254" s="13">
        <f>IFERROR(VLOOKUP(Tabela1[[#This Row],[COD.MDE]],'LISTA DE EMBARQUE'!B:M,12,0),"")</f>
        <v>46261</v>
      </c>
      <c r="X254" s="14">
        <f ca="1">IFERROR(Tabela1[[#This Row],[QIANTIDADE EXPEDIDA]]*Tabela1[[#This Row],[PESO UNI]],"")</f>
        <v>0.4</v>
      </c>
      <c r="Y254" s="14">
        <f t="shared" ca="1" si="56"/>
        <v>0</v>
      </c>
      <c r="Z254" s="20">
        <f ca="1"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ca="1" si="53"/>
        <v>ok</v>
      </c>
      <c r="AJ254" s="5"/>
      <c r="AK254" t="str">
        <f ca="1">Tabela1[[#This Row],[Coluna1]]&amp;Tabela1[[#This Row],[PEDIDO]]</f>
        <v>P-188</v>
      </c>
      <c r="AL254"/>
      <c r="AM254"/>
      <c r="AN254"/>
      <c r="AO254" t="str">
        <f t="shared" ca="1" si="50"/>
        <v>T-072979-1/1073-TC-006</v>
      </c>
      <c r="AP254" t="str">
        <f ca="1">Tabela1[[#This Row],[TAG]]&amp;Tabela1[[#This Row],[PEDIDO]]&amp;Tabela1[[#This Row],[PRODUTO]]</f>
        <v>1073-TC-006P-188RMF</v>
      </c>
      <c r="AQ254" s="22" t="str">
        <f ca="1">Tabela1[[#This Row],[PRODUTO]]&amp;Tabela1[[#This Row],[TAG]]</f>
        <v>RMF1073-TC-006</v>
      </c>
      <c r="AR254" s="24" t="str">
        <f ca="1">Tabela1[[#This Row],[PEDIDO]]&amp;Tabela1[[#This Row],[PRODUTO]]</f>
        <v>P-188RMF</v>
      </c>
      <c r="AS254" s="37">
        <f ca="1">IF(AF254="",0,IF(ISTEXT(AF254),H254*VALUE(SUBSTITUTE(AF254,"%",""))/100,H254*AF254))-Tabela1[[#This Row],[PRONTO ACABADO2]]</f>
        <v>0</v>
      </c>
      <c r="AT254" s="37">
        <f ca="1">IF(AG254="",0,IF(ISTEXT(AG254),H254*VALUE(SUBSTITUTE(AG254,"%",""))/100,H254*AG254))-Tabela1[[#This Row],[PESO EXPEDIDO2]]</f>
        <v>0</v>
      </c>
      <c r="AU254" s="37">
        <f t="shared" ca="1" si="54"/>
        <v>0.4</v>
      </c>
      <c r="AV254" s="37">
        <f t="shared" ca="1" si="55"/>
        <v>0.4</v>
      </c>
      <c r="AW254" s="37"/>
    </row>
    <row r="255" spans="1:49" ht="15.75" hidden="1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 ca="1"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 ca="1">Tabela1[[#This Row],[QTDE/ Fabricação]]-Tabela1[[#This Row],[QTE]]</f>
        <v>-4</v>
      </c>
      <c r="R255" s="18">
        <f t="shared" ca="1" si="51"/>
        <v>0.4</v>
      </c>
      <c r="S255" s="18">
        <f t="shared" ca="1" si="57"/>
        <v>0.4</v>
      </c>
      <c r="T255" s="19">
        <f t="shared" ca="1" si="52"/>
        <v>0</v>
      </c>
      <c r="U255" s="16">
        <v>4</v>
      </c>
      <c r="V255" s="12">
        <f>IFERROR(VLOOKUP(Tabela1[[#This Row],[COD.MDE]],'LISTA DE EMBARQUE'!B:L,11,0),"")</f>
        <v>14</v>
      </c>
      <c r="W255" s="13">
        <f>IFERROR(VLOOKUP(Tabela1[[#This Row],[COD.MDE]],'LISTA DE EMBARQUE'!B:M,12,0),"")</f>
        <v>46261</v>
      </c>
      <c r="X255" s="14">
        <f ca="1">IFERROR(Tabela1[[#This Row],[QIANTIDADE EXPEDIDA]]*Tabela1[[#This Row],[PESO UNI]],"")</f>
        <v>0.4</v>
      </c>
      <c r="Y255" s="14">
        <f t="shared" ca="1" si="56"/>
        <v>0</v>
      </c>
      <c r="Z255" s="20">
        <f ca="1"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ca="1" si="53"/>
        <v>ok</v>
      </c>
      <c r="AJ255" s="5"/>
      <c r="AK255" t="str">
        <f ca="1">Tabela1[[#This Row],[Coluna1]]&amp;Tabela1[[#This Row],[PEDIDO]]</f>
        <v>P-188</v>
      </c>
      <c r="AL255"/>
      <c r="AM255"/>
      <c r="AN255"/>
      <c r="AO255" t="str">
        <f t="shared" ca="1" si="50"/>
        <v>T-072979-1/1073-TC-006</v>
      </c>
      <c r="AP255" t="str">
        <f ca="1">Tabela1[[#This Row],[TAG]]&amp;Tabela1[[#This Row],[PEDIDO]]&amp;Tabela1[[#This Row],[PRODUTO]]</f>
        <v>1073-TC-006P-188RMF</v>
      </c>
      <c r="AQ255" s="22" t="str">
        <f ca="1">Tabela1[[#This Row],[PRODUTO]]&amp;Tabela1[[#This Row],[TAG]]</f>
        <v>RMF1073-TC-006</v>
      </c>
      <c r="AR255" s="24" t="str">
        <f ca="1">Tabela1[[#This Row],[PEDIDO]]&amp;Tabela1[[#This Row],[PRODUTO]]</f>
        <v>P-188RMF</v>
      </c>
      <c r="AS255" s="37">
        <f ca="1">IF(AF255="",0,IF(ISTEXT(AF255),H255*VALUE(SUBSTITUTE(AF255,"%",""))/100,H255*AF255))-Tabela1[[#This Row],[PRONTO ACABADO2]]</f>
        <v>0</v>
      </c>
      <c r="AT255" s="37">
        <f ca="1">IF(AG255="",0,IF(ISTEXT(AG255),H255*VALUE(SUBSTITUTE(AG255,"%",""))/100,H255*AG255))-Tabela1[[#This Row],[PESO EXPEDIDO2]]</f>
        <v>0</v>
      </c>
      <c r="AU255" s="37">
        <f t="shared" ca="1" si="54"/>
        <v>0.4</v>
      </c>
      <c r="AV255" s="37">
        <f t="shared" ca="1" si="55"/>
        <v>0.4</v>
      </c>
      <c r="AW255" s="37"/>
    </row>
    <row r="256" spans="1:49" ht="15.75" hidden="1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 ca="1"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 ca="1">Tabela1[[#This Row],[QTDE/ Fabricação]]-Tabela1[[#This Row],[QTE]]</f>
        <v>-1</v>
      </c>
      <c r="R256" s="18">
        <f t="shared" ca="1" si="51"/>
        <v>638</v>
      </c>
      <c r="S256" s="18">
        <f t="shared" ca="1" si="57"/>
        <v>638</v>
      </c>
      <c r="T256" s="19">
        <f t="shared" ca="1" si="52"/>
        <v>0</v>
      </c>
      <c r="U256" s="16">
        <v>1</v>
      </c>
      <c r="V256" s="12">
        <f>IFERROR(VLOOKUP(Tabela1[[#This Row],[COD.MDE]],'LISTA DE EMBARQUE'!B:L,11,0),"")</f>
        <v>14</v>
      </c>
      <c r="W256" s="13">
        <f>IFERROR(VLOOKUP(Tabela1[[#This Row],[COD.MDE]],'LISTA DE EMBARQUE'!B:M,12,0),"")</f>
        <v>46261</v>
      </c>
      <c r="X256" s="14">
        <f ca="1">IFERROR(Tabela1[[#This Row],[QIANTIDADE EXPEDIDA]]*Tabela1[[#This Row],[PESO UNI]],"")</f>
        <v>638</v>
      </c>
      <c r="Y256" s="14">
        <f t="shared" ca="1" si="56"/>
        <v>0</v>
      </c>
      <c r="Z256" s="20">
        <f ca="1"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ca="1" si="53"/>
        <v>ok</v>
      </c>
      <c r="AJ256" s="5"/>
      <c r="AK256" t="str">
        <f ca="1">Tabela1[[#This Row],[Coluna1]]&amp;Tabela1[[#This Row],[PEDIDO]]</f>
        <v>P-188</v>
      </c>
      <c r="AL256"/>
      <c r="AM256"/>
      <c r="AN256"/>
      <c r="AO256" t="str">
        <f t="shared" ca="1" si="50"/>
        <v>T-072979-1/1073-TC-007</v>
      </c>
      <c r="AP256" t="str">
        <f ca="1">Tabela1[[#This Row],[TAG]]&amp;Tabela1[[#This Row],[PEDIDO]]&amp;Tabela1[[#This Row],[PRODUTO]]</f>
        <v>1073-TC-007P-188RMF</v>
      </c>
      <c r="AQ256" s="22" t="str">
        <f ca="1">Tabela1[[#This Row],[PRODUTO]]&amp;Tabela1[[#This Row],[TAG]]</f>
        <v>RMF1073-TC-007</v>
      </c>
      <c r="AR256" s="24" t="str">
        <f ca="1">Tabela1[[#This Row],[PEDIDO]]&amp;Tabela1[[#This Row],[PRODUTO]]</f>
        <v>P-188RMF</v>
      </c>
      <c r="AS256" s="37">
        <f ca="1">IF(AF256="",0,IF(ISTEXT(AF256),H256*VALUE(SUBSTITUTE(AF256,"%",""))/100,H256*AF256))-Tabela1[[#This Row],[PRONTO ACABADO2]]</f>
        <v>0</v>
      </c>
      <c r="AT256" s="37">
        <f ca="1">IF(AG256="",0,IF(ISTEXT(AG256),H256*VALUE(SUBSTITUTE(AG256,"%",""))/100,H256*AG256))-Tabela1[[#This Row],[PESO EXPEDIDO2]]</f>
        <v>0</v>
      </c>
      <c r="AU256" s="37">
        <f t="shared" ca="1" si="54"/>
        <v>638</v>
      </c>
      <c r="AV256" s="37">
        <f t="shared" ca="1" si="55"/>
        <v>638</v>
      </c>
      <c r="AW256" s="37"/>
    </row>
    <row r="257" spans="1:49" ht="15.75" hidden="1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 ca="1"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 ca="1">Tabela1[[#This Row],[QTDE/ Fabricação]]-Tabela1[[#This Row],[QTE]]</f>
        <v>-4</v>
      </c>
      <c r="R257" s="18">
        <f t="shared" ca="1" si="51"/>
        <v>18</v>
      </c>
      <c r="S257" s="18">
        <f t="shared" ca="1" si="57"/>
        <v>18</v>
      </c>
      <c r="T257" s="19">
        <f t="shared" ca="1" si="52"/>
        <v>0</v>
      </c>
      <c r="U257" s="16">
        <v>4</v>
      </c>
      <c r="V257" s="12">
        <f>IFERROR(VLOOKUP(Tabela1[[#This Row],[COD.MDE]],'LISTA DE EMBARQUE'!B:L,11,0),"")</f>
        <v>14</v>
      </c>
      <c r="W257" s="13">
        <f>IFERROR(VLOOKUP(Tabela1[[#This Row],[COD.MDE]],'LISTA DE EMBARQUE'!B:M,12,0),"")</f>
        <v>46261</v>
      </c>
      <c r="X257" s="14">
        <f ca="1">IFERROR(Tabela1[[#This Row],[QIANTIDADE EXPEDIDA]]*Tabela1[[#This Row],[PESO UNI]],"")</f>
        <v>18</v>
      </c>
      <c r="Y257" s="14">
        <f t="shared" ca="1" si="56"/>
        <v>0</v>
      </c>
      <c r="Z257" s="20">
        <f ca="1"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ca="1" si="53"/>
        <v>ok</v>
      </c>
      <c r="AJ257" s="5"/>
      <c r="AK257" t="str">
        <f ca="1">Tabela1[[#This Row],[Coluna1]]&amp;Tabela1[[#This Row],[PEDIDO]]</f>
        <v>P-188</v>
      </c>
      <c r="AL257"/>
      <c r="AM257"/>
      <c r="AN257"/>
      <c r="AO257" t="str">
        <f t="shared" ca="1" si="50"/>
        <v>T-072979-1/1073-TC-007</v>
      </c>
      <c r="AP257" t="str">
        <f ca="1">Tabela1[[#This Row],[TAG]]&amp;Tabela1[[#This Row],[PEDIDO]]&amp;Tabela1[[#This Row],[PRODUTO]]</f>
        <v>1073-TC-007P-188RMF</v>
      </c>
      <c r="AQ257" s="22" t="str">
        <f ca="1">Tabela1[[#This Row],[PRODUTO]]&amp;Tabela1[[#This Row],[TAG]]</f>
        <v>RMF1073-TC-007</v>
      </c>
      <c r="AR257" s="24" t="str">
        <f ca="1">Tabela1[[#This Row],[PEDIDO]]&amp;Tabela1[[#This Row],[PRODUTO]]</f>
        <v>P-188RMF</v>
      </c>
      <c r="AS257" s="37">
        <f ca="1">IF(AF257="",0,IF(ISTEXT(AF257),H257*VALUE(SUBSTITUTE(AF257,"%",""))/100,H257*AF257))-Tabela1[[#This Row],[PRONTO ACABADO2]]</f>
        <v>0</v>
      </c>
      <c r="AT257" s="37">
        <f ca="1">IF(AG257="",0,IF(ISTEXT(AG257),H257*VALUE(SUBSTITUTE(AG257,"%",""))/100,H257*AG257))-Tabela1[[#This Row],[PESO EXPEDIDO2]]</f>
        <v>0</v>
      </c>
      <c r="AU257" s="37">
        <f t="shared" ca="1" si="54"/>
        <v>18</v>
      </c>
      <c r="AV257" s="37">
        <f t="shared" ca="1" si="55"/>
        <v>18</v>
      </c>
      <c r="AW257" s="37"/>
    </row>
    <row r="258" spans="1:49" ht="15.75" hidden="1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 ca="1"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 ca="1">Tabela1[[#This Row],[QTDE/ Fabricação]]-Tabela1[[#This Row],[QTE]]</f>
        <v>-4</v>
      </c>
      <c r="R258" s="18">
        <f t="shared" ca="1" si="51"/>
        <v>23.2</v>
      </c>
      <c r="S258" s="18">
        <f t="shared" ca="1" si="57"/>
        <v>23.2</v>
      </c>
      <c r="T258" s="19">
        <f t="shared" ca="1" si="52"/>
        <v>0</v>
      </c>
      <c r="U258" s="16">
        <v>4</v>
      </c>
      <c r="V258" s="12">
        <f ca="1">IFERROR(VLOOKUP(Tabela1[[#This Row],[COD.MDE]],'LISTA DE EMBARQUE'!B:L,11,0),"")</f>
        <v>14</v>
      </c>
      <c r="W258" s="13">
        <f>IFERROR(VLOOKUP(Tabela1[[#This Row],[COD.MDE]],'LISTA DE EMBARQUE'!B:M,12,0),"")</f>
        <v>46261</v>
      </c>
      <c r="X258" s="14">
        <f ca="1">IFERROR(Tabela1[[#This Row],[QIANTIDADE EXPEDIDA]]*Tabela1[[#This Row],[PESO UNI]],"")</f>
        <v>23.2</v>
      </c>
      <c r="Y258" s="14">
        <f t="shared" ca="1" si="56"/>
        <v>0</v>
      </c>
      <c r="Z258" s="20">
        <f ca="1"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ca="1" si="53"/>
        <v>ok</v>
      </c>
      <c r="AJ258" s="5"/>
      <c r="AK258" t="str">
        <f ca="1">Tabela1[[#This Row],[Coluna1]]&amp;Tabela1[[#This Row],[PEDIDO]]</f>
        <v>P-188</v>
      </c>
      <c r="AL258"/>
      <c r="AM258"/>
      <c r="AN258"/>
      <c r="AO258" t="str">
        <f t="shared" ca="1" si="50"/>
        <v>T-072979-1/1073-TC-007</v>
      </c>
      <c r="AP258" t="str">
        <f ca="1">Tabela1[[#This Row],[TAG]]&amp;Tabela1[[#This Row],[PEDIDO]]&amp;Tabela1[[#This Row],[PRODUTO]]</f>
        <v>1073-TC-007P-188RMF</v>
      </c>
      <c r="AQ258" s="22" t="str">
        <f ca="1">Tabela1[[#This Row],[PRODUTO]]&amp;Tabela1[[#This Row],[TAG]]</f>
        <v>RMF1073-TC-007</v>
      </c>
      <c r="AR258" s="24" t="str">
        <f ca="1">Tabela1[[#This Row],[PEDIDO]]&amp;Tabela1[[#This Row],[PRODUTO]]</f>
        <v>P-188RMF</v>
      </c>
      <c r="AS258" s="37">
        <f ca="1">IF(AF258="",0,IF(ISTEXT(AF258),H258*VALUE(SUBSTITUTE(AF258,"%",""))/100,H258*AF258))-Tabela1[[#This Row],[PRONTO ACABADO2]]</f>
        <v>0</v>
      </c>
      <c r="AT258" s="37">
        <f ca="1">IF(AG258="",0,IF(ISTEXT(AG258),H258*VALUE(SUBSTITUTE(AG258,"%",""))/100,H258*AG258))-Tabela1[[#This Row],[PESO EXPEDIDO2]]</f>
        <v>0</v>
      </c>
      <c r="AU258" s="37">
        <f t="shared" ca="1" si="54"/>
        <v>23.2</v>
      </c>
      <c r="AV258" s="37">
        <f t="shared" ca="1" si="55"/>
        <v>23.2</v>
      </c>
      <c r="AW258" s="37"/>
    </row>
    <row r="259" spans="1:49" ht="15.75" hidden="1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 ca="1"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 ca="1">Tabela1[[#This Row],[QTDE/ Fabricação]]-Tabela1[[#This Row],[QTE]]</f>
        <v>-8</v>
      </c>
      <c r="R259" s="18">
        <f t="shared" ca="1" si="51"/>
        <v>0.8</v>
      </c>
      <c r="S259" s="18">
        <f t="shared" ca="1" si="57"/>
        <v>0.8</v>
      </c>
      <c r="T259" s="19">
        <f t="shared" ca="1" si="52"/>
        <v>0</v>
      </c>
      <c r="U259" s="16">
        <v>8</v>
      </c>
      <c r="V259" s="12">
        <f>IFERROR(VLOOKUP(Tabela1[[#This Row],[COD.MDE]],'LISTA DE EMBARQUE'!B:L,11,0),"")</f>
        <v>14</v>
      </c>
      <c r="W259" s="13">
        <f>IFERROR(VLOOKUP(Tabela1[[#This Row],[COD.MDE]],'LISTA DE EMBARQUE'!B:M,12,0),"")</f>
        <v>46261</v>
      </c>
      <c r="X259" s="14">
        <f ca="1">IFERROR(Tabela1[[#This Row],[QIANTIDADE EXPEDIDA]]*Tabela1[[#This Row],[PESO UNI]],"")</f>
        <v>0.8</v>
      </c>
      <c r="Y259" s="14">
        <f t="shared" ca="1" si="56"/>
        <v>0</v>
      </c>
      <c r="Z259" s="20">
        <f ca="1"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ca="1" si="53"/>
        <v>ok</v>
      </c>
      <c r="AJ259" s="5"/>
      <c r="AK259" t="str">
        <f ca="1">Tabela1[[#This Row],[Coluna1]]&amp;Tabela1[[#This Row],[PEDIDO]]</f>
        <v>P-188</v>
      </c>
      <c r="AL259"/>
      <c r="AM259"/>
      <c r="AN259"/>
      <c r="AO259" t="str">
        <f t="shared" ca="1" si="50"/>
        <v>T-072979-1/1073-TC-007</v>
      </c>
      <c r="AP259" t="str">
        <f ca="1">Tabela1[[#This Row],[TAG]]&amp;Tabela1[[#This Row],[PEDIDO]]&amp;Tabela1[[#This Row],[PRODUTO]]</f>
        <v>1073-TC-007P-188RMF</v>
      </c>
      <c r="AQ259" s="22" t="str">
        <f ca="1">Tabela1[[#This Row],[PRODUTO]]&amp;Tabela1[[#This Row],[TAG]]</f>
        <v>RMF1073-TC-007</v>
      </c>
      <c r="AR259" s="24" t="str">
        <f ca="1">Tabela1[[#This Row],[PEDIDO]]&amp;Tabela1[[#This Row],[PRODUTO]]</f>
        <v>P-188RMF</v>
      </c>
      <c r="AS259" s="37">
        <f ca="1">IF(AF259="",0,IF(ISTEXT(AF259),H259*VALUE(SUBSTITUTE(AF259,"%",""))/100,H259*AF259))-Tabela1[[#This Row],[PRONTO ACABADO2]]</f>
        <v>0</v>
      </c>
      <c r="AT259" s="37">
        <f ca="1">IF(AG259="",0,IF(ISTEXT(AG259),H259*VALUE(SUBSTITUTE(AG259,"%",""))/100,H259*AG259))-Tabela1[[#This Row],[PESO EXPEDIDO2]]</f>
        <v>0</v>
      </c>
      <c r="AU259" s="37">
        <f t="shared" ca="1" si="54"/>
        <v>0.8</v>
      </c>
      <c r="AV259" s="37">
        <f t="shared" ca="1" si="55"/>
        <v>0.8</v>
      </c>
      <c r="AW259" s="37"/>
    </row>
    <row r="260" spans="1:49" ht="15.75" hidden="1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 ca="1"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 ca="1">Tabela1[[#This Row],[QTDE/ Fabricação]]-Tabela1[[#This Row],[QTE]]</f>
        <v>-8</v>
      </c>
      <c r="R260" s="18">
        <f t="shared" ca="1" si="51"/>
        <v>0.8</v>
      </c>
      <c r="S260" s="18">
        <f t="shared" ca="1" si="57"/>
        <v>0.8</v>
      </c>
      <c r="T260" s="19">
        <f t="shared" ca="1" si="52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 ca="1">IFERROR(Tabela1[[#This Row],[QIANTIDADE EXPEDIDA]]*Tabela1[[#This Row],[PESO UNI]],"")</f>
        <v>0.8</v>
      </c>
      <c r="Y260" s="14">
        <f t="shared" ca="1" si="56"/>
        <v>0</v>
      </c>
      <c r="Z260" s="20">
        <f ca="1"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ca="1" si="53"/>
        <v>ok</v>
      </c>
      <c r="AJ260" s="5"/>
      <c r="AK260" t="str">
        <f ca="1">Tabela1[[#This Row],[Coluna1]]&amp;Tabela1[[#This Row],[PEDIDO]]</f>
        <v>P-188</v>
      </c>
      <c r="AL260"/>
      <c r="AM260"/>
      <c r="AN260"/>
      <c r="AO260" t="str">
        <f t="shared" ref="AO260:AO323" ca="1" si="58">A260&amp;"/"&amp;J260</f>
        <v>T-072979-1/1073-TC-007</v>
      </c>
      <c r="AP260" t="str">
        <f ca="1">Tabela1[[#This Row],[TAG]]&amp;Tabela1[[#This Row],[PEDIDO]]&amp;Tabela1[[#This Row],[PRODUTO]]</f>
        <v>1073-TC-007P-188RMF</v>
      </c>
      <c r="AQ260" s="22" t="str">
        <f ca="1">Tabela1[[#This Row],[PRODUTO]]&amp;Tabela1[[#This Row],[TAG]]</f>
        <v>RMF1073-TC-007</v>
      </c>
      <c r="AR260" s="24" t="str">
        <f ca="1">Tabela1[[#This Row],[PEDIDO]]&amp;Tabela1[[#This Row],[PRODUTO]]</f>
        <v>P-188RMF</v>
      </c>
      <c r="AS260" s="37">
        <f ca="1">IF(AF260="",0,IF(ISTEXT(AF260),H260*VALUE(SUBSTITUTE(AF260,"%",""))/100,H260*AF260))-Tabela1[[#This Row],[PRONTO ACABADO2]]</f>
        <v>0</v>
      </c>
      <c r="AT260" s="37">
        <f ca="1">IF(AG260="",0,IF(ISTEXT(AG260),H260*VALUE(SUBSTITUTE(AG260,"%",""))/100,H260*AG260))-Tabela1[[#This Row],[PESO EXPEDIDO2]]</f>
        <v>0</v>
      </c>
      <c r="AU260" s="37">
        <f t="shared" ca="1" si="54"/>
        <v>0.8</v>
      </c>
      <c r="AV260" s="37">
        <f t="shared" ca="1" si="55"/>
        <v>0.8</v>
      </c>
      <c r="AW260" s="37"/>
    </row>
    <row r="261" spans="1:49" ht="15.75" hidden="1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 ca="1"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 ca="1">Tabela1[[#This Row],[QTDE/ Fabricação]]-Tabela1[[#This Row],[QTE]]</f>
        <v>-4</v>
      </c>
      <c r="R261" s="18">
        <f t="shared" ca="1" si="51"/>
        <v>0.4</v>
      </c>
      <c r="S261" s="18">
        <f t="shared" ca="1" si="57"/>
        <v>0.4</v>
      </c>
      <c r="T261" s="19">
        <f t="shared" ca="1" si="52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 ca="1">IFERROR(Tabela1[[#This Row],[QIANTIDADE EXPEDIDA]]*Tabela1[[#This Row],[PESO UNI]],"")</f>
        <v>0.4</v>
      </c>
      <c r="Y261" s="14">
        <f t="shared" ca="1" si="56"/>
        <v>0</v>
      </c>
      <c r="Z261" s="20">
        <f ca="1"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ca="1" si="53"/>
        <v>ok</v>
      </c>
      <c r="AJ261" s="5"/>
      <c r="AK261" t="str">
        <f ca="1">Tabela1[[#This Row],[Coluna1]]&amp;Tabela1[[#This Row],[PEDIDO]]</f>
        <v>P-188</v>
      </c>
      <c r="AL261"/>
      <c r="AM261"/>
      <c r="AN261"/>
      <c r="AO261" t="str">
        <f t="shared" ca="1" si="58"/>
        <v>T-072979-1/1073-TC-007</v>
      </c>
      <c r="AP261" t="str">
        <f ca="1">Tabela1[[#This Row],[TAG]]&amp;Tabela1[[#This Row],[PEDIDO]]&amp;Tabela1[[#This Row],[PRODUTO]]</f>
        <v>1073-TC-007P-188RMF</v>
      </c>
      <c r="AQ261" s="22" t="str">
        <f ca="1">Tabela1[[#This Row],[PRODUTO]]&amp;Tabela1[[#This Row],[TAG]]</f>
        <v>RMF1073-TC-007</v>
      </c>
      <c r="AR261" s="24" t="str">
        <f ca="1">Tabela1[[#This Row],[PEDIDO]]&amp;Tabela1[[#This Row],[PRODUTO]]</f>
        <v>P-188RMF</v>
      </c>
      <c r="AS261" s="37">
        <f ca="1">IF(AF261="",0,IF(ISTEXT(AF261),H261*VALUE(SUBSTITUTE(AF261,"%",""))/100,H261*AF261))-Tabela1[[#This Row],[PRONTO ACABADO2]]</f>
        <v>0</v>
      </c>
      <c r="AT261" s="37">
        <f ca="1">IF(AG261="",0,IF(ISTEXT(AG261),H261*VALUE(SUBSTITUTE(AG261,"%",""))/100,H261*AG261))-Tabela1[[#This Row],[PESO EXPEDIDO2]]</f>
        <v>0</v>
      </c>
      <c r="AU261" s="37">
        <f t="shared" ca="1" si="54"/>
        <v>0.4</v>
      </c>
      <c r="AV261" s="37">
        <f t="shared" ca="1" si="55"/>
        <v>0.4</v>
      </c>
      <c r="AW261" s="37"/>
    </row>
    <row r="262" spans="1:49" ht="15.75" hidden="1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 ca="1"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 ca="1">Tabela1[[#This Row],[QTDE/ Fabricação]]-Tabela1[[#This Row],[QTE]]</f>
        <v>-4</v>
      </c>
      <c r="R262" s="18">
        <f t="shared" ca="1" si="51"/>
        <v>0.4</v>
      </c>
      <c r="S262" s="18">
        <f t="shared" ca="1" si="57"/>
        <v>0.4</v>
      </c>
      <c r="T262" s="19">
        <f t="shared" ca="1" si="52"/>
        <v>0</v>
      </c>
      <c r="U262" s="16">
        <v>4</v>
      </c>
      <c r="V262" s="12" t="str">
        <f ca="1"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 ca="1">IFERROR(Tabela1[[#This Row],[QIANTIDADE EXPEDIDA]]*Tabela1[[#This Row],[PESO UNI]],"")</f>
        <v>0.4</v>
      </c>
      <c r="Y262" s="14">
        <f t="shared" ca="1" si="56"/>
        <v>0</v>
      </c>
      <c r="Z262" s="20">
        <f ca="1"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ca="1" si="53"/>
        <v>ok</v>
      </c>
      <c r="AJ262" s="5"/>
      <c r="AK262" t="str">
        <f ca="1">Tabela1[[#This Row],[Coluna1]]&amp;Tabela1[[#This Row],[PEDIDO]]</f>
        <v>P-188</v>
      </c>
      <c r="AL262"/>
      <c r="AM262"/>
      <c r="AN262"/>
      <c r="AO262" t="str">
        <f t="shared" ca="1" si="58"/>
        <v>T-072979-1/1073-TC-006</v>
      </c>
      <c r="AP262" t="str">
        <f ca="1">Tabela1[[#This Row],[TAG]]&amp;Tabela1[[#This Row],[PEDIDO]]&amp;Tabela1[[#This Row],[PRODUTO]]</f>
        <v>1073-TC-006P-188RMF</v>
      </c>
      <c r="AQ262" s="22" t="str">
        <f ca="1">Tabela1[[#This Row],[PRODUTO]]&amp;Tabela1[[#This Row],[TAG]]</f>
        <v>RMF1073-TC-006</v>
      </c>
      <c r="AR262" s="24" t="str">
        <f ca="1">Tabela1[[#This Row],[PEDIDO]]&amp;Tabela1[[#This Row],[PRODUTO]]</f>
        <v>P-188RMF</v>
      </c>
      <c r="AS262" s="37">
        <f ca="1">IF(AF262="",0,IF(ISTEXT(AF262),H262*VALUE(SUBSTITUTE(AF262,"%",""))/100,H262*AF262))-Tabela1[[#This Row],[PRONTO ACABADO2]]</f>
        <v>0</v>
      </c>
      <c r="AT262" s="37">
        <f ca="1">IF(AG262="",0,IF(ISTEXT(AG262),H262*VALUE(SUBSTITUTE(AG262,"%",""))/100,H262*AG262))-Tabela1[[#This Row],[PESO EXPEDIDO2]]</f>
        <v>0</v>
      </c>
      <c r="AU262" s="37">
        <f t="shared" ca="1" si="54"/>
        <v>0.4</v>
      </c>
      <c r="AV262" s="37">
        <f t="shared" ca="1" si="55"/>
        <v>0.4</v>
      </c>
      <c r="AW262" s="37"/>
    </row>
    <row r="263" spans="1:49" ht="15.75" hidden="1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 ca="1"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 ca="1">Tabela1[[#This Row],[QTDE/ Fabricação]]-Tabela1[[#This Row],[QTE]]</f>
        <v>-1</v>
      </c>
      <c r="R263" s="18">
        <f t="shared" ca="1" si="51"/>
        <v>300.39999999999998</v>
      </c>
      <c r="S263" s="18">
        <f t="shared" ca="1" si="57"/>
        <v>300.39999999999998</v>
      </c>
      <c r="T263" s="19">
        <f t="shared" ca="1" si="52"/>
        <v>0</v>
      </c>
      <c r="U263" s="205">
        <v>1</v>
      </c>
      <c r="V263" s="12" t="str">
        <f>IFERROR(VLOOKUP(Tabela1[[#This Row],[COD.MDE]],'LISTA DE EMBARQUE'!B:L,11,0),"")</f>
        <v/>
      </c>
      <c r="W263" s="13"/>
      <c r="X263" s="14">
        <f ca="1">IFERROR(Tabela1[[#This Row],[QIANTIDADE EXPEDIDA]]*Tabela1[[#This Row],[PESO UNI]],"")</f>
        <v>300.39999999999998</v>
      </c>
      <c r="Y263" s="14">
        <f t="shared" ca="1" si="56"/>
        <v>0</v>
      </c>
      <c r="Z263" s="20">
        <f ca="1"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ca="1" si="53"/>
        <v>ok</v>
      </c>
      <c r="AJ263" s="5"/>
      <c r="AK263" t="str">
        <f ca="1">Tabela1[[#This Row],[Coluna1]]&amp;Tabela1[[#This Row],[PEDIDO]]</f>
        <v>P-188</v>
      </c>
      <c r="AL263"/>
      <c r="AM263"/>
      <c r="AN263"/>
      <c r="AO263" t="str">
        <f t="shared" ca="1" si="58"/>
        <v>T-072981-1/1073-TC-006</v>
      </c>
      <c r="AP263" t="str">
        <f ca="1">Tabela1[[#This Row],[TAG]]&amp;Tabela1[[#This Row],[PEDIDO]]&amp;Tabela1[[#This Row],[PRODUTO]]</f>
        <v>1073-TC-006P-188RMF</v>
      </c>
      <c r="AQ263" s="22" t="str">
        <f ca="1">Tabela1[[#This Row],[PRODUTO]]&amp;Tabela1[[#This Row],[TAG]]</f>
        <v>RMF1073-TC-006</v>
      </c>
      <c r="AR263" s="24" t="str">
        <f ca="1">Tabela1[[#This Row],[PEDIDO]]&amp;Tabela1[[#This Row],[PRODUTO]]</f>
        <v>P-188RMF</v>
      </c>
      <c r="AS263" s="37">
        <f ca="1">IF(AF263="",0,IF(ISTEXT(AF263),H263*VALUE(SUBSTITUTE(AF263,"%",""))/100,H263*AF263))-Tabela1[[#This Row],[PRONTO ACABADO2]]</f>
        <v>0</v>
      </c>
      <c r="AT263" s="37">
        <f ca="1">IF(AG263="",0,IF(ISTEXT(AG263),H263*VALUE(SUBSTITUTE(AG263,"%",""))/100,H263*AG263))-Tabela1[[#This Row],[PESO EXPEDIDO2]]</f>
        <v>0</v>
      </c>
      <c r="AU263" s="37">
        <f t="shared" ca="1" si="54"/>
        <v>300.39999999999998</v>
      </c>
      <c r="AV263" s="37">
        <f t="shared" ca="1" si="55"/>
        <v>300.39999999999998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 ca="1"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 ca="1">Tabela1[[#This Row],[QTDE/ Fabricação]]-Tabela1[[#This Row],[QTE]]</f>
        <v>-1</v>
      </c>
      <c r="R264" s="18">
        <f t="shared" ca="1" si="51"/>
        <v>300.39999999999998</v>
      </c>
      <c r="S264" s="18">
        <f t="shared" ca="1" si="57"/>
        <v>300.39999999999998</v>
      </c>
      <c r="T264" s="19">
        <f t="shared" ca="1" si="52"/>
        <v>0</v>
      </c>
      <c r="U264" s="205">
        <v>1</v>
      </c>
      <c r="V264" s="12" t="str">
        <f>IFERROR(VLOOKUP(Tabela1[[#This Row],[COD.MDE]],'LISTA DE EMBARQUE'!B:L,11,0),"")</f>
        <v/>
      </c>
      <c r="W264" s="13"/>
      <c r="X264" s="14">
        <f ca="1">IFERROR(Tabela1[[#This Row],[QIANTIDADE EXPEDIDA]]*Tabela1[[#This Row],[PESO UNI]],"")</f>
        <v>300.39999999999998</v>
      </c>
      <c r="Y264" s="14">
        <f t="shared" ca="1" si="56"/>
        <v>0</v>
      </c>
      <c r="Z264" s="20">
        <f ca="1"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ca="1" si="53"/>
        <v>ok</v>
      </c>
      <c r="AJ264" s="5"/>
      <c r="AK264" t="str">
        <f ca="1">Tabela1[[#This Row],[Coluna1]]&amp;Tabela1[[#This Row],[PEDIDO]]</f>
        <v>P-188</v>
      </c>
      <c r="AL264"/>
      <c r="AM264"/>
      <c r="AN264"/>
      <c r="AO264" t="str">
        <f t="shared" ca="1" si="58"/>
        <v>T-072981-1/1073-TC-007</v>
      </c>
      <c r="AP264" t="str">
        <f ca="1">Tabela1[[#This Row],[TAG]]&amp;Tabela1[[#This Row],[PEDIDO]]&amp;Tabela1[[#This Row],[PRODUTO]]</f>
        <v>1073-TC-007P-188RMF</v>
      </c>
      <c r="AQ264" s="22" t="str">
        <f ca="1">Tabela1[[#This Row],[PRODUTO]]&amp;Tabela1[[#This Row],[TAG]]</f>
        <v>RMF1073-TC-007</v>
      </c>
      <c r="AR264" s="24" t="str">
        <f ca="1">Tabela1[[#This Row],[PEDIDO]]&amp;Tabela1[[#This Row],[PRODUTO]]</f>
        <v>P-188RMF</v>
      </c>
      <c r="AS264" s="37">
        <f ca="1">IF(AF264="",0,IF(ISTEXT(AF264),H264*VALUE(SUBSTITUTE(AF264,"%",""))/100,H264*AF264))-Tabela1[[#This Row],[PRONTO ACABADO2]]</f>
        <v>0</v>
      </c>
      <c r="AT264" s="37">
        <f ca="1">IF(AG264="",0,IF(ISTEXT(AG264),H264*VALUE(SUBSTITUTE(AG264,"%",""))/100,H264*AG264))-Tabela1[[#This Row],[PESO EXPEDIDO2]]</f>
        <v>0</v>
      </c>
      <c r="AU264" s="37">
        <f t="shared" ca="1" si="54"/>
        <v>300.39999999999998</v>
      </c>
      <c r="AV264" s="37">
        <f t="shared" ca="1" si="55"/>
        <v>300.39999999999998</v>
      </c>
      <c r="AW264" s="37"/>
    </row>
    <row r="265" spans="1:49" ht="15.75" hidden="1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 ca="1"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 ca="1">Tabela1[[#This Row],[QTDE/ Fabricação]]-Tabela1[[#This Row],[QTE]]</f>
        <v>-1</v>
      </c>
      <c r="R265" s="18">
        <f t="shared" ca="1" si="51"/>
        <v>273.2</v>
      </c>
      <c r="S265" s="18">
        <f t="shared" ca="1" si="57"/>
        <v>273.2</v>
      </c>
      <c r="T265" s="19">
        <f t="shared" ca="1" si="52"/>
        <v>0</v>
      </c>
      <c r="U265" s="205">
        <v>1</v>
      </c>
      <c r="V265" s="12">
        <v>13</v>
      </c>
      <c r="W265" s="13"/>
      <c r="X265" s="14">
        <f ca="1">IFERROR(Tabela1[[#This Row],[QIANTIDADE EXPEDIDA]]*Tabela1[[#This Row],[PESO UNI]],"")</f>
        <v>273.2</v>
      </c>
      <c r="Y265" s="14">
        <f t="shared" ca="1" si="56"/>
        <v>0</v>
      </c>
      <c r="Z265" s="20">
        <f ca="1"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ca="1" si="53"/>
        <v>ok</v>
      </c>
      <c r="AJ265" s="5"/>
      <c r="AK265" t="str">
        <f ca="1">Tabela1[[#This Row],[Coluna1]]&amp;Tabela1[[#This Row],[PEDIDO]]</f>
        <v>P-188</v>
      </c>
      <c r="AL265"/>
      <c r="AM265"/>
      <c r="AN265"/>
      <c r="AO265" t="str">
        <f t="shared" ca="1" si="58"/>
        <v>T-072982-1/1073-TC-006</v>
      </c>
      <c r="AP265" t="str">
        <f ca="1">Tabela1[[#This Row],[TAG]]&amp;Tabela1[[#This Row],[PEDIDO]]&amp;Tabela1[[#This Row],[PRODUTO]]</f>
        <v>1073-TC-006P-188RMF</v>
      </c>
      <c r="AQ265" s="22" t="str">
        <f ca="1">Tabela1[[#This Row],[PRODUTO]]&amp;Tabela1[[#This Row],[TAG]]</f>
        <v>RMF1073-TC-006</v>
      </c>
      <c r="AR265" s="24" t="str">
        <f ca="1">Tabela1[[#This Row],[PEDIDO]]&amp;Tabela1[[#This Row],[PRODUTO]]</f>
        <v>P-188RMF</v>
      </c>
      <c r="AS265" s="37">
        <f ca="1">IF(AF265="",0,IF(ISTEXT(AF265),H265*VALUE(SUBSTITUTE(AF265,"%",""))/100,H265*AF265))-Tabela1[[#This Row],[PRONTO ACABADO2]]</f>
        <v>0</v>
      </c>
      <c r="AT265" s="37">
        <f ca="1">IF(AG265="",0,IF(ISTEXT(AG265),H265*VALUE(SUBSTITUTE(AG265,"%",""))/100,H265*AG265))-Tabela1[[#This Row],[PESO EXPEDIDO2]]</f>
        <v>0</v>
      </c>
      <c r="AU265" s="37">
        <f t="shared" ca="1" si="54"/>
        <v>273.2</v>
      </c>
      <c r="AV265" s="37">
        <f t="shared" ca="1" si="55"/>
        <v>273.2</v>
      </c>
      <c r="AW265" s="37"/>
    </row>
    <row r="266" spans="1:49" ht="15.75" hidden="1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 ca="1"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 ca="1">Tabela1[[#This Row],[QTDE/ Fabricação]]-Tabela1[[#This Row],[QTE]]</f>
        <v>-1</v>
      </c>
      <c r="R266" s="18">
        <f t="shared" ca="1" si="51"/>
        <v>97.8</v>
      </c>
      <c r="S266" s="18">
        <f t="shared" ca="1" si="57"/>
        <v>97.8</v>
      </c>
      <c r="T266" s="19">
        <f t="shared" ca="1" si="52"/>
        <v>0</v>
      </c>
      <c r="U266" s="205">
        <v>1</v>
      </c>
      <c r="V266" s="12">
        <v>13</v>
      </c>
      <c r="W266" s="13"/>
      <c r="X266" s="14">
        <f ca="1">IFERROR(Tabela1[[#This Row],[QIANTIDADE EXPEDIDA]]*Tabela1[[#This Row],[PESO UNI]],"")</f>
        <v>97.8</v>
      </c>
      <c r="Y266" s="14">
        <f t="shared" ca="1" si="56"/>
        <v>0</v>
      </c>
      <c r="Z266" s="20">
        <f ca="1"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ca="1" si="53"/>
        <v>ok</v>
      </c>
      <c r="AJ266" s="5"/>
      <c r="AK266" t="str">
        <f ca="1">Tabela1[[#This Row],[Coluna1]]&amp;Tabela1[[#This Row],[PEDIDO]]</f>
        <v>P-188</v>
      </c>
      <c r="AL266"/>
      <c r="AM266"/>
      <c r="AN266"/>
      <c r="AO266" t="str">
        <f t="shared" ca="1" si="58"/>
        <v>T-072982-1/1073-TC-006</v>
      </c>
      <c r="AP266" t="str">
        <f ca="1">Tabela1[[#This Row],[TAG]]&amp;Tabela1[[#This Row],[PEDIDO]]&amp;Tabela1[[#This Row],[PRODUTO]]</f>
        <v>1073-TC-006P-188RMF</v>
      </c>
      <c r="AQ266" s="22" t="str">
        <f ca="1">Tabela1[[#This Row],[PRODUTO]]&amp;Tabela1[[#This Row],[TAG]]</f>
        <v>RMF1073-TC-006</v>
      </c>
      <c r="AR266" s="24" t="str">
        <f ca="1">Tabela1[[#This Row],[PEDIDO]]&amp;Tabela1[[#This Row],[PRODUTO]]</f>
        <v>P-188RMF</v>
      </c>
      <c r="AS266" s="37">
        <f ca="1">IF(AF266="",0,IF(ISTEXT(AF266),H266*VALUE(SUBSTITUTE(AF266,"%",""))/100,H266*AF266))-Tabela1[[#This Row],[PRONTO ACABADO2]]</f>
        <v>0</v>
      </c>
      <c r="AT266" s="37">
        <f ca="1">IF(AG266="",0,IF(ISTEXT(AG266),H266*VALUE(SUBSTITUTE(AG266,"%",""))/100,H266*AG266))-Tabela1[[#This Row],[PESO EXPEDIDO2]]</f>
        <v>0</v>
      </c>
      <c r="AU266" s="37">
        <f t="shared" ca="1" si="54"/>
        <v>97.8</v>
      </c>
      <c r="AV266" s="37">
        <f t="shared" ca="1" si="55"/>
        <v>97.8</v>
      </c>
      <c r="AW266" s="37"/>
    </row>
    <row r="267" spans="1:49" ht="15.75" hidden="1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 ca="1"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 ca="1">Tabela1[[#This Row],[QTDE/ Fabricação]]-Tabela1[[#This Row],[QTE]]</f>
        <v>-1</v>
      </c>
      <c r="R267" s="18">
        <f t="shared" ca="1" si="51"/>
        <v>273.2</v>
      </c>
      <c r="S267" s="18">
        <f t="shared" ca="1" si="57"/>
        <v>273.2</v>
      </c>
      <c r="T267" s="19">
        <f t="shared" ca="1" si="52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 ca="1">IFERROR(Tabela1[[#This Row],[QIANTIDADE EXPEDIDA]]*Tabela1[[#This Row],[PESO UNI]],"")</f>
        <v>273.2</v>
      </c>
      <c r="Y267" s="14">
        <f t="shared" ca="1" si="56"/>
        <v>0</v>
      </c>
      <c r="Z267" s="20">
        <f ca="1"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ca="1" si="53"/>
        <v>ok</v>
      </c>
      <c r="AJ267" s="5"/>
      <c r="AK267" t="str">
        <f ca="1">Tabela1[[#This Row],[Coluna1]]&amp;Tabela1[[#This Row],[PEDIDO]]</f>
        <v>P-188</v>
      </c>
      <c r="AL267"/>
      <c r="AM267"/>
      <c r="AN267"/>
      <c r="AO267" t="str">
        <f t="shared" ca="1" si="58"/>
        <v>T-072982-1/1073-TC-007</v>
      </c>
      <c r="AP267" t="str">
        <f ca="1">Tabela1[[#This Row],[TAG]]&amp;Tabela1[[#This Row],[PEDIDO]]&amp;Tabela1[[#This Row],[PRODUTO]]</f>
        <v>1073-TC-007P-188RMF</v>
      </c>
      <c r="AQ267" s="22" t="str">
        <f ca="1">Tabela1[[#This Row],[PRODUTO]]&amp;Tabela1[[#This Row],[TAG]]</f>
        <v>RMF1073-TC-007</v>
      </c>
      <c r="AR267" s="24" t="str">
        <f ca="1">Tabela1[[#This Row],[PEDIDO]]&amp;Tabela1[[#This Row],[PRODUTO]]</f>
        <v>P-188RMF</v>
      </c>
      <c r="AS267" s="37">
        <f ca="1">IF(AF267="",0,IF(ISTEXT(AF267),H267*VALUE(SUBSTITUTE(AF267,"%",""))/100,H267*AF267))-Tabela1[[#This Row],[PRONTO ACABADO2]]</f>
        <v>0</v>
      </c>
      <c r="AT267" s="37">
        <f ca="1">IF(AG267="",0,IF(ISTEXT(AG267),H267*VALUE(SUBSTITUTE(AG267,"%",""))/100,H267*AG267))-Tabela1[[#This Row],[PESO EXPEDIDO2]]</f>
        <v>0</v>
      </c>
      <c r="AU267" s="37">
        <f t="shared" ca="1" si="54"/>
        <v>273.2</v>
      </c>
      <c r="AV267" s="37">
        <f t="shared" ca="1" si="55"/>
        <v>273.2</v>
      </c>
      <c r="AW267" s="37"/>
    </row>
    <row r="268" spans="1:49" ht="15.75" hidden="1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 ca="1"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 ca="1">Tabela1[[#This Row],[QTDE/ Fabricação]]-Tabela1[[#This Row],[QTE]]</f>
        <v>-1</v>
      </c>
      <c r="R268" s="18">
        <f t="shared" ca="1" si="51"/>
        <v>97.8</v>
      </c>
      <c r="S268" s="18">
        <f t="shared" ca="1" si="57"/>
        <v>97.8</v>
      </c>
      <c r="T268" s="19">
        <f t="shared" ca="1" si="52"/>
        <v>0</v>
      </c>
      <c r="U268" s="205">
        <v>1</v>
      </c>
      <c r="V268" s="12">
        <v>13</v>
      </c>
      <c r="W268" s="13"/>
      <c r="X268" s="14">
        <f ca="1">IFERROR(Tabela1[[#This Row],[QIANTIDADE EXPEDIDA]]*Tabela1[[#This Row],[PESO UNI]],"")</f>
        <v>97.8</v>
      </c>
      <c r="Y268" s="14">
        <f t="shared" ca="1" si="56"/>
        <v>0</v>
      </c>
      <c r="Z268" s="20">
        <f ca="1"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ca="1" si="53"/>
        <v>ok</v>
      </c>
      <c r="AJ268" s="5"/>
      <c r="AK268" t="str">
        <f ca="1">Tabela1[[#This Row],[Coluna1]]&amp;Tabela1[[#This Row],[PEDIDO]]</f>
        <v>P-188</v>
      </c>
      <c r="AL268"/>
      <c r="AM268"/>
      <c r="AN268"/>
      <c r="AO268" t="str">
        <f t="shared" ca="1" si="58"/>
        <v>T-072982-1/1073-TC-007</v>
      </c>
      <c r="AP268" t="str">
        <f ca="1">Tabela1[[#This Row],[TAG]]&amp;Tabela1[[#This Row],[PEDIDO]]&amp;Tabela1[[#This Row],[PRODUTO]]</f>
        <v>1073-TC-007P-188RMF</v>
      </c>
      <c r="AQ268" s="22" t="str">
        <f ca="1">Tabela1[[#This Row],[PRODUTO]]&amp;Tabela1[[#This Row],[TAG]]</f>
        <v>RMF1073-TC-007</v>
      </c>
      <c r="AR268" s="24" t="str">
        <f ca="1">Tabela1[[#This Row],[PEDIDO]]&amp;Tabela1[[#This Row],[PRODUTO]]</f>
        <v>P-188RMF</v>
      </c>
      <c r="AS268" s="37">
        <f ca="1">IF(AF268="",0,IF(ISTEXT(AF268),H268*VALUE(SUBSTITUTE(AF268,"%",""))/100,H268*AF268))-Tabela1[[#This Row],[PRONTO ACABADO2]]</f>
        <v>0</v>
      </c>
      <c r="AT268" s="37">
        <f ca="1">IF(AG268="",0,IF(ISTEXT(AG268),H268*VALUE(SUBSTITUTE(AG268,"%",""))/100,H268*AG268))-Tabela1[[#This Row],[PESO EXPEDIDO2]]</f>
        <v>0</v>
      </c>
      <c r="AU268" s="37">
        <f t="shared" ca="1" si="54"/>
        <v>97.8</v>
      </c>
      <c r="AV268" s="37">
        <f t="shared" ca="1" si="55"/>
        <v>97.8</v>
      </c>
      <c r="AW268" s="37"/>
    </row>
    <row r="269" spans="1:49" ht="15.75" hidden="1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 ca="1"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 ca="1">Tabela1[[#This Row],[QTDE/ Fabricação]]-Tabela1[[#This Row],[QTE]]</f>
        <v>-1</v>
      </c>
      <c r="R269" s="18">
        <f t="shared" ca="1" si="51"/>
        <v>20.350000000000001</v>
      </c>
      <c r="S269" s="18">
        <f t="shared" ca="1" si="57"/>
        <v>20.350000000000001</v>
      </c>
      <c r="T269" s="19">
        <f t="shared" ca="1" si="52"/>
        <v>0</v>
      </c>
      <c r="U269" s="205">
        <v>1</v>
      </c>
      <c r="V269" s="12">
        <v>13</v>
      </c>
      <c r="W269" s="13"/>
      <c r="X269" s="14">
        <f ca="1">IFERROR(Tabela1[[#This Row],[QIANTIDADE EXPEDIDA]]*Tabela1[[#This Row],[PESO UNI]],"")</f>
        <v>20.350000000000001</v>
      </c>
      <c r="Y269" s="14">
        <f t="shared" ca="1" si="56"/>
        <v>0</v>
      </c>
      <c r="Z269" s="20">
        <f ca="1"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ca="1" si="53"/>
        <v>ok</v>
      </c>
      <c r="AJ269" s="5"/>
      <c r="AK269" t="str">
        <f ca="1">Tabela1[[#This Row],[Coluna1]]&amp;Tabela1[[#This Row],[PEDIDO]]</f>
        <v>P-188</v>
      </c>
      <c r="AL269"/>
      <c r="AM269"/>
      <c r="AN269"/>
      <c r="AO269" t="str">
        <f t="shared" ca="1" si="58"/>
        <v>T-072983-1/1073-TC-006</v>
      </c>
      <c r="AP269" t="str">
        <f ca="1">Tabela1[[#This Row],[TAG]]&amp;Tabela1[[#This Row],[PEDIDO]]&amp;Tabela1[[#This Row],[PRODUTO]]</f>
        <v>1073-TC-006P-188RMF</v>
      </c>
      <c r="AQ269" s="22" t="str">
        <f ca="1">Tabela1[[#This Row],[PRODUTO]]&amp;Tabela1[[#This Row],[TAG]]</f>
        <v>RMF1073-TC-006</v>
      </c>
      <c r="AR269" s="24" t="str">
        <f ca="1">Tabela1[[#This Row],[PEDIDO]]&amp;Tabela1[[#This Row],[PRODUTO]]</f>
        <v>P-188RMF</v>
      </c>
      <c r="AS269" s="37">
        <f ca="1">IF(AF269="",0,IF(ISTEXT(AF269),H269*VALUE(SUBSTITUTE(AF269,"%",""))/100,H269*AF269))-Tabela1[[#This Row],[PRONTO ACABADO2]]</f>
        <v>0</v>
      </c>
      <c r="AT269" s="37">
        <f ca="1">IF(AG269="",0,IF(ISTEXT(AG269),H269*VALUE(SUBSTITUTE(AG269,"%",""))/100,H269*AG269))-Tabela1[[#This Row],[PESO EXPEDIDO2]]</f>
        <v>0</v>
      </c>
      <c r="AU269" s="37">
        <f t="shared" ca="1" si="54"/>
        <v>20.350000000000001</v>
      </c>
      <c r="AV269" s="37">
        <f t="shared" ca="1" si="55"/>
        <v>20.350000000000001</v>
      </c>
      <c r="AW269" s="37"/>
    </row>
    <row r="270" spans="1:49" ht="15.75" hidden="1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 ca="1"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 ca="1">Tabela1[[#This Row],[QTDE/ Fabricação]]-Tabela1[[#This Row],[QTE]]</f>
        <v>-1</v>
      </c>
      <c r="R270" s="18">
        <f t="shared" ca="1" si="51"/>
        <v>1</v>
      </c>
      <c r="S270" s="18">
        <f t="shared" ca="1" si="57"/>
        <v>1</v>
      </c>
      <c r="T270" s="19">
        <f t="shared" ca="1" si="52"/>
        <v>0</v>
      </c>
      <c r="U270" s="205">
        <v>1</v>
      </c>
      <c r="V270" s="12">
        <v>13</v>
      </c>
      <c r="W270" s="13"/>
      <c r="X270" s="14">
        <f ca="1">IFERROR(Tabela1[[#This Row],[QIANTIDADE EXPEDIDA]]*Tabela1[[#This Row],[PESO UNI]],"")</f>
        <v>1</v>
      </c>
      <c r="Y270" s="14">
        <f t="shared" ca="1" si="56"/>
        <v>0</v>
      </c>
      <c r="Z270" s="20">
        <f ca="1"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ca="1" si="53"/>
        <v>ok</v>
      </c>
      <c r="AJ270" s="5"/>
      <c r="AK270" t="str">
        <f ca="1">Tabela1[[#This Row],[Coluna1]]&amp;Tabela1[[#This Row],[PEDIDO]]</f>
        <v>P-188</v>
      </c>
      <c r="AL270"/>
      <c r="AM270"/>
      <c r="AN270"/>
      <c r="AO270" t="str">
        <f t="shared" ca="1" si="58"/>
        <v>T-072983-1/1073-TC-006</v>
      </c>
      <c r="AP270" t="str">
        <f ca="1">Tabela1[[#This Row],[TAG]]&amp;Tabela1[[#This Row],[PEDIDO]]&amp;Tabela1[[#This Row],[PRODUTO]]</f>
        <v>1073-TC-006P-188RMF</v>
      </c>
      <c r="AQ270" s="22" t="str">
        <f ca="1">Tabela1[[#This Row],[PRODUTO]]&amp;Tabela1[[#This Row],[TAG]]</f>
        <v>RMF1073-TC-006</v>
      </c>
      <c r="AR270" s="24" t="str">
        <f ca="1">Tabela1[[#This Row],[PEDIDO]]&amp;Tabela1[[#This Row],[PRODUTO]]</f>
        <v>P-188RMF</v>
      </c>
      <c r="AS270" s="37">
        <f ca="1">IF(AF270="",0,IF(ISTEXT(AF270),H270*VALUE(SUBSTITUTE(AF270,"%",""))/100,H270*AF270))-Tabela1[[#This Row],[PRONTO ACABADO2]]</f>
        <v>0</v>
      </c>
      <c r="AT270" s="37">
        <f ca="1">IF(AG270="",0,IF(ISTEXT(AG270),H270*VALUE(SUBSTITUTE(AG270,"%",""))/100,H270*AG270))-Tabela1[[#This Row],[PESO EXPEDIDO2]]</f>
        <v>0</v>
      </c>
      <c r="AU270" s="37">
        <f t="shared" ca="1" si="54"/>
        <v>1</v>
      </c>
      <c r="AV270" s="37">
        <f t="shared" ca="1" si="55"/>
        <v>1</v>
      </c>
      <c r="AW270" s="37"/>
    </row>
    <row r="271" spans="1:49" ht="15.75" hidden="1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 ca="1"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 ca="1">Tabela1[[#This Row],[QTDE/ Fabricação]]-Tabela1[[#This Row],[QTE]]</f>
        <v>-1</v>
      </c>
      <c r="R271" s="18">
        <f t="shared" ca="1" si="51"/>
        <v>20.350000000000001</v>
      </c>
      <c r="S271" s="18">
        <f t="shared" ca="1" si="57"/>
        <v>20.350000000000001</v>
      </c>
      <c r="T271" s="19">
        <f t="shared" ca="1" si="52"/>
        <v>0</v>
      </c>
      <c r="U271" s="205">
        <v>1</v>
      </c>
      <c r="V271" s="12">
        <v>13</v>
      </c>
      <c r="W271" s="13"/>
      <c r="X271" s="14">
        <f ca="1">IFERROR(Tabela1[[#This Row],[QIANTIDADE EXPEDIDA]]*Tabela1[[#This Row],[PESO UNI]],"")</f>
        <v>20.350000000000001</v>
      </c>
      <c r="Y271" s="14">
        <f t="shared" ca="1" si="56"/>
        <v>0</v>
      </c>
      <c r="Z271" s="20">
        <f ca="1"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ca="1" si="53"/>
        <v>ok</v>
      </c>
      <c r="AJ271" s="5"/>
      <c r="AK271" t="str">
        <f ca="1">Tabela1[[#This Row],[Coluna1]]&amp;Tabela1[[#This Row],[PEDIDO]]</f>
        <v>P-188</v>
      </c>
      <c r="AL271"/>
      <c r="AM271"/>
      <c r="AN271"/>
      <c r="AO271" t="str">
        <f t="shared" ca="1" si="58"/>
        <v>T-072983-1/1073-TC-007</v>
      </c>
      <c r="AP271" t="str">
        <f ca="1">Tabela1[[#This Row],[TAG]]&amp;Tabela1[[#This Row],[PEDIDO]]&amp;Tabela1[[#This Row],[PRODUTO]]</f>
        <v>1073-TC-007P-188RMF</v>
      </c>
      <c r="AQ271" s="22" t="str">
        <f ca="1">Tabela1[[#This Row],[PRODUTO]]&amp;Tabela1[[#This Row],[TAG]]</f>
        <v>RMF1073-TC-007</v>
      </c>
      <c r="AR271" s="24" t="str">
        <f ca="1">Tabela1[[#This Row],[PEDIDO]]&amp;Tabela1[[#This Row],[PRODUTO]]</f>
        <v>P-188RMF</v>
      </c>
      <c r="AS271" s="37">
        <f ca="1">IF(AF271="",0,IF(ISTEXT(AF271),H271*VALUE(SUBSTITUTE(AF271,"%",""))/100,H271*AF271))-Tabela1[[#This Row],[PRONTO ACABADO2]]</f>
        <v>0</v>
      </c>
      <c r="AT271" s="37">
        <f ca="1">IF(AG271="",0,IF(ISTEXT(AG271),H271*VALUE(SUBSTITUTE(AG271,"%",""))/100,H271*AG271))-Tabela1[[#This Row],[PESO EXPEDIDO2]]</f>
        <v>0</v>
      </c>
      <c r="AU271" s="37">
        <f t="shared" ca="1" si="54"/>
        <v>20.350000000000001</v>
      </c>
      <c r="AV271" s="37">
        <f t="shared" ca="1" si="55"/>
        <v>20.350000000000001</v>
      </c>
      <c r="AW271" s="37"/>
    </row>
    <row r="272" spans="1:49" ht="15.75" hidden="1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 ca="1"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 ca="1">Tabela1[[#This Row],[QTDE/ Fabricação]]-Tabela1[[#This Row],[QTE]]</f>
        <v>-1</v>
      </c>
      <c r="R272" s="18">
        <f t="shared" ca="1" si="51"/>
        <v>1</v>
      </c>
      <c r="S272" s="18">
        <f t="shared" ca="1" si="57"/>
        <v>1</v>
      </c>
      <c r="T272" s="19">
        <f t="shared" ca="1" si="52"/>
        <v>0</v>
      </c>
      <c r="U272" s="205">
        <v>1</v>
      </c>
      <c r="V272" s="12">
        <v>13</v>
      </c>
      <c r="W272" s="13"/>
      <c r="X272" s="14">
        <f ca="1">IFERROR(Tabela1[[#This Row],[QIANTIDADE EXPEDIDA]]*Tabela1[[#This Row],[PESO UNI]],"")</f>
        <v>1</v>
      </c>
      <c r="Y272" s="14">
        <f t="shared" ca="1" si="56"/>
        <v>0</v>
      </c>
      <c r="Z272" s="20">
        <f ca="1"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ca="1" si="53"/>
        <v>ok</v>
      </c>
      <c r="AJ272" s="5"/>
      <c r="AK272" t="str">
        <f ca="1">Tabela1[[#This Row],[Coluna1]]&amp;Tabela1[[#This Row],[PEDIDO]]</f>
        <v>P-188</v>
      </c>
      <c r="AL272"/>
      <c r="AM272"/>
      <c r="AN272"/>
      <c r="AO272" t="str">
        <f t="shared" ca="1" si="58"/>
        <v>T-072983-1/1073-TC-007</v>
      </c>
      <c r="AP272" t="str">
        <f ca="1">Tabela1[[#This Row],[TAG]]&amp;Tabela1[[#This Row],[PEDIDO]]&amp;Tabela1[[#This Row],[PRODUTO]]</f>
        <v>1073-TC-007P-188RMF</v>
      </c>
      <c r="AQ272" s="22" t="str">
        <f ca="1">Tabela1[[#This Row],[PRODUTO]]&amp;Tabela1[[#This Row],[TAG]]</f>
        <v>RMF1073-TC-007</v>
      </c>
      <c r="AR272" s="24" t="str">
        <f ca="1">Tabela1[[#This Row],[PEDIDO]]&amp;Tabela1[[#This Row],[PRODUTO]]</f>
        <v>P-188RMF</v>
      </c>
      <c r="AS272" s="37">
        <f ca="1">IF(AF272="",0,IF(ISTEXT(AF272),H272*VALUE(SUBSTITUTE(AF272,"%",""))/100,H272*AF272))-Tabela1[[#This Row],[PRONTO ACABADO2]]</f>
        <v>0</v>
      </c>
      <c r="AT272" s="37">
        <f ca="1">IF(AG272="",0,IF(ISTEXT(AG272),H272*VALUE(SUBSTITUTE(AG272,"%",""))/100,H272*AG272))-Tabela1[[#This Row],[PESO EXPEDIDO2]]</f>
        <v>0</v>
      </c>
      <c r="AU272" s="37">
        <f t="shared" ca="1" si="54"/>
        <v>1</v>
      </c>
      <c r="AV272" s="37">
        <f t="shared" ca="1" si="55"/>
        <v>1</v>
      </c>
      <c r="AW272" s="37"/>
    </row>
    <row r="273" spans="1:49" ht="15.75" hidden="1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 ca="1"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 ca="1">Tabela1[[#This Row],[QTDE/ Fabricação]]-Tabela1[[#This Row],[QTE]]</f>
        <v>-30</v>
      </c>
      <c r="R273" s="18">
        <f t="shared" ca="1" si="51"/>
        <v>266.09999999999997</v>
      </c>
      <c r="S273" s="18">
        <f t="shared" ca="1" si="57"/>
        <v>266.09999999999997</v>
      </c>
      <c r="T273" s="19">
        <f t="shared" ca="1" si="52"/>
        <v>0</v>
      </c>
      <c r="U273" s="205">
        <v>30</v>
      </c>
      <c r="V273" s="12" t="str">
        <f>IFERROR(VLOOKUP(Tabela1[[#This Row],[COD.MDE]],'LISTA DE EMBARQUE'!B:L,11,0),"")</f>
        <v/>
      </c>
      <c r="W273" s="13"/>
      <c r="X273" s="14">
        <f ca="1">IFERROR(Tabela1[[#This Row],[QIANTIDADE EXPEDIDA]]*Tabela1[[#This Row],[PESO UNI]],"")</f>
        <v>266.09999999999997</v>
      </c>
      <c r="Y273" s="14">
        <f t="shared" ca="1" si="56"/>
        <v>0</v>
      </c>
      <c r="Z273" s="20">
        <f ca="1"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ca="1" si="53"/>
        <v>ok</v>
      </c>
      <c r="AJ273" s="5"/>
      <c r="AK273" t="str">
        <f ca="1">Tabela1[[#This Row],[Coluna1]]&amp;Tabela1[[#This Row],[PEDIDO]]</f>
        <v>P-188</v>
      </c>
      <c r="AL273"/>
      <c r="AM273"/>
      <c r="AN273"/>
      <c r="AO273" t="str">
        <f t="shared" ca="1" si="58"/>
        <v>T-072968-1/1073-TC-006/007</v>
      </c>
      <c r="AP273" t="str">
        <f ca="1">Tabela1[[#This Row],[TAG]]&amp;Tabela1[[#This Row],[PEDIDO]]&amp;Tabela1[[#This Row],[PRODUTO]]</f>
        <v>1073-TC-006/007P-188RMF</v>
      </c>
      <c r="AQ273" s="22" t="str">
        <f ca="1">Tabela1[[#This Row],[PRODUTO]]&amp;Tabela1[[#This Row],[TAG]]</f>
        <v>RMF1073-TC-006/007</v>
      </c>
      <c r="AR273" s="24" t="str">
        <f ca="1">Tabela1[[#This Row],[PEDIDO]]&amp;Tabela1[[#This Row],[PRODUTO]]</f>
        <v>P-188RMF</v>
      </c>
      <c r="AS273" s="37">
        <f ca="1">IF(AF273="",0,IF(ISTEXT(AF273),H273*VALUE(SUBSTITUTE(AF273,"%",""))/100,H273*AF273))-Tabela1[[#This Row],[PRONTO ACABADO2]]</f>
        <v>0</v>
      </c>
      <c r="AT273" s="37">
        <f ca="1">IF(AG273="",0,IF(ISTEXT(AG273),H273*VALUE(SUBSTITUTE(AG273,"%",""))/100,H273*AG273))-Tabela1[[#This Row],[PESO EXPEDIDO2]]</f>
        <v>0</v>
      </c>
      <c r="AU273" s="37">
        <f t="shared" ca="1" si="54"/>
        <v>266.09999999999997</v>
      </c>
      <c r="AV273" s="37">
        <f t="shared" ca="1" si="55"/>
        <v>266.09999999999997</v>
      </c>
      <c r="AW273" s="37"/>
    </row>
    <row r="274" spans="1:49" ht="15.75" hidden="1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 ca="1"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 ca="1">Tabela1[[#This Row],[QTDE/ Fabricação]]-Tabela1[[#This Row],[QTE]]</f>
        <v>-30</v>
      </c>
      <c r="R274" s="18">
        <f t="shared" ca="1" si="51"/>
        <v>266.09999999999997</v>
      </c>
      <c r="S274" s="18">
        <f t="shared" ca="1" si="57"/>
        <v>266.09999999999997</v>
      </c>
      <c r="T274" s="19">
        <f t="shared" ca="1" si="52"/>
        <v>0</v>
      </c>
      <c r="U274" s="205">
        <v>30</v>
      </c>
      <c r="V274" s="12" t="str">
        <f>IFERROR(VLOOKUP(Tabela1[[#This Row],[COD.MDE]],'LISTA DE EMBARQUE'!B:L,11,0),"")</f>
        <v/>
      </c>
      <c r="W274" s="13"/>
      <c r="X274" s="14">
        <f ca="1">IFERROR(Tabela1[[#This Row],[QIANTIDADE EXPEDIDA]]*Tabela1[[#This Row],[PESO UNI]],"")</f>
        <v>266.09999999999997</v>
      </c>
      <c r="Y274" s="14">
        <f t="shared" ca="1" si="56"/>
        <v>0</v>
      </c>
      <c r="Z274" s="20">
        <f ca="1"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ca="1" si="53"/>
        <v>ok</v>
      </c>
      <c r="AJ274" s="5"/>
      <c r="AK274" t="str">
        <f ca="1">Tabela1[[#This Row],[Coluna1]]&amp;Tabela1[[#This Row],[PEDIDO]]</f>
        <v>P-188</v>
      </c>
      <c r="AL274"/>
      <c r="AM274"/>
      <c r="AN274"/>
      <c r="AO274" t="str">
        <f t="shared" ca="1" si="58"/>
        <v>T-072968-1/1073-TC-006/007</v>
      </c>
      <c r="AP274" t="str">
        <f ca="1">Tabela1[[#This Row],[TAG]]&amp;Tabela1[[#This Row],[PEDIDO]]&amp;Tabela1[[#This Row],[PRODUTO]]</f>
        <v>1073-TC-006/007P-188RMF</v>
      </c>
      <c r="AQ274" s="22" t="str">
        <f ca="1">Tabela1[[#This Row],[PRODUTO]]&amp;Tabela1[[#This Row],[TAG]]</f>
        <v>RMF1073-TC-006/007</v>
      </c>
      <c r="AR274" s="24" t="str">
        <f ca="1">Tabela1[[#This Row],[PEDIDO]]&amp;Tabela1[[#This Row],[PRODUTO]]</f>
        <v>P-188RMF</v>
      </c>
      <c r="AS274" s="37">
        <f ca="1">IF(AF274="",0,IF(ISTEXT(AF274),H274*VALUE(SUBSTITUTE(AF274,"%",""))/100,H274*AF274))-Tabela1[[#This Row],[PRONTO ACABADO2]]</f>
        <v>0</v>
      </c>
      <c r="AT274" s="37">
        <f ca="1">IF(AG274="",0,IF(ISTEXT(AG274),H274*VALUE(SUBSTITUTE(AG274,"%",""))/100,H274*AG274))-Tabela1[[#This Row],[PESO EXPEDIDO2]]</f>
        <v>0</v>
      </c>
      <c r="AU274" s="37">
        <f t="shared" ca="1" si="54"/>
        <v>266.09999999999997</v>
      </c>
      <c r="AV274" s="37">
        <f t="shared" ca="1" si="55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 ca="1"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 ca="1">Tabela1[[#This Row],[QTDE/ Fabricação]]-Tabela1[[#This Row],[QTE]]</f>
        <v>-40</v>
      </c>
      <c r="R275" s="18">
        <f t="shared" ca="1" si="51"/>
        <v>172.39999999999998</v>
      </c>
      <c r="S275" s="18">
        <f t="shared" ca="1" si="57"/>
        <v>172.39999999999998</v>
      </c>
      <c r="T275" s="19">
        <f t="shared" ca="1" si="52"/>
        <v>0</v>
      </c>
      <c r="U275" s="205">
        <v>40</v>
      </c>
      <c r="V275" s="12" t="str">
        <f>IFERROR(VLOOKUP(Tabela1[[#This Row],[COD.MDE]],'LISTA DE EMBARQUE'!B:L,11,0),"")</f>
        <v/>
      </c>
      <c r="W275" s="13"/>
      <c r="X275" s="14">
        <f ca="1">IFERROR(Tabela1[[#This Row],[QIANTIDADE EXPEDIDA]]*Tabela1[[#This Row],[PESO UNI]],"")</f>
        <v>172.39999999999998</v>
      </c>
      <c r="Y275" s="14">
        <f t="shared" ca="1" si="56"/>
        <v>0</v>
      </c>
      <c r="Z275" s="20">
        <f ca="1"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ca="1" si="53"/>
        <v>ok</v>
      </c>
      <c r="AJ275" s="5"/>
      <c r="AK275" t="str">
        <f ca="1">Tabela1[[#This Row],[Coluna1]]&amp;Tabela1[[#This Row],[PEDIDO]]</f>
        <v>P-188</v>
      </c>
      <c r="AL275"/>
      <c r="AM275"/>
      <c r="AN275"/>
      <c r="AO275" t="str">
        <f t="shared" ca="1" si="58"/>
        <v>T-072968-1/1073-TC-006/007</v>
      </c>
      <c r="AP275" t="str">
        <f ca="1">Tabela1[[#This Row],[TAG]]&amp;Tabela1[[#This Row],[PEDIDO]]&amp;Tabela1[[#This Row],[PRODUTO]]</f>
        <v>1073-TC-006/007P-188RMF</v>
      </c>
      <c r="AQ275" s="22" t="str">
        <f ca="1">Tabela1[[#This Row],[PRODUTO]]&amp;Tabela1[[#This Row],[TAG]]</f>
        <v>RMF1073-TC-006/007</v>
      </c>
      <c r="AR275" s="24" t="str">
        <f ca="1">Tabela1[[#This Row],[PEDIDO]]&amp;Tabela1[[#This Row],[PRODUTO]]</f>
        <v>P-188RMF</v>
      </c>
      <c r="AS275" s="37">
        <f ca="1">IF(AF275="",0,IF(ISTEXT(AF275),H275*VALUE(SUBSTITUTE(AF275,"%",""))/100,H275*AF275))-Tabela1[[#This Row],[PRONTO ACABADO2]]</f>
        <v>0</v>
      </c>
      <c r="AT275" s="37">
        <f ca="1">IF(AG275="",0,IF(ISTEXT(AG275),H275*VALUE(SUBSTITUTE(AG275,"%",""))/100,H275*AG275))-Tabela1[[#This Row],[PESO EXPEDIDO2]]</f>
        <v>0</v>
      </c>
      <c r="AU275" s="37">
        <f t="shared" ca="1" si="54"/>
        <v>172.39999999999998</v>
      </c>
      <c r="AV275" s="37">
        <f t="shared" ca="1" si="55"/>
        <v>172.39999999999998</v>
      </c>
      <c r="AW275" s="37"/>
    </row>
    <row r="276" spans="1:49" ht="15.75" hidden="1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 ca="1"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 ca="1">Tabela1[[#This Row],[QTDE/ Fabricação]]-Tabela1[[#This Row],[QTE]]</f>
        <v>-10</v>
      </c>
      <c r="R276" s="18">
        <f t="shared" ca="1" si="51"/>
        <v>836</v>
      </c>
      <c r="S276" s="18">
        <f t="shared" ca="1" si="57"/>
        <v>836</v>
      </c>
      <c r="T276" s="19">
        <f t="shared" ca="1" si="52"/>
        <v>0</v>
      </c>
      <c r="U276" s="205">
        <v>10</v>
      </c>
      <c r="V276" s="12" t="str">
        <f ca="1">IFERROR(VLOOKUP(Tabela1[[#This Row],[COD.MDE]],'LISTA DE EMBARQUE'!B:L,11,0),"")</f>
        <v/>
      </c>
      <c r="W276" s="13"/>
      <c r="X276" s="14">
        <f ca="1">IFERROR(Tabela1[[#This Row],[QIANTIDADE EXPEDIDA]]*Tabela1[[#This Row],[PESO UNI]],"")</f>
        <v>836</v>
      </c>
      <c r="Y276" s="14">
        <f t="shared" ca="1" si="56"/>
        <v>0</v>
      </c>
      <c r="Z276" s="20">
        <f ca="1"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ca="1" si="53"/>
        <v>ok</v>
      </c>
      <c r="AJ276" s="5"/>
      <c r="AK276" t="str">
        <f ca="1">Tabela1[[#This Row],[Coluna1]]&amp;Tabela1[[#This Row],[PEDIDO]]</f>
        <v>P-188</v>
      </c>
      <c r="AL276"/>
      <c r="AM276"/>
      <c r="AN276"/>
      <c r="AO276" t="str">
        <f t="shared" ca="1" si="58"/>
        <v>T-072968-1/1073-TC-006/007</v>
      </c>
      <c r="AP276" t="str">
        <f ca="1">Tabela1[[#This Row],[TAG]]&amp;Tabela1[[#This Row],[PEDIDO]]&amp;Tabela1[[#This Row],[PRODUTO]]</f>
        <v>1073-TC-006/007P-188RMF</v>
      </c>
      <c r="AQ276" s="22" t="str">
        <f ca="1">Tabela1[[#This Row],[PRODUTO]]&amp;Tabela1[[#This Row],[TAG]]</f>
        <v>RMF1073-TC-006/007</v>
      </c>
      <c r="AR276" s="24" t="str">
        <f ca="1">Tabela1[[#This Row],[PEDIDO]]&amp;Tabela1[[#This Row],[PRODUTO]]</f>
        <v>P-188RMF</v>
      </c>
      <c r="AS276" s="37">
        <f ca="1">IF(AF276="",0,IF(ISTEXT(AF276),H276*VALUE(SUBSTITUTE(AF276,"%",""))/100,H276*AF276))-Tabela1[[#This Row],[PRONTO ACABADO2]]</f>
        <v>0</v>
      </c>
      <c r="AT276" s="37">
        <f ca="1">IF(AG276="",0,IF(ISTEXT(AG276),H276*VALUE(SUBSTITUTE(AG276,"%",""))/100,H276*AG276))-Tabela1[[#This Row],[PESO EXPEDIDO2]]</f>
        <v>0</v>
      </c>
      <c r="AU276" s="37">
        <f t="shared" ca="1" si="54"/>
        <v>836</v>
      </c>
      <c r="AV276" s="37">
        <f t="shared" ca="1" si="55"/>
        <v>836</v>
      </c>
      <c r="AW276" s="37"/>
    </row>
    <row r="277" spans="1:49" ht="15.75" hidden="1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 ca="1"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 ca="1">Tabela1[[#This Row],[QTDE/ Fabricação]]-Tabela1[[#This Row],[QTE]]</f>
        <v>-10</v>
      </c>
      <c r="R277" s="18">
        <f t="shared" ca="1" si="51"/>
        <v>836</v>
      </c>
      <c r="S277" s="18">
        <f t="shared" ca="1" si="57"/>
        <v>836</v>
      </c>
      <c r="T277" s="19">
        <f t="shared" ca="1" si="52"/>
        <v>0</v>
      </c>
      <c r="U277" s="205">
        <v>10</v>
      </c>
      <c r="V277" s="12" t="str">
        <f>IFERROR(VLOOKUP(Tabela1[[#This Row],[COD.MDE]],'LISTA DE EMBARQUE'!B:L,11,0),"")</f>
        <v/>
      </c>
      <c r="W277" s="13"/>
      <c r="X277" s="14">
        <f ca="1">IFERROR(Tabela1[[#This Row],[QIANTIDADE EXPEDIDA]]*Tabela1[[#This Row],[PESO UNI]],"")</f>
        <v>836</v>
      </c>
      <c r="Y277" s="14">
        <f t="shared" ca="1" si="56"/>
        <v>0</v>
      </c>
      <c r="Z277" s="20">
        <f ca="1"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ca="1" si="53"/>
        <v>ok</v>
      </c>
      <c r="AJ277" s="5"/>
      <c r="AK277" t="str">
        <f ca="1">Tabela1[[#This Row],[Coluna1]]&amp;Tabela1[[#This Row],[PEDIDO]]</f>
        <v>P-188</v>
      </c>
      <c r="AL277"/>
      <c r="AM277"/>
      <c r="AN277"/>
      <c r="AO277" t="str">
        <f t="shared" ca="1" si="58"/>
        <v>T-072968-1/1073-TC-006/007</v>
      </c>
      <c r="AP277" t="str">
        <f ca="1">Tabela1[[#This Row],[TAG]]&amp;Tabela1[[#This Row],[PEDIDO]]&amp;Tabela1[[#This Row],[PRODUTO]]</f>
        <v>1073-TC-006/007P-188RMF</v>
      </c>
      <c r="AQ277" s="22" t="str">
        <f ca="1">Tabela1[[#This Row],[PRODUTO]]&amp;Tabela1[[#This Row],[TAG]]</f>
        <v>RMF1073-TC-006/007</v>
      </c>
      <c r="AR277" s="24" t="str">
        <f ca="1">Tabela1[[#This Row],[PEDIDO]]&amp;Tabela1[[#This Row],[PRODUTO]]</f>
        <v>P-188RMF</v>
      </c>
      <c r="AS277" s="37">
        <f ca="1">IF(AF277="",0,IF(ISTEXT(AF277),H277*VALUE(SUBSTITUTE(AF277,"%",""))/100,H277*AF277))-Tabela1[[#This Row],[PRONTO ACABADO2]]</f>
        <v>0</v>
      </c>
      <c r="AT277" s="37">
        <f ca="1">IF(AG277="",0,IF(ISTEXT(AG277),H277*VALUE(SUBSTITUTE(AG277,"%",""))/100,H277*AG277))-Tabela1[[#This Row],[PESO EXPEDIDO2]]</f>
        <v>0</v>
      </c>
      <c r="AU277" s="37">
        <f t="shared" ca="1" si="54"/>
        <v>836</v>
      </c>
      <c r="AV277" s="37">
        <f t="shared" ca="1" si="55"/>
        <v>836</v>
      </c>
      <c r="AW277" s="37"/>
    </row>
    <row r="278" spans="1:49" ht="15.75" hidden="1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 ca="1"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 ca="1">Tabela1[[#This Row],[QTDE/ Fabricação]]-Tabela1[[#This Row],[QTE]]</f>
        <v>-22</v>
      </c>
      <c r="R278" s="18">
        <f t="shared" ca="1" si="51"/>
        <v>62.7</v>
      </c>
      <c r="S278" s="18">
        <f t="shared" ca="1" si="57"/>
        <v>62.7</v>
      </c>
      <c r="T278" s="19">
        <f t="shared" ca="1" si="52"/>
        <v>0</v>
      </c>
      <c r="U278" s="205">
        <v>22</v>
      </c>
      <c r="V278" s="12" t="str">
        <f>IFERROR(VLOOKUP(Tabela1[[#This Row],[COD.MDE]],'LISTA DE EMBARQUE'!B:L,11,0),"")</f>
        <v/>
      </c>
      <c r="W278" s="13"/>
      <c r="X278" s="14">
        <f ca="1">IFERROR(Tabela1[[#This Row],[QIANTIDADE EXPEDIDA]]*Tabela1[[#This Row],[PESO UNI]],"")</f>
        <v>62.7</v>
      </c>
      <c r="Y278" s="14">
        <f t="shared" ca="1" si="56"/>
        <v>0</v>
      </c>
      <c r="Z278" s="20">
        <f ca="1"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ca="1" si="53"/>
        <v>ok</v>
      </c>
      <c r="AJ278" s="5"/>
      <c r="AK278" t="str">
        <f ca="1">Tabela1[[#This Row],[Coluna1]]&amp;Tabela1[[#This Row],[PEDIDO]]</f>
        <v>P-188</v>
      </c>
      <c r="AL278"/>
      <c r="AM278"/>
      <c r="AN278"/>
      <c r="AO278" t="str">
        <f t="shared" ca="1" si="58"/>
        <v>T-072968-1/1073-TC-006/007</v>
      </c>
      <c r="AP278" t="str">
        <f ca="1">Tabela1[[#This Row],[TAG]]&amp;Tabela1[[#This Row],[PEDIDO]]&amp;Tabela1[[#This Row],[PRODUTO]]</f>
        <v>1073-TC-006/007P-188RMF</v>
      </c>
      <c r="AQ278" s="22" t="str">
        <f ca="1">Tabela1[[#This Row],[PRODUTO]]&amp;Tabela1[[#This Row],[TAG]]</f>
        <v>RMF1073-TC-006/007</v>
      </c>
      <c r="AR278" s="24" t="str">
        <f ca="1">Tabela1[[#This Row],[PEDIDO]]&amp;Tabela1[[#This Row],[PRODUTO]]</f>
        <v>P-188RMF</v>
      </c>
      <c r="AS278" s="37">
        <f ca="1">IF(AF278="",0,IF(ISTEXT(AF278),H278*VALUE(SUBSTITUTE(AF278,"%",""))/100,H278*AF278))-Tabela1[[#This Row],[PRONTO ACABADO2]]</f>
        <v>0</v>
      </c>
      <c r="AT278" s="37">
        <f ca="1">IF(AG278="",0,IF(ISTEXT(AG278),H278*VALUE(SUBSTITUTE(AG278,"%",""))/100,H278*AG278))-Tabela1[[#This Row],[PESO EXPEDIDO2]]</f>
        <v>0</v>
      </c>
      <c r="AU278" s="37">
        <f t="shared" ca="1" si="54"/>
        <v>62.7</v>
      </c>
      <c r="AV278" s="37">
        <f t="shared" ca="1" si="55"/>
        <v>62.7</v>
      </c>
      <c r="AW278" s="37"/>
    </row>
    <row r="279" spans="1:49" ht="15.75" hidden="1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 ca="1"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 ca="1">Tabela1[[#This Row],[QTDE/ Fabricação]]-Tabela1[[#This Row],[QTE]]</f>
        <v>-2</v>
      </c>
      <c r="R279" s="18">
        <f t="shared" ca="1" si="51"/>
        <v>46</v>
      </c>
      <c r="S279" s="18">
        <f t="shared" ca="1" si="57"/>
        <v>46</v>
      </c>
      <c r="T279" s="19">
        <f t="shared" ca="1" si="52"/>
        <v>0</v>
      </c>
      <c r="U279" s="205">
        <v>2</v>
      </c>
      <c r="V279" s="12" t="str">
        <f>IFERROR(VLOOKUP(Tabela1[[#This Row],[COD.MDE]],'LISTA DE EMBARQUE'!B:L,11,0),"")</f>
        <v/>
      </c>
      <c r="W279" s="13"/>
      <c r="X279" s="14">
        <f ca="1">IFERROR(Tabela1[[#This Row],[QIANTIDADE EXPEDIDA]]*Tabela1[[#This Row],[PESO UNI]],"")</f>
        <v>46</v>
      </c>
      <c r="Y279" s="14">
        <f t="shared" ca="1" si="56"/>
        <v>0</v>
      </c>
      <c r="Z279" s="20">
        <f ca="1"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ca="1" si="53"/>
        <v>ok</v>
      </c>
      <c r="AJ279" s="5"/>
      <c r="AK279" t="str">
        <f ca="1">Tabela1[[#This Row],[Coluna1]]&amp;Tabela1[[#This Row],[PEDIDO]]</f>
        <v>P-188</v>
      </c>
      <c r="AL279"/>
      <c r="AM279"/>
      <c r="AN279"/>
      <c r="AO279" t="str">
        <f t="shared" ca="1" si="58"/>
        <v>T-072968-1/1073-TC-006/007</v>
      </c>
      <c r="AP279" t="str">
        <f ca="1">Tabela1[[#This Row],[TAG]]&amp;Tabela1[[#This Row],[PEDIDO]]&amp;Tabela1[[#This Row],[PRODUTO]]</f>
        <v>1073-TC-006/007P-188RMF</v>
      </c>
      <c r="AQ279" s="22" t="str">
        <f ca="1">Tabela1[[#This Row],[PRODUTO]]&amp;Tabela1[[#This Row],[TAG]]</f>
        <v>RMF1073-TC-006/007</v>
      </c>
      <c r="AR279" s="24" t="str">
        <f ca="1">Tabela1[[#This Row],[PEDIDO]]&amp;Tabela1[[#This Row],[PRODUTO]]</f>
        <v>P-188RMF</v>
      </c>
      <c r="AS279" s="37">
        <f ca="1">IF(AF279="",0,IF(ISTEXT(AF279),H279*VALUE(SUBSTITUTE(AF279,"%",""))/100,H279*AF279))-Tabela1[[#This Row],[PRONTO ACABADO2]]</f>
        <v>0</v>
      </c>
      <c r="AT279" s="37">
        <f ca="1">IF(AG279="",0,IF(ISTEXT(AG279),H279*VALUE(SUBSTITUTE(AG279,"%",""))/100,H279*AG279))-Tabela1[[#This Row],[PESO EXPEDIDO2]]</f>
        <v>0</v>
      </c>
      <c r="AU279" s="37">
        <f t="shared" ca="1" si="54"/>
        <v>46</v>
      </c>
      <c r="AV279" s="37">
        <f t="shared" ca="1" si="55"/>
        <v>46</v>
      </c>
      <c r="AW279" s="37"/>
    </row>
    <row r="280" spans="1:49" ht="15.75" hidden="1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 ca="1"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 ca="1">Tabela1[[#This Row],[QTDE/ Fabricação]]-Tabela1[[#This Row],[QTE]]</f>
        <v>-60</v>
      </c>
      <c r="R280" s="18">
        <f t="shared" ca="1" si="51"/>
        <v>38.4</v>
      </c>
      <c r="S280" s="18">
        <f t="shared" ca="1" si="57"/>
        <v>38.4</v>
      </c>
      <c r="T280" s="19">
        <f t="shared" ca="1" si="52"/>
        <v>0</v>
      </c>
      <c r="U280" s="205">
        <v>60</v>
      </c>
      <c r="V280" s="12" t="str">
        <f>IFERROR(VLOOKUP(Tabela1[[#This Row],[COD.MDE]],'LISTA DE EMBARQUE'!B:L,11,0),"")</f>
        <v/>
      </c>
      <c r="W280" s="13"/>
      <c r="X280" s="14">
        <f ca="1">IFERROR(Tabela1[[#This Row],[QIANTIDADE EXPEDIDA]]*Tabela1[[#This Row],[PESO UNI]],"")</f>
        <v>38.4</v>
      </c>
      <c r="Y280" s="14">
        <f t="shared" ca="1" si="56"/>
        <v>0</v>
      </c>
      <c r="Z280" s="20">
        <f ca="1"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ca="1" si="53"/>
        <v>ok</v>
      </c>
      <c r="AJ280" s="5"/>
      <c r="AK280" t="str">
        <f ca="1">Tabela1[[#This Row],[Coluna1]]&amp;Tabela1[[#This Row],[PEDIDO]]</f>
        <v>P-188</v>
      </c>
      <c r="AL280"/>
      <c r="AM280"/>
      <c r="AN280"/>
      <c r="AO280" t="str">
        <f t="shared" ca="1" si="58"/>
        <v>T-072968-1/1073-TC-006/007</v>
      </c>
      <c r="AP280" t="str">
        <f ca="1">Tabela1[[#This Row],[TAG]]&amp;Tabela1[[#This Row],[PEDIDO]]&amp;Tabela1[[#This Row],[PRODUTO]]</f>
        <v>1073-TC-006/007P-188RMF</v>
      </c>
      <c r="AQ280" s="22" t="str">
        <f ca="1">Tabela1[[#This Row],[PRODUTO]]&amp;Tabela1[[#This Row],[TAG]]</f>
        <v>RMF1073-TC-006/007</v>
      </c>
      <c r="AR280" s="24" t="str">
        <f ca="1">Tabela1[[#This Row],[PEDIDO]]&amp;Tabela1[[#This Row],[PRODUTO]]</f>
        <v>P-188RMF</v>
      </c>
      <c r="AS280" s="37">
        <f ca="1">IF(AF280="",0,IF(ISTEXT(AF280),H280*VALUE(SUBSTITUTE(AF280,"%",""))/100,H280*AF280))-Tabela1[[#This Row],[PRONTO ACABADO2]]</f>
        <v>0</v>
      </c>
      <c r="AT280" s="37">
        <f ca="1">IF(AG280="",0,IF(ISTEXT(AG280),H280*VALUE(SUBSTITUTE(AG280,"%",""))/100,H280*AG280))-Tabela1[[#This Row],[PESO EXPEDIDO2]]</f>
        <v>0</v>
      </c>
      <c r="AU280" s="37">
        <f t="shared" ca="1" si="54"/>
        <v>38.4</v>
      </c>
      <c r="AV280" s="37">
        <f t="shared" ca="1" si="55"/>
        <v>38.4</v>
      </c>
      <c r="AW280" s="37"/>
    </row>
    <row r="281" spans="1:49" ht="15.75" hidden="1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 ca="1"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 ca="1">Tabela1[[#This Row],[QTDE/ Fabricação]]-Tabela1[[#This Row],[QTE]]</f>
        <v>-1</v>
      </c>
      <c r="R281" s="18">
        <f t="shared" ref="R281:R344" ca="1" si="59">IFERROR(H281*((AA281*0.25)+(AC281*0.25)+(AD281*0.225)+(AE281*0.225)+(AF281*0.05)),"")</f>
        <v>466.3</v>
      </c>
      <c r="S281" s="18">
        <f t="shared" ca="1" si="57"/>
        <v>466.3</v>
      </c>
      <c r="T281" s="19">
        <f t="shared" ref="T281:T344" ca="1" si="60">IFERROR(S281-H281,"")</f>
        <v>0</v>
      </c>
      <c r="U281" s="205">
        <v>1</v>
      </c>
      <c r="V281" s="12" t="str">
        <f>IFERROR(VLOOKUP(Tabela1[[#This Row],[COD.MDE]],'LISTA DE EMBARQUE'!B:L,11,0),"")</f>
        <v/>
      </c>
      <c r="W281" s="13"/>
      <c r="X281" s="14">
        <f ca="1">IFERROR(Tabela1[[#This Row],[QIANTIDADE EXPEDIDA]]*Tabela1[[#This Row],[PESO UNI]],"")</f>
        <v>466.3</v>
      </c>
      <c r="Y281" s="14">
        <f t="shared" ca="1" si="56"/>
        <v>0</v>
      </c>
      <c r="Z281" s="20">
        <f ca="1"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ca="1" si="53"/>
        <v>ok</v>
      </c>
      <c r="AJ281" s="5"/>
      <c r="AK281" t="str">
        <f ca="1">Tabela1[[#This Row],[Coluna1]]&amp;Tabela1[[#This Row],[PEDIDO]]</f>
        <v>P-188</v>
      </c>
      <c r="AL281"/>
      <c r="AM281"/>
      <c r="AN281"/>
      <c r="AO281" t="str">
        <f t="shared" ca="1" si="58"/>
        <v>T-072984-1/1073-TC-006</v>
      </c>
      <c r="AP281" t="str">
        <f ca="1">Tabela1[[#This Row],[TAG]]&amp;Tabela1[[#This Row],[PEDIDO]]&amp;Tabela1[[#This Row],[PRODUTO]]</f>
        <v>1073-TC-006P-188RMF</v>
      </c>
      <c r="AQ281" s="22" t="str">
        <f ca="1">Tabela1[[#This Row],[PRODUTO]]&amp;Tabela1[[#This Row],[TAG]]</f>
        <v>RMF1073-TC-006</v>
      </c>
      <c r="AR281" s="24" t="str">
        <f ca="1">Tabela1[[#This Row],[PEDIDO]]&amp;Tabela1[[#This Row],[PRODUTO]]</f>
        <v>P-188RMF</v>
      </c>
      <c r="AS281" s="37">
        <f ca="1">IF(AF281="",0,IF(ISTEXT(AF281),H281*VALUE(SUBSTITUTE(AF281,"%",""))/100,H281*AF281))-Tabela1[[#This Row],[PRONTO ACABADO2]]</f>
        <v>0</v>
      </c>
      <c r="AT281" s="37">
        <f ca="1">IF(AG281="",0,IF(ISTEXT(AG281),H281*VALUE(SUBSTITUTE(AG281,"%",""))/100,H281*AG281))-Tabela1[[#This Row],[PESO EXPEDIDO2]]</f>
        <v>0</v>
      </c>
      <c r="AU281" s="37">
        <f t="shared" ca="1" si="54"/>
        <v>466.3</v>
      </c>
      <c r="AV281" s="37">
        <f t="shared" ca="1" si="55"/>
        <v>466.3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 ca="1"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 ca="1">Tabela1[[#This Row],[QTDE/ Fabricação]]-Tabela1[[#This Row],[QTE]]</f>
        <v>-1</v>
      </c>
      <c r="R282" s="18">
        <f t="shared" ca="1" si="59"/>
        <v>466.3</v>
      </c>
      <c r="S282" s="18">
        <f t="shared" ca="1" si="57"/>
        <v>466.3</v>
      </c>
      <c r="T282" s="19">
        <f t="shared" ca="1" si="60"/>
        <v>0</v>
      </c>
      <c r="U282" s="205">
        <v>1</v>
      </c>
      <c r="V282" s="12" t="str">
        <f>IFERROR(VLOOKUP(Tabela1[[#This Row],[COD.MDE]],'LISTA DE EMBARQUE'!B:L,11,0),"")</f>
        <v/>
      </c>
      <c r="W282" s="13"/>
      <c r="X282" s="14">
        <f ca="1">IFERROR(Tabela1[[#This Row],[QIANTIDADE EXPEDIDA]]*Tabela1[[#This Row],[PESO UNI]],"")</f>
        <v>466.3</v>
      </c>
      <c r="Y282" s="14">
        <f t="shared" ca="1" si="56"/>
        <v>0</v>
      </c>
      <c r="Z282" s="20">
        <f ca="1"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ca="1" si="53"/>
        <v>ok</v>
      </c>
      <c r="AJ282" s="5"/>
      <c r="AK282" t="str">
        <f ca="1">Tabela1[[#This Row],[Coluna1]]&amp;Tabela1[[#This Row],[PEDIDO]]</f>
        <v>P-188</v>
      </c>
      <c r="AL282"/>
      <c r="AM282"/>
      <c r="AN282"/>
      <c r="AO282" t="str">
        <f t="shared" ca="1" si="58"/>
        <v>T-072984-1/1073-TC-007</v>
      </c>
      <c r="AP282" t="str">
        <f ca="1">Tabela1[[#This Row],[TAG]]&amp;Tabela1[[#This Row],[PEDIDO]]&amp;Tabela1[[#This Row],[PRODUTO]]</f>
        <v>1073-TC-007P-188RMF</v>
      </c>
      <c r="AQ282" s="22" t="str">
        <f ca="1">Tabela1[[#This Row],[PRODUTO]]&amp;Tabela1[[#This Row],[TAG]]</f>
        <v>RMF1073-TC-007</v>
      </c>
      <c r="AR282" s="24" t="str">
        <f ca="1">Tabela1[[#This Row],[PEDIDO]]&amp;Tabela1[[#This Row],[PRODUTO]]</f>
        <v>P-188RMF</v>
      </c>
      <c r="AS282" s="37">
        <f ca="1">IF(AF282="",0,IF(ISTEXT(AF282),H282*VALUE(SUBSTITUTE(AF282,"%",""))/100,H282*AF282))-Tabela1[[#This Row],[PRONTO ACABADO2]]</f>
        <v>0</v>
      </c>
      <c r="AT282" s="37">
        <f ca="1">IF(AG282="",0,IF(ISTEXT(AG282),H282*VALUE(SUBSTITUTE(AG282,"%",""))/100,H282*AG282))-Tabela1[[#This Row],[PESO EXPEDIDO2]]</f>
        <v>0</v>
      </c>
      <c r="AU282" s="37">
        <f t="shared" ca="1" si="54"/>
        <v>466.3</v>
      </c>
      <c r="AV282" s="37">
        <f t="shared" ca="1" si="55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 ca="1"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 ca="1">Tabela1[[#This Row],[QTDE/ Fabricação]]-Tabela1[[#This Row],[QTE]]</f>
        <v>-1</v>
      </c>
      <c r="R283" s="18">
        <f t="shared" ca="1" si="59"/>
        <v>320.39999999999998</v>
      </c>
      <c r="S283" s="18">
        <f t="shared" ca="1" si="57"/>
        <v>320.39999999999998</v>
      </c>
      <c r="T283" s="19">
        <f t="shared" ca="1" si="60"/>
        <v>0</v>
      </c>
      <c r="U283" s="205">
        <v>1</v>
      </c>
      <c r="V283" s="12" t="str">
        <f>IFERROR(VLOOKUP(Tabela1[[#This Row],[COD.MDE]],'LISTA DE EMBARQUE'!B:L,11,0),"")</f>
        <v/>
      </c>
      <c r="W283" s="13"/>
      <c r="X283" s="14">
        <f ca="1">IFERROR(Tabela1[[#This Row],[QIANTIDADE EXPEDIDA]]*Tabela1[[#This Row],[PESO UNI]],"")</f>
        <v>320.39999999999998</v>
      </c>
      <c r="Y283" s="14">
        <f t="shared" ca="1" si="56"/>
        <v>0</v>
      </c>
      <c r="Z283" s="20">
        <f ca="1"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ca="1" si="61">IF(Z283&lt;=0,"ok","")</f>
        <v>ok</v>
      </c>
      <c r="AJ283" s="5"/>
      <c r="AK283" t="str">
        <f ca="1">Tabela1[[#This Row],[Coluna1]]&amp;Tabela1[[#This Row],[PEDIDO]]</f>
        <v>P-188</v>
      </c>
      <c r="AL283"/>
      <c r="AM283"/>
      <c r="AN283"/>
      <c r="AO283" t="str">
        <f t="shared" ca="1" si="58"/>
        <v>T-072985-1/1073-TC-006</v>
      </c>
      <c r="AP283" t="str">
        <f ca="1">Tabela1[[#This Row],[TAG]]&amp;Tabela1[[#This Row],[PEDIDO]]&amp;Tabela1[[#This Row],[PRODUTO]]</f>
        <v>1073-TC-006P-188RMF</v>
      </c>
      <c r="AQ283" s="22" t="str">
        <f ca="1">Tabela1[[#This Row],[PRODUTO]]&amp;Tabela1[[#This Row],[TAG]]</f>
        <v>RMF1073-TC-006</v>
      </c>
      <c r="AR283" s="24" t="str">
        <f ca="1">Tabela1[[#This Row],[PEDIDO]]&amp;Tabela1[[#This Row],[PRODUTO]]</f>
        <v>P-188RMF</v>
      </c>
      <c r="AS283" s="37">
        <f ca="1">IF(AF283="",0,IF(ISTEXT(AF283),H283*VALUE(SUBSTITUTE(AF283,"%",""))/100,H283*AF283))-Tabela1[[#This Row],[PRONTO ACABADO2]]</f>
        <v>0</v>
      </c>
      <c r="AT283" s="37">
        <f ca="1">IF(AG283="",0,IF(ISTEXT(AG283),H283*VALUE(SUBSTITUTE(AG283,"%",""))/100,H283*AG283))-Tabela1[[#This Row],[PESO EXPEDIDO2]]</f>
        <v>0</v>
      </c>
      <c r="AU283" s="37">
        <f t="shared" ca="1" si="54"/>
        <v>320.39999999999998</v>
      </c>
      <c r="AV283" s="37">
        <f t="shared" ca="1" si="55"/>
        <v>320.39999999999998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 ca="1"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 ca="1">Tabela1[[#This Row],[QTDE/ Fabricação]]-Tabela1[[#This Row],[QTE]]</f>
        <v>-1</v>
      </c>
      <c r="R284" s="18">
        <f t="shared" ca="1" si="59"/>
        <v>320.39999999999998</v>
      </c>
      <c r="S284" s="18">
        <f t="shared" ca="1" si="57"/>
        <v>320.39999999999998</v>
      </c>
      <c r="T284" s="19">
        <f t="shared" ca="1" si="60"/>
        <v>0</v>
      </c>
      <c r="U284" s="205">
        <v>1</v>
      </c>
      <c r="V284" s="12" t="str">
        <f ca="1">IFERROR(VLOOKUP(Tabela1[[#This Row],[COD.MDE]],'LISTA DE EMBARQUE'!B:L,11,0),"")</f>
        <v/>
      </c>
      <c r="W284" s="13"/>
      <c r="X284" s="14">
        <f ca="1">IFERROR(Tabela1[[#This Row],[QIANTIDADE EXPEDIDA]]*Tabela1[[#This Row],[PESO UNI]],"")</f>
        <v>320.39999999999998</v>
      </c>
      <c r="Y284" s="14">
        <f t="shared" ca="1" si="56"/>
        <v>0</v>
      </c>
      <c r="Z284" s="20">
        <f ca="1"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ca="1" si="61"/>
        <v>ok</v>
      </c>
      <c r="AJ284" s="5"/>
      <c r="AK284" t="str">
        <f ca="1">Tabela1[[#This Row],[Coluna1]]&amp;Tabela1[[#This Row],[PEDIDO]]</f>
        <v>P-188</v>
      </c>
      <c r="AL284"/>
      <c r="AM284"/>
      <c r="AN284"/>
      <c r="AO284" t="str">
        <f t="shared" ca="1" si="58"/>
        <v>T-072985-1/1073-TC-007</v>
      </c>
      <c r="AP284" t="str">
        <f ca="1">Tabela1[[#This Row],[TAG]]&amp;Tabela1[[#This Row],[PEDIDO]]&amp;Tabela1[[#This Row],[PRODUTO]]</f>
        <v>1073-TC-007P-188RMF</v>
      </c>
      <c r="AQ284" s="22" t="str">
        <f ca="1">Tabela1[[#This Row],[PRODUTO]]&amp;Tabela1[[#This Row],[TAG]]</f>
        <v>RMF1073-TC-007</v>
      </c>
      <c r="AR284" s="24" t="str">
        <f ca="1">Tabela1[[#This Row],[PEDIDO]]&amp;Tabela1[[#This Row],[PRODUTO]]</f>
        <v>P-188RMF</v>
      </c>
      <c r="AS284" s="37">
        <f ca="1">IF(AF284="",0,IF(ISTEXT(AF284),H284*VALUE(SUBSTITUTE(AF284,"%",""))/100,H284*AF284))-Tabela1[[#This Row],[PRONTO ACABADO2]]</f>
        <v>0</v>
      </c>
      <c r="AT284" s="37">
        <f ca="1">IF(AG284="",0,IF(ISTEXT(AG284),H284*VALUE(SUBSTITUTE(AG284,"%",""))/100,H284*AG284))-Tabela1[[#This Row],[PESO EXPEDIDO2]]</f>
        <v>0</v>
      </c>
      <c r="AU284" s="37">
        <f t="shared" ca="1" si="54"/>
        <v>320.39999999999998</v>
      </c>
      <c r="AV284" s="37">
        <f t="shared" ca="1" si="55"/>
        <v>320.39999999999998</v>
      </c>
      <c r="AW284" s="37"/>
    </row>
    <row r="285" spans="1:49" ht="15.75" hidden="1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 ca="1"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 ca="1">Tabela1[[#This Row],[QTDE/ Fabricação]]-Tabela1[[#This Row],[QTE]]</f>
        <v>-1</v>
      </c>
      <c r="R285" s="18">
        <f t="shared" ca="1" si="59"/>
        <v>32.9</v>
      </c>
      <c r="S285" s="18">
        <f t="shared" ca="1" si="57"/>
        <v>32.9</v>
      </c>
      <c r="T285" s="19">
        <f t="shared" ca="1" si="60"/>
        <v>0</v>
      </c>
      <c r="U285" s="205">
        <v>1</v>
      </c>
      <c r="V285" s="12" t="str">
        <f>IFERROR(VLOOKUP(Tabela1[[#This Row],[COD.MDE]],'LISTA DE EMBARQUE'!B:L,11,0),"")</f>
        <v/>
      </c>
      <c r="W285" s="13"/>
      <c r="X285" s="14">
        <f ca="1">IFERROR(Tabela1[[#This Row],[QIANTIDADE EXPEDIDA]]*Tabela1[[#This Row],[PESO UNI]],"")</f>
        <v>32.9</v>
      </c>
      <c r="Y285" s="14">
        <f t="shared" ca="1" si="56"/>
        <v>0</v>
      </c>
      <c r="Z285" s="20">
        <f ca="1"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ca="1" si="61"/>
        <v>ok</v>
      </c>
      <c r="AJ285" s="5"/>
      <c r="AK285" t="str">
        <f ca="1">Tabela1[[#This Row],[Coluna1]]&amp;Tabela1[[#This Row],[PEDIDO]]</f>
        <v>P-188</v>
      </c>
      <c r="AL285"/>
      <c r="AM285"/>
      <c r="AN285"/>
      <c r="AO285" t="str">
        <f t="shared" ca="1" si="58"/>
        <v>T-072986-1/1073-TC-006</v>
      </c>
      <c r="AP285" t="str">
        <f ca="1">Tabela1[[#This Row],[TAG]]&amp;Tabela1[[#This Row],[PEDIDO]]&amp;Tabela1[[#This Row],[PRODUTO]]</f>
        <v>1073-TC-006P-188RMF</v>
      </c>
      <c r="AQ285" s="22" t="str">
        <f ca="1">Tabela1[[#This Row],[PRODUTO]]&amp;Tabela1[[#This Row],[TAG]]</f>
        <v>RMF1073-TC-006</v>
      </c>
      <c r="AR285" s="24" t="str">
        <f ca="1">Tabela1[[#This Row],[PEDIDO]]&amp;Tabela1[[#This Row],[PRODUTO]]</f>
        <v>P-188RMF</v>
      </c>
      <c r="AS285" s="37">
        <f ca="1">IF(AF285="",0,IF(ISTEXT(AF285),H285*VALUE(SUBSTITUTE(AF285,"%",""))/100,H285*AF285))-Tabela1[[#This Row],[PRONTO ACABADO2]]</f>
        <v>0</v>
      </c>
      <c r="AT285" s="37">
        <f ca="1">IF(AG285="",0,IF(ISTEXT(AG285),H285*VALUE(SUBSTITUTE(AG285,"%",""))/100,H285*AG285))-Tabela1[[#This Row],[PESO EXPEDIDO2]]</f>
        <v>0</v>
      </c>
      <c r="AU285" s="37">
        <f t="shared" ca="1" si="54"/>
        <v>32.9</v>
      </c>
      <c r="AV285" s="37">
        <f t="shared" ca="1" si="55"/>
        <v>32.9</v>
      </c>
      <c r="AW285" s="37"/>
    </row>
    <row r="286" spans="1:49" ht="15.75" hidden="1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 ca="1"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 ca="1">Tabela1[[#This Row],[QTDE/ Fabricação]]-Tabela1[[#This Row],[QTE]]</f>
        <v>-1</v>
      </c>
      <c r="R286" s="18">
        <f t="shared" ca="1" si="59"/>
        <v>45.6</v>
      </c>
      <c r="S286" s="18">
        <f t="shared" ca="1" si="57"/>
        <v>45.6</v>
      </c>
      <c r="T286" s="19">
        <f t="shared" ca="1" si="60"/>
        <v>0</v>
      </c>
      <c r="U286" s="205">
        <v>1</v>
      </c>
      <c r="V286" s="12" t="str">
        <f>IFERROR(VLOOKUP(Tabela1[[#This Row],[COD.MDE]],'LISTA DE EMBARQUE'!B:L,11,0),"")</f>
        <v/>
      </c>
      <c r="W286" s="13"/>
      <c r="X286" s="14">
        <f ca="1">IFERROR(Tabela1[[#This Row],[QIANTIDADE EXPEDIDA]]*Tabela1[[#This Row],[PESO UNI]],"")</f>
        <v>45.6</v>
      </c>
      <c r="Y286" s="14">
        <f t="shared" ca="1" si="56"/>
        <v>0</v>
      </c>
      <c r="Z286" s="20">
        <f ca="1"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ca="1" si="61"/>
        <v>ok</v>
      </c>
      <c r="AJ286" s="5"/>
      <c r="AK286" t="str">
        <f ca="1">Tabela1[[#This Row],[Coluna1]]&amp;Tabela1[[#This Row],[PEDIDO]]</f>
        <v>P-188</v>
      </c>
      <c r="AL286"/>
      <c r="AM286"/>
      <c r="AN286"/>
      <c r="AO286" t="str">
        <f t="shared" ca="1" si="58"/>
        <v>T-072986-1/1073-TC-006</v>
      </c>
      <c r="AP286" t="str">
        <f ca="1">Tabela1[[#This Row],[TAG]]&amp;Tabela1[[#This Row],[PEDIDO]]&amp;Tabela1[[#This Row],[PRODUTO]]</f>
        <v>1073-TC-006P-188RMF</v>
      </c>
      <c r="AQ286" s="22" t="str">
        <f ca="1">Tabela1[[#This Row],[PRODUTO]]&amp;Tabela1[[#This Row],[TAG]]</f>
        <v>RMF1073-TC-006</v>
      </c>
      <c r="AR286" s="24" t="str">
        <f ca="1">Tabela1[[#This Row],[PEDIDO]]&amp;Tabela1[[#This Row],[PRODUTO]]</f>
        <v>P-188RMF</v>
      </c>
      <c r="AS286" s="37">
        <f ca="1">IF(AF286="",0,IF(ISTEXT(AF286),H286*VALUE(SUBSTITUTE(AF286,"%",""))/100,H286*AF286))-Tabela1[[#This Row],[PRONTO ACABADO2]]</f>
        <v>0</v>
      </c>
      <c r="AT286" s="37">
        <f ca="1">IF(AG286="",0,IF(ISTEXT(AG286),H286*VALUE(SUBSTITUTE(AG286,"%",""))/100,H286*AG286))-Tabela1[[#This Row],[PESO EXPEDIDO2]]</f>
        <v>0</v>
      </c>
      <c r="AU286" s="37">
        <f t="shared" ca="1" si="54"/>
        <v>45.6</v>
      </c>
      <c r="AV286" s="37">
        <f t="shared" ca="1" si="55"/>
        <v>45.6</v>
      </c>
      <c r="AW286" s="37"/>
    </row>
    <row r="287" spans="1:49" ht="15.75" hidden="1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 ca="1"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 ca="1">Tabela1[[#This Row],[QTDE/ Fabricação]]-Tabela1[[#This Row],[QTE]]</f>
        <v>-1</v>
      </c>
      <c r="R287" s="18">
        <f t="shared" ca="1" si="59"/>
        <v>22.2</v>
      </c>
      <c r="S287" s="18">
        <f t="shared" ca="1" si="57"/>
        <v>22.2</v>
      </c>
      <c r="T287" s="19">
        <f t="shared" ca="1" si="60"/>
        <v>0</v>
      </c>
      <c r="U287" s="205">
        <v>1</v>
      </c>
      <c r="V287" s="12" t="str">
        <f>IFERROR(VLOOKUP(Tabela1[[#This Row],[COD.MDE]],'LISTA DE EMBARQUE'!B:L,11,0),"")</f>
        <v/>
      </c>
      <c r="W287" s="13"/>
      <c r="X287" s="14">
        <f ca="1">IFERROR(Tabela1[[#This Row],[QIANTIDADE EXPEDIDA]]*Tabela1[[#This Row],[PESO UNI]],"")</f>
        <v>22.2</v>
      </c>
      <c r="Y287" s="14">
        <f t="shared" ca="1" si="56"/>
        <v>0</v>
      </c>
      <c r="Z287" s="20">
        <f ca="1"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ca="1" si="61"/>
        <v>ok</v>
      </c>
      <c r="AJ287" s="5"/>
      <c r="AK287" t="str">
        <f ca="1">Tabela1[[#This Row],[Coluna1]]&amp;Tabela1[[#This Row],[PEDIDO]]</f>
        <v>P-188</v>
      </c>
      <c r="AL287"/>
      <c r="AM287"/>
      <c r="AN287"/>
      <c r="AO287" t="str">
        <f t="shared" ca="1" si="58"/>
        <v>T-072986-1/1073-TC-006</v>
      </c>
      <c r="AP287" t="str">
        <f ca="1">Tabela1[[#This Row],[TAG]]&amp;Tabela1[[#This Row],[PEDIDO]]&amp;Tabela1[[#This Row],[PRODUTO]]</f>
        <v>1073-TC-006P-188RMF</v>
      </c>
      <c r="AQ287" s="22" t="str">
        <f ca="1">Tabela1[[#This Row],[PRODUTO]]&amp;Tabela1[[#This Row],[TAG]]</f>
        <v>RMF1073-TC-006</v>
      </c>
      <c r="AR287" s="24" t="str">
        <f ca="1">Tabela1[[#This Row],[PEDIDO]]&amp;Tabela1[[#This Row],[PRODUTO]]</f>
        <v>P-188RMF</v>
      </c>
      <c r="AS287" s="37">
        <f ca="1">IF(AF287="",0,IF(ISTEXT(AF287),H287*VALUE(SUBSTITUTE(AF287,"%",""))/100,H287*AF287))-Tabela1[[#This Row],[PRONTO ACABADO2]]</f>
        <v>0</v>
      </c>
      <c r="AT287" s="37">
        <f ca="1">IF(AG287="",0,IF(ISTEXT(AG287),H287*VALUE(SUBSTITUTE(AG287,"%",""))/100,H287*AG287))-Tabela1[[#This Row],[PESO EXPEDIDO2]]</f>
        <v>0</v>
      </c>
      <c r="AU287" s="37">
        <f t="shared" ca="1" si="54"/>
        <v>22.2</v>
      </c>
      <c r="AV287" s="37">
        <f t="shared" ca="1" si="55"/>
        <v>22.2</v>
      </c>
      <c r="AW287" s="37"/>
    </row>
    <row r="288" spans="1:49" ht="15.75" hidden="1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 ca="1"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 ca="1">Tabela1[[#This Row],[QTDE/ Fabricação]]-Tabela1[[#This Row],[QTE]]</f>
        <v>-1</v>
      </c>
      <c r="R288" s="18">
        <f t="shared" ca="1" si="59"/>
        <v>34</v>
      </c>
      <c r="S288" s="18">
        <f t="shared" ca="1" si="57"/>
        <v>34</v>
      </c>
      <c r="T288" s="19">
        <f t="shared" ca="1" si="60"/>
        <v>0</v>
      </c>
      <c r="U288" s="205">
        <v>1</v>
      </c>
      <c r="V288" s="12" t="str">
        <f>IFERROR(VLOOKUP(Tabela1[[#This Row],[COD.MDE]],'LISTA DE EMBARQUE'!B:L,11,0),"")</f>
        <v/>
      </c>
      <c r="W288" s="13"/>
      <c r="X288" s="14">
        <f ca="1">IFERROR(Tabela1[[#This Row],[QIANTIDADE EXPEDIDA]]*Tabela1[[#This Row],[PESO UNI]],"")</f>
        <v>34</v>
      </c>
      <c r="Y288" s="14">
        <f t="shared" ca="1" si="56"/>
        <v>0</v>
      </c>
      <c r="Z288" s="20">
        <f ca="1"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ca="1" si="61"/>
        <v>ok</v>
      </c>
      <c r="AJ288" s="5"/>
      <c r="AK288" t="str">
        <f ca="1">Tabela1[[#This Row],[Coluna1]]&amp;Tabela1[[#This Row],[PEDIDO]]</f>
        <v>P-188</v>
      </c>
      <c r="AL288"/>
      <c r="AM288"/>
      <c r="AN288"/>
      <c r="AO288" t="str">
        <f t="shared" ca="1" si="58"/>
        <v>T-072986-1/1073-TC-006</v>
      </c>
      <c r="AP288" t="str">
        <f ca="1">Tabela1[[#This Row],[TAG]]&amp;Tabela1[[#This Row],[PEDIDO]]&amp;Tabela1[[#This Row],[PRODUTO]]</f>
        <v>1073-TC-006P-188RMF</v>
      </c>
      <c r="AQ288" s="22" t="str">
        <f ca="1">Tabela1[[#This Row],[PRODUTO]]&amp;Tabela1[[#This Row],[TAG]]</f>
        <v>RMF1073-TC-006</v>
      </c>
      <c r="AR288" s="24" t="str">
        <f ca="1">Tabela1[[#This Row],[PEDIDO]]&amp;Tabela1[[#This Row],[PRODUTO]]</f>
        <v>P-188RMF</v>
      </c>
      <c r="AS288" s="37">
        <f ca="1">IF(AF288="",0,IF(ISTEXT(AF288),H288*VALUE(SUBSTITUTE(AF288,"%",""))/100,H288*AF288))-Tabela1[[#This Row],[PRONTO ACABADO2]]</f>
        <v>0</v>
      </c>
      <c r="AT288" s="37">
        <f ca="1">IF(AG288="",0,IF(ISTEXT(AG288),H288*VALUE(SUBSTITUTE(AG288,"%",""))/100,H288*AG288))-Tabela1[[#This Row],[PESO EXPEDIDO2]]</f>
        <v>0</v>
      </c>
      <c r="AU288" s="37">
        <f t="shared" ca="1" si="54"/>
        <v>34</v>
      </c>
      <c r="AV288" s="37">
        <f t="shared" ca="1" si="55"/>
        <v>34</v>
      </c>
      <c r="AW288" s="37"/>
    </row>
    <row r="289" spans="1:49" ht="15.75" hidden="1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 ca="1"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 ca="1">Tabela1[[#This Row],[QTDE/ Fabricação]]-Tabela1[[#This Row],[QTE]]</f>
        <v>-1</v>
      </c>
      <c r="R289" s="18">
        <f t="shared" ca="1" si="59"/>
        <v>10.199999999999999</v>
      </c>
      <c r="S289" s="18">
        <f t="shared" ca="1" si="57"/>
        <v>10.199999999999999</v>
      </c>
      <c r="T289" s="19">
        <f t="shared" ca="1" si="60"/>
        <v>0</v>
      </c>
      <c r="U289" s="205">
        <v>1</v>
      </c>
      <c r="V289" s="12" t="str">
        <f>IFERROR(VLOOKUP(Tabela1[[#This Row],[COD.MDE]],'LISTA DE EMBARQUE'!B:L,11,0),"")</f>
        <v/>
      </c>
      <c r="W289" s="13"/>
      <c r="X289" s="14">
        <f ca="1">IFERROR(Tabela1[[#This Row],[QIANTIDADE EXPEDIDA]]*Tabela1[[#This Row],[PESO UNI]],"")</f>
        <v>10.199999999999999</v>
      </c>
      <c r="Y289" s="14">
        <f t="shared" ca="1" si="56"/>
        <v>0</v>
      </c>
      <c r="Z289" s="20">
        <f ca="1"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ca="1" si="61"/>
        <v>ok</v>
      </c>
      <c r="AJ289" s="5"/>
      <c r="AK289" t="str">
        <f ca="1">Tabela1[[#This Row],[Coluna1]]&amp;Tabela1[[#This Row],[PEDIDO]]</f>
        <v>P-188</v>
      </c>
      <c r="AL289"/>
      <c r="AM289"/>
      <c r="AN289"/>
      <c r="AO289" t="str">
        <f t="shared" ca="1" si="58"/>
        <v>T-072986-1/1073-TC-006</v>
      </c>
      <c r="AP289" t="str">
        <f ca="1">Tabela1[[#This Row],[TAG]]&amp;Tabela1[[#This Row],[PEDIDO]]&amp;Tabela1[[#This Row],[PRODUTO]]</f>
        <v>1073-TC-006P-188RMF</v>
      </c>
      <c r="AQ289" s="22" t="str">
        <f ca="1">Tabela1[[#This Row],[PRODUTO]]&amp;Tabela1[[#This Row],[TAG]]</f>
        <v>RMF1073-TC-006</v>
      </c>
      <c r="AR289" s="24" t="str">
        <f ca="1">Tabela1[[#This Row],[PEDIDO]]&amp;Tabela1[[#This Row],[PRODUTO]]</f>
        <v>P-188RMF</v>
      </c>
      <c r="AS289" s="37">
        <f ca="1">IF(AF289="",0,IF(ISTEXT(AF289),H289*VALUE(SUBSTITUTE(AF289,"%",""))/100,H289*AF289))-Tabela1[[#This Row],[PRONTO ACABADO2]]</f>
        <v>0</v>
      </c>
      <c r="AT289" s="37">
        <f ca="1">IF(AG289="",0,IF(ISTEXT(AG289),H289*VALUE(SUBSTITUTE(AG289,"%",""))/100,H289*AG289))-Tabela1[[#This Row],[PESO EXPEDIDO2]]</f>
        <v>0</v>
      </c>
      <c r="AU289" s="37">
        <f t="shared" ca="1" si="54"/>
        <v>10.199999999999999</v>
      </c>
      <c r="AV289" s="37">
        <f t="shared" ca="1" si="55"/>
        <v>10.199999999999999</v>
      </c>
      <c r="AW289" s="37"/>
    </row>
    <row r="290" spans="1:49" ht="15.75" hidden="1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 ca="1"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 ca="1">Tabela1[[#This Row],[QTDE/ Fabricação]]-Tabela1[[#This Row],[QTE]]</f>
        <v>-1</v>
      </c>
      <c r="R290" s="18">
        <f t="shared" ca="1" si="59"/>
        <v>49.8</v>
      </c>
      <c r="S290" s="18">
        <f t="shared" ca="1" si="57"/>
        <v>49.8</v>
      </c>
      <c r="T290" s="19">
        <f t="shared" ca="1" si="60"/>
        <v>0</v>
      </c>
      <c r="U290" s="205">
        <v>1</v>
      </c>
      <c r="V290" s="12" t="str">
        <f>IFERROR(VLOOKUP(Tabela1[[#This Row],[COD.MDE]],'LISTA DE EMBARQUE'!B:L,11,0),"")</f>
        <v/>
      </c>
      <c r="W290" s="13"/>
      <c r="X290" s="14">
        <f ca="1">IFERROR(Tabela1[[#This Row],[QIANTIDADE EXPEDIDA]]*Tabela1[[#This Row],[PESO UNI]],"")</f>
        <v>49.8</v>
      </c>
      <c r="Y290" s="14">
        <f t="shared" ca="1" si="56"/>
        <v>0</v>
      </c>
      <c r="Z290" s="20">
        <f ca="1"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ca="1" si="61"/>
        <v>ok</v>
      </c>
      <c r="AJ290" s="5"/>
      <c r="AK290" t="str">
        <f ca="1">Tabela1[[#This Row],[Coluna1]]&amp;Tabela1[[#This Row],[PEDIDO]]</f>
        <v>P-188</v>
      </c>
      <c r="AL290"/>
      <c r="AM290"/>
      <c r="AN290"/>
      <c r="AO290" t="str">
        <f t="shared" ca="1" si="58"/>
        <v>T-072986-1/1073-TC-006</v>
      </c>
      <c r="AP290" t="str">
        <f ca="1">Tabela1[[#This Row],[TAG]]&amp;Tabela1[[#This Row],[PEDIDO]]&amp;Tabela1[[#This Row],[PRODUTO]]</f>
        <v>1073-TC-006P-188RMF</v>
      </c>
      <c r="AQ290" s="22" t="str">
        <f ca="1">Tabela1[[#This Row],[PRODUTO]]&amp;Tabela1[[#This Row],[TAG]]</f>
        <v>RMF1073-TC-006</v>
      </c>
      <c r="AR290" s="24" t="str">
        <f ca="1">Tabela1[[#This Row],[PEDIDO]]&amp;Tabela1[[#This Row],[PRODUTO]]</f>
        <v>P-188RMF</v>
      </c>
      <c r="AS290" s="37">
        <f ca="1">IF(AF290="",0,IF(ISTEXT(AF290),H290*VALUE(SUBSTITUTE(AF290,"%",""))/100,H290*AF290))-Tabela1[[#This Row],[PRONTO ACABADO2]]</f>
        <v>0</v>
      </c>
      <c r="AT290" s="37">
        <f ca="1">IF(AG290="",0,IF(ISTEXT(AG290),H290*VALUE(SUBSTITUTE(AG290,"%",""))/100,H290*AG290))-Tabela1[[#This Row],[PESO EXPEDIDO2]]</f>
        <v>0</v>
      </c>
      <c r="AU290" s="37">
        <f t="shared" ca="1" si="54"/>
        <v>49.8</v>
      </c>
      <c r="AV290" s="37">
        <f t="shared" ca="1" si="55"/>
        <v>49.8</v>
      </c>
      <c r="AW290" s="37"/>
    </row>
    <row r="291" spans="1:49" ht="15.75" hidden="1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 ca="1"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 ca="1">Tabela1[[#This Row],[QTDE/ Fabricação]]-Tabela1[[#This Row],[QTE]]</f>
        <v>-1</v>
      </c>
      <c r="R291" s="18">
        <f t="shared" ca="1" si="59"/>
        <v>24.3</v>
      </c>
      <c r="S291" s="18">
        <f t="shared" ca="1" si="57"/>
        <v>24.3</v>
      </c>
      <c r="T291" s="19">
        <f t="shared" ca="1" si="60"/>
        <v>0</v>
      </c>
      <c r="U291" s="205">
        <v>1</v>
      </c>
      <c r="V291" s="12" t="str">
        <f>IFERROR(VLOOKUP(Tabela1[[#This Row],[COD.MDE]],'LISTA DE EMBARQUE'!B:L,11,0),"")</f>
        <v/>
      </c>
      <c r="W291" s="13"/>
      <c r="X291" s="14">
        <f ca="1">IFERROR(Tabela1[[#This Row],[QIANTIDADE EXPEDIDA]]*Tabela1[[#This Row],[PESO UNI]],"")</f>
        <v>24.3</v>
      </c>
      <c r="Y291" s="14">
        <f t="shared" ca="1" si="56"/>
        <v>0</v>
      </c>
      <c r="Z291" s="20">
        <f ca="1"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ca="1" si="61"/>
        <v>ok</v>
      </c>
      <c r="AJ291" s="5"/>
      <c r="AK291" t="str">
        <f ca="1">Tabela1[[#This Row],[Coluna1]]&amp;Tabela1[[#This Row],[PEDIDO]]</f>
        <v>P-188</v>
      </c>
      <c r="AL291"/>
      <c r="AM291"/>
      <c r="AN291"/>
      <c r="AO291" t="str">
        <f t="shared" ca="1" si="58"/>
        <v>T-072986-1/1073-TC-006</v>
      </c>
      <c r="AP291" t="str">
        <f ca="1">Tabela1[[#This Row],[TAG]]&amp;Tabela1[[#This Row],[PEDIDO]]&amp;Tabela1[[#This Row],[PRODUTO]]</f>
        <v>1073-TC-006P-188RMF</v>
      </c>
      <c r="AQ291" s="22" t="str">
        <f ca="1">Tabela1[[#This Row],[PRODUTO]]&amp;Tabela1[[#This Row],[TAG]]</f>
        <v>RMF1073-TC-006</v>
      </c>
      <c r="AR291" s="24" t="str">
        <f ca="1">Tabela1[[#This Row],[PEDIDO]]&amp;Tabela1[[#This Row],[PRODUTO]]</f>
        <v>P-188RMF</v>
      </c>
      <c r="AS291" s="37">
        <f ca="1">IF(AF291="",0,IF(ISTEXT(AF291),H291*VALUE(SUBSTITUTE(AF291,"%",""))/100,H291*AF291))-Tabela1[[#This Row],[PRONTO ACABADO2]]</f>
        <v>0</v>
      </c>
      <c r="AT291" s="37">
        <f ca="1">IF(AG291="",0,IF(ISTEXT(AG291),H291*VALUE(SUBSTITUTE(AG291,"%",""))/100,H291*AG291))-Tabela1[[#This Row],[PESO EXPEDIDO2]]</f>
        <v>0</v>
      </c>
      <c r="AU291" s="37">
        <f t="shared" ca="1" si="54"/>
        <v>24.3</v>
      </c>
      <c r="AV291" s="37">
        <f t="shared" ca="1" si="55"/>
        <v>24.3</v>
      </c>
      <c r="AW291" s="37"/>
    </row>
    <row r="292" spans="1:49" ht="15.75" hidden="1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 ca="1"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 ca="1">Tabela1[[#This Row],[QTDE/ Fabricação]]-Tabela1[[#This Row],[QTE]]</f>
        <v>-4</v>
      </c>
      <c r="R292" s="18">
        <f t="shared" ca="1" si="59"/>
        <v>108.8</v>
      </c>
      <c r="S292" s="18">
        <f t="shared" ca="1" si="57"/>
        <v>108.8</v>
      </c>
      <c r="T292" s="19">
        <f t="shared" ca="1" si="60"/>
        <v>0</v>
      </c>
      <c r="U292" s="16">
        <v>4</v>
      </c>
      <c r="V292" s="12" t="str">
        <f ca="1"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 ca="1">IFERROR(Tabela1[[#This Row],[QIANTIDADE EXPEDIDA]]*Tabela1[[#This Row],[PESO UNI]],"")</f>
        <v>108.8</v>
      </c>
      <c r="Y292" s="14">
        <f t="shared" ca="1" si="56"/>
        <v>0</v>
      </c>
      <c r="Z292" s="20">
        <f ca="1"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ca="1" si="61"/>
        <v>ok</v>
      </c>
      <c r="AJ292" s="5"/>
      <c r="AK292" t="str">
        <f ca="1">Tabela1[[#This Row],[Coluna1]]&amp;Tabela1[[#This Row],[PEDIDO]]</f>
        <v>P-188</v>
      </c>
      <c r="AL292"/>
      <c r="AM292"/>
      <c r="AN292"/>
      <c r="AO292" t="str">
        <f t="shared" ca="1" si="58"/>
        <v>T-072986-1/1073-TC-006</v>
      </c>
      <c r="AP292" t="str">
        <f ca="1">Tabela1[[#This Row],[TAG]]&amp;Tabela1[[#This Row],[PEDIDO]]&amp;Tabela1[[#This Row],[PRODUTO]]</f>
        <v>1073-TC-006P-188RMF</v>
      </c>
      <c r="AQ292" s="22" t="str">
        <f ca="1">Tabela1[[#This Row],[PRODUTO]]&amp;Tabela1[[#This Row],[TAG]]</f>
        <v>RMF1073-TC-006</v>
      </c>
      <c r="AR292" s="24" t="str">
        <f ca="1">Tabela1[[#This Row],[PEDIDO]]&amp;Tabela1[[#This Row],[PRODUTO]]</f>
        <v>P-188RMF</v>
      </c>
      <c r="AS292" s="37">
        <f ca="1">IF(AF292="",0,IF(ISTEXT(AF292),H292*VALUE(SUBSTITUTE(AF292,"%",""))/100,H292*AF292))-Tabela1[[#This Row],[PRONTO ACABADO2]]</f>
        <v>0</v>
      </c>
      <c r="AT292" s="37">
        <f ca="1">IF(AG292="",0,IF(ISTEXT(AG292),H292*VALUE(SUBSTITUTE(AG292,"%",""))/100,H292*AG292))-Tabela1[[#This Row],[PESO EXPEDIDO2]]</f>
        <v>0</v>
      </c>
      <c r="AU292" s="37">
        <f t="shared" ref="AU292:AU355" ca="1" si="62">IF(AH292="",0,IF(ISTEXT(AH292),H292*VALUE(SUBSTITUTE(AH292,"%",""))/100,H292*AH292))</f>
        <v>108.8</v>
      </c>
      <c r="AV292" s="37">
        <f t="shared" ref="AV292:AV355" ca="1" si="63">IF(AG292="",0,IF(ISTEXT(AG292),H292*VALUE(SUBSTITUTE(AG292,"%",""))/100,H292*AG292))</f>
        <v>108.8</v>
      </c>
      <c r="AW292" s="37"/>
    </row>
    <row r="293" spans="1:49" ht="15.75" hidden="1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 ca="1"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 ca="1">Tabela1[[#This Row],[QTDE/ Fabricação]]-Tabela1[[#This Row],[QTE]]</f>
        <v>-1</v>
      </c>
      <c r="R293" s="18">
        <f t="shared" ca="1" si="59"/>
        <v>32.9</v>
      </c>
      <c r="S293" s="18">
        <f t="shared" ca="1" si="57"/>
        <v>32.9</v>
      </c>
      <c r="T293" s="19">
        <f t="shared" ca="1" si="60"/>
        <v>0</v>
      </c>
      <c r="U293" s="205">
        <v>1</v>
      </c>
      <c r="V293" s="12" t="str">
        <f>IFERROR(VLOOKUP(Tabela1[[#This Row],[COD.MDE]],'LISTA DE EMBARQUE'!B:L,11,0),"")</f>
        <v/>
      </c>
      <c r="W293" s="13"/>
      <c r="X293" s="14">
        <f ca="1">IFERROR(Tabela1[[#This Row],[QIANTIDADE EXPEDIDA]]*Tabela1[[#This Row],[PESO UNI]],"")</f>
        <v>32.9</v>
      </c>
      <c r="Y293" s="14">
        <f t="shared" ca="1" si="56"/>
        <v>0</v>
      </c>
      <c r="Z293" s="20">
        <f ca="1"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ca="1" si="61"/>
        <v>ok</v>
      </c>
      <c r="AJ293" s="5"/>
      <c r="AK293" t="str">
        <f ca="1">Tabela1[[#This Row],[Coluna1]]&amp;Tabela1[[#This Row],[PEDIDO]]</f>
        <v>P-188</v>
      </c>
      <c r="AL293"/>
      <c r="AM293"/>
      <c r="AN293"/>
      <c r="AO293" t="str">
        <f t="shared" ca="1" si="58"/>
        <v>T-072986-1/1073-TC-007</v>
      </c>
      <c r="AP293" t="str">
        <f ca="1">Tabela1[[#This Row],[TAG]]&amp;Tabela1[[#This Row],[PEDIDO]]&amp;Tabela1[[#This Row],[PRODUTO]]</f>
        <v>1073-TC-007P-188RMF</v>
      </c>
      <c r="AQ293" s="22" t="str">
        <f ca="1">Tabela1[[#This Row],[PRODUTO]]&amp;Tabela1[[#This Row],[TAG]]</f>
        <v>RMF1073-TC-007</v>
      </c>
      <c r="AR293" s="24" t="str">
        <f ca="1">Tabela1[[#This Row],[PEDIDO]]&amp;Tabela1[[#This Row],[PRODUTO]]</f>
        <v>P-188RMF</v>
      </c>
      <c r="AS293" s="37">
        <f ca="1">IF(AF293="",0,IF(ISTEXT(AF293),H293*VALUE(SUBSTITUTE(AF293,"%",""))/100,H293*AF293))-Tabela1[[#This Row],[PRONTO ACABADO2]]</f>
        <v>0</v>
      </c>
      <c r="AT293" s="37">
        <f ca="1">IF(AG293="",0,IF(ISTEXT(AG293),H293*VALUE(SUBSTITUTE(AG293,"%",""))/100,H293*AG293))-Tabela1[[#This Row],[PESO EXPEDIDO2]]</f>
        <v>0</v>
      </c>
      <c r="AU293" s="37">
        <f t="shared" ca="1" si="62"/>
        <v>32.9</v>
      </c>
      <c r="AV293" s="37">
        <f t="shared" ca="1" si="63"/>
        <v>32.9</v>
      </c>
      <c r="AW293" s="37"/>
    </row>
    <row r="294" spans="1:49" ht="15.75" hidden="1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 ca="1"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 ca="1">Tabela1[[#This Row],[QTDE/ Fabricação]]-Tabela1[[#This Row],[QTE]]</f>
        <v>-1</v>
      </c>
      <c r="R294" s="18">
        <f t="shared" ca="1" si="59"/>
        <v>45.6</v>
      </c>
      <c r="S294" s="18">
        <f t="shared" ca="1" si="57"/>
        <v>45.6</v>
      </c>
      <c r="T294" s="19">
        <f t="shared" ca="1" si="60"/>
        <v>0</v>
      </c>
      <c r="U294" s="205">
        <v>1</v>
      </c>
      <c r="V294" s="12" t="str">
        <f>IFERROR(VLOOKUP(Tabela1[[#This Row],[COD.MDE]],'LISTA DE EMBARQUE'!B:L,11,0),"")</f>
        <v/>
      </c>
      <c r="W294" s="13"/>
      <c r="X294" s="14">
        <f ca="1">IFERROR(Tabela1[[#This Row],[QIANTIDADE EXPEDIDA]]*Tabela1[[#This Row],[PESO UNI]],"")</f>
        <v>45.6</v>
      </c>
      <c r="Y294" s="14">
        <f t="shared" ca="1" si="56"/>
        <v>0</v>
      </c>
      <c r="Z294" s="20">
        <f ca="1"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ca="1" si="61"/>
        <v>ok</v>
      </c>
      <c r="AJ294" s="5"/>
      <c r="AK294" t="str">
        <f ca="1">Tabela1[[#This Row],[Coluna1]]&amp;Tabela1[[#This Row],[PEDIDO]]</f>
        <v>P-188</v>
      </c>
      <c r="AL294"/>
      <c r="AM294"/>
      <c r="AN294"/>
      <c r="AO294" t="str">
        <f t="shared" ca="1" si="58"/>
        <v>T-072986-1/1073-TC-007</v>
      </c>
      <c r="AP294" t="str">
        <f ca="1">Tabela1[[#This Row],[TAG]]&amp;Tabela1[[#This Row],[PEDIDO]]&amp;Tabela1[[#This Row],[PRODUTO]]</f>
        <v>1073-TC-007P-188RMF</v>
      </c>
      <c r="AQ294" s="22" t="str">
        <f ca="1">Tabela1[[#This Row],[PRODUTO]]&amp;Tabela1[[#This Row],[TAG]]</f>
        <v>RMF1073-TC-007</v>
      </c>
      <c r="AR294" s="24" t="str">
        <f ca="1">Tabela1[[#This Row],[PEDIDO]]&amp;Tabela1[[#This Row],[PRODUTO]]</f>
        <v>P-188RMF</v>
      </c>
      <c r="AS294" s="37">
        <f ca="1">IF(AF294="",0,IF(ISTEXT(AF294),H294*VALUE(SUBSTITUTE(AF294,"%",""))/100,H294*AF294))-Tabela1[[#This Row],[PRONTO ACABADO2]]</f>
        <v>0</v>
      </c>
      <c r="AT294" s="37">
        <f ca="1">IF(AG294="",0,IF(ISTEXT(AG294),H294*VALUE(SUBSTITUTE(AG294,"%",""))/100,H294*AG294))-Tabela1[[#This Row],[PESO EXPEDIDO2]]</f>
        <v>0</v>
      </c>
      <c r="AU294" s="37">
        <f t="shared" ca="1" si="62"/>
        <v>45.6</v>
      </c>
      <c r="AV294" s="37">
        <f t="shared" ca="1" si="63"/>
        <v>45.6</v>
      </c>
      <c r="AW294" s="37"/>
    </row>
    <row r="295" spans="1:49" ht="15.75" hidden="1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 ca="1"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 ca="1">Tabela1[[#This Row],[QTDE/ Fabricação]]-Tabela1[[#This Row],[QTE]]</f>
        <v>-1</v>
      </c>
      <c r="R295" s="18">
        <f t="shared" ca="1" si="59"/>
        <v>22.2</v>
      </c>
      <c r="S295" s="18">
        <f t="shared" ca="1" si="57"/>
        <v>22.2</v>
      </c>
      <c r="T295" s="19">
        <f t="shared" ca="1" si="60"/>
        <v>0</v>
      </c>
      <c r="U295" s="205">
        <v>1</v>
      </c>
      <c r="V295" s="12" t="str">
        <f>IFERROR(VLOOKUP(Tabela1[[#This Row],[COD.MDE]],'LISTA DE EMBARQUE'!B:L,11,0),"")</f>
        <v/>
      </c>
      <c r="W295" s="13"/>
      <c r="X295" s="14">
        <f ca="1">IFERROR(Tabela1[[#This Row],[QIANTIDADE EXPEDIDA]]*Tabela1[[#This Row],[PESO UNI]],"")</f>
        <v>22.2</v>
      </c>
      <c r="Y295" s="14">
        <f t="shared" ca="1" si="56"/>
        <v>0</v>
      </c>
      <c r="Z295" s="20">
        <f ca="1"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ca="1" si="61"/>
        <v>ok</v>
      </c>
      <c r="AJ295" s="5"/>
      <c r="AK295" t="str">
        <f ca="1">Tabela1[[#This Row],[Coluna1]]&amp;Tabela1[[#This Row],[PEDIDO]]</f>
        <v>P-188</v>
      </c>
      <c r="AL295"/>
      <c r="AM295"/>
      <c r="AN295"/>
      <c r="AO295" t="str">
        <f t="shared" ca="1" si="58"/>
        <v>T-072986-1/1073-TC-007</v>
      </c>
      <c r="AP295" t="str">
        <f ca="1">Tabela1[[#This Row],[TAG]]&amp;Tabela1[[#This Row],[PEDIDO]]&amp;Tabela1[[#This Row],[PRODUTO]]</f>
        <v>1073-TC-007P-188RMF</v>
      </c>
      <c r="AQ295" s="22" t="str">
        <f ca="1">Tabela1[[#This Row],[PRODUTO]]&amp;Tabela1[[#This Row],[TAG]]</f>
        <v>RMF1073-TC-007</v>
      </c>
      <c r="AR295" s="24" t="str">
        <f ca="1">Tabela1[[#This Row],[PEDIDO]]&amp;Tabela1[[#This Row],[PRODUTO]]</f>
        <v>P-188RMF</v>
      </c>
      <c r="AS295" s="37">
        <f ca="1">IF(AF295="",0,IF(ISTEXT(AF295),H295*VALUE(SUBSTITUTE(AF295,"%",""))/100,H295*AF295))-Tabela1[[#This Row],[PRONTO ACABADO2]]</f>
        <v>0</v>
      </c>
      <c r="AT295" s="37">
        <f ca="1">IF(AG295="",0,IF(ISTEXT(AG295),H295*VALUE(SUBSTITUTE(AG295,"%",""))/100,H295*AG295))-Tabela1[[#This Row],[PESO EXPEDIDO2]]</f>
        <v>0</v>
      </c>
      <c r="AU295" s="37">
        <f t="shared" ca="1" si="62"/>
        <v>22.2</v>
      </c>
      <c r="AV295" s="37">
        <f t="shared" ca="1" si="63"/>
        <v>22.2</v>
      </c>
      <c r="AW295" s="37"/>
    </row>
    <row r="296" spans="1:49" ht="15.75" hidden="1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 ca="1"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 ca="1">Tabela1[[#This Row],[QTDE/ Fabricação]]-Tabela1[[#This Row],[QTE]]</f>
        <v>-1</v>
      </c>
      <c r="R296" s="18">
        <f t="shared" ca="1" si="59"/>
        <v>34</v>
      </c>
      <c r="S296" s="18">
        <f t="shared" ca="1" si="57"/>
        <v>34</v>
      </c>
      <c r="T296" s="19">
        <f t="shared" ca="1" si="60"/>
        <v>0</v>
      </c>
      <c r="U296" s="205">
        <v>1</v>
      </c>
      <c r="V296" s="12" t="str">
        <f>IFERROR(VLOOKUP(Tabela1[[#This Row],[COD.MDE]],'LISTA DE EMBARQUE'!B:L,11,0),"")</f>
        <v/>
      </c>
      <c r="W296" s="13"/>
      <c r="X296" s="14">
        <f ca="1">IFERROR(Tabela1[[#This Row],[QIANTIDADE EXPEDIDA]]*Tabela1[[#This Row],[PESO UNI]],"")</f>
        <v>34</v>
      </c>
      <c r="Y296" s="14">
        <f t="shared" ca="1" si="56"/>
        <v>0</v>
      </c>
      <c r="Z296" s="20">
        <f ca="1"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ca="1" si="61"/>
        <v>ok</v>
      </c>
      <c r="AJ296" s="5"/>
      <c r="AK296" t="str">
        <f ca="1">Tabela1[[#This Row],[Coluna1]]&amp;Tabela1[[#This Row],[PEDIDO]]</f>
        <v>P-188</v>
      </c>
      <c r="AL296"/>
      <c r="AM296"/>
      <c r="AN296"/>
      <c r="AO296" t="str">
        <f t="shared" ca="1" si="58"/>
        <v>T-072986-1/1073-TC-007</v>
      </c>
      <c r="AP296" t="str">
        <f ca="1">Tabela1[[#This Row],[TAG]]&amp;Tabela1[[#This Row],[PEDIDO]]&amp;Tabela1[[#This Row],[PRODUTO]]</f>
        <v>1073-TC-007P-188RMF</v>
      </c>
      <c r="AQ296" s="22" t="str">
        <f ca="1">Tabela1[[#This Row],[PRODUTO]]&amp;Tabela1[[#This Row],[TAG]]</f>
        <v>RMF1073-TC-007</v>
      </c>
      <c r="AR296" s="24" t="str">
        <f ca="1">Tabela1[[#This Row],[PEDIDO]]&amp;Tabela1[[#This Row],[PRODUTO]]</f>
        <v>P-188RMF</v>
      </c>
      <c r="AS296" s="37">
        <f ca="1">IF(AF296="",0,IF(ISTEXT(AF296),H296*VALUE(SUBSTITUTE(AF296,"%",""))/100,H296*AF296))-Tabela1[[#This Row],[PRONTO ACABADO2]]</f>
        <v>0</v>
      </c>
      <c r="AT296" s="37">
        <f ca="1">IF(AG296="",0,IF(ISTEXT(AG296),H296*VALUE(SUBSTITUTE(AG296,"%",""))/100,H296*AG296))-Tabela1[[#This Row],[PESO EXPEDIDO2]]</f>
        <v>0</v>
      </c>
      <c r="AU296" s="37">
        <f t="shared" ca="1" si="62"/>
        <v>34</v>
      </c>
      <c r="AV296" s="37">
        <f t="shared" ca="1" si="63"/>
        <v>34</v>
      </c>
      <c r="AW296" s="37"/>
    </row>
    <row r="297" spans="1:49" ht="15.75" hidden="1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 ca="1"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 ca="1">Tabela1[[#This Row],[QTDE/ Fabricação]]-Tabela1[[#This Row],[QTE]]</f>
        <v>-1</v>
      </c>
      <c r="R297" s="18">
        <f t="shared" ca="1" si="59"/>
        <v>10.199999999999999</v>
      </c>
      <c r="S297" s="18">
        <f t="shared" ca="1" si="57"/>
        <v>10.199999999999999</v>
      </c>
      <c r="T297" s="19">
        <f t="shared" ca="1" si="60"/>
        <v>0</v>
      </c>
      <c r="U297" s="205">
        <v>1</v>
      </c>
      <c r="V297" s="12" t="str">
        <f>IFERROR(VLOOKUP(Tabela1[[#This Row],[COD.MDE]],'LISTA DE EMBARQUE'!B:L,11,0),"")</f>
        <v/>
      </c>
      <c r="W297" s="13"/>
      <c r="X297" s="14">
        <f ca="1">IFERROR(Tabela1[[#This Row],[QIANTIDADE EXPEDIDA]]*Tabela1[[#This Row],[PESO UNI]],"")</f>
        <v>10.199999999999999</v>
      </c>
      <c r="Y297" s="14">
        <f t="shared" ca="1" si="56"/>
        <v>0</v>
      </c>
      <c r="Z297" s="20">
        <f ca="1"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ca="1" si="61"/>
        <v>ok</v>
      </c>
      <c r="AJ297" s="5"/>
      <c r="AK297" t="str">
        <f ca="1">Tabela1[[#This Row],[Coluna1]]&amp;Tabela1[[#This Row],[PEDIDO]]</f>
        <v>P-188</v>
      </c>
      <c r="AL297"/>
      <c r="AM297"/>
      <c r="AN297"/>
      <c r="AO297" t="str">
        <f t="shared" ca="1" si="58"/>
        <v>T-072986-1/1073-TC-007</v>
      </c>
      <c r="AP297" t="str">
        <f ca="1">Tabela1[[#This Row],[TAG]]&amp;Tabela1[[#This Row],[PEDIDO]]&amp;Tabela1[[#This Row],[PRODUTO]]</f>
        <v>1073-TC-007P-188RMF</v>
      </c>
      <c r="AQ297" s="22" t="str">
        <f ca="1">Tabela1[[#This Row],[PRODUTO]]&amp;Tabela1[[#This Row],[TAG]]</f>
        <v>RMF1073-TC-007</v>
      </c>
      <c r="AR297" s="24" t="str">
        <f ca="1">Tabela1[[#This Row],[PEDIDO]]&amp;Tabela1[[#This Row],[PRODUTO]]</f>
        <v>P-188RMF</v>
      </c>
      <c r="AS297" s="37">
        <f ca="1">IF(AF297="",0,IF(ISTEXT(AF297),H297*VALUE(SUBSTITUTE(AF297,"%",""))/100,H297*AF297))-Tabela1[[#This Row],[PRONTO ACABADO2]]</f>
        <v>0</v>
      </c>
      <c r="AT297" s="37">
        <f ca="1">IF(AG297="",0,IF(ISTEXT(AG297),H297*VALUE(SUBSTITUTE(AG297,"%",""))/100,H297*AG297))-Tabela1[[#This Row],[PESO EXPEDIDO2]]</f>
        <v>0</v>
      </c>
      <c r="AU297" s="37">
        <f t="shared" ca="1" si="62"/>
        <v>10.199999999999999</v>
      </c>
      <c r="AV297" s="37">
        <f t="shared" ca="1" si="63"/>
        <v>10.199999999999999</v>
      </c>
      <c r="AW297" s="37"/>
    </row>
    <row r="298" spans="1:49" ht="15.75" hidden="1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 ca="1"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 ca="1">Tabela1[[#This Row],[QTDE/ Fabricação]]-Tabela1[[#This Row],[QTE]]</f>
        <v>-1</v>
      </c>
      <c r="R298" s="18">
        <f t="shared" ca="1" si="59"/>
        <v>49.8</v>
      </c>
      <c r="S298" s="18">
        <f t="shared" ca="1" si="57"/>
        <v>49.8</v>
      </c>
      <c r="T298" s="19">
        <f t="shared" ca="1" si="60"/>
        <v>0</v>
      </c>
      <c r="U298" s="205">
        <v>1</v>
      </c>
      <c r="V298" s="12" t="str">
        <f>IFERROR(VLOOKUP(Tabela1[[#This Row],[COD.MDE]],'LISTA DE EMBARQUE'!B:L,11,0),"")</f>
        <v/>
      </c>
      <c r="W298" s="13"/>
      <c r="X298" s="14">
        <f ca="1">IFERROR(Tabela1[[#This Row],[QIANTIDADE EXPEDIDA]]*Tabela1[[#This Row],[PESO UNI]],"")</f>
        <v>49.8</v>
      </c>
      <c r="Y298" s="14">
        <f t="shared" ca="1" si="56"/>
        <v>0</v>
      </c>
      <c r="Z298" s="20">
        <f ca="1"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ca="1" si="61"/>
        <v>ok</v>
      </c>
      <c r="AJ298" s="5"/>
      <c r="AK298" t="str">
        <f ca="1">Tabela1[[#This Row],[Coluna1]]&amp;Tabela1[[#This Row],[PEDIDO]]</f>
        <v>P-188</v>
      </c>
      <c r="AL298"/>
      <c r="AM298"/>
      <c r="AN298"/>
      <c r="AO298" t="str">
        <f t="shared" ca="1" si="58"/>
        <v>T-072986-1/1073-TC-007</v>
      </c>
      <c r="AP298" t="str">
        <f ca="1">Tabela1[[#This Row],[TAG]]&amp;Tabela1[[#This Row],[PEDIDO]]&amp;Tabela1[[#This Row],[PRODUTO]]</f>
        <v>1073-TC-007P-188RMF</v>
      </c>
      <c r="AQ298" s="22" t="str">
        <f ca="1">Tabela1[[#This Row],[PRODUTO]]&amp;Tabela1[[#This Row],[TAG]]</f>
        <v>RMF1073-TC-007</v>
      </c>
      <c r="AR298" s="24" t="str">
        <f ca="1">Tabela1[[#This Row],[PEDIDO]]&amp;Tabela1[[#This Row],[PRODUTO]]</f>
        <v>P-188RMF</v>
      </c>
      <c r="AS298" s="37">
        <f ca="1">IF(AF298="",0,IF(ISTEXT(AF298),H298*VALUE(SUBSTITUTE(AF298,"%",""))/100,H298*AF298))-Tabela1[[#This Row],[PRONTO ACABADO2]]</f>
        <v>0</v>
      </c>
      <c r="AT298" s="37">
        <f ca="1">IF(AG298="",0,IF(ISTEXT(AG298),H298*VALUE(SUBSTITUTE(AG298,"%",""))/100,H298*AG298))-Tabela1[[#This Row],[PESO EXPEDIDO2]]</f>
        <v>0</v>
      </c>
      <c r="AU298" s="37">
        <f t="shared" ca="1" si="62"/>
        <v>49.8</v>
      </c>
      <c r="AV298" s="37">
        <f t="shared" ca="1" si="63"/>
        <v>49.8</v>
      </c>
      <c r="AW298" s="37"/>
    </row>
    <row r="299" spans="1:49" ht="15.75" hidden="1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 ca="1"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 ca="1">Tabela1[[#This Row],[QTDE/ Fabricação]]-Tabela1[[#This Row],[QTE]]</f>
        <v>-1</v>
      </c>
      <c r="R299" s="18">
        <f t="shared" ca="1" si="59"/>
        <v>24.3</v>
      </c>
      <c r="S299" s="18">
        <f t="shared" ca="1" si="57"/>
        <v>24.3</v>
      </c>
      <c r="T299" s="19">
        <f t="shared" ca="1" si="60"/>
        <v>0</v>
      </c>
      <c r="U299" s="205">
        <v>1</v>
      </c>
      <c r="V299" s="12" t="str">
        <f ca="1">IFERROR(VLOOKUP(Tabela1[[#This Row],[COD.MDE]],'LISTA DE EMBARQUE'!B:L,11,0),"")</f>
        <v/>
      </c>
      <c r="W299" s="13"/>
      <c r="X299" s="14">
        <f ca="1">IFERROR(Tabela1[[#This Row],[QIANTIDADE EXPEDIDA]]*Tabela1[[#This Row],[PESO UNI]],"")</f>
        <v>24.3</v>
      </c>
      <c r="Y299" s="14">
        <f t="shared" ca="1" si="56"/>
        <v>0</v>
      </c>
      <c r="Z299" s="20">
        <f ca="1"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ca="1" si="61"/>
        <v>ok</v>
      </c>
      <c r="AJ299" s="5"/>
      <c r="AK299" t="str">
        <f ca="1">Tabela1[[#This Row],[Coluna1]]&amp;Tabela1[[#This Row],[PEDIDO]]</f>
        <v>P-188</v>
      </c>
      <c r="AL299"/>
      <c r="AM299"/>
      <c r="AN299"/>
      <c r="AO299" t="str">
        <f t="shared" ca="1" si="58"/>
        <v>T-072986-1/1073-TC-007</v>
      </c>
      <c r="AP299" t="str">
        <f ca="1">Tabela1[[#This Row],[TAG]]&amp;Tabela1[[#This Row],[PEDIDO]]&amp;Tabela1[[#This Row],[PRODUTO]]</f>
        <v>1073-TC-007P-188RMF</v>
      </c>
      <c r="AQ299" s="22" t="str">
        <f ca="1">Tabela1[[#This Row],[PRODUTO]]&amp;Tabela1[[#This Row],[TAG]]</f>
        <v>RMF1073-TC-007</v>
      </c>
      <c r="AR299" s="24" t="str">
        <f ca="1">Tabela1[[#This Row],[PEDIDO]]&amp;Tabela1[[#This Row],[PRODUTO]]</f>
        <v>P-188RMF</v>
      </c>
      <c r="AS299" s="37">
        <f ca="1">IF(AF299="",0,IF(ISTEXT(AF299),H299*VALUE(SUBSTITUTE(AF299,"%",""))/100,H299*AF299))-Tabela1[[#This Row],[PRONTO ACABADO2]]</f>
        <v>0</v>
      </c>
      <c r="AT299" s="37">
        <f ca="1">IF(AG299="",0,IF(ISTEXT(AG299),H299*VALUE(SUBSTITUTE(AG299,"%",""))/100,H299*AG299))-Tabela1[[#This Row],[PESO EXPEDIDO2]]</f>
        <v>0</v>
      </c>
      <c r="AU299" s="37">
        <f t="shared" ca="1" si="62"/>
        <v>24.3</v>
      </c>
      <c r="AV299" s="37">
        <f t="shared" ca="1" si="63"/>
        <v>24.3</v>
      </c>
      <c r="AW299" s="37"/>
    </row>
    <row r="300" spans="1:49" ht="15.75" hidden="1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 ca="1"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 ca="1">Tabela1[[#This Row],[QTDE/ Fabricação]]-Tabela1[[#This Row],[QTE]]</f>
        <v>-4</v>
      </c>
      <c r="R300" s="18">
        <f t="shared" ca="1" si="59"/>
        <v>108.8</v>
      </c>
      <c r="S300" s="18">
        <f t="shared" ca="1" si="57"/>
        <v>108.8</v>
      </c>
      <c r="T300" s="19">
        <f t="shared" ca="1" si="60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 ca="1">IFERROR(Tabela1[[#This Row],[QIANTIDADE EXPEDIDA]]*Tabela1[[#This Row],[PESO UNI]],"")</f>
        <v>108.8</v>
      </c>
      <c r="Y300" s="14">
        <f t="shared" ca="1" si="56"/>
        <v>0</v>
      </c>
      <c r="Z300" s="20">
        <f ca="1"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ca="1" si="61"/>
        <v>ok</v>
      </c>
      <c r="AJ300" s="5"/>
      <c r="AK300" t="str">
        <f ca="1">Tabela1[[#This Row],[Coluna1]]&amp;Tabela1[[#This Row],[PEDIDO]]</f>
        <v>P-188</v>
      </c>
      <c r="AL300"/>
      <c r="AM300"/>
      <c r="AN300"/>
      <c r="AO300" t="str">
        <f t="shared" ca="1" si="58"/>
        <v>T-072986-1/1073-TC-007</v>
      </c>
      <c r="AP300" t="str">
        <f ca="1">Tabela1[[#This Row],[TAG]]&amp;Tabela1[[#This Row],[PEDIDO]]&amp;Tabela1[[#This Row],[PRODUTO]]</f>
        <v>1073-TC-007P-188RMF</v>
      </c>
      <c r="AQ300" s="22" t="str">
        <f ca="1">Tabela1[[#This Row],[PRODUTO]]&amp;Tabela1[[#This Row],[TAG]]</f>
        <v>RMF1073-TC-007</v>
      </c>
      <c r="AR300" s="24" t="str">
        <f ca="1">Tabela1[[#This Row],[PEDIDO]]&amp;Tabela1[[#This Row],[PRODUTO]]</f>
        <v>P-188RMF</v>
      </c>
      <c r="AS300" s="37">
        <f ca="1">IF(AF300="",0,IF(ISTEXT(AF300),H300*VALUE(SUBSTITUTE(AF300,"%",""))/100,H300*AF300))-Tabela1[[#This Row],[PRONTO ACABADO2]]</f>
        <v>0</v>
      </c>
      <c r="AT300" s="37">
        <f ca="1">IF(AG300="",0,IF(ISTEXT(AG300),H300*VALUE(SUBSTITUTE(AG300,"%",""))/100,H300*AG300))-Tabela1[[#This Row],[PESO EXPEDIDO2]]</f>
        <v>0</v>
      </c>
      <c r="AU300" s="37">
        <f t="shared" ca="1" si="62"/>
        <v>108.8</v>
      </c>
      <c r="AV300" s="37">
        <f t="shared" ca="1" si="63"/>
        <v>108.8</v>
      </c>
      <c r="AW300" s="37"/>
    </row>
    <row r="301" spans="1:49" ht="15.75" hidden="1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 ca="1"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 ca="1">Tabela1[[#This Row],[QTDE/ Fabricação]]-Tabela1[[#This Row],[QTE]]</f>
        <v>-2</v>
      </c>
      <c r="R301" s="18">
        <f t="shared" ca="1" si="59"/>
        <v>216.4</v>
      </c>
      <c r="S301" s="18">
        <f t="shared" ca="1" si="57"/>
        <v>216.4</v>
      </c>
      <c r="T301" s="19">
        <f t="shared" ca="1" si="60"/>
        <v>0</v>
      </c>
      <c r="U301" s="205">
        <v>2</v>
      </c>
      <c r="V301" s="12" t="str">
        <f>IFERROR(VLOOKUP(Tabela1[[#This Row],[COD.MDE]],'LISTA DE EMBARQUE'!B:L,11,0),"")</f>
        <v/>
      </c>
      <c r="W301" s="13"/>
      <c r="X301" s="14">
        <f ca="1">IFERROR(Tabela1[[#This Row],[QIANTIDADE EXPEDIDA]]*Tabela1[[#This Row],[PESO UNI]],"")</f>
        <v>216.4</v>
      </c>
      <c r="Y301" s="14">
        <f t="shared" ca="1" si="56"/>
        <v>0</v>
      </c>
      <c r="Z301" s="20">
        <f ca="1"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ca="1" si="61"/>
        <v>ok</v>
      </c>
      <c r="AJ301" s="5"/>
      <c r="AK301" t="str">
        <f ca="1">Tabela1[[#This Row],[Coluna1]]&amp;Tabela1[[#This Row],[PEDIDO]]</f>
        <v>P-188</v>
      </c>
      <c r="AL301"/>
      <c r="AM301"/>
      <c r="AN301"/>
      <c r="AO301" t="str">
        <f t="shared" ca="1" si="58"/>
        <v>T-072975-1/1073-TC-006</v>
      </c>
      <c r="AP301" t="str">
        <f ca="1">Tabela1[[#This Row],[TAG]]&amp;Tabela1[[#This Row],[PEDIDO]]&amp;Tabela1[[#This Row],[PRODUTO]]</f>
        <v>1073-TC-006P-188RMF</v>
      </c>
      <c r="AQ301" s="22" t="str">
        <f ca="1">Tabela1[[#This Row],[PRODUTO]]&amp;Tabela1[[#This Row],[TAG]]</f>
        <v>RMF1073-TC-006</v>
      </c>
      <c r="AR301" s="24" t="str">
        <f ca="1">Tabela1[[#This Row],[PEDIDO]]&amp;Tabela1[[#This Row],[PRODUTO]]</f>
        <v>P-188RMF</v>
      </c>
      <c r="AS301" s="37">
        <f ca="1">IF(AF301="",0,IF(ISTEXT(AF301),H301*VALUE(SUBSTITUTE(AF301,"%",""))/100,H301*AF301))-Tabela1[[#This Row],[PRONTO ACABADO2]]</f>
        <v>0</v>
      </c>
      <c r="AT301" s="37">
        <f ca="1">IF(AG301="",0,IF(ISTEXT(AG301),H301*VALUE(SUBSTITUTE(AG301,"%",""))/100,H301*AG301))-Tabela1[[#This Row],[PESO EXPEDIDO2]]</f>
        <v>0</v>
      </c>
      <c r="AU301" s="37">
        <f t="shared" ca="1" si="62"/>
        <v>216.4</v>
      </c>
      <c r="AV301" s="37">
        <f t="shared" ca="1" si="63"/>
        <v>216.4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 ca="1"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 ca="1">Tabela1[[#This Row],[QTDE/ Fabricação]]-Tabela1[[#This Row],[QTE]]</f>
        <v>-2</v>
      </c>
      <c r="R302" s="18">
        <f t="shared" ca="1" si="59"/>
        <v>216.4</v>
      </c>
      <c r="S302" s="18">
        <f t="shared" ca="1" si="57"/>
        <v>216.4</v>
      </c>
      <c r="T302" s="19">
        <f t="shared" ca="1" si="60"/>
        <v>0</v>
      </c>
      <c r="U302" s="205">
        <v>2</v>
      </c>
      <c r="V302" s="12" t="str">
        <f>IFERROR(VLOOKUP(Tabela1[[#This Row],[COD.MDE]],'LISTA DE EMBARQUE'!B:L,11,0),"")</f>
        <v/>
      </c>
      <c r="W302" s="13"/>
      <c r="X302" s="14">
        <f ca="1">IFERROR(Tabela1[[#This Row],[QIANTIDADE EXPEDIDA]]*Tabela1[[#This Row],[PESO UNI]],"")</f>
        <v>216.4</v>
      </c>
      <c r="Y302" s="14">
        <f t="shared" ca="1" si="56"/>
        <v>0</v>
      </c>
      <c r="Z302" s="20">
        <f ca="1"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ca="1" si="61"/>
        <v>ok</v>
      </c>
      <c r="AJ302" s="5"/>
      <c r="AK302" t="str">
        <f ca="1">Tabela1[[#This Row],[Coluna1]]&amp;Tabela1[[#This Row],[PEDIDO]]</f>
        <v>P-188</v>
      </c>
      <c r="AL302"/>
      <c r="AM302"/>
      <c r="AN302"/>
      <c r="AO302" t="str">
        <f t="shared" ca="1" si="58"/>
        <v>T-072975-1/1073-TC-007</v>
      </c>
      <c r="AP302" t="str">
        <f ca="1">Tabela1[[#This Row],[TAG]]&amp;Tabela1[[#This Row],[PEDIDO]]&amp;Tabela1[[#This Row],[PRODUTO]]</f>
        <v>1073-TC-007P-188RMF</v>
      </c>
      <c r="AQ302" s="22" t="str">
        <f ca="1">Tabela1[[#This Row],[PRODUTO]]&amp;Tabela1[[#This Row],[TAG]]</f>
        <v>RMF1073-TC-007</v>
      </c>
      <c r="AR302" s="24" t="str">
        <f ca="1">Tabela1[[#This Row],[PEDIDO]]&amp;Tabela1[[#This Row],[PRODUTO]]</f>
        <v>P-188RMF</v>
      </c>
      <c r="AS302" s="37">
        <f ca="1">IF(AF302="",0,IF(ISTEXT(AF302),H302*VALUE(SUBSTITUTE(AF302,"%",""))/100,H302*AF302))-Tabela1[[#This Row],[PRONTO ACABADO2]]</f>
        <v>0</v>
      </c>
      <c r="AT302" s="37">
        <f ca="1">IF(AG302="",0,IF(ISTEXT(AG302),H302*VALUE(SUBSTITUTE(AG302,"%",""))/100,H302*AG302))-Tabela1[[#This Row],[PESO EXPEDIDO2]]</f>
        <v>0</v>
      </c>
      <c r="AU302" s="37">
        <f t="shared" ca="1" si="62"/>
        <v>216.4</v>
      </c>
      <c r="AV302" s="37">
        <f t="shared" ca="1" si="63"/>
        <v>216.4</v>
      </c>
      <c r="AW302" s="37"/>
    </row>
    <row r="303" spans="1:49" ht="15.75" hidden="1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 ca="1"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 ca="1">Tabela1[[#This Row],[QTDE/ Fabricação]]-Tabela1[[#This Row],[QTE]]</f>
        <v>-76</v>
      </c>
      <c r="R303" s="18">
        <f t="shared" ca="1" si="59"/>
        <v>106.39999999999999</v>
      </c>
      <c r="S303" s="18">
        <f t="shared" ca="1" si="57"/>
        <v>106.39999999999999</v>
      </c>
      <c r="T303" s="19">
        <f t="shared" ca="1" si="60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 ca="1">IFERROR(Tabela1[[#This Row],[QIANTIDADE EXPEDIDA]]*Tabela1[[#This Row],[PESO UNI]],"")</f>
        <v>106.39999999999999</v>
      </c>
      <c r="Y303" s="14">
        <f t="shared" ca="1" si="56"/>
        <v>0</v>
      </c>
      <c r="Z303" s="20">
        <f ca="1"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ca="1" si="61"/>
        <v>ok</v>
      </c>
      <c r="AJ303" s="5"/>
      <c r="AK303" t="str">
        <f ca="1">Tabela1[[#This Row],[Coluna1]]&amp;Tabela1[[#This Row],[PEDIDO]]</f>
        <v>P-188</v>
      </c>
      <c r="AL303"/>
      <c r="AM303"/>
      <c r="AN303"/>
      <c r="AO303" t="str">
        <f t="shared" ca="1" si="58"/>
        <v>T-072928-1/1073-TC-006</v>
      </c>
      <c r="AP303" t="str">
        <f ca="1">Tabela1[[#This Row],[TAG]]&amp;Tabela1[[#This Row],[PEDIDO]]&amp;Tabela1[[#This Row],[PRODUTO]]</f>
        <v>1073-TC-006P-188RMF</v>
      </c>
      <c r="AQ303" s="22" t="str">
        <f ca="1">Tabela1[[#This Row],[PRODUTO]]&amp;Tabela1[[#This Row],[TAG]]</f>
        <v>RMF1073-TC-006</v>
      </c>
      <c r="AR303" s="24" t="str">
        <f ca="1">Tabela1[[#This Row],[PEDIDO]]&amp;Tabela1[[#This Row],[PRODUTO]]</f>
        <v>P-188RMF</v>
      </c>
      <c r="AS303" s="37">
        <f ca="1">IF(AF303="",0,IF(ISTEXT(AF303),H303*VALUE(SUBSTITUTE(AF303,"%",""))/100,H303*AF303))-Tabela1[[#This Row],[PRONTO ACABADO2]]</f>
        <v>0</v>
      </c>
      <c r="AT303" s="37">
        <f ca="1">IF(AG303="",0,IF(ISTEXT(AG303),H303*VALUE(SUBSTITUTE(AG303,"%",""))/100,H303*AG303))-Tabela1[[#This Row],[PESO EXPEDIDO2]]</f>
        <v>0</v>
      </c>
      <c r="AU303" s="37">
        <f t="shared" ca="1" si="62"/>
        <v>106.39999999999999</v>
      </c>
      <c r="AV303" s="37">
        <f t="shared" ca="1" si="63"/>
        <v>106.39999999999999</v>
      </c>
      <c r="AW303" s="37"/>
    </row>
    <row r="304" spans="1:49" ht="15.75" hidden="1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 ca="1"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 ca="1">Tabela1[[#This Row],[QTDE/ Fabricação]]-Tabela1[[#This Row],[QTE]]</f>
        <v>-8</v>
      </c>
      <c r="R304" s="18">
        <f t="shared" ca="1" si="59"/>
        <v>22.4</v>
      </c>
      <c r="S304" s="18">
        <f t="shared" ca="1" si="57"/>
        <v>22.4</v>
      </c>
      <c r="T304" s="19">
        <f t="shared" ca="1" si="60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 ca="1">IFERROR(VLOOKUP(Tabela1[[#This Row],[COD.MDE]],'LISTA DE EMBARQUE'!B:M,12,0),"")</f>
        <v/>
      </c>
      <c r="X304" s="14">
        <f ca="1">IFERROR(Tabela1[[#This Row],[QIANTIDADE EXPEDIDA]]*Tabela1[[#This Row],[PESO UNI]],"")</f>
        <v>22.4</v>
      </c>
      <c r="Y304" s="14">
        <f t="shared" ca="1" si="56"/>
        <v>0</v>
      </c>
      <c r="Z304" s="20">
        <f ca="1"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ca="1" si="61"/>
        <v>ok</v>
      </c>
      <c r="AJ304" s="5"/>
      <c r="AK304" t="str">
        <f ca="1">Tabela1[[#This Row],[Coluna1]]&amp;Tabela1[[#This Row],[PEDIDO]]</f>
        <v>P-188</v>
      </c>
      <c r="AL304"/>
      <c r="AM304"/>
      <c r="AN304"/>
      <c r="AO304" t="str">
        <f t="shared" ca="1" si="58"/>
        <v>T-072928-1/1073-TC-006</v>
      </c>
      <c r="AP304" t="str">
        <f ca="1">Tabela1[[#This Row],[TAG]]&amp;Tabela1[[#This Row],[PEDIDO]]&amp;Tabela1[[#This Row],[PRODUTO]]</f>
        <v>1073-TC-006P-188RMF</v>
      </c>
      <c r="AQ304" s="22" t="str">
        <f ca="1">Tabela1[[#This Row],[PRODUTO]]&amp;Tabela1[[#This Row],[TAG]]</f>
        <v>RMF1073-TC-006</v>
      </c>
      <c r="AR304" s="24" t="str">
        <f ca="1">Tabela1[[#This Row],[PEDIDO]]&amp;Tabela1[[#This Row],[PRODUTO]]</f>
        <v>P-188RMF</v>
      </c>
      <c r="AS304" s="37">
        <f ca="1">IF(AF304="",0,IF(ISTEXT(AF304),H304*VALUE(SUBSTITUTE(AF304,"%",""))/100,H304*AF304))-Tabela1[[#This Row],[PRONTO ACABADO2]]</f>
        <v>0</v>
      </c>
      <c r="AT304" s="37">
        <f ca="1">IF(AG304="",0,IF(ISTEXT(AG304),H304*VALUE(SUBSTITUTE(AG304,"%",""))/100,H304*AG304))-Tabela1[[#This Row],[PESO EXPEDIDO2]]</f>
        <v>0</v>
      </c>
      <c r="AU304" s="37">
        <f t="shared" ca="1" si="62"/>
        <v>22.4</v>
      </c>
      <c r="AV304" s="37">
        <f t="shared" ca="1" si="63"/>
        <v>22.4</v>
      </c>
      <c r="AW304" s="37"/>
    </row>
    <row r="305" spans="1:49" ht="15.75" hidden="1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 ca="1"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 ca="1">Tabela1[[#This Row],[QTDE/ Fabricação]]-Tabela1[[#This Row],[QTE]]</f>
        <v>-2</v>
      </c>
      <c r="R305" s="18">
        <f t="shared" ca="1" si="59"/>
        <v>34.6</v>
      </c>
      <c r="S305" s="18">
        <f t="shared" ca="1" si="57"/>
        <v>34.6</v>
      </c>
      <c r="T305" s="19">
        <f t="shared" ca="1" si="60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 ca="1">IFERROR(Tabela1[[#This Row],[QIANTIDADE EXPEDIDA]]*Tabela1[[#This Row],[PESO UNI]],"")</f>
        <v>34.6</v>
      </c>
      <c r="Y305" s="14">
        <f t="shared" ca="1" si="56"/>
        <v>0</v>
      </c>
      <c r="Z305" s="20">
        <f ca="1"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ca="1" si="61"/>
        <v>ok</v>
      </c>
      <c r="AJ305" s="5"/>
      <c r="AK305" t="str">
        <f ca="1">Tabela1[[#This Row],[Coluna1]]&amp;Tabela1[[#This Row],[PEDIDO]]</f>
        <v>P-188</v>
      </c>
      <c r="AL305"/>
      <c r="AM305"/>
      <c r="AN305"/>
      <c r="AO305" t="str">
        <f t="shared" ca="1" si="58"/>
        <v>T-072928-1/1073-TC-006</v>
      </c>
      <c r="AP305" t="str">
        <f ca="1">Tabela1[[#This Row],[TAG]]&amp;Tabela1[[#This Row],[PEDIDO]]&amp;Tabela1[[#This Row],[PRODUTO]]</f>
        <v>1073-TC-006P-188RMF</v>
      </c>
      <c r="AQ305" s="22" t="str">
        <f ca="1">Tabela1[[#This Row],[PRODUTO]]&amp;Tabela1[[#This Row],[TAG]]</f>
        <v>RMF1073-TC-006</v>
      </c>
      <c r="AR305" s="24" t="str">
        <f ca="1">Tabela1[[#This Row],[PEDIDO]]&amp;Tabela1[[#This Row],[PRODUTO]]</f>
        <v>P-188RMF</v>
      </c>
      <c r="AS305" s="37">
        <f ca="1">IF(AF305="",0,IF(ISTEXT(AF305),H305*VALUE(SUBSTITUTE(AF305,"%",""))/100,H305*AF305))-Tabela1[[#This Row],[PRONTO ACABADO2]]</f>
        <v>0</v>
      </c>
      <c r="AT305" s="37">
        <f ca="1">IF(AG305="",0,IF(ISTEXT(AG305),H305*VALUE(SUBSTITUTE(AG305,"%",""))/100,H305*AG305))-Tabela1[[#This Row],[PESO EXPEDIDO2]]</f>
        <v>0</v>
      </c>
      <c r="AU305" s="37">
        <f t="shared" ca="1" si="62"/>
        <v>34.6</v>
      </c>
      <c r="AV305" s="37">
        <f t="shared" ca="1" si="63"/>
        <v>34.6</v>
      </c>
      <c r="AW305" s="37"/>
    </row>
    <row r="306" spans="1:49" ht="15.75" hidden="1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 ca="1"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 ca="1">Tabela1[[#This Row],[QTDE/ Fabricação]]-Tabela1[[#This Row],[QTE]]</f>
        <v>-4</v>
      </c>
      <c r="R306" s="18">
        <f t="shared" ca="1" si="59"/>
        <v>91.2</v>
      </c>
      <c r="S306" s="18">
        <f t="shared" ca="1" si="57"/>
        <v>91.2</v>
      </c>
      <c r="T306" s="19">
        <f t="shared" ca="1" si="60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 ca="1">IFERROR(Tabela1[[#This Row],[QIANTIDADE EXPEDIDA]]*Tabela1[[#This Row],[PESO UNI]],"")</f>
        <v>91.2</v>
      </c>
      <c r="Y306" s="14">
        <f t="shared" ca="1" si="56"/>
        <v>0</v>
      </c>
      <c r="Z306" s="20">
        <f ca="1"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ca="1" si="61"/>
        <v>ok</v>
      </c>
      <c r="AJ306" s="5"/>
      <c r="AK306" t="str">
        <f ca="1">Tabela1[[#This Row],[Coluna1]]&amp;Tabela1[[#This Row],[PEDIDO]]</f>
        <v>P-188</v>
      </c>
      <c r="AL306"/>
      <c r="AM306"/>
      <c r="AN306"/>
      <c r="AO306" t="str">
        <f t="shared" ca="1" si="58"/>
        <v>T-072928-1/1073-TC-006</v>
      </c>
      <c r="AP306" t="str">
        <f ca="1">Tabela1[[#This Row],[TAG]]&amp;Tabela1[[#This Row],[PEDIDO]]&amp;Tabela1[[#This Row],[PRODUTO]]</f>
        <v>1073-TC-006P-188RMF</v>
      </c>
      <c r="AQ306" s="22" t="str">
        <f ca="1">Tabela1[[#This Row],[PRODUTO]]&amp;Tabela1[[#This Row],[TAG]]</f>
        <v>RMF1073-TC-006</v>
      </c>
      <c r="AR306" s="202" t="str">
        <f ca="1">Tabela1[[#This Row],[PEDIDO]]&amp;Tabela1[[#This Row],[PRODUTO]]</f>
        <v>P-188RMF</v>
      </c>
      <c r="AS306" s="32">
        <f ca="1">IF(AF306="",0,IF(ISTEXT(AF306),H306*VALUE(SUBSTITUTE(AF306,"%",""))/100,H306*AF306))-Tabela1[[#This Row],[PRONTO ACABADO2]]</f>
        <v>0</v>
      </c>
      <c r="AT306" s="32">
        <f ca="1">IF(AG306="",0,IF(ISTEXT(AG306),H306*VALUE(SUBSTITUTE(AG306,"%",""))/100,H306*AG306))-Tabela1[[#This Row],[PESO EXPEDIDO2]]</f>
        <v>0</v>
      </c>
      <c r="AU306" s="32">
        <f t="shared" ca="1" si="62"/>
        <v>91.2</v>
      </c>
      <c r="AV306" s="32">
        <f t="shared" ca="1" si="63"/>
        <v>91.2</v>
      </c>
      <c r="AW306" s="32"/>
    </row>
    <row r="307" spans="1:49" ht="15.75" hidden="1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 ca="1"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 ca="1">Tabela1[[#This Row],[QTDE/ Fabricação]]-Tabela1[[#This Row],[QTE]]</f>
        <v>-2</v>
      </c>
      <c r="R307" s="18">
        <f t="shared" ca="1" si="59"/>
        <v>34.200000000000003</v>
      </c>
      <c r="S307" s="18">
        <f t="shared" ca="1" si="57"/>
        <v>34.200000000000003</v>
      </c>
      <c r="T307" s="19">
        <f t="shared" ca="1" si="60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 ca="1">IFERROR(Tabela1[[#This Row],[QIANTIDADE EXPEDIDA]]*Tabela1[[#This Row],[PESO UNI]],"")</f>
        <v>34.200000000000003</v>
      </c>
      <c r="Y307" s="14">
        <f t="shared" ca="1" si="56"/>
        <v>0</v>
      </c>
      <c r="Z307" s="20">
        <f ca="1"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ca="1" si="61"/>
        <v>ok</v>
      </c>
      <c r="AJ307" s="5"/>
      <c r="AK307" t="str">
        <f ca="1">Tabela1[[#This Row],[Coluna1]]&amp;Tabela1[[#This Row],[PEDIDO]]</f>
        <v>P-188</v>
      </c>
      <c r="AL307"/>
      <c r="AM307"/>
      <c r="AN307"/>
      <c r="AO307" t="str">
        <f t="shared" ca="1" si="58"/>
        <v>T-072928-1/1073-TC-006</v>
      </c>
      <c r="AP307" t="str">
        <f ca="1">Tabela1[[#This Row],[TAG]]&amp;Tabela1[[#This Row],[PEDIDO]]&amp;Tabela1[[#This Row],[PRODUTO]]</f>
        <v>1073-TC-006P-188RMF</v>
      </c>
      <c r="AQ307" s="22" t="str">
        <f ca="1">Tabela1[[#This Row],[PRODUTO]]&amp;Tabela1[[#This Row],[TAG]]</f>
        <v>RMF1073-TC-006</v>
      </c>
      <c r="AR307" s="24" t="str">
        <f ca="1">Tabela1[[#This Row],[PEDIDO]]&amp;Tabela1[[#This Row],[PRODUTO]]</f>
        <v>P-188RMF</v>
      </c>
      <c r="AS307" s="37">
        <f ca="1">IF(AF307="",0,IF(ISTEXT(AF307),H307*VALUE(SUBSTITUTE(AF307,"%",""))/100,H307*AF307))-Tabela1[[#This Row],[PRONTO ACABADO2]]</f>
        <v>0</v>
      </c>
      <c r="AT307" s="37">
        <f ca="1">IF(AG307="",0,IF(ISTEXT(AG307),H307*VALUE(SUBSTITUTE(AG307,"%",""))/100,H307*AG307))-Tabela1[[#This Row],[PESO EXPEDIDO2]]</f>
        <v>0</v>
      </c>
      <c r="AU307" s="37">
        <f t="shared" ca="1" si="62"/>
        <v>34.200000000000003</v>
      </c>
      <c r="AV307" s="37">
        <f t="shared" ca="1" si="63"/>
        <v>34.200000000000003</v>
      </c>
      <c r="AW307" s="37"/>
    </row>
    <row r="308" spans="1:49" ht="15.75" hidden="1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 ca="1"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 ca="1">Tabela1[[#This Row],[QTDE/ Fabricação]]-Tabela1[[#This Row],[QTE]]</f>
        <v>-4</v>
      </c>
      <c r="R308" s="18">
        <f t="shared" ca="1" si="59"/>
        <v>52.4</v>
      </c>
      <c r="S308" s="18">
        <f t="shared" ca="1" si="57"/>
        <v>52.4</v>
      </c>
      <c r="T308" s="19">
        <f t="shared" ca="1" si="60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 ca="1">IFERROR(VLOOKUP(Tabela1[[#This Row],[COD.MDE]],'LISTA DE EMBARQUE'!B:M,12,0),"")</f>
        <v/>
      </c>
      <c r="X308" s="14">
        <f ca="1">IFERROR(Tabela1[[#This Row],[QIANTIDADE EXPEDIDA]]*Tabela1[[#This Row],[PESO UNI]],"")</f>
        <v>52.4</v>
      </c>
      <c r="Y308" s="14">
        <f t="shared" ref="Y308:Y354" ca="1" si="64">U308-C308</f>
        <v>0</v>
      </c>
      <c r="Z308" s="20">
        <f ca="1"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ca="1" si="61"/>
        <v>ok</v>
      </c>
      <c r="AJ308" s="5"/>
      <c r="AK308" t="str">
        <f ca="1">Tabela1[[#This Row],[Coluna1]]&amp;Tabela1[[#This Row],[PEDIDO]]</f>
        <v>P-188</v>
      </c>
      <c r="AL308"/>
      <c r="AM308"/>
      <c r="AN308"/>
      <c r="AO308" t="str">
        <f t="shared" ca="1" si="58"/>
        <v>T-072928-1/1073-TC-006</v>
      </c>
      <c r="AP308" t="str">
        <f ca="1">Tabela1[[#This Row],[TAG]]&amp;Tabela1[[#This Row],[PEDIDO]]&amp;Tabela1[[#This Row],[PRODUTO]]</f>
        <v>1073-TC-006P-188RMF</v>
      </c>
      <c r="AQ308" s="22" t="str">
        <f ca="1">Tabela1[[#This Row],[PRODUTO]]&amp;Tabela1[[#This Row],[TAG]]</f>
        <v>RMF1073-TC-006</v>
      </c>
      <c r="AR308" s="24" t="str">
        <f ca="1">Tabela1[[#This Row],[PEDIDO]]&amp;Tabela1[[#This Row],[PRODUTO]]</f>
        <v>P-188RMF</v>
      </c>
      <c r="AS308" s="37">
        <f ca="1">IF(AF308="",0,IF(ISTEXT(AF308),H308*VALUE(SUBSTITUTE(AF308,"%",""))/100,H308*AF308))-Tabela1[[#This Row],[PRONTO ACABADO2]]</f>
        <v>0</v>
      </c>
      <c r="AT308" s="37">
        <f ca="1">IF(AG308="",0,IF(ISTEXT(AG308),H308*VALUE(SUBSTITUTE(AG308,"%",""))/100,H308*AG308))-Tabela1[[#This Row],[PESO EXPEDIDO2]]</f>
        <v>0</v>
      </c>
      <c r="AU308" s="37">
        <f t="shared" ca="1" si="62"/>
        <v>52.4</v>
      </c>
      <c r="AV308" s="37">
        <f t="shared" ca="1" si="63"/>
        <v>52.4</v>
      </c>
      <c r="AW308" s="37"/>
    </row>
    <row r="309" spans="1:49" ht="15.75" hidden="1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 ca="1"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 ca="1">Tabela1[[#This Row],[QTDE/ Fabricação]]-Tabela1[[#This Row],[QTE]]</f>
        <v>-76</v>
      </c>
      <c r="R309" s="18">
        <f t="shared" ca="1" si="59"/>
        <v>106.39999999999999</v>
      </c>
      <c r="S309" s="18">
        <f t="shared" ref="S309:S372" ca="1" si="65">IFERROR(H309*AG309,"")</f>
        <v>106.39999999999999</v>
      </c>
      <c r="T309" s="19">
        <f t="shared" ca="1" si="60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 ca="1">IFERROR(Tabela1[[#This Row],[QIANTIDADE EXPEDIDA]]*Tabela1[[#This Row],[PESO UNI]],"")</f>
        <v>106.39999999999999</v>
      </c>
      <c r="Y309" s="14">
        <f t="shared" ca="1" si="64"/>
        <v>0</v>
      </c>
      <c r="Z309" s="20">
        <f ca="1"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ca="1" si="61"/>
        <v>ok</v>
      </c>
      <c r="AJ309" s="5"/>
      <c r="AK309" t="str">
        <f ca="1">Tabela1[[#This Row],[Coluna1]]&amp;Tabela1[[#This Row],[PEDIDO]]</f>
        <v>P-188</v>
      </c>
      <c r="AL309"/>
      <c r="AM309"/>
      <c r="AN309"/>
      <c r="AO309" t="str">
        <f t="shared" ca="1" si="58"/>
        <v>T-072928-1/1073-TC-007</v>
      </c>
      <c r="AP309" t="str">
        <f ca="1">Tabela1[[#This Row],[TAG]]&amp;Tabela1[[#This Row],[PEDIDO]]&amp;Tabela1[[#This Row],[PRODUTO]]</f>
        <v>1073-TC-007P-188RMF</v>
      </c>
      <c r="AQ309" s="22" t="str">
        <f ca="1">Tabela1[[#This Row],[PRODUTO]]&amp;Tabela1[[#This Row],[TAG]]</f>
        <v>RMF1073-TC-007</v>
      </c>
      <c r="AR309" s="24" t="str">
        <f ca="1">Tabela1[[#This Row],[PEDIDO]]&amp;Tabela1[[#This Row],[PRODUTO]]</f>
        <v>P-188RMF</v>
      </c>
      <c r="AS309" s="37">
        <f ca="1">IF(AF309="",0,IF(ISTEXT(AF309),H309*VALUE(SUBSTITUTE(AF309,"%",""))/100,H309*AF309))-Tabela1[[#This Row],[PRONTO ACABADO2]]</f>
        <v>0</v>
      </c>
      <c r="AT309" s="37">
        <f ca="1">IF(AG309="",0,IF(ISTEXT(AG309),H309*VALUE(SUBSTITUTE(AG309,"%",""))/100,H309*AG309))-Tabela1[[#This Row],[PESO EXPEDIDO2]]</f>
        <v>0</v>
      </c>
      <c r="AU309" s="37">
        <f t="shared" ca="1" si="62"/>
        <v>106.39999999999999</v>
      </c>
      <c r="AV309" s="37">
        <f t="shared" ca="1" si="63"/>
        <v>106.39999999999999</v>
      </c>
      <c r="AW309" s="37"/>
    </row>
    <row r="310" spans="1:49" ht="15.75" hidden="1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 ca="1"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 ca="1">Tabela1[[#This Row],[QTDE/ Fabricação]]-Tabela1[[#This Row],[QTE]]</f>
        <v>-8</v>
      </c>
      <c r="R310" s="18">
        <f t="shared" ca="1" si="59"/>
        <v>19.2</v>
      </c>
      <c r="S310" s="18">
        <f t="shared" ca="1" si="65"/>
        <v>19.2</v>
      </c>
      <c r="T310" s="19">
        <f t="shared" ca="1" si="60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 ca="1">IFERROR(Tabela1[[#This Row],[QIANTIDADE EXPEDIDA]]*Tabela1[[#This Row],[PESO UNI]],"")</f>
        <v>19.2</v>
      </c>
      <c r="Y310" s="14">
        <f t="shared" ca="1" si="64"/>
        <v>0</v>
      </c>
      <c r="Z310" s="20">
        <f ca="1"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ca="1" si="61"/>
        <v>ok</v>
      </c>
      <c r="AJ310" s="5"/>
      <c r="AK310" t="str">
        <f ca="1">Tabela1[[#This Row],[Coluna1]]&amp;Tabela1[[#This Row],[PEDIDO]]</f>
        <v>P-188</v>
      </c>
      <c r="AL310"/>
      <c r="AM310"/>
      <c r="AN310"/>
      <c r="AO310" t="str">
        <f t="shared" ca="1" si="58"/>
        <v>T-072928-1/1073-TC-007</v>
      </c>
      <c r="AP310" t="str">
        <f ca="1">Tabela1[[#This Row],[TAG]]&amp;Tabela1[[#This Row],[PEDIDO]]&amp;Tabela1[[#This Row],[PRODUTO]]</f>
        <v>1073-TC-007P-188RMF</v>
      </c>
      <c r="AQ310" s="22" t="str">
        <f ca="1">Tabela1[[#This Row],[PRODUTO]]&amp;Tabela1[[#This Row],[TAG]]</f>
        <v>RMF1073-TC-007</v>
      </c>
      <c r="AR310" s="24" t="str">
        <f ca="1">Tabela1[[#This Row],[PEDIDO]]&amp;Tabela1[[#This Row],[PRODUTO]]</f>
        <v>P-188RMF</v>
      </c>
      <c r="AS310" s="37">
        <f ca="1">IF(AF310="",0,IF(ISTEXT(AF310),H310*VALUE(SUBSTITUTE(AF310,"%",""))/100,H310*AF310))-Tabela1[[#This Row],[PRONTO ACABADO2]]</f>
        <v>0</v>
      </c>
      <c r="AT310" s="37">
        <f ca="1">IF(AG310="",0,IF(ISTEXT(AG310),H310*VALUE(SUBSTITUTE(AG310,"%",""))/100,H310*AG310))-Tabela1[[#This Row],[PESO EXPEDIDO2]]</f>
        <v>0</v>
      </c>
      <c r="AU310" s="37">
        <f t="shared" ca="1" si="62"/>
        <v>19.2</v>
      </c>
      <c r="AV310" s="37">
        <f t="shared" ca="1" si="63"/>
        <v>19.2</v>
      </c>
      <c r="AW310" s="37"/>
    </row>
    <row r="311" spans="1:49" ht="15.75" hidden="1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 ca="1"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 ca="1">Tabela1[[#This Row],[QTDE/ Fabricação]]-Tabela1[[#This Row],[QTE]]</f>
        <v>-2</v>
      </c>
      <c r="R311" s="18">
        <f t="shared" ca="1" si="59"/>
        <v>34.6</v>
      </c>
      <c r="S311" s="18">
        <f t="shared" ca="1" si="65"/>
        <v>34.6</v>
      </c>
      <c r="T311" s="19">
        <f t="shared" ca="1" si="60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 ca="1">IFERROR(Tabela1[[#This Row],[QIANTIDADE EXPEDIDA]]*Tabela1[[#This Row],[PESO UNI]],"")</f>
        <v>34.6</v>
      </c>
      <c r="Y311" s="14">
        <f t="shared" ca="1" si="64"/>
        <v>0</v>
      </c>
      <c r="Z311" s="20">
        <f ca="1"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ca="1" si="61"/>
        <v>ok</v>
      </c>
      <c r="AJ311" s="5"/>
      <c r="AK311" t="str">
        <f ca="1">Tabela1[[#This Row],[Coluna1]]&amp;Tabela1[[#This Row],[PEDIDO]]</f>
        <v>P-188</v>
      </c>
      <c r="AL311"/>
      <c r="AM311"/>
      <c r="AN311"/>
      <c r="AO311" t="str">
        <f t="shared" ca="1" si="58"/>
        <v>T-072928-1/1073-TC-007</v>
      </c>
      <c r="AP311" t="str">
        <f ca="1">Tabela1[[#This Row],[TAG]]&amp;Tabela1[[#This Row],[PEDIDO]]&amp;Tabela1[[#This Row],[PRODUTO]]</f>
        <v>1073-TC-007P-188RMF</v>
      </c>
      <c r="AQ311" s="22" t="str">
        <f ca="1">Tabela1[[#This Row],[PRODUTO]]&amp;Tabela1[[#This Row],[TAG]]</f>
        <v>RMF1073-TC-007</v>
      </c>
      <c r="AR311" s="24" t="str">
        <f ca="1">Tabela1[[#This Row],[PEDIDO]]&amp;Tabela1[[#This Row],[PRODUTO]]</f>
        <v>P-188RMF</v>
      </c>
      <c r="AS311" s="37">
        <f ca="1">IF(AF311="",0,IF(ISTEXT(AF311),H311*VALUE(SUBSTITUTE(AF311,"%",""))/100,H311*AF311))-Tabela1[[#This Row],[PRONTO ACABADO2]]</f>
        <v>0</v>
      </c>
      <c r="AT311" s="37">
        <f ca="1">IF(AG311="",0,IF(ISTEXT(AG311),H311*VALUE(SUBSTITUTE(AG311,"%",""))/100,H311*AG311))-Tabela1[[#This Row],[PESO EXPEDIDO2]]</f>
        <v>0</v>
      </c>
      <c r="AU311" s="37">
        <f t="shared" ca="1" si="62"/>
        <v>34.6</v>
      </c>
      <c r="AV311" s="37">
        <f t="shared" ca="1" si="63"/>
        <v>34.6</v>
      </c>
      <c r="AW311" s="37"/>
    </row>
    <row r="312" spans="1:49" ht="15.75" hidden="1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 ca="1"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 ca="1">Tabela1[[#This Row],[QTDE/ Fabricação]]-Tabela1[[#This Row],[QTE]]</f>
        <v>-4</v>
      </c>
      <c r="R312" s="18">
        <f t="shared" ca="1" si="59"/>
        <v>91.2</v>
      </c>
      <c r="S312" s="18">
        <f t="shared" ca="1" si="65"/>
        <v>91.2</v>
      </c>
      <c r="T312" s="19">
        <f t="shared" ca="1" si="60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 ca="1">IFERROR(VLOOKUP(Tabela1[[#This Row],[COD.MDE]],'LISTA DE EMBARQUE'!B:M,12,0),"")</f>
        <v/>
      </c>
      <c r="X312" s="14">
        <f ca="1">IFERROR(Tabela1[[#This Row],[QIANTIDADE EXPEDIDA]]*Tabela1[[#This Row],[PESO UNI]],"")</f>
        <v>91.2</v>
      </c>
      <c r="Y312" s="14">
        <f t="shared" ca="1" si="64"/>
        <v>0</v>
      </c>
      <c r="Z312" s="20">
        <f ca="1"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ca="1" si="61"/>
        <v>ok</v>
      </c>
      <c r="AJ312" s="5"/>
      <c r="AK312" t="str">
        <f ca="1">Tabela1[[#This Row],[Coluna1]]&amp;Tabela1[[#This Row],[PEDIDO]]</f>
        <v>P-188</v>
      </c>
      <c r="AL312"/>
      <c r="AM312"/>
      <c r="AN312"/>
      <c r="AO312" t="str">
        <f t="shared" ca="1" si="58"/>
        <v>T-072928-1/1073-TC-007</v>
      </c>
      <c r="AP312" t="str">
        <f ca="1">Tabela1[[#This Row],[TAG]]&amp;Tabela1[[#This Row],[PEDIDO]]&amp;Tabela1[[#This Row],[PRODUTO]]</f>
        <v>1073-TC-007P-188RMF</v>
      </c>
      <c r="AQ312" s="22" t="str">
        <f ca="1">Tabela1[[#This Row],[PRODUTO]]&amp;Tabela1[[#This Row],[TAG]]</f>
        <v>RMF1073-TC-007</v>
      </c>
      <c r="AR312" s="24" t="str">
        <f ca="1">Tabela1[[#This Row],[PEDIDO]]&amp;Tabela1[[#This Row],[PRODUTO]]</f>
        <v>P-188RMF</v>
      </c>
      <c r="AS312" s="37">
        <f ca="1">IF(AF312="",0,IF(ISTEXT(AF312),H312*VALUE(SUBSTITUTE(AF312,"%",""))/100,H312*AF312))-Tabela1[[#This Row],[PRONTO ACABADO2]]</f>
        <v>0</v>
      </c>
      <c r="AT312" s="37">
        <f ca="1">IF(AG312="",0,IF(ISTEXT(AG312),H312*VALUE(SUBSTITUTE(AG312,"%",""))/100,H312*AG312))-Tabela1[[#This Row],[PESO EXPEDIDO2]]</f>
        <v>0</v>
      </c>
      <c r="AU312" s="37">
        <f t="shared" ca="1" si="62"/>
        <v>91.2</v>
      </c>
      <c r="AV312" s="37">
        <f t="shared" ca="1" si="63"/>
        <v>91.2</v>
      </c>
      <c r="AW312" s="37"/>
    </row>
    <row r="313" spans="1:49" ht="15.75" hidden="1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 ca="1"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 ca="1">Tabela1[[#This Row],[QTDE/ Fabricação]]-Tabela1[[#This Row],[QTE]]</f>
        <v>-2</v>
      </c>
      <c r="R313" s="18">
        <f t="shared" ca="1" si="59"/>
        <v>34.200000000000003</v>
      </c>
      <c r="S313" s="18">
        <f t="shared" ca="1" si="65"/>
        <v>34.200000000000003</v>
      </c>
      <c r="T313" s="19">
        <f t="shared" ca="1" si="60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 ca="1">IFERROR(Tabela1[[#This Row],[QIANTIDADE EXPEDIDA]]*Tabela1[[#This Row],[PESO UNI]],"")</f>
        <v>34.200000000000003</v>
      </c>
      <c r="Y313" s="14">
        <f t="shared" ca="1" si="64"/>
        <v>0</v>
      </c>
      <c r="Z313" s="20">
        <f ca="1"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ca="1" si="61"/>
        <v>ok</v>
      </c>
      <c r="AJ313" s="5"/>
      <c r="AK313" t="str">
        <f ca="1">Tabela1[[#This Row],[Coluna1]]&amp;Tabela1[[#This Row],[PEDIDO]]</f>
        <v>P-188</v>
      </c>
      <c r="AL313"/>
      <c r="AM313"/>
      <c r="AN313"/>
      <c r="AO313" t="str">
        <f t="shared" ca="1" si="58"/>
        <v>T-072928-1/1073-TC-007</v>
      </c>
      <c r="AP313" t="str">
        <f ca="1">Tabela1[[#This Row],[TAG]]&amp;Tabela1[[#This Row],[PEDIDO]]&amp;Tabela1[[#This Row],[PRODUTO]]</f>
        <v>1073-TC-007P-188RMF</v>
      </c>
      <c r="AQ313" s="22" t="str">
        <f ca="1">Tabela1[[#This Row],[PRODUTO]]&amp;Tabela1[[#This Row],[TAG]]</f>
        <v>RMF1073-TC-007</v>
      </c>
      <c r="AR313" s="24" t="str">
        <f ca="1">Tabela1[[#This Row],[PEDIDO]]&amp;Tabela1[[#This Row],[PRODUTO]]</f>
        <v>P-188RMF</v>
      </c>
      <c r="AS313" s="37">
        <f ca="1">IF(AF313="",0,IF(ISTEXT(AF313),H313*VALUE(SUBSTITUTE(AF313,"%",""))/100,H313*AF313))-Tabela1[[#This Row],[PRONTO ACABADO2]]</f>
        <v>0</v>
      </c>
      <c r="AT313" s="37">
        <f ca="1">IF(AG313="",0,IF(ISTEXT(AG313),H313*VALUE(SUBSTITUTE(AG313,"%",""))/100,H313*AG313))-Tabela1[[#This Row],[PESO EXPEDIDO2]]</f>
        <v>0</v>
      </c>
      <c r="AU313" s="37">
        <f t="shared" ca="1" si="62"/>
        <v>34.200000000000003</v>
      </c>
      <c r="AV313" s="37">
        <f t="shared" ca="1" si="63"/>
        <v>34.200000000000003</v>
      </c>
      <c r="AW313" s="37"/>
    </row>
    <row r="314" spans="1:49" ht="15.75" hidden="1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 ca="1"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 ca="1">Tabela1[[#This Row],[QTDE/ Fabricação]]-Tabela1[[#This Row],[QTE]]</f>
        <v>-4</v>
      </c>
      <c r="R314" s="18">
        <f t="shared" ca="1" si="59"/>
        <v>52.4</v>
      </c>
      <c r="S314" s="18">
        <f t="shared" ca="1" si="65"/>
        <v>52.4</v>
      </c>
      <c r="T314" s="19">
        <f t="shared" ca="1" si="60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 ca="1">IFERROR(Tabela1[[#This Row],[QIANTIDADE EXPEDIDA]]*Tabela1[[#This Row],[PESO UNI]],"")</f>
        <v>52.4</v>
      </c>
      <c r="Y314" s="14">
        <f t="shared" ca="1" si="64"/>
        <v>0</v>
      </c>
      <c r="Z314" s="20">
        <f ca="1"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ca="1" si="61"/>
        <v>ok</v>
      </c>
      <c r="AJ314" s="5"/>
      <c r="AK314" t="str">
        <f ca="1">Tabela1[[#This Row],[Coluna1]]&amp;Tabela1[[#This Row],[PEDIDO]]</f>
        <v>P-188</v>
      </c>
      <c r="AL314"/>
      <c r="AM314"/>
      <c r="AN314"/>
      <c r="AO314" t="str">
        <f t="shared" ca="1" si="58"/>
        <v>T-072928-1/1073-TC-007</v>
      </c>
      <c r="AP314" t="str">
        <f ca="1">Tabela1[[#This Row],[TAG]]&amp;Tabela1[[#This Row],[PEDIDO]]&amp;Tabela1[[#This Row],[PRODUTO]]</f>
        <v>1073-TC-007P-188RMF</v>
      </c>
      <c r="AQ314" s="22" t="str">
        <f ca="1">Tabela1[[#This Row],[PRODUTO]]&amp;Tabela1[[#This Row],[TAG]]</f>
        <v>RMF1073-TC-007</v>
      </c>
      <c r="AR314" s="24" t="str">
        <f ca="1">Tabela1[[#This Row],[PEDIDO]]&amp;Tabela1[[#This Row],[PRODUTO]]</f>
        <v>P-188RMF</v>
      </c>
      <c r="AS314" s="37">
        <f ca="1">IF(AF314="",0,IF(ISTEXT(AF314),H314*VALUE(SUBSTITUTE(AF314,"%",""))/100,H314*AF314))-Tabela1[[#This Row],[PRONTO ACABADO2]]</f>
        <v>0</v>
      </c>
      <c r="AT314" s="37">
        <f ca="1">IF(AG314="",0,IF(ISTEXT(AG314),H314*VALUE(SUBSTITUTE(AG314,"%",""))/100,H314*AG314))-Tabela1[[#This Row],[PESO EXPEDIDO2]]</f>
        <v>0</v>
      </c>
      <c r="AU314" s="37">
        <f t="shared" ca="1" si="62"/>
        <v>52.4</v>
      </c>
      <c r="AV314" s="37">
        <f t="shared" ca="1" si="63"/>
        <v>52.4</v>
      </c>
      <c r="AW314" s="37"/>
    </row>
    <row r="315" spans="1:49" ht="15.75" hidden="1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 ca="1"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 ca="1">Tabela1[[#This Row],[QTDE/ Fabricação]]-Tabela1[[#This Row],[QTE]]</f>
        <v>-1</v>
      </c>
      <c r="R315" s="18">
        <f t="shared" ca="1" si="59"/>
        <v>96.4</v>
      </c>
      <c r="S315" s="18">
        <f t="shared" ca="1" si="65"/>
        <v>96.4</v>
      </c>
      <c r="T315" s="19">
        <f t="shared" ca="1" si="60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 ca="1">IFERROR(Tabela1[[#This Row],[QIANTIDADE EXPEDIDA]]*Tabela1[[#This Row],[PESO UNI]],"")</f>
        <v>96.4</v>
      </c>
      <c r="Y315" s="14">
        <f t="shared" ca="1" si="64"/>
        <v>0</v>
      </c>
      <c r="Z315" s="20">
        <f ca="1"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ca="1" si="61"/>
        <v>ok</v>
      </c>
      <c r="AJ315" s="5"/>
      <c r="AK315" t="str">
        <f ca="1">Tabela1[[#This Row],[Coluna1]]&amp;Tabela1[[#This Row],[PEDIDO]]</f>
        <v>P-188</v>
      </c>
      <c r="AL315"/>
      <c r="AM315"/>
      <c r="AN315"/>
      <c r="AO315" t="str">
        <f t="shared" ca="1" si="58"/>
        <v>T-072989-1/1073-TC-006</v>
      </c>
      <c r="AP315" t="str">
        <f ca="1">Tabela1[[#This Row],[TAG]]&amp;Tabela1[[#This Row],[PEDIDO]]&amp;Tabela1[[#This Row],[PRODUTO]]</f>
        <v>1073-TC-006P-188RMF</v>
      </c>
      <c r="AQ315" s="22" t="str">
        <f ca="1">Tabela1[[#This Row],[PRODUTO]]&amp;Tabela1[[#This Row],[TAG]]</f>
        <v>RMF1073-TC-006</v>
      </c>
      <c r="AR315" s="24" t="str">
        <f ca="1">Tabela1[[#This Row],[PEDIDO]]&amp;Tabela1[[#This Row],[PRODUTO]]</f>
        <v>P-188RMF</v>
      </c>
      <c r="AS315" s="37">
        <f ca="1">IF(AF315="",0,IF(ISTEXT(AF315),H315*VALUE(SUBSTITUTE(AF315,"%",""))/100,H315*AF315))-Tabela1[[#This Row],[PRONTO ACABADO2]]</f>
        <v>0</v>
      </c>
      <c r="AT315" s="37">
        <f ca="1">IF(AG315="",0,IF(ISTEXT(AG315),H315*VALUE(SUBSTITUTE(AG315,"%",""))/100,H315*AG315))-Tabela1[[#This Row],[PESO EXPEDIDO2]]</f>
        <v>0</v>
      </c>
      <c r="AU315" s="37">
        <f t="shared" ca="1" si="62"/>
        <v>96.4</v>
      </c>
      <c r="AV315" s="37">
        <f t="shared" ca="1" si="63"/>
        <v>96.4</v>
      </c>
      <c r="AW315" s="37"/>
    </row>
    <row r="316" spans="1:49" ht="15.75" hidden="1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 ca="1"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 ca="1">Tabela1[[#This Row],[QTDE/ Fabricação]]-Tabela1[[#This Row],[QTE]]</f>
        <v>-1</v>
      </c>
      <c r="R316" s="18">
        <f t="shared" ca="1" si="59"/>
        <v>25.2</v>
      </c>
      <c r="S316" s="18">
        <f t="shared" ca="1" si="65"/>
        <v>25.2</v>
      </c>
      <c r="T316" s="19">
        <f t="shared" ca="1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 ca="1">IFERROR(Tabela1[[#This Row],[QIANTIDADE EXPEDIDA]]*Tabela1[[#This Row],[PESO UNI]],"")</f>
        <v>25.2</v>
      </c>
      <c r="Y316" s="14">
        <f t="shared" ca="1" si="64"/>
        <v>0</v>
      </c>
      <c r="Z316" s="20">
        <f ca="1"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ca="1" si="61"/>
        <v>ok</v>
      </c>
      <c r="AJ316" s="5"/>
      <c r="AK316" t="str">
        <f ca="1">Tabela1[[#This Row],[Coluna1]]&amp;Tabela1[[#This Row],[PEDIDO]]</f>
        <v>P-188</v>
      </c>
      <c r="AL316"/>
      <c r="AM316"/>
      <c r="AN316"/>
      <c r="AO316" t="str">
        <f t="shared" ca="1" si="58"/>
        <v>T-072989-1/1073-TC-006</v>
      </c>
      <c r="AP316" t="str">
        <f ca="1">Tabela1[[#This Row],[TAG]]&amp;Tabela1[[#This Row],[PEDIDO]]&amp;Tabela1[[#This Row],[PRODUTO]]</f>
        <v>1073-TC-006P-188RMF</v>
      </c>
      <c r="AQ316" s="22" t="str">
        <f ca="1">Tabela1[[#This Row],[PRODUTO]]&amp;Tabela1[[#This Row],[TAG]]</f>
        <v>RMF1073-TC-006</v>
      </c>
      <c r="AR316" s="24" t="str">
        <f ca="1">Tabela1[[#This Row],[PEDIDO]]&amp;Tabela1[[#This Row],[PRODUTO]]</f>
        <v>P-188RMF</v>
      </c>
      <c r="AS316" s="37">
        <f ca="1">IF(AF316="",0,IF(ISTEXT(AF316),H316*VALUE(SUBSTITUTE(AF316,"%",""))/100,H316*AF316))-Tabela1[[#This Row],[PRONTO ACABADO2]]</f>
        <v>0</v>
      </c>
      <c r="AT316" s="37">
        <f ca="1">IF(AG316="",0,IF(ISTEXT(AG316),H316*VALUE(SUBSTITUTE(AG316,"%",""))/100,H316*AG316))-Tabela1[[#This Row],[PESO EXPEDIDO2]]</f>
        <v>0</v>
      </c>
      <c r="AU316" s="37">
        <f t="shared" ca="1" si="62"/>
        <v>25.2</v>
      </c>
      <c r="AV316" s="37">
        <f t="shared" ca="1" si="63"/>
        <v>25.2</v>
      </c>
      <c r="AW316" s="37"/>
    </row>
    <row r="317" spans="1:49" ht="15.75" hidden="1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 ca="1"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 ca="1">Tabela1[[#This Row],[QTDE/ Fabricação]]-Tabela1[[#This Row],[QTE]]</f>
        <v>-2</v>
      </c>
      <c r="R317" s="18">
        <f t="shared" ca="1" si="59"/>
        <v>4</v>
      </c>
      <c r="S317" s="18">
        <f t="shared" ca="1" si="65"/>
        <v>4</v>
      </c>
      <c r="T317" s="19">
        <f t="shared" ca="1" si="60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 ca="1">IFERROR(Tabela1[[#This Row],[QIANTIDADE EXPEDIDA]]*Tabela1[[#This Row],[PESO UNI]],"")</f>
        <v>4</v>
      </c>
      <c r="Y317" s="14">
        <f t="shared" ca="1" si="64"/>
        <v>0</v>
      </c>
      <c r="Z317" s="20">
        <f ca="1"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ca="1" si="61"/>
        <v>ok</v>
      </c>
      <c r="AJ317" s="5"/>
      <c r="AK317" t="str">
        <f ca="1">Tabela1[[#This Row],[Coluna1]]&amp;Tabela1[[#This Row],[PEDIDO]]</f>
        <v>P-188</v>
      </c>
      <c r="AL317"/>
      <c r="AM317"/>
      <c r="AN317"/>
      <c r="AO317" t="str">
        <f t="shared" ca="1" si="58"/>
        <v>T-072989-1/1073-TC-006</v>
      </c>
      <c r="AP317" t="str">
        <f ca="1">Tabela1[[#This Row],[TAG]]&amp;Tabela1[[#This Row],[PEDIDO]]&amp;Tabela1[[#This Row],[PRODUTO]]</f>
        <v>1073-TC-006P-188RMF</v>
      </c>
      <c r="AQ317" s="22" t="str">
        <f ca="1">Tabela1[[#This Row],[PRODUTO]]&amp;Tabela1[[#This Row],[TAG]]</f>
        <v>RMF1073-TC-006</v>
      </c>
      <c r="AR317" s="24" t="str">
        <f ca="1">Tabela1[[#This Row],[PEDIDO]]&amp;Tabela1[[#This Row],[PRODUTO]]</f>
        <v>P-188RMF</v>
      </c>
      <c r="AS317" s="37">
        <f ca="1">IF(AF317="",0,IF(ISTEXT(AF317),H317*VALUE(SUBSTITUTE(AF317,"%",""))/100,H317*AF317))-Tabela1[[#This Row],[PRONTO ACABADO2]]</f>
        <v>0</v>
      </c>
      <c r="AT317" s="37">
        <f ca="1">IF(AG317="",0,IF(ISTEXT(AG317),H317*VALUE(SUBSTITUTE(AG317,"%",""))/100,H317*AG317))-Tabela1[[#This Row],[PESO EXPEDIDO2]]</f>
        <v>0</v>
      </c>
      <c r="AU317" s="37">
        <f t="shared" ca="1" si="62"/>
        <v>4</v>
      </c>
      <c r="AV317" s="37">
        <f t="shared" ca="1" si="63"/>
        <v>4</v>
      </c>
      <c r="AW317" s="37"/>
    </row>
    <row r="318" spans="1:49" ht="15.75" hidden="1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 ca="1"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 ca="1">Tabela1[[#This Row],[QTDE/ Fabricação]]-Tabela1[[#This Row],[QTE]]</f>
        <v>-1</v>
      </c>
      <c r="R318" s="18">
        <f t="shared" ca="1" si="59"/>
        <v>96.4</v>
      </c>
      <c r="S318" s="18">
        <f t="shared" ca="1" si="65"/>
        <v>96.4</v>
      </c>
      <c r="T318" s="19">
        <f t="shared" ca="1" si="60"/>
        <v>0</v>
      </c>
      <c r="U318" s="16">
        <v>1</v>
      </c>
      <c r="V318" s="12">
        <v>13</v>
      </c>
      <c r="W318" s="13" t="str">
        <f ca="1">IFERROR(VLOOKUP(Tabela1[[#This Row],[COD.MDE]],'LISTA DE EMBARQUE'!B:M,12,0),"")</f>
        <v/>
      </c>
      <c r="X318" s="14">
        <f ca="1">IFERROR(Tabela1[[#This Row],[QIANTIDADE EXPEDIDA]]*Tabela1[[#This Row],[PESO UNI]],"")</f>
        <v>96.4</v>
      </c>
      <c r="Y318" s="14">
        <f t="shared" ca="1" si="64"/>
        <v>0</v>
      </c>
      <c r="Z318" s="20">
        <f ca="1"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ca="1" si="61"/>
        <v>ok</v>
      </c>
      <c r="AJ318" s="5"/>
      <c r="AK318" t="str">
        <f ca="1">Tabela1[[#This Row],[Coluna1]]&amp;Tabela1[[#This Row],[PEDIDO]]</f>
        <v>P-188</v>
      </c>
      <c r="AL318"/>
      <c r="AM318"/>
      <c r="AN318"/>
      <c r="AO318" t="str">
        <f t="shared" ca="1" si="58"/>
        <v>T-072989-1/1073-TC-007</v>
      </c>
      <c r="AP318" t="str">
        <f ca="1">Tabela1[[#This Row],[TAG]]&amp;Tabela1[[#This Row],[PEDIDO]]&amp;Tabela1[[#This Row],[PRODUTO]]</f>
        <v>1073-TC-007P-188RMF</v>
      </c>
      <c r="AQ318" s="22" t="str">
        <f ca="1">Tabela1[[#This Row],[PRODUTO]]&amp;Tabela1[[#This Row],[TAG]]</f>
        <v>RMF1073-TC-007</v>
      </c>
      <c r="AR318" s="24" t="str">
        <f ca="1">Tabela1[[#This Row],[PEDIDO]]&amp;Tabela1[[#This Row],[PRODUTO]]</f>
        <v>P-188RMF</v>
      </c>
      <c r="AS318" s="37">
        <f ca="1">IF(AF318="",0,IF(ISTEXT(AF318),H318*VALUE(SUBSTITUTE(AF318,"%",""))/100,H318*AF318))-Tabela1[[#This Row],[PRONTO ACABADO2]]</f>
        <v>0</v>
      </c>
      <c r="AT318" s="37">
        <f ca="1">IF(AG318="",0,IF(ISTEXT(AG318),H318*VALUE(SUBSTITUTE(AG318,"%",""))/100,H318*AG318))-Tabela1[[#This Row],[PESO EXPEDIDO2]]</f>
        <v>0</v>
      </c>
      <c r="AU318" s="37">
        <f t="shared" ca="1" si="62"/>
        <v>96.4</v>
      </c>
      <c r="AV318" s="37">
        <f t="shared" ca="1" si="63"/>
        <v>96.4</v>
      </c>
      <c r="AW318" s="37"/>
    </row>
    <row r="319" spans="1:49" ht="15.75" hidden="1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 ca="1"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 ca="1">Tabela1[[#This Row],[QTDE/ Fabricação]]-Tabela1[[#This Row],[QTE]]</f>
        <v>-1</v>
      </c>
      <c r="R319" s="18">
        <f t="shared" ca="1" si="59"/>
        <v>25.2</v>
      </c>
      <c r="S319" s="18">
        <f t="shared" ca="1" si="65"/>
        <v>25.2</v>
      </c>
      <c r="T319" s="19">
        <f t="shared" ca="1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 ca="1">IFERROR(Tabela1[[#This Row],[QIANTIDADE EXPEDIDA]]*Tabela1[[#This Row],[PESO UNI]],"")</f>
        <v>25.2</v>
      </c>
      <c r="Y319" s="14">
        <f t="shared" ca="1" si="64"/>
        <v>0</v>
      </c>
      <c r="Z319" s="20">
        <f ca="1"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ca="1" si="61"/>
        <v>ok</v>
      </c>
      <c r="AJ319" s="5"/>
      <c r="AK319" t="str">
        <f ca="1">Tabela1[[#This Row],[Coluna1]]&amp;Tabela1[[#This Row],[PEDIDO]]</f>
        <v>P-188</v>
      </c>
      <c r="AL319"/>
      <c r="AM319"/>
      <c r="AN319"/>
      <c r="AO319" t="str">
        <f t="shared" ca="1" si="58"/>
        <v>T-072989-1/1073-TC-007</v>
      </c>
      <c r="AP319" t="str">
        <f ca="1">Tabela1[[#This Row],[TAG]]&amp;Tabela1[[#This Row],[PEDIDO]]&amp;Tabela1[[#This Row],[PRODUTO]]</f>
        <v>1073-TC-007P-188RMF</v>
      </c>
      <c r="AQ319" s="22" t="str">
        <f ca="1">Tabela1[[#This Row],[PRODUTO]]&amp;Tabela1[[#This Row],[TAG]]</f>
        <v>RMF1073-TC-007</v>
      </c>
      <c r="AR319" s="24" t="str">
        <f ca="1">Tabela1[[#This Row],[PEDIDO]]&amp;Tabela1[[#This Row],[PRODUTO]]</f>
        <v>P-188RMF</v>
      </c>
      <c r="AS319" s="37">
        <f ca="1">IF(AF319="",0,IF(ISTEXT(AF319),H319*VALUE(SUBSTITUTE(AF319,"%",""))/100,H319*AF319))-Tabela1[[#This Row],[PRONTO ACABADO2]]</f>
        <v>0</v>
      </c>
      <c r="AT319" s="37">
        <f ca="1">IF(AG319="",0,IF(ISTEXT(AG319),H319*VALUE(SUBSTITUTE(AG319,"%",""))/100,H319*AG319))-Tabela1[[#This Row],[PESO EXPEDIDO2]]</f>
        <v>0</v>
      </c>
      <c r="AU319" s="37">
        <f t="shared" ca="1" si="62"/>
        <v>25.2</v>
      </c>
      <c r="AV319" s="37">
        <f t="shared" ca="1" si="63"/>
        <v>25.2</v>
      </c>
      <c r="AW319" s="37"/>
    </row>
    <row r="320" spans="1:49" ht="15.75" hidden="1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 ca="1"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 ca="1">Tabela1[[#This Row],[QTDE/ Fabricação]]-Tabela1[[#This Row],[QTE]]</f>
        <v>-2</v>
      </c>
      <c r="R320" s="18">
        <f t="shared" ca="1" si="59"/>
        <v>4</v>
      </c>
      <c r="S320" s="18">
        <f t="shared" ca="1" si="65"/>
        <v>4</v>
      </c>
      <c r="T320" s="19">
        <f t="shared" ca="1" si="60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 ca="1">IFERROR(Tabela1[[#This Row],[QIANTIDADE EXPEDIDA]]*Tabela1[[#This Row],[PESO UNI]],"")</f>
        <v>4</v>
      </c>
      <c r="Y320" s="14">
        <f t="shared" ca="1" si="64"/>
        <v>0</v>
      </c>
      <c r="Z320" s="20">
        <f ca="1"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ca="1" si="61"/>
        <v>ok</v>
      </c>
      <c r="AJ320" s="5"/>
      <c r="AK320" t="str">
        <f ca="1">Tabela1[[#This Row],[Coluna1]]&amp;Tabela1[[#This Row],[PEDIDO]]</f>
        <v>P-188</v>
      </c>
      <c r="AL320"/>
      <c r="AM320"/>
      <c r="AN320"/>
      <c r="AO320" t="str">
        <f t="shared" ca="1" si="58"/>
        <v>T-072989-1/1073-TC-007</v>
      </c>
      <c r="AP320" t="str">
        <f ca="1">Tabela1[[#This Row],[TAG]]&amp;Tabela1[[#This Row],[PEDIDO]]&amp;Tabela1[[#This Row],[PRODUTO]]</f>
        <v>1073-TC-007P-188RMF</v>
      </c>
      <c r="AQ320" s="22" t="str">
        <f ca="1">Tabela1[[#This Row],[PRODUTO]]&amp;Tabela1[[#This Row],[TAG]]</f>
        <v>RMF1073-TC-007</v>
      </c>
      <c r="AR320" s="24" t="str">
        <f ca="1">Tabela1[[#This Row],[PEDIDO]]&amp;Tabela1[[#This Row],[PRODUTO]]</f>
        <v>P-188RMF</v>
      </c>
      <c r="AS320" s="37">
        <f ca="1">IF(AF320="",0,IF(ISTEXT(AF320),H320*VALUE(SUBSTITUTE(AF320,"%",""))/100,H320*AF320))-Tabela1[[#This Row],[PRONTO ACABADO2]]</f>
        <v>0</v>
      </c>
      <c r="AT320" s="37">
        <f ca="1">IF(AG320="",0,IF(ISTEXT(AG320),H320*VALUE(SUBSTITUTE(AG320,"%",""))/100,H320*AG320))-Tabela1[[#This Row],[PESO EXPEDIDO2]]</f>
        <v>0</v>
      </c>
      <c r="AU320" s="37">
        <f t="shared" ca="1" si="62"/>
        <v>4</v>
      </c>
      <c r="AV320" s="37">
        <f t="shared" ca="1" si="63"/>
        <v>4</v>
      </c>
      <c r="AW320" s="37"/>
    </row>
    <row r="321" spans="1:49" ht="15.75" hidden="1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 ca="1"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 ca="1">Tabela1[[#This Row],[QTDE/ Fabricação]]-Tabela1[[#This Row],[QTE]]</f>
        <v>-1</v>
      </c>
      <c r="R321" s="18">
        <f t="shared" ca="1" si="59"/>
        <v>97.6</v>
      </c>
      <c r="S321" s="18">
        <f t="shared" ca="1" si="65"/>
        <v>97.6</v>
      </c>
      <c r="T321" s="19">
        <f t="shared" ca="1" si="60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 ca="1">IFERROR(Tabela1[[#This Row],[QIANTIDADE EXPEDIDA]]*Tabela1[[#This Row],[PESO UNI]],"")</f>
        <v>97.6</v>
      </c>
      <c r="Y321" s="14">
        <f t="shared" ca="1" si="64"/>
        <v>0</v>
      </c>
      <c r="Z321" s="20">
        <f ca="1"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ca="1" si="61"/>
        <v>ok</v>
      </c>
      <c r="AJ321" s="5"/>
      <c r="AK321" t="str">
        <f ca="1">Tabela1[[#This Row],[Coluna1]]&amp;Tabela1[[#This Row],[PEDIDO]]</f>
        <v>P-188</v>
      </c>
      <c r="AL321"/>
      <c r="AM321"/>
      <c r="AN321"/>
      <c r="AO321" t="str">
        <f t="shared" ca="1" si="58"/>
        <v>T-072990-1/1073-TC-006</v>
      </c>
      <c r="AP321" t="str">
        <f ca="1">Tabela1[[#This Row],[TAG]]&amp;Tabela1[[#This Row],[PEDIDO]]&amp;Tabela1[[#This Row],[PRODUTO]]</f>
        <v>1073-TC-006P-188RMF</v>
      </c>
      <c r="AQ321" s="22" t="str">
        <f ca="1">Tabela1[[#This Row],[PRODUTO]]&amp;Tabela1[[#This Row],[TAG]]</f>
        <v>RMF1073-TC-006</v>
      </c>
      <c r="AR321" s="24" t="str">
        <f ca="1">Tabela1[[#This Row],[PEDIDO]]&amp;Tabela1[[#This Row],[PRODUTO]]</f>
        <v>P-188RMF</v>
      </c>
      <c r="AS321" s="37">
        <f ca="1">IF(AF321="",0,IF(ISTEXT(AF321),H321*VALUE(SUBSTITUTE(AF321,"%",""))/100,H321*AF321))-Tabela1[[#This Row],[PRONTO ACABADO2]]</f>
        <v>0</v>
      </c>
      <c r="AT321" s="37">
        <f ca="1">IF(AG321="",0,IF(ISTEXT(AG321),H321*VALUE(SUBSTITUTE(AG321,"%",""))/100,H321*AG321))-Tabela1[[#This Row],[PESO EXPEDIDO2]]</f>
        <v>0</v>
      </c>
      <c r="AU321" s="37">
        <f t="shared" ca="1" si="62"/>
        <v>97.6</v>
      </c>
      <c r="AV321" s="37">
        <f t="shared" ca="1" si="63"/>
        <v>97.6</v>
      </c>
      <c r="AW321" s="37"/>
    </row>
    <row r="322" spans="1:49" ht="15.75" hidden="1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 ca="1"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 ca="1">Tabela1[[#This Row],[QTDE/ Fabricação]]-Tabela1[[#This Row],[QTE]]</f>
        <v>-1</v>
      </c>
      <c r="R322" s="18">
        <f t="shared" ca="1" si="59"/>
        <v>25.2</v>
      </c>
      <c r="S322" s="18">
        <f t="shared" ca="1" si="65"/>
        <v>25.2</v>
      </c>
      <c r="T322" s="19">
        <f t="shared" ca="1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 ca="1">IFERROR(Tabela1[[#This Row],[QIANTIDADE EXPEDIDA]]*Tabela1[[#This Row],[PESO UNI]],"")</f>
        <v>25.2</v>
      </c>
      <c r="Y322" s="14">
        <f t="shared" ca="1" si="64"/>
        <v>0</v>
      </c>
      <c r="Z322" s="20">
        <f ca="1"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ca="1" si="61"/>
        <v>ok</v>
      </c>
      <c r="AJ322" s="5"/>
      <c r="AK322" t="str">
        <f ca="1">Tabela1[[#This Row],[Coluna1]]&amp;Tabela1[[#This Row],[PEDIDO]]</f>
        <v>P-188</v>
      </c>
      <c r="AL322"/>
      <c r="AM322"/>
      <c r="AN322"/>
      <c r="AO322" t="str">
        <f t="shared" ca="1" si="58"/>
        <v>T-072990-1/1073-TC-006</v>
      </c>
      <c r="AP322" t="str">
        <f ca="1">Tabela1[[#This Row],[TAG]]&amp;Tabela1[[#This Row],[PEDIDO]]&amp;Tabela1[[#This Row],[PRODUTO]]</f>
        <v>1073-TC-006P-188RMF</v>
      </c>
      <c r="AQ322" s="22" t="str">
        <f ca="1">Tabela1[[#This Row],[PRODUTO]]&amp;Tabela1[[#This Row],[TAG]]</f>
        <v>RMF1073-TC-006</v>
      </c>
      <c r="AR322" s="24" t="str">
        <f ca="1">Tabela1[[#This Row],[PEDIDO]]&amp;Tabela1[[#This Row],[PRODUTO]]</f>
        <v>P-188RMF</v>
      </c>
      <c r="AS322" s="37">
        <f ca="1">IF(AF322="",0,IF(ISTEXT(AF322),H322*VALUE(SUBSTITUTE(AF322,"%",""))/100,H322*AF322))-Tabela1[[#This Row],[PRONTO ACABADO2]]</f>
        <v>0</v>
      </c>
      <c r="AT322" s="37">
        <f ca="1">IF(AG322="",0,IF(ISTEXT(AG322),H322*VALUE(SUBSTITUTE(AG322,"%",""))/100,H322*AG322))-Tabela1[[#This Row],[PESO EXPEDIDO2]]</f>
        <v>0</v>
      </c>
      <c r="AU322" s="37">
        <f t="shared" ca="1" si="62"/>
        <v>25.2</v>
      </c>
      <c r="AV322" s="37">
        <f t="shared" ca="1" si="63"/>
        <v>25.2</v>
      </c>
      <c r="AW322" s="37"/>
    </row>
    <row r="323" spans="1:49" ht="15.75" hidden="1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 ca="1"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 ca="1">Tabela1[[#This Row],[QTDE/ Fabricação]]-Tabela1[[#This Row],[QTE]]</f>
        <v>-2</v>
      </c>
      <c r="R323" s="18">
        <f t="shared" ca="1" si="59"/>
        <v>4</v>
      </c>
      <c r="S323" s="18">
        <f t="shared" ca="1" si="65"/>
        <v>4</v>
      </c>
      <c r="T323" s="19">
        <f t="shared" ca="1" si="60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 ca="1">IFERROR(Tabela1[[#This Row],[QIANTIDADE EXPEDIDA]]*Tabela1[[#This Row],[PESO UNI]],"")</f>
        <v>4</v>
      </c>
      <c r="Y323" s="14">
        <f t="shared" ca="1" si="64"/>
        <v>0</v>
      </c>
      <c r="Z323" s="20">
        <f ca="1"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ca="1" si="61"/>
        <v>ok</v>
      </c>
      <c r="AJ323" s="5"/>
      <c r="AK323" t="str">
        <f ca="1">Tabela1[[#This Row],[Coluna1]]&amp;Tabela1[[#This Row],[PEDIDO]]</f>
        <v>P-188</v>
      </c>
      <c r="AL323"/>
      <c r="AM323"/>
      <c r="AN323"/>
      <c r="AO323" t="str">
        <f t="shared" ca="1" si="58"/>
        <v>T-072990-1/1073-TC-006</v>
      </c>
      <c r="AP323" t="str">
        <f ca="1">Tabela1[[#This Row],[TAG]]&amp;Tabela1[[#This Row],[PEDIDO]]&amp;Tabela1[[#This Row],[PRODUTO]]</f>
        <v>1073-TC-006P-188RMF</v>
      </c>
      <c r="AQ323" s="22" t="str">
        <f ca="1">Tabela1[[#This Row],[PRODUTO]]&amp;Tabela1[[#This Row],[TAG]]</f>
        <v>RMF1073-TC-006</v>
      </c>
      <c r="AR323" s="24" t="str">
        <f ca="1">Tabela1[[#This Row],[PEDIDO]]&amp;Tabela1[[#This Row],[PRODUTO]]</f>
        <v>P-188RMF</v>
      </c>
      <c r="AS323" s="37">
        <f ca="1">IF(AF323="",0,IF(ISTEXT(AF323),H323*VALUE(SUBSTITUTE(AF323,"%",""))/100,H323*AF323))-Tabela1[[#This Row],[PRONTO ACABADO2]]</f>
        <v>0</v>
      </c>
      <c r="AT323" s="37">
        <f ca="1">IF(AG323="",0,IF(ISTEXT(AG323),H323*VALUE(SUBSTITUTE(AG323,"%",""))/100,H323*AG323))-Tabela1[[#This Row],[PESO EXPEDIDO2]]</f>
        <v>0</v>
      </c>
      <c r="AU323" s="37">
        <f t="shared" ca="1" si="62"/>
        <v>4</v>
      </c>
      <c r="AV323" s="37">
        <f t="shared" ca="1" si="63"/>
        <v>4</v>
      </c>
      <c r="AW323" s="37"/>
    </row>
    <row r="324" spans="1:49" ht="15.75" hidden="1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 ca="1"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 ca="1">Tabela1[[#This Row],[QTDE/ Fabricação]]-Tabela1[[#This Row],[QTE]]</f>
        <v>-1</v>
      </c>
      <c r="R324" s="18">
        <f t="shared" ca="1" si="59"/>
        <v>97.6</v>
      </c>
      <c r="S324" s="18">
        <f t="shared" ca="1" si="65"/>
        <v>97.6</v>
      </c>
      <c r="T324" s="19">
        <f t="shared" ca="1" si="60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 ca="1">IFERROR(Tabela1[[#This Row],[QIANTIDADE EXPEDIDA]]*Tabela1[[#This Row],[PESO UNI]],"")</f>
        <v>97.6</v>
      </c>
      <c r="Y324" s="14">
        <f t="shared" ca="1" si="64"/>
        <v>0</v>
      </c>
      <c r="Z324" s="20">
        <f ca="1"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ca="1" si="61"/>
        <v>ok</v>
      </c>
      <c r="AJ324" s="5"/>
      <c r="AK324" t="str">
        <f ca="1">Tabela1[[#This Row],[Coluna1]]&amp;Tabela1[[#This Row],[PEDIDO]]</f>
        <v>P-188</v>
      </c>
      <c r="AL324"/>
      <c r="AM324"/>
      <c r="AN324"/>
      <c r="AO324" t="str">
        <f t="shared" ref="AO324:AO387" ca="1" si="66">A324&amp;"/"&amp;J324</f>
        <v>T-072990-1/1073-TC-007</v>
      </c>
      <c r="AP324" t="str">
        <f ca="1">Tabela1[[#This Row],[TAG]]&amp;Tabela1[[#This Row],[PEDIDO]]&amp;Tabela1[[#This Row],[PRODUTO]]</f>
        <v>1073-TC-007P-188RMF</v>
      </c>
      <c r="AQ324" s="22" t="str">
        <f ca="1">Tabela1[[#This Row],[PRODUTO]]&amp;Tabela1[[#This Row],[TAG]]</f>
        <v>RMF1073-TC-007</v>
      </c>
      <c r="AR324" s="24" t="str">
        <f ca="1">Tabela1[[#This Row],[PEDIDO]]&amp;Tabela1[[#This Row],[PRODUTO]]</f>
        <v>P-188RMF</v>
      </c>
      <c r="AS324" s="37">
        <f ca="1">IF(AF324="",0,IF(ISTEXT(AF324),H324*VALUE(SUBSTITUTE(AF324,"%",""))/100,H324*AF324))-Tabela1[[#This Row],[PRONTO ACABADO2]]</f>
        <v>0</v>
      </c>
      <c r="AT324" s="37">
        <f ca="1">IF(AG324="",0,IF(ISTEXT(AG324),H324*VALUE(SUBSTITUTE(AG324,"%",""))/100,H324*AG324))-Tabela1[[#This Row],[PESO EXPEDIDO2]]</f>
        <v>0</v>
      </c>
      <c r="AU324" s="37">
        <f t="shared" ca="1" si="62"/>
        <v>97.6</v>
      </c>
      <c r="AV324" s="37">
        <f t="shared" ca="1" si="63"/>
        <v>97.6</v>
      </c>
      <c r="AW324" s="37"/>
    </row>
    <row r="325" spans="1:49" ht="15.75" hidden="1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 ca="1"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 ca="1">Tabela1[[#This Row],[QTDE/ Fabricação]]-Tabela1[[#This Row],[QTE]]</f>
        <v>-1</v>
      </c>
      <c r="R325" s="18">
        <f t="shared" ca="1" si="59"/>
        <v>25.2</v>
      </c>
      <c r="S325" s="18">
        <f t="shared" ca="1" si="65"/>
        <v>25.2</v>
      </c>
      <c r="T325" s="19">
        <f t="shared" ca="1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 ca="1">IFERROR(Tabela1[[#This Row],[QIANTIDADE EXPEDIDA]]*Tabela1[[#This Row],[PESO UNI]],"")</f>
        <v>25.2</v>
      </c>
      <c r="Y325" s="14">
        <f t="shared" ca="1" si="64"/>
        <v>0</v>
      </c>
      <c r="Z325" s="20">
        <f ca="1"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ca="1" si="61"/>
        <v>ok</v>
      </c>
      <c r="AJ325" s="5"/>
      <c r="AK325" t="str">
        <f ca="1">Tabela1[[#This Row],[Coluna1]]&amp;Tabela1[[#This Row],[PEDIDO]]</f>
        <v>P-188</v>
      </c>
      <c r="AL325"/>
      <c r="AM325"/>
      <c r="AN325"/>
      <c r="AO325" t="str">
        <f t="shared" ca="1" si="66"/>
        <v>T-072990-1/1073-TC-007</v>
      </c>
      <c r="AP325" t="str">
        <f ca="1">Tabela1[[#This Row],[TAG]]&amp;Tabela1[[#This Row],[PEDIDO]]&amp;Tabela1[[#This Row],[PRODUTO]]</f>
        <v>1073-TC-007P-188RMF</v>
      </c>
      <c r="AQ325" s="22" t="str">
        <f ca="1">Tabela1[[#This Row],[PRODUTO]]&amp;Tabela1[[#This Row],[TAG]]</f>
        <v>RMF1073-TC-007</v>
      </c>
      <c r="AR325" s="24" t="str">
        <f ca="1">Tabela1[[#This Row],[PEDIDO]]&amp;Tabela1[[#This Row],[PRODUTO]]</f>
        <v>P-188RMF</v>
      </c>
      <c r="AS325" s="37">
        <f ca="1">IF(AF325="",0,IF(ISTEXT(AF325),H325*VALUE(SUBSTITUTE(AF325,"%",""))/100,H325*AF325))-Tabela1[[#This Row],[PRONTO ACABADO2]]</f>
        <v>0</v>
      </c>
      <c r="AT325" s="37">
        <f ca="1">IF(AG325="",0,IF(ISTEXT(AG325),H325*VALUE(SUBSTITUTE(AG325,"%",""))/100,H325*AG325))-Tabela1[[#This Row],[PESO EXPEDIDO2]]</f>
        <v>0</v>
      </c>
      <c r="AU325" s="37">
        <f t="shared" ca="1" si="62"/>
        <v>25.2</v>
      </c>
      <c r="AV325" s="37">
        <f t="shared" ca="1" si="63"/>
        <v>25.2</v>
      </c>
      <c r="AW325" s="37"/>
    </row>
    <row r="326" spans="1:49" ht="15.75" hidden="1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 ca="1"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 ca="1">Tabela1[[#This Row],[QTDE/ Fabricação]]-Tabela1[[#This Row],[QTE]]</f>
        <v>-2</v>
      </c>
      <c r="R326" s="18">
        <f t="shared" ca="1" si="59"/>
        <v>4</v>
      </c>
      <c r="S326" s="18">
        <f t="shared" ca="1" si="65"/>
        <v>4</v>
      </c>
      <c r="T326" s="19">
        <f t="shared" ca="1" si="60"/>
        <v>0</v>
      </c>
      <c r="U326" s="16">
        <v>2</v>
      </c>
      <c r="V326" s="12">
        <v>13</v>
      </c>
      <c r="W326" s="13" t="str">
        <f ca="1">IFERROR(VLOOKUP(Tabela1[[#This Row],[COD.MDE]],'LISTA DE EMBARQUE'!B:M,12,0),"")</f>
        <v/>
      </c>
      <c r="X326" s="14">
        <f ca="1">IFERROR(Tabela1[[#This Row],[QIANTIDADE EXPEDIDA]]*Tabela1[[#This Row],[PESO UNI]],"")</f>
        <v>4</v>
      </c>
      <c r="Y326" s="14">
        <f t="shared" ca="1" si="64"/>
        <v>0</v>
      </c>
      <c r="Z326" s="20">
        <f ca="1"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ca="1" si="61"/>
        <v>ok</v>
      </c>
      <c r="AJ326" s="5"/>
      <c r="AK326" t="str">
        <f ca="1">Tabela1[[#This Row],[Coluna1]]&amp;Tabela1[[#This Row],[PEDIDO]]</f>
        <v>P-188</v>
      </c>
      <c r="AL326"/>
      <c r="AM326"/>
      <c r="AN326"/>
      <c r="AO326" t="str">
        <f t="shared" ca="1" si="66"/>
        <v>T-072990-1/1073-TC-007</v>
      </c>
      <c r="AP326" t="str">
        <f ca="1">Tabela1[[#This Row],[TAG]]&amp;Tabela1[[#This Row],[PEDIDO]]&amp;Tabela1[[#This Row],[PRODUTO]]</f>
        <v>1073-TC-007P-188RMF</v>
      </c>
      <c r="AQ326" s="22" t="str">
        <f ca="1">Tabela1[[#This Row],[PRODUTO]]&amp;Tabela1[[#This Row],[TAG]]</f>
        <v>RMF1073-TC-007</v>
      </c>
      <c r="AR326" s="24" t="str">
        <f ca="1">Tabela1[[#This Row],[PEDIDO]]&amp;Tabela1[[#This Row],[PRODUTO]]</f>
        <v>P-188RMF</v>
      </c>
      <c r="AS326" s="37">
        <f ca="1">IF(AF326="",0,IF(ISTEXT(AF326),H326*VALUE(SUBSTITUTE(AF326,"%",""))/100,H326*AF326))-Tabela1[[#This Row],[PRONTO ACABADO2]]</f>
        <v>0</v>
      </c>
      <c r="AT326" s="37">
        <f ca="1">IF(AG326="",0,IF(ISTEXT(AG326),H326*VALUE(SUBSTITUTE(AG326,"%",""))/100,H326*AG326))-Tabela1[[#This Row],[PESO EXPEDIDO2]]</f>
        <v>0</v>
      </c>
      <c r="AU326" s="37">
        <f t="shared" ca="1" si="62"/>
        <v>4</v>
      </c>
      <c r="AV326" s="37">
        <f t="shared" ca="1" si="63"/>
        <v>4</v>
      </c>
      <c r="AW326" s="37"/>
    </row>
    <row r="327" spans="1:49" ht="15.75" hidden="1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 ca="1"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 ca="1">Tabela1[[#This Row],[QTDE/ Fabricação]]-Tabela1[[#This Row],[QTE]]</f>
        <v>-1</v>
      </c>
      <c r="R327" s="18">
        <f t="shared" ca="1" si="59"/>
        <v>704.9</v>
      </c>
      <c r="S327" s="18">
        <f t="shared" ca="1" si="65"/>
        <v>704.9</v>
      </c>
      <c r="T327" s="19">
        <f t="shared" ca="1" si="60"/>
        <v>0</v>
      </c>
      <c r="U327" s="205">
        <v>1</v>
      </c>
      <c r="V327" s="12" t="str">
        <f>IFERROR(VLOOKUP(Tabela1[[#This Row],[COD.MDE]],'LISTA DE EMBARQUE'!B:L,11,0),"")</f>
        <v/>
      </c>
      <c r="W327" s="13"/>
      <c r="X327" s="14">
        <f ca="1">IFERROR(Tabela1[[#This Row],[QIANTIDADE EXPEDIDA]]*Tabela1[[#This Row],[PESO UNI]],"")</f>
        <v>704.9</v>
      </c>
      <c r="Y327" s="14">
        <f t="shared" ca="1" si="64"/>
        <v>0</v>
      </c>
      <c r="Z327" s="20">
        <f ca="1"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ca="1" si="61"/>
        <v>ok</v>
      </c>
      <c r="AJ327" s="5"/>
      <c r="AK327" t="str">
        <f ca="1">Tabela1[[#This Row],[Coluna1]]&amp;Tabela1[[#This Row],[PEDIDO]]</f>
        <v>P-188</v>
      </c>
      <c r="AL327"/>
      <c r="AM327"/>
      <c r="AN327"/>
      <c r="AO327" t="str">
        <f t="shared" ca="1" si="66"/>
        <v>T-072991-1/1073-TC-006</v>
      </c>
      <c r="AP327" t="str">
        <f ca="1">Tabela1[[#This Row],[TAG]]&amp;Tabela1[[#This Row],[PEDIDO]]&amp;Tabela1[[#This Row],[PRODUTO]]</f>
        <v>1073-TC-006P-188RMF</v>
      </c>
      <c r="AQ327" s="22" t="str">
        <f ca="1">Tabela1[[#This Row],[PRODUTO]]&amp;Tabela1[[#This Row],[TAG]]</f>
        <v>RMF1073-TC-006</v>
      </c>
      <c r="AR327" s="24" t="str">
        <f ca="1">Tabela1[[#This Row],[PEDIDO]]&amp;Tabela1[[#This Row],[PRODUTO]]</f>
        <v>P-188RMF</v>
      </c>
      <c r="AS327" s="37">
        <f ca="1">IF(AF327="",0,IF(ISTEXT(AF327),H327*VALUE(SUBSTITUTE(AF327,"%",""))/100,H327*AF327))-Tabela1[[#This Row],[PRONTO ACABADO2]]</f>
        <v>0</v>
      </c>
      <c r="AT327" s="37">
        <f ca="1">IF(AG327="",0,IF(ISTEXT(AG327),H327*VALUE(SUBSTITUTE(AG327,"%",""))/100,H327*AG327))-Tabela1[[#This Row],[PESO EXPEDIDO2]]</f>
        <v>0</v>
      </c>
      <c r="AU327" s="37">
        <f t="shared" ca="1" si="62"/>
        <v>704.9</v>
      </c>
      <c r="AV327" s="37">
        <f t="shared" ca="1" si="63"/>
        <v>704.9</v>
      </c>
      <c r="AW327" s="37"/>
    </row>
    <row r="328" spans="1:49" ht="15.75" hidden="1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 ca="1"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 ca="1">Tabela1[[#This Row],[QTDE/ Fabricação]]-Tabela1[[#This Row],[QTE]]</f>
        <v>-8</v>
      </c>
      <c r="R328" s="18">
        <f t="shared" ca="1" si="59"/>
        <v>20.8</v>
      </c>
      <c r="S328" s="18">
        <f t="shared" ca="1" si="65"/>
        <v>20.8</v>
      </c>
      <c r="T328" s="19">
        <f t="shared" ca="1" si="60"/>
        <v>0</v>
      </c>
      <c r="U328" s="205">
        <v>8</v>
      </c>
      <c r="V328" s="12" t="str">
        <f>IFERROR(VLOOKUP(Tabela1[[#This Row],[COD.MDE]],'LISTA DE EMBARQUE'!B:L,11,0),"")</f>
        <v/>
      </c>
      <c r="W328" s="13"/>
      <c r="X328" s="14">
        <f ca="1">IFERROR(Tabela1[[#This Row],[QIANTIDADE EXPEDIDA]]*Tabela1[[#This Row],[PESO UNI]],"")</f>
        <v>20.8</v>
      </c>
      <c r="Y328" s="14">
        <f t="shared" ca="1" si="64"/>
        <v>0</v>
      </c>
      <c r="Z328" s="20">
        <f ca="1"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ca="1" si="61"/>
        <v>ok</v>
      </c>
      <c r="AJ328" s="5"/>
      <c r="AK328" t="str">
        <f ca="1">Tabela1[[#This Row],[Coluna1]]&amp;Tabela1[[#This Row],[PEDIDO]]</f>
        <v>P-188</v>
      </c>
      <c r="AL328"/>
      <c r="AM328"/>
      <c r="AN328"/>
      <c r="AO328" t="str">
        <f t="shared" ca="1" si="66"/>
        <v>T-072991-1/1073-TC-006</v>
      </c>
      <c r="AP328" t="str">
        <f ca="1">Tabela1[[#This Row],[TAG]]&amp;Tabela1[[#This Row],[PEDIDO]]&amp;Tabela1[[#This Row],[PRODUTO]]</f>
        <v>1073-TC-006P-188RMF</v>
      </c>
      <c r="AQ328" s="22" t="str">
        <f ca="1">Tabela1[[#This Row],[PRODUTO]]&amp;Tabela1[[#This Row],[TAG]]</f>
        <v>RMF1073-TC-006</v>
      </c>
      <c r="AR328" s="24" t="str">
        <f ca="1">Tabela1[[#This Row],[PEDIDO]]&amp;Tabela1[[#This Row],[PRODUTO]]</f>
        <v>P-188RMF</v>
      </c>
      <c r="AS328" s="37">
        <f ca="1">IF(AF328="",0,IF(ISTEXT(AF328),H328*VALUE(SUBSTITUTE(AF328,"%",""))/100,H328*AF328))-Tabela1[[#This Row],[PRONTO ACABADO2]]</f>
        <v>0</v>
      </c>
      <c r="AT328" s="37">
        <f ca="1">IF(AG328="",0,IF(ISTEXT(AG328),H328*VALUE(SUBSTITUTE(AG328,"%",""))/100,H328*AG328))-Tabela1[[#This Row],[PESO EXPEDIDO2]]</f>
        <v>0</v>
      </c>
      <c r="AU328" s="37">
        <f t="shared" ca="1" si="62"/>
        <v>20.8</v>
      </c>
      <c r="AV328" s="37">
        <f t="shared" ca="1" si="63"/>
        <v>20.8</v>
      </c>
      <c r="AW328" s="37"/>
    </row>
    <row r="329" spans="1:49" ht="15.75" hidden="1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 ca="1"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 ca="1">Tabela1[[#This Row],[QTDE/ Fabricação]]-Tabela1[[#This Row],[QTE]]</f>
        <v>-2</v>
      </c>
      <c r="R329" s="18">
        <f t="shared" ca="1" si="59"/>
        <v>74.400000000000006</v>
      </c>
      <c r="S329" s="18">
        <f t="shared" ca="1" si="65"/>
        <v>74.400000000000006</v>
      </c>
      <c r="T329" s="19">
        <f t="shared" ca="1" si="60"/>
        <v>0</v>
      </c>
      <c r="U329" s="205">
        <v>2</v>
      </c>
      <c r="V329" s="12" t="str">
        <f>IFERROR(VLOOKUP(Tabela1[[#This Row],[COD.MDE]],'LISTA DE EMBARQUE'!B:L,11,0),"")</f>
        <v/>
      </c>
      <c r="W329" s="13"/>
      <c r="X329" s="14">
        <f ca="1">IFERROR(Tabela1[[#This Row],[QIANTIDADE EXPEDIDA]]*Tabela1[[#This Row],[PESO UNI]],"")</f>
        <v>74.400000000000006</v>
      </c>
      <c r="Y329" s="14">
        <f t="shared" ca="1" si="64"/>
        <v>0</v>
      </c>
      <c r="Z329" s="20">
        <f ca="1"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ca="1" si="61"/>
        <v>ok</v>
      </c>
      <c r="AJ329" s="5"/>
      <c r="AK329" t="str">
        <f ca="1">Tabela1[[#This Row],[Coluna1]]&amp;Tabela1[[#This Row],[PEDIDO]]</f>
        <v>P-188</v>
      </c>
      <c r="AL329"/>
      <c r="AM329"/>
      <c r="AN329"/>
      <c r="AO329" t="str">
        <f t="shared" ca="1" si="66"/>
        <v>T-072991-1/1073-TC-006</v>
      </c>
      <c r="AP329" t="str">
        <f ca="1">Tabela1[[#This Row],[TAG]]&amp;Tabela1[[#This Row],[PEDIDO]]&amp;Tabela1[[#This Row],[PRODUTO]]</f>
        <v>1073-TC-006P-188RMF</v>
      </c>
      <c r="AQ329" s="22" t="str">
        <f ca="1">Tabela1[[#This Row],[PRODUTO]]&amp;Tabela1[[#This Row],[TAG]]</f>
        <v>RMF1073-TC-006</v>
      </c>
      <c r="AR329" s="24" t="str">
        <f ca="1">Tabela1[[#This Row],[PEDIDO]]&amp;Tabela1[[#This Row],[PRODUTO]]</f>
        <v>P-188RMF</v>
      </c>
      <c r="AS329" s="37">
        <f ca="1">IF(AF329="",0,IF(ISTEXT(AF329),H329*VALUE(SUBSTITUTE(AF329,"%",""))/100,H329*AF329))-Tabela1[[#This Row],[PRONTO ACABADO2]]</f>
        <v>0</v>
      </c>
      <c r="AT329" s="37">
        <f ca="1">IF(AG329="",0,IF(ISTEXT(AG329),H329*VALUE(SUBSTITUTE(AG329,"%",""))/100,H329*AG329))-Tabela1[[#This Row],[PESO EXPEDIDO2]]</f>
        <v>0</v>
      </c>
      <c r="AU329" s="37">
        <f t="shared" ca="1" si="62"/>
        <v>74.400000000000006</v>
      </c>
      <c r="AV329" s="37">
        <f t="shared" ca="1" si="63"/>
        <v>74.400000000000006</v>
      </c>
      <c r="AW329" s="37"/>
    </row>
    <row r="330" spans="1:49" ht="15.75" hidden="1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 ca="1"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 ca="1">Tabela1[[#This Row],[QTDE/ Fabricação]]-Tabela1[[#This Row],[QTE]]</f>
        <v>-1</v>
      </c>
      <c r="R330" s="18">
        <f t="shared" ca="1" si="59"/>
        <v>704.9</v>
      </c>
      <c r="S330" s="18">
        <f t="shared" ca="1" si="65"/>
        <v>704.9</v>
      </c>
      <c r="T330" s="19">
        <f t="shared" ca="1" si="60"/>
        <v>0</v>
      </c>
      <c r="U330" s="205">
        <v>1</v>
      </c>
      <c r="V330" s="12" t="str">
        <f>IFERROR(VLOOKUP(Tabela1[[#This Row],[COD.MDE]],'LISTA DE EMBARQUE'!B:L,11,0),"")</f>
        <v/>
      </c>
      <c r="W330" s="13"/>
      <c r="X330" s="14">
        <f ca="1">IFERROR(Tabela1[[#This Row],[QIANTIDADE EXPEDIDA]]*Tabela1[[#This Row],[PESO UNI]],"")</f>
        <v>704.9</v>
      </c>
      <c r="Y330" s="14">
        <f t="shared" ca="1" si="64"/>
        <v>0</v>
      </c>
      <c r="Z330" s="20">
        <f ca="1"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ca="1" si="61"/>
        <v>ok</v>
      </c>
      <c r="AJ330" s="5"/>
      <c r="AK330" t="str">
        <f ca="1">Tabela1[[#This Row],[Coluna1]]&amp;Tabela1[[#This Row],[PEDIDO]]</f>
        <v>P-188</v>
      </c>
      <c r="AL330"/>
      <c r="AM330"/>
      <c r="AN330"/>
      <c r="AO330" t="str">
        <f t="shared" ca="1" si="66"/>
        <v>T-072991-1/1073-TC-007</v>
      </c>
      <c r="AP330" t="str">
        <f ca="1">Tabela1[[#This Row],[TAG]]&amp;Tabela1[[#This Row],[PEDIDO]]&amp;Tabela1[[#This Row],[PRODUTO]]</f>
        <v>1073-TC-007P-188RMF</v>
      </c>
      <c r="AQ330" s="22" t="str">
        <f ca="1">Tabela1[[#This Row],[PRODUTO]]&amp;Tabela1[[#This Row],[TAG]]</f>
        <v>RMF1073-TC-007</v>
      </c>
      <c r="AR330" s="24" t="str">
        <f ca="1">Tabela1[[#This Row],[PEDIDO]]&amp;Tabela1[[#This Row],[PRODUTO]]</f>
        <v>P-188RMF</v>
      </c>
      <c r="AS330" s="37">
        <f ca="1">IF(AF330="",0,IF(ISTEXT(AF330),H330*VALUE(SUBSTITUTE(AF330,"%",""))/100,H330*AF330))-Tabela1[[#This Row],[PRONTO ACABADO2]]</f>
        <v>0</v>
      </c>
      <c r="AT330" s="37">
        <f ca="1">IF(AG330="",0,IF(ISTEXT(AG330),H330*VALUE(SUBSTITUTE(AG330,"%",""))/100,H330*AG330))-Tabela1[[#This Row],[PESO EXPEDIDO2]]</f>
        <v>0</v>
      </c>
      <c r="AU330" s="37">
        <f t="shared" ca="1" si="62"/>
        <v>704.9</v>
      </c>
      <c r="AV330" s="37">
        <f t="shared" ca="1" si="63"/>
        <v>704.9</v>
      </c>
      <c r="AW330" s="37"/>
    </row>
    <row r="331" spans="1:49" ht="15.75" hidden="1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 ca="1"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 ca="1">Tabela1[[#This Row],[QTDE/ Fabricação]]-Tabela1[[#This Row],[QTE]]</f>
        <v>-8</v>
      </c>
      <c r="R331" s="18">
        <f t="shared" ca="1" si="59"/>
        <v>20.8</v>
      </c>
      <c r="S331" s="18">
        <f t="shared" ca="1" si="65"/>
        <v>20.8</v>
      </c>
      <c r="T331" s="19">
        <f t="shared" ca="1" si="60"/>
        <v>0</v>
      </c>
      <c r="U331" s="205">
        <v>8</v>
      </c>
      <c r="V331" s="12" t="str">
        <f>IFERROR(VLOOKUP(Tabela1[[#This Row],[COD.MDE]],'LISTA DE EMBARQUE'!B:L,11,0),"")</f>
        <v/>
      </c>
      <c r="W331" s="13"/>
      <c r="X331" s="14">
        <f ca="1">IFERROR(Tabela1[[#This Row],[QIANTIDADE EXPEDIDA]]*Tabela1[[#This Row],[PESO UNI]],"")</f>
        <v>20.8</v>
      </c>
      <c r="Y331" s="14">
        <f t="shared" ca="1" si="64"/>
        <v>0</v>
      </c>
      <c r="Z331" s="20">
        <f ca="1"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ca="1" si="61"/>
        <v>ok</v>
      </c>
      <c r="AJ331" s="5"/>
      <c r="AK331" t="str">
        <f ca="1">Tabela1[[#This Row],[Coluna1]]&amp;Tabela1[[#This Row],[PEDIDO]]</f>
        <v>P-188</v>
      </c>
      <c r="AL331"/>
      <c r="AM331"/>
      <c r="AN331"/>
      <c r="AO331" t="str">
        <f t="shared" ca="1" si="66"/>
        <v>T-072991-1/1073-TC-007</v>
      </c>
      <c r="AP331" t="str">
        <f ca="1">Tabela1[[#This Row],[TAG]]&amp;Tabela1[[#This Row],[PEDIDO]]&amp;Tabela1[[#This Row],[PRODUTO]]</f>
        <v>1073-TC-007P-188RMF</v>
      </c>
      <c r="AQ331" s="22" t="str">
        <f ca="1">Tabela1[[#This Row],[PRODUTO]]&amp;Tabela1[[#This Row],[TAG]]</f>
        <v>RMF1073-TC-007</v>
      </c>
      <c r="AR331" s="24" t="str">
        <f ca="1">Tabela1[[#This Row],[PEDIDO]]&amp;Tabela1[[#This Row],[PRODUTO]]</f>
        <v>P-188RMF</v>
      </c>
      <c r="AS331" s="37">
        <f ca="1">IF(AF331="",0,IF(ISTEXT(AF331),H331*VALUE(SUBSTITUTE(AF331,"%",""))/100,H331*AF331))-Tabela1[[#This Row],[PRONTO ACABADO2]]</f>
        <v>0</v>
      </c>
      <c r="AT331" s="37">
        <f ca="1">IF(AG331="",0,IF(ISTEXT(AG331),H331*VALUE(SUBSTITUTE(AG331,"%",""))/100,H331*AG331))-Tabela1[[#This Row],[PESO EXPEDIDO2]]</f>
        <v>0</v>
      </c>
      <c r="AU331" s="37">
        <f t="shared" ca="1" si="62"/>
        <v>20.8</v>
      </c>
      <c r="AV331" s="37">
        <f t="shared" ca="1" si="63"/>
        <v>20.8</v>
      </c>
      <c r="AW331" s="37"/>
    </row>
    <row r="332" spans="1:49" ht="15.75" hidden="1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 ca="1"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 ca="1">Tabela1[[#This Row],[QTDE/ Fabricação]]-Tabela1[[#This Row],[QTE]]</f>
        <v>-2</v>
      </c>
      <c r="R332" s="18">
        <f t="shared" ca="1" si="59"/>
        <v>74.400000000000006</v>
      </c>
      <c r="S332" s="18">
        <f t="shared" ca="1" si="65"/>
        <v>74.400000000000006</v>
      </c>
      <c r="T332" s="19">
        <f t="shared" ca="1" si="60"/>
        <v>0</v>
      </c>
      <c r="U332" s="205">
        <v>2</v>
      </c>
      <c r="V332" s="12" t="str">
        <f>IFERROR(VLOOKUP(Tabela1[[#This Row],[COD.MDE]],'LISTA DE EMBARQUE'!B:L,11,0),"")</f>
        <v/>
      </c>
      <c r="W332" s="13"/>
      <c r="X332" s="14">
        <f ca="1">IFERROR(Tabela1[[#This Row],[QIANTIDADE EXPEDIDA]]*Tabela1[[#This Row],[PESO UNI]],"")</f>
        <v>74.400000000000006</v>
      </c>
      <c r="Y332" s="14">
        <f t="shared" ca="1" si="64"/>
        <v>0</v>
      </c>
      <c r="Z332" s="20">
        <f ca="1"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ca="1" si="61"/>
        <v>ok</v>
      </c>
      <c r="AJ332" s="5"/>
      <c r="AK332" t="str">
        <f ca="1">Tabela1[[#This Row],[Coluna1]]&amp;Tabela1[[#This Row],[PEDIDO]]</f>
        <v>P-188</v>
      </c>
      <c r="AL332"/>
      <c r="AM332"/>
      <c r="AN332"/>
      <c r="AO332" t="str">
        <f t="shared" ca="1" si="66"/>
        <v>T-072991-1/1073-TC-007</v>
      </c>
      <c r="AP332" t="str">
        <f ca="1">Tabela1[[#This Row],[TAG]]&amp;Tabela1[[#This Row],[PEDIDO]]&amp;Tabela1[[#This Row],[PRODUTO]]</f>
        <v>1073-TC-007P-188RMF</v>
      </c>
      <c r="AQ332" s="22" t="str">
        <f ca="1">Tabela1[[#This Row],[PRODUTO]]&amp;Tabela1[[#This Row],[TAG]]</f>
        <v>RMF1073-TC-007</v>
      </c>
      <c r="AR332" s="24" t="str">
        <f ca="1">Tabela1[[#This Row],[PEDIDO]]&amp;Tabela1[[#This Row],[PRODUTO]]</f>
        <v>P-188RMF</v>
      </c>
      <c r="AS332" s="37">
        <f ca="1">IF(AF332="",0,IF(ISTEXT(AF332),H332*VALUE(SUBSTITUTE(AF332,"%",""))/100,H332*AF332))-Tabela1[[#This Row],[PRONTO ACABADO2]]</f>
        <v>0</v>
      </c>
      <c r="AT332" s="37">
        <f ca="1">IF(AG332="",0,IF(ISTEXT(AG332),H332*VALUE(SUBSTITUTE(AG332,"%",""))/100,H332*AG332))-Tabela1[[#This Row],[PESO EXPEDIDO2]]</f>
        <v>0</v>
      </c>
      <c r="AU332" s="37">
        <f t="shared" ca="1" si="62"/>
        <v>74.400000000000006</v>
      </c>
      <c r="AV332" s="37">
        <f t="shared" ca="1" si="63"/>
        <v>74.400000000000006</v>
      </c>
      <c r="AW332" s="37"/>
    </row>
    <row r="333" spans="1:49" ht="15.75" hidden="1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 ca="1"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 ca="1">Tabela1[[#This Row],[QTDE/ Fabricação]]-Tabela1[[#This Row],[QTE]]</f>
        <v>-1</v>
      </c>
      <c r="R333" s="18">
        <f t="shared" ca="1" si="59"/>
        <v>62.2</v>
      </c>
      <c r="S333" s="18">
        <f t="shared" ca="1" si="65"/>
        <v>62.2</v>
      </c>
      <c r="T333" s="19">
        <f t="shared" ca="1" si="60"/>
        <v>0</v>
      </c>
      <c r="U333" s="205">
        <v>1</v>
      </c>
      <c r="V333" s="12" t="str">
        <f>IFERROR(VLOOKUP(Tabela1[[#This Row],[COD.MDE]],'LISTA DE EMBARQUE'!B:L,11,0),"")</f>
        <v/>
      </c>
      <c r="W333" s="13"/>
      <c r="X333" s="14">
        <f ca="1">IFERROR(Tabela1[[#This Row],[QIANTIDADE EXPEDIDA]]*Tabela1[[#This Row],[PESO UNI]],"")</f>
        <v>62.2</v>
      </c>
      <c r="Y333" s="14">
        <f t="shared" ca="1" si="64"/>
        <v>0</v>
      </c>
      <c r="Z333" s="20">
        <f ca="1"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ca="1" si="61"/>
        <v>ok</v>
      </c>
      <c r="AJ333" s="5"/>
      <c r="AK333" t="str">
        <f ca="1">Tabela1[[#This Row],[Coluna1]]&amp;Tabela1[[#This Row],[PEDIDO]]</f>
        <v>P-188</v>
      </c>
      <c r="AL333"/>
      <c r="AM333"/>
      <c r="AN333"/>
      <c r="AO333" t="str">
        <f t="shared" ca="1" si="66"/>
        <v>T-072992-1/1073-TC-006</v>
      </c>
      <c r="AP333" t="str">
        <f ca="1">Tabela1[[#This Row],[TAG]]&amp;Tabela1[[#This Row],[PEDIDO]]&amp;Tabela1[[#This Row],[PRODUTO]]</f>
        <v>1073-TC-006P-188RMF</v>
      </c>
      <c r="AQ333" s="22" t="str">
        <f ca="1">Tabela1[[#This Row],[PRODUTO]]&amp;Tabela1[[#This Row],[TAG]]</f>
        <v>RMF1073-TC-006</v>
      </c>
      <c r="AR333" s="24" t="str">
        <f ca="1">Tabela1[[#This Row],[PEDIDO]]&amp;Tabela1[[#This Row],[PRODUTO]]</f>
        <v>P-188RMF</v>
      </c>
      <c r="AS333" s="37">
        <f ca="1">IF(AF333="",0,IF(ISTEXT(AF333),H333*VALUE(SUBSTITUTE(AF333,"%",""))/100,H333*AF333))-Tabela1[[#This Row],[PRONTO ACABADO2]]</f>
        <v>0</v>
      </c>
      <c r="AT333" s="37">
        <f ca="1">IF(AG333="",0,IF(ISTEXT(AG333),H333*VALUE(SUBSTITUTE(AG333,"%",""))/100,H333*AG333))-Tabela1[[#This Row],[PESO EXPEDIDO2]]</f>
        <v>0</v>
      </c>
      <c r="AU333" s="37">
        <f t="shared" ca="1" si="62"/>
        <v>62.2</v>
      </c>
      <c r="AV333" s="37">
        <f t="shared" ca="1" si="63"/>
        <v>62.2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 ca="1"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 ca="1">Tabela1[[#This Row],[QTDE/ Fabricação]]-Tabela1[[#This Row],[QTE]]</f>
        <v>-4</v>
      </c>
      <c r="R334" s="18">
        <f t="shared" ca="1" si="59"/>
        <v>10.4</v>
      </c>
      <c r="S334" s="18">
        <f t="shared" ca="1" si="65"/>
        <v>10.4</v>
      </c>
      <c r="T334" s="19">
        <f t="shared" ca="1" si="60"/>
        <v>0</v>
      </c>
      <c r="U334" s="205">
        <v>4</v>
      </c>
      <c r="V334" s="12" t="str">
        <f ca="1">IFERROR(VLOOKUP(Tabela1[[#This Row],[COD.MDE]],'LISTA DE EMBARQUE'!B:L,11,0),"")</f>
        <v/>
      </c>
      <c r="W334" s="13"/>
      <c r="X334" s="14">
        <f ca="1">IFERROR(Tabela1[[#This Row],[QIANTIDADE EXPEDIDA]]*Tabela1[[#This Row],[PESO UNI]],"")</f>
        <v>10.4</v>
      </c>
      <c r="Y334" s="14">
        <f t="shared" ca="1" si="64"/>
        <v>0</v>
      </c>
      <c r="Z334" s="20">
        <f ca="1"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ca="1" si="61"/>
        <v>ok</v>
      </c>
      <c r="AJ334" s="5"/>
      <c r="AK334" t="str">
        <f ca="1">Tabela1[[#This Row],[Coluna1]]&amp;Tabela1[[#This Row],[PEDIDO]]</f>
        <v>P-188</v>
      </c>
      <c r="AL334"/>
      <c r="AM334"/>
      <c r="AN334"/>
      <c r="AO334" t="str">
        <f t="shared" ca="1" si="66"/>
        <v>T-072992-1/1073-TC-006</v>
      </c>
      <c r="AP334" t="str">
        <f ca="1">Tabela1[[#This Row],[TAG]]&amp;Tabela1[[#This Row],[PEDIDO]]&amp;Tabela1[[#This Row],[PRODUTO]]</f>
        <v>1073-TC-006P-188RMF</v>
      </c>
      <c r="AQ334" s="22" t="str">
        <f ca="1">Tabela1[[#This Row],[PRODUTO]]&amp;Tabela1[[#This Row],[TAG]]</f>
        <v>RMF1073-TC-006</v>
      </c>
      <c r="AR334" s="24" t="str">
        <f ca="1">Tabela1[[#This Row],[PEDIDO]]&amp;Tabela1[[#This Row],[PRODUTO]]</f>
        <v>P-188RMF</v>
      </c>
      <c r="AS334" s="37">
        <f ca="1">IF(AF334="",0,IF(ISTEXT(AF334),H334*VALUE(SUBSTITUTE(AF334,"%",""))/100,H334*AF334))-Tabela1[[#This Row],[PRONTO ACABADO2]]</f>
        <v>0</v>
      </c>
      <c r="AT334" s="37">
        <f ca="1">IF(AG334="",0,IF(ISTEXT(AG334),H334*VALUE(SUBSTITUTE(AG334,"%",""))/100,H334*AG334))-Tabela1[[#This Row],[PESO EXPEDIDO2]]</f>
        <v>0</v>
      </c>
      <c r="AU334" s="37">
        <f t="shared" ca="1" si="62"/>
        <v>10.4</v>
      </c>
      <c r="AV334" s="37">
        <f t="shared" ca="1" si="63"/>
        <v>10.4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 ca="1"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 ca="1">Tabela1[[#This Row],[QTDE/ Fabricação]]-Tabela1[[#This Row],[QTE]]</f>
        <v>-1</v>
      </c>
      <c r="R335" s="18">
        <f t="shared" ca="1" si="59"/>
        <v>62.2</v>
      </c>
      <c r="S335" s="18">
        <f t="shared" ca="1" si="65"/>
        <v>62.2</v>
      </c>
      <c r="T335" s="19">
        <f t="shared" ca="1" si="60"/>
        <v>0</v>
      </c>
      <c r="U335" s="205">
        <v>1</v>
      </c>
      <c r="V335" s="12" t="str">
        <f>IFERROR(VLOOKUP(Tabela1[[#This Row],[COD.MDE]],'LISTA DE EMBARQUE'!B:L,11,0),"")</f>
        <v/>
      </c>
      <c r="W335" s="13"/>
      <c r="X335" s="14">
        <f ca="1">IFERROR(Tabela1[[#This Row],[QIANTIDADE EXPEDIDA]]*Tabela1[[#This Row],[PESO UNI]],"")</f>
        <v>62.2</v>
      </c>
      <c r="Y335" s="14">
        <f t="shared" ca="1" si="64"/>
        <v>0</v>
      </c>
      <c r="Z335" s="20">
        <f ca="1"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ca="1" si="61"/>
        <v>ok</v>
      </c>
      <c r="AJ335" s="5"/>
      <c r="AK335" t="str">
        <f ca="1">Tabela1[[#This Row],[Coluna1]]&amp;Tabela1[[#This Row],[PEDIDO]]</f>
        <v>P-188</v>
      </c>
      <c r="AL335"/>
      <c r="AM335"/>
      <c r="AN335"/>
      <c r="AO335" t="str">
        <f t="shared" ca="1" si="66"/>
        <v>T-072992-1/1073-TC-007</v>
      </c>
      <c r="AP335" t="str">
        <f ca="1">Tabela1[[#This Row],[TAG]]&amp;Tabela1[[#This Row],[PEDIDO]]&amp;Tabela1[[#This Row],[PRODUTO]]</f>
        <v>1073-TC-007P-188RMF</v>
      </c>
      <c r="AQ335" s="22" t="str">
        <f ca="1">Tabela1[[#This Row],[PRODUTO]]&amp;Tabela1[[#This Row],[TAG]]</f>
        <v>RMF1073-TC-007</v>
      </c>
      <c r="AR335" s="24" t="str">
        <f ca="1">Tabela1[[#This Row],[PEDIDO]]&amp;Tabela1[[#This Row],[PRODUTO]]</f>
        <v>P-188RMF</v>
      </c>
      <c r="AS335" s="37">
        <f ca="1">IF(AF335="",0,IF(ISTEXT(AF335),H335*VALUE(SUBSTITUTE(AF335,"%",""))/100,H335*AF335))-Tabela1[[#This Row],[PRONTO ACABADO2]]</f>
        <v>0</v>
      </c>
      <c r="AT335" s="37">
        <f ca="1">IF(AG335="",0,IF(ISTEXT(AG335),H335*VALUE(SUBSTITUTE(AG335,"%",""))/100,H335*AG335))-Tabela1[[#This Row],[PESO EXPEDIDO2]]</f>
        <v>0</v>
      </c>
      <c r="AU335" s="37">
        <f t="shared" ca="1" si="62"/>
        <v>62.2</v>
      </c>
      <c r="AV335" s="37">
        <f t="shared" ca="1" si="63"/>
        <v>62.2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 ca="1"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 ca="1">Tabela1[[#This Row],[QTDE/ Fabricação]]-Tabela1[[#This Row],[QTE]]</f>
        <v>-4</v>
      </c>
      <c r="R336" s="18">
        <f t="shared" ca="1" si="59"/>
        <v>10.4</v>
      </c>
      <c r="S336" s="18">
        <f t="shared" ca="1" si="65"/>
        <v>10.4</v>
      </c>
      <c r="T336" s="19">
        <f t="shared" ca="1" si="60"/>
        <v>0</v>
      </c>
      <c r="U336" s="205">
        <v>4</v>
      </c>
      <c r="V336" s="12" t="str">
        <f>IFERROR(VLOOKUP(Tabela1[[#This Row],[COD.MDE]],'LISTA DE EMBARQUE'!B:L,11,0),"")</f>
        <v/>
      </c>
      <c r="W336" s="13"/>
      <c r="X336" s="14">
        <f ca="1">IFERROR(Tabela1[[#This Row],[QIANTIDADE EXPEDIDA]]*Tabela1[[#This Row],[PESO UNI]],"")</f>
        <v>10.4</v>
      </c>
      <c r="Y336" s="14">
        <f t="shared" ca="1" si="64"/>
        <v>0</v>
      </c>
      <c r="Z336" s="20">
        <f ca="1"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ca="1" si="61"/>
        <v>ok</v>
      </c>
      <c r="AJ336" s="5"/>
      <c r="AK336" t="str">
        <f ca="1">Tabela1[[#This Row],[Coluna1]]&amp;Tabela1[[#This Row],[PEDIDO]]</f>
        <v>P-188</v>
      </c>
      <c r="AL336"/>
      <c r="AM336"/>
      <c r="AN336"/>
      <c r="AO336" t="str">
        <f t="shared" ca="1" si="66"/>
        <v>T-072992-1/1073-TC-007</v>
      </c>
      <c r="AP336" t="str">
        <f ca="1">Tabela1[[#This Row],[TAG]]&amp;Tabela1[[#This Row],[PEDIDO]]&amp;Tabela1[[#This Row],[PRODUTO]]</f>
        <v>1073-TC-007P-188RMF</v>
      </c>
      <c r="AQ336" s="22" t="str">
        <f ca="1">Tabela1[[#This Row],[PRODUTO]]&amp;Tabela1[[#This Row],[TAG]]</f>
        <v>RMF1073-TC-007</v>
      </c>
      <c r="AR336" s="24" t="str">
        <f ca="1">Tabela1[[#This Row],[PEDIDO]]&amp;Tabela1[[#This Row],[PRODUTO]]</f>
        <v>P-188RMF</v>
      </c>
      <c r="AS336" s="37">
        <f ca="1">IF(AF336="",0,IF(ISTEXT(AF336),H336*VALUE(SUBSTITUTE(AF336,"%",""))/100,H336*AF336))-Tabela1[[#This Row],[PRONTO ACABADO2]]</f>
        <v>0</v>
      </c>
      <c r="AT336" s="37">
        <f ca="1">IF(AG336="",0,IF(ISTEXT(AG336),H336*VALUE(SUBSTITUTE(AG336,"%",""))/100,H336*AG336))-Tabela1[[#This Row],[PESO EXPEDIDO2]]</f>
        <v>0</v>
      </c>
      <c r="AU336" s="37">
        <f t="shared" ca="1" si="62"/>
        <v>10.4</v>
      </c>
      <c r="AV336" s="37">
        <f t="shared" ca="1" si="63"/>
        <v>10.4</v>
      </c>
      <c r="AW336" s="37"/>
    </row>
    <row r="337" spans="1:49" ht="15.75" hidden="1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 ca="1"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 ca="1">Tabela1[[#This Row],[QTDE/ Fabricação]]-Tabela1[[#This Row],[QTE]]</f>
        <v>-2</v>
      </c>
      <c r="R337" s="18">
        <f t="shared" ca="1" si="59"/>
        <v>27.4</v>
      </c>
      <c r="S337" s="18">
        <f t="shared" ca="1" si="65"/>
        <v>27.4</v>
      </c>
      <c r="T337" s="19">
        <f t="shared" ca="1" si="60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 ca="1">IFERROR(Tabela1[[#This Row],[QIANTIDADE EXPEDIDA]]*Tabela1[[#This Row],[PESO UNI]],"")</f>
        <v>27.4</v>
      </c>
      <c r="Y337" s="14">
        <f t="shared" ca="1" si="64"/>
        <v>0</v>
      </c>
      <c r="Z337" s="20">
        <f ca="1"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ca="1" si="61"/>
        <v>ok</v>
      </c>
      <c r="AJ337" s="5"/>
      <c r="AK337" t="str">
        <f ca="1">Tabela1[[#This Row],[Coluna1]]&amp;Tabela1[[#This Row],[PEDIDO]]</f>
        <v>P-188</v>
      </c>
      <c r="AL337"/>
      <c r="AM337"/>
      <c r="AN337"/>
      <c r="AO337" t="str">
        <f t="shared" ca="1" si="66"/>
        <v>T-072953-1/1073-TC-006</v>
      </c>
      <c r="AP337" t="str">
        <f ca="1">Tabela1[[#This Row],[TAG]]&amp;Tabela1[[#This Row],[PEDIDO]]&amp;Tabela1[[#This Row],[PRODUTO]]</f>
        <v>1073-TC-006P-188RMF</v>
      </c>
      <c r="AQ337" s="22" t="str">
        <f ca="1">Tabela1[[#This Row],[PRODUTO]]&amp;Tabela1[[#This Row],[TAG]]</f>
        <v>RMF1073-TC-006</v>
      </c>
      <c r="AR337" s="24" t="str">
        <f ca="1">Tabela1[[#This Row],[PEDIDO]]&amp;Tabela1[[#This Row],[PRODUTO]]</f>
        <v>P-188RMF</v>
      </c>
      <c r="AS337" s="37">
        <f ca="1">IF(AF337="",0,IF(ISTEXT(AF337),H337*VALUE(SUBSTITUTE(AF337,"%",""))/100,H337*AF337))-Tabela1[[#This Row],[PRONTO ACABADO2]]</f>
        <v>0</v>
      </c>
      <c r="AT337" s="37">
        <f ca="1">IF(AG337="",0,IF(ISTEXT(AG337),H337*VALUE(SUBSTITUTE(AG337,"%",""))/100,H337*AG337))-Tabela1[[#This Row],[PESO EXPEDIDO2]]</f>
        <v>0</v>
      </c>
      <c r="AU337" s="37">
        <f t="shared" ca="1" si="62"/>
        <v>27.4</v>
      </c>
      <c r="AV337" s="37">
        <f t="shared" ca="1" si="63"/>
        <v>27.4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 ca="1"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 ca="1">Tabela1[[#This Row],[QTDE/ Fabricação]]-Tabela1[[#This Row],[QTE]]</f>
        <v>-2</v>
      </c>
      <c r="R338" s="18">
        <f t="shared" ca="1" si="59"/>
        <v>27.4</v>
      </c>
      <c r="S338" s="18">
        <f t="shared" ca="1" si="65"/>
        <v>27.4</v>
      </c>
      <c r="T338" s="19">
        <f t="shared" ca="1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 ca="1">IFERROR(Tabela1[[#This Row],[QIANTIDADE EXPEDIDA]]*Tabela1[[#This Row],[PESO UNI]],"")</f>
        <v>27.4</v>
      </c>
      <c r="Y338" s="14">
        <f t="shared" ca="1" si="64"/>
        <v>0</v>
      </c>
      <c r="Z338" s="20">
        <f ca="1"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ca="1" si="61"/>
        <v>ok</v>
      </c>
      <c r="AJ338" s="5"/>
      <c r="AK338" t="str">
        <f ca="1">Tabela1[[#This Row],[Coluna1]]&amp;Tabela1[[#This Row],[PEDIDO]]</f>
        <v>P-188</v>
      </c>
      <c r="AL338"/>
      <c r="AM338"/>
      <c r="AN338"/>
      <c r="AO338" t="str">
        <f t="shared" ca="1" si="66"/>
        <v>T-072953-1/1073-TC-007</v>
      </c>
      <c r="AP338" t="str">
        <f ca="1">Tabela1[[#This Row],[TAG]]&amp;Tabela1[[#This Row],[PEDIDO]]&amp;Tabela1[[#This Row],[PRODUTO]]</f>
        <v>1073-TC-007P-188RMF</v>
      </c>
      <c r="AQ338" s="22" t="str">
        <f ca="1">Tabela1[[#This Row],[PRODUTO]]&amp;Tabela1[[#This Row],[TAG]]</f>
        <v>RMF1073-TC-007</v>
      </c>
      <c r="AR338" s="24" t="str">
        <f ca="1">Tabela1[[#This Row],[PEDIDO]]&amp;Tabela1[[#This Row],[PRODUTO]]</f>
        <v>P-188RMF</v>
      </c>
      <c r="AS338" s="37">
        <f ca="1">IF(AF338="",0,IF(ISTEXT(AF338),H338*VALUE(SUBSTITUTE(AF338,"%",""))/100,H338*AF338))-Tabela1[[#This Row],[PRONTO ACABADO2]]</f>
        <v>0</v>
      </c>
      <c r="AT338" s="37">
        <f ca="1">IF(AG338="",0,IF(ISTEXT(AG338),H338*VALUE(SUBSTITUTE(AG338,"%",""))/100,H338*AG338))-Tabela1[[#This Row],[PESO EXPEDIDO2]]</f>
        <v>0</v>
      </c>
      <c r="AU338" s="37">
        <f t="shared" ca="1" si="62"/>
        <v>27.4</v>
      </c>
      <c r="AV338" s="37">
        <f t="shared" ca="1" si="63"/>
        <v>27.4</v>
      </c>
      <c r="AW338" s="37"/>
    </row>
    <row r="339" spans="1:49" ht="15.75" hidden="1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 ca="1"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 ca="1">Tabela1[[#This Row],[QTDE/ Fabricação]]-Tabela1[[#This Row],[QTE]]</f>
        <v>-1</v>
      </c>
      <c r="R339" s="18">
        <f t="shared" ca="1" si="59"/>
        <v>36.6</v>
      </c>
      <c r="S339" s="18">
        <f t="shared" ca="1" si="65"/>
        <v>36.6</v>
      </c>
      <c r="T339" s="19">
        <f t="shared" ca="1" si="60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 ca="1">IFERROR(Tabela1[[#This Row],[QIANTIDADE EXPEDIDA]]*Tabela1[[#This Row],[PESO UNI]],"")</f>
        <v>36.6</v>
      </c>
      <c r="Y339" s="14">
        <f t="shared" ca="1" si="64"/>
        <v>0</v>
      </c>
      <c r="Z339" s="20">
        <f ca="1"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ca="1" si="61"/>
        <v>ok</v>
      </c>
      <c r="AJ339" s="5"/>
      <c r="AK339" t="str">
        <f ca="1">Tabela1[[#This Row],[Coluna1]]&amp;Tabela1[[#This Row],[PEDIDO]]</f>
        <v>P-188</v>
      </c>
      <c r="AL339"/>
      <c r="AM339"/>
      <c r="AN339"/>
      <c r="AO339" t="str">
        <f t="shared" ca="1" si="66"/>
        <v>T-072997-1/1073-TC-006</v>
      </c>
      <c r="AP339" t="str">
        <f ca="1">Tabela1[[#This Row],[TAG]]&amp;Tabela1[[#This Row],[PEDIDO]]&amp;Tabela1[[#This Row],[PRODUTO]]</f>
        <v>1073-TC-006P-188RMF</v>
      </c>
      <c r="AQ339" s="22" t="str">
        <f ca="1">Tabela1[[#This Row],[PRODUTO]]&amp;Tabela1[[#This Row],[TAG]]</f>
        <v>RMF1073-TC-006</v>
      </c>
      <c r="AR339" s="24" t="str">
        <f ca="1">Tabela1[[#This Row],[PEDIDO]]&amp;Tabela1[[#This Row],[PRODUTO]]</f>
        <v>P-188RMF</v>
      </c>
      <c r="AS339" s="37">
        <f ca="1">IF(AF339="",0,IF(ISTEXT(AF339),H339*VALUE(SUBSTITUTE(AF339,"%",""))/100,H339*AF339))-Tabela1[[#This Row],[PRONTO ACABADO2]]</f>
        <v>0</v>
      </c>
      <c r="AT339" s="37">
        <f ca="1">IF(AG339="",0,IF(ISTEXT(AG339),H339*VALUE(SUBSTITUTE(AG339,"%",""))/100,H339*AG339))-Tabela1[[#This Row],[PESO EXPEDIDO2]]</f>
        <v>0</v>
      </c>
      <c r="AU339" s="37">
        <f t="shared" ca="1" si="62"/>
        <v>36.6</v>
      </c>
      <c r="AV339" s="37">
        <f t="shared" ca="1" si="63"/>
        <v>36.6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 ca="1"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 ca="1">Tabela1[[#This Row],[QTDE/ Fabricação]]-Tabela1[[#This Row],[QTE]]</f>
        <v>-1</v>
      </c>
      <c r="R340" s="18">
        <f t="shared" ca="1" si="59"/>
        <v>36.6</v>
      </c>
      <c r="S340" s="18">
        <f t="shared" ca="1" si="65"/>
        <v>36.6</v>
      </c>
      <c r="T340" s="19">
        <f t="shared" ca="1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 ca="1">IFERROR(Tabela1[[#This Row],[QIANTIDADE EXPEDIDA]]*Tabela1[[#This Row],[PESO UNI]],"")</f>
        <v>36.6</v>
      </c>
      <c r="Y340" s="14">
        <f t="shared" ca="1" si="64"/>
        <v>0</v>
      </c>
      <c r="Z340" s="20">
        <f ca="1"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ca="1" si="61"/>
        <v>ok</v>
      </c>
      <c r="AJ340" s="5"/>
      <c r="AK340" t="str">
        <f ca="1">Tabela1[[#This Row],[Coluna1]]&amp;Tabela1[[#This Row],[PEDIDO]]</f>
        <v>P-188</v>
      </c>
      <c r="AL340"/>
      <c r="AM340"/>
      <c r="AN340"/>
      <c r="AO340" t="str">
        <f t="shared" ca="1" si="66"/>
        <v>T-072997-1/1073-TC-007</v>
      </c>
      <c r="AP340" t="str">
        <f ca="1">Tabela1[[#This Row],[TAG]]&amp;Tabela1[[#This Row],[PEDIDO]]&amp;Tabela1[[#This Row],[PRODUTO]]</f>
        <v>1073-TC-007P-188RMF</v>
      </c>
      <c r="AQ340" s="22" t="str">
        <f ca="1">Tabela1[[#This Row],[PRODUTO]]&amp;Tabela1[[#This Row],[TAG]]</f>
        <v>RMF1073-TC-007</v>
      </c>
      <c r="AR340" s="24" t="str">
        <f ca="1">Tabela1[[#This Row],[PEDIDO]]&amp;Tabela1[[#This Row],[PRODUTO]]</f>
        <v>P-188RMF</v>
      </c>
      <c r="AS340" s="37">
        <f ca="1">IF(AF340="",0,IF(ISTEXT(AF340),H340*VALUE(SUBSTITUTE(AF340,"%",""))/100,H340*AF340))-Tabela1[[#This Row],[PRONTO ACABADO2]]</f>
        <v>0</v>
      </c>
      <c r="AT340" s="37">
        <f ca="1">IF(AG340="",0,IF(ISTEXT(AG340),H340*VALUE(SUBSTITUTE(AG340,"%",""))/100,H340*AG340))-Tabela1[[#This Row],[PESO EXPEDIDO2]]</f>
        <v>0</v>
      </c>
      <c r="AU340" s="37">
        <f t="shared" ca="1" si="62"/>
        <v>36.6</v>
      </c>
      <c r="AV340" s="37">
        <f t="shared" ca="1" si="63"/>
        <v>36.6</v>
      </c>
      <c r="AW340" s="37"/>
    </row>
    <row r="341" spans="1:49" ht="15.75" hidden="1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 ca="1"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 ca="1">Tabela1[[#This Row],[QTDE/ Fabricação]]-Tabela1[[#This Row],[QTE]]</f>
        <v>-2</v>
      </c>
      <c r="R341" s="18">
        <f t="shared" ca="1" si="59"/>
        <v>12.6</v>
      </c>
      <c r="S341" s="18">
        <f t="shared" ca="1" si="65"/>
        <v>12.6</v>
      </c>
      <c r="T341" s="19">
        <f t="shared" ca="1" si="60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 ca="1">IFERROR(Tabela1[[#This Row],[QIANTIDADE EXPEDIDA]]*Tabela1[[#This Row],[PESO UNI]],"")</f>
        <v>12.6</v>
      </c>
      <c r="Y341" s="14">
        <f t="shared" ca="1" si="64"/>
        <v>0</v>
      </c>
      <c r="Z341" s="20">
        <f ca="1"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ca="1" si="61"/>
        <v>ok</v>
      </c>
      <c r="AJ341" s="5"/>
      <c r="AK341" t="str">
        <f ca="1">Tabela1[[#This Row],[Coluna1]]&amp;Tabela1[[#This Row],[PEDIDO]]</f>
        <v>P-188</v>
      </c>
      <c r="AL341"/>
      <c r="AM341"/>
      <c r="AN341"/>
      <c r="AO341" t="str">
        <f t="shared" ca="1" si="66"/>
        <v>T-072997-1/1073-TC-006</v>
      </c>
      <c r="AP341" t="str">
        <f ca="1">Tabela1[[#This Row],[TAG]]&amp;Tabela1[[#This Row],[PEDIDO]]&amp;Tabela1[[#This Row],[PRODUTO]]</f>
        <v>1073-TC-006P-188RMF</v>
      </c>
      <c r="AQ341" s="22" t="str">
        <f ca="1">Tabela1[[#This Row],[PRODUTO]]&amp;Tabela1[[#This Row],[TAG]]</f>
        <v>RMF1073-TC-006</v>
      </c>
      <c r="AR341" s="24" t="str">
        <f ca="1">Tabela1[[#This Row],[PEDIDO]]&amp;Tabela1[[#This Row],[PRODUTO]]</f>
        <v>P-188RMF</v>
      </c>
      <c r="AS341" s="37">
        <f ca="1">IF(AF341="",0,IF(ISTEXT(AF341),H341*VALUE(SUBSTITUTE(AF341,"%",""))/100,H341*AF341))-Tabela1[[#This Row],[PRONTO ACABADO2]]</f>
        <v>0</v>
      </c>
      <c r="AT341" s="37">
        <f ca="1">IF(AG341="",0,IF(ISTEXT(AG341),H341*VALUE(SUBSTITUTE(AG341,"%",""))/100,H341*AG341))-Tabela1[[#This Row],[PESO EXPEDIDO2]]</f>
        <v>0</v>
      </c>
      <c r="AU341" s="37">
        <f t="shared" ca="1" si="62"/>
        <v>12.6</v>
      </c>
      <c r="AV341" s="37">
        <f t="shared" ca="1" si="63"/>
        <v>12.6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 ca="1"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 ca="1">Tabela1[[#This Row],[QTDE/ Fabricação]]-Tabela1[[#This Row],[QTE]]</f>
        <v>-2</v>
      </c>
      <c r="R342" s="18">
        <f t="shared" ca="1" si="59"/>
        <v>12.6</v>
      </c>
      <c r="S342" s="18">
        <f t="shared" ca="1" si="65"/>
        <v>12.6</v>
      </c>
      <c r="T342" s="19">
        <f t="shared" ca="1" si="60"/>
        <v>0</v>
      </c>
      <c r="U342" s="16">
        <v>2</v>
      </c>
      <c r="V342" s="12">
        <v>13</v>
      </c>
      <c r="W342" s="13" t="str">
        <f ca="1">IFERROR(VLOOKUP(Tabela1[[#This Row],[COD.MDE]],'LISTA DE EMBARQUE'!B:M,12,0),"")</f>
        <v/>
      </c>
      <c r="X342" s="14">
        <f ca="1">IFERROR(Tabela1[[#This Row],[QIANTIDADE EXPEDIDA]]*Tabela1[[#This Row],[PESO UNI]],"")</f>
        <v>12.6</v>
      </c>
      <c r="Y342" s="14">
        <f t="shared" ca="1" si="64"/>
        <v>0</v>
      </c>
      <c r="Z342" s="20">
        <f ca="1"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ca="1" si="61"/>
        <v>ok</v>
      </c>
      <c r="AJ342" s="5"/>
      <c r="AK342" t="str">
        <f ca="1">Tabela1[[#This Row],[Coluna1]]&amp;Tabela1[[#This Row],[PEDIDO]]</f>
        <v>P-188</v>
      </c>
      <c r="AL342"/>
      <c r="AM342"/>
      <c r="AN342"/>
      <c r="AO342" t="str">
        <f t="shared" ca="1" si="66"/>
        <v>T-072997-1/1073-TC-007</v>
      </c>
      <c r="AP342" t="str">
        <f ca="1">Tabela1[[#This Row],[TAG]]&amp;Tabela1[[#This Row],[PEDIDO]]&amp;Tabela1[[#This Row],[PRODUTO]]</f>
        <v>1073-TC-007P-188RMF</v>
      </c>
      <c r="AQ342" s="22" t="str">
        <f ca="1">Tabela1[[#This Row],[PRODUTO]]&amp;Tabela1[[#This Row],[TAG]]</f>
        <v>RMF1073-TC-007</v>
      </c>
      <c r="AR342" s="24" t="str">
        <f ca="1">Tabela1[[#This Row],[PEDIDO]]&amp;Tabela1[[#This Row],[PRODUTO]]</f>
        <v>P-188RMF</v>
      </c>
      <c r="AS342" s="37">
        <f ca="1">IF(AF342="",0,IF(ISTEXT(AF342),H342*VALUE(SUBSTITUTE(AF342,"%",""))/100,H342*AF342))-Tabela1[[#This Row],[PRONTO ACABADO2]]</f>
        <v>0</v>
      </c>
      <c r="AT342" s="37">
        <f ca="1">IF(AG342="",0,IF(ISTEXT(AG342),H342*VALUE(SUBSTITUTE(AG342,"%",""))/100,H342*AG342))-Tabela1[[#This Row],[PESO EXPEDIDO2]]</f>
        <v>0</v>
      </c>
      <c r="AU342" s="37">
        <f t="shared" ca="1" si="62"/>
        <v>12.6</v>
      </c>
      <c r="AV342" s="37">
        <f t="shared" ca="1" si="63"/>
        <v>12.6</v>
      </c>
      <c r="AW342" s="37"/>
    </row>
    <row r="343" spans="1:49" ht="15.75" hidden="1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 ca="1"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 ca="1">Tabela1[[#This Row],[QTDE/ Fabricação]]-Tabela1[[#This Row],[QTE]]</f>
        <v>-2</v>
      </c>
      <c r="R343" s="18">
        <f t="shared" ca="1" si="59"/>
        <v>1.4</v>
      </c>
      <c r="S343" s="18">
        <f t="shared" ca="1" si="65"/>
        <v>1.4</v>
      </c>
      <c r="T343" s="19">
        <f t="shared" ca="1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 ca="1">IFERROR(Tabela1[[#This Row],[QIANTIDADE EXPEDIDA]]*Tabela1[[#This Row],[PESO UNI]],"")</f>
        <v>1.4</v>
      </c>
      <c r="Y343" s="14">
        <f t="shared" ca="1" si="64"/>
        <v>0</v>
      </c>
      <c r="Z343" s="20">
        <f ca="1"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ca="1" si="61"/>
        <v>ok</v>
      </c>
      <c r="AJ343" s="5"/>
      <c r="AK343" t="str">
        <f ca="1">Tabela1[[#This Row],[Coluna1]]&amp;Tabela1[[#This Row],[PEDIDO]]</f>
        <v>P-188</v>
      </c>
      <c r="AL343"/>
      <c r="AM343"/>
      <c r="AN343"/>
      <c r="AO343" t="str">
        <f t="shared" ca="1" si="66"/>
        <v>T-072997-1/1073-TC-006</v>
      </c>
      <c r="AP343" t="str">
        <f ca="1">Tabela1[[#This Row],[TAG]]&amp;Tabela1[[#This Row],[PEDIDO]]&amp;Tabela1[[#This Row],[PRODUTO]]</f>
        <v>1073-TC-006P-188RMF</v>
      </c>
      <c r="AQ343" s="22" t="str">
        <f ca="1">Tabela1[[#This Row],[PRODUTO]]&amp;Tabela1[[#This Row],[TAG]]</f>
        <v>RMF1073-TC-006</v>
      </c>
      <c r="AR343" s="24" t="str">
        <f ca="1">Tabela1[[#This Row],[PEDIDO]]&amp;Tabela1[[#This Row],[PRODUTO]]</f>
        <v>P-188RMF</v>
      </c>
      <c r="AS343" s="37">
        <f ca="1">IF(AF343="",0,IF(ISTEXT(AF343),H343*VALUE(SUBSTITUTE(AF343,"%",""))/100,H343*AF343))-Tabela1[[#This Row],[PRONTO ACABADO2]]</f>
        <v>0</v>
      </c>
      <c r="AT343" s="37">
        <f ca="1">IF(AG343="",0,IF(ISTEXT(AG343),H343*VALUE(SUBSTITUTE(AG343,"%",""))/100,H343*AG343))-Tabela1[[#This Row],[PESO EXPEDIDO2]]</f>
        <v>0</v>
      </c>
      <c r="AU343" s="37">
        <f t="shared" ca="1" si="62"/>
        <v>1.4</v>
      </c>
      <c r="AV343" s="37">
        <f t="shared" ca="1" si="63"/>
        <v>1.4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 ca="1"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 ca="1">Tabela1[[#This Row],[QTDE/ Fabricação]]-Tabela1[[#This Row],[QTE]]</f>
        <v>-2</v>
      </c>
      <c r="R344" s="18">
        <f t="shared" ca="1" si="59"/>
        <v>1.4</v>
      </c>
      <c r="S344" s="18">
        <f t="shared" ca="1" si="65"/>
        <v>1.4</v>
      </c>
      <c r="T344" s="19">
        <f t="shared" ca="1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 ca="1">IFERROR(Tabela1[[#This Row],[QIANTIDADE EXPEDIDA]]*Tabela1[[#This Row],[PESO UNI]],"")</f>
        <v>1.4</v>
      </c>
      <c r="Y344" s="14">
        <f t="shared" ca="1" si="64"/>
        <v>0</v>
      </c>
      <c r="Z344" s="20">
        <f ca="1"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ca="1" si="61"/>
        <v>ok</v>
      </c>
      <c r="AJ344" s="5"/>
      <c r="AK344" t="str">
        <f ca="1">Tabela1[[#This Row],[Coluna1]]&amp;Tabela1[[#This Row],[PEDIDO]]</f>
        <v>P-188</v>
      </c>
      <c r="AL344"/>
      <c r="AM344"/>
      <c r="AN344"/>
      <c r="AO344" t="str">
        <f t="shared" ca="1" si="66"/>
        <v>T-072997-1/1073-TC-007</v>
      </c>
      <c r="AP344" t="str">
        <f ca="1">Tabela1[[#This Row],[TAG]]&amp;Tabela1[[#This Row],[PEDIDO]]&amp;Tabela1[[#This Row],[PRODUTO]]</f>
        <v>1073-TC-007P-188RMF</v>
      </c>
      <c r="AQ344" s="22" t="str">
        <f ca="1">Tabela1[[#This Row],[PRODUTO]]&amp;Tabela1[[#This Row],[TAG]]</f>
        <v>RMF1073-TC-007</v>
      </c>
      <c r="AR344" s="24" t="str">
        <f ca="1">Tabela1[[#This Row],[PEDIDO]]&amp;Tabela1[[#This Row],[PRODUTO]]</f>
        <v>P-188RMF</v>
      </c>
      <c r="AS344" s="37">
        <f ca="1">IF(AF344="",0,IF(ISTEXT(AF344),H344*VALUE(SUBSTITUTE(AF344,"%",""))/100,H344*AF344))-Tabela1[[#This Row],[PRONTO ACABADO2]]</f>
        <v>0</v>
      </c>
      <c r="AT344" s="37">
        <f ca="1">IF(AG344="",0,IF(ISTEXT(AG344),H344*VALUE(SUBSTITUTE(AG344,"%",""))/100,H344*AG344))-Tabela1[[#This Row],[PESO EXPEDIDO2]]</f>
        <v>0</v>
      </c>
      <c r="AU344" s="37">
        <f t="shared" ca="1" si="62"/>
        <v>1.4</v>
      </c>
      <c r="AV344" s="37">
        <f t="shared" ca="1" si="63"/>
        <v>1.4</v>
      </c>
      <c r="AW344" s="37"/>
    </row>
    <row r="345" spans="1:49" ht="15.75" hidden="1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 ca="1"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 ca="1">Tabela1[[#This Row],[QTDE/ Fabricação]]-Tabela1[[#This Row],[QTE]]</f>
        <v>-1</v>
      </c>
      <c r="R345" s="18">
        <f t="shared" ref="R345:R408" ca="1" si="67">IFERROR(H345*((AA345*0.25)+(AC345*0.25)+(AD345*0.225)+(AE345*0.225)+(AF345*0.05)),"")</f>
        <v>11.3</v>
      </c>
      <c r="S345" s="18">
        <f t="shared" ca="1" si="65"/>
        <v>11.3</v>
      </c>
      <c r="T345" s="19">
        <f t="shared" ref="T345:T354" ca="1" si="68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 ca="1">IFERROR(Tabela1[[#This Row],[QIANTIDADE EXPEDIDA]]*Tabela1[[#This Row],[PESO UNI]],"")</f>
        <v>11.3</v>
      </c>
      <c r="Y345" s="14">
        <f t="shared" ca="1" si="64"/>
        <v>0</v>
      </c>
      <c r="Z345" s="20">
        <f ca="1"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ca="1" si="61"/>
        <v>ok</v>
      </c>
      <c r="AJ345" s="5"/>
      <c r="AK345" t="str">
        <f ca="1">Tabela1[[#This Row],[Coluna1]]&amp;Tabela1[[#This Row],[PEDIDO]]</f>
        <v>P-188</v>
      </c>
      <c r="AL345"/>
      <c r="AM345"/>
      <c r="AN345"/>
      <c r="AO345" t="str">
        <f t="shared" ca="1" si="66"/>
        <v>T-072993-1/1073-TC-006</v>
      </c>
      <c r="AP345" t="str">
        <f ca="1">Tabela1[[#This Row],[TAG]]&amp;Tabela1[[#This Row],[PEDIDO]]&amp;Tabela1[[#This Row],[PRODUTO]]</f>
        <v>1073-TC-006P-188RMF</v>
      </c>
      <c r="AQ345" s="22" t="str">
        <f ca="1">Tabela1[[#This Row],[PRODUTO]]&amp;Tabela1[[#This Row],[TAG]]</f>
        <v>RMF1073-TC-006</v>
      </c>
      <c r="AR345" s="24" t="str">
        <f ca="1">Tabela1[[#This Row],[PEDIDO]]&amp;Tabela1[[#This Row],[PRODUTO]]</f>
        <v>P-188RMF</v>
      </c>
      <c r="AS345" s="37">
        <f ca="1">IF(AF345="",0,IF(ISTEXT(AF345),H345*VALUE(SUBSTITUTE(AF345,"%",""))/100,H345*AF345))-Tabela1[[#This Row],[PRONTO ACABADO2]]</f>
        <v>0</v>
      </c>
      <c r="AT345" s="37">
        <f ca="1">IF(AG345="",0,IF(ISTEXT(AG345),H345*VALUE(SUBSTITUTE(AG345,"%",""))/100,H345*AG345))-Tabela1[[#This Row],[PESO EXPEDIDO2]]</f>
        <v>0</v>
      </c>
      <c r="AU345" s="37">
        <f t="shared" ca="1" si="62"/>
        <v>11.3</v>
      </c>
      <c r="AV345" s="37">
        <f t="shared" ca="1" si="63"/>
        <v>11.3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 ca="1"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 ca="1">Tabela1[[#This Row],[QTDE/ Fabricação]]-Tabela1[[#This Row],[QTE]]</f>
        <v>-1</v>
      </c>
      <c r="R346" s="18">
        <f t="shared" ca="1" si="67"/>
        <v>11.3</v>
      </c>
      <c r="S346" s="18">
        <f t="shared" ca="1" si="65"/>
        <v>11.3</v>
      </c>
      <c r="T346" s="19">
        <f t="shared" ca="1" si="68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 ca="1">IFERROR(Tabela1[[#This Row],[QIANTIDADE EXPEDIDA]]*Tabela1[[#This Row],[PESO UNI]],"")</f>
        <v>11.3</v>
      </c>
      <c r="Y346" s="14">
        <f t="shared" ca="1" si="64"/>
        <v>0</v>
      </c>
      <c r="Z346" s="20">
        <f ca="1"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ca="1" si="61"/>
        <v>ok</v>
      </c>
      <c r="AJ346" s="5"/>
      <c r="AK346" t="str">
        <f ca="1">Tabela1[[#This Row],[Coluna1]]&amp;Tabela1[[#This Row],[PEDIDO]]</f>
        <v>P-188</v>
      </c>
      <c r="AL346"/>
      <c r="AM346"/>
      <c r="AN346"/>
      <c r="AO346" t="str">
        <f t="shared" ca="1" si="66"/>
        <v>T-072993-1/1073-TC-007</v>
      </c>
      <c r="AP346" t="str">
        <f ca="1">Tabela1[[#This Row],[TAG]]&amp;Tabela1[[#This Row],[PEDIDO]]&amp;Tabela1[[#This Row],[PRODUTO]]</f>
        <v>1073-TC-007P-188RMF</v>
      </c>
      <c r="AQ346" s="22" t="str">
        <f ca="1">Tabela1[[#This Row],[PRODUTO]]&amp;Tabela1[[#This Row],[TAG]]</f>
        <v>RMF1073-TC-007</v>
      </c>
      <c r="AR346" s="24" t="str">
        <f ca="1">Tabela1[[#This Row],[PEDIDO]]&amp;Tabela1[[#This Row],[PRODUTO]]</f>
        <v>P-188RMF</v>
      </c>
      <c r="AS346" s="37">
        <f ca="1">IF(AF346="",0,IF(ISTEXT(AF346),H346*VALUE(SUBSTITUTE(AF346,"%",""))/100,H346*AF346))-Tabela1[[#This Row],[PRONTO ACABADO2]]</f>
        <v>0</v>
      </c>
      <c r="AT346" s="37">
        <f ca="1">IF(AG346="",0,IF(ISTEXT(AG346),H346*VALUE(SUBSTITUTE(AG346,"%",""))/100,H346*AG346))-Tabela1[[#This Row],[PESO EXPEDIDO2]]</f>
        <v>0</v>
      </c>
      <c r="AU346" s="37">
        <f t="shared" ca="1" si="62"/>
        <v>11.3</v>
      </c>
      <c r="AV346" s="37">
        <f t="shared" ca="1" si="63"/>
        <v>11.3</v>
      </c>
      <c r="AW346" s="37"/>
    </row>
    <row r="347" spans="1:49" ht="15.75" hidden="1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 ca="1"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 ca="1">Tabela1[[#This Row],[QTDE/ Fabricação]]-Tabela1[[#This Row],[QTE]]</f>
        <v>-1</v>
      </c>
      <c r="R347" s="18">
        <f t="shared" ca="1" si="67"/>
        <v>11.3</v>
      </c>
      <c r="S347" s="18">
        <f t="shared" ca="1" si="65"/>
        <v>11.3</v>
      </c>
      <c r="T347" s="19">
        <f t="shared" ca="1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 ca="1">IFERROR(Tabela1[[#This Row],[QIANTIDADE EXPEDIDA]]*Tabela1[[#This Row],[PESO UNI]],"")</f>
        <v>11.3</v>
      </c>
      <c r="Y347" s="14">
        <f t="shared" ca="1" si="64"/>
        <v>0</v>
      </c>
      <c r="Z347" s="20">
        <f ca="1"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ca="1" si="69">IF(Z347&lt;=0,"ok","")</f>
        <v>ok</v>
      </c>
      <c r="AJ347" s="5"/>
      <c r="AK347" t="str">
        <f ca="1">Tabela1[[#This Row],[Coluna1]]&amp;Tabela1[[#This Row],[PEDIDO]]</f>
        <v>P-188</v>
      </c>
      <c r="AL347"/>
      <c r="AM347"/>
      <c r="AN347"/>
      <c r="AO347" t="str">
        <f t="shared" ca="1" si="66"/>
        <v>T-072993-1/1073-TC-006</v>
      </c>
      <c r="AP347" t="str">
        <f ca="1">Tabela1[[#This Row],[TAG]]&amp;Tabela1[[#This Row],[PEDIDO]]&amp;Tabela1[[#This Row],[PRODUTO]]</f>
        <v>1073-TC-006P-188RMF</v>
      </c>
      <c r="AQ347" s="22" t="str">
        <f ca="1">Tabela1[[#This Row],[PRODUTO]]&amp;Tabela1[[#This Row],[TAG]]</f>
        <v>RMF1073-TC-006</v>
      </c>
      <c r="AR347" s="24" t="str">
        <f ca="1">Tabela1[[#This Row],[PEDIDO]]&amp;Tabela1[[#This Row],[PRODUTO]]</f>
        <v>P-188RMF</v>
      </c>
      <c r="AS347" s="37">
        <f ca="1">IF(AF347="",0,IF(ISTEXT(AF347),H347*VALUE(SUBSTITUTE(AF347,"%",""))/100,H347*AF347))-Tabela1[[#This Row],[PRONTO ACABADO2]]</f>
        <v>0</v>
      </c>
      <c r="AT347" s="37">
        <f ca="1">IF(AG347="",0,IF(ISTEXT(AG347),H347*VALUE(SUBSTITUTE(AG347,"%",""))/100,H347*AG347))-Tabela1[[#This Row],[PESO EXPEDIDO2]]</f>
        <v>0</v>
      </c>
      <c r="AU347" s="37">
        <f t="shared" ca="1" si="62"/>
        <v>11.3</v>
      </c>
      <c r="AV347" s="37">
        <f t="shared" ca="1" si="63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 ca="1"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 ca="1">Tabela1[[#This Row],[QTDE/ Fabricação]]-Tabela1[[#This Row],[QTE]]</f>
        <v>-1</v>
      </c>
      <c r="R348" s="18">
        <f t="shared" ca="1" si="67"/>
        <v>11.3</v>
      </c>
      <c r="S348" s="18">
        <f t="shared" ca="1" si="65"/>
        <v>11.3</v>
      </c>
      <c r="T348" s="19">
        <f t="shared" ca="1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 ca="1">IFERROR(Tabela1[[#This Row],[QIANTIDADE EXPEDIDA]]*Tabela1[[#This Row],[PESO UNI]],"")</f>
        <v>11.3</v>
      </c>
      <c r="Y348" s="14">
        <f t="shared" ca="1" si="64"/>
        <v>0</v>
      </c>
      <c r="Z348" s="20">
        <f ca="1"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ca="1" si="69"/>
        <v>ok</v>
      </c>
      <c r="AJ348" s="5"/>
      <c r="AK348" t="str">
        <f ca="1">Tabela1[[#This Row],[Coluna1]]&amp;Tabela1[[#This Row],[PEDIDO]]</f>
        <v>P-188</v>
      </c>
      <c r="AL348"/>
      <c r="AM348"/>
      <c r="AN348"/>
      <c r="AO348" t="str">
        <f t="shared" ca="1" si="66"/>
        <v>T-072993-1/1073-TC-007</v>
      </c>
      <c r="AP348" t="str">
        <f ca="1">Tabela1[[#This Row],[TAG]]&amp;Tabela1[[#This Row],[PEDIDO]]&amp;Tabela1[[#This Row],[PRODUTO]]</f>
        <v>1073-TC-007P-188RMF</v>
      </c>
      <c r="AQ348" s="22" t="str">
        <f ca="1">Tabela1[[#This Row],[PRODUTO]]&amp;Tabela1[[#This Row],[TAG]]</f>
        <v>RMF1073-TC-007</v>
      </c>
      <c r="AR348" s="24" t="str">
        <f ca="1">Tabela1[[#This Row],[PEDIDO]]&amp;Tabela1[[#This Row],[PRODUTO]]</f>
        <v>P-188RMF</v>
      </c>
      <c r="AS348" s="37">
        <f ca="1">IF(AF348="",0,IF(ISTEXT(AF348),H348*VALUE(SUBSTITUTE(AF348,"%",""))/100,H348*AF348))-Tabela1[[#This Row],[PRONTO ACABADO2]]</f>
        <v>0</v>
      </c>
      <c r="AT348" s="37">
        <f ca="1">IF(AG348="",0,IF(ISTEXT(AG348),H348*VALUE(SUBSTITUTE(AG348,"%",""))/100,H348*AG348))-Tabela1[[#This Row],[PESO EXPEDIDO2]]</f>
        <v>0</v>
      </c>
      <c r="AU348" s="37">
        <f t="shared" ca="1" si="62"/>
        <v>11.3</v>
      </c>
      <c r="AV348" s="37">
        <f t="shared" ca="1" si="63"/>
        <v>11.3</v>
      </c>
      <c r="AW348" s="37"/>
    </row>
    <row r="349" spans="1:49" ht="15.75" hidden="1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 ca="1"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 ca="1">Tabela1[[#This Row],[QTDE/ Fabricação]]-Tabela1[[#This Row],[QTE]]</f>
        <v>-1</v>
      </c>
      <c r="R349" s="18">
        <f t="shared" ca="1" si="67"/>
        <v>19.8</v>
      </c>
      <c r="S349" s="18">
        <f t="shared" ca="1" si="65"/>
        <v>19.8</v>
      </c>
      <c r="T349" s="19">
        <f t="shared" ca="1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 ca="1">IFERROR(Tabela1[[#This Row],[QIANTIDADE EXPEDIDA]]*Tabela1[[#This Row],[PESO UNI]],"")</f>
        <v>19.8</v>
      </c>
      <c r="Y349" s="14">
        <f t="shared" ca="1" si="64"/>
        <v>0</v>
      </c>
      <c r="Z349" s="20">
        <f ca="1"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ca="1" si="69"/>
        <v>ok</v>
      </c>
      <c r="AJ349" s="5"/>
      <c r="AK349" t="str">
        <f ca="1">Tabela1[[#This Row],[Coluna1]]&amp;Tabela1[[#This Row],[PEDIDO]]</f>
        <v>P-188</v>
      </c>
      <c r="AL349"/>
      <c r="AM349"/>
      <c r="AN349"/>
      <c r="AO349" t="str">
        <f t="shared" ca="1" si="66"/>
        <v>T-072993-1/1073-TC-006</v>
      </c>
      <c r="AP349" t="str">
        <f ca="1">Tabela1[[#This Row],[TAG]]&amp;Tabela1[[#This Row],[PEDIDO]]&amp;Tabela1[[#This Row],[PRODUTO]]</f>
        <v>1073-TC-006P-188RMF</v>
      </c>
      <c r="AQ349" s="22" t="str">
        <f ca="1">Tabela1[[#This Row],[PRODUTO]]&amp;Tabela1[[#This Row],[TAG]]</f>
        <v>RMF1073-TC-006</v>
      </c>
      <c r="AR349" s="24" t="str">
        <f ca="1">Tabela1[[#This Row],[PEDIDO]]&amp;Tabela1[[#This Row],[PRODUTO]]</f>
        <v>P-188RMF</v>
      </c>
      <c r="AS349" s="37">
        <f ca="1">IF(AF349="",0,IF(ISTEXT(AF349),H349*VALUE(SUBSTITUTE(AF349,"%",""))/100,H349*AF349))-Tabela1[[#This Row],[PRONTO ACABADO2]]</f>
        <v>0</v>
      </c>
      <c r="AT349" s="37">
        <f ca="1">IF(AG349="",0,IF(ISTEXT(AG349),H349*VALUE(SUBSTITUTE(AG349,"%",""))/100,H349*AG349))-Tabela1[[#This Row],[PESO EXPEDIDO2]]</f>
        <v>0</v>
      </c>
      <c r="AU349" s="37">
        <f t="shared" ca="1" si="62"/>
        <v>19.8</v>
      </c>
      <c r="AV349" s="37">
        <f t="shared" ca="1" si="63"/>
        <v>19.8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 ca="1"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 ca="1">Tabela1[[#This Row],[QTDE/ Fabricação]]-Tabela1[[#This Row],[QTE]]</f>
        <v>-1</v>
      </c>
      <c r="R350" s="18">
        <f t="shared" ca="1" si="67"/>
        <v>19.8</v>
      </c>
      <c r="S350" s="18">
        <f t="shared" ca="1" si="65"/>
        <v>19.8</v>
      </c>
      <c r="T350" s="19">
        <f t="shared" ca="1" si="68"/>
        <v>0</v>
      </c>
      <c r="U350" s="16">
        <v>1</v>
      </c>
      <c r="V350" s="12">
        <v>13</v>
      </c>
      <c r="W350" s="13" t="str">
        <f ca="1">IFERROR(VLOOKUP(Tabela1[[#This Row],[COD.MDE]],'LISTA DE EMBARQUE'!B:M,12,0),"")</f>
        <v/>
      </c>
      <c r="X350" s="14">
        <f ca="1">IFERROR(Tabela1[[#This Row],[QIANTIDADE EXPEDIDA]]*Tabela1[[#This Row],[PESO UNI]],"")</f>
        <v>19.8</v>
      </c>
      <c r="Y350" s="14">
        <f t="shared" ca="1" si="64"/>
        <v>0</v>
      </c>
      <c r="Z350" s="20">
        <f ca="1"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ca="1" si="69"/>
        <v>ok</v>
      </c>
      <c r="AJ350" s="5"/>
      <c r="AK350" t="str">
        <f ca="1">Tabela1[[#This Row],[Coluna1]]&amp;Tabela1[[#This Row],[PEDIDO]]</f>
        <v>P-188</v>
      </c>
      <c r="AL350"/>
      <c r="AM350"/>
      <c r="AN350"/>
      <c r="AO350" t="str">
        <f t="shared" ca="1" si="66"/>
        <v>T-072993-1/1073-TC-007</v>
      </c>
      <c r="AP350" t="str">
        <f ca="1">Tabela1[[#This Row],[TAG]]&amp;Tabela1[[#This Row],[PEDIDO]]&amp;Tabela1[[#This Row],[PRODUTO]]</f>
        <v>1073-TC-007P-188RMF</v>
      </c>
      <c r="AQ350" s="22" t="str">
        <f ca="1">Tabela1[[#This Row],[PRODUTO]]&amp;Tabela1[[#This Row],[TAG]]</f>
        <v>RMF1073-TC-007</v>
      </c>
      <c r="AR350" s="24" t="str">
        <f ca="1">Tabela1[[#This Row],[PEDIDO]]&amp;Tabela1[[#This Row],[PRODUTO]]</f>
        <v>P-188RMF</v>
      </c>
      <c r="AS350" s="37">
        <f ca="1">IF(AF350="",0,IF(ISTEXT(AF350),H350*VALUE(SUBSTITUTE(AF350,"%",""))/100,H350*AF350))-Tabela1[[#This Row],[PRONTO ACABADO2]]</f>
        <v>0</v>
      </c>
      <c r="AT350" s="37">
        <f ca="1">IF(AG350="",0,IF(ISTEXT(AG350),H350*VALUE(SUBSTITUTE(AG350,"%",""))/100,H350*AG350))-Tabela1[[#This Row],[PESO EXPEDIDO2]]</f>
        <v>0</v>
      </c>
      <c r="AU350" s="37">
        <f t="shared" ca="1" si="62"/>
        <v>19.8</v>
      </c>
      <c r="AV350" s="37">
        <f t="shared" ca="1" si="63"/>
        <v>19.8</v>
      </c>
      <c r="AW350" s="37"/>
    </row>
    <row r="351" spans="1:49" ht="15.75" hidden="1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 ca="1"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 ca="1">Tabela1[[#This Row],[QTDE/ Fabricação]]-Tabela1[[#This Row],[QTE]]</f>
        <v>-1</v>
      </c>
      <c r="R351" s="18">
        <f t="shared" ca="1" si="67"/>
        <v>24.9</v>
      </c>
      <c r="S351" s="18">
        <f t="shared" ca="1" si="65"/>
        <v>24.9</v>
      </c>
      <c r="T351" s="19">
        <f t="shared" ca="1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 ca="1">IFERROR(Tabela1[[#This Row],[QIANTIDADE EXPEDIDA]]*Tabela1[[#This Row],[PESO UNI]],"")</f>
        <v>24.9</v>
      </c>
      <c r="Y351" s="14">
        <f t="shared" ca="1" si="64"/>
        <v>0</v>
      </c>
      <c r="Z351" s="20">
        <f ca="1"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ca="1" si="69"/>
        <v>ok</v>
      </c>
      <c r="AJ351" s="5"/>
      <c r="AK351" t="str">
        <f ca="1">Tabela1[[#This Row],[Coluna1]]&amp;Tabela1[[#This Row],[PEDIDO]]</f>
        <v>P-188</v>
      </c>
      <c r="AL351"/>
      <c r="AM351"/>
      <c r="AN351"/>
      <c r="AO351" t="str">
        <f t="shared" ca="1" si="66"/>
        <v>T-072993-1/1073-TC-006</v>
      </c>
      <c r="AP351" t="str">
        <f ca="1">Tabela1[[#This Row],[TAG]]&amp;Tabela1[[#This Row],[PEDIDO]]&amp;Tabela1[[#This Row],[PRODUTO]]</f>
        <v>1073-TC-006P-188RMF</v>
      </c>
      <c r="AQ351" s="22" t="str">
        <f ca="1">Tabela1[[#This Row],[PRODUTO]]&amp;Tabela1[[#This Row],[TAG]]</f>
        <v>RMF1073-TC-006</v>
      </c>
      <c r="AR351" s="24" t="str">
        <f ca="1">Tabela1[[#This Row],[PEDIDO]]&amp;Tabela1[[#This Row],[PRODUTO]]</f>
        <v>P-188RMF</v>
      </c>
      <c r="AS351" s="37">
        <f ca="1">IF(AF351="",0,IF(ISTEXT(AF351),H351*VALUE(SUBSTITUTE(AF351,"%",""))/100,H351*AF351))-Tabela1[[#This Row],[PRONTO ACABADO2]]</f>
        <v>0</v>
      </c>
      <c r="AT351" s="37">
        <f ca="1">IF(AG351="",0,IF(ISTEXT(AG351),H351*VALUE(SUBSTITUTE(AG351,"%",""))/100,H351*AG351))-Tabela1[[#This Row],[PESO EXPEDIDO2]]</f>
        <v>0</v>
      </c>
      <c r="AU351" s="37">
        <f t="shared" ca="1" si="62"/>
        <v>24.9</v>
      </c>
      <c r="AV351" s="37">
        <f t="shared" ca="1" si="63"/>
        <v>24.9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 ca="1"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 ca="1">Tabela1[[#This Row],[QTDE/ Fabricação]]-Tabela1[[#This Row],[QTE]]</f>
        <v>-1</v>
      </c>
      <c r="R352" s="18">
        <f t="shared" ca="1" si="67"/>
        <v>24.9</v>
      </c>
      <c r="S352" s="18">
        <f t="shared" ca="1" si="65"/>
        <v>24.9</v>
      </c>
      <c r="T352" s="19">
        <f t="shared" ca="1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 ca="1">IFERROR(Tabela1[[#This Row],[QIANTIDADE EXPEDIDA]]*Tabela1[[#This Row],[PESO UNI]],"")</f>
        <v>24.9</v>
      </c>
      <c r="Y352" s="14">
        <f t="shared" ca="1" si="64"/>
        <v>0</v>
      </c>
      <c r="Z352" s="20">
        <f ca="1"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ca="1" si="69"/>
        <v>ok</v>
      </c>
      <c r="AJ352" s="5"/>
      <c r="AK352" t="str">
        <f ca="1">Tabela1[[#This Row],[Coluna1]]&amp;Tabela1[[#This Row],[PEDIDO]]</f>
        <v>P-188</v>
      </c>
      <c r="AL352"/>
      <c r="AM352"/>
      <c r="AN352"/>
      <c r="AO352" t="str">
        <f t="shared" ca="1" si="66"/>
        <v>T-072993-1/1073-TC-007</v>
      </c>
      <c r="AP352" t="str">
        <f ca="1">Tabela1[[#This Row],[TAG]]&amp;Tabela1[[#This Row],[PEDIDO]]&amp;Tabela1[[#This Row],[PRODUTO]]</f>
        <v>1073-TC-007P-188RMF</v>
      </c>
      <c r="AQ352" s="22" t="str">
        <f ca="1">Tabela1[[#This Row],[PRODUTO]]&amp;Tabela1[[#This Row],[TAG]]</f>
        <v>RMF1073-TC-007</v>
      </c>
      <c r="AR352" s="24" t="str">
        <f ca="1">Tabela1[[#This Row],[PEDIDO]]&amp;Tabela1[[#This Row],[PRODUTO]]</f>
        <v>P-188RMF</v>
      </c>
      <c r="AS352" s="37">
        <f ca="1">IF(AF352="",0,IF(ISTEXT(AF352),H352*VALUE(SUBSTITUTE(AF352,"%",""))/100,H352*AF352))-Tabela1[[#This Row],[PRONTO ACABADO2]]</f>
        <v>0</v>
      </c>
      <c r="AT352" s="37">
        <f ca="1">IF(AG352="",0,IF(ISTEXT(AG352),H352*VALUE(SUBSTITUTE(AG352,"%",""))/100,H352*AG352))-Tabela1[[#This Row],[PESO EXPEDIDO2]]</f>
        <v>0</v>
      </c>
      <c r="AU352" s="37">
        <f t="shared" ca="1" si="62"/>
        <v>24.9</v>
      </c>
      <c r="AV352" s="37">
        <f t="shared" ca="1" si="63"/>
        <v>24.9</v>
      </c>
      <c r="AW352" s="37"/>
    </row>
    <row r="353" spans="1:49" ht="15.75" hidden="1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 ca="1"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 ca="1">Tabela1[[#This Row],[QTDE/ Fabricação]]-Tabela1[[#This Row],[QTE]]</f>
        <v>-2</v>
      </c>
      <c r="R353" s="18">
        <f t="shared" ca="1" si="67"/>
        <v>74</v>
      </c>
      <c r="S353" s="18">
        <f t="shared" ca="1" si="65"/>
        <v>74</v>
      </c>
      <c r="T353" s="19">
        <f t="shared" ca="1" si="68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 ca="1">IFERROR(Tabela1[[#This Row],[QIANTIDADE EXPEDIDA]]*Tabela1[[#This Row],[PESO UNI]],"")</f>
        <v>74</v>
      </c>
      <c r="Y353" s="14">
        <f t="shared" ca="1" si="64"/>
        <v>0</v>
      </c>
      <c r="Z353" s="20">
        <f ca="1"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ca="1" si="69"/>
        <v>ok</v>
      </c>
      <c r="AJ353" s="5"/>
      <c r="AK353" t="str">
        <f ca="1">Tabela1[[#This Row],[Coluna1]]&amp;Tabela1[[#This Row],[PEDIDO]]</f>
        <v>P-188</v>
      </c>
      <c r="AL353"/>
      <c r="AM353"/>
      <c r="AN353"/>
      <c r="AO353" t="str">
        <f t="shared" ca="1" si="66"/>
        <v>T-072993-1/1073-TC-006</v>
      </c>
      <c r="AP353" t="str">
        <f ca="1">Tabela1[[#This Row],[TAG]]&amp;Tabela1[[#This Row],[PEDIDO]]&amp;Tabela1[[#This Row],[PRODUTO]]</f>
        <v>1073-TC-006P-188RMF</v>
      </c>
      <c r="AQ353" s="22" t="str">
        <f ca="1">Tabela1[[#This Row],[PRODUTO]]&amp;Tabela1[[#This Row],[TAG]]</f>
        <v>RMF1073-TC-006</v>
      </c>
      <c r="AR353" s="24" t="str">
        <f ca="1">Tabela1[[#This Row],[PEDIDO]]&amp;Tabela1[[#This Row],[PRODUTO]]</f>
        <v>P-188RMF</v>
      </c>
      <c r="AS353" s="37">
        <f ca="1">IF(AF353="",0,IF(ISTEXT(AF353),H353*VALUE(SUBSTITUTE(AF353,"%",""))/100,H353*AF353))-Tabela1[[#This Row],[PRONTO ACABADO2]]</f>
        <v>0</v>
      </c>
      <c r="AT353" s="37">
        <f ca="1">IF(AG353="",0,IF(ISTEXT(AG353),H353*VALUE(SUBSTITUTE(AG353,"%",""))/100,H353*AG353))-Tabela1[[#This Row],[PESO EXPEDIDO2]]</f>
        <v>0</v>
      </c>
      <c r="AU353" s="37">
        <f t="shared" ca="1" si="62"/>
        <v>74</v>
      </c>
      <c r="AV353" s="37">
        <f t="shared" ca="1" si="63"/>
        <v>74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 ca="1"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 ca="1">Tabela1[[#This Row],[QTDE/ Fabricação]]-Tabela1[[#This Row],[QTE]]</f>
        <v>-2</v>
      </c>
      <c r="R354" s="18">
        <f t="shared" ca="1" si="67"/>
        <v>74</v>
      </c>
      <c r="S354" s="18">
        <f t="shared" ca="1" si="65"/>
        <v>74</v>
      </c>
      <c r="T354" s="19">
        <f t="shared" ca="1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 ca="1">IFERROR(Tabela1[[#This Row],[QIANTIDADE EXPEDIDA]]*Tabela1[[#This Row],[PESO UNI]],"")</f>
        <v>74</v>
      </c>
      <c r="Y354" s="14">
        <f t="shared" ca="1" si="64"/>
        <v>0</v>
      </c>
      <c r="Z354" s="20">
        <f ca="1"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ca="1" si="69"/>
        <v>ok</v>
      </c>
      <c r="AJ354" s="5"/>
      <c r="AK354" t="str">
        <f ca="1">Tabela1[[#This Row],[Coluna1]]&amp;Tabela1[[#This Row],[PEDIDO]]</f>
        <v>P-188</v>
      </c>
      <c r="AL354"/>
      <c r="AM354"/>
      <c r="AN354"/>
      <c r="AO354" t="str">
        <f t="shared" ca="1" si="66"/>
        <v>T-072993-1/1073-TC-007</v>
      </c>
      <c r="AP354" t="str">
        <f ca="1">Tabela1[[#This Row],[TAG]]&amp;Tabela1[[#This Row],[PEDIDO]]&amp;Tabela1[[#This Row],[PRODUTO]]</f>
        <v>1073-TC-007P-188RMF</v>
      </c>
      <c r="AQ354" s="22" t="str">
        <f ca="1">Tabela1[[#This Row],[PRODUTO]]&amp;Tabela1[[#This Row],[TAG]]</f>
        <v>RMF1073-TC-007</v>
      </c>
      <c r="AR354" s="24" t="str">
        <f ca="1">Tabela1[[#This Row],[PEDIDO]]&amp;Tabela1[[#This Row],[PRODUTO]]</f>
        <v>P-188RMF</v>
      </c>
      <c r="AS354" s="37">
        <f ca="1">IF(AF354="",0,IF(ISTEXT(AF354),H354*VALUE(SUBSTITUTE(AF354,"%",""))/100,H354*AF354))-Tabela1[[#This Row],[PRONTO ACABADO2]]</f>
        <v>0</v>
      </c>
      <c r="AT354" s="37">
        <f ca="1">IF(AG354="",0,IF(ISTEXT(AG354),H354*VALUE(SUBSTITUTE(AG354,"%",""))/100,H354*AG354))-Tabela1[[#This Row],[PESO EXPEDIDO2]]</f>
        <v>0</v>
      </c>
      <c r="AU354" s="37">
        <f t="shared" ca="1" si="62"/>
        <v>74</v>
      </c>
      <c r="AV354" s="37">
        <f t="shared" ca="1" si="63"/>
        <v>74</v>
      </c>
      <c r="AW354" s="37"/>
    </row>
    <row r="355" spans="1:49" ht="15.75" hidden="1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 ca="1"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 ca="1">Tabela1[[#This Row],[QTDE/ Fabricação]]-Tabela1[[#This Row],[QTE]]</f>
        <v>-2</v>
      </c>
      <c r="R355" s="18">
        <f t="shared" ca="1" si="67"/>
        <v>65</v>
      </c>
      <c r="S355" s="18">
        <f t="shared" ca="1" si="65"/>
        <v>65</v>
      </c>
      <c r="T355" s="19">
        <f t="shared" ref="T355:T418" ca="1" si="70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 ca="1">IFERROR(Tabela1[[#This Row],[QIANTIDADE EXPEDIDA]]*Tabela1[[#This Row],[PESO UNI]],"")</f>
        <v>65</v>
      </c>
      <c r="Y355" s="14">
        <f t="shared" ref="Y355:Y418" ca="1" si="71">U355-C355</f>
        <v>0</v>
      </c>
      <c r="Z355" s="20">
        <f ca="1"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ca="1" si="69"/>
        <v>ok</v>
      </c>
      <c r="AJ355" s="5"/>
      <c r="AK355" t="str">
        <f ca="1">Tabela1[[#This Row],[Coluna1]]&amp;Tabela1[[#This Row],[PEDIDO]]</f>
        <v>P-188</v>
      </c>
      <c r="AL355"/>
      <c r="AM355"/>
      <c r="AN355"/>
      <c r="AO355" t="str">
        <f t="shared" ca="1" si="66"/>
        <v>T-072993-1/1073-TC-006</v>
      </c>
      <c r="AP355" t="str">
        <f ca="1">Tabela1[[#This Row],[TAG]]&amp;Tabela1[[#This Row],[PEDIDO]]&amp;Tabela1[[#This Row],[PRODUTO]]</f>
        <v>1073-TC-006P-188RMF</v>
      </c>
      <c r="AQ355" s="22" t="str">
        <f ca="1">Tabela1[[#This Row],[PRODUTO]]&amp;Tabela1[[#This Row],[TAG]]</f>
        <v>RMF1073-TC-006</v>
      </c>
      <c r="AR355" s="24" t="str">
        <f ca="1">Tabela1[[#This Row],[PEDIDO]]&amp;Tabela1[[#This Row],[PRODUTO]]</f>
        <v>P-188RMF</v>
      </c>
      <c r="AS355" s="37">
        <f ca="1">IF(AF355="",0,IF(ISTEXT(AF355),H355*VALUE(SUBSTITUTE(AF355,"%",""))/100,H355*AF355))-Tabela1[[#This Row],[PRONTO ACABADO2]]</f>
        <v>0</v>
      </c>
      <c r="AT355" s="37">
        <f ca="1">IF(AG355="",0,IF(ISTEXT(AG355),H355*VALUE(SUBSTITUTE(AG355,"%",""))/100,H355*AG355))-Tabela1[[#This Row],[PESO EXPEDIDO2]]</f>
        <v>0</v>
      </c>
      <c r="AU355" s="37">
        <f t="shared" ca="1" si="62"/>
        <v>65</v>
      </c>
      <c r="AV355" s="37">
        <f t="shared" ca="1" si="63"/>
        <v>65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 ca="1"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 ca="1">Tabela1[[#This Row],[QTDE/ Fabricação]]-Tabela1[[#This Row],[QTE]]</f>
        <v>-2</v>
      </c>
      <c r="R356" s="18">
        <f t="shared" ca="1" si="67"/>
        <v>65</v>
      </c>
      <c r="S356" s="18">
        <f t="shared" ca="1" si="65"/>
        <v>65</v>
      </c>
      <c r="T356" s="19">
        <f t="shared" ca="1" si="70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 ca="1">IFERROR(Tabela1[[#This Row],[QIANTIDADE EXPEDIDA]]*Tabela1[[#This Row],[PESO UNI]],"")</f>
        <v>65</v>
      </c>
      <c r="Y356" s="14">
        <f t="shared" ca="1" si="71"/>
        <v>0</v>
      </c>
      <c r="Z356" s="20">
        <f ca="1"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ca="1" si="69"/>
        <v>ok</v>
      </c>
      <c r="AJ356" s="5"/>
      <c r="AK356" t="str">
        <f ca="1">Tabela1[[#This Row],[Coluna1]]&amp;Tabela1[[#This Row],[PEDIDO]]</f>
        <v>P-188</v>
      </c>
      <c r="AL356"/>
      <c r="AM356"/>
      <c r="AN356"/>
      <c r="AO356" t="str">
        <f t="shared" ca="1" si="66"/>
        <v>T-072993-1/1073-TC-007</v>
      </c>
      <c r="AP356" t="str">
        <f ca="1">Tabela1[[#This Row],[TAG]]&amp;Tabela1[[#This Row],[PEDIDO]]&amp;Tabela1[[#This Row],[PRODUTO]]</f>
        <v>1073-TC-007P-188RMF</v>
      </c>
      <c r="AQ356" s="22" t="str">
        <f ca="1">Tabela1[[#This Row],[PRODUTO]]&amp;Tabela1[[#This Row],[TAG]]</f>
        <v>RMF1073-TC-007</v>
      </c>
      <c r="AR356" s="24" t="str">
        <f ca="1">Tabela1[[#This Row],[PEDIDO]]&amp;Tabela1[[#This Row],[PRODUTO]]</f>
        <v>P-188RMF</v>
      </c>
      <c r="AS356" s="37">
        <f ca="1">IF(AF356="",0,IF(ISTEXT(AF356),H356*VALUE(SUBSTITUTE(AF356,"%",""))/100,H356*AF356))-Tabela1[[#This Row],[PRONTO ACABADO2]]</f>
        <v>0</v>
      </c>
      <c r="AT356" s="37">
        <f ca="1">IF(AG356="",0,IF(ISTEXT(AG356),H356*VALUE(SUBSTITUTE(AG356,"%",""))/100,H356*AG356))-Tabela1[[#This Row],[PESO EXPEDIDO2]]</f>
        <v>0</v>
      </c>
      <c r="AU356" s="37">
        <f t="shared" ref="AU356:AU419" ca="1" si="72">IF(AH356="",0,IF(ISTEXT(AH356),H356*VALUE(SUBSTITUTE(AH356,"%",""))/100,H356*AH356))</f>
        <v>65</v>
      </c>
      <c r="AV356" s="37">
        <f t="shared" ref="AV356:AV419" ca="1" si="73">IF(AG356="",0,IF(ISTEXT(AG356),H356*VALUE(SUBSTITUTE(AG356,"%",""))/100,H356*AG356))</f>
        <v>65</v>
      </c>
      <c r="AW356" s="37"/>
    </row>
    <row r="357" spans="1:49" ht="15.75" hidden="1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 ca="1"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 ca="1">Tabela1[[#This Row],[QTDE/ Fabricação]]-Tabela1[[#This Row],[QTE]]</f>
        <v>-1</v>
      </c>
      <c r="R357" s="18">
        <f t="shared" ca="1" si="67"/>
        <v>151.80000000000001</v>
      </c>
      <c r="S357" s="18">
        <f t="shared" ca="1" si="65"/>
        <v>151.80000000000001</v>
      </c>
      <c r="T357" s="19">
        <f t="shared" ca="1" si="70"/>
        <v>0</v>
      </c>
      <c r="U357" s="205">
        <v>1</v>
      </c>
      <c r="V357" s="12">
        <v>13</v>
      </c>
      <c r="W357" s="13"/>
      <c r="X357" s="14">
        <f ca="1">IFERROR(Tabela1[[#This Row],[QIANTIDADE EXPEDIDA]]*Tabela1[[#This Row],[PESO UNI]],"")</f>
        <v>151.80000000000001</v>
      </c>
      <c r="Y357" s="14">
        <f t="shared" ca="1" si="71"/>
        <v>0</v>
      </c>
      <c r="Z357" s="20">
        <f ca="1"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ca="1" si="69"/>
        <v>ok</v>
      </c>
      <c r="AJ357" s="5"/>
      <c r="AK357" t="str">
        <f ca="1">Tabela1[[#This Row],[Coluna1]]&amp;Tabela1[[#This Row],[PEDIDO]]</f>
        <v>P-188</v>
      </c>
      <c r="AL357"/>
      <c r="AM357"/>
      <c r="AN357"/>
      <c r="AO357" t="str">
        <f t="shared" ca="1" si="66"/>
        <v>T-072953-1/1073-TC-006</v>
      </c>
      <c r="AP357" t="str">
        <f ca="1">Tabela1[[#This Row],[TAG]]&amp;Tabela1[[#This Row],[PEDIDO]]&amp;Tabela1[[#This Row],[PRODUTO]]</f>
        <v>1073-TC-006P-188RMF</v>
      </c>
      <c r="AQ357" s="22" t="str">
        <f ca="1">Tabela1[[#This Row],[PRODUTO]]&amp;Tabela1[[#This Row],[TAG]]</f>
        <v>RMF1073-TC-006</v>
      </c>
      <c r="AR357" s="24" t="str">
        <f ca="1">Tabela1[[#This Row],[PEDIDO]]&amp;Tabela1[[#This Row],[PRODUTO]]</f>
        <v>P-188RMF</v>
      </c>
      <c r="AS357" s="37">
        <f ca="1">IF(AF357="",0,IF(ISTEXT(AF357),H357*VALUE(SUBSTITUTE(AF357,"%",""))/100,H357*AF357))-Tabela1[[#This Row],[PRONTO ACABADO2]]</f>
        <v>0</v>
      </c>
      <c r="AT357" s="37">
        <f ca="1">IF(AG357="",0,IF(ISTEXT(AG357),H357*VALUE(SUBSTITUTE(AG357,"%",""))/100,H357*AG357))-Tabela1[[#This Row],[PESO EXPEDIDO2]]</f>
        <v>0</v>
      </c>
      <c r="AU357" s="37">
        <f t="shared" ca="1" si="72"/>
        <v>151.80000000000001</v>
      </c>
      <c r="AV357" s="37">
        <f t="shared" ca="1" si="73"/>
        <v>151.80000000000001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 ca="1"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 ca="1">Tabela1[[#This Row],[QTDE/ Fabricação]]-Tabela1[[#This Row],[QTE]]</f>
        <v>-1</v>
      </c>
      <c r="R358" s="18">
        <f t="shared" ca="1" si="67"/>
        <v>151.80000000000001</v>
      </c>
      <c r="S358" s="18">
        <f t="shared" ca="1" si="65"/>
        <v>151.80000000000001</v>
      </c>
      <c r="T358" s="19">
        <f t="shared" ca="1" si="70"/>
        <v>0</v>
      </c>
      <c r="U358" s="205">
        <v>1</v>
      </c>
      <c r="V358" s="12">
        <v>13</v>
      </c>
      <c r="W358" s="13"/>
      <c r="X358" s="14">
        <f ca="1">IFERROR(Tabela1[[#This Row],[QIANTIDADE EXPEDIDA]]*Tabela1[[#This Row],[PESO UNI]],"")</f>
        <v>151.80000000000001</v>
      </c>
      <c r="Y358" s="14">
        <f t="shared" ca="1" si="71"/>
        <v>0</v>
      </c>
      <c r="Z358" s="20">
        <f ca="1"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ca="1" si="69"/>
        <v>ok</v>
      </c>
      <c r="AJ358" s="5"/>
      <c r="AK358" t="str">
        <f ca="1">Tabela1[[#This Row],[Coluna1]]&amp;Tabela1[[#This Row],[PEDIDO]]</f>
        <v>P-188</v>
      </c>
      <c r="AL358"/>
      <c r="AM358"/>
      <c r="AN358"/>
      <c r="AO358" t="str">
        <f t="shared" ca="1" si="66"/>
        <v>T-072953-1/1073-TC-007</v>
      </c>
      <c r="AP358" t="str">
        <f ca="1">Tabela1[[#This Row],[TAG]]&amp;Tabela1[[#This Row],[PEDIDO]]&amp;Tabela1[[#This Row],[PRODUTO]]</f>
        <v>1073-TC-007P-188RMF</v>
      </c>
      <c r="AQ358" s="22" t="str">
        <f ca="1">Tabela1[[#This Row],[PRODUTO]]&amp;Tabela1[[#This Row],[TAG]]</f>
        <v>RMF1073-TC-007</v>
      </c>
      <c r="AR358" s="24" t="str">
        <f ca="1">Tabela1[[#This Row],[PEDIDO]]&amp;Tabela1[[#This Row],[PRODUTO]]</f>
        <v>P-188RMF</v>
      </c>
      <c r="AS358" s="37">
        <f ca="1">IF(AF358="",0,IF(ISTEXT(AF358),H358*VALUE(SUBSTITUTE(AF358,"%",""))/100,H358*AF358))-Tabela1[[#This Row],[PRONTO ACABADO2]]</f>
        <v>0</v>
      </c>
      <c r="AT358" s="37">
        <f ca="1">IF(AG358="",0,IF(ISTEXT(AG358),H358*VALUE(SUBSTITUTE(AG358,"%",""))/100,H358*AG358))-Tabela1[[#This Row],[PESO EXPEDIDO2]]</f>
        <v>0</v>
      </c>
      <c r="AU358" s="37">
        <f t="shared" ca="1" si="72"/>
        <v>151.80000000000001</v>
      </c>
      <c r="AV358" s="37">
        <f t="shared" ca="1" si="73"/>
        <v>151.80000000000001</v>
      </c>
      <c r="AW358" s="37"/>
    </row>
    <row r="359" spans="1:49" ht="15.75" hidden="1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 ca="1"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 ca="1">Tabela1[[#This Row],[QTDE/ Fabricação]]-Tabela1[[#This Row],[QTE]]</f>
        <v>-1</v>
      </c>
      <c r="R359" s="18">
        <f t="shared" ca="1" si="67"/>
        <v>17.899999999999999</v>
      </c>
      <c r="S359" s="18">
        <f t="shared" ca="1" si="65"/>
        <v>17.899999999999999</v>
      </c>
      <c r="T359" s="19">
        <f t="shared" ca="1" si="70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 ca="1">IFERROR(Tabela1[[#This Row],[QIANTIDADE EXPEDIDA]]*Tabela1[[#This Row],[PESO UNI]],"")</f>
        <v>17.899999999999999</v>
      </c>
      <c r="Y359" s="14">
        <f t="shared" ca="1" si="71"/>
        <v>0</v>
      </c>
      <c r="Z359" s="20">
        <f ca="1"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ca="1" si="69"/>
        <v>ok</v>
      </c>
      <c r="AJ359" s="5"/>
      <c r="AK359" t="str">
        <f ca="1">Tabela1[[#This Row],[Coluna1]]&amp;Tabela1[[#This Row],[PEDIDO]]</f>
        <v>P-188</v>
      </c>
      <c r="AL359"/>
      <c r="AM359"/>
      <c r="AN359"/>
      <c r="AO359" t="str">
        <f t="shared" ca="1" si="66"/>
        <v>MDE-M-0028-RA/1073-TC-006</v>
      </c>
      <c r="AP359" t="str">
        <f ca="1">Tabela1[[#This Row],[TAG]]&amp;Tabela1[[#This Row],[PEDIDO]]&amp;Tabela1[[#This Row],[PRODUTO]]</f>
        <v>1073-TC-006P-188RMF</v>
      </c>
      <c r="AQ359" s="22" t="str">
        <f ca="1">Tabela1[[#This Row],[PRODUTO]]&amp;Tabela1[[#This Row],[TAG]]</f>
        <v>RMF1073-TC-006</v>
      </c>
      <c r="AR359" s="24" t="str">
        <f ca="1">Tabela1[[#This Row],[PEDIDO]]&amp;Tabela1[[#This Row],[PRODUTO]]</f>
        <v>P-188RMF</v>
      </c>
      <c r="AS359" s="37">
        <f ca="1">IF(AF359="",0,IF(ISTEXT(AF359),H359*VALUE(SUBSTITUTE(AF359,"%",""))/100,H359*AF359))-Tabela1[[#This Row],[PRONTO ACABADO2]]</f>
        <v>0</v>
      </c>
      <c r="AT359" s="37">
        <f ca="1">IF(AG359="",0,IF(ISTEXT(AG359),H359*VALUE(SUBSTITUTE(AG359,"%",""))/100,H359*AG359))-Tabela1[[#This Row],[PESO EXPEDIDO2]]</f>
        <v>0</v>
      </c>
      <c r="AU359" s="37">
        <f t="shared" ca="1" si="72"/>
        <v>17.899999999999999</v>
      </c>
      <c r="AV359" s="37">
        <f t="shared" ca="1" si="73"/>
        <v>17.899999999999999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 ca="1"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 ca="1">Tabela1[[#This Row],[QTDE/ Fabricação]]-Tabela1[[#This Row],[QTE]]</f>
        <v>-1</v>
      </c>
      <c r="R360" s="18">
        <f t="shared" ca="1" si="67"/>
        <v>17.899999999999999</v>
      </c>
      <c r="S360" s="18">
        <f t="shared" ca="1" si="65"/>
        <v>17.899999999999999</v>
      </c>
      <c r="T360" s="19">
        <f t="shared" ca="1" si="70"/>
        <v>0</v>
      </c>
      <c r="U360" s="16">
        <v>1</v>
      </c>
      <c r="V360" s="12">
        <v>13</v>
      </c>
      <c r="W360" s="13" t="str">
        <f ca="1">IFERROR(VLOOKUP(Tabela1[[#This Row],[COD.MDE]],'LISTA DE EMBARQUE'!B:M,12,0),"")</f>
        <v/>
      </c>
      <c r="X360" s="14">
        <f ca="1">IFERROR(Tabela1[[#This Row],[QIANTIDADE EXPEDIDA]]*Tabela1[[#This Row],[PESO UNI]],"")</f>
        <v>17.899999999999999</v>
      </c>
      <c r="Y360" s="14">
        <f t="shared" ca="1" si="71"/>
        <v>0</v>
      </c>
      <c r="Z360" s="20">
        <f ca="1"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ca="1" si="69"/>
        <v>ok</v>
      </c>
      <c r="AJ360" s="5"/>
      <c r="AK360" t="str">
        <f ca="1">Tabela1[[#This Row],[Coluna1]]&amp;Tabela1[[#This Row],[PEDIDO]]</f>
        <v>P-188</v>
      </c>
      <c r="AL360"/>
      <c r="AM360"/>
      <c r="AN360"/>
      <c r="AO360" t="str">
        <f t="shared" ca="1" si="66"/>
        <v>MDE-M-0028-RA/1073-TC-007</v>
      </c>
      <c r="AP360" t="str">
        <f ca="1">Tabela1[[#This Row],[TAG]]&amp;Tabela1[[#This Row],[PEDIDO]]&amp;Tabela1[[#This Row],[PRODUTO]]</f>
        <v>1073-TC-007P-188RMF</v>
      </c>
      <c r="AQ360" s="22" t="str">
        <f ca="1">Tabela1[[#This Row],[PRODUTO]]&amp;Tabela1[[#This Row],[TAG]]</f>
        <v>RMF1073-TC-007</v>
      </c>
      <c r="AR360" s="24" t="str">
        <f ca="1">Tabela1[[#This Row],[PEDIDO]]&amp;Tabela1[[#This Row],[PRODUTO]]</f>
        <v>P-188RMF</v>
      </c>
      <c r="AS360" s="37">
        <f ca="1">IF(AF360="",0,IF(ISTEXT(AF360),H360*VALUE(SUBSTITUTE(AF360,"%",""))/100,H360*AF360))-Tabela1[[#This Row],[PRONTO ACABADO2]]</f>
        <v>0</v>
      </c>
      <c r="AT360" s="37">
        <f ca="1">IF(AG360="",0,IF(ISTEXT(AG360),H360*VALUE(SUBSTITUTE(AG360,"%",""))/100,H360*AG360))-Tabela1[[#This Row],[PESO EXPEDIDO2]]</f>
        <v>0</v>
      </c>
      <c r="AU360" s="37">
        <f t="shared" ca="1" si="72"/>
        <v>17.899999999999999</v>
      </c>
      <c r="AV360" s="37">
        <f t="shared" ca="1" si="73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 ca="1"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 ca="1">Tabela1[[#This Row],[QTDE/ Fabricação]]-Tabela1[[#This Row],[QTE]]</f>
        <v>-2</v>
      </c>
      <c r="R361" s="18">
        <f t="shared" ca="1" si="67"/>
        <v>7</v>
      </c>
      <c r="S361" s="18">
        <f t="shared" ca="1" si="65"/>
        <v>7</v>
      </c>
      <c r="T361" s="19">
        <f t="shared" ca="1" si="70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 ca="1">IFERROR(Tabela1[[#This Row],[QIANTIDADE EXPEDIDA]]*Tabela1[[#This Row],[PESO UNI]],"")</f>
        <v>7</v>
      </c>
      <c r="Y361" s="14">
        <f t="shared" ca="1" si="71"/>
        <v>0</v>
      </c>
      <c r="Z361" s="20">
        <f ca="1"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ca="1" si="69"/>
        <v>ok</v>
      </c>
      <c r="AJ361" s="5"/>
      <c r="AK361" t="str">
        <f ca="1">Tabela1[[#This Row],[Coluna1]]&amp;Tabela1[[#This Row],[PEDIDO]]</f>
        <v>P-188</v>
      </c>
      <c r="AL361"/>
      <c r="AM361"/>
      <c r="AN361"/>
      <c r="AO361" t="str">
        <f t="shared" ca="1" si="66"/>
        <v>MDE-M-0028-RA/1073-TC-006</v>
      </c>
      <c r="AP361" t="str">
        <f ca="1">Tabela1[[#This Row],[TAG]]&amp;Tabela1[[#This Row],[PEDIDO]]&amp;Tabela1[[#This Row],[PRODUTO]]</f>
        <v>1073-TC-006P-188RMF</v>
      </c>
      <c r="AQ361" s="22" t="str">
        <f ca="1">Tabela1[[#This Row],[PRODUTO]]&amp;Tabela1[[#This Row],[TAG]]</f>
        <v>RMF1073-TC-006</v>
      </c>
      <c r="AR361" s="24" t="str">
        <f ca="1">Tabela1[[#This Row],[PEDIDO]]&amp;Tabela1[[#This Row],[PRODUTO]]</f>
        <v>P-188RMF</v>
      </c>
      <c r="AS361" s="37">
        <f ca="1">IF(AF361="",0,IF(ISTEXT(AF361),H361*VALUE(SUBSTITUTE(AF361,"%",""))/100,H361*AF361))-Tabela1[[#This Row],[PRONTO ACABADO2]]</f>
        <v>0</v>
      </c>
      <c r="AT361" s="37">
        <f ca="1">IF(AG361="",0,IF(ISTEXT(AG361),H361*VALUE(SUBSTITUTE(AG361,"%",""))/100,H361*AG361))-Tabela1[[#This Row],[PESO EXPEDIDO2]]</f>
        <v>0</v>
      </c>
      <c r="AU361" s="37">
        <f t="shared" ca="1" si="72"/>
        <v>7</v>
      </c>
      <c r="AV361" s="37">
        <f t="shared" ca="1" si="73"/>
        <v>7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 ca="1"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 ca="1">Tabela1[[#This Row],[QTDE/ Fabricação]]-Tabela1[[#This Row],[QTE]]</f>
        <v>-2</v>
      </c>
      <c r="R362" s="18">
        <f t="shared" ca="1" si="67"/>
        <v>7</v>
      </c>
      <c r="S362" s="18">
        <f t="shared" ca="1" si="65"/>
        <v>7</v>
      </c>
      <c r="T362" s="19">
        <f t="shared" ca="1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 ca="1">IFERROR(Tabela1[[#This Row],[QIANTIDADE EXPEDIDA]]*Tabela1[[#This Row],[PESO UNI]],"")</f>
        <v>7</v>
      </c>
      <c r="Y362" s="14">
        <f t="shared" ca="1" si="71"/>
        <v>0</v>
      </c>
      <c r="Z362" s="20">
        <f ca="1"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ca="1" si="69"/>
        <v>ok</v>
      </c>
      <c r="AJ362" s="5"/>
      <c r="AK362" t="str">
        <f ca="1">Tabela1[[#This Row],[Coluna1]]&amp;Tabela1[[#This Row],[PEDIDO]]</f>
        <v>P-188</v>
      </c>
      <c r="AL362"/>
      <c r="AM362"/>
      <c r="AN362"/>
      <c r="AO362" t="str">
        <f t="shared" ca="1" si="66"/>
        <v>MDE-M-0028-RA/1073-TC-007</v>
      </c>
      <c r="AP362" t="str">
        <f ca="1">Tabela1[[#This Row],[TAG]]&amp;Tabela1[[#This Row],[PEDIDO]]&amp;Tabela1[[#This Row],[PRODUTO]]</f>
        <v>1073-TC-007P-188RMF</v>
      </c>
      <c r="AQ362" s="22" t="str">
        <f ca="1">Tabela1[[#This Row],[PRODUTO]]&amp;Tabela1[[#This Row],[TAG]]</f>
        <v>RMF1073-TC-007</v>
      </c>
      <c r="AR362" s="24" t="str">
        <f ca="1">Tabela1[[#This Row],[PEDIDO]]&amp;Tabela1[[#This Row],[PRODUTO]]</f>
        <v>P-188RMF</v>
      </c>
      <c r="AS362" s="37">
        <f ca="1">IF(AF362="",0,IF(ISTEXT(AF362),H362*VALUE(SUBSTITUTE(AF362,"%",""))/100,H362*AF362))-Tabela1[[#This Row],[PRONTO ACABADO2]]</f>
        <v>0</v>
      </c>
      <c r="AT362" s="37">
        <f ca="1">IF(AG362="",0,IF(ISTEXT(AG362),H362*VALUE(SUBSTITUTE(AG362,"%",""))/100,H362*AG362))-Tabela1[[#This Row],[PESO EXPEDIDO2]]</f>
        <v>0</v>
      </c>
      <c r="AU362" s="37">
        <f t="shared" ca="1" si="72"/>
        <v>7</v>
      </c>
      <c r="AV362" s="37">
        <f t="shared" ca="1" si="73"/>
        <v>7</v>
      </c>
      <c r="AW362" s="37"/>
    </row>
    <row r="363" spans="1:49" ht="15.75" hidden="1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 ca="1"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 ca="1">Tabela1[[#This Row],[QTDE/ Fabricação]]-Tabela1[[#This Row],[QTE]]</f>
        <v>-1</v>
      </c>
      <c r="R363" s="18">
        <f t="shared" ca="1" si="67"/>
        <v>8.4</v>
      </c>
      <c r="S363" s="18">
        <f t="shared" ca="1" si="65"/>
        <v>8.4</v>
      </c>
      <c r="T363" s="19">
        <f t="shared" ca="1" si="70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 ca="1">IFERROR(Tabela1[[#This Row],[QIANTIDADE EXPEDIDA]]*Tabela1[[#This Row],[PESO UNI]],"")</f>
        <v>8.4</v>
      </c>
      <c r="Y363" s="14">
        <f t="shared" ca="1" si="71"/>
        <v>0</v>
      </c>
      <c r="Z363" s="20">
        <f ca="1"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ca="1" si="69"/>
        <v>ok</v>
      </c>
      <c r="AJ363" s="5"/>
      <c r="AK363" t="str">
        <f ca="1">Tabela1[[#This Row],[Coluna1]]&amp;Tabela1[[#This Row],[PEDIDO]]</f>
        <v>P-188</v>
      </c>
      <c r="AL363"/>
      <c r="AM363"/>
      <c r="AN363"/>
      <c r="AO363" t="str">
        <f t="shared" ca="1" si="66"/>
        <v>MDE-M-0028-RA/1073-TC-006</v>
      </c>
      <c r="AP363" t="str">
        <f ca="1">Tabela1[[#This Row],[TAG]]&amp;Tabela1[[#This Row],[PEDIDO]]&amp;Tabela1[[#This Row],[PRODUTO]]</f>
        <v>1073-TC-006P-188RMF</v>
      </c>
      <c r="AQ363" s="22" t="str">
        <f ca="1">Tabela1[[#This Row],[PRODUTO]]&amp;Tabela1[[#This Row],[TAG]]</f>
        <v>RMF1073-TC-006</v>
      </c>
      <c r="AR363" s="24" t="str">
        <f ca="1">Tabela1[[#This Row],[PEDIDO]]&amp;Tabela1[[#This Row],[PRODUTO]]</f>
        <v>P-188RMF</v>
      </c>
      <c r="AS363" s="37">
        <f ca="1">IF(AF363="",0,IF(ISTEXT(AF363),H363*VALUE(SUBSTITUTE(AF363,"%",""))/100,H363*AF363))-Tabela1[[#This Row],[PRONTO ACABADO2]]</f>
        <v>0</v>
      </c>
      <c r="AT363" s="37">
        <f ca="1">IF(AG363="",0,IF(ISTEXT(AG363),H363*VALUE(SUBSTITUTE(AG363,"%",""))/100,H363*AG363))-Tabela1[[#This Row],[PESO EXPEDIDO2]]</f>
        <v>0</v>
      </c>
      <c r="AU363" s="37">
        <f t="shared" ca="1" si="72"/>
        <v>8.4</v>
      </c>
      <c r="AV363" s="37">
        <f t="shared" ca="1" si="73"/>
        <v>8.4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 ca="1"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 ca="1">Tabela1[[#This Row],[QTDE/ Fabricação]]-Tabela1[[#This Row],[QTE]]</f>
        <v>-1</v>
      </c>
      <c r="R364" s="18">
        <f t="shared" ca="1" si="67"/>
        <v>8.4</v>
      </c>
      <c r="S364" s="18">
        <f t="shared" ca="1" si="65"/>
        <v>8.4</v>
      </c>
      <c r="T364" s="19">
        <f t="shared" ca="1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 ca="1">IFERROR(Tabela1[[#This Row],[QIANTIDADE EXPEDIDA]]*Tabela1[[#This Row],[PESO UNI]],"")</f>
        <v>8.4</v>
      </c>
      <c r="Y364" s="14">
        <f t="shared" ca="1" si="71"/>
        <v>0</v>
      </c>
      <c r="Z364" s="20">
        <f ca="1"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ca="1" si="69"/>
        <v>ok</v>
      </c>
      <c r="AJ364" s="5"/>
      <c r="AK364" t="str">
        <f ca="1">Tabela1[[#This Row],[Coluna1]]&amp;Tabela1[[#This Row],[PEDIDO]]</f>
        <v>P-188</v>
      </c>
      <c r="AL364"/>
      <c r="AM364"/>
      <c r="AN364"/>
      <c r="AO364" t="str">
        <f t="shared" ca="1" si="66"/>
        <v>MDE-M-0028-RA/1073-TC-007</v>
      </c>
      <c r="AP364" t="str">
        <f ca="1">Tabela1[[#This Row],[TAG]]&amp;Tabela1[[#This Row],[PEDIDO]]&amp;Tabela1[[#This Row],[PRODUTO]]</f>
        <v>1073-TC-007P-188RMF</v>
      </c>
      <c r="AQ364" s="22" t="str">
        <f ca="1">Tabela1[[#This Row],[PRODUTO]]&amp;Tabela1[[#This Row],[TAG]]</f>
        <v>RMF1073-TC-007</v>
      </c>
      <c r="AR364" s="24" t="str">
        <f ca="1">Tabela1[[#This Row],[PEDIDO]]&amp;Tabela1[[#This Row],[PRODUTO]]</f>
        <v>P-188RMF</v>
      </c>
      <c r="AS364" s="37">
        <f ca="1">IF(AF364="",0,IF(ISTEXT(AF364),H364*VALUE(SUBSTITUTE(AF364,"%",""))/100,H364*AF364))-Tabela1[[#This Row],[PRONTO ACABADO2]]</f>
        <v>0</v>
      </c>
      <c r="AT364" s="37">
        <f ca="1">IF(AG364="",0,IF(ISTEXT(AG364),H364*VALUE(SUBSTITUTE(AG364,"%",""))/100,H364*AG364))-Tabela1[[#This Row],[PESO EXPEDIDO2]]</f>
        <v>0</v>
      </c>
      <c r="AU364" s="37">
        <f t="shared" ca="1" si="72"/>
        <v>8.4</v>
      </c>
      <c r="AV364" s="37">
        <f t="shared" ca="1" si="73"/>
        <v>8.4</v>
      </c>
      <c r="AW364" s="37"/>
    </row>
    <row r="365" spans="1:49" ht="15.75" hidden="1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 ca="1"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 ca="1">Tabela1[[#This Row],[QTDE/ Fabricação]]-Tabela1[[#This Row],[QTE]]</f>
        <v>-1</v>
      </c>
      <c r="R365" s="18">
        <f t="shared" ca="1" si="67"/>
        <v>0.5</v>
      </c>
      <c r="S365" s="18">
        <f t="shared" ca="1" si="65"/>
        <v>0.5</v>
      </c>
      <c r="T365" s="19">
        <f t="shared" ca="1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 ca="1">IFERROR(Tabela1[[#This Row],[QIANTIDADE EXPEDIDA]]*Tabela1[[#This Row],[PESO UNI]],"")</f>
        <v>0.5</v>
      </c>
      <c r="Y365" s="14">
        <f t="shared" ca="1" si="71"/>
        <v>0</v>
      </c>
      <c r="Z365" s="20">
        <f ca="1"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ca="1" si="69"/>
        <v>ok</v>
      </c>
      <c r="AJ365" s="5"/>
      <c r="AK365" t="str">
        <f ca="1">Tabela1[[#This Row],[Coluna1]]&amp;Tabela1[[#This Row],[PEDIDO]]</f>
        <v>P-188</v>
      </c>
      <c r="AL365"/>
      <c r="AM365"/>
      <c r="AN365"/>
      <c r="AO365" t="str">
        <f t="shared" ca="1" si="66"/>
        <v>MDE-M-0028-RA/1073-TC-006</v>
      </c>
      <c r="AP365" t="str">
        <f ca="1">Tabela1[[#This Row],[TAG]]&amp;Tabela1[[#This Row],[PEDIDO]]&amp;Tabela1[[#This Row],[PRODUTO]]</f>
        <v>1073-TC-006P-188RMF</v>
      </c>
      <c r="AQ365" s="22" t="str">
        <f ca="1">Tabela1[[#This Row],[PRODUTO]]&amp;Tabela1[[#This Row],[TAG]]</f>
        <v>RMF1073-TC-006</v>
      </c>
      <c r="AR365" s="24" t="str">
        <f ca="1">Tabela1[[#This Row],[PEDIDO]]&amp;Tabela1[[#This Row],[PRODUTO]]</f>
        <v>P-188RMF</v>
      </c>
      <c r="AS365" s="37">
        <f ca="1">IF(AF365="",0,IF(ISTEXT(AF365),H365*VALUE(SUBSTITUTE(AF365,"%",""))/100,H365*AF365))-Tabela1[[#This Row],[PRONTO ACABADO2]]</f>
        <v>0</v>
      </c>
      <c r="AT365" s="37">
        <f ca="1">IF(AG365="",0,IF(ISTEXT(AG365),H365*VALUE(SUBSTITUTE(AG365,"%",""))/100,H365*AG365))-Tabela1[[#This Row],[PESO EXPEDIDO2]]</f>
        <v>0</v>
      </c>
      <c r="AU365" s="37">
        <f t="shared" ca="1" si="72"/>
        <v>0.5</v>
      </c>
      <c r="AV365" s="37">
        <f t="shared" ca="1" si="73"/>
        <v>0.5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 ca="1"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 ca="1">Tabela1[[#This Row],[QTDE/ Fabricação]]-Tabela1[[#This Row],[QTE]]</f>
        <v>-1</v>
      </c>
      <c r="R366" s="18">
        <f t="shared" ca="1" si="67"/>
        <v>0.5</v>
      </c>
      <c r="S366" s="18">
        <f t="shared" ca="1" si="65"/>
        <v>0.5</v>
      </c>
      <c r="T366" s="19">
        <f t="shared" ca="1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 ca="1">IFERROR(Tabela1[[#This Row],[QIANTIDADE EXPEDIDA]]*Tabela1[[#This Row],[PESO UNI]],"")</f>
        <v>0.5</v>
      </c>
      <c r="Y366" s="14">
        <f t="shared" ca="1" si="71"/>
        <v>0</v>
      </c>
      <c r="Z366" s="20">
        <f ca="1"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ca="1" si="69"/>
        <v>ok</v>
      </c>
      <c r="AJ366" s="5"/>
      <c r="AK366" t="str">
        <f ca="1">Tabela1[[#This Row],[Coluna1]]&amp;Tabela1[[#This Row],[PEDIDO]]</f>
        <v>P-188</v>
      </c>
      <c r="AL366"/>
      <c r="AM366"/>
      <c r="AN366"/>
      <c r="AO366" t="str">
        <f t="shared" ca="1" si="66"/>
        <v>MDE-M-0028-RA/1073-TC-007</v>
      </c>
      <c r="AP366" t="str">
        <f ca="1">Tabela1[[#This Row],[TAG]]&amp;Tabela1[[#This Row],[PEDIDO]]&amp;Tabela1[[#This Row],[PRODUTO]]</f>
        <v>1073-TC-007P-188RMF</v>
      </c>
      <c r="AQ366" s="22" t="str">
        <f ca="1">Tabela1[[#This Row],[PRODUTO]]&amp;Tabela1[[#This Row],[TAG]]</f>
        <v>RMF1073-TC-007</v>
      </c>
      <c r="AR366" s="24" t="str">
        <f ca="1">Tabela1[[#This Row],[PEDIDO]]&amp;Tabela1[[#This Row],[PRODUTO]]</f>
        <v>P-188RMF</v>
      </c>
      <c r="AS366" s="37">
        <f ca="1">IF(AF366="",0,IF(ISTEXT(AF366),H366*VALUE(SUBSTITUTE(AF366,"%",""))/100,H366*AF366))-Tabela1[[#This Row],[PRONTO ACABADO2]]</f>
        <v>0</v>
      </c>
      <c r="AT366" s="37">
        <f ca="1">IF(AG366="",0,IF(ISTEXT(AG366),H366*VALUE(SUBSTITUTE(AG366,"%",""))/100,H366*AG366))-Tabela1[[#This Row],[PESO EXPEDIDO2]]</f>
        <v>0</v>
      </c>
      <c r="AU366" s="37">
        <f t="shared" ca="1" si="72"/>
        <v>0.5</v>
      </c>
      <c r="AV366" s="37">
        <f t="shared" ca="1" si="73"/>
        <v>0.5</v>
      </c>
      <c r="AW366" s="37"/>
    </row>
    <row r="367" spans="1:49" ht="15.75" hidden="1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 ca="1"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 ca="1">Tabela1[[#This Row],[QTDE/ Fabricação]]-Tabela1[[#This Row],[QTE]]</f>
        <v>-2</v>
      </c>
      <c r="R367" s="18">
        <f t="shared" ca="1" si="67"/>
        <v>6</v>
      </c>
      <c r="S367" s="18">
        <f t="shared" ca="1" si="65"/>
        <v>6</v>
      </c>
      <c r="T367" s="19">
        <f t="shared" ca="1" si="70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 ca="1">IFERROR(Tabela1[[#This Row],[QIANTIDADE EXPEDIDA]]*Tabela1[[#This Row],[PESO UNI]],"")</f>
        <v>6</v>
      </c>
      <c r="Y367" s="14">
        <f t="shared" ca="1" si="71"/>
        <v>0</v>
      </c>
      <c r="Z367" s="20">
        <f ca="1"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ca="1" si="69"/>
        <v>ok</v>
      </c>
      <c r="AJ367" s="5"/>
      <c r="AK367" t="str">
        <f ca="1">Tabela1[[#This Row],[Coluna1]]&amp;Tabela1[[#This Row],[PEDIDO]]</f>
        <v>P-188</v>
      </c>
      <c r="AL367"/>
      <c r="AM367"/>
      <c r="AN367"/>
      <c r="AO367" t="str">
        <f t="shared" ca="1" si="66"/>
        <v>MDE-M-0028-RA/1073-TC-006</v>
      </c>
      <c r="AP367" t="str">
        <f ca="1">Tabela1[[#This Row],[TAG]]&amp;Tabela1[[#This Row],[PEDIDO]]&amp;Tabela1[[#This Row],[PRODUTO]]</f>
        <v>1073-TC-006P-188RMF</v>
      </c>
      <c r="AQ367" s="22" t="str">
        <f ca="1">Tabela1[[#This Row],[PRODUTO]]&amp;Tabela1[[#This Row],[TAG]]</f>
        <v>RMF1073-TC-006</v>
      </c>
      <c r="AR367" s="24" t="str">
        <f ca="1">Tabela1[[#This Row],[PEDIDO]]&amp;Tabela1[[#This Row],[PRODUTO]]</f>
        <v>P-188RMF</v>
      </c>
      <c r="AS367" s="37">
        <f ca="1">IF(AF367="",0,IF(ISTEXT(AF367),H367*VALUE(SUBSTITUTE(AF367,"%",""))/100,H367*AF367))-Tabela1[[#This Row],[PRONTO ACABADO2]]</f>
        <v>0</v>
      </c>
      <c r="AT367" s="37">
        <f ca="1">IF(AG367="",0,IF(ISTEXT(AG367),H367*VALUE(SUBSTITUTE(AG367,"%",""))/100,H367*AG367))-Tabela1[[#This Row],[PESO EXPEDIDO2]]</f>
        <v>0</v>
      </c>
      <c r="AU367" s="37">
        <f t="shared" ca="1" si="72"/>
        <v>6</v>
      </c>
      <c r="AV367" s="37">
        <f t="shared" ca="1" si="73"/>
        <v>6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 ca="1"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 ca="1">Tabela1[[#This Row],[QTDE/ Fabricação]]-Tabela1[[#This Row],[QTE]]</f>
        <v>-2</v>
      </c>
      <c r="R368" s="18">
        <f t="shared" ca="1" si="67"/>
        <v>6</v>
      </c>
      <c r="S368" s="18">
        <f t="shared" ca="1" si="65"/>
        <v>6</v>
      </c>
      <c r="T368" s="19">
        <f t="shared" ca="1" si="70"/>
        <v>0</v>
      </c>
      <c r="U368" s="16">
        <v>2</v>
      </c>
      <c r="V368" s="12">
        <v>13</v>
      </c>
      <c r="W368" s="13" t="str">
        <f ca="1">IFERROR(VLOOKUP(Tabela1[[#This Row],[COD.MDE]],'LISTA DE EMBARQUE'!B:M,12,0),"")</f>
        <v/>
      </c>
      <c r="X368" s="14">
        <f ca="1">IFERROR(Tabela1[[#This Row],[QIANTIDADE EXPEDIDA]]*Tabela1[[#This Row],[PESO UNI]],"")</f>
        <v>6</v>
      </c>
      <c r="Y368" s="14">
        <f t="shared" ca="1" si="71"/>
        <v>0</v>
      </c>
      <c r="Z368" s="20">
        <f ca="1"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ca="1" si="69"/>
        <v>ok</v>
      </c>
      <c r="AJ368" s="5"/>
      <c r="AK368" t="str">
        <f ca="1">Tabela1[[#This Row],[Coluna1]]&amp;Tabela1[[#This Row],[PEDIDO]]</f>
        <v>P-188</v>
      </c>
      <c r="AL368"/>
      <c r="AM368"/>
      <c r="AN368"/>
      <c r="AO368" t="str">
        <f t="shared" ca="1" si="66"/>
        <v>MDE-M-0028-RA/1073-TC-007</v>
      </c>
      <c r="AP368" t="str">
        <f ca="1">Tabela1[[#This Row],[TAG]]&amp;Tabela1[[#This Row],[PEDIDO]]&amp;Tabela1[[#This Row],[PRODUTO]]</f>
        <v>1073-TC-007P-188RMF</v>
      </c>
      <c r="AQ368" s="22" t="str">
        <f ca="1">Tabela1[[#This Row],[PRODUTO]]&amp;Tabela1[[#This Row],[TAG]]</f>
        <v>RMF1073-TC-007</v>
      </c>
      <c r="AR368" s="24" t="str">
        <f ca="1">Tabela1[[#This Row],[PEDIDO]]&amp;Tabela1[[#This Row],[PRODUTO]]</f>
        <v>P-188RMF</v>
      </c>
      <c r="AS368" s="37">
        <f ca="1">IF(AF368="",0,IF(ISTEXT(AF368),H368*VALUE(SUBSTITUTE(AF368,"%",""))/100,H368*AF368))-Tabela1[[#This Row],[PRONTO ACABADO2]]</f>
        <v>0</v>
      </c>
      <c r="AT368" s="37">
        <f ca="1">IF(AG368="",0,IF(ISTEXT(AG368),H368*VALUE(SUBSTITUTE(AG368,"%",""))/100,H368*AG368))-Tabela1[[#This Row],[PESO EXPEDIDO2]]</f>
        <v>0</v>
      </c>
      <c r="AU368" s="37">
        <f t="shared" ca="1" si="72"/>
        <v>6</v>
      </c>
      <c r="AV368" s="37">
        <f t="shared" ca="1" si="73"/>
        <v>6</v>
      </c>
      <c r="AW368" s="37"/>
    </row>
    <row r="369" spans="1:49" ht="15.75" hidden="1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 ca="1"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 ca="1">Tabela1[[#This Row],[QTDE/ Fabricação]]-Tabela1[[#This Row],[QTE]]</f>
        <v>-1</v>
      </c>
      <c r="R369" s="18">
        <f t="shared" ca="1" si="67"/>
        <v>0.4</v>
      </c>
      <c r="S369" s="18">
        <f t="shared" ca="1" si="65"/>
        <v>0.4</v>
      </c>
      <c r="T369" s="19">
        <f t="shared" ca="1" si="70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 ca="1">IFERROR(Tabela1[[#This Row],[QIANTIDADE EXPEDIDA]]*Tabela1[[#This Row],[PESO UNI]],"")</f>
        <v>0.4</v>
      </c>
      <c r="Y369" s="14">
        <f t="shared" ca="1" si="71"/>
        <v>0</v>
      </c>
      <c r="Z369" s="20">
        <f ca="1"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ca="1" si="69"/>
        <v>ok</v>
      </c>
      <c r="AJ369" s="5"/>
      <c r="AK369" t="str">
        <f ca="1">Tabela1[[#This Row],[Coluna1]]&amp;Tabela1[[#This Row],[PEDIDO]]</f>
        <v>P-188</v>
      </c>
      <c r="AL369"/>
      <c r="AM369"/>
      <c r="AN369"/>
      <c r="AO369" t="str">
        <f t="shared" ca="1" si="66"/>
        <v>MDE-M-0029-RA/1073-TC-006</v>
      </c>
      <c r="AP369" t="str">
        <f ca="1">Tabela1[[#This Row],[TAG]]&amp;Tabela1[[#This Row],[PEDIDO]]&amp;Tabela1[[#This Row],[PRODUTO]]</f>
        <v>1073-TC-006P-188RMF</v>
      </c>
      <c r="AQ369" s="22" t="str">
        <f ca="1">Tabela1[[#This Row],[PRODUTO]]&amp;Tabela1[[#This Row],[TAG]]</f>
        <v>RMF1073-TC-006</v>
      </c>
      <c r="AR369" s="24" t="str">
        <f ca="1">Tabela1[[#This Row],[PEDIDO]]&amp;Tabela1[[#This Row],[PRODUTO]]</f>
        <v>P-188RMF</v>
      </c>
      <c r="AS369" s="37">
        <f ca="1">IF(AF369="",0,IF(ISTEXT(AF369),H369*VALUE(SUBSTITUTE(AF369,"%",""))/100,H369*AF369))-Tabela1[[#This Row],[PRONTO ACABADO2]]</f>
        <v>0</v>
      </c>
      <c r="AT369" s="37">
        <f ca="1">IF(AG369="",0,IF(ISTEXT(AG369),H369*VALUE(SUBSTITUTE(AG369,"%",""))/100,H369*AG369))-Tabela1[[#This Row],[PESO EXPEDIDO2]]</f>
        <v>0</v>
      </c>
      <c r="AU369" s="37">
        <f t="shared" ca="1" si="72"/>
        <v>0.4</v>
      </c>
      <c r="AV369" s="37">
        <f t="shared" ca="1" si="73"/>
        <v>0.4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 ca="1"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 ca="1">Tabela1[[#This Row],[QTDE/ Fabricação]]-Tabela1[[#This Row],[QTE]]</f>
        <v>-1</v>
      </c>
      <c r="R370" s="18">
        <f t="shared" ca="1" si="67"/>
        <v>0.4</v>
      </c>
      <c r="S370" s="18">
        <f t="shared" ca="1" si="65"/>
        <v>0.4</v>
      </c>
      <c r="T370" s="19">
        <f t="shared" ca="1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 ca="1">IFERROR(Tabela1[[#This Row],[QIANTIDADE EXPEDIDA]]*Tabela1[[#This Row],[PESO UNI]],"")</f>
        <v>0.4</v>
      </c>
      <c r="Y370" s="14">
        <f t="shared" ca="1" si="71"/>
        <v>0</v>
      </c>
      <c r="Z370" s="20">
        <f ca="1"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ca="1" si="69"/>
        <v>ok</v>
      </c>
      <c r="AJ370" s="5"/>
      <c r="AK370" t="str">
        <f ca="1">Tabela1[[#This Row],[Coluna1]]&amp;Tabela1[[#This Row],[PEDIDO]]</f>
        <v>P-188</v>
      </c>
      <c r="AL370"/>
      <c r="AM370"/>
      <c r="AN370"/>
      <c r="AO370" t="str">
        <f t="shared" ca="1" si="66"/>
        <v>MDE-M-0029-RA/1073-TC-007</v>
      </c>
      <c r="AP370" t="str">
        <f ca="1">Tabela1[[#This Row],[TAG]]&amp;Tabela1[[#This Row],[PEDIDO]]&amp;Tabela1[[#This Row],[PRODUTO]]</f>
        <v>1073-TC-007P-188RMF</v>
      </c>
      <c r="AQ370" s="22" t="str">
        <f ca="1">Tabela1[[#This Row],[PRODUTO]]&amp;Tabela1[[#This Row],[TAG]]</f>
        <v>RMF1073-TC-007</v>
      </c>
      <c r="AR370" s="24" t="str">
        <f ca="1">Tabela1[[#This Row],[PEDIDO]]&amp;Tabela1[[#This Row],[PRODUTO]]</f>
        <v>P-188RMF</v>
      </c>
      <c r="AS370" s="37">
        <f ca="1">IF(AF370="",0,IF(ISTEXT(AF370),H370*VALUE(SUBSTITUTE(AF370,"%",""))/100,H370*AF370))-Tabela1[[#This Row],[PRONTO ACABADO2]]</f>
        <v>0</v>
      </c>
      <c r="AT370" s="37">
        <f ca="1">IF(AG370="",0,IF(ISTEXT(AG370),H370*VALUE(SUBSTITUTE(AG370,"%",""))/100,H370*AG370))-Tabela1[[#This Row],[PESO EXPEDIDO2]]</f>
        <v>0</v>
      </c>
      <c r="AU370" s="37">
        <f t="shared" ca="1" si="72"/>
        <v>0.4</v>
      </c>
      <c r="AV370" s="37">
        <f t="shared" ca="1" si="73"/>
        <v>0.4</v>
      </c>
      <c r="AW370" s="37"/>
    </row>
    <row r="371" spans="1:49" ht="15.75" hidden="1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 ca="1"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 ca="1">Tabela1[[#This Row],[QTDE/ Fabricação]]-Tabela1[[#This Row],[QTE]]</f>
        <v>-1</v>
      </c>
      <c r="R371" s="18">
        <f t="shared" ca="1" si="67"/>
        <v>0.4</v>
      </c>
      <c r="S371" s="18">
        <f t="shared" ca="1" si="65"/>
        <v>0.4</v>
      </c>
      <c r="T371" s="19">
        <f t="shared" ca="1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 ca="1">IFERROR(Tabela1[[#This Row],[QIANTIDADE EXPEDIDA]]*Tabela1[[#This Row],[PESO UNI]],"")</f>
        <v>0.4</v>
      </c>
      <c r="Y371" s="14">
        <f t="shared" ca="1" si="71"/>
        <v>0</v>
      </c>
      <c r="Z371" s="20">
        <f ca="1"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ca="1" si="69"/>
        <v>ok</v>
      </c>
      <c r="AJ371" s="5"/>
      <c r="AK371" t="str">
        <f ca="1">Tabela1[[#This Row],[Coluna1]]&amp;Tabela1[[#This Row],[PEDIDO]]</f>
        <v>P-188</v>
      </c>
      <c r="AL371"/>
      <c r="AM371"/>
      <c r="AN371"/>
      <c r="AO371" t="str">
        <f t="shared" ca="1" si="66"/>
        <v>MDE-M-0029-RA/1073-TC-006</v>
      </c>
      <c r="AP371" t="str">
        <f ca="1">Tabela1[[#This Row],[TAG]]&amp;Tabela1[[#This Row],[PEDIDO]]&amp;Tabela1[[#This Row],[PRODUTO]]</f>
        <v>1073-TC-006P-188RMF</v>
      </c>
      <c r="AQ371" s="22" t="str">
        <f ca="1">Tabela1[[#This Row],[PRODUTO]]&amp;Tabela1[[#This Row],[TAG]]</f>
        <v>RMF1073-TC-006</v>
      </c>
      <c r="AR371" s="24" t="str">
        <f ca="1">Tabela1[[#This Row],[PEDIDO]]&amp;Tabela1[[#This Row],[PRODUTO]]</f>
        <v>P-188RMF</v>
      </c>
      <c r="AS371" s="37">
        <f ca="1">IF(AF371="",0,IF(ISTEXT(AF371),H371*VALUE(SUBSTITUTE(AF371,"%",""))/100,H371*AF371))-Tabela1[[#This Row],[PRONTO ACABADO2]]</f>
        <v>0</v>
      </c>
      <c r="AT371" s="37">
        <f ca="1">IF(AG371="",0,IF(ISTEXT(AG371),H371*VALUE(SUBSTITUTE(AG371,"%",""))/100,H371*AG371))-Tabela1[[#This Row],[PESO EXPEDIDO2]]</f>
        <v>0</v>
      </c>
      <c r="AU371" s="37">
        <f t="shared" ca="1" si="72"/>
        <v>0.4</v>
      </c>
      <c r="AV371" s="37">
        <f t="shared" ca="1" si="73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 ca="1"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 ca="1">Tabela1[[#This Row],[QTDE/ Fabricação]]-Tabela1[[#This Row],[QTE]]</f>
        <v>-1</v>
      </c>
      <c r="R372" s="18">
        <f t="shared" ca="1" si="67"/>
        <v>0.4</v>
      </c>
      <c r="S372" s="18">
        <f t="shared" ca="1" si="65"/>
        <v>0.4</v>
      </c>
      <c r="T372" s="19">
        <f t="shared" ca="1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 ca="1">IFERROR(Tabela1[[#This Row],[QIANTIDADE EXPEDIDA]]*Tabela1[[#This Row],[PESO UNI]],"")</f>
        <v>0.4</v>
      </c>
      <c r="Y372" s="14">
        <f t="shared" ca="1" si="71"/>
        <v>0</v>
      </c>
      <c r="Z372" s="20">
        <f ca="1"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ca="1" si="69"/>
        <v>ok</v>
      </c>
      <c r="AJ372" s="5"/>
      <c r="AK372" t="str">
        <f ca="1">Tabela1[[#This Row],[Coluna1]]&amp;Tabela1[[#This Row],[PEDIDO]]</f>
        <v>P-188</v>
      </c>
      <c r="AL372"/>
      <c r="AM372"/>
      <c r="AN372"/>
      <c r="AO372" t="str">
        <f t="shared" ca="1" si="66"/>
        <v>MDE-M-0029-RA/1073-TC-007</v>
      </c>
      <c r="AP372" t="str">
        <f ca="1">Tabela1[[#This Row],[TAG]]&amp;Tabela1[[#This Row],[PEDIDO]]&amp;Tabela1[[#This Row],[PRODUTO]]</f>
        <v>1073-TC-007P-188RMF</v>
      </c>
      <c r="AQ372" s="22" t="str">
        <f ca="1">Tabela1[[#This Row],[PRODUTO]]&amp;Tabela1[[#This Row],[TAG]]</f>
        <v>RMF1073-TC-007</v>
      </c>
      <c r="AR372" s="24" t="str">
        <f ca="1">Tabela1[[#This Row],[PEDIDO]]&amp;Tabela1[[#This Row],[PRODUTO]]</f>
        <v>P-188RMF</v>
      </c>
      <c r="AS372" s="37">
        <f ca="1">IF(AF372="",0,IF(ISTEXT(AF372),H372*VALUE(SUBSTITUTE(AF372,"%",""))/100,H372*AF372))-Tabela1[[#This Row],[PRONTO ACABADO2]]</f>
        <v>0</v>
      </c>
      <c r="AT372" s="37">
        <f ca="1">IF(AG372="",0,IF(ISTEXT(AG372),H372*VALUE(SUBSTITUTE(AG372,"%",""))/100,H372*AG372))-Tabela1[[#This Row],[PESO EXPEDIDO2]]</f>
        <v>0</v>
      </c>
      <c r="AU372" s="37">
        <f t="shared" ca="1" si="72"/>
        <v>0.4</v>
      </c>
      <c r="AV372" s="37">
        <f t="shared" ca="1" si="73"/>
        <v>0.4</v>
      </c>
      <c r="AW372" s="37"/>
    </row>
    <row r="373" spans="1:49" ht="15.75" hidden="1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 ca="1"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 ca="1">Tabela1[[#This Row],[QTDE/ Fabricação]]-Tabela1[[#This Row],[QTE]]</f>
        <v>-1</v>
      </c>
      <c r="R373" s="18">
        <f t="shared" ca="1" si="67"/>
        <v>0.2</v>
      </c>
      <c r="S373" s="18">
        <f t="shared" ref="S373:S436" ca="1" si="74">IFERROR(H373*AG373,"")</f>
        <v>0.2</v>
      </c>
      <c r="T373" s="19">
        <f t="shared" ca="1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 ca="1">IFERROR(Tabela1[[#This Row],[QIANTIDADE EXPEDIDA]]*Tabela1[[#This Row],[PESO UNI]],"")</f>
        <v>0.2</v>
      </c>
      <c r="Y373" s="14">
        <f t="shared" ca="1" si="71"/>
        <v>0</v>
      </c>
      <c r="Z373" s="20">
        <f ca="1"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ca="1" si="69"/>
        <v>ok</v>
      </c>
      <c r="AJ373" s="5"/>
      <c r="AK373" t="str">
        <f ca="1">Tabela1[[#This Row],[Coluna1]]&amp;Tabela1[[#This Row],[PEDIDO]]</f>
        <v>P-188</v>
      </c>
      <c r="AL373"/>
      <c r="AM373"/>
      <c r="AN373"/>
      <c r="AO373" t="str">
        <f t="shared" ca="1" si="66"/>
        <v>MDE-M-0029-RA/1073-TC-006</v>
      </c>
      <c r="AP373" t="str">
        <f ca="1">Tabela1[[#This Row],[TAG]]&amp;Tabela1[[#This Row],[PEDIDO]]&amp;Tabela1[[#This Row],[PRODUTO]]</f>
        <v>1073-TC-006P-188RMF</v>
      </c>
      <c r="AQ373" s="22" t="str">
        <f ca="1">Tabela1[[#This Row],[PRODUTO]]&amp;Tabela1[[#This Row],[TAG]]</f>
        <v>RMF1073-TC-006</v>
      </c>
      <c r="AR373" s="24" t="str">
        <f ca="1">Tabela1[[#This Row],[PEDIDO]]&amp;Tabela1[[#This Row],[PRODUTO]]</f>
        <v>P-188RMF</v>
      </c>
      <c r="AS373" s="37">
        <f ca="1">IF(AF373="",0,IF(ISTEXT(AF373),H373*VALUE(SUBSTITUTE(AF373,"%",""))/100,H373*AF373))-Tabela1[[#This Row],[PRONTO ACABADO2]]</f>
        <v>0</v>
      </c>
      <c r="AT373" s="37">
        <f ca="1">IF(AG373="",0,IF(ISTEXT(AG373),H373*VALUE(SUBSTITUTE(AG373,"%",""))/100,H373*AG373))-Tabela1[[#This Row],[PESO EXPEDIDO2]]</f>
        <v>0</v>
      </c>
      <c r="AU373" s="37">
        <f t="shared" ca="1" si="72"/>
        <v>0.2</v>
      </c>
      <c r="AV373" s="37">
        <f t="shared" ca="1" si="73"/>
        <v>0.2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 ca="1"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 ca="1">Tabela1[[#This Row],[QTDE/ Fabricação]]-Tabela1[[#This Row],[QTE]]</f>
        <v>-1</v>
      </c>
      <c r="R374" s="18">
        <f t="shared" ca="1" si="67"/>
        <v>0.2</v>
      </c>
      <c r="S374" s="18">
        <f t="shared" ca="1" si="74"/>
        <v>0.2</v>
      </c>
      <c r="T374" s="19">
        <f t="shared" ca="1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 ca="1">IFERROR(Tabela1[[#This Row],[QIANTIDADE EXPEDIDA]]*Tabela1[[#This Row],[PESO UNI]],"")</f>
        <v>0.2</v>
      </c>
      <c r="Y374" s="14">
        <f t="shared" ca="1" si="71"/>
        <v>0</v>
      </c>
      <c r="Z374" s="20">
        <f ca="1"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ca="1" si="69"/>
        <v>ok</v>
      </c>
      <c r="AJ374" s="5"/>
      <c r="AK374" t="str">
        <f ca="1">Tabela1[[#This Row],[Coluna1]]&amp;Tabela1[[#This Row],[PEDIDO]]</f>
        <v>P-188</v>
      </c>
      <c r="AL374"/>
      <c r="AM374"/>
      <c r="AN374"/>
      <c r="AO374" t="str">
        <f t="shared" ca="1" si="66"/>
        <v>MDE-M-0029-RA/1073-TC-007</v>
      </c>
      <c r="AP374" t="str">
        <f ca="1">Tabela1[[#This Row],[TAG]]&amp;Tabela1[[#This Row],[PEDIDO]]&amp;Tabela1[[#This Row],[PRODUTO]]</f>
        <v>1073-TC-007P-188RMF</v>
      </c>
      <c r="AQ374" s="22" t="str">
        <f ca="1">Tabela1[[#This Row],[PRODUTO]]&amp;Tabela1[[#This Row],[TAG]]</f>
        <v>RMF1073-TC-007</v>
      </c>
      <c r="AR374" s="24" t="str">
        <f ca="1">Tabela1[[#This Row],[PEDIDO]]&amp;Tabela1[[#This Row],[PRODUTO]]</f>
        <v>P-188RMF</v>
      </c>
      <c r="AS374" s="37">
        <f ca="1">IF(AF374="",0,IF(ISTEXT(AF374),H374*VALUE(SUBSTITUTE(AF374,"%",""))/100,H374*AF374))-Tabela1[[#This Row],[PRONTO ACABADO2]]</f>
        <v>0</v>
      </c>
      <c r="AT374" s="37">
        <f ca="1">IF(AG374="",0,IF(ISTEXT(AG374),H374*VALUE(SUBSTITUTE(AG374,"%",""))/100,H374*AG374))-Tabela1[[#This Row],[PESO EXPEDIDO2]]</f>
        <v>0</v>
      </c>
      <c r="AU374" s="37">
        <f t="shared" ca="1" si="72"/>
        <v>0.2</v>
      </c>
      <c r="AV374" s="37">
        <f t="shared" ca="1" si="73"/>
        <v>0.2</v>
      </c>
      <c r="AW374" s="37"/>
    </row>
    <row r="375" spans="1:49" ht="15.75" hidden="1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 ca="1"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 ca="1">Tabela1[[#This Row],[QTDE/ Fabricação]]-Tabela1[[#This Row],[QTE]]</f>
        <v>-2</v>
      </c>
      <c r="R375" s="18">
        <f t="shared" ca="1" si="67"/>
        <v>7.8</v>
      </c>
      <c r="S375" s="18">
        <f t="shared" ca="1" si="74"/>
        <v>7.8</v>
      </c>
      <c r="T375" s="19">
        <f t="shared" ca="1" si="70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 ca="1">IFERROR(Tabela1[[#This Row],[QIANTIDADE EXPEDIDA]]*Tabela1[[#This Row],[PESO UNI]],"")</f>
        <v>7.8</v>
      </c>
      <c r="Y375" s="14">
        <f t="shared" ca="1" si="71"/>
        <v>0</v>
      </c>
      <c r="Z375" s="20">
        <f ca="1"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ca="1" si="69"/>
        <v>ok</v>
      </c>
      <c r="AJ375" s="5"/>
      <c r="AK375" t="str">
        <f ca="1">Tabela1[[#This Row],[Coluna1]]&amp;Tabela1[[#This Row],[PEDIDO]]</f>
        <v>P-188</v>
      </c>
      <c r="AL375"/>
      <c r="AM375"/>
      <c r="AN375"/>
      <c r="AO375" t="str">
        <f t="shared" ca="1" si="66"/>
        <v>MDE-M-0029-RA/1073-TC-006</v>
      </c>
      <c r="AP375" t="str">
        <f ca="1">Tabela1[[#This Row],[TAG]]&amp;Tabela1[[#This Row],[PEDIDO]]&amp;Tabela1[[#This Row],[PRODUTO]]</f>
        <v>1073-TC-006P-188RMF</v>
      </c>
      <c r="AQ375" s="22" t="str">
        <f ca="1">Tabela1[[#This Row],[PRODUTO]]&amp;Tabela1[[#This Row],[TAG]]</f>
        <v>RMF1073-TC-006</v>
      </c>
      <c r="AR375" s="24" t="str">
        <f ca="1">Tabela1[[#This Row],[PEDIDO]]&amp;Tabela1[[#This Row],[PRODUTO]]</f>
        <v>P-188RMF</v>
      </c>
      <c r="AS375" s="37">
        <f ca="1">IF(AF375="",0,IF(ISTEXT(AF375),H375*VALUE(SUBSTITUTE(AF375,"%",""))/100,H375*AF375))-Tabela1[[#This Row],[PRONTO ACABADO2]]</f>
        <v>0</v>
      </c>
      <c r="AT375" s="37">
        <f ca="1">IF(AG375="",0,IF(ISTEXT(AG375),H375*VALUE(SUBSTITUTE(AG375,"%",""))/100,H375*AG375))-Tabela1[[#This Row],[PESO EXPEDIDO2]]</f>
        <v>0</v>
      </c>
      <c r="AU375" s="37">
        <f t="shared" ca="1" si="72"/>
        <v>7.8</v>
      </c>
      <c r="AV375" s="37">
        <f t="shared" ca="1" si="73"/>
        <v>7.8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 ca="1"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 ca="1">Tabela1[[#This Row],[QTDE/ Fabricação]]-Tabela1[[#This Row],[QTE]]</f>
        <v>-2</v>
      </c>
      <c r="R376" s="18">
        <f t="shared" ca="1" si="67"/>
        <v>7.8</v>
      </c>
      <c r="S376" s="18">
        <f t="shared" ca="1" si="74"/>
        <v>7.8</v>
      </c>
      <c r="T376" s="19">
        <f t="shared" ca="1" si="70"/>
        <v>0</v>
      </c>
      <c r="U376" s="16">
        <v>2</v>
      </c>
      <c r="V376" s="12">
        <v>13</v>
      </c>
      <c r="W376" s="13" t="str">
        <f ca="1">IFERROR(VLOOKUP(Tabela1[[#This Row],[COD.MDE]],'LISTA DE EMBARQUE'!B:M,12,0),"")</f>
        <v/>
      </c>
      <c r="X376" s="14">
        <f ca="1">IFERROR(Tabela1[[#This Row],[QIANTIDADE EXPEDIDA]]*Tabela1[[#This Row],[PESO UNI]],"")</f>
        <v>7.8</v>
      </c>
      <c r="Y376" s="14">
        <f t="shared" ca="1" si="71"/>
        <v>0</v>
      </c>
      <c r="Z376" s="20">
        <f ca="1"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ca="1" si="69"/>
        <v>ok</v>
      </c>
      <c r="AJ376" s="5"/>
      <c r="AK376" t="str">
        <f ca="1">Tabela1[[#This Row],[Coluna1]]&amp;Tabela1[[#This Row],[PEDIDO]]</f>
        <v>P-188</v>
      </c>
      <c r="AL376"/>
      <c r="AM376"/>
      <c r="AN376"/>
      <c r="AO376" t="str">
        <f t="shared" ca="1" si="66"/>
        <v>MDE-M-0029-RA/1073-TC-007</v>
      </c>
      <c r="AP376" t="str">
        <f ca="1">Tabela1[[#This Row],[TAG]]&amp;Tabela1[[#This Row],[PEDIDO]]&amp;Tabela1[[#This Row],[PRODUTO]]</f>
        <v>1073-TC-007P-188RMF</v>
      </c>
      <c r="AQ376" s="22" t="str">
        <f ca="1">Tabela1[[#This Row],[PRODUTO]]&amp;Tabela1[[#This Row],[TAG]]</f>
        <v>RMF1073-TC-007</v>
      </c>
      <c r="AR376" s="24" t="str">
        <f ca="1">Tabela1[[#This Row],[PEDIDO]]&amp;Tabela1[[#This Row],[PRODUTO]]</f>
        <v>P-188RMF</v>
      </c>
      <c r="AS376" s="37">
        <f ca="1">IF(AF376="",0,IF(ISTEXT(AF376),H376*VALUE(SUBSTITUTE(AF376,"%",""))/100,H376*AF376))-Tabela1[[#This Row],[PRONTO ACABADO2]]</f>
        <v>0</v>
      </c>
      <c r="AT376" s="37">
        <f ca="1">IF(AG376="",0,IF(ISTEXT(AG376),H376*VALUE(SUBSTITUTE(AG376,"%",""))/100,H376*AG376))-Tabela1[[#This Row],[PESO EXPEDIDO2]]</f>
        <v>0</v>
      </c>
      <c r="AU376" s="37">
        <f t="shared" ca="1" si="72"/>
        <v>7.8</v>
      </c>
      <c r="AV376" s="37">
        <f t="shared" ca="1" si="73"/>
        <v>7.8</v>
      </c>
      <c r="AW376" s="37"/>
    </row>
    <row r="377" spans="1:49" ht="15.75" hidden="1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 ca="1"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 ca="1">Tabela1[[#This Row],[QTDE/ Fabricação]]-Tabela1[[#This Row],[QTE]]</f>
        <v>-4</v>
      </c>
      <c r="R377" s="18">
        <f t="shared" ca="1" si="67"/>
        <v>9.1999999999999993</v>
      </c>
      <c r="S377" s="18">
        <f t="shared" ca="1" si="74"/>
        <v>9.1999999999999993</v>
      </c>
      <c r="T377" s="19">
        <f t="shared" ca="1" si="70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 ca="1">IFERROR(Tabela1[[#This Row],[QIANTIDADE EXPEDIDA]]*Tabela1[[#This Row],[PESO UNI]],"")</f>
        <v>9.1999999999999993</v>
      </c>
      <c r="Y377" s="14">
        <f t="shared" ca="1" si="71"/>
        <v>0</v>
      </c>
      <c r="Z377" s="20">
        <f ca="1"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ca="1" si="69"/>
        <v>ok</v>
      </c>
      <c r="AJ377" s="5"/>
      <c r="AK377" t="str">
        <f ca="1">Tabela1[[#This Row],[Coluna1]]&amp;Tabela1[[#This Row],[PEDIDO]]</f>
        <v>P-188</v>
      </c>
      <c r="AL377"/>
      <c r="AM377"/>
      <c r="AN377"/>
      <c r="AO377" t="str">
        <f t="shared" ca="1" si="66"/>
        <v>MDE-M-0029-RA/1073-TC-006</v>
      </c>
      <c r="AP377" t="str">
        <f ca="1">Tabela1[[#This Row],[TAG]]&amp;Tabela1[[#This Row],[PEDIDO]]&amp;Tabela1[[#This Row],[PRODUTO]]</f>
        <v>1073-TC-006P-188RMF</v>
      </c>
      <c r="AQ377" s="22" t="str">
        <f ca="1">Tabela1[[#This Row],[PRODUTO]]&amp;Tabela1[[#This Row],[TAG]]</f>
        <v>RMF1073-TC-006</v>
      </c>
      <c r="AR377" s="24" t="str">
        <f ca="1">Tabela1[[#This Row],[PEDIDO]]&amp;Tabela1[[#This Row],[PRODUTO]]</f>
        <v>P-188RMF</v>
      </c>
      <c r="AS377" s="37">
        <f ca="1">IF(AF377="",0,IF(ISTEXT(AF377),H377*VALUE(SUBSTITUTE(AF377,"%",""))/100,H377*AF377))-Tabela1[[#This Row],[PRONTO ACABADO2]]</f>
        <v>0</v>
      </c>
      <c r="AT377" s="37">
        <f ca="1">IF(AG377="",0,IF(ISTEXT(AG377),H377*VALUE(SUBSTITUTE(AG377,"%",""))/100,H377*AG377))-Tabela1[[#This Row],[PESO EXPEDIDO2]]</f>
        <v>0</v>
      </c>
      <c r="AU377" s="37">
        <f t="shared" ca="1" si="72"/>
        <v>9.1999999999999993</v>
      </c>
      <c r="AV377" s="37">
        <f t="shared" ca="1" si="73"/>
        <v>9.1999999999999993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 ca="1"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 ca="1">Tabela1[[#This Row],[QTDE/ Fabricação]]-Tabela1[[#This Row],[QTE]]</f>
        <v>-4</v>
      </c>
      <c r="R378" s="18">
        <f t="shared" ca="1" si="67"/>
        <v>9.1999999999999993</v>
      </c>
      <c r="S378" s="18">
        <f t="shared" ca="1" si="74"/>
        <v>9.1999999999999993</v>
      </c>
      <c r="T378" s="19">
        <f t="shared" ca="1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 ca="1">IFERROR(Tabela1[[#This Row],[QIANTIDADE EXPEDIDA]]*Tabela1[[#This Row],[PESO UNI]],"")</f>
        <v>9.1999999999999993</v>
      </c>
      <c r="Y378" s="14">
        <f t="shared" ca="1" si="71"/>
        <v>0</v>
      </c>
      <c r="Z378" s="20">
        <f ca="1"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ca="1" si="69"/>
        <v>ok</v>
      </c>
      <c r="AJ378" s="5"/>
      <c r="AK378" t="str">
        <f ca="1">Tabela1[[#This Row],[Coluna1]]&amp;Tabela1[[#This Row],[PEDIDO]]</f>
        <v>P-188</v>
      </c>
      <c r="AL378"/>
      <c r="AM378"/>
      <c r="AN378"/>
      <c r="AO378" t="str">
        <f t="shared" ca="1" si="66"/>
        <v>MDE-M-0029-RA/1073-TC-007</v>
      </c>
      <c r="AP378" t="str">
        <f ca="1">Tabela1[[#This Row],[TAG]]&amp;Tabela1[[#This Row],[PEDIDO]]&amp;Tabela1[[#This Row],[PRODUTO]]</f>
        <v>1073-TC-007P-188RMF</v>
      </c>
      <c r="AQ378" s="22" t="str">
        <f ca="1">Tabela1[[#This Row],[PRODUTO]]&amp;Tabela1[[#This Row],[TAG]]</f>
        <v>RMF1073-TC-007</v>
      </c>
      <c r="AR378" s="24" t="str">
        <f ca="1">Tabela1[[#This Row],[PEDIDO]]&amp;Tabela1[[#This Row],[PRODUTO]]</f>
        <v>P-188RMF</v>
      </c>
      <c r="AS378" s="37">
        <f ca="1">IF(AF378="",0,IF(ISTEXT(AF378),H378*VALUE(SUBSTITUTE(AF378,"%",""))/100,H378*AF378))-Tabela1[[#This Row],[PRONTO ACABADO2]]</f>
        <v>0</v>
      </c>
      <c r="AT378" s="37">
        <f ca="1">IF(AG378="",0,IF(ISTEXT(AG378),H378*VALUE(SUBSTITUTE(AG378,"%",""))/100,H378*AG378))-Tabela1[[#This Row],[PESO EXPEDIDO2]]</f>
        <v>0</v>
      </c>
      <c r="AU378" s="37">
        <f t="shared" ca="1" si="72"/>
        <v>9.1999999999999993</v>
      </c>
      <c r="AV378" s="37">
        <f t="shared" ca="1" si="73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 ca="1"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 ca="1">Tabela1[[#This Row],[QTDE/ Fabricação]]-Tabela1[[#This Row],[QTE]]</f>
        <v>-1</v>
      </c>
      <c r="R379" s="18">
        <f t="shared" ca="1" si="67"/>
        <v>4.3</v>
      </c>
      <c r="S379" s="18">
        <f t="shared" ca="1" si="74"/>
        <v>4.3</v>
      </c>
      <c r="T379" s="19">
        <f t="shared" ca="1" si="70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 ca="1">IFERROR(Tabela1[[#This Row],[QIANTIDADE EXPEDIDA]]*Tabela1[[#This Row],[PESO UNI]],"")</f>
        <v>4.3</v>
      </c>
      <c r="Y379" s="14">
        <f t="shared" ca="1" si="71"/>
        <v>0</v>
      </c>
      <c r="Z379" s="20">
        <f ca="1"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ca="1" si="69"/>
        <v>ok</v>
      </c>
      <c r="AJ379" s="5"/>
      <c r="AK379" t="str">
        <f ca="1">Tabela1[[#This Row],[Coluna1]]&amp;Tabela1[[#This Row],[PEDIDO]]</f>
        <v>P-188</v>
      </c>
      <c r="AL379"/>
      <c r="AM379"/>
      <c r="AN379"/>
      <c r="AO379" t="str">
        <f t="shared" ca="1" si="66"/>
        <v>MDE-M-0029-RA/1073-TC-006</v>
      </c>
      <c r="AP379" t="str">
        <f ca="1">Tabela1[[#This Row],[TAG]]&amp;Tabela1[[#This Row],[PEDIDO]]&amp;Tabela1[[#This Row],[PRODUTO]]</f>
        <v>1073-TC-006P-188RMF</v>
      </c>
      <c r="AQ379" s="22" t="str">
        <f ca="1">Tabela1[[#This Row],[PRODUTO]]&amp;Tabela1[[#This Row],[TAG]]</f>
        <v>RMF1073-TC-006</v>
      </c>
      <c r="AR379" s="24" t="str">
        <f ca="1">Tabela1[[#This Row],[PEDIDO]]&amp;Tabela1[[#This Row],[PRODUTO]]</f>
        <v>P-188RMF</v>
      </c>
      <c r="AS379" s="37">
        <f ca="1">IF(AF379="",0,IF(ISTEXT(AF379),H379*VALUE(SUBSTITUTE(AF379,"%",""))/100,H379*AF379))-Tabela1[[#This Row],[PRONTO ACABADO2]]</f>
        <v>0</v>
      </c>
      <c r="AT379" s="37">
        <f ca="1">IF(AG379="",0,IF(ISTEXT(AG379),H379*VALUE(SUBSTITUTE(AG379,"%",""))/100,H379*AG379))-Tabela1[[#This Row],[PESO EXPEDIDO2]]</f>
        <v>0</v>
      </c>
      <c r="AU379" s="37">
        <f t="shared" ca="1" si="72"/>
        <v>4.3</v>
      </c>
      <c r="AV379" s="37">
        <f t="shared" ca="1" si="73"/>
        <v>4.3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 ca="1"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 ca="1">Tabela1[[#This Row],[QTDE/ Fabricação]]-Tabela1[[#This Row],[QTE]]</f>
        <v>-1</v>
      </c>
      <c r="R380" s="18">
        <f t="shared" ca="1" si="67"/>
        <v>4.3</v>
      </c>
      <c r="S380" s="18">
        <f t="shared" ca="1" si="74"/>
        <v>4.3</v>
      </c>
      <c r="T380" s="19">
        <f t="shared" ca="1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 ca="1">IFERROR(Tabela1[[#This Row],[QIANTIDADE EXPEDIDA]]*Tabela1[[#This Row],[PESO UNI]],"")</f>
        <v>4.3</v>
      </c>
      <c r="Y380" s="14">
        <f t="shared" ca="1" si="71"/>
        <v>0</v>
      </c>
      <c r="Z380" s="20">
        <f ca="1"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ca="1" si="69"/>
        <v>ok</v>
      </c>
      <c r="AJ380" s="5"/>
      <c r="AK380" t="str">
        <f ca="1">Tabela1[[#This Row],[Coluna1]]&amp;Tabela1[[#This Row],[PEDIDO]]</f>
        <v>P-188</v>
      </c>
      <c r="AL380"/>
      <c r="AM380"/>
      <c r="AN380"/>
      <c r="AO380" t="str">
        <f t="shared" ca="1" si="66"/>
        <v>MDE-M-0029-RA/1073-TC-007</v>
      </c>
      <c r="AP380" t="str">
        <f ca="1">Tabela1[[#This Row],[TAG]]&amp;Tabela1[[#This Row],[PEDIDO]]&amp;Tabela1[[#This Row],[PRODUTO]]</f>
        <v>1073-TC-007P-188RMF</v>
      </c>
      <c r="AQ380" s="22" t="str">
        <f ca="1">Tabela1[[#This Row],[PRODUTO]]&amp;Tabela1[[#This Row],[TAG]]</f>
        <v>RMF1073-TC-007</v>
      </c>
      <c r="AR380" s="24" t="str">
        <f ca="1">Tabela1[[#This Row],[PEDIDO]]&amp;Tabela1[[#This Row],[PRODUTO]]</f>
        <v>P-188RMF</v>
      </c>
      <c r="AS380" s="37">
        <f ca="1">IF(AF380="",0,IF(ISTEXT(AF380),H380*VALUE(SUBSTITUTE(AF380,"%",""))/100,H380*AF380))-Tabela1[[#This Row],[PRONTO ACABADO2]]</f>
        <v>0</v>
      </c>
      <c r="AT380" s="37">
        <f ca="1">IF(AG380="",0,IF(ISTEXT(AG380),H380*VALUE(SUBSTITUTE(AG380,"%",""))/100,H380*AG380))-Tabela1[[#This Row],[PESO EXPEDIDO2]]</f>
        <v>0</v>
      </c>
      <c r="AU380" s="37">
        <f t="shared" ca="1" si="72"/>
        <v>4.3</v>
      </c>
      <c r="AV380" s="37">
        <f t="shared" ca="1" si="73"/>
        <v>4.3</v>
      </c>
      <c r="AW380" s="37"/>
    </row>
    <row r="381" spans="1:49" ht="15.75" hidden="1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 ca="1"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 ca="1">Tabela1[[#This Row],[QTDE/ Fabricação]]-Tabela1[[#This Row],[QTE]]</f>
        <v>-1</v>
      </c>
      <c r="R381" s="18">
        <f t="shared" ca="1" si="67"/>
        <v>4</v>
      </c>
      <c r="S381" s="18">
        <f t="shared" ca="1" si="74"/>
        <v>4</v>
      </c>
      <c r="T381" s="19">
        <f t="shared" ca="1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 ca="1">IFERROR(Tabela1[[#This Row],[QIANTIDADE EXPEDIDA]]*Tabela1[[#This Row],[PESO UNI]],"")</f>
        <v>4</v>
      </c>
      <c r="Y381" s="14">
        <f t="shared" ca="1" si="71"/>
        <v>0</v>
      </c>
      <c r="Z381" s="20">
        <f ca="1"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ca="1" si="69"/>
        <v>ok</v>
      </c>
      <c r="AJ381" s="5"/>
      <c r="AK381" t="str">
        <f ca="1">Tabela1[[#This Row],[Coluna1]]&amp;Tabela1[[#This Row],[PEDIDO]]</f>
        <v>P-188</v>
      </c>
      <c r="AL381"/>
      <c r="AM381"/>
      <c r="AN381"/>
      <c r="AO381" t="str">
        <f t="shared" ca="1" si="66"/>
        <v>MDE-M-0029-RA/1073-TC-006</v>
      </c>
      <c r="AP381" t="str">
        <f ca="1">Tabela1[[#This Row],[TAG]]&amp;Tabela1[[#This Row],[PEDIDO]]&amp;Tabela1[[#This Row],[PRODUTO]]</f>
        <v>1073-TC-006P-188RMF</v>
      </c>
      <c r="AQ381" s="22" t="str">
        <f ca="1">Tabela1[[#This Row],[PRODUTO]]&amp;Tabela1[[#This Row],[TAG]]</f>
        <v>RMF1073-TC-006</v>
      </c>
      <c r="AR381" s="24" t="str">
        <f ca="1">Tabela1[[#This Row],[PEDIDO]]&amp;Tabela1[[#This Row],[PRODUTO]]</f>
        <v>P-188RMF</v>
      </c>
      <c r="AS381" s="37">
        <f ca="1">IF(AF381="",0,IF(ISTEXT(AF381),H381*VALUE(SUBSTITUTE(AF381,"%",""))/100,H381*AF381))-Tabela1[[#This Row],[PRONTO ACABADO2]]</f>
        <v>0</v>
      </c>
      <c r="AT381" s="37">
        <f ca="1">IF(AG381="",0,IF(ISTEXT(AG381),H381*VALUE(SUBSTITUTE(AG381,"%",""))/100,H381*AG381))-Tabela1[[#This Row],[PESO EXPEDIDO2]]</f>
        <v>0</v>
      </c>
      <c r="AU381" s="37">
        <f t="shared" ca="1" si="72"/>
        <v>4</v>
      </c>
      <c r="AV381" s="37">
        <f t="shared" ca="1" si="73"/>
        <v>4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 ca="1"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 ca="1">Tabela1[[#This Row],[QTDE/ Fabricação]]-Tabela1[[#This Row],[QTE]]</f>
        <v>-1</v>
      </c>
      <c r="R382" s="18">
        <f t="shared" ca="1" si="67"/>
        <v>4</v>
      </c>
      <c r="S382" s="18">
        <f t="shared" ca="1" si="74"/>
        <v>4</v>
      </c>
      <c r="T382" s="19">
        <f t="shared" ca="1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 ca="1">IFERROR(Tabela1[[#This Row],[QIANTIDADE EXPEDIDA]]*Tabela1[[#This Row],[PESO UNI]],"")</f>
        <v>4</v>
      </c>
      <c r="Y382" s="14">
        <f t="shared" ca="1" si="71"/>
        <v>0</v>
      </c>
      <c r="Z382" s="20">
        <f ca="1"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ca="1" si="69"/>
        <v>ok</v>
      </c>
      <c r="AJ382" s="5"/>
      <c r="AK382" t="str">
        <f ca="1">Tabela1[[#This Row],[Coluna1]]&amp;Tabela1[[#This Row],[PEDIDO]]</f>
        <v>P-188</v>
      </c>
      <c r="AL382"/>
      <c r="AM382"/>
      <c r="AN382"/>
      <c r="AO382" t="str">
        <f t="shared" ca="1" si="66"/>
        <v>MDE-M-0029-RA/1073-TC-007</v>
      </c>
      <c r="AP382" t="str">
        <f ca="1">Tabela1[[#This Row],[TAG]]&amp;Tabela1[[#This Row],[PEDIDO]]&amp;Tabela1[[#This Row],[PRODUTO]]</f>
        <v>1073-TC-007P-188RMF</v>
      </c>
      <c r="AQ382" s="22" t="str">
        <f ca="1">Tabela1[[#This Row],[PRODUTO]]&amp;Tabela1[[#This Row],[TAG]]</f>
        <v>RMF1073-TC-007</v>
      </c>
      <c r="AR382" s="24" t="str">
        <f ca="1">Tabela1[[#This Row],[PEDIDO]]&amp;Tabela1[[#This Row],[PRODUTO]]</f>
        <v>P-188RMF</v>
      </c>
      <c r="AS382" s="37">
        <f ca="1">IF(AF382="",0,IF(ISTEXT(AF382),H382*VALUE(SUBSTITUTE(AF382,"%",""))/100,H382*AF382))-Tabela1[[#This Row],[PRONTO ACABADO2]]</f>
        <v>0</v>
      </c>
      <c r="AT382" s="37">
        <f ca="1">IF(AG382="",0,IF(ISTEXT(AG382),H382*VALUE(SUBSTITUTE(AG382,"%",""))/100,H382*AG382))-Tabela1[[#This Row],[PESO EXPEDIDO2]]</f>
        <v>0</v>
      </c>
      <c r="AU382" s="37">
        <f t="shared" ca="1" si="72"/>
        <v>4</v>
      </c>
      <c r="AV382" s="37">
        <f t="shared" ca="1" si="73"/>
        <v>4</v>
      </c>
      <c r="AW382" s="37"/>
    </row>
    <row r="383" spans="1:49" ht="15.75" hidden="1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 ca="1"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 ca="1">Tabela1[[#This Row],[QTDE/ Fabricação]]-Tabela1[[#This Row],[QTE]]</f>
        <v>-1</v>
      </c>
      <c r="R383" s="18">
        <f t="shared" ca="1" si="67"/>
        <v>11.8</v>
      </c>
      <c r="S383" s="18">
        <f t="shared" ca="1" si="74"/>
        <v>11.8</v>
      </c>
      <c r="T383" s="19">
        <f t="shared" ca="1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 ca="1">IFERROR(Tabela1[[#This Row],[QIANTIDADE EXPEDIDA]]*Tabela1[[#This Row],[PESO UNI]],"")</f>
        <v>11.8</v>
      </c>
      <c r="Y383" s="14">
        <f t="shared" ca="1" si="71"/>
        <v>0</v>
      </c>
      <c r="Z383" s="20">
        <f ca="1"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ca="1" si="69"/>
        <v>ok</v>
      </c>
      <c r="AJ383" s="5"/>
      <c r="AK383" t="str">
        <f ca="1">Tabela1[[#This Row],[Coluna1]]&amp;Tabela1[[#This Row],[PEDIDO]]</f>
        <v>P-188</v>
      </c>
      <c r="AL383"/>
      <c r="AM383"/>
      <c r="AN383"/>
      <c r="AO383" t="str">
        <f t="shared" ca="1" si="66"/>
        <v>T-072994-1/1073-TC-006</v>
      </c>
      <c r="AP383" t="str">
        <f ca="1">Tabela1[[#This Row],[TAG]]&amp;Tabela1[[#This Row],[PEDIDO]]&amp;Tabela1[[#This Row],[PRODUTO]]</f>
        <v>1073-TC-006P-188RMF</v>
      </c>
      <c r="AQ383" s="22" t="str">
        <f ca="1">Tabela1[[#This Row],[PRODUTO]]&amp;Tabela1[[#This Row],[TAG]]</f>
        <v>RMF1073-TC-006</v>
      </c>
      <c r="AR383" s="24" t="str">
        <f ca="1">Tabela1[[#This Row],[PEDIDO]]&amp;Tabela1[[#This Row],[PRODUTO]]</f>
        <v>P-188RMF</v>
      </c>
      <c r="AS383" s="37">
        <f ca="1">IF(AF383="",0,IF(ISTEXT(AF383),H383*VALUE(SUBSTITUTE(AF383,"%",""))/100,H383*AF383))-Tabela1[[#This Row],[PRONTO ACABADO2]]</f>
        <v>0</v>
      </c>
      <c r="AT383" s="37">
        <f ca="1">IF(AG383="",0,IF(ISTEXT(AG383),H383*VALUE(SUBSTITUTE(AG383,"%",""))/100,H383*AG383))-Tabela1[[#This Row],[PESO EXPEDIDO2]]</f>
        <v>0</v>
      </c>
      <c r="AU383" s="37">
        <f t="shared" ca="1" si="72"/>
        <v>11.8</v>
      </c>
      <c r="AV383" s="37">
        <f t="shared" ca="1" si="73"/>
        <v>11.8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 ca="1"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 ca="1">Tabela1[[#This Row],[QTDE/ Fabricação]]-Tabela1[[#This Row],[QTE]]</f>
        <v>-1</v>
      </c>
      <c r="R384" s="18">
        <f t="shared" ca="1" si="67"/>
        <v>11.8</v>
      </c>
      <c r="S384" s="18">
        <f t="shared" ca="1" si="74"/>
        <v>11.8</v>
      </c>
      <c r="T384" s="19">
        <f t="shared" ca="1" si="70"/>
        <v>0</v>
      </c>
      <c r="U384" s="16">
        <v>1</v>
      </c>
      <c r="V384" s="12">
        <v>13</v>
      </c>
      <c r="W384" s="13" t="str">
        <f ca="1">IFERROR(VLOOKUP(Tabela1[[#This Row],[COD.MDE]],'LISTA DE EMBARQUE'!B:M,12,0),"")</f>
        <v/>
      </c>
      <c r="X384" s="14">
        <f ca="1">IFERROR(Tabela1[[#This Row],[QIANTIDADE EXPEDIDA]]*Tabela1[[#This Row],[PESO UNI]],"")</f>
        <v>11.8</v>
      </c>
      <c r="Y384" s="14">
        <f t="shared" ca="1" si="71"/>
        <v>0</v>
      </c>
      <c r="Z384" s="20">
        <f ca="1"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ca="1" si="69"/>
        <v>ok</v>
      </c>
      <c r="AJ384" s="5"/>
      <c r="AK384" t="str">
        <f ca="1">Tabela1[[#This Row],[Coluna1]]&amp;Tabela1[[#This Row],[PEDIDO]]</f>
        <v>P-188</v>
      </c>
      <c r="AL384"/>
      <c r="AM384"/>
      <c r="AN384"/>
      <c r="AO384" t="str">
        <f t="shared" ca="1" si="66"/>
        <v>T-072994-1/1073-TC-007</v>
      </c>
      <c r="AP384" t="str">
        <f ca="1">Tabela1[[#This Row],[TAG]]&amp;Tabela1[[#This Row],[PEDIDO]]&amp;Tabela1[[#This Row],[PRODUTO]]</f>
        <v>1073-TC-007P-188RMF</v>
      </c>
      <c r="AQ384" s="22" t="str">
        <f ca="1">Tabela1[[#This Row],[PRODUTO]]&amp;Tabela1[[#This Row],[TAG]]</f>
        <v>RMF1073-TC-007</v>
      </c>
      <c r="AR384" s="24" t="str">
        <f ca="1">Tabela1[[#This Row],[PEDIDO]]&amp;Tabela1[[#This Row],[PRODUTO]]</f>
        <v>P-188RMF</v>
      </c>
      <c r="AS384" s="37">
        <f ca="1">IF(AF384="",0,IF(ISTEXT(AF384),H384*VALUE(SUBSTITUTE(AF384,"%",""))/100,H384*AF384))-Tabela1[[#This Row],[PRONTO ACABADO2]]</f>
        <v>0</v>
      </c>
      <c r="AT384" s="37">
        <f ca="1">IF(AG384="",0,IF(ISTEXT(AG384),H384*VALUE(SUBSTITUTE(AG384,"%",""))/100,H384*AG384))-Tabela1[[#This Row],[PESO EXPEDIDO2]]</f>
        <v>0</v>
      </c>
      <c r="AU384" s="37">
        <f t="shared" ca="1" si="72"/>
        <v>11.8</v>
      </c>
      <c r="AV384" s="37">
        <f t="shared" ca="1" si="73"/>
        <v>11.8</v>
      </c>
      <c r="AW384" s="37"/>
    </row>
    <row r="385" spans="1:49" ht="15.75" hidden="1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 ca="1"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 ca="1">Tabela1[[#This Row],[QTDE/ Fabricação]]-Tabela1[[#This Row],[QTE]]</f>
        <v>-1</v>
      </c>
      <c r="R385" s="18">
        <f t="shared" ca="1" si="67"/>
        <v>11.2</v>
      </c>
      <c r="S385" s="18">
        <f t="shared" ca="1" si="74"/>
        <v>11.2</v>
      </c>
      <c r="T385" s="19">
        <f t="shared" ca="1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 ca="1">IFERROR(Tabela1[[#This Row],[QIANTIDADE EXPEDIDA]]*Tabela1[[#This Row],[PESO UNI]],"")</f>
        <v>11.2</v>
      </c>
      <c r="Y385" s="14">
        <f t="shared" ca="1" si="71"/>
        <v>0</v>
      </c>
      <c r="Z385" s="20">
        <f ca="1"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ca="1" si="69"/>
        <v>ok</v>
      </c>
      <c r="AJ385" s="5"/>
      <c r="AK385" t="str">
        <f ca="1">Tabela1[[#This Row],[Coluna1]]&amp;Tabela1[[#This Row],[PEDIDO]]</f>
        <v>P-188</v>
      </c>
      <c r="AL385"/>
      <c r="AM385"/>
      <c r="AN385"/>
      <c r="AO385" t="str">
        <f t="shared" ca="1" si="66"/>
        <v>T-072994-1/1073-TC-006</v>
      </c>
      <c r="AP385" t="str">
        <f ca="1">Tabela1[[#This Row],[TAG]]&amp;Tabela1[[#This Row],[PEDIDO]]&amp;Tabela1[[#This Row],[PRODUTO]]</f>
        <v>1073-TC-006P-188RMF</v>
      </c>
      <c r="AQ385" s="22" t="str">
        <f ca="1">Tabela1[[#This Row],[PRODUTO]]&amp;Tabela1[[#This Row],[TAG]]</f>
        <v>RMF1073-TC-006</v>
      </c>
      <c r="AR385" s="24" t="str">
        <f ca="1">Tabela1[[#This Row],[PEDIDO]]&amp;Tabela1[[#This Row],[PRODUTO]]</f>
        <v>P-188RMF</v>
      </c>
      <c r="AS385" s="37">
        <f ca="1">IF(AF385="",0,IF(ISTEXT(AF385),H385*VALUE(SUBSTITUTE(AF385,"%",""))/100,H385*AF385))-Tabela1[[#This Row],[PRONTO ACABADO2]]</f>
        <v>0</v>
      </c>
      <c r="AT385" s="37">
        <f ca="1">IF(AG385="",0,IF(ISTEXT(AG385),H385*VALUE(SUBSTITUTE(AG385,"%",""))/100,H385*AG385))-Tabela1[[#This Row],[PESO EXPEDIDO2]]</f>
        <v>0</v>
      </c>
      <c r="AU385" s="37">
        <f t="shared" ca="1" si="72"/>
        <v>11.2</v>
      </c>
      <c r="AV385" s="37">
        <f t="shared" ca="1" si="73"/>
        <v>11.2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 ca="1"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 ca="1">Tabela1[[#This Row],[QTDE/ Fabricação]]-Tabela1[[#This Row],[QTE]]</f>
        <v>-1</v>
      </c>
      <c r="R386" s="18">
        <f t="shared" ca="1" si="67"/>
        <v>11.2</v>
      </c>
      <c r="S386" s="18">
        <f t="shared" ca="1" si="74"/>
        <v>11.2</v>
      </c>
      <c r="T386" s="19">
        <f t="shared" ca="1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 ca="1">IFERROR(Tabela1[[#This Row],[QIANTIDADE EXPEDIDA]]*Tabela1[[#This Row],[PESO UNI]],"")</f>
        <v>11.2</v>
      </c>
      <c r="Y386" s="14">
        <f t="shared" ca="1" si="71"/>
        <v>0</v>
      </c>
      <c r="Z386" s="20">
        <f ca="1"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ca="1" si="69"/>
        <v>ok</v>
      </c>
      <c r="AJ386" s="5"/>
      <c r="AK386" t="str">
        <f ca="1">Tabela1[[#This Row],[Coluna1]]&amp;Tabela1[[#This Row],[PEDIDO]]</f>
        <v>P-188</v>
      </c>
      <c r="AL386"/>
      <c r="AM386"/>
      <c r="AN386"/>
      <c r="AO386" t="str">
        <f t="shared" ca="1" si="66"/>
        <v>T-072994-1/1073-TC-007</v>
      </c>
      <c r="AP386" t="str">
        <f ca="1">Tabela1[[#This Row],[TAG]]&amp;Tabela1[[#This Row],[PEDIDO]]&amp;Tabela1[[#This Row],[PRODUTO]]</f>
        <v>1073-TC-007P-188RMF</v>
      </c>
      <c r="AQ386" s="22" t="str">
        <f ca="1">Tabela1[[#This Row],[PRODUTO]]&amp;Tabela1[[#This Row],[TAG]]</f>
        <v>RMF1073-TC-007</v>
      </c>
      <c r="AR386" s="24" t="str">
        <f ca="1">Tabela1[[#This Row],[PEDIDO]]&amp;Tabela1[[#This Row],[PRODUTO]]</f>
        <v>P-188RMF</v>
      </c>
      <c r="AS386" s="37">
        <f ca="1">IF(AF386="",0,IF(ISTEXT(AF386),H386*VALUE(SUBSTITUTE(AF386,"%",""))/100,H386*AF386))-Tabela1[[#This Row],[PRONTO ACABADO2]]</f>
        <v>0</v>
      </c>
      <c r="AT386" s="37">
        <f ca="1">IF(AG386="",0,IF(ISTEXT(AG386),H386*VALUE(SUBSTITUTE(AG386,"%",""))/100,H386*AG386))-Tabela1[[#This Row],[PESO EXPEDIDO2]]</f>
        <v>0</v>
      </c>
      <c r="AU386" s="37">
        <f t="shared" ca="1" si="72"/>
        <v>11.2</v>
      </c>
      <c r="AV386" s="37">
        <f t="shared" ca="1" si="73"/>
        <v>11.2</v>
      </c>
      <c r="AW386" s="37"/>
    </row>
    <row r="387" spans="1:49" ht="15.75" hidden="1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 ca="1"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 ca="1">Tabela1[[#This Row],[QTDE/ Fabricação]]-Tabela1[[#This Row],[QTE]]</f>
        <v>-2</v>
      </c>
      <c r="R387" s="18">
        <f t="shared" ca="1" si="67"/>
        <v>31.8</v>
      </c>
      <c r="S387" s="18">
        <f t="shared" ca="1" si="74"/>
        <v>31.8</v>
      </c>
      <c r="T387" s="19">
        <f t="shared" ca="1" si="70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 ca="1">IFERROR(Tabela1[[#This Row],[QIANTIDADE EXPEDIDA]]*Tabela1[[#This Row],[PESO UNI]],"")</f>
        <v>31.8</v>
      </c>
      <c r="Y387" s="14">
        <f t="shared" ca="1" si="71"/>
        <v>0</v>
      </c>
      <c r="Z387" s="20">
        <f ca="1"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ca="1" si="69"/>
        <v>ok</v>
      </c>
      <c r="AJ387" s="5"/>
      <c r="AK387" t="str">
        <f ca="1">Tabela1[[#This Row],[Coluna1]]&amp;Tabela1[[#This Row],[PEDIDO]]</f>
        <v>P-188</v>
      </c>
      <c r="AL387"/>
      <c r="AM387"/>
      <c r="AN387"/>
      <c r="AO387" t="str">
        <f t="shared" ca="1" si="66"/>
        <v>T-072994-1/1073-TC-006</v>
      </c>
      <c r="AP387" t="str">
        <f ca="1">Tabela1[[#This Row],[TAG]]&amp;Tabela1[[#This Row],[PEDIDO]]&amp;Tabela1[[#This Row],[PRODUTO]]</f>
        <v>1073-TC-006P-188RMF</v>
      </c>
      <c r="AQ387" s="22" t="str">
        <f ca="1">Tabela1[[#This Row],[PRODUTO]]&amp;Tabela1[[#This Row],[TAG]]</f>
        <v>RMF1073-TC-006</v>
      </c>
      <c r="AR387" s="24" t="str">
        <f ca="1">Tabela1[[#This Row],[PEDIDO]]&amp;Tabela1[[#This Row],[PRODUTO]]</f>
        <v>P-188RMF</v>
      </c>
      <c r="AS387" s="37">
        <f ca="1">IF(AF387="",0,IF(ISTEXT(AF387),H387*VALUE(SUBSTITUTE(AF387,"%",""))/100,H387*AF387))-Tabela1[[#This Row],[PRONTO ACABADO2]]</f>
        <v>0</v>
      </c>
      <c r="AT387" s="37">
        <f ca="1">IF(AG387="",0,IF(ISTEXT(AG387),H387*VALUE(SUBSTITUTE(AG387,"%",""))/100,H387*AG387))-Tabela1[[#This Row],[PESO EXPEDIDO2]]</f>
        <v>0</v>
      </c>
      <c r="AU387" s="37">
        <f t="shared" ca="1" si="72"/>
        <v>31.8</v>
      </c>
      <c r="AV387" s="37">
        <f t="shared" ca="1" si="73"/>
        <v>31.8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 ca="1"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 ca="1">Tabela1[[#This Row],[QTDE/ Fabricação]]-Tabela1[[#This Row],[QTE]]</f>
        <v>-2</v>
      </c>
      <c r="R388" s="18">
        <f t="shared" ca="1" si="67"/>
        <v>31.8</v>
      </c>
      <c r="S388" s="18">
        <f t="shared" ca="1" si="74"/>
        <v>31.8</v>
      </c>
      <c r="T388" s="19">
        <f t="shared" ca="1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 ca="1">IFERROR(Tabela1[[#This Row],[QIANTIDADE EXPEDIDA]]*Tabela1[[#This Row],[PESO UNI]],"")</f>
        <v>31.8</v>
      </c>
      <c r="Y388" s="14">
        <f t="shared" ca="1" si="71"/>
        <v>0</v>
      </c>
      <c r="Z388" s="20">
        <f ca="1"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ca="1" si="69"/>
        <v>ok</v>
      </c>
      <c r="AJ388" s="5"/>
      <c r="AK388" t="str">
        <f ca="1">Tabela1[[#This Row],[Coluna1]]&amp;Tabela1[[#This Row],[PEDIDO]]</f>
        <v>P-188</v>
      </c>
      <c r="AL388"/>
      <c r="AM388"/>
      <c r="AN388"/>
      <c r="AO388" t="str">
        <f t="shared" ref="AO388:AO438" ca="1" si="75">A388&amp;"/"&amp;J388</f>
        <v>T-072994-1/1073-TC-007</v>
      </c>
      <c r="AP388" t="str">
        <f ca="1">Tabela1[[#This Row],[TAG]]&amp;Tabela1[[#This Row],[PEDIDO]]&amp;Tabela1[[#This Row],[PRODUTO]]</f>
        <v>1073-TC-007P-188RMF</v>
      </c>
      <c r="AQ388" s="22" t="str">
        <f ca="1">Tabela1[[#This Row],[PRODUTO]]&amp;Tabela1[[#This Row],[TAG]]</f>
        <v>RMF1073-TC-007</v>
      </c>
      <c r="AR388" s="24" t="str">
        <f ca="1">Tabela1[[#This Row],[PEDIDO]]&amp;Tabela1[[#This Row],[PRODUTO]]</f>
        <v>P-188RMF</v>
      </c>
      <c r="AS388" s="37">
        <f ca="1">IF(AF388="",0,IF(ISTEXT(AF388),H388*VALUE(SUBSTITUTE(AF388,"%",""))/100,H388*AF388))-Tabela1[[#This Row],[PRONTO ACABADO2]]</f>
        <v>0</v>
      </c>
      <c r="AT388" s="37">
        <f ca="1">IF(AG388="",0,IF(ISTEXT(AG388),H388*VALUE(SUBSTITUTE(AG388,"%",""))/100,H388*AG388))-Tabela1[[#This Row],[PESO EXPEDIDO2]]</f>
        <v>0</v>
      </c>
      <c r="AU388" s="37">
        <f t="shared" ca="1" si="72"/>
        <v>31.8</v>
      </c>
      <c r="AV388" s="37">
        <f t="shared" ca="1" si="73"/>
        <v>31.8</v>
      </c>
      <c r="AW388" s="37"/>
    </row>
    <row r="389" spans="1:49" ht="15.75" hidden="1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 ca="1"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 ca="1">Tabela1[[#This Row],[QTDE/ Fabricação]]-Tabela1[[#This Row],[QTE]]</f>
        <v>-3</v>
      </c>
      <c r="R389" s="18">
        <f t="shared" ca="1" si="67"/>
        <v>58.199999999999996</v>
      </c>
      <c r="S389" s="18">
        <f t="shared" ca="1" si="74"/>
        <v>58.199999999999996</v>
      </c>
      <c r="T389" s="19">
        <f t="shared" ca="1" si="70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 ca="1">IFERROR(Tabela1[[#This Row],[QIANTIDADE EXPEDIDA]]*Tabela1[[#This Row],[PESO UNI]],"")</f>
        <v>58.199999999999996</v>
      </c>
      <c r="Y389" s="14">
        <f t="shared" ca="1" si="71"/>
        <v>0</v>
      </c>
      <c r="Z389" s="20">
        <f ca="1"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ca="1" si="69"/>
        <v>ok</v>
      </c>
      <c r="AJ389" s="5"/>
      <c r="AK389" t="str">
        <f ca="1">Tabela1[[#This Row],[Coluna1]]&amp;Tabela1[[#This Row],[PEDIDO]]</f>
        <v>P-188</v>
      </c>
      <c r="AL389"/>
      <c r="AM389"/>
      <c r="AN389"/>
      <c r="AO389" t="str">
        <f t="shared" ca="1" si="75"/>
        <v>T-072994-1/1073-TC-006</v>
      </c>
      <c r="AP389" t="str">
        <f ca="1">Tabela1[[#This Row],[TAG]]&amp;Tabela1[[#This Row],[PEDIDO]]&amp;Tabela1[[#This Row],[PRODUTO]]</f>
        <v>1073-TC-006P-188RMF</v>
      </c>
      <c r="AQ389" s="22" t="str">
        <f ca="1">Tabela1[[#This Row],[PRODUTO]]&amp;Tabela1[[#This Row],[TAG]]</f>
        <v>RMF1073-TC-006</v>
      </c>
      <c r="AR389" s="24" t="str">
        <f ca="1">Tabela1[[#This Row],[PEDIDO]]&amp;Tabela1[[#This Row],[PRODUTO]]</f>
        <v>P-188RMF</v>
      </c>
      <c r="AS389" s="37">
        <f ca="1">IF(AF389="",0,IF(ISTEXT(AF389),H389*VALUE(SUBSTITUTE(AF389,"%",""))/100,H389*AF389))-Tabela1[[#This Row],[PRONTO ACABADO2]]</f>
        <v>0</v>
      </c>
      <c r="AT389" s="37">
        <f ca="1">IF(AG389="",0,IF(ISTEXT(AG389),H389*VALUE(SUBSTITUTE(AG389,"%",""))/100,H389*AG389))-Tabela1[[#This Row],[PESO EXPEDIDO2]]</f>
        <v>0</v>
      </c>
      <c r="AU389" s="37">
        <f t="shared" ca="1" si="72"/>
        <v>58.199999999999996</v>
      </c>
      <c r="AV389" s="37">
        <f t="shared" ca="1" si="73"/>
        <v>58.199999999999996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 ca="1"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 ca="1">Tabela1[[#This Row],[QTDE/ Fabricação]]-Tabela1[[#This Row],[QTE]]</f>
        <v>-3</v>
      </c>
      <c r="R390" s="18">
        <f t="shared" ca="1" si="67"/>
        <v>58.199999999999996</v>
      </c>
      <c r="S390" s="18">
        <f t="shared" ca="1" si="74"/>
        <v>58.199999999999996</v>
      </c>
      <c r="T390" s="19">
        <f t="shared" ca="1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 ca="1">IFERROR(Tabela1[[#This Row],[QIANTIDADE EXPEDIDA]]*Tabela1[[#This Row],[PESO UNI]],"")</f>
        <v>58.199999999999996</v>
      </c>
      <c r="Y390" s="14">
        <f t="shared" ca="1" si="71"/>
        <v>0</v>
      </c>
      <c r="Z390" s="20">
        <f ca="1"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ca="1" si="69"/>
        <v>ok</v>
      </c>
      <c r="AJ390" s="5"/>
      <c r="AK390" t="str">
        <f ca="1">Tabela1[[#This Row],[Coluna1]]&amp;Tabela1[[#This Row],[PEDIDO]]</f>
        <v>P-188</v>
      </c>
      <c r="AL390"/>
      <c r="AM390"/>
      <c r="AN390"/>
      <c r="AO390" t="str">
        <f t="shared" ca="1" si="75"/>
        <v>T-072994-1/1073-TC-007</v>
      </c>
      <c r="AP390" t="str">
        <f ca="1">Tabela1[[#This Row],[TAG]]&amp;Tabela1[[#This Row],[PEDIDO]]&amp;Tabela1[[#This Row],[PRODUTO]]</f>
        <v>1073-TC-007P-188RMF</v>
      </c>
      <c r="AQ390" s="22" t="str">
        <f ca="1">Tabela1[[#This Row],[PRODUTO]]&amp;Tabela1[[#This Row],[TAG]]</f>
        <v>RMF1073-TC-007</v>
      </c>
      <c r="AR390" s="24" t="str">
        <f ca="1">Tabela1[[#This Row],[PEDIDO]]&amp;Tabela1[[#This Row],[PRODUTO]]</f>
        <v>P-188RMF</v>
      </c>
      <c r="AS390" s="37">
        <f ca="1">IF(AF390="",0,IF(ISTEXT(AF390),H390*VALUE(SUBSTITUTE(AF390,"%",""))/100,H390*AF390))-Tabela1[[#This Row],[PRONTO ACABADO2]]</f>
        <v>0</v>
      </c>
      <c r="AT390" s="37">
        <f ca="1">IF(AG390="",0,IF(ISTEXT(AG390),H390*VALUE(SUBSTITUTE(AG390,"%",""))/100,H390*AG390))-Tabela1[[#This Row],[PESO EXPEDIDO2]]</f>
        <v>0</v>
      </c>
      <c r="AU390" s="37">
        <f t="shared" ca="1" si="72"/>
        <v>58.199999999999996</v>
      </c>
      <c r="AV390" s="37">
        <f t="shared" ca="1" si="73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 ca="1"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 ca="1">Tabela1[[#This Row],[QTDE/ Fabricação]]-Tabela1[[#This Row],[QTE]]</f>
        <v>-1</v>
      </c>
      <c r="R391" s="18">
        <f t="shared" ca="1" si="67"/>
        <v>19.399999999999999</v>
      </c>
      <c r="S391" s="18">
        <f t="shared" ca="1" si="74"/>
        <v>19.399999999999999</v>
      </c>
      <c r="T391" s="19">
        <f t="shared" ca="1" si="70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 ca="1">IFERROR(Tabela1[[#This Row],[QIANTIDADE EXPEDIDA]]*Tabela1[[#This Row],[PESO UNI]],"")</f>
        <v>19.399999999999999</v>
      </c>
      <c r="Y391" s="14">
        <f t="shared" ca="1" si="71"/>
        <v>0</v>
      </c>
      <c r="Z391" s="20">
        <f ca="1"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ca="1" si="69"/>
        <v>ok</v>
      </c>
      <c r="AJ391" s="5"/>
      <c r="AK391" t="str">
        <f ca="1">Tabela1[[#This Row],[Coluna1]]&amp;Tabela1[[#This Row],[PEDIDO]]</f>
        <v>P-188</v>
      </c>
      <c r="AL391"/>
      <c r="AM391"/>
      <c r="AN391"/>
      <c r="AO391" t="str">
        <f t="shared" ca="1" si="75"/>
        <v>T-072994-1/1073-TC-006</v>
      </c>
      <c r="AP391" t="str">
        <f ca="1">Tabela1[[#This Row],[TAG]]&amp;Tabela1[[#This Row],[PEDIDO]]&amp;Tabela1[[#This Row],[PRODUTO]]</f>
        <v>1073-TC-006P-188RMF</v>
      </c>
      <c r="AQ391" s="22" t="str">
        <f ca="1">Tabela1[[#This Row],[PRODUTO]]&amp;Tabela1[[#This Row],[TAG]]</f>
        <v>RMF1073-TC-006</v>
      </c>
      <c r="AR391" s="24" t="str">
        <f ca="1">Tabela1[[#This Row],[PEDIDO]]&amp;Tabela1[[#This Row],[PRODUTO]]</f>
        <v>P-188RMF</v>
      </c>
      <c r="AS391" s="37">
        <f ca="1">IF(AF391="",0,IF(ISTEXT(AF391),H391*VALUE(SUBSTITUTE(AF391,"%",""))/100,H391*AF391))-Tabela1[[#This Row],[PRONTO ACABADO2]]</f>
        <v>0</v>
      </c>
      <c r="AT391" s="37">
        <f ca="1">IF(AG391="",0,IF(ISTEXT(AG391),H391*VALUE(SUBSTITUTE(AG391,"%",""))/100,H391*AG391))-Tabela1[[#This Row],[PESO EXPEDIDO2]]</f>
        <v>0</v>
      </c>
      <c r="AU391" s="37">
        <f t="shared" ca="1" si="72"/>
        <v>19.399999999999999</v>
      </c>
      <c r="AV391" s="37">
        <f t="shared" ca="1" si="73"/>
        <v>19.399999999999999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 ca="1"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 ca="1">Tabela1[[#This Row],[QTDE/ Fabricação]]-Tabela1[[#This Row],[QTE]]</f>
        <v>-1</v>
      </c>
      <c r="R392" s="18">
        <f t="shared" ca="1" si="67"/>
        <v>19.399999999999999</v>
      </c>
      <c r="S392" s="18">
        <f t="shared" ca="1" si="74"/>
        <v>19.399999999999999</v>
      </c>
      <c r="T392" s="19">
        <f t="shared" ca="1" si="70"/>
        <v>0</v>
      </c>
      <c r="U392" s="16">
        <v>1</v>
      </c>
      <c r="V392" s="12">
        <v>13</v>
      </c>
      <c r="W392" s="13" t="str">
        <f ca="1">IFERROR(VLOOKUP(Tabela1[[#This Row],[COD.MDE]],'LISTA DE EMBARQUE'!B:M,12,0),"")</f>
        <v/>
      </c>
      <c r="X392" s="14">
        <f ca="1">IFERROR(Tabela1[[#This Row],[QIANTIDADE EXPEDIDA]]*Tabela1[[#This Row],[PESO UNI]],"")</f>
        <v>19.399999999999999</v>
      </c>
      <c r="Y392" s="14">
        <f t="shared" ca="1" si="71"/>
        <v>0</v>
      </c>
      <c r="Z392" s="20">
        <f ca="1"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ca="1" si="69"/>
        <v>ok</v>
      </c>
      <c r="AJ392" s="5"/>
      <c r="AK392" t="str">
        <f ca="1">Tabela1[[#This Row],[Coluna1]]&amp;Tabela1[[#This Row],[PEDIDO]]</f>
        <v>P-188</v>
      </c>
      <c r="AL392"/>
      <c r="AM392"/>
      <c r="AN392"/>
      <c r="AO392" t="str">
        <f t="shared" ca="1" si="75"/>
        <v>T-072994-1/1073-TC-007</v>
      </c>
      <c r="AP392" t="str">
        <f ca="1">Tabela1[[#This Row],[TAG]]&amp;Tabela1[[#This Row],[PEDIDO]]&amp;Tabela1[[#This Row],[PRODUTO]]</f>
        <v>1073-TC-007P-188RMF</v>
      </c>
      <c r="AQ392" s="22" t="str">
        <f ca="1">Tabela1[[#This Row],[PRODUTO]]&amp;Tabela1[[#This Row],[TAG]]</f>
        <v>RMF1073-TC-007</v>
      </c>
      <c r="AR392" s="24" t="str">
        <f ca="1">Tabela1[[#This Row],[PEDIDO]]&amp;Tabela1[[#This Row],[PRODUTO]]</f>
        <v>P-188RMF</v>
      </c>
      <c r="AS392" s="37">
        <f ca="1">IF(AF392="",0,IF(ISTEXT(AF392),H392*VALUE(SUBSTITUTE(AF392,"%",""))/100,H392*AF392))-Tabela1[[#This Row],[PRONTO ACABADO2]]</f>
        <v>0</v>
      </c>
      <c r="AT392" s="37">
        <f ca="1">IF(AG392="",0,IF(ISTEXT(AG392),H392*VALUE(SUBSTITUTE(AG392,"%",""))/100,H392*AG392))-Tabela1[[#This Row],[PESO EXPEDIDO2]]</f>
        <v>0</v>
      </c>
      <c r="AU392" s="37">
        <f t="shared" ca="1" si="72"/>
        <v>19.399999999999999</v>
      </c>
      <c r="AV392" s="37">
        <f t="shared" ca="1" si="73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 ca="1"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 ca="1">Tabela1[[#This Row],[QTDE/ Fabricação]]-Tabela1[[#This Row],[QTE]]</f>
        <v>-18</v>
      </c>
      <c r="R393" s="18">
        <f t="shared" ca="1" si="67"/>
        <v>2.6999999999999997</v>
      </c>
      <c r="S393" s="18">
        <f t="shared" ca="1" si="74"/>
        <v>2.6999999999999997</v>
      </c>
      <c r="T393" s="19">
        <f t="shared" ca="1" si="70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 ca="1">IFERROR(Tabela1[[#This Row],[QIANTIDADE EXPEDIDA]]*Tabela1[[#This Row],[PESO UNI]],"")</f>
        <v>2.6999999999999997</v>
      </c>
      <c r="Y393" s="14">
        <f t="shared" ca="1" si="71"/>
        <v>0</v>
      </c>
      <c r="Z393" s="20">
        <f ca="1"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ca="1" si="69"/>
        <v>ok</v>
      </c>
      <c r="AJ393" s="5"/>
      <c r="AK393" t="str">
        <f ca="1">Tabela1[[#This Row],[Coluna1]]&amp;Tabela1[[#This Row],[PEDIDO]]</f>
        <v>P-188</v>
      </c>
      <c r="AL393"/>
      <c r="AM393"/>
      <c r="AN393"/>
      <c r="AO393" t="str">
        <f t="shared" ca="1" si="75"/>
        <v>T-072994-1/1073-TC-006</v>
      </c>
      <c r="AP393" t="str">
        <f ca="1">Tabela1[[#This Row],[TAG]]&amp;Tabela1[[#This Row],[PEDIDO]]&amp;Tabela1[[#This Row],[PRODUTO]]</f>
        <v>1073-TC-006P-188RMF</v>
      </c>
      <c r="AQ393" s="22" t="str">
        <f ca="1">Tabela1[[#This Row],[PRODUTO]]&amp;Tabela1[[#This Row],[TAG]]</f>
        <v>RMF1073-TC-006</v>
      </c>
      <c r="AR393" s="24" t="str">
        <f ca="1">Tabela1[[#This Row],[PEDIDO]]&amp;Tabela1[[#This Row],[PRODUTO]]</f>
        <v>P-188RMF</v>
      </c>
      <c r="AS393" s="37">
        <f ca="1">IF(AF393="",0,IF(ISTEXT(AF393),H393*VALUE(SUBSTITUTE(AF393,"%",""))/100,H393*AF393))-Tabela1[[#This Row],[PRONTO ACABADO2]]</f>
        <v>0</v>
      </c>
      <c r="AT393" s="37">
        <f ca="1">IF(AG393="",0,IF(ISTEXT(AG393),H393*VALUE(SUBSTITUTE(AG393,"%",""))/100,H393*AG393))-Tabela1[[#This Row],[PESO EXPEDIDO2]]</f>
        <v>0</v>
      </c>
      <c r="AU393" s="37">
        <f t="shared" ca="1" si="72"/>
        <v>2.6999999999999997</v>
      </c>
      <c r="AV393" s="37">
        <f t="shared" ca="1" si="73"/>
        <v>2.6999999999999997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 ca="1"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 ca="1">Tabela1[[#This Row],[QTDE/ Fabricação]]-Tabela1[[#This Row],[QTE]]</f>
        <v>-18</v>
      </c>
      <c r="R394" s="18">
        <f t="shared" ca="1" si="67"/>
        <v>2.6999999999999997</v>
      </c>
      <c r="S394" s="18">
        <f t="shared" ca="1" si="74"/>
        <v>2.6999999999999997</v>
      </c>
      <c r="T394" s="19">
        <f t="shared" ca="1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 ca="1">IFERROR(Tabela1[[#This Row],[QIANTIDADE EXPEDIDA]]*Tabela1[[#This Row],[PESO UNI]],"")</f>
        <v>2.6999999999999997</v>
      </c>
      <c r="Y394" s="14">
        <f t="shared" ca="1" si="71"/>
        <v>0</v>
      </c>
      <c r="Z394" s="20">
        <f ca="1"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ca="1" si="69"/>
        <v>ok</v>
      </c>
      <c r="AJ394" s="5"/>
      <c r="AK394" t="str">
        <f ca="1">Tabela1[[#This Row],[Coluna1]]&amp;Tabela1[[#This Row],[PEDIDO]]</f>
        <v>P-188</v>
      </c>
      <c r="AL394"/>
      <c r="AM394"/>
      <c r="AN394"/>
      <c r="AO394" t="str">
        <f t="shared" ca="1" si="75"/>
        <v>T-072994-1/1073-TC-007</v>
      </c>
      <c r="AP394" t="str">
        <f ca="1">Tabela1[[#This Row],[TAG]]&amp;Tabela1[[#This Row],[PEDIDO]]&amp;Tabela1[[#This Row],[PRODUTO]]</f>
        <v>1073-TC-007P-188RMF</v>
      </c>
      <c r="AQ394" s="22" t="str">
        <f ca="1">Tabela1[[#This Row],[PRODUTO]]&amp;Tabela1[[#This Row],[TAG]]</f>
        <v>RMF1073-TC-007</v>
      </c>
      <c r="AR394" s="24" t="str">
        <f ca="1">Tabela1[[#This Row],[PEDIDO]]&amp;Tabela1[[#This Row],[PRODUTO]]</f>
        <v>P-188RMF</v>
      </c>
      <c r="AS394" s="37">
        <f ca="1">IF(AF394="",0,IF(ISTEXT(AF394),H394*VALUE(SUBSTITUTE(AF394,"%",""))/100,H394*AF394))-Tabela1[[#This Row],[PRONTO ACABADO2]]</f>
        <v>0</v>
      </c>
      <c r="AT394" s="37">
        <f ca="1">IF(AG394="",0,IF(ISTEXT(AG394),H394*VALUE(SUBSTITUTE(AG394,"%",""))/100,H394*AG394))-Tabela1[[#This Row],[PESO EXPEDIDO2]]</f>
        <v>0</v>
      </c>
      <c r="AU394" s="37">
        <f t="shared" ca="1" si="72"/>
        <v>2.6999999999999997</v>
      </c>
      <c r="AV394" s="37">
        <f t="shared" ca="1" si="73"/>
        <v>2.6999999999999997</v>
      </c>
      <c r="AW394" s="37"/>
    </row>
    <row r="395" spans="1:49" ht="15.75" hidden="1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 ca="1"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 ca="1">Tabela1[[#This Row],[QTDE/ Fabricação]]-Tabela1[[#This Row],[QTE]]</f>
        <v>-1</v>
      </c>
      <c r="R395" s="18">
        <f t="shared" ca="1" si="67"/>
        <v>265.89999999999998</v>
      </c>
      <c r="S395" s="18">
        <f t="shared" ca="1" si="74"/>
        <v>265.89999999999998</v>
      </c>
      <c r="T395" s="19">
        <f t="shared" ca="1" si="70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 ca="1">IFERROR(Tabela1[[#This Row],[QIANTIDADE EXPEDIDA]]*Tabela1[[#This Row],[PESO UNI]],"")</f>
        <v>265.89999999999998</v>
      </c>
      <c r="Y395" s="14">
        <f t="shared" ca="1" si="71"/>
        <v>0</v>
      </c>
      <c r="Z395" s="20">
        <f ca="1"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ca="1" si="69"/>
        <v>ok</v>
      </c>
      <c r="AJ395" s="5"/>
      <c r="AK395" t="str">
        <f ca="1">Tabela1[[#This Row],[Coluna1]]&amp;Tabela1[[#This Row],[PEDIDO]]</f>
        <v>P-188</v>
      </c>
      <c r="AL395"/>
      <c r="AM395"/>
      <c r="AN395"/>
      <c r="AO395" t="str">
        <f t="shared" ca="1" si="75"/>
        <v>T-072995-1/1073-TC-006</v>
      </c>
      <c r="AP395" t="str">
        <f ca="1">Tabela1[[#This Row],[TAG]]&amp;Tabela1[[#This Row],[PEDIDO]]&amp;Tabela1[[#This Row],[PRODUTO]]</f>
        <v>1073-TC-006P-188RMF</v>
      </c>
      <c r="AQ395" s="22" t="str">
        <f ca="1">Tabela1[[#This Row],[PRODUTO]]&amp;Tabela1[[#This Row],[TAG]]</f>
        <v>RMF1073-TC-006</v>
      </c>
      <c r="AR395" s="24" t="str">
        <f ca="1">Tabela1[[#This Row],[PEDIDO]]&amp;Tabela1[[#This Row],[PRODUTO]]</f>
        <v>P-188RMF</v>
      </c>
      <c r="AS395" s="37">
        <f ca="1">IF(AF395="",0,IF(ISTEXT(AF395),H395*VALUE(SUBSTITUTE(AF395,"%",""))/100,H395*AF395))-Tabela1[[#This Row],[PRONTO ACABADO2]]</f>
        <v>0</v>
      </c>
      <c r="AT395" s="37">
        <f ca="1">IF(AG395="",0,IF(ISTEXT(AG395),H395*VALUE(SUBSTITUTE(AG395,"%",""))/100,H395*AG395))-Tabela1[[#This Row],[PESO EXPEDIDO2]]</f>
        <v>0</v>
      </c>
      <c r="AU395" s="37">
        <f t="shared" ca="1" si="72"/>
        <v>265.89999999999998</v>
      </c>
      <c r="AV395" s="37">
        <f t="shared" ca="1" si="73"/>
        <v>265.89999999999998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 ca="1"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 ca="1">Tabela1[[#This Row],[QTDE/ Fabricação]]-Tabela1[[#This Row],[QTE]]</f>
        <v>-1</v>
      </c>
      <c r="R396" s="18">
        <f t="shared" ca="1" si="67"/>
        <v>265.89999999999998</v>
      </c>
      <c r="S396" s="18">
        <f t="shared" ca="1" si="74"/>
        <v>265.89999999999998</v>
      </c>
      <c r="T396" s="19">
        <f t="shared" ca="1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 ca="1">IFERROR(Tabela1[[#This Row],[QIANTIDADE EXPEDIDA]]*Tabela1[[#This Row],[PESO UNI]],"")</f>
        <v>265.89999999999998</v>
      </c>
      <c r="Y396" s="14">
        <f t="shared" ca="1" si="71"/>
        <v>0</v>
      </c>
      <c r="Z396" s="20">
        <f ca="1"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ca="1" si="69"/>
        <v>ok</v>
      </c>
      <c r="AJ396" s="5"/>
      <c r="AK396" t="str">
        <f ca="1">Tabela1[[#This Row],[Coluna1]]&amp;Tabela1[[#This Row],[PEDIDO]]</f>
        <v>P-188</v>
      </c>
      <c r="AL396"/>
      <c r="AM396"/>
      <c r="AN396"/>
      <c r="AO396" t="str">
        <f t="shared" ca="1" si="75"/>
        <v>T-072995-1/1073-TC-007</v>
      </c>
      <c r="AP396" t="str">
        <f ca="1">Tabela1[[#This Row],[TAG]]&amp;Tabela1[[#This Row],[PEDIDO]]&amp;Tabela1[[#This Row],[PRODUTO]]</f>
        <v>1073-TC-007P-188RMF</v>
      </c>
      <c r="AQ396" s="22" t="str">
        <f ca="1">Tabela1[[#This Row],[PRODUTO]]&amp;Tabela1[[#This Row],[TAG]]</f>
        <v>RMF1073-TC-007</v>
      </c>
      <c r="AR396" s="24" t="str">
        <f ca="1">Tabela1[[#This Row],[PEDIDO]]&amp;Tabela1[[#This Row],[PRODUTO]]</f>
        <v>P-188RMF</v>
      </c>
      <c r="AS396" s="37">
        <f ca="1">IF(AF396="",0,IF(ISTEXT(AF396),H396*VALUE(SUBSTITUTE(AF396,"%",""))/100,H396*AF396))-Tabela1[[#This Row],[PRONTO ACABADO2]]</f>
        <v>0</v>
      </c>
      <c r="AT396" s="37">
        <f ca="1">IF(AG396="",0,IF(ISTEXT(AG396),H396*VALUE(SUBSTITUTE(AG396,"%",""))/100,H396*AG396))-Tabela1[[#This Row],[PESO EXPEDIDO2]]</f>
        <v>0</v>
      </c>
      <c r="AU396" s="37">
        <f t="shared" ca="1" si="72"/>
        <v>265.89999999999998</v>
      </c>
      <c r="AV396" s="37">
        <f t="shared" ca="1" si="73"/>
        <v>265.89999999999998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 ca="1"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 ca="1">Tabela1[[#This Row],[QTDE/ Fabricação]]-Tabela1[[#This Row],[QTE]]</f>
        <v>-1</v>
      </c>
      <c r="R397" s="18">
        <f t="shared" ca="1" si="67"/>
        <v>15.8</v>
      </c>
      <c r="S397" s="18">
        <f t="shared" ca="1" si="74"/>
        <v>15.8</v>
      </c>
      <c r="T397" s="19">
        <f t="shared" ca="1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 ca="1">IFERROR(Tabela1[[#This Row],[QIANTIDADE EXPEDIDA]]*Tabela1[[#This Row],[PESO UNI]],"")</f>
        <v>15.8</v>
      </c>
      <c r="Y397" s="14">
        <f t="shared" ca="1" si="71"/>
        <v>0</v>
      </c>
      <c r="Z397" s="20">
        <f ca="1"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ca="1" si="69"/>
        <v>ok</v>
      </c>
      <c r="AJ397" s="5"/>
      <c r="AK397" t="str">
        <f ca="1">Tabela1[[#This Row],[Coluna1]]&amp;Tabela1[[#This Row],[PEDIDO]]</f>
        <v>P-188</v>
      </c>
      <c r="AL397"/>
      <c r="AM397"/>
      <c r="AN397"/>
      <c r="AO397" t="str">
        <f t="shared" ca="1" si="75"/>
        <v>T-072996-1/1073-TC-006</v>
      </c>
      <c r="AP397" t="str">
        <f ca="1">Tabela1[[#This Row],[TAG]]&amp;Tabela1[[#This Row],[PEDIDO]]&amp;Tabela1[[#This Row],[PRODUTO]]</f>
        <v>1073-TC-006P-188RMF</v>
      </c>
      <c r="AQ397" s="22" t="str">
        <f ca="1">Tabela1[[#This Row],[PRODUTO]]&amp;Tabela1[[#This Row],[TAG]]</f>
        <v>RMF1073-TC-006</v>
      </c>
      <c r="AR397" s="24" t="str">
        <f ca="1">Tabela1[[#This Row],[PEDIDO]]&amp;Tabela1[[#This Row],[PRODUTO]]</f>
        <v>P-188RMF</v>
      </c>
      <c r="AS397" s="37">
        <f ca="1">IF(AF397="",0,IF(ISTEXT(AF397),H397*VALUE(SUBSTITUTE(AF397,"%",""))/100,H397*AF397))-Tabela1[[#This Row],[PRONTO ACABADO2]]</f>
        <v>0</v>
      </c>
      <c r="AT397" s="37">
        <f ca="1">IF(AG397="",0,IF(ISTEXT(AG397),H397*VALUE(SUBSTITUTE(AG397,"%",""))/100,H397*AG397))-Tabela1[[#This Row],[PESO EXPEDIDO2]]</f>
        <v>0</v>
      </c>
      <c r="AU397" s="37">
        <f t="shared" ca="1" si="72"/>
        <v>15.8</v>
      </c>
      <c r="AV397" s="37">
        <f t="shared" ca="1" si="73"/>
        <v>15.8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 ca="1"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 ca="1">Tabela1[[#This Row],[QTDE/ Fabricação]]-Tabela1[[#This Row],[QTE]]</f>
        <v>-1</v>
      </c>
      <c r="R398" s="18">
        <f t="shared" ca="1" si="67"/>
        <v>15.8</v>
      </c>
      <c r="S398" s="18">
        <f t="shared" ca="1" si="74"/>
        <v>15.8</v>
      </c>
      <c r="T398" s="19">
        <f t="shared" ca="1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 ca="1">IFERROR(Tabela1[[#This Row],[QIANTIDADE EXPEDIDA]]*Tabela1[[#This Row],[PESO UNI]],"")</f>
        <v>15.8</v>
      </c>
      <c r="Y398" s="14">
        <f t="shared" ca="1" si="71"/>
        <v>0</v>
      </c>
      <c r="Z398" s="20">
        <f ca="1"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ca="1" si="69"/>
        <v>ok</v>
      </c>
      <c r="AJ398" s="5"/>
      <c r="AK398" t="str">
        <f ca="1">Tabela1[[#This Row],[Coluna1]]&amp;Tabela1[[#This Row],[PEDIDO]]</f>
        <v>P-188</v>
      </c>
      <c r="AL398"/>
      <c r="AM398"/>
      <c r="AN398"/>
      <c r="AO398" t="str">
        <f t="shared" ca="1" si="75"/>
        <v>T-072996-1/1073-TC-007</v>
      </c>
      <c r="AP398" t="str">
        <f ca="1">Tabela1[[#This Row],[TAG]]&amp;Tabela1[[#This Row],[PEDIDO]]&amp;Tabela1[[#This Row],[PRODUTO]]</f>
        <v>1073-TC-007P-188RMF</v>
      </c>
      <c r="AQ398" s="22" t="str">
        <f ca="1">Tabela1[[#This Row],[PRODUTO]]&amp;Tabela1[[#This Row],[TAG]]</f>
        <v>RMF1073-TC-007</v>
      </c>
      <c r="AR398" s="24" t="str">
        <f ca="1">Tabela1[[#This Row],[PEDIDO]]&amp;Tabela1[[#This Row],[PRODUTO]]</f>
        <v>P-188RMF</v>
      </c>
      <c r="AS398" s="37">
        <f ca="1">IF(AF398="",0,IF(ISTEXT(AF398),H398*VALUE(SUBSTITUTE(AF398,"%",""))/100,H398*AF398))-Tabela1[[#This Row],[PRONTO ACABADO2]]</f>
        <v>0</v>
      </c>
      <c r="AT398" s="37">
        <f ca="1">IF(AG398="",0,IF(ISTEXT(AG398),H398*VALUE(SUBSTITUTE(AG398,"%",""))/100,H398*AG398))-Tabela1[[#This Row],[PESO EXPEDIDO2]]</f>
        <v>0</v>
      </c>
      <c r="AU398" s="37">
        <f t="shared" ca="1" si="72"/>
        <v>15.8</v>
      </c>
      <c r="AV398" s="37">
        <f t="shared" ca="1" si="73"/>
        <v>15.8</v>
      </c>
      <c r="AW398" s="37"/>
    </row>
    <row r="399" spans="1:49" ht="15.75" hidden="1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 ca="1"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 ca="1">Tabela1[[#This Row],[QTDE/ Fabricação]]-Tabela1[[#This Row],[QTE]]</f>
        <v>-1</v>
      </c>
      <c r="R399" s="18">
        <f t="shared" ca="1" si="67"/>
        <v>49.5</v>
      </c>
      <c r="S399" s="18">
        <f t="shared" ca="1" si="74"/>
        <v>49.5</v>
      </c>
      <c r="T399" s="19">
        <f t="shared" ca="1" si="70"/>
        <v>0</v>
      </c>
      <c r="U399" s="205">
        <v>1</v>
      </c>
      <c r="V399" s="12">
        <v>13</v>
      </c>
      <c r="W399" s="13"/>
      <c r="X399" s="14">
        <f ca="1">IFERROR(Tabela1[[#This Row],[QIANTIDADE EXPEDIDA]]*Tabela1[[#This Row],[PESO UNI]],"")</f>
        <v>49.5</v>
      </c>
      <c r="Y399" s="14">
        <f t="shared" ca="1" si="71"/>
        <v>0</v>
      </c>
      <c r="Z399" s="20">
        <f ca="1"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ca="1" si="69"/>
        <v>ok</v>
      </c>
      <c r="AJ399" s="5"/>
      <c r="AK399" t="str">
        <f ca="1">Tabela1[[#This Row],[Coluna1]]&amp;Tabela1[[#This Row],[PEDIDO]]</f>
        <v>P-188</v>
      </c>
      <c r="AL399"/>
      <c r="AM399"/>
      <c r="AN399"/>
      <c r="AO399" t="str">
        <f t="shared" ca="1" si="75"/>
        <v>T-072953-1/1073-TC-006</v>
      </c>
      <c r="AP399" t="str">
        <f ca="1">Tabela1[[#This Row],[TAG]]&amp;Tabela1[[#This Row],[PEDIDO]]&amp;Tabela1[[#This Row],[PRODUTO]]</f>
        <v>1073-TC-006P-188RMF</v>
      </c>
      <c r="AQ399" s="22" t="str">
        <f ca="1">Tabela1[[#This Row],[PRODUTO]]&amp;Tabela1[[#This Row],[TAG]]</f>
        <v>RMF1073-TC-006</v>
      </c>
      <c r="AR399" s="24" t="str">
        <f ca="1">Tabela1[[#This Row],[PEDIDO]]&amp;Tabela1[[#This Row],[PRODUTO]]</f>
        <v>P-188RMF</v>
      </c>
      <c r="AS399" s="37">
        <f ca="1">IF(AF399="",0,IF(ISTEXT(AF399),H399*VALUE(SUBSTITUTE(AF399,"%",""))/100,H399*AF399))-Tabela1[[#This Row],[PRONTO ACABADO2]]</f>
        <v>0</v>
      </c>
      <c r="AT399" s="37">
        <f ca="1">IF(AG399="",0,IF(ISTEXT(AG399),H399*VALUE(SUBSTITUTE(AG399,"%",""))/100,H399*AG399))-Tabela1[[#This Row],[PESO EXPEDIDO2]]</f>
        <v>0</v>
      </c>
      <c r="AU399" s="37">
        <f t="shared" ca="1" si="72"/>
        <v>49.5</v>
      </c>
      <c r="AV399" s="37">
        <f t="shared" ca="1" si="73"/>
        <v>49.5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 ca="1"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 ca="1">Tabela1[[#This Row],[QTDE/ Fabricação]]-Tabela1[[#This Row],[QTE]]</f>
        <v>-1</v>
      </c>
      <c r="R400" s="18">
        <f t="shared" ca="1" si="67"/>
        <v>49.5</v>
      </c>
      <c r="S400" s="18">
        <f t="shared" ca="1" si="74"/>
        <v>49.5</v>
      </c>
      <c r="T400" s="19">
        <f t="shared" ca="1" si="70"/>
        <v>0</v>
      </c>
      <c r="U400" s="205">
        <v>1</v>
      </c>
      <c r="V400" s="12">
        <v>13</v>
      </c>
      <c r="W400" s="13"/>
      <c r="X400" s="14">
        <f ca="1">IFERROR(Tabela1[[#This Row],[QIANTIDADE EXPEDIDA]]*Tabela1[[#This Row],[PESO UNI]],"")</f>
        <v>49.5</v>
      </c>
      <c r="Y400" s="14">
        <f t="shared" ca="1" si="71"/>
        <v>0</v>
      </c>
      <c r="Z400" s="20">
        <f ca="1"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ca="1" si="69"/>
        <v>ok</v>
      </c>
      <c r="AJ400" s="5"/>
      <c r="AK400" t="str">
        <f ca="1">Tabela1[[#This Row],[Coluna1]]&amp;Tabela1[[#This Row],[PEDIDO]]</f>
        <v>P-188</v>
      </c>
      <c r="AL400"/>
      <c r="AM400"/>
      <c r="AN400"/>
      <c r="AO400" t="str">
        <f t="shared" ca="1" si="75"/>
        <v>T-072953-1/1073-TC-007</v>
      </c>
      <c r="AP400" t="str">
        <f ca="1">Tabela1[[#This Row],[TAG]]&amp;Tabela1[[#This Row],[PEDIDO]]&amp;Tabela1[[#This Row],[PRODUTO]]</f>
        <v>1073-TC-007P-188RMF</v>
      </c>
      <c r="AQ400" s="22" t="str">
        <f ca="1">Tabela1[[#This Row],[PRODUTO]]&amp;Tabela1[[#This Row],[TAG]]</f>
        <v>RMF1073-TC-007</v>
      </c>
      <c r="AR400" s="24" t="str">
        <f ca="1">Tabela1[[#This Row],[PEDIDO]]&amp;Tabela1[[#This Row],[PRODUTO]]</f>
        <v>P-188RMF</v>
      </c>
      <c r="AS400" s="37">
        <f ca="1">IF(AF400="",0,IF(ISTEXT(AF400),H400*VALUE(SUBSTITUTE(AF400,"%",""))/100,H400*AF400))-Tabela1[[#This Row],[PRONTO ACABADO2]]</f>
        <v>0</v>
      </c>
      <c r="AT400" s="37">
        <f ca="1">IF(AG400="",0,IF(ISTEXT(AG400),H400*VALUE(SUBSTITUTE(AG400,"%",""))/100,H400*AG400))-Tabela1[[#This Row],[PESO EXPEDIDO2]]</f>
        <v>0</v>
      </c>
      <c r="AU400" s="37">
        <f t="shared" ca="1" si="72"/>
        <v>49.5</v>
      </c>
      <c r="AV400" s="37">
        <f t="shared" ca="1" si="73"/>
        <v>49.5</v>
      </c>
      <c r="AW400" s="37"/>
    </row>
    <row r="401" spans="1:49" ht="15.75" hidden="1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 ca="1"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 ca="1">Tabela1[[#This Row],[QTDE/ Fabricação]]-Tabela1[[#This Row],[QTE]]</f>
        <v>-1</v>
      </c>
      <c r="R401" s="18">
        <f t="shared" ca="1" si="67"/>
        <v>282</v>
      </c>
      <c r="S401" s="18">
        <f t="shared" ca="1" si="74"/>
        <v>282</v>
      </c>
      <c r="T401" s="19">
        <f t="shared" ca="1" si="70"/>
        <v>0</v>
      </c>
      <c r="U401" s="205">
        <v>1</v>
      </c>
      <c r="V401" s="12">
        <v>13</v>
      </c>
      <c r="W401" s="13"/>
      <c r="X401" s="14">
        <f ca="1">IFERROR(Tabela1[[#This Row],[QIANTIDADE EXPEDIDA]]*Tabela1[[#This Row],[PESO UNI]],"")</f>
        <v>282</v>
      </c>
      <c r="Y401" s="14">
        <f t="shared" ca="1" si="71"/>
        <v>0</v>
      </c>
      <c r="Z401" s="20">
        <f ca="1"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ca="1" si="69"/>
        <v>ok</v>
      </c>
      <c r="AJ401" s="5"/>
      <c r="AK401" t="str">
        <f ca="1">Tabela1[[#This Row],[Coluna1]]&amp;Tabela1[[#This Row],[PEDIDO]]</f>
        <v>P-188</v>
      </c>
      <c r="AL401"/>
      <c r="AM401"/>
      <c r="AN401"/>
      <c r="AO401" t="str">
        <f t="shared" ca="1" si="75"/>
        <v>T-072982-1/1073-TC-006</v>
      </c>
      <c r="AP401" t="str">
        <f ca="1">Tabela1[[#This Row],[TAG]]&amp;Tabela1[[#This Row],[PEDIDO]]&amp;Tabela1[[#This Row],[PRODUTO]]</f>
        <v>1073-TC-006P-188RMF</v>
      </c>
      <c r="AQ401" s="22" t="str">
        <f ca="1">Tabela1[[#This Row],[PRODUTO]]&amp;Tabela1[[#This Row],[TAG]]</f>
        <v>RMF1073-TC-006</v>
      </c>
      <c r="AR401" s="24" t="str">
        <f ca="1">Tabela1[[#This Row],[PEDIDO]]&amp;Tabela1[[#This Row],[PRODUTO]]</f>
        <v>P-188RMF</v>
      </c>
      <c r="AS401" s="37">
        <f ca="1">IF(AF401="",0,IF(ISTEXT(AF401),H401*VALUE(SUBSTITUTE(AF401,"%",""))/100,H401*AF401))-Tabela1[[#This Row],[PRONTO ACABADO2]]</f>
        <v>0</v>
      </c>
      <c r="AT401" s="37">
        <f ca="1">IF(AG401="",0,IF(ISTEXT(AG401),H401*VALUE(SUBSTITUTE(AG401,"%",""))/100,H401*AG401))-Tabela1[[#This Row],[PESO EXPEDIDO2]]</f>
        <v>0</v>
      </c>
      <c r="AU401" s="37">
        <f t="shared" ca="1" si="72"/>
        <v>282</v>
      </c>
      <c r="AV401" s="37">
        <f t="shared" ca="1" si="73"/>
        <v>282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 ca="1"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 ca="1">Tabela1[[#This Row],[QTDE/ Fabricação]]-Tabela1[[#This Row],[QTE]]</f>
        <v>-1</v>
      </c>
      <c r="R402" s="18">
        <f t="shared" ca="1" si="67"/>
        <v>282</v>
      </c>
      <c r="S402" s="18">
        <f t="shared" ca="1" si="74"/>
        <v>282</v>
      </c>
      <c r="T402" s="19">
        <f t="shared" ca="1" si="70"/>
        <v>0</v>
      </c>
      <c r="U402" s="205">
        <v>1</v>
      </c>
      <c r="V402" s="12">
        <v>13</v>
      </c>
      <c r="W402" s="13"/>
      <c r="X402" s="14">
        <f ca="1">IFERROR(Tabela1[[#This Row],[QIANTIDADE EXPEDIDA]]*Tabela1[[#This Row],[PESO UNI]],"")</f>
        <v>282</v>
      </c>
      <c r="Y402" s="14">
        <f t="shared" ca="1" si="71"/>
        <v>0</v>
      </c>
      <c r="Z402" s="20">
        <f ca="1"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ca="1" si="69"/>
        <v>ok</v>
      </c>
      <c r="AJ402" s="5"/>
      <c r="AK402" t="str">
        <f ca="1">Tabela1[[#This Row],[Coluna1]]&amp;Tabela1[[#This Row],[PEDIDO]]</f>
        <v>P-188</v>
      </c>
      <c r="AL402"/>
      <c r="AM402"/>
      <c r="AN402"/>
      <c r="AO402" t="str">
        <f t="shared" ca="1" si="75"/>
        <v>T-072982-1/1073-TC-007</v>
      </c>
      <c r="AP402" t="str">
        <f ca="1">Tabela1[[#This Row],[TAG]]&amp;Tabela1[[#This Row],[PEDIDO]]&amp;Tabela1[[#This Row],[PRODUTO]]</f>
        <v>1073-TC-007P-188RMF</v>
      </c>
      <c r="AQ402" s="22" t="str">
        <f ca="1">Tabela1[[#This Row],[PRODUTO]]&amp;Tabela1[[#This Row],[TAG]]</f>
        <v>RMF1073-TC-007</v>
      </c>
      <c r="AR402" s="24" t="str">
        <f ca="1">Tabela1[[#This Row],[PEDIDO]]&amp;Tabela1[[#This Row],[PRODUTO]]</f>
        <v>P-188RMF</v>
      </c>
      <c r="AS402" s="37">
        <f ca="1">IF(AF402="",0,IF(ISTEXT(AF402),H402*VALUE(SUBSTITUTE(AF402,"%",""))/100,H402*AF402))-Tabela1[[#This Row],[PRONTO ACABADO2]]</f>
        <v>0</v>
      </c>
      <c r="AT402" s="37">
        <f ca="1">IF(AG402="",0,IF(ISTEXT(AG402),H402*VALUE(SUBSTITUTE(AG402,"%",""))/100,H402*AG402))-Tabela1[[#This Row],[PESO EXPEDIDO2]]</f>
        <v>0</v>
      </c>
      <c r="AU402" s="37">
        <f t="shared" ca="1" si="72"/>
        <v>282</v>
      </c>
      <c r="AV402" s="37">
        <f t="shared" ca="1" si="73"/>
        <v>282</v>
      </c>
      <c r="AW402" s="37"/>
    </row>
    <row r="403" spans="1:49" ht="15.75" hidden="1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 ca="1"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 ca="1">Tabela1[[#This Row],[QTDE/ Fabricação]]-Tabela1[[#This Row],[QTE]]</f>
        <v>-4</v>
      </c>
      <c r="R403" s="18">
        <f t="shared" ca="1" si="67"/>
        <v>199.48</v>
      </c>
      <c r="S403" s="18">
        <f t="shared" ca="1" si="74"/>
        <v>199.48</v>
      </c>
      <c r="T403" s="19">
        <f t="shared" ca="1" si="70"/>
        <v>0</v>
      </c>
      <c r="U403" s="16">
        <f>IFERROR(SUMIF('LISTA DE EMBARQUE'!B:B,MICRO!E:E,'LISTA DE EMBARQUE'!G:G),"")</f>
        <v>4</v>
      </c>
      <c r="V403" s="12">
        <f ca="1">IFERROR(VLOOKUP(Tabela1[[#This Row],[COD.MDE]],'LISTA DE EMBARQUE'!B:L,11,0),"")</f>
        <v>14</v>
      </c>
      <c r="W403" s="13">
        <f>IFERROR(VLOOKUP(Tabela1[[#This Row],[COD.MDE]],'LISTA DE EMBARQUE'!B:M,12,0),"")</f>
        <v>46261</v>
      </c>
      <c r="X403" s="14">
        <f ca="1">IFERROR(Tabela1[[#This Row],[QIANTIDADE EXPEDIDA]]*Tabela1[[#This Row],[PESO UNI]],"")</f>
        <v>199.48</v>
      </c>
      <c r="Y403" s="14">
        <f t="shared" ca="1" si="71"/>
        <v>0</v>
      </c>
      <c r="Z403" s="20">
        <f ca="1"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ca="1" si="69"/>
        <v>ok</v>
      </c>
      <c r="AJ403" s="5"/>
      <c r="AK403" t="str">
        <f ca="1">Tabela1[[#This Row],[Coluna1]]&amp;Tabela1[[#This Row],[PEDIDO]]</f>
        <v>P-188</v>
      </c>
      <c r="AL403"/>
      <c r="AM403"/>
      <c r="AN403"/>
      <c r="AO403" t="str">
        <f t="shared" ca="1" si="75"/>
        <v>T-072955-1/1073-TC-006/007</v>
      </c>
      <c r="AP403" t="str">
        <f ca="1">Tabela1[[#This Row],[TAG]]&amp;Tabela1[[#This Row],[PEDIDO]]&amp;Tabela1[[#This Row],[PRODUTO]]</f>
        <v>1073-TC-006/007P-188RMF</v>
      </c>
      <c r="AQ403" s="22" t="str">
        <f ca="1">Tabela1[[#This Row],[PRODUTO]]&amp;Tabela1[[#This Row],[TAG]]</f>
        <v>RMF1073-TC-006/007</v>
      </c>
      <c r="AR403" s="24" t="str">
        <f ca="1">Tabela1[[#This Row],[PEDIDO]]&amp;Tabela1[[#This Row],[PRODUTO]]</f>
        <v>P-188RMF</v>
      </c>
      <c r="AS403" s="37">
        <f ca="1">IF(AF403="",0,IF(ISTEXT(AF403),H403*VALUE(SUBSTITUTE(AF403,"%",""))/100,H403*AF403))-Tabela1[[#This Row],[PRONTO ACABADO2]]</f>
        <v>0</v>
      </c>
      <c r="AT403" s="37">
        <f ca="1">IF(AG403="",0,IF(ISTEXT(AG403),H403*VALUE(SUBSTITUTE(AG403,"%",""))/100,H403*AG403))-Tabela1[[#This Row],[PESO EXPEDIDO2]]</f>
        <v>0</v>
      </c>
      <c r="AU403" s="37">
        <f t="shared" ca="1" si="72"/>
        <v>199.48</v>
      </c>
      <c r="AV403" s="37">
        <f t="shared" ca="1" si="73"/>
        <v>199.48</v>
      </c>
      <c r="AW403" s="37"/>
    </row>
    <row r="404" spans="1:49" ht="15.75" hidden="1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 ca="1"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 ca="1">Tabela1[[#This Row],[QTDE/ Fabricação]]-Tabela1[[#This Row],[QTE]]</f>
        <v>-4</v>
      </c>
      <c r="R404" s="18">
        <f t="shared" ca="1" si="67"/>
        <v>200</v>
      </c>
      <c r="S404" s="18">
        <f t="shared" ca="1" si="74"/>
        <v>200</v>
      </c>
      <c r="T404" s="19">
        <f t="shared" ca="1" si="70"/>
        <v>0</v>
      </c>
      <c r="U404" s="16">
        <f>IFERROR(SUMIF('LISTA DE EMBARQUE'!B:B,MICRO!E:E,'LISTA DE EMBARQUE'!G:G),"")</f>
        <v>4</v>
      </c>
      <c r="V404" s="12">
        <f>IFERROR(VLOOKUP(Tabela1[[#This Row],[COD.MDE]],'LISTA DE EMBARQUE'!B:L,11,0),"")</f>
        <v>14</v>
      </c>
      <c r="W404" s="13">
        <f>IFERROR(VLOOKUP(Tabela1[[#This Row],[COD.MDE]],'LISTA DE EMBARQUE'!B:M,12,0),"")</f>
        <v>46261</v>
      </c>
      <c r="X404" s="14">
        <f ca="1">IFERROR(Tabela1[[#This Row],[QIANTIDADE EXPEDIDA]]*Tabela1[[#This Row],[PESO UNI]],"")</f>
        <v>200</v>
      </c>
      <c r="Y404" s="14">
        <f t="shared" ca="1" si="71"/>
        <v>0</v>
      </c>
      <c r="Z404" s="20">
        <f ca="1">Tabela1[[#This Row],[PESO TOTAL]]-Tabela1[[#This Row],[Peso Expedido]]</f>
        <v>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>
        <v>1</v>
      </c>
      <c r="AI404" s="33" t="str">
        <f t="shared" ca="1" si="69"/>
        <v>ok</v>
      </c>
      <c r="AJ404" s="5"/>
      <c r="AK404" t="str">
        <f ca="1">Tabela1[[#This Row],[Coluna1]]&amp;Tabela1[[#This Row],[PEDIDO]]</f>
        <v>P-188</v>
      </c>
      <c r="AL404"/>
      <c r="AM404"/>
      <c r="AN404"/>
      <c r="AO404" t="str">
        <f t="shared" ca="1" si="75"/>
        <v>T-072957-1/1073-TC-006/007</v>
      </c>
      <c r="AP404" t="str">
        <f ca="1">Tabela1[[#This Row],[TAG]]&amp;Tabela1[[#This Row],[PEDIDO]]&amp;Tabela1[[#This Row],[PRODUTO]]</f>
        <v>1073-TC-006/007P-188RMF</v>
      </c>
      <c r="AQ404" s="22" t="str">
        <f ca="1">Tabela1[[#This Row],[PRODUTO]]&amp;Tabela1[[#This Row],[TAG]]</f>
        <v>RMF1073-TC-006/007</v>
      </c>
      <c r="AR404" s="24" t="str">
        <f ca="1">Tabela1[[#This Row],[PEDIDO]]&amp;Tabela1[[#This Row],[PRODUTO]]</f>
        <v>P-188RMF</v>
      </c>
      <c r="AS404" s="37">
        <f ca="1">IF(AF404="",0,IF(ISTEXT(AF404),H404*VALUE(SUBSTITUTE(AF404,"%",""))/100,H404*AF404))-Tabela1[[#This Row],[PRONTO ACABADO2]]</f>
        <v>0</v>
      </c>
      <c r="AT404" s="37">
        <f ca="1">IF(AG404="",0,IF(ISTEXT(AG404),H404*VALUE(SUBSTITUTE(AG404,"%",""))/100,H404*AG404))-Tabela1[[#This Row],[PESO EXPEDIDO2]]</f>
        <v>0</v>
      </c>
      <c r="AU404" s="37">
        <f t="shared" ca="1" si="72"/>
        <v>200</v>
      </c>
      <c r="AV404" s="37">
        <f t="shared" ca="1" si="73"/>
        <v>200</v>
      </c>
      <c r="AW404" s="37"/>
    </row>
    <row r="405" spans="1:49" ht="15.75" hidden="1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 ca="1"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 ca="1">Tabela1[[#This Row],[QTDE/ Fabricação]]-Tabela1[[#This Row],[QTE]]</f>
        <v>-1</v>
      </c>
      <c r="R405" s="18">
        <f t="shared" ca="1" si="67"/>
        <v>57.6</v>
      </c>
      <c r="S405" s="18">
        <f t="shared" ca="1" si="74"/>
        <v>57.6</v>
      </c>
      <c r="T405" s="19">
        <f t="shared" ca="1" si="70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 ca="1">IFERROR(Tabela1[[#This Row],[QIANTIDADE EXPEDIDA]]*Tabela1[[#This Row],[PESO UNI]],"")</f>
        <v>57.6</v>
      </c>
      <c r="Y405" s="14">
        <f t="shared" ca="1" si="71"/>
        <v>0</v>
      </c>
      <c r="Z405" s="20">
        <f ca="1"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ca="1" si="69"/>
        <v>ok</v>
      </c>
      <c r="AJ405" s="5"/>
      <c r="AK405" t="str">
        <f ca="1">Tabela1[[#This Row],[Coluna1]]&amp;Tabela1[[#This Row],[PEDIDO]]</f>
        <v>P-188</v>
      </c>
      <c r="AL405"/>
      <c r="AM405"/>
      <c r="AN405"/>
      <c r="AO405" t="str">
        <f t="shared" ca="1" si="75"/>
        <v>T-072998-1/1073-TC-006</v>
      </c>
      <c r="AP405" t="str">
        <f ca="1">Tabela1[[#This Row],[TAG]]&amp;Tabela1[[#This Row],[PEDIDO]]&amp;Tabela1[[#This Row],[PRODUTO]]</f>
        <v>1073-TC-006P-188RMF</v>
      </c>
      <c r="AQ405" s="22" t="str">
        <f ca="1">Tabela1[[#This Row],[PRODUTO]]&amp;Tabela1[[#This Row],[TAG]]</f>
        <v>RMF1073-TC-006</v>
      </c>
      <c r="AR405" s="24" t="str">
        <f ca="1">Tabela1[[#This Row],[PEDIDO]]&amp;Tabela1[[#This Row],[PRODUTO]]</f>
        <v>P-188RMF</v>
      </c>
      <c r="AS405" s="37">
        <f ca="1">IF(AF405="",0,IF(ISTEXT(AF405),H405*VALUE(SUBSTITUTE(AF405,"%",""))/100,H405*AF405))-Tabela1[[#This Row],[PRONTO ACABADO2]]</f>
        <v>0</v>
      </c>
      <c r="AT405" s="37">
        <f ca="1">IF(AG405="",0,IF(ISTEXT(AG405),H405*VALUE(SUBSTITUTE(AG405,"%",""))/100,H405*AG405))-Tabela1[[#This Row],[PESO EXPEDIDO2]]</f>
        <v>0</v>
      </c>
      <c r="AU405" s="37">
        <f t="shared" ca="1" si="72"/>
        <v>57.6</v>
      </c>
      <c r="AV405" s="37">
        <f t="shared" ca="1" si="73"/>
        <v>57.6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 ca="1"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 ca="1">Tabela1[[#This Row],[QTDE/ Fabricação]]-Tabela1[[#This Row],[QTE]]</f>
        <v>-1</v>
      </c>
      <c r="R406" s="18">
        <f t="shared" ca="1" si="67"/>
        <v>57.6</v>
      </c>
      <c r="S406" s="18">
        <f t="shared" ca="1" si="74"/>
        <v>57.6</v>
      </c>
      <c r="T406" s="19">
        <f t="shared" ca="1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 ca="1">IFERROR(Tabela1[[#This Row],[QIANTIDADE EXPEDIDA]]*Tabela1[[#This Row],[PESO UNI]],"")</f>
        <v>57.6</v>
      </c>
      <c r="Y406" s="14">
        <f t="shared" ca="1" si="71"/>
        <v>0</v>
      </c>
      <c r="Z406" s="20">
        <f ca="1"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ca="1" si="69"/>
        <v>ok</v>
      </c>
      <c r="AJ406" s="5"/>
      <c r="AK406" t="str">
        <f ca="1">Tabela1[[#This Row],[Coluna1]]&amp;Tabela1[[#This Row],[PEDIDO]]</f>
        <v>P-188</v>
      </c>
      <c r="AL406"/>
      <c r="AM406"/>
      <c r="AN406"/>
      <c r="AO406" t="str">
        <f t="shared" ca="1" si="75"/>
        <v>T-072998-1/1073-TC-007</v>
      </c>
      <c r="AP406" t="str">
        <f ca="1">Tabela1[[#This Row],[TAG]]&amp;Tabela1[[#This Row],[PEDIDO]]&amp;Tabela1[[#This Row],[PRODUTO]]</f>
        <v>1073-TC-007P-188RMF</v>
      </c>
      <c r="AQ406" s="22" t="str">
        <f ca="1">Tabela1[[#This Row],[PRODUTO]]&amp;Tabela1[[#This Row],[TAG]]</f>
        <v>RMF1073-TC-007</v>
      </c>
      <c r="AR406" s="24" t="str">
        <f ca="1">Tabela1[[#This Row],[PEDIDO]]&amp;Tabela1[[#This Row],[PRODUTO]]</f>
        <v>P-188RMF</v>
      </c>
      <c r="AS406" s="37">
        <f ca="1">IF(AF406="",0,IF(ISTEXT(AF406),H406*VALUE(SUBSTITUTE(AF406,"%",""))/100,H406*AF406))-Tabela1[[#This Row],[PRONTO ACABADO2]]</f>
        <v>0</v>
      </c>
      <c r="AT406" s="37">
        <f ca="1">IF(AG406="",0,IF(ISTEXT(AG406),H406*VALUE(SUBSTITUTE(AG406,"%",""))/100,H406*AG406))-Tabela1[[#This Row],[PESO EXPEDIDO2]]</f>
        <v>0</v>
      </c>
      <c r="AU406" s="37">
        <f t="shared" ca="1" si="72"/>
        <v>57.6</v>
      </c>
      <c r="AV406" s="37">
        <f t="shared" ca="1" si="73"/>
        <v>57.6</v>
      </c>
      <c r="AW406" s="37"/>
    </row>
    <row r="407" spans="1:49" ht="15.75" hidden="1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 ca="1"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 ca="1">Tabela1[[#This Row],[QTDE/ Fabricação]]-Tabela1[[#This Row],[QTE]]</f>
        <v>-1</v>
      </c>
      <c r="R407" s="18">
        <f t="shared" ca="1" si="67"/>
        <v>44.8</v>
      </c>
      <c r="S407" s="18">
        <f t="shared" ca="1" si="74"/>
        <v>44.8</v>
      </c>
      <c r="T407" s="19">
        <f t="shared" ca="1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 ca="1">IFERROR(Tabela1[[#This Row],[QIANTIDADE EXPEDIDA]]*Tabela1[[#This Row],[PESO UNI]],"")</f>
        <v>44.8</v>
      </c>
      <c r="Y407" s="14">
        <f t="shared" ca="1" si="71"/>
        <v>0</v>
      </c>
      <c r="Z407" s="20">
        <f ca="1"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ca="1" si="69"/>
        <v>ok</v>
      </c>
      <c r="AJ407" s="5"/>
      <c r="AK407" t="str">
        <f ca="1">Tabela1[[#This Row],[Coluna1]]&amp;Tabela1[[#This Row],[PEDIDO]]</f>
        <v>P-188</v>
      </c>
      <c r="AL407"/>
      <c r="AM407"/>
      <c r="AN407"/>
      <c r="AO407" t="str">
        <f t="shared" ca="1" si="75"/>
        <v>T-072998-1/1073-TC-006</v>
      </c>
      <c r="AP407" t="str">
        <f ca="1">Tabela1[[#This Row],[TAG]]&amp;Tabela1[[#This Row],[PEDIDO]]&amp;Tabela1[[#This Row],[PRODUTO]]</f>
        <v>1073-TC-006P-188RMF</v>
      </c>
      <c r="AQ407" s="22" t="str">
        <f ca="1">Tabela1[[#This Row],[PRODUTO]]&amp;Tabela1[[#This Row],[TAG]]</f>
        <v>RMF1073-TC-006</v>
      </c>
      <c r="AR407" s="24" t="str">
        <f ca="1">Tabela1[[#This Row],[PEDIDO]]&amp;Tabela1[[#This Row],[PRODUTO]]</f>
        <v>P-188RMF</v>
      </c>
      <c r="AS407" s="37">
        <f ca="1">IF(AF407="",0,IF(ISTEXT(AF407),H407*VALUE(SUBSTITUTE(AF407,"%",""))/100,H407*AF407))-Tabela1[[#This Row],[PRONTO ACABADO2]]</f>
        <v>0</v>
      </c>
      <c r="AT407" s="37">
        <f ca="1">IF(AG407="",0,IF(ISTEXT(AG407),H407*VALUE(SUBSTITUTE(AG407,"%",""))/100,H407*AG407))-Tabela1[[#This Row],[PESO EXPEDIDO2]]</f>
        <v>0</v>
      </c>
      <c r="AU407" s="37">
        <f t="shared" ca="1" si="72"/>
        <v>44.8</v>
      </c>
      <c r="AV407" s="37">
        <f t="shared" ca="1" si="73"/>
        <v>44.8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 ca="1"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 ca="1">Tabela1[[#This Row],[QTDE/ Fabricação]]-Tabela1[[#This Row],[QTE]]</f>
        <v>-1</v>
      </c>
      <c r="R408" s="18">
        <f t="shared" ca="1" si="67"/>
        <v>44.8</v>
      </c>
      <c r="S408" s="18">
        <f t="shared" ca="1" si="74"/>
        <v>44.8</v>
      </c>
      <c r="T408" s="19">
        <f t="shared" ca="1" si="70"/>
        <v>0</v>
      </c>
      <c r="U408" s="16">
        <v>1</v>
      </c>
      <c r="V408" s="12">
        <v>13</v>
      </c>
      <c r="W408" s="13" t="str">
        <f ca="1">IFERROR(VLOOKUP(Tabela1[[#This Row],[COD.MDE]],'LISTA DE EMBARQUE'!B:M,12,0),"")</f>
        <v/>
      </c>
      <c r="X408" s="14">
        <f ca="1">IFERROR(Tabela1[[#This Row],[QIANTIDADE EXPEDIDA]]*Tabela1[[#This Row],[PESO UNI]],"")</f>
        <v>44.8</v>
      </c>
      <c r="Y408" s="14">
        <f t="shared" ca="1" si="71"/>
        <v>0</v>
      </c>
      <c r="Z408" s="20">
        <f ca="1"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ca="1" si="69"/>
        <v>ok</v>
      </c>
      <c r="AJ408" s="5"/>
      <c r="AK408" t="str">
        <f ca="1">Tabela1[[#This Row],[Coluna1]]&amp;Tabela1[[#This Row],[PEDIDO]]</f>
        <v>P-188</v>
      </c>
      <c r="AL408"/>
      <c r="AM408"/>
      <c r="AN408"/>
      <c r="AO408" t="str">
        <f t="shared" ca="1" si="75"/>
        <v>T-072998-1/1073-TC-007</v>
      </c>
      <c r="AP408" t="str">
        <f ca="1">Tabela1[[#This Row],[TAG]]&amp;Tabela1[[#This Row],[PEDIDO]]&amp;Tabela1[[#This Row],[PRODUTO]]</f>
        <v>1073-TC-007P-188RMF</v>
      </c>
      <c r="AQ408" s="22" t="str">
        <f ca="1">Tabela1[[#This Row],[PRODUTO]]&amp;Tabela1[[#This Row],[TAG]]</f>
        <v>RMF1073-TC-007</v>
      </c>
      <c r="AR408" s="24" t="str">
        <f ca="1">Tabela1[[#This Row],[PEDIDO]]&amp;Tabela1[[#This Row],[PRODUTO]]</f>
        <v>P-188RMF</v>
      </c>
      <c r="AS408" s="37">
        <f ca="1">IF(AF408="",0,IF(ISTEXT(AF408),H408*VALUE(SUBSTITUTE(AF408,"%",""))/100,H408*AF408))-Tabela1[[#This Row],[PRONTO ACABADO2]]</f>
        <v>0</v>
      </c>
      <c r="AT408" s="37">
        <f ca="1">IF(AG408="",0,IF(ISTEXT(AG408),H408*VALUE(SUBSTITUTE(AG408,"%",""))/100,H408*AG408))-Tabela1[[#This Row],[PESO EXPEDIDO2]]</f>
        <v>0</v>
      </c>
      <c r="AU408" s="37">
        <f t="shared" ca="1" si="72"/>
        <v>44.8</v>
      </c>
      <c r="AV408" s="37">
        <f t="shared" ca="1" si="73"/>
        <v>44.8</v>
      </c>
      <c r="AW408" s="37"/>
    </row>
    <row r="409" spans="1:49" ht="15.75" hidden="1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 ca="1"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 ca="1">Tabela1[[#This Row],[QTDE/ Fabricação]]-Tabela1[[#This Row],[QTE]]</f>
        <v>-1</v>
      </c>
      <c r="R409" s="18">
        <f t="shared" ref="R409:R438" ca="1" si="76">IFERROR(H409*((AA409*0.25)+(AC409*0.25)+(AD409*0.225)+(AE409*0.225)+(AF409*0.05)),"")</f>
        <v>57.1</v>
      </c>
      <c r="S409" s="18">
        <f t="shared" ca="1" si="74"/>
        <v>57.1</v>
      </c>
      <c r="T409" s="19">
        <f t="shared" ca="1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 ca="1">IFERROR(Tabela1[[#This Row],[QIANTIDADE EXPEDIDA]]*Tabela1[[#This Row],[PESO UNI]],"")</f>
        <v>57.1</v>
      </c>
      <c r="Y409" s="14">
        <f t="shared" ca="1" si="71"/>
        <v>0</v>
      </c>
      <c r="Z409" s="20">
        <f ca="1"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ca="1" si="69"/>
        <v>ok</v>
      </c>
      <c r="AJ409" s="5"/>
      <c r="AK409" t="str">
        <f ca="1">Tabela1[[#This Row],[Coluna1]]&amp;Tabela1[[#This Row],[PEDIDO]]</f>
        <v>P-188</v>
      </c>
      <c r="AL409"/>
      <c r="AM409"/>
      <c r="AN409"/>
      <c r="AO409" t="str">
        <f t="shared" ca="1" si="75"/>
        <v>T-072998-1/1073-TC-006</v>
      </c>
      <c r="AP409" t="str">
        <f ca="1">Tabela1[[#This Row],[TAG]]&amp;Tabela1[[#This Row],[PEDIDO]]&amp;Tabela1[[#This Row],[PRODUTO]]</f>
        <v>1073-TC-006P-188RMF</v>
      </c>
      <c r="AQ409" s="22" t="str">
        <f ca="1">Tabela1[[#This Row],[PRODUTO]]&amp;Tabela1[[#This Row],[TAG]]</f>
        <v>RMF1073-TC-006</v>
      </c>
      <c r="AR409" s="24" t="str">
        <f ca="1">Tabela1[[#This Row],[PEDIDO]]&amp;Tabela1[[#This Row],[PRODUTO]]</f>
        <v>P-188RMF</v>
      </c>
      <c r="AS409" s="37">
        <f ca="1">IF(AF409="",0,IF(ISTEXT(AF409),H409*VALUE(SUBSTITUTE(AF409,"%",""))/100,H409*AF409))-Tabela1[[#This Row],[PRONTO ACABADO2]]</f>
        <v>0</v>
      </c>
      <c r="AT409" s="37">
        <f ca="1">IF(AG409="",0,IF(ISTEXT(AG409),H409*VALUE(SUBSTITUTE(AG409,"%",""))/100,H409*AG409))-Tabela1[[#This Row],[PESO EXPEDIDO2]]</f>
        <v>0</v>
      </c>
      <c r="AU409" s="37">
        <f t="shared" ca="1" si="72"/>
        <v>57.1</v>
      </c>
      <c r="AV409" s="37">
        <f t="shared" ca="1" si="73"/>
        <v>57.1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 ca="1"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 ca="1">Tabela1[[#This Row],[QTDE/ Fabricação]]-Tabela1[[#This Row],[QTE]]</f>
        <v>-1</v>
      </c>
      <c r="R410" s="18">
        <f t="shared" ca="1" si="76"/>
        <v>57.1</v>
      </c>
      <c r="S410" s="18">
        <f t="shared" ca="1" si="74"/>
        <v>57.1</v>
      </c>
      <c r="T410" s="19">
        <f t="shared" ca="1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 ca="1">IFERROR(Tabela1[[#This Row],[QIANTIDADE EXPEDIDA]]*Tabela1[[#This Row],[PESO UNI]],"")</f>
        <v>57.1</v>
      </c>
      <c r="Y410" s="14">
        <f t="shared" ca="1" si="71"/>
        <v>0</v>
      </c>
      <c r="Z410" s="20">
        <f ca="1"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ca="1" si="69"/>
        <v>ok</v>
      </c>
      <c r="AJ410" s="5"/>
      <c r="AK410" t="str">
        <f ca="1">Tabela1[[#This Row],[Coluna1]]&amp;Tabela1[[#This Row],[PEDIDO]]</f>
        <v>P-188</v>
      </c>
      <c r="AL410"/>
      <c r="AM410"/>
      <c r="AN410"/>
      <c r="AO410" t="str">
        <f t="shared" ca="1" si="75"/>
        <v>T-072998-1/1073-TC-007</v>
      </c>
      <c r="AP410" t="str">
        <f ca="1">Tabela1[[#This Row],[TAG]]&amp;Tabela1[[#This Row],[PEDIDO]]&amp;Tabela1[[#This Row],[PRODUTO]]</f>
        <v>1073-TC-007P-188RMF</v>
      </c>
      <c r="AQ410" s="22" t="str">
        <f ca="1">Tabela1[[#This Row],[PRODUTO]]&amp;Tabela1[[#This Row],[TAG]]</f>
        <v>RMF1073-TC-007</v>
      </c>
      <c r="AR410" s="24" t="str">
        <f ca="1">Tabela1[[#This Row],[PEDIDO]]&amp;Tabela1[[#This Row],[PRODUTO]]</f>
        <v>P-188RMF</v>
      </c>
      <c r="AS410" s="37">
        <f ca="1">IF(AF410="",0,IF(ISTEXT(AF410),H410*VALUE(SUBSTITUTE(AF410,"%",""))/100,H410*AF410))-Tabela1[[#This Row],[PRONTO ACABADO2]]</f>
        <v>0</v>
      </c>
      <c r="AT410" s="37">
        <f ca="1">IF(AG410="",0,IF(ISTEXT(AG410),H410*VALUE(SUBSTITUTE(AG410,"%",""))/100,H410*AG410))-Tabela1[[#This Row],[PESO EXPEDIDO2]]</f>
        <v>0</v>
      </c>
      <c r="AU410" s="37">
        <f t="shared" ca="1" si="72"/>
        <v>57.1</v>
      </c>
      <c r="AV410" s="37">
        <f t="shared" ca="1" si="73"/>
        <v>57.1</v>
      </c>
      <c r="AW410" s="37"/>
    </row>
    <row r="411" spans="1:49" ht="15.75" hidden="1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 ca="1"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 ca="1">Tabela1[[#This Row],[QTDE/ Fabricação]]-Tabela1[[#This Row],[QTE]]</f>
        <v>-1</v>
      </c>
      <c r="R411" s="18">
        <f t="shared" ca="1" si="76"/>
        <v>42.4</v>
      </c>
      <c r="S411" s="18">
        <f t="shared" ca="1" si="74"/>
        <v>42.4</v>
      </c>
      <c r="T411" s="19">
        <f t="shared" ca="1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 ca="1">IFERROR(Tabela1[[#This Row],[QIANTIDADE EXPEDIDA]]*Tabela1[[#This Row],[PESO UNI]],"")</f>
        <v>42.4</v>
      </c>
      <c r="Y411" s="14">
        <f t="shared" ca="1" si="71"/>
        <v>0</v>
      </c>
      <c r="Z411" s="20">
        <f ca="1"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ca="1" si="77">IF(Z411&lt;=0,"ok","")</f>
        <v>ok</v>
      </c>
      <c r="AJ411" s="5"/>
      <c r="AK411" t="str">
        <f ca="1">Tabela1[[#This Row],[Coluna1]]&amp;Tabela1[[#This Row],[PEDIDO]]</f>
        <v>P-188</v>
      </c>
      <c r="AL411"/>
      <c r="AM411"/>
      <c r="AN411"/>
      <c r="AO411" t="str">
        <f t="shared" ca="1" si="75"/>
        <v>T-072998-1/1073-TC-006</v>
      </c>
      <c r="AP411" t="str">
        <f ca="1">Tabela1[[#This Row],[TAG]]&amp;Tabela1[[#This Row],[PEDIDO]]&amp;Tabela1[[#This Row],[PRODUTO]]</f>
        <v>1073-TC-006P-188RMF</v>
      </c>
      <c r="AQ411" s="22" t="str">
        <f ca="1">Tabela1[[#This Row],[PRODUTO]]&amp;Tabela1[[#This Row],[TAG]]</f>
        <v>RMF1073-TC-006</v>
      </c>
      <c r="AR411" s="24" t="str">
        <f ca="1">Tabela1[[#This Row],[PEDIDO]]&amp;Tabela1[[#This Row],[PRODUTO]]</f>
        <v>P-188RMF</v>
      </c>
      <c r="AS411" s="37">
        <f ca="1">IF(AF411="",0,IF(ISTEXT(AF411),H411*VALUE(SUBSTITUTE(AF411,"%",""))/100,H411*AF411))-Tabela1[[#This Row],[PRONTO ACABADO2]]</f>
        <v>0</v>
      </c>
      <c r="AT411" s="37">
        <f ca="1">IF(AG411="",0,IF(ISTEXT(AG411),H411*VALUE(SUBSTITUTE(AG411,"%",""))/100,H411*AG411))-Tabela1[[#This Row],[PESO EXPEDIDO2]]</f>
        <v>0</v>
      </c>
      <c r="AU411" s="37">
        <f t="shared" ca="1" si="72"/>
        <v>42.4</v>
      </c>
      <c r="AV411" s="37">
        <f t="shared" ca="1" si="73"/>
        <v>42.4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 ca="1"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 ca="1">Tabela1[[#This Row],[QTDE/ Fabricação]]-Tabela1[[#This Row],[QTE]]</f>
        <v>-1</v>
      </c>
      <c r="R412" s="18">
        <f t="shared" ca="1" si="76"/>
        <v>42.4</v>
      </c>
      <c r="S412" s="18">
        <f t="shared" ca="1" si="74"/>
        <v>42.4</v>
      </c>
      <c r="T412" s="19">
        <f t="shared" ca="1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 ca="1">IFERROR(Tabela1[[#This Row],[QIANTIDADE EXPEDIDA]]*Tabela1[[#This Row],[PESO UNI]],"")</f>
        <v>42.4</v>
      </c>
      <c r="Y412" s="14">
        <f t="shared" ca="1" si="71"/>
        <v>0</v>
      </c>
      <c r="Z412" s="20">
        <f ca="1"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ca="1" si="77"/>
        <v>ok</v>
      </c>
      <c r="AJ412" s="5"/>
      <c r="AK412" t="str">
        <f ca="1">Tabela1[[#This Row],[Coluna1]]&amp;Tabela1[[#This Row],[PEDIDO]]</f>
        <v>P-188</v>
      </c>
      <c r="AL412"/>
      <c r="AM412"/>
      <c r="AN412"/>
      <c r="AO412" t="str">
        <f t="shared" ca="1" si="75"/>
        <v>T-072998-1/1073-TC-007</v>
      </c>
      <c r="AP412" t="str">
        <f ca="1">Tabela1[[#This Row],[TAG]]&amp;Tabela1[[#This Row],[PEDIDO]]&amp;Tabela1[[#This Row],[PRODUTO]]</f>
        <v>1073-TC-007P-188RMF</v>
      </c>
      <c r="AQ412" s="22" t="str">
        <f ca="1">Tabela1[[#This Row],[PRODUTO]]&amp;Tabela1[[#This Row],[TAG]]</f>
        <v>RMF1073-TC-007</v>
      </c>
      <c r="AR412" s="24" t="str">
        <f ca="1">Tabela1[[#This Row],[PEDIDO]]&amp;Tabela1[[#This Row],[PRODUTO]]</f>
        <v>P-188RMF</v>
      </c>
      <c r="AS412" s="37">
        <f ca="1">IF(AF412="",0,IF(ISTEXT(AF412),H412*VALUE(SUBSTITUTE(AF412,"%",""))/100,H412*AF412))-Tabela1[[#This Row],[PRONTO ACABADO2]]</f>
        <v>0</v>
      </c>
      <c r="AT412" s="37">
        <f ca="1">IF(AG412="",0,IF(ISTEXT(AG412),H412*VALUE(SUBSTITUTE(AG412,"%",""))/100,H412*AG412))-Tabela1[[#This Row],[PESO EXPEDIDO2]]</f>
        <v>0</v>
      </c>
      <c r="AU412" s="37">
        <f t="shared" ca="1" si="72"/>
        <v>42.4</v>
      </c>
      <c r="AV412" s="37">
        <f t="shared" ca="1" si="73"/>
        <v>42.4</v>
      </c>
      <c r="AW412" s="37"/>
    </row>
    <row r="413" spans="1:49" ht="15.75" hidden="1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 ca="1"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 ca="1">Tabela1[[#This Row],[QTDE/ Fabricação]]-Tabela1[[#This Row],[QTE]]</f>
        <v>-1</v>
      </c>
      <c r="R413" s="18">
        <f t="shared" ca="1" si="76"/>
        <v>40.700000000000003</v>
      </c>
      <c r="S413" s="18">
        <f t="shared" ca="1" si="74"/>
        <v>40.700000000000003</v>
      </c>
      <c r="T413" s="19">
        <f t="shared" ca="1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 ca="1">IFERROR(Tabela1[[#This Row],[QIANTIDADE EXPEDIDA]]*Tabela1[[#This Row],[PESO UNI]],"")</f>
        <v>40.700000000000003</v>
      </c>
      <c r="Y413" s="14">
        <f t="shared" ca="1" si="71"/>
        <v>0</v>
      </c>
      <c r="Z413" s="20">
        <f ca="1"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ca="1" si="77"/>
        <v>ok</v>
      </c>
      <c r="AJ413" s="5"/>
      <c r="AK413" t="str">
        <f ca="1">Tabela1[[#This Row],[Coluna1]]&amp;Tabela1[[#This Row],[PEDIDO]]</f>
        <v>P-188</v>
      </c>
      <c r="AL413"/>
      <c r="AM413"/>
      <c r="AN413"/>
      <c r="AO413" t="str">
        <f t="shared" ca="1" si="75"/>
        <v>T-072998-1/1073-TC-006</v>
      </c>
      <c r="AP413" t="str">
        <f ca="1">Tabela1[[#This Row],[TAG]]&amp;Tabela1[[#This Row],[PEDIDO]]&amp;Tabela1[[#This Row],[PRODUTO]]</f>
        <v>1073-TC-006P-188RMF</v>
      </c>
      <c r="AQ413" s="22" t="str">
        <f ca="1">Tabela1[[#This Row],[PRODUTO]]&amp;Tabela1[[#This Row],[TAG]]</f>
        <v>RMF1073-TC-006</v>
      </c>
      <c r="AR413" s="24" t="str">
        <f ca="1">Tabela1[[#This Row],[PEDIDO]]&amp;Tabela1[[#This Row],[PRODUTO]]</f>
        <v>P-188RMF</v>
      </c>
      <c r="AS413" s="37">
        <f ca="1">IF(AF413="",0,IF(ISTEXT(AF413),H413*VALUE(SUBSTITUTE(AF413,"%",""))/100,H413*AF413))-Tabela1[[#This Row],[PRONTO ACABADO2]]</f>
        <v>0</v>
      </c>
      <c r="AT413" s="37">
        <f ca="1">IF(AG413="",0,IF(ISTEXT(AG413),H413*VALUE(SUBSTITUTE(AG413,"%",""))/100,H413*AG413))-Tabela1[[#This Row],[PESO EXPEDIDO2]]</f>
        <v>0</v>
      </c>
      <c r="AU413" s="37">
        <f t="shared" ca="1" si="72"/>
        <v>40.700000000000003</v>
      </c>
      <c r="AV413" s="37">
        <f t="shared" ca="1" si="73"/>
        <v>40.700000000000003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 ca="1"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 ca="1">Tabela1[[#This Row],[QTDE/ Fabricação]]-Tabela1[[#This Row],[QTE]]</f>
        <v>-1</v>
      </c>
      <c r="R414" s="18">
        <f t="shared" ca="1" si="76"/>
        <v>40.700000000000003</v>
      </c>
      <c r="S414" s="18">
        <f t="shared" ca="1" si="74"/>
        <v>40.700000000000003</v>
      </c>
      <c r="T414" s="19">
        <f t="shared" ca="1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 ca="1">IFERROR(Tabela1[[#This Row],[QIANTIDADE EXPEDIDA]]*Tabela1[[#This Row],[PESO UNI]],"")</f>
        <v>40.700000000000003</v>
      </c>
      <c r="Y414" s="14">
        <f t="shared" ca="1" si="71"/>
        <v>0</v>
      </c>
      <c r="Z414" s="20">
        <f ca="1"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ca="1" si="77"/>
        <v>ok</v>
      </c>
      <c r="AJ414" s="5"/>
      <c r="AK414" t="str">
        <f ca="1">Tabela1[[#This Row],[Coluna1]]&amp;Tabela1[[#This Row],[PEDIDO]]</f>
        <v>P-188</v>
      </c>
      <c r="AL414"/>
      <c r="AM414"/>
      <c r="AN414"/>
      <c r="AO414" t="str">
        <f t="shared" ca="1" si="75"/>
        <v>T-072998-1/1073-TC-007</v>
      </c>
      <c r="AP414" t="str">
        <f ca="1">Tabela1[[#This Row],[TAG]]&amp;Tabela1[[#This Row],[PEDIDO]]&amp;Tabela1[[#This Row],[PRODUTO]]</f>
        <v>1073-TC-007P-188RMF</v>
      </c>
      <c r="AQ414" s="22" t="str">
        <f ca="1">Tabela1[[#This Row],[PRODUTO]]&amp;Tabela1[[#This Row],[TAG]]</f>
        <v>RMF1073-TC-007</v>
      </c>
      <c r="AR414" s="24" t="str">
        <f ca="1">Tabela1[[#This Row],[PEDIDO]]&amp;Tabela1[[#This Row],[PRODUTO]]</f>
        <v>P-188RMF</v>
      </c>
      <c r="AS414" s="37">
        <f ca="1">IF(AF414="",0,IF(ISTEXT(AF414),H414*VALUE(SUBSTITUTE(AF414,"%",""))/100,H414*AF414))-Tabela1[[#This Row],[PRONTO ACABADO2]]</f>
        <v>0</v>
      </c>
      <c r="AT414" s="37">
        <f ca="1">IF(AG414="",0,IF(ISTEXT(AG414),H414*VALUE(SUBSTITUTE(AG414,"%",""))/100,H414*AG414))-Tabela1[[#This Row],[PESO EXPEDIDO2]]</f>
        <v>0</v>
      </c>
      <c r="AU414" s="37">
        <f t="shared" ca="1" si="72"/>
        <v>40.700000000000003</v>
      </c>
      <c r="AV414" s="37">
        <f t="shared" ca="1" si="73"/>
        <v>40.700000000000003</v>
      </c>
      <c r="AW414" s="37"/>
    </row>
    <row r="415" spans="1:49" ht="15.75" hidden="1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 ca="1"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 ca="1">Tabela1[[#This Row],[QTDE/ Fabricação]]-Tabela1[[#This Row],[QTE]]</f>
        <v>-1</v>
      </c>
      <c r="R415" s="18">
        <f t="shared" ca="1" si="76"/>
        <v>57.7</v>
      </c>
      <c r="S415" s="18">
        <f t="shared" ca="1" si="74"/>
        <v>57.7</v>
      </c>
      <c r="T415" s="19">
        <f t="shared" ca="1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 ca="1">IFERROR(Tabela1[[#This Row],[QIANTIDADE EXPEDIDA]]*Tabela1[[#This Row],[PESO UNI]],"")</f>
        <v>57.7</v>
      </c>
      <c r="Y415" s="14">
        <f t="shared" ca="1" si="71"/>
        <v>0</v>
      </c>
      <c r="Z415" s="20">
        <f ca="1"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ca="1" si="77"/>
        <v>ok</v>
      </c>
      <c r="AJ415" s="5"/>
      <c r="AK415" t="str">
        <f ca="1">Tabela1[[#This Row],[Coluna1]]&amp;Tabela1[[#This Row],[PEDIDO]]</f>
        <v>P-188</v>
      </c>
      <c r="AL415"/>
      <c r="AM415"/>
      <c r="AN415"/>
      <c r="AO415" t="str">
        <f t="shared" ca="1" si="75"/>
        <v>T-072999-1/1073-TC-006</v>
      </c>
      <c r="AP415" t="str">
        <f ca="1">Tabela1[[#This Row],[TAG]]&amp;Tabela1[[#This Row],[PEDIDO]]&amp;Tabela1[[#This Row],[PRODUTO]]</f>
        <v>1073-TC-006P-188RMF</v>
      </c>
      <c r="AQ415" s="22" t="str">
        <f ca="1">Tabela1[[#This Row],[PRODUTO]]&amp;Tabela1[[#This Row],[TAG]]</f>
        <v>RMF1073-TC-006</v>
      </c>
      <c r="AR415" s="24" t="str">
        <f ca="1">Tabela1[[#This Row],[PEDIDO]]&amp;Tabela1[[#This Row],[PRODUTO]]</f>
        <v>P-188RMF</v>
      </c>
      <c r="AS415" s="37">
        <f ca="1">IF(AF415="",0,IF(ISTEXT(AF415),H415*VALUE(SUBSTITUTE(AF415,"%",""))/100,H415*AF415))-Tabela1[[#This Row],[PRONTO ACABADO2]]</f>
        <v>0</v>
      </c>
      <c r="AT415" s="37">
        <f ca="1">IF(AG415="",0,IF(ISTEXT(AG415),H415*VALUE(SUBSTITUTE(AG415,"%",""))/100,H415*AG415))-Tabela1[[#This Row],[PESO EXPEDIDO2]]</f>
        <v>0</v>
      </c>
      <c r="AU415" s="37">
        <f t="shared" ca="1" si="72"/>
        <v>57.7</v>
      </c>
      <c r="AV415" s="37">
        <f t="shared" ca="1" si="73"/>
        <v>57.7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 ca="1"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 ca="1">Tabela1[[#This Row],[QTDE/ Fabricação]]-Tabela1[[#This Row],[QTE]]</f>
        <v>-1</v>
      </c>
      <c r="R416" s="18">
        <f t="shared" ca="1" si="76"/>
        <v>57.7</v>
      </c>
      <c r="S416" s="18">
        <f t="shared" ca="1" si="74"/>
        <v>57.7</v>
      </c>
      <c r="T416" s="19">
        <f t="shared" ca="1" si="70"/>
        <v>0</v>
      </c>
      <c r="U416" s="16">
        <v>1</v>
      </c>
      <c r="V416" s="12">
        <v>13</v>
      </c>
      <c r="W416" s="13" t="str">
        <f ca="1">IFERROR(VLOOKUP(Tabela1[[#This Row],[COD.MDE]],'LISTA DE EMBARQUE'!B:M,12,0),"")</f>
        <v/>
      </c>
      <c r="X416" s="14">
        <f ca="1">IFERROR(Tabela1[[#This Row],[QIANTIDADE EXPEDIDA]]*Tabela1[[#This Row],[PESO UNI]],"")</f>
        <v>57.7</v>
      </c>
      <c r="Y416" s="14">
        <f t="shared" ca="1" si="71"/>
        <v>0</v>
      </c>
      <c r="Z416" s="20">
        <f ca="1"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ca="1" si="77"/>
        <v>ok</v>
      </c>
      <c r="AJ416" s="5"/>
      <c r="AK416" t="str">
        <f ca="1">Tabela1[[#This Row],[Coluna1]]&amp;Tabela1[[#This Row],[PEDIDO]]</f>
        <v>P-188</v>
      </c>
      <c r="AL416"/>
      <c r="AM416"/>
      <c r="AN416"/>
      <c r="AO416" t="str">
        <f t="shared" ca="1" si="75"/>
        <v>T-072999-1/1073-TC-007</v>
      </c>
      <c r="AP416" t="str">
        <f ca="1">Tabela1[[#This Row],[TAG]]&amp;Tabela1[[#This Row],[PEDIDO]]&amp;Tabela1[[#This Row],[PRODUTO]]</f>
        <v>1073-TC-007P-188RMF</v>
      </c>
      <c r="AQ416" s="22" t="str">
        <f ca="1">Tabela1[[#This Row],[PRODUTO]]&amp;Tabela1[[#This Row],[TAG]]</f>
        <v>RMF1073-TC-007</v>
      </c>
      <c r="AR416" s="24" t="str">
        <f ca="1">Tabela1[[#This Row],[PEDIDO]]&amp;Tabela1[[#This Row],[PRODUTO]]</f>
        <v>P-188RMF</v>
      </c>
      <c r="AS416" s="37">
        <f ca="1">IF(AF416="",0,IF(ISTEXT(AF416),H416*VALUE(SUBSTITUTE(AF416,"%",""))/100,H416*AF416))-Tabela1[[#This Row],[PRONTO ACABADO2]]</f>
        <v>0</v>
      </c>
      <c r="AT416" s="37">
        <f ca="1">IF(AG416="",0,IF(ISTEXT(AG416),H416*VALUE(SUBSTITUTE(AG416,"%",""))/100,H416*AG416))-Tabela1[[#This Row],[PESO EXPEDIDO2]]</f>
        <v>0</v>
      </c>
      <c r="AU416" s="37">
        <f t="shared" ca="1" si="72"/>
        <v>57.7</v>
      </c>
      <c r="AV416" s="37">
        <f t="shared" ca="1" si="73"/>
        <v>57.7</v>
      </c>
      <c r="AW416" s="37"/>
    </row>
    <row r="417" spans="1:49" ht="15.75" hidden="1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 ca="1"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 ca="1">Tabela1[[#This Row],[QTDE/ Fabricação]]-Tabela1[[#This Row],[QTE]]</f>
        <v>-1</v>
      </c>
      <c r="R417" s="18">
        <f t="shared" ca="1" si="76"/>
        <v>47.2</v>
      </c>
      <c r="S417" s="18">
        <f t="shared" ca="1" si="74"/>
        <v>47.2</v>
      </c>
      <c r="T417" s="19">
        <f t="shared" ca="1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 ca="1">IFERROR(Tabela1[[#This Row],[QIANTIDADE EXPEDIDA]]*Tabela1[[#This Row],[PESO UNI]],"")</f>
        <v>47.2</v>
      </c>
      <c r="Y417" s="14">
        <f t="shared" ca="1" si="71"/>
        <v>0</v>
      </c>
      <c r="Z417" s="20">
        <f ca="1"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ca="1" si="77"/>
        <v>ok</v>
      </c>
      <c r="AJ417" s="5"/>
      <c r="AK417" t="str">
        <f ca="1">Tabela1[[#This Row],[Coluna1]]&amp;Tabela1[[#This Row],[PEDIDO]]</f>
        <v>P-188</v>
      </c>
      <c r="AL417"/>
      <c r="AM417"/>
      <c r="AN417"/>
      <c r="AO417" t="str">
        <f t="shared" ca="1" si="75"/>
        <v>T-072999-1/1073-TC-006</v>
      </c>
      <c r="AP417" t="str">
        <f ca="1">Tabela1[[#This Row],[TAG]]&amp;Tabela1[[#This Row],[PEDIDO]]&amp;Tabela1[[#This Row],[PRODUTO]]</f>
        <v>1073-TC-006P-188RMF</v>
      </c>
      <c r="AQ417" s="22" t="str">
        <f ca="1">Tabela1[[#This Row],[PRODUTO]]&amp;Tabela1[[#This Row],[TAG]]</f>
        <v>RMF1073-TC-006</v>
      </c>
      <c r="AR417" s="24" t="str">
        <f ca="1">Tabela1[[#This Row],[PEDIDO]]&amp;Tabela1[[#This Row],[PRODUTO]]</f>
        <v>P-188RMF</v>
      </c>
      <c r="AS417" s="37">
        <f ca="1">IF(AF417="",0,IF(ISTEXT(AF417),H417*VALUE(SUBSTITUTE(AF417,"%",""))/100,H417*AF417))-Tabela1[[#This Row],[PRONTO ACABADO2]]</f>
        <v>0</v>
      </c>
      <c r="AT417" s="37">
        <f ca="1">IF(AG417="",0,IF(ISTEXT(AG417),H417*VALUE(SUBSTITUTE(AG417,"%",""))/100,H417*AG417))-Tabela1[[#This Row],[PESO EXPEDIDO2]]</f>
        <v>0</v>
      </c>
      <c r="AU417" s="37">
        <f t="shared" ca="1" si="72"/>
        <v>47.2</v>
      </c>
      <c r="AV417" s="37">
        <f t="shared" ca="1" si="73"/>
        <v>47.2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 ca="1"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 ca="1">Tabela1[[#This Row],[QTDE/ Fabricação]]-Tabela1[[#This Row],[QTE]]</f>
        <v>-1</v>
      </c>
      <c r="R418" s="18">
        <f t="shared" ca="1" si="76"/>
        <v>47.2</v>
      </c>
      <c r="S418" s="18">
        <f t="shared" ca="1" si="74"/>
        <v>47.2</v>
      </c>
      <c r="T418" s="19">
        <f t="shared" ca="1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 ca="1">IFERROR(Tabela1[[#This Row],[QIANTIDADE EXPEDIDA]]*Tabela1[[#This Row],[PESO UNI]],"")</f>
        <v>47.2</v>
      </c>
      <c r="Y418" s="14">
        <f t="shared" ca="1" si="71"/>
        <v>0</v>
      </c>
      <c r="Z418" s="20">
        <f ca="1"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ca="1" si="77"/>
        <v>ok</v>
      </c>
      <c r="AJ418" s="5"/>
      <c r="AK418" t="str">
        <f ca="1">Tabela1[[#This Row],[Coluna1]]&amp;Tabela1[[#This Row],[PEDIDO]]</f>
        <v>P-188</v>
      </c>
      <c r="AL418"/>
      <c r="AM418"/>
      <c r="AN418"/>
      <c r="AO418" t="str">
        <f t="shared" ca="1" si="75"/>
        <v>T-072999-1/1073-TC-007</v>
      </c>
      <c r="AP418" t="str">
        <f ca="1">Tabela1[[#This Row],[TAG]]&amp;Tabela1[[#This Row],[PEDIDO]]&amp;Tabela1[[#This Row],[PRODUTO]]</f>
        <v>1073-TC-007P-188RMF</v>
      </c>
      <c r="AQ418" s="22" t="str">
        <f ca="1">Tabela1[[#This Row],[PRODUTO]]&amp;Tabela1[[#This Row],[TAG]]</f>
        <v>RMF1073-TC-007</v>
      </c>
      <c r="AR418" s="24" t="str">
        <f ca="1">Tabela1[[#This Row],[PEDIDO]]&amp;Tabela1[[#This Row],[PRODUTO]]</f>
        <v>P-188RMF</v>
      </c>
      <c r="AS418" s="37">
        <f ca="1">IF(AF418="",0,IF(ISTEXT(AF418),H418*VALUE(SUBSTITUTE(AF418,"%",""))/100,H418*AF418))-Tabela1[[#This Row],[PRONTO ACABADO2]]</f>
        <v>0</v>
      </c>
      <c r="AT418" s="37">
        <f ca="1">IF(AG418="",0,IF(ISTEXT(AG418),H418*VALUE(SUBSTITUTE(AG418,"%",""))/100,H418*AG418))-Tabela1[[#This Row],[PESO EXPEDIDO2]]</f>
        <v>0</v>
      </c>
      <c r="AU418" s="37">
        <f t="shared" ca="1" si="72"/>
        <v>47.2</v>
      </c>
      <c r="AV418" s="37">
        <f t="shared" ca="1" si="73"/>
        <v>47.2</v>
      </c>
      <c r="AW418" s="37"/>
    </row>
    <row r="419" spans="1:49" ht="15.75" hidden="1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 ca="1"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 ca="1">Tabela1[[#This Row],[QTDE/ Fabricação]]-Tabela1[[#This Row],[QTE]]</f>
        <v>-1</v>
      </c>
      <c r="R419" s="18">
        <f t="shared" ca="1" si="76"/>
        <v>38.4</v>
      </c>
      <c r="S419" s="18">
        <f t="shared" ca="1" si="74"/>
        <v>38.4</v>
      </c>
      <c r="T419" s="19">
        <f t="shared" ref="T419:T438" ca="1" si="78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 ca="1">IFERROR(Tabela1[[#This Row],[QIANTIDADE EXPEDIDA]]*Tabela1[[#This Row],[PESO UNI]],"")</f>
        <v>38.4</v>
      </c>
      <c r="Y419" s="14">
        <f t="shared" ref="Y419:Y438" ca="1" si="79">U419-C419</f>
        <v>0</v>
      </c>
      <c r="Z419" s="20">
        <f ca="1"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ca="1" si="77"/>
        <v>ok</v>
      </c>
      <c r="AJ419" s="5"/>
      <c r="AK419" t="str">
        <f ca="1">Tabela1[[#This Row],[Coluna1]]&amp;Tabela1[[#This Row],[PEDIDO]]</f>
        <v>P-188</v>
      </c>
      <c r="AL419"/>
      <c r="AM419"/>
      <c r="AN419"/>
      <c r="AO419" t="str">
        <f t="shared" ca="1" si="75"/>
        <v>T-072999-1/1073-TC-006</v>
      </c>
      <c r="AP419" t="str">
        <f ca="1">Tabela1[[#This Row],[TAG]]&amp;Tabela1[[#This Row],[PEDIDO]]&amp;Tabela1[[#This Row],[PRODUTO]]</f>
        <v>1073-TC-006P-188RMF</v>
      </c>
      <c r="AQ419" s="22" t="str">
        <f ca="1">Tabela1[[#This Row],[PRODUTO]]&amp;Tabela1[[#This Row],[TAG]]</f>
        <v>RMF1073-TC-006</v>
      </c>
      <c r="AR419" s="24" t="str">
        <f ca="1">Tabela1[[#This Row],[PEDIDO]]&amp;Tabela1[[#This Row],[PRODUTO]]</f>
        <v>P-188RMF</v>
      </c>
      <c r="AS419" s="37">
        <f ca="1">IF(AF419="",0,IF(ISTEXT(AF419),H419*VALUE(SUBSTITUTE(AF419,"%",""))/100,H419*AF419))-Tabela1[[#This Row],[PRONTO ACABADO2]]</f>
        <v>0</v>
      </c>
      <c r="AT419" s="37">
        <f ca="1">IF(AG419="",0,IF(ISTEXT(AG419),H419*VALUE(SUBSTITUTE(AG419,"%",""))/100,H419*AG419))-Tabela1[[#This Row],[PESO EXPEDIDO2]]</f>
        <v>0</v>
      </c>
      <c r="AU419" s="37">
        <f t="shared" ca="1" si="72"/>
        <v>38.4</v>
      </c>
      <c r="AV419" s="37">
        <f t="shared" ca="1" si="73"/>
        <v>38.4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 ca="1"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 ca="1">Tabela1[[#This Row],[QTDE/ Fabricação]]-Tabela1[[#This Row],[QTE]]</f>
        <v>-1</v>
      </c>
      <c r="R420" s="18">
        <f t="shared" ca="1" si="76"/>
        <v>38.4</v>
      </c>
      <c r="S420" s="18">
        <f t="shared" ca="1" si="74"/>
        <v>38.4</v>
      </c>
      <c r="T420" s="19">
        <f t="shared" ca="1" si="78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 ca="1">IFERROR(Tabela1[[#This Row],[QIANTIDADE EXPEDIDA]]*Tabela1[[#This Row],[PESO UNI]],"")</f>
        <v>38.4</v>
      </c>
      <c r="Y420" s="14">
        <f t="shared" ca="1" si="79"/>
        <v>0</v>
      </c>
      <c r="Z420" s="20">
        <f ca="1"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ca="1" si="77"/>
        <v>ok</v>
      </c>
      <c r="AJ420" s="5"/>
      <c r="AK420" t="str">
        <f ca="1">Tabela1[[#This Row],[Coluna1]]&amp;Tabela1[[#This Row],[PEDIDO]]</f>
        <v>P-188</v>
      </c>
      <c r="AL420"/>
      <c r="AM420"/>
      <c r="AN420"/>
      <c r="AO420" t="str">
        <f t="shared" ca="1" si="75"/>
        <v>T-072999-1/1073-TC-007</v>
      </c>
      <c r="AP420" t="str">
        <f ca="1">Tabela1[[#This Row],[TAG]]&amp;Tabela1[[#This Row],[PEDIDO]]&amp;Tabela1[[#This Row],[PRODUTO]]</f>
        <v>1073-TC-007P-188RMF</v>
      </c>
      <c r="AQ420" s="22" t="str">
        <f ca="1">Tabela1[[#This Row],[PRODUTO]]&amp;Tabela1[[#This Row],[TAG]]</f>
        <v>RMF1073-TC-007</v>
      </c>
      <c r="AR420" s="24" t="str">
        <f ca="1">Tabela1[[#This Row],[PEDIDO]]&amp;Tabela1[[#This Row],[PRODUTO]]</f>
        <v>P-188RMF</v>
      </c>
      <c r="AS420" s="37">
        <f ca="1">IF(AF420="",0,IF(ISTEXT(AF420),H420*VALUE(SUBSTITUTE(AF420,"%",""))/100,H420*AF420))-Tabela1[[#This Row],[PRONTO ACABADO2]]</f>
        <v>0</v>
      </c>
      <c r="AT420" s="37">
        <f ca="1">IF(AG420="",0,IF(ISTEXT(AG420),H420*VALUE(SUBSTITUTE(AG420,"%",""))/100,H420*AG420))-Tabela1[[#This Row],[PESO EXPEDIDO2]]</f>
        <v>0</v>
      </c>
      <c r="AU420" s="37">
        <f t="shared" ref="AU420:AU438" ca="1" si="80">IF(AH420="",0,IF(ISTEXT(AH420),H420*VALUE(SUBSTITUTE(AH420,"%",""))/100,H420*AH420))</f>
        <v>38.4</v>
      </c>
      <c r="AV420" s="37">
        <f t="shared" ref="AV420:AV438" ca="1" si="81">IF(AG420="",0,IF(ISTEXT(AG420),H420*VALUE(SUBSTITUTE(AG420,"%",""))/100,H420*AG420))</f>
        <v>38.4</v>
      </c>
      <c r="AW420" s="37"/>
    </row>
    <row r="421" spans="1:49" ht="15.75" hidden="1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 ca="1"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 ca="1">Tabela1[[#This Row],[QTDE/ Fabricação]]-Tabela1[[#This Row],[QTE]]</f>
        <v>-1</v>
      </c>
      <c r="R421" s="18">
        <f t="shared" ca="1" si="76"/>
        <v>42.7</v>
      </c>
      <c r="S421" s="18">
        <f t="shared" ca="1" si="74"/>
        <v>42.7</v>
      </c>
      <c r="T421" s="19">
        <f t="shared" ca="1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 ca="1">IFERROR(Tabela1[[#This Row],[QIANTIDADE EXPEDIDA]]*Tabela1[[#This Row],[PESO UNI]],"")</f>
        <v>42.7</v>
      </c>
      <c r="Y421" s="14">
        <f t="shared" ca="1" si="79"/>
        <v>0</v>
      </c>
      <c r="Z421" s="20">
        <f ca="1"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ca="1" si="77"/>
        <v>ok</v>
      </c>
      <c r="AJ421" s="5"/>
      <c r="AK421" t="str">
        <f ca="1">Tabela1[[#This Row],[Coluna1]]&amp;Tabela1[[#This Row],[PEDIDO]]</f>
        <v>P-188</v>
      </c>
      <c r="AL421"/>
      <c r="AM421"/>
      <c r="AN421"/>
      <c r="AO421" t="str">
        <f t="shared" ca="1" si="75"/>
        <v>T-072999-1/1073-TC-006</v>
      </c>
      <c r="AP421" t="str">
        <f ca="1">Tabela1[[#This Row],[TAG]]&amp;Tabela1[[#This Row],[PEDIDO]]&amp;Tabela1[[#This Row],[PRODUTO]]</f>
        <v>1073-TC-006P-188RMF</v>
      </c>
      <c r="AQ421" s="22" t="str">
        <f ca="1">Tabela1[[#This Row],[PRODUTO]]&amp;Tabela1[[#This Row],[TAG]]</f>
        <v>RMF1073-TC-006</v>
      </c>
      <c r="AR421" s="24" t="str">
        <f ca="1">Tabela1[[#This Row],[PEDIDO]]&amp;Tabela1[[#This Row],[PRODUTO]]</f>
        <v>P-188RMF</v>
      </c>
      <c r="AS421" s="37">
        <f ca="1">IF(AF421="",0,IF(ISTEXT(AF421),H421*VALUE(SUBSTITUTE(AF421,"%",""))/100,H421*AF421))-Tabela1[[#This Row],[PRONTO ACABADO2]]</f>
        <v>0</v>
      </c>
      <c r="AT421" s="37">
        <f ca="1">IF(AG421="",0,IF(ISTEXT(AG421),H421*VALUE(SUBSTITUTE(AG421,"%",""))/100,H421*AG421))-Tabela1[[#This Row],[PESO EXPEDIDO2]]</f>
        <v>0</v>
      </c>
      <c r="AU421" s="37">
        <f t="shared" ca="1" si="80"/>
        <v>42.7</v>
      </c>
      <c r="AV421" s="37">
        <f t="shared" ca="1" si="81"/>
        <v>42.7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 ca="1"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 ca="1">Tabela1[[#This Row],[QTDE/ Fabricação]]-Tabela1[[#This Row],[QTE]]</f>
        <v>-1</v>
      </c>
      <c r="R422" s="18">
        <f t="shared" ca="1" si="76"/>
        <v>42.7</v>
      </c>
      <c r="S422" s="18">
        <f t="shared" ca="1" si="74"/>
        <v>42.7</v>
      </c>
      <c r="T422" s="19">
        <f t="shared" ca="1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 ca="1">IFERROR(Tabela1[[#This Row],[QIANTIDADE EXPEDIDA]]*Tabela1[[#This Row],[PESO UNI]],"")</f>
        <v>42.7</v>
      </c>
      <c r="Y422" s="14">
        <f t="shared" ca="1" si="79"/>
        <v>0</v>
      </c>
      <c r="Z422" s="20">
        <f ca="1"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ca="1" si="77"/>
        <v>ok</v>
      </c>
      <c r="AJ422" s="5"/>
      <c r="AK422" t="str">
        <f ca="1">Tabela1[[#This Row],[Coluna1]]&amp;Tabela1[[#This Row],[PEDIDO]]</f>
        <v>P-188</v>
      </c>
      <c r="AL422"/>
      <c r="AM422"/>
      <c r="AN422"/>
      <c r="AO422" t="str">
        <f t="shared" ca="1" si="75"/>
        <v>T-072999-1/1073-TC-007</v>
      </c>
      <c r="AP422" t="str">
        <f ca="1">Tabela1[[#This Row],[TAG]]&amp;Tabela1[[#This Row],[PEDIDO]]&amp;Tabela1[[#This Row],[PRODUTO]]</f>
        <v>1073-TC-007P-188RMF</v>
      </c>
      <c r="AQ422" s="22" t="str">
        <f ca="1">Tabela1[[#This Row],[PRODUTO]]&amp;Tabela1[[#This Row],[TAG]]</f>
        <v>RMF1073-TC-007</v>
      </c>
      <c r="AR422" s="24" t="str">
        <f ca="1">Tabela1[[#This Row],[PEDIDO]]&amp;Tabela1[[#This Row],[PRODUTO]]</f>
        <v>P-188RMF</v>
      </c>
      <c r="AS422" s="37">
        <f ca="1">IF(AF422="",0,IF(ISTEXT(AF422),H422*VALUE(SUBSTITUTE(AF422,"%",""))/100,H422*AF422))-Tabela1[[#This Row],[PRONTO ACABADO2]]</f>
        <v>0</v>
      </c>
      <c r="AT422" s="37">
        <f ca="1">IF(AG422="",0,IF(ISTEXT(AG422),H422*VALUE(SUBSTITUTE(AG422,"%",""))/100,H422*AG422))-Tabela1[[#This Row],[PESO EXPEDIDO2]]</f>
        <v>0</v>
      </c>
      <c r="AU422" s="37">
        <f t="shared" ca="1" si="80"/>
        <v>42.7</v>
      </c>
      <c r="AV422" s="37">
        <f t="shared" ca="1" si="81"/>
        <v>42.7</v>
      </c>
      <c r="AW422" s="37"/>
    </row>
    <row r="423" spans="1:49" ht="15.75" hidden="1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 ca="1"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 ca="1">Tabela1[[#This Row],[QTDE/ Fabricação]]-Tabela1[[#This Row],[QTE]]</f>
        <v>-24</v>
      </c>
      <c r="R423" s="18">
        <f t="shared" ca="1" si="76"/>
        <v>72</v>
      </c>
      <c r="S423" s="18">
        <f t="shared" ca="1" si="74"/>
        <v>72</v>
      </c>
      <c r="T423" s="19">
        <f t="shared" ca="1" si="78"/>
        <v>0</v>
      </c>
      <c r="U423" s="16">
        <v>24</v>
      </c>
      <c r="V423" s="12" t="str">
        <f>IFERROR(VLOOKUP(Tabela1[[#This Row],[COD.MDE]],'LISTA DE EMBARQUE'!B:L,11,0),"")</f>
        <v/>
      </c>
      <c r="W423" s="13" t="str">
        <f ca="1">IFERROR(VLOOKUP(Tabela1[[#This Row],[COD.MDE]],'LISTA DE EMBARQUE'!B:M,12,0),"")</f>
        <v/>
      </c>
      <c r="X423" s="14">
        <f ca="1">IFERROR(Tabela1[[#This Row],[QIANTIDADE EXPEDIDA]]*Tabela1[[#This Row],[PESO UNI]],"")</f>
        <v>72</v>
      </c>
      <c r="Y423" s="14">
        <f t="shared" ca="1" si="79"/>
        <v>0</v>
      </c>
      <c r="Z423" s="20">
        <f ca="1">Tabela1[[#This Row],[PESO TOTAL]]-Tabela1[[#This Row],[Peso Expedido]]</f>
        <v>0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 ca="1">Tabela1[[#This Row],[Coluna1]]&amp;Tabela1[[#This Row],[PEDIDO]]</f>
        <v>P-188</v>
      </c>
      <c r="AL423"/>
      <c r="AM423"/>
      <c r="AN423"/>
      <c r="AO423" t="str">
        <f t="shared" ca="1" si="75"/>
        <v>T-072974-1/1073-TC-006</v>
      </c>
      <c r="AP423" t="str">
        <f ca="1">Tabela1[[#This Row],[TAG]]&amp;Tabela1[[#This Row],[PEDIDO]]&amp;Tabela1[[#This Row],[PRODUTO]]</f>
        <v>1073-TC-006P-188RMF</v>
      </c>
      <c r="AQ423" s="22" t="str">
        <f ca="1">Tabela1[[#This Row],[PRODUTO]]&amp;Tabela1[[#This Row],[TAG]]</f>
        <v>RMF1073-TC-006</v>
      </c>
      <c r="AR423" s="24" t="str">
        <f ca="1">Tabela1[[#This Row],[PEDIDO]]&amp;Tabela1[[#This Row],[PRODUTO]]</f>
        <v>P-188RMF</v>
      </c>
      <c r="AS423" s="37">
        <f ca="1">IF(AF423="",0,IF(ISTEXT(AF423),H423*VALUE(SUBSTITUTE(AF423,"%",""))/100,H423*AF423))-Tabela1[[#This Row],[PRONTO ACABADO2]]</f>
        <v>0</v>
      </c>
      <c r="AT423" s="37">
        <f ca="1">IF(AG423="",0,IF(ISTEXT(AG423),H423*VALUE(SUBSTITUTE(AG423,"%",""))/100,H423*AG423))-Tabela1[[#This Row],[PESO EXPEDIDO2]]</f>
        <v>0</v>
      </c>
      <c r="AU423" s="37">
        <f t="shared" ca="1" si="80"/>
        <v>72</v>
      </c>
      <c r="AV423" s="37">
        <f t="shared" ca="1" si="81"/>
        <v>72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 ca="1"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 ca="1">Tabela1[[#This Row],[QTDE/ Fabricação]]-Tabela1[[#This Row],[QTE]]</f>
        <v>-24</v>
      </c>
      <c r="R424" s="18">
        <f t="shared" ca="1" si="76"/>
        <v>36</v>
      </c>
      <c r="S424" s="18">
        <f t="shared" ca="1" si="74"/>
        <v>36</v>
      </c>
      <c r="T424" s="19">
        <f t="shared" ca="1" si="78"/>
        <v>0</v>
      </c>
      <c r="U424" s="16">
        <v>24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 ca="1">IFERROR(Tabela1[[#This Row],[QIANTIDADE EXPEDIDA]]*Tabela1[[#This Row],[PESO UNI]],"")</f>
        <v>36</v>
      </c>
      <c r="Y424" s="14">
        <f t="shared" ca="1" si="79"/>
        <v>0</v>
      </c>
      <c r="Z424" s="20">
        <f ca="1">Tabela1[[#This Row],[PESO TOTAL]]-Tabela1[[#This Row],[Peso Expedido]]</f>
        <v>0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 ca="1">Tabela1[[#This Row],[Coluna1]]&amp;Tabela1[[#This Row],[PEDIDO]]</f>
        <v>P-188</v>
      </c>
      <c r="AL424"/>
      <c r="AM424"/>
      <c r="AN424"/>
      <c r="AO424" t="str">
        <f t="shared" ca="1" si="75"/>
        <v>T-072974-1/1073-TC-007</v>
      </c>
      <c r="AP424" t="str">
        <f ca="1">Tabela1[[#This Row],[TAG]]&amp;Tabela1[[#This Row],[PEDIDO]]&amp;Tabela1[[#This Row],[PRODUTO]]</f>
        <v>1073-TC-007P-188RMF</v>
      </c>
      <c r="AQ424" s="22" t="str">
        <f ca="1">Tabela1[[#This Row],[PRODUTO]]&amp;Tabela1[[#This Row],[TAG]]</f>
        <v>RMF1073-TC-007</v>
      </c>
      <c r="AR424" s="24" t="str">
        <f ca="1">Tabela1[[#This Row],[PEDIDO]]&amp;Tabela1[[#This Row],[PRODUTO]]</f>
        <v>P-188RMF</v>
      </c>
      <c r="AS424" s="37">
        <f ca="1">IF(AF424="",0,IF(ISTEXT(AF424),H424*VALUE(SUBSTITUTE(AF424,"%",""))/100,H424*AF424))-Tabela1[[#This Row],[PRONTO ACABADO2]]</f>
        <v>0</v>
      </c>
      <c r="AT424" s="37">
        <f ca="1">IF(AG424="",0,IF(ISTEXT(AG424),H424*VALUE(SUBSTITUTE(AG424,"%",""))/100,H424*AG424))-Tabela1[[#This Row],[PESO EXPEDIDO2]]</f>
        <v>0</v>
      </c>
      <c r="AU424" s="37">
        <f t="shared" ca="1" si="80"/>
        <v>36</v>
      </c>
      <c r="AV424" s="37">
        <f t="shared" ca="1" si="81"/>
        <v>36</v>
      </c>
      <c r="AW424" s="37"/>
    </row>
    <row r="425" spans="1:49" ht="15.75" hidden="1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 ca="1"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 ca="1">Tabela1[[#This Row],[QTDE/ Fabricação]]-Tabela1[[#This Row],[QTE]]</f>
        <v>-2</v>
      </c>
      <c r="R425" s="18">
        <f t="shared" ca="1" si="76"/>
        <v>37.6</v>
      </c>
      <c r="S425" s="18">
        <f t="shared" ca="1" si="74"/>
        <v>37.6</v>
      </c>
      <c r="T425" s="19">
        <f t="shared" ca="1" si="78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 ca="1">IFERROR(Tabela1[[#This Row],[QIANTIDADE EXPEDIDA]]*Tabela1[[#This Row],[PESO UNI]],"")</f>
        <v>37.6</v>
      </c>
      <c r="Y425" s="14">
        <f t="shared" ca="1" si="79"/>
        <v>0</v>
      </c>
      <c r="Z425" s="20">
        <f ca="1"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ca="1" si="77"/>
        <v>ok</v>
      </c>
      <c r="AJ425" s="5"/>
      <c r="AK425" t="str">
        <f ca="1">Tabela1[[#This Row],[Coluna1]]&amp;Tabela1[[#This Row],[PEDIDO]]</f>
        <v>P-188</v>
      </c>
      <c r="AL425"/>
      <c r="AM425"/>
      <c r="AN425"/>
      <c r="AO425" t="str">
        <f t="shared" ca="1" si="75"/>
        <v>T-072966-1/1073-TC-006/007</v>
      </c>
      <c r="AP425" t="str">
        <f ca="1">Tabela1[[#This Row],[TAG]]&amp;Tabela1[[#This Row],[PEDIDO]]&amp;Tabela1[[#This Row],[PRODUTO]]</f>
        <v>1073-TC-006/007P-188RMF</v>
      </c>
      <c r="AQ425" s="22" t="str">
        <f ca="1">Tabela1[[#This Row],[PRODUTO]]&amp;Tabela1[[#This Row],[TAG]]</f>
        <v>RMF1073-TC-006/007</v>
      </c>
      <c r="AR425" s="24" t="str">
        <f ca="1">Tabela1[[#This Row],[PEDIDO]]&amp;Tabela1[[#This Row],[PRODUTO]]</f>
        <v>P-188RMF</v>
      </c>
      <c r="AS425" s="37">
        <f ca="1">IF(AF425="",0,IF(ISTEXT(AF425),H425*VALUE(SUBSTITUTE(AF425,"%",""))/100,H425*AF425))-Tabela1[[#This Row],[PRONTO ACABADO2]]</f>
        <v>0</v>
      </c>
      <c r="AT425" s="37">
        <f ca="1">IF(AG425="",0,IF(ISTEXT(AG425),H425*VALUE(SUBSTITUTE(AG425,"%",""))/100,H425*AG425))-Tabela1[[#This Row],[PESO EXPEDIDO2]]</f>
        <v>0</v>
      </c>
      <c r="AU425" s="37">
        <f t="shared" ca="1" si="80"/>
        <v>37.6</v>
      </c>
      <c r="AV425" s="37">
        <f t="shared" ca="1" si="81"/>
        <v>37.6</v>
      </c>
      <c r="AW425" s="37"/>
    </row>
    <row r="426" spans="1:49" ht="15.75" hidden="1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 ca="1"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 ca="1">Tabela1[[#This Row],[QTDE/ Fabricação]]-Tabela1[[#This Row],[QTE]]</f>
        <v>-2</v>
      </c>
      <c r="R426" s="18">
        <f t="shared" ca="1" si="76"/>
        <v>56.6</v>
      </c>
      <c r="S426" s="18">
        <f t="shared" ca="1" si="74"/>
        <v>56.6</v>
      </c>
      <c r="T426" s="19">
        <f t="shared" ca="1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 ca="1">IFERROR(Tabela1[[#This Row],[QIANTIDADE EXPEDIDA]]*Tabela1[[#This Row],[PESO UNI]],"")</f>
        <v>56.6</v>
      </c>
      <c r="Y426" s="14">
        <f t="shared" ca="1" si="79"/>
        <v>0</v>
      </c>
      <c r="Z426" s="20">
        <f ca="1"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ca="1" si="77"/>
        <v>ok</v>
      </c>
      <c r="AJ426" s="5"/>
      <c r="AK426" t="str">
        <f ca="1">Tabela1[[#This Row],[Coluna1]]&amp;Tabela1[[#This Row],[PEDIDO]]</f>
        <v>P-188</v>
      </c>
      <c r="AL426"/>
      <c r="AM426"/>
      <c r="AN426"/>
      <c r="AO426" t="str">
        <f t="shared" ca="1" si="75"/>
        <v>T-072966-1/1073-TC-006/007</v>
      </c>
      <c r="AP426" t="str">
        <f ca="1">Tabela1[[#This Row],[TAG]]&amp;Tabela1[[#This Row],[PEDIDO]]&amp;Tabela1[[#This Row],[PRODUTO]]</f>
        <v>1073-TC-006/007P-188RMF</v>
      </c>
      <c r="AQ426" s="22" t="str">
        <f ca="1">Tabela1[[#This Row],[PRODUTO]]&amp;Tabela1[[#This Row],[TAG]]</f>
        <v>RMF1073-TC-006/007</v>
      </c>
      <c r="AR426" s="24" t="str">
        <f ca="1">Tabela1[[#This Row],[PEDIDO]]&amp;Tabela1[[#This Row],[PRODUTO]]</f>
        <v>P-188RMF</v>
      </c>
      <c r="AS426" s="37">
        <f ca="1">IF(AF426="",0,IF(ISTEXT(AF426),H426*VALUE(SUBSTITUTE(AF426,"%",""))/100,H426*AF426))-Tabela1[[#This Row],[PRONTO ACABADO2]]</f>
        <v>0</v>
      </c>
      <c r="AT426" s="37">
        <f ca="1">IF(AG426="",0,IF(ISTEXT(AG426),H426*VALUE(SUBSTITUTE(AG426,"%",""))/100,H426*AG426))-Tabela1[[#This Row],[PESO EXPEDIDO2]]</f>
        <v>0</v>
      </c>
      <c r="AU426" s="37">
        <f t="shared" ca="1" si="80"/>
        <v>56.6</v>
      </c>
      <c r="AV426" s="37">
        <f t="shared" ca="1" si="81"/>
        <v>56.6</v>
      </c>
      <c r="AW426" s="37"/>
    </row>
    <row r="427" spans="1:49" ht="15.75" hidden="1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 ca="1"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 ca="1">Tabela1[[#This Row],[QTDE/ Fabricação]]-Tabela1[[#This Row],[QTE]]</f>
        <v>-1</v>
      </c>
      <c r="R427" s="18">
        <f t="shared" ca="1" si="76"/>
        <v>43.8</v>
      </c>
      <c r="S427" s="18">
        <f t="shared" ca="1" si="74"/>
        <v>43.8</v>
      </c>
      <c r="T427" s="19">
        <f t="shared" ca="1" si="78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 ca="1">IFERROR(Tabela1[[#This Row],[QIANTIDADE EXPEDIDA]]*Tabela1[[#This Row],[PESO UNI]],"")</f>
        <v>43.8</v>
      </c>
      <c r="Y427" s="14">
        <f t="shared" ca="1" si="79"/>
        <v>0</v>
      </c>
      <c r="Z427" s="20">
        <f ca="1"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ca="1" si="77"/>
        <v>ok</v>
      </c>
      <c r="AJ427" s="5"/>
      <c r="AK427" t="str">
        <f ca="1">Tabela1[[#This Row],[Coluna1]]&amp;Tabela1[[#This Row],[PEDIDO]]</f>
        <v>P-188</v>
      </c>
      <c r="AL427"/>
      <c r="AM427"/>
      <c r="AN427"/>
      <c r="AO427" t="str">
        <f t="shared" ca="1" si="75"/>
        <v>T-073005-1/1073-TC-006</v>
      </c>
      <c r="AP427" t="str">
        <f ca="1">Tabela1[[#This Row],[TAG]]&amp;Tabela1[[#This Row],[PEDIDO]]&amp;Tabela1[[#This Row],[PRODUTO]]</f>
        <v>1073-TC-006P-188RMF</v>
      </c>
      <c r="AQ427" s="22" t="str">
        <f ca="1">Tabela1[[#This Row],[PRODUTO]]&amp;Tabela1[[#This Row],[TAG]]</f>
        <v>RMF1073-TC-006</v>
      </c>
      <c r="AR427" s="24" t="str">
        <f ca="1">Tabela1[[#This Row],[PEDIDO]]&amp;Tabela1[[#This Row],[PRODUTO]]</f>
        <v>P-188RMF</v>
      </c>
      <c r="AS427" s="37">
        <f ca="1">IF(AF427="",0,IF(ISTEXT(AF427),H427*VALUE(SUBSTITUTE(AF427,"%",""))/100,H427*AF427))-Tabela1[[#This Row],[PRONTO ACABADO2]]</f>
        <v>0</v>
      </c>
      <c r="AT427" s="37">
        <f ca="1">IF(AG427="",0,IF(ISTEXT(AG427),H427*VALUE(SUBSTITUTE(AG427,"%",""))/100,H427*AG427))-Tabela1[[#This Row],[PESO EXPEDIDO2]]</f>
        <v>0</v>
      </c>
      <c r="AU427" s="37">
        <f t="shared" ca="1" si="80"/>
        <v>43.8</v>
      </c>
      <c r="AV427" s="37">
        <f t="shared" ca="1" si="81"/>
        <v>43.8</v>
      </c>
      <c r="AW427" s="37"/>
    </row>
    <row r="428" spans="1:49" ht="15.75" hidden="1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 ca="1"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 ca="1">Tabela1[[#This Row],[QTDE/ Fabricação]]-Tabela1[[#This Row],[QTE]]</f>
        <v>-4</v>
      </c>
      <c r="R428" s="18">
        <f t="shared" ca="1" si="76"/>
        <v>1.6</v>
      </c>
      <c r="S428" s="18">
        <f t="shared" ca="1" si="74"/>
        <v>1.6</v>
      </c>
      <c r="T428" s="19">
        <f t="shared" ca="1" si="78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 ca="1">IFERROR(Tabela1[[#This Row],[QIANTIDADE EXPEDIDA]]*Tabela1[[#This Row],[PESO UNI]],"")</f>
        <v>1.6</v>
      </c>
      <c r="Y428" s="14">
        <f t="shared" ca="1" si="79"/>
        <v>0</v>
      </c>
      <c r="Z428" s="20">
        <f ca="1"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ca="1" si="77"/>
        <v>ok</v>
      </c>
      <c r="AJ428" s="5"/>
      <c r="AK428" t="str">
        <f ca="1">Tabela1[[#This Row],[Coluna1]]&amp;Tabela1[[#This Row],[PEDIDO]]</f>
        <v>P-188</v>
      </c>
      <c r="AL428"/>
      <c r="AM428"/>
      <c r="AN428"/>
      <c r="AO428" t="str">
        <f t="shared" ca="1" si="75"/>
        <v>T-073005-1/1073-TC-006</v>
      </c>
      <c r="AP428" t="str">
        <f ca="1">Tabela1[[#This Row],[TAG]]&amp;Tabela1[[#This Row],[PEDIDO]]&amp;Tabela1[[#This Row],[PRODUTO]]</f>
        <v>1073-TC-006P-188RMF</v>
      </c>
      <c r="AQ428" s="22" t="str">
        <f ca="1">Tabela1[[#This Row],[PRODUTO]]&amp;Tabela1[[#This Row],[TAG]]</f>
        <v>RMF1073-TC-006</v>
      </c>
      <c r="AR428" s="24" t="str">
        <f ca="1">Tabela1[[#This Row],[PEDIDO]]&amp;Tabela1[[#This Row],[PRODUTO]]</f>
        <v>P-188RMF</v>
      </c>
      <c r="AS428" s="37">
        <f ca="1">IF(AF428="",0,IF(ISTEXT(AF428),H428*VALUE(SUBSTITUTE(AF428,"%",""))/100,H428*AF428))-Tabela1[[#This Row],[PRONTO ACABADO2]]</f>
        <v>0</v>
      </c>
      <c r="AT428" s="37">
        <f ca="1">IF(AG428="",0,IF(ISTEXT(AG428),H428*VALUE(SUBSTITUTE(AG428,"%",""))/100,H428*AG428))-Tabela1[[#This Row],[PESO EXPEDIDO2]]</f>
        <v>0</v>
      </c>
      <c r="AU428" s="37">
        <f t="shared" ca="1" si="80"/>
        <v>1.6</v>
      </c>
      <c r="AV428" s="37">
        <f t="shared" ca="1" si="81"/>
        <v>1.6</v>
      </c>
      <c r="AW428" s="37"/>
    </row>
    <row r="429" spans="1:49" ht="15.75" hidden="1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 ca="1"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 ca="1">Tabela1[[#This Row],[QTDE/ Fabricação]]-Tabela1[[#This Row],[QTE]]</f>
        <v>-4</v>
      </c>
      <c r="R429" s="18">
        <f t="shared" ca="1" si="76"/>
        <v>3.6</v>
      </c>
      <c r="S429" s="18">
        <f t="shared" ca="1" si="74"/>
        <v>3.6</v>
      </c>
      <c r="T429" s="19">
        <f t="shared" ca="1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 ca="1">IFERROR(Tabela1[[#This Row],[QIANTIDADE EXPEDIDA]]*Tabela1[[#This Row],[PESO UNI]],"")</f>
        <v>3.6</v>
      </c>
      <c r="Y429" s="14">
        <f t="shared" ca="1" si="79"/>
        <v>0</v>
      </c>
      <c r="Z429" s="20">
        <f ca="1"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ca="1" si="77"/>
        <v>ok</v>
      </c>
      <c r="AJ429" s="5"/>
      <c r="AK429" t="str">
        <f ca="1">Tabela1[[#This Row],[Coluna1]]&amp;Tabela1[[#This Row],[PEDIDO]]</f>
        <v>P-188</v>
      </c>
      <c r="AL429"/>
      <c r="AM429"/>
      <c r="AN429"/>
      <c r="AO429" t="str">
        <f t="shared" ca="1" si="75"/>
        <v>T-073005-1/1073-TC-006</v>
      </c>
      <c r="AP429" t="str">
        <f ca="1">Tabela1[[#This Row],[TAG]]&amp;Tabela1[[#This Row],[PEDIDO]]&amp;Tabela1[[#This Row],[PRODUTO]]</f>
        <v>1073-TC-006P-188RMF</v>
      </c>
      <c r="AQ429" s="22" t="str">
        <f ca="1">Tabela1[[#This Row],[PRODUTO]]&amp;Tabela1[[#This Row],[TAG]]</f>
        <v>RMF1073-TC-006</v>
      </c>
      <c r="AR429" s="24" t="str">
        <f ca="1">Tabela1[[#This Row],[PEDIDO]]&amp;Tabela1[[#This Row],[PRODUTO]]</f>
        <v>P-188RMF</v>
      </c>
      <c r="AS429" s="37">
        <f ca="1">IF(AF429="",0,IF(ISTEXT(AF429),H429*VALUE(SUBSTITUTE(AF429,"%",""))/100,H429*AF429))-Tabela1[[#This Row],[PRONTO ACABADO2]]</f>
        <v>0</v>
      </c>
      <c r="AT429" s="37">
        <f ca="1">IF(AG429="",0,IF(ISTEXT(AG429),H429*VALUE(SUBSTITUTE(AG429,"%",""))/100,H429*AG429))-Tabela1[[#This Row],[PESO EXPEDIDO2]]</f>
        <v>0</v>
      </c>
      <c r="AU429" s="37">
        <f t="shared" ca="1" si="80"/>
        <v>3.6</v>
      </c>
      <c r="AV429" s="37">
        <f t="shared" ca="1" si="81"/>
        <v>3.6</v>
      </c>
      <c r="AW429" s="37"/>
    </row>
    <row r="430" spans="1:49" ht="15.75" hidden="1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 ca="1"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 ca="1">Tabela1[[#This Row],[QTDE/ Fabricação]]-Tabela1[[#This Row],[QTE]]</f>
        <v>-1</v>
      </c>
      <c r="R430" s="18">
        <f t="shared" ca="1" si="76"/>
        <v>4.4000000000000004</v>
      </c>
      <c r="S430" s="18">
        <f t="shared" ca="1" si="74"/>
        <v>4.4000000000000004</v>
      </c>
      <c r="T430" s="19">
        <f t="shared" ca="1" si="78"/>
        <v>0</v>
      </c>
      <c r="U430" s="16">
        <v>1</v>
      </c>
      <c r="V430" s="12">
        <v>13</v>
      </c>
      <c r="W430" s="13" t="str">
        <f ca="1">IFERROR(VLOOKUP(Tabela1[[#This Row],[COD.MDE]],'LISTA DE EMBARQUE'!B:M,12,0),"")</f>
        <v/>
      </c>
      <c r="X430" s="14">
        <f ca="1">IFERROR(Tabela1[[#This Row],[QIANTIDADE EXPEDIDA]]*Tabela1[[#This Row],[PESO UNI]],"")</f>
        <v>4.4000000000000004</v>
      </c>
      <c r="Y430" s="14">
        <f t="shared" ca="1" si="79"/>
        <v>0</v>
      </c>
      <c r="Z430" s="20">
        <f ca="1"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ca="1" si="77"/>
        <v>ok</v>
      </c>
      <c r="AJ430" s="5"/>
      <c r="AK430" t="str">
        <f ca="1">Tabela1[[#This Row],[Coluna1]]&amp;Tabela1[[#This Row],[PEDIDO]]</f>
        <v>P-188</v>
      </c>
      <c r="AL430"/>
      <c r="AM430"/>
      <c r="AN430"/>
      <c r="AO430" t="str">
        <f t="shared" ca="1" si="75"/>
        <v>T-073005-1/1073-TC-006</v>
      </c>
      <c r="AP430" t="str">
        <f ca="1">Tabela1[[#This Row],[TAG]]&amp;Tabela1[[#This Row],[PEDIDO]]&amp;Tabela1[[#This Row],[PRODUTO]]</f>
        <v>1073-TC-006P-188RMF</v>
      </c>
      <c r="AQ430" s="22" t="str">
        <f ca="1">Tabela1[[#This Row],[PRODUTO]]&amp;Tabela1[[#This Row],[TAG]]</f>
        <v>RMF1073-TC-006</v>
      </c>
      <c r="AR430" s="24" t="str">
        <f ca="1">Tabela1[[#This Row],[PEDIDO]]&amp;Tabela1[[#This Row],[PRODUTO]]</f>
        <v>P-188RMF</v>
      </c>
      <c r="AS430" s="37">
        <f ca="1">IF(AF430="",0,IF(ISTEXT(AF430),H430*VALUE(SUBSTITUTE(AF430,"%",""))/100,H430*AF430))-Tabela1[[#This Row],[PRONTO ACABADO2]]</f>
        <v>0</v>
      </c>
      <c r="AT430" s="37">
        <f ca="1">IF(AG430="",0,IF(ISTEXT(AG430),H430*VALUE(SUBSTITUTE(AG430,"%",""))/100,H430*AG430))-Tabela1[[#This Row],[PESO EXPEDIDO2]]</f>
        <v>0</v>
      </c>
      <c r="AU430" s="37">
        <f t="shared" ca="1" si="80"/>
        <v>4.4000000000000004</v>
      </c>
      <c r="AV430" s="37">
        <f t="shared" ca="1" si="81"/>
        <v>4.4000000000000004</v>
      </c>
      <c r="AW430" s="37"/>
    </row>
    <row r="431" spans="1:49" ht="15.75" hidden="1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 ca="1"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 ca="1">Tabela1[[#This Row],[QTDE/ Fabricação]]-Tabela1[[#This Row],[QTE]]</f>
        <v>-1</v>
      </c>
      <c r="R431" s="18">
        <f t="shared" ca="1" si="76"/>
        <v>3.9</v>
      </c>
      <c r="S431" s="18">
        <f t="shared" ca="1" si="74"/>
        <v>3.9</v>
      </c>
      <c r="T431" s="19">
        <f t="shared" ca="1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 ca="1">IFERROR(Tabela1[[#This Row],[QIANTIDADE EXPEDIDA]]*Tabela1[[#This Row],[PESO UNI]],"")</f>
        <v>3.9</v>
      </c>
      <c r="Y431" s="14">
        <f t="shared" ca="1" si="79"/>
        <v>0</v>
      </c>
      <c r="Z431" s="20">
        <f ca="1"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ca="1" si="77"/>
        <v>ok</v>
      </c>
      <c r="AJ431" s="5"/>
      <c r="AK431" t="str">
        <f ca="1">Tabela1[[#This Row],[Coluna1]]&amp;Tabela1[[#This Row],[PEDIDO]]</f>
        <v>P-188</v>
      </c>
      <c r="AL431"/>
      <c r="AM431"/>
      <c r="AN431"/>
      <c r="AO431" t="str">
        <f t="shared" ca="1" si="75"/>
        <v>T-073005-1/1073-TC-006</v>
      </c>
      <c r="AP431" t="str">
        <f ca="1">Tabela1[[#This Row],[TAG]]&amp;Tabela1[[#This Row],[PEDIDO]]&amp;Tabela1[[#This Row],[PRODUTO]]</f>
        <v>1073-TC-006P-188RMF</v>
      </c>
      <c r="AQ431" s="22" t="str">
        <f ca="1">Tabela1[[#This Row],[PRODUTO]]&amp;Tabela1[[#This Row],[TAG]]</f>
        <v>RMF1073-TC-006</v>
      </c>
      <c r="AR431" s="24" t="str">
        <f ca="1">Tabela1[[#This Row],[PEDIDO]]&amp;Tabela1[[#This Row],[PRODUTO]]</f>
        <v>P-188RMF</v>
      </c>
      <c r="AS431" s="37">
        <f ca="1">IF(AF431="",0,IF(ISTEXT(AF431),H431*VALUE(SUBSTITUTE(AF431,"%",""))/100,H431*AF431))-Tabela1[[#This Row],[PRONTO ACABADO2]]</f>
        <v>0</v>
      </c>
      <c r="AT431" s="37">
        <f ca="1">IF(AG431="",0,IF(ISTEXT(AG431),H431*VALUE(SUBSTITUTE(AG431,"%",""))/100,H431*AG431))-Tabela1[[#This Row],[PESO EXPEDIDO2]]</f>
        <v>0</v>
      </c>
      <c r="AU431" s="37">
        <f t="shared" ca="1" si="80"/>
        <v>3.9</v>
      </c>
      <c r="AV431" s="37">
        <f t="shared" ca="1" si="81"/>
        <v>3.9</v>
      </c>
      <c r="AW431" s="37"/>
    </row>
    <row r="432" spans="1:49" ht="15.75" hidden="1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 ca="1"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 ca="1">Tabela1[[#This Row],[QTDE/ Fabricação]]-Tabela1[[#This Row],[QTE]]</f>
        <v>-1</v>
      </c>
      <c r="R432" s="18">
        <f t="shared" ca="1" si="76"/>
        <v>43.8</v>
      </c>
      <c r="S432" s="18">
        <f t="shared" ca="1" si="74"/>
        <v>43.8</v>
      </c>
      <c r="T432" s="19">
        <f t="shared" ca="1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 ca="1">IFERROR(Tabela1[[#This Row],[QIANTIDADE EXPEDIDA]]*Tabela1[[#This Row],[PESO UNI]],"")</f>
        <v>43.8</v>
      </c>
      <c r="Y432" s="14">
        <f t="shared" ca="1" si="79"/>
        <v>0</v>
      </c>
      <c r="Z432" s="20">
        <f ca="1"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ca="1" si="77"/>
        <v>ok</v>
      </c>
      <c r="AJ432" s="5"/>
      <c r="AK432" t="str">
        <f ca="1">Tabela1[[#This Row],[Coluna1]]&amp;Tabela1[[#This Row],[PEDIDO]]</f>
        <v>P-188</v>
      </c>
      <c r="AL432"/>
      <c r="AM432"/>
      <c r="AN432"/>
      <c r="AO432" t="str">
        <f t="shared" ca="1" si="75"/>
        <v>T-073005-1/1073-TC-007</v>
      </c>
      <c r="AP432" t="str">
        <f ca="1">Tabela1[[#This Row],[TAG]]&amp;Tabela1[[#This Row],[PEDIDO]]&amp;Tabela1[[#This Row],[PRODUTO]]</f>
        <v>1073-TC-007P-188RMF</v>
      </c>
      <c r="AQ432" s="22" t="str">
        <f ca="1">Tabela1[[#This Row],[PRODUTO]]&amp;Tabela1[[#This Row],[TAG]]</f>
        <v>RMF1073-TC-007</v>
      </c>
      <c r="AR432" s="24" t="str">
        <f ca="1">Tabela1[[#This Row],[PEDIDO]]&amp;Tabela1[[#This Row],[PRODUTO]]</f>
        <v>P-188RMF</v>
      </c>
      <c r="AS432" s="37">
        <f ca="1">IF(AF432="",0,IF(ISTEXT(AF432),H432*VALUE(SUBSTITUTE(AF432,"%",""))/100,H432*AF432))-Tabela1[[#This Row],[PRONTO ACABADO2]]</f>
        <v>0</v>
      </c>
      <c r="AT432" s="37">
        <f ca="1">IF(AG432="",0,IF(ISTEXT(AG432),H432*VALUE(SUBSTITUTE(AG432,"%",""))/100,H432*AG432))-Tabela1[[#This Row],[PESO EXPEDIDO2]]</f>
        <v>0</v>
      </c>
      <c r="AU432" s="37">
        <f t="shared" ca="1" si="80"/>
        <v>43.8</v>
      </c>
      <c r="AV432" s="37">
        <f t="shared" ca="1" si="81"/>
        <v>43.8</v>
      </c>
      <c r="AW432" s="37"/>
    </row>
    <row r="433" spans="1:49" ht="15.75" hidden="1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 ca="1"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 ca="1">Tabela1[[#This Row],[QTDE/ Fabricação]]-Tabela1[[#This Row],[QTE]]</f>
        <v>-4</v>
      </c>
      <c r="R433" s="18">
        <f t="shared" ca="1" si="76"/>
        <v>1.6</v>
      </c>
      <c r="S433" s="18">
        <f t="shared" ca="1" si="74"/>
        <v>1.6</v>
      </c>
      <c r="T433" s="19">
        <f t="shared" ca="1" si="78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 ca="1">IFERROR(Tabela1[[#This Row],[QIANTIDADE EXPEDIDA]]*Tabela1[[#This Row],[PESO UNI]],"")</f>
        <v>1.6</v>
      </c>
      <c r="Y433" s="14">
        <f t="shared" ca="1" si="79"/>
        <v>0</v>
      </c>
      <c r="Z433" s="20">
        <f ca="1"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ca="1" si="77"/>
        <v>ok</v>
      </c>
      <c r="AJ433" s="5"/>
      <c r="AK433" t="str">
        <f ca="1">Tabela1[[#This Row],[Coluna1]]&amp;Tabela1[[#This Row],[PEDIDO]]</f>
        <v>P-188</v>
      </c>
      <c r="AL433"/>
      <c r="AM433"/>
      <c r="AN433"/>
      <c r="AO433" t="str">
        <f t="shared" ca="1" si="75"/>
        <v>T-073005-1/1073-TC-007</v>
      </c>
      <c r="AP433" t="str">
        <f ca="1">Tabela1[[#This Row],[TAG]]&amp;Tabela1[[#This Row],[PEDIDO]]&amp;Tabela1[[#This Row],[PRODUTO]]</f>
        <v>1073-TC-007P-188RMF</v>
      </c>
      <c r="AQ433" s="22" t="str">
        <f ca="1">Tabela1[[#This Row],[PRODUTO]]&amp;Tabela1[[#This Row],[TAG]]</f>
        <v>RMF1073-TC-007</v>
      </c>
      <c r="AR433" s="24" t="str">
        <f ca="1">Tabela1[[#This Row],[PEDIDO]]&amp;Tabela1[[#This Row],[PRODUTO]]</f>
        <v>P-188RMF</v>
      </c>
      <c r="AS433" s="37">
        <f ca="1">IF(AF433="",0,IF(ISTEXT(AF433),H433*VALUE(SUBSTITUTE(AF433,"%",""))/100,H433*AF433))-Tabela1[[#This Row],[PRONTO ACABADO2]]</f>
        <v>0</v>
      </c>
      <c r="AT433" s="37">
        <f ca="1">IF(AG433="",0,IF(ISTEXT(AG433),H433*VALUE(SUBSTITUTE(AG433,"%",""))/100,H433*AG433))-Tabela1[[#This Row],[PESO EXPEDIDO2]]</f>
        <v>0</v>
      </c>
      <c r="AU433" s="37">
        <f t="shared" ca="1" si="80"/>
        <v>1.6</v>
      </c>
      <c r="AV433" s="37">
        <f t="shared" ca="1" si="81"/>
        <v>1.6</v>
      </c>
      <c r="AW433" s="37"/>
    </row>
    <row r="434" spans="1:49" ht="15.75" hidden="1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 ca="1"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 ca="1">Tabela1[[#This Row],[QTDE/ Fabricação]]-Tabela1[[#This Row],[QTE]]</f>
        <v>-4</v>
      </c>
      <c r="R434" s="18">
        <f t="shared" ca="1" si="76"/>
        <v>3.6</v>
      </c>
      <c r="S434" s="18">
        <f t="shared" ca="1" si="74"/>
        <v>3.6</v>
      </c>
      <c r="T434" s="19">
        <f t="shared" ca="1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 ca="1">IFERROR(Tabela1[[#This Row],[QIANTIDADE EXPEDIDA]]*Tabela1[[#This Row],[PESO UNI]],"")</f>
        <v>3.6</v>
      </c>
      <c r="Y434" s="14">
        <f t="shared" ca="1" si="79"/>
        <v>0</v>
      </c>
      <c r="Z434" s="20">
        <f ca="1"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ca="1" si="77"/>
        <v>ok</v>
      </c>
      <c r="AJ434" s="5"/>
      <c r="AK434" t="str">
        <f ca="1">Tabela1[[#This Row],[Coluna1]]&amp;Tabela1[[#This Row],[PEDIDO]]</f>
        <v>P-188</v>
      </c>
      <c r="AL434"/>
      <c r="AM434"/>
      <c r="AN434"/>
      <c r="AO434" t="str">
        <f t="shared" ca="1" si="75"/>
        <v>T-073005-1/1073-TC-007</v>
      </c>
      <c r="AP434" t="str">
        <f ca="1">Tabela1[[#This Row],[TAG]]&amp;Tabela1[[#This Row],[PEDIDO]]&amp;Tabela1[[#This Row],[PRODUTO]]</f>
        <v>1073-TC-007P-188RMF</v>
      </c>
      <c r="AQ434" s="22" t="str">
        <f ca="1">Tabela1[[#This Row],[PRODUTO]]&amp;Tabela1[[#This Row],[TAG]]</f>
        <v>RMF1073-TC-007</v>
      </c>
      <c r="AR434" s="24" t="str">
        <f ca="1">Tabela1[[#This Row],[PEDIDO]]&amp;Tabela1[[#This Row],[PRODUTO]]</f>
        <v>P-188RMF</v>
      </c>
      <c r="AS434" s="37">
        <f ca="1">IF(AF434="",0,IF(ISTEXT(AF434),H434*VALUE(SUBSTITUTE(AF434,"%",""))/100,H434*AF434))-Tabela1[[#This Row],[PRONTO ACABADO2]]</f>
        <v>0</v>
      </c>
      <c r="AT434" s="37">
        <f ca="1">IF(AG434="",0,IF(ISTEXT(AG434),H434*VALUE(SUBSTITUTE(AG434,"%",""))/100,H434*AG434))-Tabela1[[#This Row],[PESO EXPEDIDO2]]</f>
        <v>0</v>
      </c>
      <c r="AU434" s="37">
        <f t="shared" ca="1" si="80"/>
        <v>3.6</v>
      </c>
      <c r="AV434" s="37">
        <f t="shared" ca="1" si="81"/>
        <v>3.6</v>
      </c>
      <c r="AW434" s="37"/>
    </row>
    <row r="435" spans="1:49" ht="15.75" hidden="1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 ca="1"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 ca="1">Tabela1[[#This Row],[QTDE/ Fabricação]]-Tabela1[[#This Row],[QTE]]</f>
        <v>-1</v>
      </c>
      <c r="R435" s="18">
        <f t="shared" ca="1" si="76"/>
        <v>4.4000000000000004</v>
      </c>
      <c r="S435" s="18">
        <f t="shared" ca="1" si="74"/>
        <v>4.4000000000000004</v>
      </c>
      <c r="T435" s="19">
        <f t="shared" ca="1" si="78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 ca="1">IFERROR(Tabela1[[#This Row],[QIANTIDADE EXPEDIDA]]*Tabela1[[#This Row],[PESO UNI]],"")</f>
        <v>4.4000000000000004</v>
      </c>
      <c r="Y435" s="14">
        <f t="shared" ca="1" si="79"/>
        <v>0</v>
      </c>
      <c r="Z435" s="20">
        <f ca="1"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ca="1" si="77"/>
        <v>ok</v>
      </c>
      <c r="AJ435" s="5"/>
      <c r="AK435" t="str">
        <f ca="1">Tabela1[[#This Row],[Coluna1]]&amp;Tabela1[[#This Row],[PEDIDO]]</f>
        <v>P-188</v>
      </c>
      <c r="AL435"/>
      <c r="AM435"/>
      <c r="AN435"/>
      <c r="AO435" t="str">
        <f t="shared" ca="1" si="75"/>
        <v>T-073005-1/1073-TC-007</v>
      </c>
      <c r="AP435" t="str">
        <f ca="1">Tabela1[[#This Row],[TAG]]&amp;Tabela1[[#This Row],[PEDIDO]]&amp;Tabela1[[#This Row],[PRODUTO]]</f>
        <v>1073-TC-007P-188RMF</v>
      </c>
      <c r="AQ435" s="22" t="str">
        <f ca="1">Tabela1[[#This Row],[PRODUTO]]&amp;Tabela1[[#This Row],[TAG]]</f>
        <v>RMF1073-TC-007</v>
      </c>
      <c r="AR435" s="24" t="str">
        <f ca="1">Tabela1[[#This Row],[PEDIDO]]&amp;Tabela1[[#This Row],[PRODUTO]]</f>
        <v>P-188RMF</v>
      </c>
      <c r="AS435" s="37">
        <f ca="1">IF(AF435="",0,IF(ISTEXT(AF435),H435*VALUE(SUBSTITUTE(AF435,"%",""))/100,H435*AF435))-Tabela1[[#This Row],[PRONTO ACABADO2]]</f>
        <v>0</v>
      </c>
      <c r="AT435" s="37">
        <f ca="1">IF(AG435="",0,IF(ISTEXT(AG435),H435*VALUE(SUBSTITUTE(AG435,"%",""))/100,H435*AG435))-Tabela1[[#This Row],[PESO EXPEDIDO2]]</f>
        <v>0</v>
      </c>
      <c r="AU435" s="37">
        <f t="shared" ca="1" si="80"/>
        <v>4.4000000000000004</v>
      </c>
      <c r="AV435" s="37">
        <f t="shared" ca="1" si="81"/>
        <v>4.4000000000000004</v>
      </c>
      <c r="AW435" s="37"/>
    </row>
    <row r="436" spans="1:49" ht="15.75" hidden="1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 ca="1"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 ca="1">Tabela1[[#This Row],[QTDE/ Fabricação]]-Tabela1[[#This Row],[QTE]]</f>
        <v>-1</v>
      </c>
      <c r="R436" s="18">
        <f t="shared" ca="1" si="76"/>
        <v>3.9</v>
      </c>
      <c r="S436" s="18">
        <f t="shared" ca="1" si="74"/>
        <v>3.9</v>
      </c>
      <c r="T436" s="19">
        <f t="shared" ca="1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 ca="1">IFERROR(Tabela1[[#This Row],[QIANTIDADE EXPEDIDA]]*Tabela1[[#This Row],[PESO UNI]],"")</f>
        <v>3.9</v>
      </c>
      <c r="Y436" s="14">
        <f t="shared" ca="1" si="79"/>
        <v>0</v>
      </c>
      <c r="Z436" s="20">
        <f ca="1"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ca="1" si="77"/>
        <v>ok</v>
      </c>
      <c r="AJ436" s="5"/>
      <c r="AK436" t="str">
        <f ca="1">Tabela1[[#This Row],[Coluna1]]&amp;Tabela1[[#This Row],[PEDIDO]]</f>
        <v>P-188</v>
      </c>
      <c r="AL436"/>
      <c r="AM436"/>
      <c r="AN436"/>
      <c r="AO436" t="str">
        <f t="shared" ca="1" si="75"/>
        <v>T-073005-1/1073-TC-007</v>
      </c>
      <c r="AP436" t="str">
        <f ca="1">Tabela1[[#This Row],[TAG]]&amp;Tabela1[[#This Row],[PEDIDO]]&amp;Tabela1[[#This Row],[PRODUTO]]</f>
        <v>1073-TC-007P-188RMF</v>
      </c>
      <c r="AQ436" s="22" t="str">
        <f ca="1">Tabela1[[#This Row],[PRODUTO]]&amp;Tabela1[[#This Row],[TAG]]</f>
        <v>RMF1073-TC-007</v>
      </c>
      <c r="AR436" s="24" t="str">
        <f ca="1">Tabela1[[#This Row],[PEDIDO]]&amp;Tabela1[[#This Row],[PRODUTO]]</f>
        <v>P-188RMF</v>
      </c>
      <c r="AS436" s="37">
        <f ca="1">IF(AF436="",0,IF(ISTEXT(AF436),H436*VALUE(SUBSTITUTE(AF436,"%",""))/100,H436*AF436))-Tabela1[[#This Row],[PRONTO ACABADO2]]</f>
        <v>0</v>
      </c>
      <c r="AT436" s="37">
        <f ca="1">IF(AG436="",0,IF(ISTEXT(AG436),H436*VALUE(SUBSTITUTE(AG436,"%",""))/100,H436*AG436))-Tabela1[[#This Row],[PESO EXPEDIDO2]]</f>
        <v>0</v>
      </c>
      <c r="AU436" s="37">
        <f t="shared" ca="1" si="80"/>
        <v>3.9</v>
      </c>
      <c r="AV436" s="37">
        <f t="shared" ca="1" si="81"/>
        <v>3.9</v>
      </c>
      <c r="AW436" s="37"/>
    </row>
    <row r="437" spans="1:49" ht="15.75" hidden="1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 ca="1"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 ca="1">Tabela1[[#This Row],[QTDE/ Fabricação]]-Tabela1[[#This Row],[QTE]]</f>
        <v>-2</v>
      </c>
      <c r="R437" s="18">
        <f t="shared" ca="1" si="76"/>
        <v>8.9600000000000009</v>
      </c>
      <c r="S437" s="18">
        <f t="shared" ref="S437:S506" ca="1" si="82">IFERROR(H437*AG437,"")</f>
        <v>8.9600000000000009</v>
      </c>
      <c r="T437" s="19">
        <f t="shared" ca="1" si="78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 ca="1">IFERROR(Tabela1[[#This Row],[QIANTIDADE EXPEDIDA]]*Tabela1[[#This Row],[PESO UNI]],"")</f>
        <v>8.9600000000000009</v>
      </c>
      <c r="Y437" s="14">
        <f t="shared" ca="1" si="79"/>
        <v>0</v>
      </c>
      <c r="Z437" s="20">
        <f ca="1"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 ca="1">Tabela1[[#This Row],[Coluna1]]&amp;Tabela1[[#This Row],[PEDIDO]]</f>
        <v>P-188</v>
      </c>
      <c r="AL437"/>
      <c r="AM437"/>
      <c r="AN437"/>
      <c r="AO437" t="str">
        <f t="shared" ca="1" si="75"/>
        <v>T-072962-1/1073-TC-006/007</v>
      </c>
      <c r="AP437" t="str">
        <f ca="1">Tabela1[[#This Row],[TAG]]&amp;Tabela1[[#This Row],[PEDIDO]]&amp;Tabela1[[#This Row],[PRODUTO]]</f>
        <v>1073-TC-006/007P-188RMF</v>
      </c>
      <c r="AQ437" s="22" t="str">
        <f ca="1">Tabela1[[#This Row],[PRODUTO]]&amp;Tabela1[[#This Row],[TAG]]</f>
        <v>RMF1073-TC-006/007</v>
      </c>
      <c r="AR437" s="24" t="str">
        <f ca="1">Tabela1[[#This Row],[PEDIDO]]&amp;Tabela1[[#This Row],[PRODUTO]]</f>
        <v>P-188RMF</v>
      </c>
      <c r="AS437" s="37">
        <f ca="1">IF(AF437="",0,IF(ISTEXT(AF437),H437*VALUE(SUBSTITUTE(AF437,"%",""))/100,H437*AF437))-Tabela1[[#This Row],[PRONTO ACABADO2]]</f>
        <v>0</v>
      </c>
      <c r="AT437" s="37">
        <f ca="1">IF(AG437="",0,IF(ISTEXT(AG437),H437*VALUE(SUBSTITUTE(AG437,"%",""))/100,H437*AG437))-Tabela1[[#This Row],[PESO EXPEDIDO2]]</f>
        <v>0</v>
      </c>
      <c r="AU437" s="37">
        <f t="shared" ca="1" si="80"/>
        <v>8.9600000000000009</v>
      </c>
      <c r="AV437" s="37">
        <f t="shared" ca="1" si="81"/>
        <v>8.9600000000000009</v>
      </c>
      <c r="AW437" s="37"/>
    </row>
    <row r="438" spans="1:49" ht="15.75" hidden="1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 ca="1"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 ca="1">Tabela1[[#This Row],[QTDE/ Fabricação]]-Tabela1[[#This Row],[QTE]]</f>
        <v>-2</v>
      </c>
      <c r="R438" s="18">
        <f t="shared" ca="1" si="76"/>
        <v>117.3884</v>
      </c>
      <c r="S438" s="18">
        <f t="shared" ca="1" si="82"/>
        <v>117.3884</v>
      </c>
      <c r="T438" s="19">
        <f t="shared" ca="1" si="78"/>
        <v>0</v>
      </c>
      <c r="U438" s="16">
        <v>2</v>
      </c>
      <c r="V438" s="12">
        <v>13</v>
      </c>
      <c r="W438" s="13" t="str">
        <f ca="1">IFERROR(VLOOKUP(Tabela1[[#This Row],[COD.MDE]],'LISTA DE EMBARQUE'!B:M,12,0),"")</f>
        <v/>
      </c>
      <c r="X438" s="14">
        <f ca="1">IFERROR(Tabela1[[#This Row],[QIANTIDADE EXPEDIDA]]*Tabela1[[#This Row],[PESO UNI]],"")</f>
        <v>117.3884</v>
      </c>
      <c r="Y438" s="14">
        <f t="shared" ca="1" si="79"/>
        <v>0</v>
      </c>
      <c r="Z438" s="20">
        <f ca="1"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 ca="1">Tabela1[[#This Row],[Coluna1]]&amp;Tabela1[[#This Row],[PEDIDO]]</f>
        <v>P-188</v>
      </c>
      <c r="AL438"/>
      <c r="AM438"/>
      <c r="AN438"/>
      <c r="AO438" t="str">
        <f t="shared" ca="1" si="75"/>
        <v>T-072962-1/1073-TC-006/007</v>
      </c>
      <c r="AP438" t="str">
        <f ca="1">Tabela1[[#This Row],[TAG]]&amp;Tabela1[[#This Row],[PEDIDO]]&amp;Tabela1[[#This Row],[PRODUTO]]</f>
        <v>1073-TC-006/007P-188RMF</v>
      </c>
      <c r="AQ438" s="22" t="str">
        <f ca="1">Tabela1[[#This Row],[PRODUTO]]&amp;Tabela1[[#This Row],[TAG]]</f>
        <v>RMF1073-TC-006/007</v>
      </c>
      <c r="AR438" s="24" t="str">
        <f ca="1">Tabela1[[#This Row],[PEDIDO]]&amp;Tabela1[[#This Row],[PRODUTO]]</f>
        <v>P-188RMF</v>
      </c>
      <c r="AS438" s="37">
        <f ca="1">IF(AF438="",0,IF(ISTEXT(AF438),H438*VALUE(SUBSTITUTE(AF438,"%",""))/100,H438*AF438))-Tabela1[[#This Row],[PRONTO ACABADO2]]</f>
        <v>0</v>
      </c>
      <c r="AT438" s="37">
        <f ca="1">IF(AG438="",0,IF(ISTEXT(AG438),H438*VALUE(SUBSTITUTE(AG438,"%",""))/100,H438*AG438))-Tabela1[[#This Row],[PESO EXPEDIDO2]]</f>
        <v>0</v>
      </c>
      <c r="AU438" s="37">
        <f t="shared" ca="1" si="80"/>
        <v>117.3884</v>
      </c>
      <c r="AV438" s="37">
        <f t="shared" ca="1" si="81"/>
        <v>117.3884</v>
      </c>
      <c r="AW438" s="37"/>
    </row>
    <row r="439" spans="1:49" ht="15.75" hidden="1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 ca="1"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 ca="1">Tabela1[[#This Row],[QTDE/ Fabricação]]-Tabela1[[#This Row],[QTE]]</f>
        <v>-6</v>
      </c>
      <c r="R439" s="18">
        <f t="shared" ref="R439" ca="1" si="83">IFERROR(H439*((AA439*0.25)+(AC439*0.25)+(AD439*0.225)+(AE439*0.225)+(AF439*0.05)),"")</f>
        <v>51.75</v>
      </c>
      <c r="S439" s="18">
        <f t="shared" ca="1" si="82"/>
        <v>30</v>
      </c>
      <c r="T439" s="19">
        <f t="shared" ref="T439" ca="1" si="84">IFERROR(S439-H439,"")</f>
        <v>-30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 ca="1">IFERROR(COUNTIF(#REF!,Tabela1[[#This Row],[Colunas5]]),"")</f>
        <v/>
      </c>
      <c r="X439" s="14">
        <f ca="1">Tabela1[[#This Row],[QIANTIDADE EXPEDIDA]]*Tabela1[[#This Row],[PESO UNI]]</f>
        <v>0</v>
      </c>
      <c r="Y439" s="14">
        <f t="shared" ref="Y439" ca="1" si="85">U439-C439</f>
        <v>-6</v>
      </c>
      <c r="Z439" s="20">
        <f ca="1">Tabela1[[#This Row],[PESO TOTAL]]-Tabela1[[#This Row],[Peso Expedido]]</f>
        <v>60</v>
      </c>
      <c r="AA439" s="17">
        <v>1</v>
      </c>
      <c r="AB439" s="33"/>
      <c r="AC439" s="33">
        <v>1</v>
      </c>
      <c r="AD439" s="33">
        <v>1</v>
      </c>
      <c r="AE439" s="33">
        <v>0.5</v>
      </c>
      <c r="AF439" s="33">
        <v>0.5</v>
      </c>
      <c r="AG439" s="33">
        <v>0.5</v>
      </c>
      <c r="AH439" s="33"/>
      <c r="AI439" s="33" t="str">
        <f t="shared" ca="1" si="77"/>
        <v/>
      </c>
      <c r="AJ439" s="5"/>
      <c r="AK439" t="str">
        <f ca="1">Tabela1[[#This Row],[Coluna1]]&amp;Tabela1[[#This Row],[PEDIDO]]</f>
        <v>P-208</v>
      </c>
      <c r="AL439"/>
      <c r="AM439"/>
      <c r="AN439"/>
      <c r="AO439" t="str">
        <f t="shared" ref="AO439" ca="1" si="86">A439&amp;"/"&amp;J439</f>
        <v>R-1-4-10993/P208</v>
      </c>
      <c r="AP439" t="str">
        <f ca="1">Tabela1[[#This Row],[TAG]]&amp;Tabela1[[#This Row],[PEDIDO]]&amp;Tabela1[[#This Row],[PRODUTO]]</f>
        <v>P208P-208ROLOS</v>
      </c>
      <c r="AQ439" s="22" t="str">
        <f ca="1">Tabela1[[#This Row],[PRODUTO]]&amp;Tabela1[[#This Row],[TAG]]</f>
        <v>ROLOSP208</v>
      </c>
      <c r="AR439" s="24" t="str">
        <f ca="1">Tabela1[[#This Row],[PEDIDO]]&amp;Tabela1[[#This Row],[PRODUTO]]</f>
        <v>P-208ROLOS</v>
      </c>
      <c r="AS439" s="37">
        <f ca="1">IF(AF439="",0,IF(ISTEXT(AF439),H439*VALUE(SUBSTITUTE(AF439,"%",""))/100,H439*AF439))-Tabela1[[#This Row],[PRONTO ACABADO2]]</f>
        <v>0</v>
      </c>
      <c r="AT439" s="37">
        <f ca="1">IF(AG439="",0,IF(ISTEXT(AG439),H439*VALUE(SUBSTITUTE(AG439,"%",""))/100,H439*AG439))-Tabela1[[#This Row],[PESO EXPEDIDO2]]</f>
        <v>30</v>
      </c>
      <c r="AU439" s="37">
        <f t="shared" ref="AU439" ca="1" si="87">IF(AH439="",0,IF(ISTEXT(AH439),H439*VALUE(SUBSTITUTE(AH439,"%",""))/100,H439*AH439))</f>
        <v>0</v>
      </c>
      <c r="AV439" s="37">
        <f t="shared" ref="AV439" ca="1" si="88">IF(AG439="",0,IF(ISTEXT(AG439),H439*VALUE(SUBSTITUTE(AG439,"%",""))/100,H439*AG439))</f>
        <v>30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 ca="1"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 ca="1">Tabela1[[#This Row],[QTDE/ Fabricação]]-Tabela1[[#This Row],[QTE]]</f>
        <v>-6</v>
      </c>
      <c r="R440" s="18">
        <f t="shared" ref="R440:R509" ca="1" si="89">IFERROR(H440*((AA440*0.25)+(AC440*0.25)+(AD440*0.225)+(AE440*0.225)+(AF440*0.05)),"")</f>
        <v>64.6875</v>
      </c>
      <c r="S440" s="18">
        <f t="shared" ca="1" si="82"/>
        <v>37.5</v>
      </c>
      <c r="T440" s="19">
        <f t="shared" ref="T440:T509" ca="1" si="90">IFERROR(S440-H440,"")</f>
        <v>-37.5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 ca="1">IFERROR(COUNTIF(#REF!,Tabela1[[#This Row],[Colunas5]]),"")</f>
        <v/>
      </c>
      <c r="X440" s="14">
        <f ca="1">Tabela1[[#This Row],[QIANTIDADE EXPEDIDA]]*Tabela1[[#This Row],[PESO UNI]]</f>
        <v>0</v>
      </c>
      <c r="Y440" s="14">
        <f t="shared" ref="Y440:Y509" ca="1" si="91">U440-C440</f>
        <v>-6</v>
      </c>
      <c r="Z440" s="20">
        <f ca="1">Tabela1[[#This Row],[PESO TOTAL]]-Tabela1[[#This Row],[Peso Expedido]]</f>
        <v>75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ca="1" si="77"/>
        <v/>
      </c>
      <c r="AJ440" s="5"/>
      <c r="AK440" t="str">
        <f ca="1">Tabela1[[#This Row],[Coluna1]]&amp;Tabela1[[#This Row],[PEDIDO]]</f>
        <v>P-208</v>
      </c>
      <c r="AL440"/>
      <c r="AM440"/>
      <c r="AN440"/>
      <c r="AO440" t="str">
        <f t="shared" ref="AO440:AO509" ca="1" si="92">A440&amp;"/"&amp;J440</f>
        <v>R-1-4-10996/P208</v>
      </c>
      <c r="AP440" t="str">
        <f ca="1">Tabela1[[#This Row],[TAG]]&amp;Tabela1[[#This Row],[PEDIDO]]&amp;Tabela1[[#This Row],[PRODUTO]]</f>
        <v>P208P-208ROLOS</v>
      </c>
      <c r="AQ440" s="22" t="str">
        <f ca="1">Tabela1[[#This Row],[PRODUTO]]&amp;Tabela1[[#This Row],[TAG]]</f>
        <v>ROLOSP208</v>
      </c>
      <c r="AR440" s="24" t="str">
        <f ca="1">Tabela1[[#This Row],[PEDIDO]]&amp;Tabela1[[#This Row],[PRODUTO]]</f>
        <v>P-208ROLOS</v>
      </c>
      <c r="AS440" s="37">
        <f ca="1">IF(AF440="",0,IF(ISTEXT(AF440),H440*VALUE(SUBSTITUTE(AF440,"%",""))/100,H440*AF440))-Tabela1[[#This Row],[PRONTO ACABADO2]]</f>
        <v>0</v>
      </c>
      <c r="AT440" s="37">
        <f ca="1">IF(AG440="",0,IF(ISTEXT(AG440),H440*VALUE(SUBSTITUTE(AG440,"%",""))/100,H440*AG440))-Tabela1[[#This Row],[PESO EXPEDIDO2]]</f>
        <v>37.5</v>
      </c>
      <c r="AU440" s="37">
        <f t="shared" ref="AU440:AU509" ca="1" si="93">IF(AH440="",0,IF(ISTEXT(AH440),H440*VALUE(SUBSTITUTE(AH440,"%",""))/100,H440*AH440))</f>
        <v>0</v>
      </c>
      <c r="AV440" s="37">
        <f t="shared" ref="AV440:AV509" ca="1" si="94">IF(AG440="",0,IF(ISTEXT(AG440),H440*VALUE(SUBSTITUTE(AG440,"%",""))/100,H440*AG440))</f>
        <v>37.5</v>
      </c>
      <c r="AW440" s="37"/>
    </row>
    <row r="441" spans="1:49" ht="15.75" hidden="1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 ca="1"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 ca="1">Tabela1[[#This Row],[QTDE/ Fabricação]]-Tabela1[[#This Row],[QTE]]</f>
        <v>-4</v>
      </c>
      <c r="R441" s="18">
        <f t="shared" ca="1" si="89"/>
        <v>100.16499999999999</v>
      </c>
      <c r="S441" s="18">
        <f t="shared" ca="1" si="82"/>
        <v>0</v>
      </c>
      <c r="T441" s="19">
        <f t="shared" ca="1" si="90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 ca="1">IFERROR(COUNTIF(#REF!,Tabela1[[#This Row],[Colunas5]]),"")</f>
        <v/>
      </c>
      <c r="X441" s="14">
        <f ca="1">Tabela1[[#This Row],[QIANTIDADE EXPEDIDA]]*Tabela1[[#This Row],[PESO UNI]]</f>
        <v>0</v>
      </c>
      <c r="Y441" s="14">
        <f t="shared" ca="1" si="91"/>
        <v>-4</v>
      </c>
      <c r="Z441" s="20">
        <f ca="1">Tabela1[[#This Row],[PESO TOTAL]]-Tabela1[[#This Row],[Peso Expedido]]</f>
        <v>119.6</v>
      </c>
      <c r="AA441" s="17">
        <v>1</v>
      </c>
      <c r="AB441" s="33"/>
      <c r="AC441" s="33">
        <v>1</v>
      </c>
      <c r="AD441" s="33">
        <v>1</v>
      </c>
      <c r="AE441" s="33">
        <v>0.5</v>
      </c>
      <c r="AF441" s="33"/>
      <c r="AG441" s="33"/>
      <c r="AH441" s="33"/>
      <c r="AI441" s="33" t="str">
        <f t="shared" ca="1" si="77"/>
        <v/>
      </c>
      <c r="AJ441" s="5"/>
      <c r="AK441" t="str">
        <f ca="1">Tabela1[[#This Row],[Coluna1]]&amp;Tabela1[[#This Row],[PEDIDO]]</f>
        <v>P-209</v>
      </c>
      <c r="AL441"/>
      <c r="AM441"/>
      <c r="AN441"/>
      <c r="AO441" t="str">
        <f t="shared" ca="1" si="92"/>
        <v>T-009591-1/P209</v>
      </c>
      <c r="AP441" t="str">
        <f ca="1">Tabela1[[#This Row],[TAG]]&amp;Tabela1[[#This Row],[PEDIDO]]&amp;Tabela1[[#This Row],[PRODUTO]]</f>
        <v>P209P-209USINAGEM</v>
      </c>
      <c r="AQ441" s="22" t="str">
        <f ca="1">Tabela1[[#This Row],[PRODUTO]]&amp;Tabela1[[#This Row],[TAG]]</f>
        <v>USINAGEMP209</v>
      </c>
      <c r="AR441" s="24" t="str">
        <f ca="1">Tabela1[[#This Row],[PEDIDO]]&amp;Tabela1[[#This Row],[PRODUTO]]</f>
        <v>P-209USINAGEM</v>
      </c>
      <c r="AS441" s="37">
        <f ca="1">IF(AF441="",0,IF(ISTEXT(AF441),H441*VALUE(SUBSTITUTE(AF441,"%",""))/100,H441*AF441))-Tabela1[[#This Row],[PRONTO ACABADO2]]</f>
        <v>0</v>
      </c>
      <c r="AT441" s="37">
        <f ca="1">IF(AG441="",0,IF(ISTEXT(AG441),H441*VALUE(SUBSTITUTE(AG441,"%",""))/100,H441*AG441))-Tabela1[[#This Row],[PESO EXPEDIDO2]]</f>
        <v>0</v>
      </c>
      <c r="AU441" s="37">
        <f t="shared" ca="1" si="93"/>
        <v>0</v>
      </c>
      <c r="AV441" s="37">
        <f t="shared" ca="1" si="94"/>
        <v>0</v>
      </c>
      <c r="AW441" s="37"/>
    </row>
    <row r="442" spans="1:49" ht="15.75" hidden="1" customHeight="1" x14ac:dyDescent="0.25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 ca="1"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 ca="1">Tabela1[[#This Row],[QTDE/ Fabricação]]-Tabela1[[#This Row],[QTE]]</f>
        <v>-8</v>
      </c>
      <c r="R442" s="18">
        <f t="shared" ref="R442:R451" ca="1" si="95">IFERROR(H442*((AA442*0.25)+(AC442*0.25)+(AD442*0.225)+(AE442*0.225)+(AF442*0.05)),"")</f>
        <v>9.6</v>
      </c>
      <c r="S442" s="18">
        <f t="shared" ref="S442:S451" ca="1" si="96">IFERROR(H442*AG442,"")</f>
        <v>9.6</v>
      </c>
      <c r="T442" s="19">
        <f t="shared" ref="T442:T451" ca="1" si="97">IFERROR(S442-H442,"")</f>
        <v>0</v>
      </c>
      <c r="U442" s="16">
        <f>IFERROR(SUMIF('LISTA DE EMBARQUE'!B:B,MICRO!E:E,'LISTA DE EMBARQUE'!G:G),"")</f>
        <v>8</v>
      </c>
      <c r="V442" s="12">
        <f ca="1">IFERROR(VLOOKUP(Tabela1[[#This Row],[COD.MDE]],'LISTA DE EMBARQUE'!B:L,11,0),"")</f>
        <v>6</v>
      </c>
      <c r="W442" s="13" t="str">
        <f ca="1">IFERROR(COUNTIF(#REF!,Tabela1[[#This Row],[Colunas5]]),"")</f>
        <v/>
      </c>
      <c r="X442" s="14">
        <f ca="1">Tabela1[[#This Row],[QIANTIDADE EXPEDIDA]]*Tabela1[[#This Row],[PESO UNI]]</f>
        <v>9.6</v>
      </c>
      <c r="Y442" s="14">
        <f t="shared" ref="Y442:Y451" ca="1" si="98">U442-C442</f>
        <v>0</v>
      </c>
      <c r="Z442" s="20">
        <f ca="1">Tabela1[[#This Row],[PESO TOTAL]]-Tabela1[[#This Row],[Peso Expedido]]</f>
        <v>0</v>
      </c>
      <c r="AA442" s="17">
        <v>1</v>
      </c>
      <c r="AB442" s="33"/>
      <c r="AC442" s="17">
        <v>1</v>
      </c>
      <c r="AD442" s="17">
        <v>1</v>
      </c>
      <c r="AE442" s="17">
        <v>1</v>
      </c>
      <c r="AF442" s="17">
        <v>1</v>
      </c>
      <c r="AG442" s="17">
        <v>1</v>
      </c>
      <c r="AH442" s="17">
        <v>1</v>
      </c>
      <c r="AI442" s="33" t="str">
        <f t="shared" ref="AI442:AI451" ca="1" si="99">IF(Z442&lt;=0,"ok","")</f>
        <v>ok</v>
      </c>
      <c r="AJ442" s="5"/>
      <c r="AK442" t="str">
        <f ca="1">Tabela1[[#This Row],[Coluna1]]&amp;Tabela1[[#This Row],[PEDIDO]]</f>
        <v>P-198</v>
      </c>
      <c r="AL442"/>
      <c r="AM442"/>
      <c r="AN442"/>
      <c r="AO442" t="str">
        <f t="shared" ca="1" si="92"/>
        <v>T-073242-1/14-CV-0001</v>
      </c>
      <c r="AP442" t="str">
        <f ca="1">Tabela1[[#This Row],[TAG]]&amp;Tabela1[[#This Row],[PEDIDO]]&amp;Tabela1[[#This Row],[PRODUTO]]</f>
        <v xml:space="preserve">14-CV-0001P-198ESTRUTURA </v>
      </c>
      <c r="AQ442" s="22" t="str">
        <f ca="1">Tabela1[[#This Row],[PRODUTO]]&amp;Tabela1[[#This Row],[TAG]]</f>
        <v>ESTRUTURA 14-CV-0001</v>
      </c>
      <c r="AR442" s="24" t="str">
        <f ca="1">Tabela1[[#This Row],[PEDIDO]]&amp;Tabela1[[#This Row],[PRODUTO]]</f>
        <v xml:space="preserve">P-198ESTRUTURA </v>
      </c>
      <c r="AS442" s="37">
        <f ca="1">IF(AF442="",0,IF(ISTEXT(AF442),H442*VALUE(SUBSTITUTE(AF442,"%",""))/100,H442*AF442))-Tabela1[[#This Row],[PRONTO ACABADO2]]</f>
        <v>0</v>
      </c>
      <c r="AT442" s="37">
        <f ca="1">IF(AG442="",0,IF(ISTEXT(AG442),H442*VALUE(SUBSTITUTE(AG442,"%",""))/100,H442*AG442))-Tabela1[[#This Row],[PESO EXPEDIDO2]]</f>
        <v>0</v>
      </c>
      <c r="AU442" s="37">
        <f t="shared" ca="1" si="93"/>
        <v>9.6</v>
      </c>
      <c r="AV442" s="37">
        <f t="shared" ca="1" si="94"/>
        <v>9.6</v>
      </c>
      <c r="AW442" s="37"/>
    </row>
    <row r="443" spans="1:49" ht="15.75" hidden="1" customHeight="1" x14ac:dyDescent="0.25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 ca="1"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 ca="1">Tabela1[[#This Row],[QTDE/ Fabricação]]-Tabela1[[#This Row],[QTE]]</f>
        <v>-8</v>
      </c>
      <c r="R443" s="18">
        <f t="shared" ca="1" si="95"/>
        <v>91.2</v>
      </c>
      <c r="S443" s="18">
        <f t="shared" ca="1" si="96"/>
        <v>91.2</v>
      </c>
      <c r="T443" s="19">
        <f t="shared" ca="1" si="97"/>
        <v>0</v>
      </c>
      <c r="U443" s="16">
        <f>IFERROR(SUMIF('LISTA DE EMBARQUE'!B:B,MICRO!E:E,'LISTA DE EMBARQUE'!G:G),"")</f>
        <v>8</v>
      </c>
      <c r="V443" s="12">
        <f>IFERROR(VLOOKUP(Tabela1[[#This Row],[COD.MDE]],'LISTA DE EMBARQUE'!B:L,11,0),"")</f>
        <v>3</v>
      </c>
      <c r="W443" s="13" t="str">
        <f ca="1">IFERROR(COUNTIF(#REF!,Tabela1[[#This Row],[Colunas5]]),"")</f>
        <v/>
      </c>
      <c r="X443" s="14">
        <f ca="1">Tabela1[[#This Row],[QIANTIDADE EXPEDIDA]]*Tabela1[[#This Row],[PESO UNI]]</f>
        <v>91.2</v>
      </c>
      <c r="Y443" s="14">
        <f t="shared" ca="1" si="98"/>
        <v>0</v>
      </c>
      <c r="Z443" s="20">
        <f ca="1">Tabela1[[#This Row],[PESO TOTAL]]-Tabela1[[#This Row],[Peso Expedido]]</f>
        <v>0</v>
      </c>
      <c r="AA443" s="17">
        <v>1</v>
      </c>
      <c r="AB443" s="33"/>
      <c r="AC443" s="33">
        <v>1</v>
      </c>
      <c r="AD443" s="33">
        <v>1</v>
      </c>
      <c r="AE443" s="33">
        <v>1</v>
      </c>
      <c r="AF443" s="33">
        <v>1</v>
      </c>
      <c r="AG443" s="33">
        <v>1</v>
      </c>
      <c r="AH443" s="33">
        <v>1</v>
      </c>
      <c r="AI443" s="33" t="str">
        <f t="shared" ca="1" si="99"/>
        <v>ok</v>
      </c>
      <c r="AJ443" s="5"/>
      <c r="AK443" t="str">
        <f ca="1">Tabela1[[#This Row],[Coluna1]]&amp;Tabela1[[#This Row],[PEDIDO]]</f>
        <v>P-198</v>
      </c>
      <c r="AL443"/>
      <c r="AM443"/>
      <c r="AN443"/>
      <c r="AO443" t="str">
        <f t="shared" ca="1" si="92"/>
        <v>T-073242-1/14-CV-0001</v>
      </c>
      <c r="AP443" t="str">
        <f ca="1">Tabela1[[#This Row],[TAG]]&amp;Tabela1[[#This Row],[PEDIDO]]&amp;Tabela1[[#This Row],[PRODUTO]]</f>
        <v xml:space="preserve">14-CV-0001P-198ESTRUTURA </v>
      </c>
      <c r="AQ443" s="22" t="str">
        <f ca="1">Tabela1[[#This Row],[PRODUTO]]&amp;Tabela1[[#This Row],[TAG]]</f>
        <v>ESTRUTURA 14-CV-0001</v>
      </c>
      <c r="AR443" s="24" t="str">
        <f ca="1">Tabela1[[#This Row],[PEDIDO]]&amp;Tabela1[[#This Row],[PRODUTO]]</f>
        <v xml:space="preserve">P-198ESTRUTURA </v>
      </c>
      <c r="AS443" s="37">
        <f ca="1">IF(AF443="",0,IF(ISTEXT(AF443),H443*VALUE(SUBSTITUTE(AF443,"%",""))/100,H443*AF443))-Tabela1[[#This Row],[PRONTO ACABADO2]]</f>
        <v>0</v>
      </c>
      <c r="AT443" s="37">
        <f ca="1">IF(AG443="",0,IF(ISTEXT(AG443),H443*VALUE(SUBSTITUTE(AG443,"%",""))/100,H443*AG443))-Tabela1[[#This Row],[PESO EXPEDIDO2]]</f>
        <v>0</v>
      </c>
      <c r="AU443" s="37">
        <f t="shared" ca="1" si="93"/>
        <v>91.2</v>
      </c>
      <c r="AV443" s="37">
        <f t="shared" ca="1" si="94"/>
        <v>91.2</v>
      </c>
      <c r="AW443" s="37"/>
    </row>
    <row r="444" spans="1:49" ht="15.75" hidden="1" customHeight="1" x14ac:dyDescent="0.25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 ca="1"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 ca="1">Tabela1[[#This Row],[QTDE/ Fabricação]]-Tabela1[[#This Row],[QTE]]</f>
        <v>-4</v>
      </c>
      <c r="R444" s="18">
        <f t="shared" ca="1" si="95"/>
        <v>205.2</v>
      </c>
      <c r="S444" s="18">
        <f t="shared" ca="1" si="96"/>
        <v>205.2</v>
      </c>
      <c r="T444" s="19">
        <f t="shared" ca="1" si="97"/>
        <v>0</v>
      </c>
      <c r="U444" s="16">
        <f>IFERROR(SUMIF('LISTA DE EMBARQUE'!B:B,MICRO!E:E,'LISTA DE EMBARQUE'!G:G),"")</f>
        <v>4</v>
      </c>
      <c r="V444" s="12">
        <f>IFERROR(VLOOKUP(Tabela1[[#This Row],[COD.MDE]],'LISTA DE EMBARQUE'!B:L,11,0),"")</f>
        <v>5</v>
      </c>
      <c r="W444" s="13" t="str">
        <f ca="1">IFERROR(COUNTIF(#REF!,Tabela1[[#This Row],[Colunas5]]),"")</f>
        <v/>
      </c>
      <c r="X444" s="14">
        <f ca="1">Tabela1[[#This Row],[QIANTIDADE EXPEDIDA]]*Tabela1[[#This Row],[PESO UNI]]</f>
        <v>205.2</v>
      </c>
      <c r="Y444" s="14">
        <f t="shared" ca="1" si="98"/>
        <v>0</v>
      </c>
      <c r="Z444" s="20">
        <f ca="1">Tabela1[[#This Row],[PESO TOTAL]]-Tabela1[[#This Row],[Peso Expedido]]</f>
        <v>0</v>
      </c>
      <c r="AA444" s="17">
        <v>1</v>
      </c>
      <c r="AB444" s="33"/>
      <c r="AC444" s="33">
        <v>1</v>
      </c>
      <c r="AD444" s="33">
        <v>1</v>
      </c>
      <c r="AE444" s="33">
        <v>1</v>
      </c>
      <c r="AF444" s="33">
        <v>1</v>
      </c>
      <c r="AG444" s="33">
        <v>1</v>
      </c>
      <c r="AH444" s="33">
        <v>1</v>
      </c>
      <c r="AI444" s="33" t="str">
        <f t="shared" ca="1" si="99"/>
        <v>ok</v>
      </c>
      <c r="AJ444" s="5"/>
      <c r="AK444" t="str">
        <f ca="1">Tabela1[[#This Row],[Coluna1]]&amp;Tabela1[[#This Row],[PEDIDO]]</f>
        <v>P-198</v>
      </c>
      <c r="AL444"/>
      <c r="AM444"/>
      <c r="AN444"/>
      <c r="AO444" t="str">
        <f t="shared" ca="1" si="92"/>
        <v>T-073242-1/14-CV-0001</v>
      </c>
      <c r="AP444" t="str">
        <f ca="1">Tabela1[[#This Row],[TAG]]&amp;Tabela1[[#This Row],[PEDIDO]]&amp;Tabela1[[#This Row],[PRODUTO]]</f>
        <v xml:space="preserve">14-CV-0001P-198ESTRUTURA </v>
      </c>
      <c r="AQ444" s="22" t="str">
        <f ca="1">Tabela1[[#This Row],[PRODUTO]]&amp;Tabela1[[#This Row],[TAG]]</f>
        <v>ESTRUTURA 14-CV-0001</v>
      </c>
      <c r="AR444" s="24" t="str">
        <f ca="1">Tabela1[[#This Row],[PEDIDO]]&amp;Tabela1[[#This Row],[PRODUTO]]</f>
        <v xml:space="preserve">P-198ESTRUTURA </v>
      </c>
      <c r="AS444" s="37">
        <f ca="1">IF(AF444="",0,IF(ISTEXT(AF444),H444*VALUE(SUBSTITUTE(AF444,"%",""))/100,H444*AF444))-Tabela1[[#This Row],[PRONTO ACABADO2]]</f>
        <v>0</v>
      </c>
      <c r="AT444" s="37">
        <f ca="1">IF(AG444="",0,IF(ISTEXT(AG444),H444*VALUE(SUBSTITUTE(AG444,"%",""))/100,H444*AG444))-Tabela1[[#This Row],[PESO EXPEDIDO2]]</f>
        <v>0</v>
      </c>
      <c r="AU444" s="37">
        <f t="shared" ca="1" si="93"/>
        <v>205.2</v>
      </c>
      <c r="AV444" s="37">
        <f t="shared" ca="1" si="94"/>
        <v>205.2</v>
      </c>
      <c r="AW444" s="37"/>
    </row>
    <row r="445" spans="1:49" ht="15.75" hidden="1" customHeight="1" x14ac:dyDescent="0.25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 ca="1"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 ca="1">Tabela1[[#This Row],[QTDE/ Fabricação]]-Tabela1[[#This Row],[QTE]]</f>
        <v>-8</v>
      </c>
      <c r="R445" s="18">
        <f t="shared" ca="1" si="95"/>
        <v>38.4</v>
      </c>
      <c r="S445" s="18">
        <f t="shared" ca="1" si="96"/>
        <v>38.4</v>
      </c>
      <c r="T445" s="19">
        <f t="shared" ca="1" si="97"/>
        <v>0</v>
      </c>
      <c r="U445" s="16">
        <f>IFERROR(SUMIF('LISTA DE EMBARQUE'!B:B,MICRO!E:E,'LISTA DE EMBARQUE'!G:G),"")</f>
        <v>8</v>
      </c>
      <c r="V445" s="12">
        <f>IFERROR(VLOOKUP(Tabela1[[#This Row],[COD.MDE]],'LISTA DE EMBARQUE'!B:L,11,0),"")</f>
        <v>6</v>
      </c>
      <c r="W445" s="13" t="str">
        <f ca="1">IFERROR(COUNTIF(#REF!,Tabela1[[#This Row],[Colunas5]]),"")</f>
        <v/>
      </c>
      <c r="X445" s="14">
        <f ca="1">Tabela1[[#This Row],[QIANTIDADE EXPEDIDA]]*Tabela1[[#This Row],[PESO UNI]]</f>
        <v>38.4</v>
      </c>
      <c r="Y445" s="14">
        <f t="shared" ca="1" si="98"/>
        <v>0</v>
      </c>
      <c r="Z445" s="20">
        <f ca="1">Tabela1[[#This Row],[PESO TOTAL]]-Tabela1[[#This Row],[Peso Expedido]]</f>
        <v>0</v>
      </c>
      <c r="AA445" s="17">
        <v>1</v>
      </c>
      <c r="AB445" s="33"/>
      <c r="AC445" s="17">
        <v>1</v>
      </c>
      <c r="AD445" s="17">
        <v>1</v>
      </c>
      <c r="AE445" s="17">
        <v>1</v>
      </c>
      <c r="AF445" s="17">
        <v>1</v>
      </c>
      <c r="AG445" s="17">
        <v>1</v>
      </c>
      <c r="AH445" s="17">
        <v>1</v>
      </c>
      <c r="AI445" s="33" t="str">
        <f t="shared" ca="1" si="99"/>
        <v>ok</v>
      </c>
      <c r="AJ445" s="5"/>
      <c r="AK445" t="str">
        <f ca="1">Tabela1[[#This Row],[Coluna1]]&amp;Tabela1[[#This Row],[PEDIDO]]</f>
        <v>P-198</v>
      </c>
      <c r="AL445"/>
      <c r="AM445"/>
      <c r="AN445"/>
      <c r="AO445" t="str">
        <f t="shared" ca="1" si="92"/>
        <v>T-073242-1/14-CV-0001</v>
      </c>
      <c r="AP445" t="str">
        <f ca="1">Tabela1[[#This Row],[TAG]]&amp;Tabela1[[#This Row],[PEDIDO]]&amp;Tabela1[[#This Row],[PRODUTO]]</f>
        <v xml:space="preserve">14-CV-0001P-198ESTRUTURA </v>
      </c>
      <c r="AQ445" s="22" t="str">
        <f ca="1">Tabela1[[#This Row],[PRODUTO]]&amp;Tabela1[[#This Row],[TAG]]</f>
        <v>ESTRUTURA 14-CV-0001</v>
      </c>
      <c r="AR445" s="24" t="str">
        <f ca="1">Tabela1[[#This Row],[PEDIDO]]&amp;Tabela1[[#This Row],[PRODUTO]]</f>
        <v xml:space="preserve">P-198ESTRUTURA </v>
      </c>
      <c r="AS445" s="37">
        <f ca="1">IF(AF445="",0,IF(ISTEXT(AF445),H445*VALUE(SUBSTITUTE(AF445,"%",""))/100,H445*AF445))-Tabela1[[#This Row],[PRONTO ACABADO2]]</f>
        <v>0</v>
      </c>
      <c r="AT445" s="37">
        <f ca="1">IF(AG445="",0,IF(ISTEXT(AG445),H445*VALUE(SUBSTITUTE(AG445,"%",""))/100,H445*AG445))-Tabela1[[#This Row],[PESO EXPEDIDO2]]</f>
        <v>0</v>
      </c>
      <c r="AU445" s="37">
        <f t="shared" ca="1" si="93"/>
        <v>38.4</v>
      </c>
      <c r="AV445" s="37">
        <f t="shared" ca="1" si="94"/>
        <v>38.4</v>
      </c>
      <c r="AW445" s="37"/>
    </row>
    <row r="446" spans="1:49" ht="15.75" hidden="1" customHeight="1" x14ac:dyDescent="0.25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 ca="1"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 ca="1">Tabela1[[#This Row],[QTDE/ Fabricação]]-Tabela1[[#This Row],[QTE]]</f>
        <v>-22</v>
      </c>
      <c r="R446" s="18">
        <f t="shared" ca="1" si="95"/>
        <v>167.2</v>
      </c>
      <c r="S446" s="18">
        <f t="shared" ca="1" si="96"/>
        <v>167.2</v>
      </c>
      <c r="T446" s="19">
        <f t="shared" ca="1" si="97"/>
        <v>0</v>
      </c>
      <c r="U446" s="16">
        <f>IFERROR(SUMIF('LISTA DE EMBARQUE'!B:B,MICRO!E:E,'LISTA DE EMBARQUE'!G:G),"")</f>
        <v>22</v>
      </c>
      <c r="V446" s="12">
        <f ca="1">IFERROR(VLOOKUP(Tabela1[[#This Row],[COD.MDE]],'LISTA DE EMBARQUE'!B:L,11,0),"")</f>
        <v>5</v>
      </c>
      <c r="W446" s="13" t="str">
        <f ca="1">IFERROR(COUNTIF(#REF!,Tabela1[[#This Row],[Colunas5]]),"")</f>
        <v/>
      </c>
      <c r="X446" s="14">
        <f ca="1">Tabela1[[#This Row],[QIANTIDADE EXPEDIDA]]*Tabela1[[#This Row],[PESO UNI]]</f>
        <v>167.2</v>
      </c>
      <c r="Y446" s="14">
        <f t="shared" ca="1" si="98"/>
        <v>0</v>
      </c>
      <c r="Z446" s="20">
        <f ca="1">Tabela1[[#This Row],[PESO TOTAL]]-Tabela1[[#This Row],[Peso Expedido]]</f>
        <v>0</v>
      </c>
      <c r="AA446" s="17">
        <v>1</v>
      </c>
      <c r="AB446" s="33"/>
      <c r="AC446" s="33">
        <v>1</v>
      </c>
      <c r="AD446" s="33">
        <v>1</v>
      </c>
      <c r="AE446" s="33">
        <v>1</v>
      </c>
      <c r="AF446" s="33">
        <v>1</v>
      </c>
      <c r="AG446" s="33">
        <v>1</v>
      </c>
      <c r="AH446" s="33">
        <v>1</v>
      </c>
      <c r="AI446" s="33" t="str">
        <f t="shared" ca="1" si="99"/>
        <v>ok</v>
      </c>
      <c r="AJ446" s="5"/>
      <c r="AK446" t="str">
        <f ca="1">Tabela1[[#This Row],[Coluna1]]&amp;Tabela1[[#This Row],[PEDIDO]]</f>
        <v>P-198</v>
      </c>
      <c r="AL446"/>
      <c r="AM446"/>
      <c r="AN446"/>
      <c r="AO446" t="str">
        <f t="shared" ca="1" si="92"/>
        <v>T-073242-1/14-CV-0001</v>
      </c>
      <c r="AP446" t="str">
        <f ca="1">Tabela1[[#This Row],[TAG]]&amp;Tabela1[[#This Row],[PEDIDO]]&amp;Tabela1[[#This Row],[PRODUTO]]</f>
        <v xml:space="preserve">14-CV-0001P-198ESTRUTURA </v>
      </c>
      <c r="AQ446" s="22" t="str">
        <f ca="1">Tabela1[[#This Row],[PRODUTO]]&amp;Tabela1[[#This Row],[TAG]]</f>
        <v>ESTRUTURA 14-CV-0001</v>
      </c>
      <c r="AR446" s="24" t="str">
        <f ca="1">Tabela1[[#This Row],[PEDIDO]]&amp;Tabela1[[#This Row],[PRODUTO]]</f>
        <v xml:space="preserve">P-198ESTRUTURA </v>
      </c>
      <c r="AS446" s="37">
        <f ca="1">IF(AF446="",0,IF(ISTEXT(AF446),H446*VALUE(SUBSTITUTE(AF446,"%",""))/100,H446*AF446))-Tabela1[[#This Row],[PRONTO ACABADO2]]</f>
        <v>0</v>
      </c>
      <c r="AT446" s="37">
        <f ca="1">IF(AG446="",0,IF(ISTEXT(AG446),H446*VALUE(SUBSTITUTE(AG446,"%",""))/100,H446*AG446))-Tabela1[[#This Row],[PESO EXPEDIDO2]]</f>
        <v>0</v>
      </c>
      <c r="AU446" s="37">
        <f t="shared" ca="1" si="93"/>
        <v>167.2</v>
      </c>
      <c r="AV446" s="37">
        <f t="shared" ca="1" si="94"/>
        <v>167.2</v>
      </c>
      <c r="AW446" s="37"/>
    </row>
    <row r="447" spans="1:49" ht="15.75" hidden="1" customHeight="1" x14ac:dyDescent="0.25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 ca="1"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 ca="1">Tabela1[[#This Row],[QTDE/ Fabricação]]-Tabela1[[#This Row],[QTE]]</f>
        <v>-1</v>
      </c>
      <c r="R447" s="18">
        <f t="shared" ca="1" si="95"/>
        <v>25.9</v>
      </c>
      <c r="S447" s="18">
        <f t="shared" ca="1" si="96"/>
        <v>25.9</v>
      </c>
      <c r="T447" s="19">
        <f t="shared" ca="1" si="97"/>
        <v>0</v>
      </c>
      <c r="U447" s="16">
        <f>IFERROR(SUMIF('LISTA DE EMBARQUE'!B:B,MICRO!E:E,'LISTA DE EMBARQUE'!G:G),"")</f>
        <v>1</v>
      </c>
      <c r="V447" s="12">
        <f>IFERROR(VLOOKUP(Tabela1[[#This Row],[COD.MDE]],'LISTA DE EMBARQUE'!B:L,11,0),"")</f>
        <v>5</v>
      </c>
      <c r="W447" s="13" t="str">
        <f ca="1">IFERROR(COUNTIF(#REF!,Tabela1[[#This Row],[Colunas5]]),"")</f>
        <v/>
      </c>
      <c r="X447" s="14">
        <f ca="1">Tabela1[[#This Row],[QIANTIDADE EXPEDIDA]]*Tabela1[[#This Row],[PESO UNI]]</f>
        <v>25.9</v>
      </c>
      <c r="Y447" s="14">
        <f t="shared" ca="1" si="98"/>
        <v>0</v>
      </c>
      <c r="Z447" s="20">
        <f ca="1">Tabela1[[#This Row],[PESO TOTAL]]-Tabela1[[#This Row],[Peso Expedido]]</f>
        <v>0</v>
      </c>
      <c r="AA447" s="17">
        <v>1</v>
      </c>
      <c r="AB447" s="33"/>
      <c r="AC447" s="33">
        <v>1</v>
      </c>
      <c r="AD447" s="33">
        <v>1</v>
      </c>
      <c r="AE447" s="33">
        <v>1</v>
      </c>
      <c r="AF447" s="33">
        <v>1</v>
      </c>
      <c r="AG447" s="33">
        <v>1</v>
      </c>
      <c r="AH447" s="33">
        <v>1</v>
      </c>
      <c r="AI447" s="33" t="str">
        <f t="shared" ca="1" si="99"/>
        <v>ok</v>
      </c>
      <c r="AJ447" s="5"/>
      <c r="AK447" t="str">
        <f ca="1">Tabela1[[#This Row],[Coluna1]]&amp;Tabela1[[#This Row],[PEDIDO]]</f>
        <v>P-198</v>
      </c>
      <c r="AL447"/>
      <c r="AM447"/>
      <c r="AN447"/>
      <c r="AO447" t="str">
        <f t="shared" ca="1" si="92"/>
        <v>T-073242-1/14-CV-0001</v>
      </c>
      <c r="AP447" t="str">
        <f ca="1">Tabela1[[#This Row],[TAG]]&amp;Tabela1[[#This Row],[PEDIDO]]&amp;Tabela1[[#This Row],[PRODUTO]]</f>
        <v xml:space="preserve">14-CV-0001P-198ESTRUTURA </v>
      </c>
      <c r="AQ447" s="22" t="str">
        <f ca="1">Tabela1[[#This Row],[PRODUTO]]&amp;Tabela1[[#This Row],[TAG]]</f>
        <v>ESTRUTURA 14-CV-0001</v>
      </c>
      <c r="AR447" s="24" t="str">
        <f ca="1">Tabela1[[#This Row],[PEDIDO]]&amp;Tabela1[[#This Row],[PRODUTO]]</f>
        <v xml:space="preserve">P-198ESTRUTURA </v>
      </c>
      <c r="AS447" s="37">
        <f ca="1">IF(AF447="",0,IF(ISTEXT(AF447),H447*VALUE(SUBSTITUTE(AF447,"%",""))/100,H447*AF447))-Tabela1[[#This Row],[PRONTO ACABADO2]]</f>
        <v>0</v>
      </c>
      <c r="AT447" s="37">
        <f ca="1">IF(AG447="",0,IF(ISTEXT(AG447),H447*VALUE(SUBSTITUTE(AG447,"%",""))/100,H447*AG447))-Tabela1[[#This Row],[PESO EXPEDIDO2]]</f>
        <v>0</v>
      </c>
      <c r="AU447" s="37">
        <f t="shared" ca="1" si="93"/>
        <v>25.9</v>
      </c>
      <c r="AV447" s="37">
        <f t="shared" ca="1" si="94"/>
        <v>25.9</v>
      </c>
      <c r="AW447" s="37"/>
    </row>
    <row r="448" spans="1:49" ht="15.75" hidden="1" customHeight="1" x14ac:dyDescent="0.25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 ca="1"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 ca="1">Tabela1[[#This Row],[QTDE/ Fabricação]]-Tabela1[[#This Row],[QTE]]</f>
        <v>-1</v>
      </c>
      <c r="R448" s="18">
        <f t="shared" ca="1" si="95"/>
        <v>2.6</v>
      </c>
      <c r="S448" s="18">
        <f t="shared" ca="1" si="96"/>
        <v>2.6</v>
      </c>
      <c r="T448" s="19">
        <f t="shared" ca="1" si="97"/>
        <v>0</v>
      </c>
      <c r="U448" s="16">
        <f>IFERROR(SUMIF('LISTA DE EMBARQUE'!B:B,MICRO!E:E,'LISTA DE EMBARQUE'!G:G),"")</f>
        <v>1</v>
      </c>
      <c r="V448" s="12">
        <f>IFERROR(VLOOKUP(Tabela1[[#This Row],[COD.MDE]],'LISTA DE EMBARQUE'!B:L,11,0),"")</f>
        <v>6</v>
      </c>
      <c r="W448" s="13" t="str">
        <f ca="1">IFERROR(COUNTIF(#REF!,Tabela1[[#This Row],[Colunas5]]),"")</f>
        <v/>
      </c>
      <c r="X448" s="14">
        <f ca="1">Tabela1[[#This Row],[QIANTIDADE EXPEDIDA]]*Tabela1[[#This Row],[PESO UNI]]</f>
        <v>2.6</v>
      </c>
      <c r="Y448" s="14">
        <f t="shared" ca="1" si="98"/>
        <v>0</v>
      </c>
      <c r="Z448" s="20">
        <f ca="1">Tabela1[[#This Row],[PESO TOTAL]]-Tabela1[[#This Row],[Peso Expedido]]</f>
        <v>0</v>
      </c>
      <c r="AA448" s="17">
        <v>1</v>
      </c>
      <c r="AB448" s="33"/>
      <c r="AC448" s="17">
        <v>1</v>
      </c>
      <c r="AD448" s="17">
        <v>1</v>
      </c>
      <c r="AE448" s="17">
        <v>1</v>
      </c>
      <c r="AF448" s="17">
        <v>1</v>
      </c>
      <c r="AG448" s="17">
        <v>1</v>
      </c>
      <c r="AH448" s="17">
        <v>1</v>
      </c>
      <c r="AI448" s="33" t="str">
        <f t="shared" ca="1" si="99"/>
        <v>ok</v>
      </c>
      <c r="AJ448" s="5"/>
      <c r="AK448" t="str">
        <f ca="1">Tabela1[[#This Row],[Coluna1]]&amp;Tabela1[[#This Row],[PEDIDO]]</f>
        <v>P-198</v>
      </c>
      <c r="AL448"/>
      <c r="AM448"/>
      <c r="AN448"/>
      <c r="AO448" t="str">
        <f t="shared" ca="1" si="92"/>
        <v>T-073242-1/14-CV-0001</v>
      </c>
      <c r="AP448" t="str">
        <f ca="1">Tabela1[[#This Row],[TAG]]&amp;Tabela1[[#This Row],[PEDIDO]]&amp;Tabela1[[#This Row],[PRODUTO]]</f>
        <v xml:space="preserve">14-CV-0001P-198ESTRUTURA </v>
      </c>
      <c r="AQ448" s="22" t="str">
        <f ca="1">Tabela1[[#This Row],[PRODUTO]]&amp;Tabela1[[#This Row],[TAG]]</f>
        <v>ESTRUTURA 14-CV-0001</v>
      </c>
      <c r="AR448" s="24" t="str">
        <f ca="1">Tabela1[[#This Row],[PEDIDO]]&amp;Tabela1[[#This Row],[PRODUTO]]</f>
        <v xml:space="preserve">P-198ESTRUTURA </v>
      </c>
      <c r="AS448" s="37">
        <f ca="1">IF(AF448="",0,IF(ISTEXT(AF448),H448*VALUE(SUBSTITUTE(AF448,"%",""))/100,H448*AF448))-Tabela1[[#This Row],[PRONTO ACABADO2]]</f>
        <v>0</v>
      </c>
      <c r="AT448" s="37">
        <f ca="1">IF(AG448="",0,IF(ISTEXT(AG448),H448*VALUE(SUBSTITUTE(AG448,"%",""))/100,H448*AG448))-Tabela1[[#This Row],[PESO EXPEDIDO2]]</f>
        <v>0</v>
      </c>
      <c r="AU448" s="37">
        <f t="shared" ca="1" si="93"/>
        <v>2.6</v>
      </c>
      <c r="AV448" s="37">
        <f t="shared" ca="1" si="94"/>
        <v>2.6</v>
      </c>
      <c r="AW448" s="37"/>
    </row>
    <row r="449" spans="1:49" ht="15.75" hidden="1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 ca="1"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 ca="1">Tabela1[[#This Row],[QTDE/ Fabricação]]-Tabela1[[#This Row],[QTE]]</f>
        <v>-2</v>
      </c>
      <c r="R449" s="18">
        <f t="shared" ca="1" si="95"/>
        <v>22.799999999999997</v>
      </c>
      <c r="S449" s="18">
        <f t="shared" ca="1" si="96"/>
        <v>0</v>
      </c>
      <c r="T449" s="19">
        <f t="shared" ca="1" si="97"/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 ca="1">IFERROR(COUNTIF(#REF!,Tabela1[[#This Row],[Colunas5]]),"")</f>
        <v/>
      </c>
      <c r="X449" s="14">
        <f ca="1">Tabela1[[#This Row],[QIANTIDADE EXPEDIDA]]*Tabela1[[#This Row],[PESO UNI]]</f>
        <v>0</v>
      </c>
      <c r="Y449" s="14">
        <f t="shared" ca="1" si="98"/>
        <v>-2</v>
      </c>
      <c r="Z449" s="20">
        <f ca="1">Tabela1[[#This Row],[PESO TOTAL]]-Tabela1[[#This Row],[Peso Expedido]]</f>
        <v>24</v>
      </c>
      <c r="AA449" s="17">
        <v>1</v>
      </c>
      <c r="AB449" s="33"/>
      <c r="AC449" s="33">
        <v>1</v>
      </c>
      <c r="AD449" s="33">
        <v>1</v>
      </c>
      <c r="AE449" s="33">
        <v>1</v>
      </c>
      <c r="AF449" s="33"/>
      <c r="AG449" s="33"/>
      <c r="AH449" s="33"/>
      <c r="AI449" s="33" t="str">
        <f t="shared" ca="1" si="99"/>
        <v/>
      </c>
      <c r="AJ449" s="5"/>
      <c r="AK449" t="str">
        <f ca="1">Tabela1[[#This Row],[Coluna1]]&amp;Tabela1[[#This Row],[PEDIDO]]</f>
        <v>P-198</v>
      </c>
      <c r="AL449"/>
      <c r="AM449"/>
      <c r="AN449"/>
      <c r="AO449" t="str">
        <f ca="1">A449&amp;"/"&amp;J449</f>
        <v>T-073242-1/14-CV-0001</v>
      </c>
      <c r="AP449" t="str">
        <f ca="1">Tabela1[[#This Row],[TAG]]&amp;Tabela1[[#This Row],[PEDIDO]]&amp;Tabela1[[#This Row],[PRODUTO]]</f>
        <v xml:space="preserve">14-CV-0001P-198ESTRUTURA </v>
      </c>
      <c r="AQ449" s="22" t="str">
        <f ca="1">Tabela1[[#This Row],[PRODUTO]]&amp;Tabela1[[#This Row],[TAG]]</f>
        <v>ESTRUTURA 14-CV-0001</v>
      </c>
      <c r="AR449" s="24" t="str">
        <f ca="1">Tabela1[[#This Row],[PEDIDO]]&amp;Tabela1[[#This Row],[PRODUTO]]</f>
        <v xml:space="preserve">P-198ESTRUTURA </v>
      </c>
      <c r="AS449" s="37">
        <f ca="1">IF(AF449="",0,IF(ISTEXT(AF449),H449*VALUE(SUBSTITUTE(AF449,"%",""))/100,H449*AF449))-Tabela1[[#This Row],[PRONTO ACABADO2]]</f>
        <v>0</v>
      </c>
      <c r="AT449" s="37">
        <f ca="1">IF(AG449="",0,IF(ISTEXT(AG449),H449*VALUE(SUBSTITUTE(AG449,"%",""))/100,H449*AG449))-Tabela1[[#This Row],[PESO EXPEDIDO2]]</f>
        <v>0</v>
      </c>
      <c r="AU449" s="37">
        <f ca="1">IF(AH449="",0,IF(ISTEXT(AH449),H449*VALUE(SUBSTITUTE(AH449,"%",""))/100,H449*AH449))</f>
        <v>0</v>
      </c>
      <c r="AV449" s="37">
        <f ca="1">IF(AG449="",0,IF(ISTEXT(AG449),H449*VALUE(SUBSTITUTE(AG449,"%",""))/100,H449*AG449))</f>
        <v>0</v>
      </c>
      <c r="AW449" s="37"/>
    </row>
    <row r="450" spans="1:49" ht="15.75" hidden="1" customHeight="1" x14ac:dyDescent="0.25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 ca="1">Tabela1[[#This Row],[PESO UNI]]*Tabela1[[#This Row],[QTE]]</f>
        <v>748.2</v>
      </c>
      <c r="I450" s="7" t="s">
        <v>4950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 ca="1">Tabela1[[#This Row],[QTDE/ Fabricação]]-Tabela1[[#This Row],[QTE]]</f>
        <v>-1</v>
      </c>
      <c r="R450" s="18">
        <f t="shared" ca="1" si="95"/>
        <v>748.2</v>
      </c>
      <c r="S450" s="18">
        <f t="shared" ca="1" si="96"/>
        <v>748.2</v>
      </c>
      <c r="T450" s="19">
        <f t="shared" ca="1" si="97"/>
        <v>0</v>
      </c>
      <c r="U450" s="16">
        <f>IFERROR(SUMIF('LISTA DE EMBARQUE'!B:B,MICRO!E:E,'LISTA DE EMBARQUE'!G:G),"")</f>
        <v>1</v>
      </c>
      <c r="V450" s="12">
        <f ca="1">IFERROR(VLOOKUP(Tabela1[[#This Row],[COD.MDE]],'LISTA DE EMBARQUE'!B:L,11,0),"")</f>
        <v>4</v>
      </c>
      <c r="W450" s="13"/>
      <c r="X450" s="14">
        <f ca="1">IFERROR(Tabela1[[#This Row],[QIANTIDADE EXPEDIDA]]*Tabela1[[#This Row],[PESO UNI]],"")</f>
        <v>748.2</v>
      </c>
      <c r="Y450" s="14">
        <f t="shared" ca="1" si="98"/>
        <v>0</v>
      </c>
      <c r="Z450" s="20">
        <f ca="1">Tabela1[[#This Row],[PESO TOTAL]]-Tabela1[[#This Row],[Peso Expedido]]</f>
        <v>0</v>
      </c>
      <c r="AA450" s="33">
        <v>1</v>
      </c>
      <c r="AB450" s="33"/>
      <c r="AC450" s="33">
        <v>1</v>
      </c>
      <c r="AD450" s="33">
        <v>1</v>
      </c>
      <c r="AE450" s="33">
        <v>1</v>
      </c>
      <c r="AF450" s="33">
        <v>1</v>
      </c>
      <c r="AG450" s="33">
        <v>1</v>
      </c>
      <c r="AH450" s="33">
        <v>1</v>
      </c>
      <c r="AI450" s="33" t="str">
        <f t="shared" ca="1" si="99"/>
        <v>ok</v>
      </c>
    </row>
    <row r="451" spans="1:49" ht="15.75" hidden="1" customHeight="1" x14ac:dyDescent="0.25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 ca="1"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 ca="1">Tabela1[[#This Row],[QTDE/ Fabricação]]-Tabela1[[#This Row],[QTE]]</f>
        <v>-5</v>
      </c>
      <c r="R451" s="18">
        <f t="shared" ca="1" si="95"/>
        <v>3651</v>
      </c>
      <c r="S451" s="18">
        <f t="shared" ca="1" si="96"/>
        <v>3651</v>
      </c>
      <c r="T451" s="19">
        <f t="shared" ca="1" si="97"/>
        <v>0</v>
      </c>
      <c r="U451" s="16">
        <f>IFERROR(SUMIF('LISTA DE EMBARQUE'!B:B,MICRO!E:E,'LISTA DE EMBARQUE'!G:G),"")</f>
        <v>5</v>
      </c>
      <c r="V451" s="12">
        <f>IFERROR(VLOOKUP(Tabela1[[#This Row],[COD.MDE]],'LISTA DE EMBARQUE'!B:L,11,0),"")</f>
        <v>4</v>
      </c>
      <c r="W451" s="13"/>
      <c r="X451" s="14">
        <f ca="1">IFERROR(Tabela1[[#This Row],[QIANTIDADE EXPEDIDA]]*Tabela1[[#This Row],[PESO UNI]],"")</f>
        <v>3651</v>
      </c>
      <c r="Y451" s="14">
        <f t="shared" ca="1" si="98"/>
        <v>0</v>
      </c>
      <c r="Z451" s="20">
        <f ca="1">Tabela1[[#This Row],[PESO TOTAL]]-Tabela1[[#This Row],[Peso Expedido]]</f>
        <v>0</v>
      </c>
      <c r="AA451" s="33">
        <v>1</v>
      </c>
      <c r="AB451" s="33"/>
      <c r="AC451" s="33">
        <v>1</v>
      </c>
      <c r="AD451" s="33">
        <v>1</v>
      </c>
      <c r="AE451" s="33">
        <v>1</v>
      </c>
      <c r="AF451" s="33">
        <v>1</v>
      </c>
      <c r="AG451" s="33">
        <v>1</v>
      </c>
      <c r="AH451" s="33">
        <v>1</v>
      </c>
      <c r="AI451" s="33" t="str">
        <f t="shared" ca="1" si="99"/>
        <v>ok</v>
      </c>
    </row>
    <row r="452" spans="1:49" ht="15.75" hidden="1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320">
        <v>1</v>
      </c>
      <c r="H452" s="34">
        <f ca="1">Tabela1[[#This Row],[PESO UNI]]*Tabela1[[#This Row],[QTE]]</f>
        <v>18</v>
      </c>
      <c r="I452" s="7" t="s">
        <v>2</v>
      </c>
      <c r="J452" s="8" t="s">
        <v>4423</v>
      </c>
      <c r="K452" s="7" t="s">
        <v>23</v>
      </c>
      <c r="L452" s="7" t="s">
        <v>4424</v>
      </c>
      <c r="M452" s="7">
        <v>46218</v>
      </c>
      <c r="N452" s="7" t="s">
        <v>38</v>
      </c>
      <c r="O452" s="14"/>
      <c r="P452" s="18"/>
      <c r="Q452" s="7">
        <f ca="1">Tabela1[[#This Row],[QTDE/ Fabricação]]-Tabela1[[#This Row],[QTE]]</f>
        <v>-18</v>
      </c>
      <c r="R452" s="18">
        <f t="shared" ca="1" si="89"/>
        <v>18</v>
      </c>
      <c r="S452" s="18">
        <f t="shared" ref="S452:S458" ca="1" si="100">IFERROR(H452*AG452,"")</f>
        <v>18</v>
      </c>
      <c r="T452" s="19">
        <f t="shared" ref="T452:T458" ca="1" si="101">IFERROR(S452-H452,"")</f>
        <v>0</v>
      </c>
      <c r="U452" s="16">
        <f>IFERROR(SUMIF('LISTA DE EMBARQUE'!B:B,MICRO!E:E,'LISTA DE EMBARQUE'!G:G),"")</f>
        <v>18</v>
      </c>
      <c r="V452" s="12">
        <f>IFERROR(VLOOKUP(Tabela1[[#This Row],[COD.MDE]],'LISTA DE EMBARQUE'!B:L,11,0),"")</f>
        <v>1</v>
      </c>
      <c r="W452" s="13"/>
      <c r="X452" s="14">
        <f ca="1">IFERROR(Tabela1[[#This Row],[QIANTIDADE EXPEDIDA]]*Tabela1[[#This Row],[PESO UNI]],"")</f>
        <v>18</v>
      </c>
      <c r="Y452" s="14">
        <f t="shared" ref="Y452:Y458" ca="1" si="102">U452-C452</f>
        <v>0</v>
      </c>
      <c r="Z452" s="20">
        <f ca="1">Tabela1[[#This Row],[PESO TOTAL]]-Tabela1[[#This Row],[Peso Expedido]]</f>
        <v>0</v>
      </c>
      <c r="AA452" s="33">
        <v>1</v>
      </c>
      <c r="AB452" s="33">
        <v>1</v>
      </c>
      <c r="AC452" s="33">
        <v>1</v>
      </c>
      <c r="AD452" s="33">
        <v>1</v>
      </c>
      <c r="AE452" s="33">
        <v>1</v>
      </c>
      <c r="AF452" s="33">
        <v>1</v>
      </c>
      <c r="AG452" s="33">
        <v>1</v>
      </c>
      <c r="AH452" s="33">
        <v>1</v>
      </c>
      <c r="AI452" s="33" t="str">
        <f t="shared" ca="1" si="77"/>
        <v>ok</v>
      </c>
    </row>
    <row r="453" spans="1:49" ht="15.75" hidden="1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320">
        <v>5.2</v>
      </c>
      <c r="H453" s="34">
        <f ca="1">Tabela1[[#This Row],[PESO UNI]]*Tabela1[[#This Row],[QTE]]</f>
        <v>275.60000000000002</v>
      </c>
      <c r="I453" s="7" t="s">
        <v>2</v>
      </c>
      <c r="J453" s="8" t="s">
        <v>4423</v>
      </c>
      <c r="K453" s="7" t="s">
        <v>23</v>
      </c>
      <c r="L453" s="7" t="s">
        <v>4424</v>
      </c>
      <c r="M453" s="7">
        <v>46218</v>
      </c>
      <c r="N453" s="7" t="s">
        <v>38</v>
      </c>
      <c r="O453" s="14"/>
      <c r="P453" s="18"/>
      <c r="Q453" s="7">
        <f ca="1">Tabela1[[#This Row],[QTDE/ Fabricação]]-Tabela1[[#This Row],[QTE]]</f>
        <v>-53</v>
      </c>
      <c r="R453" s="18">
        <f ca="1">IFERROR(H453*((AA453*0.25)+(AC453*0.25)+(AD453*0.225)+(AE453*0.225)+(AF453*0.05)),"")</f>
        <v>275.60000000000002</v>
      </c>
      <c r="S453" s="18">
        <f t="shared" ca="1" si="100"/>
        <v>275.60000000000002</v>
      </c>
      <c r="T453" s="19">
        <f t="shared" ca="1" si="101"/>
        <v>0</v>
      </c>
      <c r="U453" s="16">
        <f>IFERROR(SUMIF('LISTA DE EMBARQUE'!B:B,MICRO!E:E,'LISTA DE EMBARQUE'!G:G),"")</f>
        <v>53</v>
      </c>
      <c r="V453" s="12">
        <f>IFERROR(VLOOKUP(Tabela1[[#This Row],[COD.MDE]],'LISTA DE EMBARQUE'!B:L,11,0),"")</f>
        <v>1</v>
      </c>
      <c r="W453" s="13"/>
      <c r="X453" s="14">
        <f ca="1">IFERROR(Tabela1[[#This Row],[QIANTIDADE EXPEDIDA]]*Tabela1[[#This Row],[PESO UNI]],"")</f>
        <v>275.60000000000002</v>
      </c>
      <c r="Y453" s="14">
        <f t="shared" ca="1" si="102"/>
        <v>0</v>
      </c>
      <c r="Z453" s="20">
        <f ca="1">Tabela1[[#This Row],[PESO TOTAL]]-Tabela1[[#This Row],[Peso Expedido]]</f>
        <v>0</v>
      </c>
      <c r="AA453" s="33">
        <v>1</v>
      </c>
      <c r="AB453" s="33">
        <v>1</v>
      </c>
      <c r="AC453" s="33">
        <v>1</v>
      </c>
      <c r="AD453" s="33">
        <v>1</v>
      </c>
      <c r="AE453" s="33">
        <v>1</v>
      </c>
      <c r="AF453" s="33">
        <v>1</v>
      </c>
      <c r="AG453" s="33">
        <v>1</v>
      </c>
      <c r="AH453" s="33">
        <v>1</v>
      </c>
      <c r="AI453" s="33" t="str">
        <f t="shared" ca="1" si="77"/>
        <v>ok</v>
      </c>
    </row>
    <row r="454" spans="1:49" ht="15.75" hidden="1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320">
        <v>19.100000000000001</v>
      </c>
      <c r="H454" s="34">
        <f ca="1">Tabela1[[#This Row],[PESO UNI]]*Tabela1[[#This Row],[QTE]]</f>
        <v>133.70000000000002</v>
      </c>
      <c r="I454" s="7" t="s">
        <v>746</v>
      </c>
      <c r="J454" s="8" t="s">
        <v>4423</v>
      </c>
      <c r="K454" s="7" t="s">
        <v>33</v>
      </c>
      <c r="L454" s="7" t="s">
        <v>4424</v>
      </c>
      <c r="M454" s="7">
        <v>46218</v>
      </c>
      <c r="N454" s="7" t="s">
        <v>38</v>
      </c>
      <c r="O454" s="14"/>
      <c r="P454" s="18"/>
      <c r="Q454" s="7">
        <f ca="1">Tabela1[[#This Row],[QTDE/ Fabricação]]-Tabela1[[#This Row],[QTE]]</f>
        <v>-7</v>
      </c>
      <c r="R454" s="18">
        <f ca="1">IFERROR(H454*((AA454*0.25)+(AB454*0.25)+(AD454*0.225)+(AE454*0.225)+(AF454*0.05)),"")</f>
        <v>133.70000000000002</v>
      </c>
      <c r="S454" s="18">
        <f t="shared" ca="1" si="100"/>
        <v>133.70000000000002</v>
      </c>
      <c r="T454" s="19">
        <f t="shared" ca="1" si="101"/>
        <v>0</v>
      </c>
      <c r="U454" s="16">
        <f>IFERROR(SUMIF('LISTA DE EMBARQUE'!B:B,MICRO!E:E,'LISTA DE EMBARQUE'!G:G),"")</f>
        <v>7</v>
      </c>
      <c r="V454" s="12">
        <f ca="1">IFERROR(VLOOKUP(Tabela1[[#This Row],[COD.MDE]],'LISTA DE EMBARQUE'!B:L,11,0),"")</f>
        <v>1</v>
      </c>
      <c r="W454" s="13"/>
      <c r="X454" s="14">
        <f ca="1">IFERROR(Tabela1[[#This Row],[QIANTIDADE EXPEDIDA]]*Tabela1[[#This Row],[PESO UNI]],"")</f>
        <v>133.70000000000002</v>
      </c>
      <c r="Y454" s="14">
        <f t="shared" ca="1" si="102"/>
        <v>0</v>
      </c>
      <c r="Z454" s="20">
        <f ca="1">Tabela1[[#This Row],[PESO TOTAL]]-Tabela1[[#This Row],[Peso Expedido]]</f>
        <v>0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33">
        <v>1</v>
      </c>
      <c r="AI454" s="33" t="str">
        <f t="shared" ca="1" si="77"/>
        <v>ok</v>
      </c>
    </row>
    <row r="455" spans="1:49" ht="15.75" hidden="1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320">
        <v>18.2</v>
      </c>
      <c r="H455" s="34">
        <f ca="1">Tabela1[[#This Row],[PESO UNI]]*Tabela1[[#This Row],[QTE]]</f>
        <v>109.19999999999999</v>
      </c>
      <c r="I455" s="7" t="s">
        <v>746</v>
      </c>
      <c r="J455" s="8" t="s">
        <v>4423</v>
      </c>
      <c r="K455" s="7" t="s">
        <v>33</v>
      </c>
      <c r="L455" s="7" t="s">
        <v>4424</v>
      </c>
      <c r="M455" s="7">
        <v>46218</v>
      </c>
      <c r="N455" s="7" t="s">
        <v>38</v>
      </c>
      <c r="O455" s="14"/>
      <c r="P455" s="18"/>
      <c r="Q455" s="7">
        <f ca="1">Tabela1[[#This Row],[QTDE/ Fabricação]]-Tabela1[[#This Row],[QTE]]</f>
        <v>-6</v>
      </c>
      <c r="R455" s="18">
        <f ca="1">IFERROR(H455*((AA455*0.25)+(AB455*0.25)+(AD455*0.225)+(AE455*0.225)+(AF455*0.05)),"")</f>
        <v>109.19999999999999</v>
      </c>
      <c r="S455" s="18">
        <f t="shared" ca="1" si="100"/>
        <v>109.19999999999999</v>
      </c>
      <c r="T455" s="19">
        <f t="shared" ca="1" si="101"/>
        <v>0</v>
      </c>
      <c r="U455" s="16">
        <f>IFERROR(SUMIF('LISTA DE EMBARQUE'!B:B,MICRO!E:E,'LISTA DE EMBARQUE'!G:G),"")</f>
        <v>6</v>
      </c>
      <c r="V455" s="12">
        <f>IFERROR(VLOOKUP(Tabela1[[#This Row],[COD.MDE]],'LISTA DE EMBARQUE'!B:L,11,0),"")</f>
        <v>1</v>
      </c>
      <c r="W455" s="13"/>
      <c r="X455" s="14">
        <f ca="1">IFERROR(Tabela1[[#This Row],[QIANTIDADE EXPEDIDA]]*Tabela1[[#This Row],[PESO UNI]],"")</f>
        <v>109.19999999999999</v>
      </c>
      <c r="Y455" s="14">
        <f t="shared" ca="1" si="102"/>
        <v>0</v>
      </c>
      <c r="Z455" s="20">
        <f ca="1">Tabela1[[#This Row],[PESO TOTAL]]-Tabela1[[#This Row],[Peso Expedido]]</f>
        <v>0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33">
        <v>1</v>
      </c>
      <c r="AI455" s="33" t="str">
        <f t="shared" ca="1" si="77"/>
        <v>ok</v>
      </c>
    </row>
    <row r="456" spans="1:49" ht="15.75" hidden="1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320">
        <v>6</v>
      </c>
      <c r="H456" s="34">
        <f ca="1">Tabela1[[#This Row],[PESO UNI]]*Tabela1[[#This Row],[QTE]]</f>
        <v>48</v>
      </c>
      <c r="I456" s="7" t="s">
        <v>746</v>
      </c>
      <c r="J456" s="8" t="s">
        <v>4423</v>
      </c>
      <c r="K456" s="7" t="s">
        <v>33</v>
      </c>
      <c r="L456" s="7" t="s">
        <v>4424</v>
      </c>
      <c r="M456" s="7">
        <v>46218</v>
      </c>
      <c r="N456" s="7" t="s">
        <v>38</v>
      </c>
      <c r="O456" s="14"/>
      <c r="P456" s="18"/>
      <c r="Q456" s="7">
        <f ca="1">Tabela1[[#This Row],[QTDE/ Fabricação]]-Tabela1[[#This Row],[QTE]]</f>
        <v>-8</v>
      </c>
      <c r="R456" s="18">
        <f ca="1">IFERROR(H456*((AA456*0.25)+(AB456*0.25)+(AD456*0.225)+(AE456*0.225)+(AF456*0.05)),"")</f>
        <v>48</v>
      </c>
      <c r="S456" s="18">
        <f t="shared" ca="1" si="100"/>
        <v>48</v>
      </c>
      <c r="T456" s="19">
        <f t="shared" ca="1" si="101"/>
        <v>0</v>
      </c>
      <c r="U456" s="16">
        <f>IFERROR(SUMIF('LISTA DE EMBARQUE'!B:B,MICRO!E:E,'LISTA DE EMBARQUE'!G:G),"")</f>
        <v>8</v>
      </c>
      <c r="V456" s="12">
        <f>IFERROR(VLOOKUP(Tabela1[[#This Row],[COD.MDE]],'LISTA DE EMBARQUE'!B:L,11,0),"")</f>
        <v>1</v>
      </c>
      <c r="W456" s="13"/>
      <c r="X456" s="14">
        <f ca="1">IFERROR(Tabela1[[#This Row],[QIANTIDADE EXPEDIDA]]*Tabela1[[#This Row],[PESO UNI]],"")</f>
        <v>48</v>
      </c>
      <c r="Y456" s="14">
        <f t="shared" ca="1" si="102"/>
        <v>0</v>
      </c>
      <c r="Z456" s="20">
        <f ca="1">Tabela1[[#This Row],[PESO TOTAL]]-Tabela1[[#This Row],[Peso Expedido]]</f>
        <v>0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33">
        <v>1</v>
      </c>
      <c r="AI456" s="33" t="str">
        <f t="shared" ca="1" si="77"/>
        <v>ok</v>
      </c>
    </row>
    <row r="457" spans="1:49" ht="15.75" hidden="1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320">
        <v>5</v>
      </c>
      <c r="H457" s="34">
        <f ca="1">Tabela1[[#This Row],[PESO UNI]]*Tabela1[[#This Row],[QTE]]</f>
        <v>70</v>
      </c>
      <c r="I457" s="7" t="s">
        <v>746</v>
      </c>
      <c r="J457" s="8" t="s">
        <v>4423</v>
      </c>
      <c r="K457" s="7" t="s">
        <v>33</v>
      </c>
      <c r="L457" s="7" t="s">
        <v>4424</v>
      </c>
      <c r="M457" s="7">
        <v>46218</v>
      </c>
      <c r="N457" s="7" t="s">
        <v>38</v>
      </c>
      <c r="O457" s="14"/>
      <c r="P457" s="18"/>
      <c r="Q457" s="7">
        <f ca="1">Tabela1[[#This Row],[QTDE/ Fabricação]]-Tabela1[[#This Row],[QTE]]</f>
        <v>-14</v>
      </c>
      <c r="R457" s="18">
        <f ca="1">IFERROR(H457*((AA457*0.25)+(AB457*0.25)+(AD457*0.225)+(AE457*0.225)+(AF457*0.05)),"")</f>
        <v>70</v>
      </c>
      <c r="S457" s="18">
        <f t="shared" ca="1" si="100"/>
        <v>70</v>
      </c>
      <c r="T457" s="19">
        <f t="shared" ca="1" si="101"/>
        <v>0</v>
      </c>
      <c r="U457" s="16">
        <f>IFERROR(SUMIF('LISTA DE EMBARQUE'!B:B,MICRO!E:E,'LISTA DE EMBARQUE'!G:G),"")</f>
        <v>14</v>
      </c>
      <c r="V457" s="12">
        <f>IFERROR(VLOOKUP(Tabela1[[#This Row],[COD.MDE]],'LISTA DE EMBARQUE'!B:L,11,0),"")</f>
        <v>1</v>
      </c>
      <c r="W457" s="13"/>
      <c r="X457" s="14">
        <f ca="1">IFERROR(Tabela1[[#This Row],[QIANTIDADE EXPEDIDA]]*Tabela1[[#This Row],[PESO UNI]],"")</f>
        <v>70</v>
      </c>
      <c r="Y457" s="14">
        <f t="shared" ca="1" si="102"/>
        <v>0</v>
      </c>
      <c r="Z457" s="20">
        <f ca="1">Tabela1[[#This Row],[PESO TOTAL]]-Tabela1[[#This Row],[Peso Expedido]]</f>
        <v>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33">
        <v>1</v>
      </c>
      <c r="AI457" s="33" t="str">
        <f t="shared" ca="1" si="77"/>
        <v>ok</v>
      </c>
    </row>
    <row r="458" spans="1:49" ht="15.75" hidden="1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320">
        <v>6</v>
      </c>
      <c r="H458" s="34">
        <f ca="1">Tabela1[[#This Row],[PESO UNI]]*Tabela1[[#This Row],[QTE]]</f>
        <v>138</v>
      </c>
      <c r="I458" s="7" t="s">
        <v>746</v>
      </c>
      <c r="J458" s="8" t="s">
        <v>4423</v>
      </c>
      <c r="K458" s="7" t="s">
        <v>33</v>
      </c>
      <c r="L458" s="7" t="s">
        <v>4424</v>
      </c>
      <c r="M458" s="7">
        <v>46218</v>
      </c>
      <c r="N458" s="7" t="s">
        <v>38</v>
      </c>
      <c r="O458" s="14"/>
      <c r="P458" s="18"/>
      <c r="Q458" s="7">
        <f ca="1">Tabela1[[#This Row],[QTDE/ Fabricação]]-Tabela1[[#This Row],[QTE]]</f>
        <v>-23</v>
      </c>
      <c r="R458" s="18" t="str">
        <f ca="1">IFERROR(H458*((AA458*0.25)+(AB458*0.25)+(AD458*0.225)+(#REF!*0.225)+(AF458*0.05)),"")</f>
        <v/>
      </c>
      <c r="S458" s="18">
        <f t="shared" ca="1" si="100"/>
        <v>138</v>
      </c>
      <c r="T458" s="19">
        <f t="shared" ca="1" si="101"/>
        <v>0</v>
      </c>
      <c r="U458" s="16">
        <f>IFERROR(SUMIF('LISTA DE EMBARQUE'!B:B,MICRO!E:E,'LISTA DE EMBARQUE'!G:G),"")</f>
        <v>23</v>
      </c>
      <c r="V458" s="12">
        <f ca="1">IFERROR(VLOOKUP(Tabela1[[#This Row],[COD.MDE]],'LISTA DE EMBARQUE'!B:L,11,0),"")</f>
        <v>1</v>
      </c>
      <c r="W458" s="13"/>
      <c r="X458" s="14">
        <f ca="1">IFERROR(Tabela1[[#This Row],[QIANTIDADE EXPEDIDA]]*Tabela1[[#This Row],[PESO UNI]],"")</f>
        <v>138</v>
      </c>
      <c r="Y458" s="14">
        <f t="shared" ca="1" si="102"/>
        <v>0</v>
      </c>
      <c r="Z458" s="20">
        <f ca="1">Tabela1[[#This Row],[PESO TOTAL]]-Tabela1[[#This Row],[Peso Expedido]]</f>
        <v>0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33">
        <v>1</v>
      </c>
      <c r="AI458" s="33" t="str">
        <f t="shared" ca="1" si="77"/>
        <v>ok</v>
      </c>
    </row>
    <row r="459" spans="1:49" ht="15.75" hidden="1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 ca="1"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 ca="1">Tabela1[[#This Row],[QTDE/ Fabricação]]-Tabela1[[#This Row],[QTE]]</f>
        <v>-1</v>
      </c>
      <c r="R459" s="18">
        <f t="shared" ca="1" si="89"/>
        <v>13.1</v>
      </c>
      <c r="S459" s="18">
        <f t="shared" ca="1" si="82"/>
        <v>13.1</v>
      </c>
      <c r="T459" s="19">
        <f t="shared" ca="1" si="90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 ca="1">IFERROR(COUNTIF(#REF!,Tabela1[[#This Row],[Colunas5]]),"")</f>
        <v/>
      </c>
      <c r="X459" s="14">
        <f ca="1">Tabela1[[#This Row],[QIANTIDADE EXPEDIDA]]*Tabela1[[#This Row],[PESO UNI]]</f>
        <v>13.1</v>
      </c>
      <c r="Y459" s="14">
        <f t="shared" ca="1" si="91"/>
        <v>0</v>
      </c>
      <c r="Z459" s="20">
        <f ca="1"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 ca="1">Tabela1[[#This Row],[Coluna1]]&amp;Tabela1[[#This Row],[PEDIDO]]</f>
        <v>P-190</v>
      </c>
      <c r="AL459"/>
      <c r="AM459"/>
      <c r="AN459"/>
      <c r="AO459" t="str">
        <f t="shared" ca="1" si="92"/>
        <v>P-073081-1/P190</v>
      </c>
      <c r="AP459" t="str">
        <f ca="1">Tabela1[[#This Row],[TAG]]&amp;Tabela1[[#This Row],[PEDIDO]]&amp;Tabela1[[#This Row],[PRODUTO]]</f>
        <v>P190P-190TECMETAL</v>
      </c>
      <c r="AQ459" s="22" t="str">
        <f ca="1">Tabela1[[#This Row],[PRODUTO]]&amp;Tabela1[[#This Row],[TAG]]</f>
        <v>TECMETALP190</v>
      </c>
      <c r="AR459" s="24" t="str">
        <f ca="1">Tabela1[[#This Row],[PEDIDO]]&amp;Tabela1[[#This Row],[PRODUTO]]</f>
        <v>P-190TECMETAL</v>
      </c>
      <c r="AS459" s="37">
        <f ca="1">IF(AF459="",0,IF(ISTEXT(AF459),H459*VALUE(SUBSTITUTE(AF459,"%",""))/100,H459*AF459))-Tabela1[[#This Row],[PRONTO ACABADO2]]</f>
        <v>0</v>
      </c>
      <c r="AT459" s="37">
        <f ca="1">IF(AG459="",0,IF(ISTEXT(AG459),H459*VALUE(SUBSTITUTE(AG459,"%",""))/100,H459*AG459))-Tabela1[[#This Row],[PESO EXPEDIDO2]]</f>
        <v>0</v>
      </c>
      <c r="AU459" s="37">
        <f t="shared" ca="1" si="93"/>
        <v>13.1</v>
      </c>
      <c r="AV459" s="37">
        <f t="shared" ca="1" si="94"/>
        <v>13.1</v>
      </c>
      <c r="AW459" s="37"/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 ca="1"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 ca="1">Tabela1[[#This Row],[QTDE/ Fabricação]]-Tabela1[[#This Row],[QTE]]</f>
        <v>-1</v>
      </c>
      <c r="R460" s="18">
        <f t="shared" ca="1" si="89"/>
        <v>13.1</v>
      </c>
      <c r="S460" s="18">
        <f t="shared" ca="1" si="82"/>
        <v>13.1</v>
      </c>
      <c r="T460" s="19">
        <f t="shared" ca="1" si="90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 ca="1">IFERROR(COUNTIF(#REF!,Tabela1[[#This Row],[Colunas5]]),"")</f>
        <v/>
      </c>
      <c r="X460" s="14">
        <f ca="1">Tabela1[[#This Row],[QIANTIDADE EXPEDIDA]]*Tabela1[[#This Row],[PESO UNI]]</f>
        <v>13.1</v>
      </c>
      <c r="Y460" s="14">
        <f t="shared" ca="1" si="91"/>
        <v>0</v>
      </c>
      <c r="Z460" s="20">
        <f ca="1"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 ca="1">Tabela1[[#This Row],[Coluna1]]&amp;Tabela1[[#This Row],[PEDIDO]]</f>
        <v>P-190</v>
      </c>
      <c r="AL460"/>
      <c r="AM460"/>
      <c r="AN460"/>
      <c r="AO460" t="str">
        <f t="shared" ca="1" si="92"/>
        <v>P-073081-1/P190</v>
      </c>
      <c r="AP460" t="str">
        <f ca="1">Tabela1[[#This Row],[TAG]]&amp;Tabela1[[#This Row],[PEDIDO]]&amp;Tabela1[[#This Row],[PRODUTO]]</f>
        <v>P190P-190TECMETAL</v>
      </c>
      <c r="AQ460" s="22" t="str">
        <f ca="1">Tabela1[[#This Row],[PRODUTO]]&amp;Tabela1[[#This Row],[TAG]]</f>
        <v>TECMETALP190</v>
      </c>
      <c r="AR460" s="24" t="str">
        <f ca="1">Tabela1[[#This Row],[PEDIDO]]&amp;Tabela1[[#This Row],[PRODUTO]]</f>
        <v>P-190TECMETAL</v>
      </c>
      <c r="AS460" s="37">
        <f ca="1">IF(AF460="",0,IF(ISTEXT(AF460),H460*VALUE(SUBSTITUTE(AF460,"%",""))/100,H460*AF460))-Tabela1[[#This Row],[PRONTO ACABADO2]]</f>
        <v>0</v>
      </c>
      <c r="AT460" s="37">
        <f ca="1">IF(AG460="",0,IF(ISTEXT(AG460),H460*VALUE(SUBSTITUTE(AG460,"%",""))/100,H460*AG460))-Tabela1[[#This Row],[PESO EXPEDIDO2]]</f>
        <v>0</v>
      </c>
      <c r="AU460" s="37">
        <f t="shared" ca="1" si="93"/>
        <v>13.1</v>
      </c>
      <c r="AV460" s="37">
        <f t="shared" ca="1" si="94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 ca="1"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 ca="1">Tabela1[[#This Row],[QTDE/ Fabricação]]-Tabela1[[#This Row],[QTE]]</f>
        <v>-1</v>
      </c>
      <c r="R461" s="18">
        <f t="shared" ca="1" si="89"/>
        <v>6.2</v>
      </c>
      <c r="S461" s="18">
        <f t="shared" ca="1" si="82"/>
        <v>6.2</v>
      </c>
      <c r="T461" s="19">
        <f t="shared" ca="1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 ca="1">IFERROR(COUNTIF(#REF!,Tabela1[[#This Row],[Colunas5]]),"")</f>
        <v/>
      </c>
      <c r="X461" s="14">
        <f ca="1">Tabela1[[#This Row],[QIANTIDADE EXPEDIDA]]*Tabela1[[#This Row],[PESO UNI]]</f>
        <v>6.2</v>
      </c>
      <c r="Y461" s="14">
        <f t="shared" ca="1" si="91"/>
        <v>0</v>
      </c>
      <c r="Z461" s="20">
        <f ca="1"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 ca="1">Tabela1[[#This Row],[Coluna1]]&amp;Tabela1[[#This Row],[PEDIDO]]</f>
        <v>P-190</v>
      </c>
      <c r="AL461"/>
      <c r="AM461"/>
      <c r="AN461"/>
      <c r="AO461" t="str">
        <f t="shared" ca="1" si="92"/>
        <v>P-073081-1/P190</v>
      </c>
      <c r="AP461" t="str">
        <f ca="1">Tabela1[[#This Row],[TAG]]&amp;Tabela1[[#This Row],[PEDIDO]]&amp;Tabela1[[#This Row],[PRODUTO]]</f>
        <v>P190P-190TECMETAL</v>
      </c>
      <c r="AQ461" s="22" t="str">
        <f ca="1">Tabela1[[#This Row],[PRODUTO]]&amp;Tabela1[[#This Row],[TAG]]</f>
        <v>TECMETALP190</v>
      </c>
      <c r="AR461" s="24" t="str">
        <f ca="1">Tabela1[[#This Row],[PEDIDO]]&amp;Tabela1[[#This Row],[PRODUTO]]</f>
        <v>P-190TECMETAL</v>
      </c>
      <c r="AS461" s="37">
        <f ca="1">IF(AF461="",0,IF(ISTEXT(AF461),H461*VALUE(SUBSTITUTE(AF461,"%",""))/100,H461*AF461))-Tabela1[[#This Row],[PRONTO ACABADO2]]</f>
        <v>0</v>
      </c>
      <c r="AT461" s="37">
        <f ca="1">IF(AG461="",0,IF(ISTEXT(AG461),H461*VALUE(SUBSTITUTE(AG461,"%",""))/100,H461*AG461))-Tabela1[[#This Row],[PESO EXPEDIDO2]]</f>
        <v>0</v>
      </c>
      <c r="AU461" s="37">
        <f t="shared" ca="1" si="93"/>
        <v>6.2</v>
      </c>
      <c r="AV461" s="37">
        <f t="shared" ca="1" si="94"/>
        <v>6.2</v>
      </c>
      <c r="AW461" s="37"/>
    </row>
    <row r="462" spans="1:49" ht="15.75" hidden="1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 ca="1"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 ca="1">Tabela1[[#This Row],[QTDE/ Fabricação]]-Tabela1[[#This Row],[QTE]]</f>
        <v>-1</v>
      </c>
      <c r="R462" s="18">
        <f t="shared" ca="1" si="89"/>
        <v>17.5</v>
      </c>
      <c r="S462" s="18">
        <f t="shared" ca="1" si="82"/>
        <v>17.5</v>
      </c>
      <c r="T462" s="19">
        <f t="shared" ca="1" si="90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 ca="1">IFERROR(COUNTIF(#REF!,Tabela1[[#This Row],[Colunas5]]),"")</f>
        <v/>
      </c>
      <c r="X462" s="14">
        <f ca="1">Tabela1[[#This Row],[QIANTIDADE EXPEDIDA]]*Tabela1[[#This Row],[PESO UNI]]</f>
        <v>17.5</v>
      </c>
      <c r="Y462" s="14">
        <f t="shared" ca="1" si="91"/>
        <v>0</v>
      </c>
      <c r="Z462" s="20">
        <f ca="1"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 ca="1">Tabela1[[#This Row],[Coluna1]]&amp;Tabela1[[#This Row],[PEDIDO]]</f>
        <v>P-190</v>
      </c>
      <c r="AL462"/>
      <c r="AM462"/>
      <c r="AN462"/>
      <c r="AO462" t="str">
        <f t="shared" ca="1" si="92"/>
        <v>P-073080-1/P190</v>
      </c>
      <c r="AP462" t="str">
        <f ca="1">Tabela1[[#This Row],[TAG]]&amp;Tabela1[[#This Row],[PEDIDO]]&amp;Tabela1[[#This Row],[PRODUTO]]</f>
        <v>P190P-190ESTRUTURA</v>
      </c>
      <c r="AQ462" s="22" t="str">
        <f ca="1">Tabela1[[#This Row],[PRODUTO]]&amp;Tabela1[[#This Row],[TAG]]</f>
        <v>ESTRUTURAP190</v>
      </c>
      <c r="AR462" s="24" t="str">
        <f ca="1">Tabela1[[#This Row],[PEDIDO]]&amp;Tabela1[[#This Row],[PRODUTO]]</f>
        <v>P-190ESTRUTURA</v>
      </c>
      <c r="AS462" s="37">
        <f ca="1">IF(AF462="",0,IF(ISTEXT(AF462),H462*VALUE(SUBSTITUTE(AF462,"%",""))/100,H462*AF462))-Tabela1[[#This Row],[PRONTO ACABADO2]]</f>
        <v>0</v>
      </c>
      <c r="AT462" s="37">
        <f ca="1">IF(AG462="",0,IF(ISTEXT(AG462),H462*VALUE(SUBSTITUTE(AG462,"%",""))/100,H462*AG462))-Tabela1[[#This Row],[PESO EXPEDIDO2]]</f>
        <v>0</v>
      </c>
      <c r="AU462" s="37">
        <f t="shared" ca="1" si="93"/>
        <v>17.5</v>
      </c>
      <c r="AV462" s="37">
        <f t="shared" ca="1" si="94"/>
        <v>17.5</v>
      </c>
      <c r="AW462" s="37"/>
    </row>
    <row r="463" spans="1:49" ht="15.75" hidden="1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 ca="1"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 ca="1">Tabela1[[#This Row],[QTDE/ Fabricação]]-Tabela1[[#This Row],[QTE]]</f>
        <v>-4</v>
      </c>
      <c r="R463" s="18">
        <f t="shared" ca="1" si="89"/>
        <v>344.4</v>
      </c>
      <c r="S463" s="18">
        <f t="shared" ca="1" si="82"/>
        <v>344.4</v>
      </c>
      <c r="T463" s="19">
        <f t="shared" ca="1" si="90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 ca="1">IFERROR(COUNTIF(#REF!,Tabela1[[#This Row],[Colunas5]]),"")</f>
        <v/>
      </c>
      <c r="X463" s="14">
        <f ca="1">Tabela1[[#This Row],[QIANTIDADE EXPEDIDA]]*Tabela1[[#This Row],[PESO UNI]]</f>
        <v>344.4</v>
      </c>
      <c r="Y463" s="14">
        <f t="shared" ca="1" si="91"/>
        <v>0</v>
      </c>
      <c r="Z463" s="20">
        <f ca="1"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 ca="1">Tabela1[[#This Row],[Coluna1]]&amp;Tabela1[[#This Row],[PEDIDO]]</f>
        <v>P-190</v>
      </c>
      <c r="AL463"/>
      <c r="AM463"/>
      <c r="AN463"/>
      <c r="AO463" t="str">
        <f t="shared" ca="1" si="92"/>
        <v>P-073061-1/P190</v>
      </c>
      <c r="AP463" t="str">
        <f ca="1">Tabela1[[#This Row],[TAG]]&amp;Tabela1[[#This Row],[PEDIDO]]&amp;Tabela1[[#This Row],[PRODUTO]]</f>
        <v>P190P-190ESTRUTURA</v>
      </c>
      <c r="AQ463" s="22" t="str">
        <f ca="1">Tabela1[[#This Row],[PRODUTO]]&amp;Tabela1[[#This Row],[TAG]]</f>
        <v>ESTRUTURAP190</v>
      </c>
      <c r="AR463" s="24" t="str">
        <f ca="1">Tabela1[[#This Row],[PEDIDO]]&amp;Tabela1[[#This Row],[PRODUTO]]</f>
        <v>P-190ESTRUTURA</v>
      </c>
      <c r="AS463" s="37">
        <f ca="1">IF(AF463="",0,IF(ISTEXT(AF463),H463*VALUE(SUBSTITUTE(AF463,"%",""))/100,H463*AF463))-Tabela1[[#This Row],[PRONTO ACABADO2]]</f>
        <v>0</v>
      </c>
      <c r="AT463" s="37">
        <f ca="1">IF(AG463="",0,IF(ISTEXT(AG463),H463*VALUE(SUBSTITUTE(AG463,"%",""))/100,H463*AG463))-Tabela1[[#This Row],[PESO EXPEDIDO2]]</f>
        <v>0</v>
      </c>
      <c r="AU463" s="37">
        <f t="shared" ca="1" si="93"/>
        <v>344.4</v>
      </c>
      <c r="AV463" s="37">
        <f t="shared" ca="1" si="94"/>
        <v>344.4</v>
      </c>
      <c r="AW463" s="37"/>
    </row>
    <row r="464" spans="1:49" ht="15.75" hidden="1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 ca="1"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 ca="1">Tabela1[[#This Row],[QTDE/ Fabricação]]-Tabela1[[#This Row],[QTE]]</f>
        <v>-1</v>
      </c>
      <c r="R464" s="18">
        <f t="shared" ca="1" si="89"/>
        <v>1.4</v>
      </c>
      <c r="S464" s="18">
        <f t="shared" ca="1" si="82"/>
        <v>1.4</v>
      </c>
      <c r="T464" s="19">
        <f t="shared" ca="1" si="90"/>
        <v>0</v>
      </c>
      <c r="U464" s="16">
        <v>1</v>
      </c>
      <c r="V464" s="12" t="str">
        <f ca="1">IFERROR(VLOOKUP(Tabela1[[#This Row],[COD.MDE]],'LISTA DE EMBARQUE'!B:L,11,0),"")</f>
        <v/>
      </c>
      <c r="W464" s="13" t="str">
        <f ca="1">IFERROR(COUNTIF(#REF!,Tabela1[[#This Row],[Colunas5]]),"")</f>
        <v/>
      </c>
      <c r="X464" s="14">
        <f ca="1">Tabela1[[#This Row],[QIANTIDADE EXPEDIDA]]*Tabela1[[#This Row],[PESO UNI]]</f>
        <v>1.4</v>
      </c>
      <c r="Y464" s="14">
        <f t="shared" ca="1" si="91"/>
        <v>0</v>
      </c>
      <c r="Z464" s="20">
        <f ca="1"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 ca="1">Tabela1[[#This Row],[Coluna1]]&amp;Tabela1[[#This Row],[PEDIDO]]</f>
        <v>P-190</v>
      </c>
      <c r="AL464"/>
      <c r="AM464"/>
      <c r="AN464"/>
      <c r="AO464" t="str">
        <f t="shared" ca="1" si="92"/>
        <v>P-073061-1/P190</v>
      </c>
      <c r="AP464" t="str">
        <f ca="1">Tabela1[[#This Row],[TAG]]&amp;Tabela1[[#This Row],[PEDIDO]]&amp;Tabela1[[#This Row],[PRODUTO]]</f>
        <v>P190P-190ESTRUTURA</v>
      </c>
      <c r="AQ464" s="22" t="str">
        <f ca="1">Tabela1[[#This Row],[PRODUTO]]&amp;Tabela1[[#This Row],[TAG]]</f>
        <v>ESTRUTURAP190</v>
      </c>
      <c r="AR464" s="24" t="str">
        <f ca="1">Tabela1[[#This Row],[PEDIDO]]&amp;Tabela1[[#This Row],[PRODUTO]]</f>
        <v>P-190ESTRUTURA</v>
      </c>
      <c r="AS464" s="37">
        <f ca="1">IF(AF464="",0,IF(ISTEXT(AF464),H464*VALUE(SUBSTITUTE(AF464,"%",""))/100,H464*AF464))-Tabela1[[#This Row],[PRONTO ACABADO2]]</f>
        <v>0</v>
      </c>
      <c r="AT464" s="37">
        <f ca="1">IF(AG464="",0,IF(ISTEXT(AG464),H464*VALUE(SUBSTITUTE(AG464,"%",""))/100,H464*AG464))-Tabela1[[#This Row],[PESO EXPEDIDO2]]</f>
        <v>0</v>
      </c>
      <c r="AU464" s="37">
        <f t="shared" ca="1" si="93"/>
        <v>1.4</v>
      </c>
      <c r="AV464" s="37">
        <f t="shared" ca="1" si="94"/>
        <v>1.4</v>
      </c>
      <c r="AW464" s="37"/>
    </row>
    <row r="465" spans="1:49" ht="15.75" hidden="1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 ca="1"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 ca="1">Tabela1[[#This Row],[QTDE/ Fabricação]]-Tabela1[[#This Row],[QTE]]</f>
        <v>-1</v>
      </c>
      <c r="R465" s="18">
        <f t="shared" ca="1" si="89"/>
        <v>4.5999999999999996</v>
      </c>
      <c r="S465" s="18">
        <f t="shared" ca="1" si="82"/>
        <v>4.5999999999999996</v>
      </c>
      <c r="T465" s="19">
        <f t="shared" ca="1" si="90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 ca="1">IFERROR(COUNTIF(#REF!,Tabela1[[#This Row],[Colunas5]]),"")</f>
        <v/>
      </c>
      <c r="X465" s="14">
        <f ca="1">Tabela1[[#This Row],[QIANTIDADE EXPEDIDA]]*Tabela1[[#This Row],[PESO UNI]]</f>
        <v>4.5999999999999996</v>
      </c>
      <c r="Y465" s="14">
        <f t="shared" ca="1" si="91"/>
        <v>0</v>
      </c>
      <c r="Z465" s="20">
        <f ca="1"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 ca="1">Tabela1[[#This Row],[Coluna1]]&amp;Tabela1[[#This Row],[PEDIDO]]</f>
        <v>P-190</v>
      </c>
      <c r="AL465"/>
      <c r="AM465"/>
      <c r="AN465"/>
      <c r="AO465" t="str">
        <f t="shared" ca="1" si="92"/>
        <v>P-073076-1/P190</v>
      </c>
      <c r="AP465" t="str">
        <f ca="1">Tabela1[[#This Row],[TAG]]&amp;Tabela1[[#This Row],[PEDIDO]]&amp;Tabela1[[#This Row],[PRODUTO]]</f>
        <v>P190P-190ESTRUTURA</v>
      </c>
      <c r="AQ465" s="22" t="str">
        <f ca="1">Tabela1[[#This Row],[PRODUTO]]&amp;Tabela1[[#This Row],[TAG]]</f>
        <v>ESTRUTURAP190</v>
      </c>
      <c r="AR465" s="24" t="str">
        <f ca="1">Tabela1[[#This Row],[PEDIDO]]&amp;Tabela1[[#This Row],[PRODUTO]]</f>
        <v>P-190ESTRUTURA</v>
      </c>
      <c r="AS465" s="37">
        <f ca="1">IF(AF465="",0,IF(ISTEXT(AF465),H465*VALUE(SUBSTITUTE(AF465,"%",""))/100,H465*AF465))-Tabela1[[#This Row],[PRONTO ACABADO2]]</f>
        <v>0</v>
      </c>
      <c r="AT465" s="37">
        <f ca="1">IF(AG465="",0,IF(ISTEXT(AG465),H465*VALUE(SUBSTITUTE(AG465,"%",""))/100,H465*AG465))-Tabela1[[#This Row],[PESO EXPEDIDO2]]</f>
        <v>0</v>
      </c>
      <c r="AU465" s="37">
        <f t="shared" ca="1" si="93"/>
        <v>4.5999999999999996</v>
      </c>
      <c r="AV465" s="37">
        <f t="shared" ca="1" si="94"/>
        <v>4.5999999999999996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 ca="1"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 ca="1">Tabela1[[#This Row],[QTDE/ Fabricação]]-Tabela1[[#This Row],[QTE]]</f>
        <v>-1</v>
      </c>
      <c r="R466" s="18">
        <f t="shared" ca="1" si="89"/>
        <v>50.8</v>
      </c>
      <c r="S466" s="18">
        <f t="shared" ca="1" si="82"/>
        <v>50.8</v>
      </c>
      <c r="T466" s="19">
        <f t="shared" ca="1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 ca="1">IFERROR(COUNTIF(#REF!,Tabela1[[#This Row],[Colunas5]]),"")</f>
        <v/>
      </c>
      <c r="X466" s="14">
        <f ca="1">Tabela1[[#This Row],[QIANTIDADE EXPEDIDA]]*Tabela1[[#This Row],[PESO UNI]]</f>
        <v>50.8</v>
      </c>
      <c r="Y466" s="14">
        <f t="shared" ca="1" si="91"/>
        <v>0</v>
      </c>
      <c r="Z466" s="20">
        <f ca="1"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 ca="1">Tabela1[[#This Row],[Coluna1]]&amp;Tabela1[[#This Row],[PEDIDO]]</f>
        <v>P-190</v>
      </c>
      <c r="AL466"/>
      <c r="AM466"/>
      <c r="AN466"/>
      <c r="AO466" t="str">
        <f t="shared" ca="1" si="92"/>
        <v>P-073076-1/P190</v>
      </c>
      <c r="AP466" t="str">
        <f ca="1">Tabela1[[#This Row],[TAG]]&amp;Tabela1[[#This Row],[PEDIDO]]&amp;Tabela1[[#This Row],[PRODUTO]]</f>
        <v>P190P-190ESTRUTURA</v>
      </c>
      <c r="AQ466" s="22" t="str">
        <f ca="1">Tabela1[[#This Row],[PRODUTO]]&amp;Tabela1[[#This Row],[TAG]]</f>
        <v>ESTRUTURAP190</v>
      </c>
      <c r="AR466" s="24" t="str">
        <f ca="1">Tabela1[[#This Row],[PEDIDO]]&amp;Tabela1[[#This Row],[PRODUTO]]</f>
        <v>P-190ESTRUTURA</v>
      </c>
      <c r="AS466" s="37">
        <f ca="1">IF(AF466="",0,IF(ISTEXT(AF466),H466*VALUE(SUBSTITUTE(AF466,"%",""))/100,H466*AF466))-Tabela1[[#This Row],[PRONTO ACABADO2]]</f>
        <v>0</v>
      </c>
      <c r="AT466" s="37">
        <f ca="1">IF(AG466="",0,IF(ISTEXT(AG466),H466*VALUE(SUBSTITUTE(AG466,"%",""))/100,H466*AG466))-Tabela1[[#This Row],[PESO EXPEDIDO2]]</f>
        <v>0</v>
      </c>
      <c r="AU466" s="37">
        <f t="shared" ca="1" si="93"/>
        <v>50.8</v>
      </c>
      <c r="AV466" s="37">
        <f t="shared" ca="1" si="94"/>
        <v>50.8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 ca="1"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 ca="1">Tabela1[[#This Row],[QTDE/ Fabricação]]-Tabela1[[#This Row],[QTE]]</f>
        <v>-1</v>
      </c>
      <c r="R467" s="18">
        <f t="shared" ca="1" si="89"/>
        <v>1.1000000000000001</v>
      </c>
      <c r="S467" s="18">
        <f t="shared" ca="1" si="82"/>
        <v>1.1000000000000001</v>
      </c>
      <c r="T467" s="19">
        <f t="shared" ca="1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 ca="1">IFERROR(COUNTIF(#REF!,Tabela1[[#This Row],[Colunas5]]),"")</f>
        <v/>
      </c>
      <c r="X467" s="14">
        <f ca="1">Tabela1[[#This Row],[QIANTIDADE EXPEDIDA]]*Tabela1[[#This Row],[PESO UNI]]</f>
        <v>1.1000000000000001</v>
      </c>
      <c r="Y467" s="14">
        <f t="shared" ca="1" si="91"/>
        <v>0</v>
      </c>
      <c r="Z467" s="20">
        <f ca="1"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 ca="1">Tabela1[[#This Row],[Coluna1]]&amp;Tabela1[[#This Row],[PEDIDO]]</f>
        <v>P-190</v>
      </c>
      <c r="AL467"/>
      <c r="AM467"/>
      <c r="AN467"/>
      <c r="AO467" t="str">
        <f t="shared" ca="1" si="92"/>
        <v>P-073076-1/P190</v>
      </c>
      <c r="AP467" t="str">
        <f ca="1">Tabela1[[#This Row],[TAG]]&amp;Tabela1[[#This Row],[PEDIDO]]&amp;Tabela1[[#This Row],[PRODUTO]]</f>
        <v>P190P-190ESTRUTURA</v>
      </c>
      <c r="AQ467" s="22" t="str">
        <f ca="1">Tabela1[[#This Row],[PRODUTO]]&amp;Tabela1[[#This Row],[TAG]]</f>
        <v>ESTRUTURAP190</v>
      </c>
      <c r="AR467" s="24" t="str">
        <f ca="1">Tabela1[[#This Row],[PEDIDO]]&amp;Tabela1[[#This Row],[PRODUTO]]</f>
        <v>P-190ESTRUTURA</v>
      </c>
      <c r="AS467" s="37">
        <f ca="1">IF(AF467="",0,IF(ISTEXT(AF467),H467*VALUE(SUBSTITUTE(AF467,"%",""))/100,H467*AF467))-Tabela1[[#This Row],[PRONTO ACABADO2]]</f>
        <v>0</v>
      </c>
      <c r="AT467" s="37">
        <f ca="1">IF(AG467="",0,IF(ISTEXT(AG467),H467*VALUE(SUBSTITUTE(AG467,"%",""))/100,H467*AG467))-Tabela1[[#This Row],[PESO EXPEDIDO2]]</f>
        <v>0</v>
      </c>
      <c r="AU467" s="37">
        <f t="shared" ca="1" si="93"/>
        <v>1.1000000000000001</v>
      </c>
      <c r="AV467" s="37">
        <f t="shared" ca="1" si="94"/>
        <v>1.1000000000000001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 ca="1"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 ca="1">Tabela1[[#This Row],[QTDE/ Fabricação]]-Tabela1[[#This Row],[QTE]]</f>
        <v>-1</v>
      </c>
      <c r="R468" s="18">
        <f t="shared" ca="1" si="89"/>
        <v>23.6</v>
      </c>
      <c r="S468" s="18">
        <f t="shared" ca="1" si="82"/>
        <v>23.6</v>
      </c>
      <c r="T468" s="19">
        <f t="shared" ca="1" si="90"/>
        <v>0</v>
      </c>
      <c r="U468" s="16">
        <f>IFERROR(SUMIF('LISTA DE EMBARQUE'!B:B,MICRO!E:E,'LISTA DE EMBARQUE'!G:G),"")</f>
        <v>1</v>
      </c>
      <c r="V468" s="12">
        <f ca="1">IFERROR(VLOOKUP(Tabela1[[#This Row],[COD.MDE]],'LISTA DE EMBARQUE'!B:L,11,0),"")</f>
        <v>4</v>
      </c>
      <c r="W468" s="13" t="str">
        <f ca="1">IFERROR(COUNTIF(#REF!,Tabela1[[#This Row],[Colunas5]]),"")</f>
        <v/>
      </c>
      <c r="X468" s="14">
        <f ca="1">Tabela1[[#This Row],[QIANTIDADE EXPEDIDA]]*Tabela1[[#This Row],[PESO UNI]]</f>
        <v>23.6</v>
      </c>
      <c r="Y468" s="14">
        <f t="shared" ca="1" si="91"/>
        <v>0</v>
      </c>
      <c r="Z468" s="20">
        <f ca="1"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 ca="1">Tabela1[[#This Row],[Coluna1]]&amp;Tabela1[[#This Row],[PEDIDO]]</f>
        <v>P-190</v>
      </c>
      <c r="AL468"/>
      <c r="AM468"/>
      <c r="AN468"/>
      <c r="AO468" t="str">
        <f t="shared" ca="1" si="92"/>
        <v>P-073076-1/P190</v>
      </c>
      <c r="AP468" t="str">
        <f ca="1">Tabela1[[#This Row],[TAG]]&amp;Tabela1[[#This Row],[PEDIDO]]&amp;Tabela1[[#This Row],[PRODUTO]]</f>
        <v>P190P-190ESTRUTURA</v>
      </c>
      <c r="AQ468" s="22" t="str">
        <f ca="1">Tabela1[[#This Row],[PRODUTO]]&amp;Tabela1[[#This Row],[TAG]]</f>
        <v>ESTRUTURAP190</v>
      </c>
      <c r="AR468" s="24" t="str">
        <f ca="1">Tabela1[[#This Row],[PEDIDO]]&amp;Tabela1[[#This Row],[PRODUTO]]</f>
        <v>P-190ESTRUTURA</v>
      </c>
      <c r="AS468" s="37">
        <f ca="1">IF(AF468="",0,IF(ISTEXT(AF468),H468*VALUE(SUBSTITUTE(AF468,"%",""))/100,H468*AF468))-Tabela1[[#This Row],[PRONTO ACABADO2]]</f>
        <v>0</v>
      </c>
      <c r="AT468" s="37">
        <f ca="1">IF(AG468="",0,IF(ISTEXT(AG468),H468*VALUE(SUBSTITUTE(AG468,"%",""))/100,H468*AG468))-Tabela1[[#This Row],[PESO EXPEDIDO2]]</f>
        <v>0</v>
      </c>
      <c r="AU468" s="37">
        <f t="shared" ca="1" si="93"/>
        <v>23.6</v>
      </c>
      <c r="AV468" s="37">
        <f t="shared" ca="1" si="94"/>
        <v>23.6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 ca="1"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 ca="1">Tabela1[[#This Row],[QTDE/ Fabricação]]-Tabela1[[#This Row],[QTE]]</f>
        <v>-1</v>
      </c>
      <c r="R469" s="18">
        <f t="shared" ca="1" si="89"/>
        <v>1.1000000000000001</v>
      </c>
      <c r="S469" s="18">
        <f t="shared" ca="1" si="82"/>
        <v>1.1000000000000001</v>
      </c>
      <c r="T469" s="19">
        <f t="shared" ca="1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 ca="1">IFERROR(COUNTIF(#REF!,Tabela1[[#This Row],[Colunas5]]),"")</f>
        <v/>
      </c>
      <c r="X469" s="14">
        <f ca="1">Tabela1[[#This Row],[QIANTIDADE EXPEDIDA]]*Tabela1[[#This Row],[PESO UNI]]</f>
        <v>1.1000000000000001</v>
      </c>
      <c r="Y469" s="14">
        <f t="shared" ca="1" si="91"/>
        <v>0</v>
      </c>
      <c r="Z469" s="20">
        <f ca="1"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 ca="1">Tabela1[[#This Row],[Coluna1]]&amp;Tabela1[[#This Row],[PEDIDO]]</f>
        <v>P-190</v>
      </c>
      <c r="AL469"/>
      <c r="AM469"/>
      <c r="AN469"/>
      <c r="AO469" t="str">
        <f t="shared" ca="1" si="92"/>
        <v>P-073076-1/P190</v>
      </c>
      <c r="AP469" t="str">
        <f ca="1">Tabela1[[#This Row],[TAG]]&amp;Tabela1[[#This Row],[PEDIDO]]&amp;Tabela1[[#This Row],[PRODUTO]]</f>
        <v>P190P-190ESTRUTURA</v>
      </c>
      <c r="AQ469" s="22" t="str">
        <f ca="1">Tabela1[[#This Row],[PRODUTO]]&amp;Tabela1[[#This Row],[TAG]]</f>
        <v>ESTRUTURAP190</v>
      </c>
      <c r="AR469" s="24" t="str">
        <f ca="1">Tabela1[[#This Row],[PEDIDO]]&amp;Tabela1[[#This Row],[PRODUTO]]</f>
        <v>P-190ESTRUTURA</v>
      </c>
      <c r="AS469" s="37">
        <f ca="1">IF(AF469="",0,IF(ISTEXT(AF469),H469*VALUE(SUBSTITUTE(AF469,"%",""))/100,H469*AF469))-Tabela1[[#This Row],[PRONTO ACABADO2]]</f>
        <v>0</v>
      </c>
      <c r="AT469" s="37">
        <f ca="1">IF(AG469="",0,IF(ISTEXT(AG469),H469*VALUE(SUBSTITUTE(AG469,"%",""))/100,H469*AG469))-Tabela1[[#This Row],[PESO EXPEDIDO2]]</f>
        <v>0</v>
      </c>
      <c r="AU469" s="37">
        <f t="shared" ca="1" si="93"/>
        <v>1.1000000000000001</v>
      </c>
      <c r="AV469" s="37">
        <f t="shared" ca="1" si="94"/>
        <v>1.1000000000000001</v>
      </c>
      <c r="AW469" s="37"/>
    </row>
    <row r="470" spans="1:49" ht="15.75" hidden="1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 ca="1"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 ca="1">Tabela1[[#This Row],[QTDE/ Fabricação]]-Tabela1[[#This Row],[QTE]]</f>
        <v>-19</v>
      </c>
      <c r="R470" s="18">
        <f t="shared" ca="1" si="89"/>
        <v>133</v>
      </c>
      <c r="S470" s="18">
        <f t="shared" ca="1" si="82"/>
        <v>133</v>
      </c>
      <c r="T470" s="19">
        <f t="shared" ca="1" si="90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 ca="1">IFERROR(COUNTIF(#REF!,Tabela1[[#This Row],[Colunas5]]),"")</f>
        <v/>
      </c>
      <c r="X470" s="14">
        <f ca="1">Tabela1[[#This Row],[QIANTIDADE EXPEDIDA]]*Tabela1[[#This Row],[PESO UNI]]</f>
        <v>133</v>
      </c>
      <c r="Y470" s="14">
        <f t="shared" ca="1" si="91"/>
        <v>0</v>
      </c>
      <c r="Z470" s="20">
        <f ca="1"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 ca="1">Tabela1[[#This Row],[Coluna1]]&amp;Tabela1[[#This Row],[PEDIDO]]</f>
        <v>P-190</v>
      </c>
      <c r="AL470"/>
      <c r="AM470"/>
      <c r="AN470"/>
      <c r="AO470" t="str">
        <f t="shared" ca="1" si="92"/>
        <v>P-073076-1/P190</v>
      </c>
      <c r="AP470" t="str">
        <f ca="1">Tabela1[[#This Row],[TAG]]&amp;Tabela1[[#This Row],[PEDIDO]]&amp;Tabela1[[#This Row],[PRODUTO]]</f>
        <v>P190P-190ESTRUTURA</v>
      </c>
      <c r="AQ470" s="22" t="str">
        <f ca="1">Tabela1[[#This Row],[PRODUTO]]&amp;Tabela1[[#This Row],[TAG]]</f>
        <v>ESTRUTURAP190</v>
      </c>
      <c r="AR470" s="24" t="str">
        <f ca="1">Tabela1[[#This Row],[PEDIDO]]&amp;Tabela1[[#This Row],[PRODUTO]]</f>
        <v>P-190ESTRUTURA</v>
      </c>
      <c r="AS470" s="37">
        <f ca="1">IF(AF470="",0,IF(ISTEXT(AF470),H470*VALUE(SUBSTITUTE(AF470,"%",""))/100,H470*AF470))-Tabela1[[#This Row],[PRONTO ACABADO2]]</f>
        <v>0</v>
      </c>
      <c r="AT470" s="37">
        <f ca="1">IF(AG470="",0,IF(ISTEXT(AG470),H470*VALUE(SUBSTITUTE(AG470,"%",""))/100,H470*AG470))-Tabela1[[#This Row],[PESO EXPEDIDO2]]</f>
        <v>0</v>
      </c>
      <c r="AU470" s="37">
        <f t="shared" ca="1" si="93"/>
        <v>133</v>
      </c>
      <c r="AV470" s="37">
        <f t="shared" ca="1" si="94"/>
        <v>133</v>
      </c>
      <c r="AW470" s="37"/>
    </row>
    <row r="471" spans="1:49" ht="15.75" hidden="1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 ca="1"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 ca="1">Tabela1[[#This Row],[QTDE/ Fabricação]]-Tabela1[[#This Row],[QTE]]</f>
        <v>-2</v>
      </c>
      <c r="R471" s="18">
        <f t="shared" ca="1" si="89"/>
        <v>8</v>
      </c>
      <c r="S471" s="18">
        <f t="shared" ca="1" si="82"/>
        <v>8</v>
      </c>
      <c r="T471" s="19">
        <f t="shared" ca="1" si="90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 ca="1">IFERROR(COUNTIF(#REF!,Tabela1[[#This Row],[Colunas5]]),"")</f>
        <v/>
      </c>
      <c r="X471" s="14">
        <f ca="1">Tabela1[[#This Row],[QIANTIDADE EXPEDIDA]]*Tabela1[[#This Row],[PESO UNI]]</f>
        <v>8</v>
      </c>
      <c r="Y471" s="14">
        <f t="shared" ca="1" si="91"/>
        <v>0</v>
      </c>
      <c r="Z471" s="20">
        <f ca="1"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 ca="1">Tabela1[[#This Row],[Coluna1]]&amp;Tabela1[[#This Row],[PEDIDO]]</f>
        <v>P-190</v>
      </c>
      <c r="AL471"/>
      <c r="AM471"/>
      <c r="AN471"/>
      <c r="AO471" t="str">
        <f t="shared" ca="1" si="92"/>
        <v>P-024507-1/P190</v>
      </c>
      <c r="AP471" t="str">
        <f ca="1">Tabela1[[#This Row],[TAG]]&amp;Tabela1[[#This Row],[PEDIDO]]&amp;Tabela1[[#This Row],[PRODUTO]]</f>
        <v>P190P-190ESTRUTURA</v>
      </c>
      <c r="AQ471" s="22" t="str">
        <f ca="1">Tabela1[[#This Row],[PRODUTO]]&amp;Tabela1[[#This Row],[TAG]]</f>
        <v>ESTRUTURAP190</v>
      </c>
      <c r="AR471" s="24" t="str">
        <f ca="1">Tabela1[[#This Row],[PEDIDO]]&amp;Tabela1[[#This Row],[PRODUTO]]</f>
        <v>P-190ESTRUTURA</v>
      </c>
      <c r="AS471" s="37">
        <f ca="1">IF(AF471="",0,IF(ISTEXT(AF471),H471*VALUE(SUBSTITUTE(AF471,"%",""))/100,H471*AF471))-Tabela1[[#This Row],[PRONTO ACABADO2]]</f>
        <v>0</v>
      </c>
      <c r="AT471" s="37">
        <f ca="1">IF(AG471="",0,IF(ISTEXT(AG471),H471*VALUE(SUBSTITUTE(AG471,"%",""))/100,H471*AG471))-Tabela1[[#This Row],[PESO EXPEDIDO2]]</f>
        <v>0</v>
      </c>
      <c r="AU471" s="37">
        <f t="shared" ca="1" si="93"/>
        <v>8</v>
      </c>
      <c r="AV471" s="37">
        <f t="shared" ca="1" si="94"/>
        <v>8</v>
      </c>
      <c r="AW471" s="37"/>
    </row>
    <row r="472" spans="1:49" ht="15.75" hidden="1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 ca="1"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 ca="1">Tabela1[[#This Row],[QTDE/ Fabricação]]-Tabela1[[#This Row],[QTE]]</f>
        <v>-4</v>
      </c>
      <c r="R472" s="18">
        <f t="shared" ca="1" si="89"/>
        <v>16</v>
      </c>
      <c r="S472" s="18">
        <f t="shared" ca="1" si="82"/>
        <v>16</v>
      </c>
      <c r="T472" s="19">
        <f t="shared" ca="1" si="90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 ca="1">IFERROR(COUNTIF(#REF!,Tabela1[[#This Row],[Colunas5]]),"")</f>
        <v/>
      </c>
      <c r="X472" s="14">
        <f ca="1">Tabela1[[#This Row],[QIANTIDADE EXPEDIDA]]*Tabela1[[#This Row],[PESO UNI]]</f>
        <v>16</v>
      </c>
      <c r="Y472" s="14">
        <f t="shared" ca="1" si="91"/>
        <v>0</v>
      </c>
      <c r="Z472" s="20">
        <f ca="1"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 ca="1">Tabela1[[#This Row],[Coluna1]]&amp;Tabela1[[#This Row],[PEDIDO]]</f>
        <v>P-190</v>
      </c>
      <c r="AL472"/>
      <c r="AM472"/>
      <c r="AN472"/>
      <c r="AO472" t="str">
        <f t="shared" ca="1" si="92"/>
        <v>P-024507-1/P190</v>
      </c>
      <c r="AP472" t="str">
        <f ca="1">Tabela1[[#This Row],[TAG]]&amp;Tabela1[[#This Row],[PEDIDO]]&amp;Tabela1[[#This Row],[PRODUTO]]</f>
        <v>P190P-190ESTRUTURA</v>
      </c>
      <c r="AQ472" s="22" t="str">
        <f ca="1">Tabela1[[#This Row],[PRODUTO]]&amp;Tabela1[[#This Row],[TAG]]</f>
        <v>ESTRUTURAP190</v>
      </c>
      <c r="AR472" s="24" t="str">
        <f ca="1">Tabela1[[#This Row],[PEDIDO]]&amp;Tabela1[[#This Row],[PRODUTO]]</f>
        <v>P-190ESTRUTURA</v>
      </c>
      <c r="AS472" s="37">
        <f ca="1">IF(AF472="",0,IF(ISTEXT(AF472),H472*VALUE(SUBSTITUTE(AF472,"%",""))/100,H472*AF472))-Tabela1[[#This Row],[PRONTO ACABADO2]]</f>
        <v>0</v>
      </c>
      <c r="AT472" s="37">
        <f ca="1">IF(AG472="",0,IF(ISTEXT(AG472),H472*VALUE(SUBSTITUTE(AG472,"%",""))/100,H472*AG472))-Tabela1[[#This Row],[PESO EXPEDIDO2]]</f>
        <v>0</v>
      </c>
      <c r="AU472" s="37">
        <f t="shared" ca="1" si="93"/>
        <v>16</v>
      </c>
      <c r="AV472" s="37">
        <f t="shared" ca="1" si="94"/>
        <v>16</v>
      </c>
      <c r="AW472" s="37"/>
    </row>
    <row r="473" spans="1:49" ht="15.75" hidden="1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 ca="1"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 ca="1">Tabela1[[#This Row],[QTDE/ Fabricação]]-Tabela1[[#This Row],[QTE]]</f>
        <v>-4</v>
      </c>
      <c r="R473" s="18">
        <f t="shared" ca="1" si="89"/>
        <v>95.2</v>
      </c>
      <c r="S473" s="18">
        <f t="shared" ca="1" si="82"/>
        <v>95.2</v>
      </c>
      <c r="T473" s="19">
        <f t="shared" ca="1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 ca="1">IFERROR(COUNTIF(#REF!,Tabela1[[#This Row],[Colunas5]]),"")</f>
        <v/>
      </c>
      <c r="X473" s="14">
        <f ca="1">Tabela1[[#This Row],[QIANTIDADE EXPEDIDA]]*Tabela1[[#This Row],[PESO UNI]]</f>
        <v>95.2</v>
      </c>
      <c r="Y473" s="14">
        <f t="shared" ca="1" si="91"/>
        <v>0</v>
      </c>
      <c r="Z473" s="20">
        <f ca="1"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 ca="1">Tabela1[[#This Row],[Coluna1]]&amp;Tabela1[[#This Row],[PEDIDO]]</f>
        <v>P-190</v>
      </c>
      <c r="AL473"/>
      <c r="AM473"/>
      <c r="AN473"/>
      <c r="AO473" t="str">
        <f t="shared" ca="1" si="92"/>
        <v>P-073074-1/P190</v>
      </c>
      <c r="AP473" t="str">
        <f ca="1">Tabela1[[#This Row],[TAG]]&amp;Tabela1[[#This Row],[PEDIDO]]&amp;Tabela1[[#This Row],[PRODUTO]]</f>
        <v>P190P-190ESTRUTURA</v>
      </c>
      <c r="AQ473" s="22" t="str">
        <f ca="1">Tabela1[[#This Row],[PRODUTO]]&amp;Tabela1[[#This Row],[TAG]]</f>
        <v>ESTRUTURAP190</v>
      </c>
      <c r="AR473" s="24" t="str">
        <f ca="1">Tabela1[[#This Row],[PEDIDO]]&amp;Tabela1[[#This Row],[PRODUTO]]</f>
        <v>P-190ESTRUTURA</v>
      </c>
      <c r="AS473" s="37">
        <f ca="1">IF(AF473="",0,IF(ISTEXT(AF473),H473*VALUE(SUBSTITUTE(AF473,"%",""))/100,H473*AF473))-Tabela1[[#This Row],[PRONTO ACABADO2]]</f>
        <v>0</v>
      </c>
      <c r="AT473" s="37">
        <f ca="1">IF(AG473="",0,IF(ISTEXT(AG473),H473*VALUE(SUBSTITUTE(AG473,"%",""))/100,H473*AG473))-Tabela1[[#This Row],[PESO EXPEDIDO2]]</f>
        <v>0</v>
      </c>
      <c r="AU473" s="37">
        <f t="shared" ca="1" si="93"/>
        <v>95.2</v>
      </c>
      <c r="AV473" s="37">
        <f t="shared" ca="1" si="94"/>
        <v>95.2</v>
      </c>
      <c r="AW473" s="37"/>
    </row>
    <row r="474" spans="1:49" ht="15.75" hidden="1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 ca="1"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 ca="1">Tabela1[[#This Row],[QTDE/ Fabricação]]-Tabela1[[#This Row],[QTE]]</f>
        <v>-2</v>
      </c>
      <c r="R474" s="18">
        <f t="shared" ca="1" si="89"/>
        <v>114</v>
      </c>
      <c r="S474" s="18">
        <f t="shared" ca="1" si="82"/>
        <v>114</v>
      </c>
      <c r="T474" s="19">
        <f t="shared" ca="1" si="90"/>
        <v>0</v>
      </c>
      <c r="U474" s="16">
        <f ca="1"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 ca="1">IFERROR(COUNTIF(#REF!,Tabela1[[#This Row],[Colunas5]]),"")</f>
        <v/>
      </c>
      <c r="X474" s="14">
        <f ca="1">Tabela1[[#This Row],[QIANTIDADE EXPEDIDA]]*Tabela1[[#This Row],[PESO UNI]]</f>
        <v>114</v>
      </c>
      <c r="Y474" s="14">
        <f t="shared" ca="1" si="91"/>
        <v>0</v>
      </c>
      <c r="Z474" s="20">
        <f ca="1"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 ca="1">Tabela1[[#This Row],[Coluna1]]&amp;Tabela1[[#This Row],[PEDIDO]]</f>
        <v>P-190</v>
      </c>
      <c r="AL474"/>
      <c r="AM474"/>
      <c r="AN474"/>
      <c r="AO474" t="str">
        <f t="shared" ca="1" si="92"/>
        <v>P-024502-1/P190</v>
      </c>
      <c r="AP474" t="str">
        <f ca="1">Tabela1[[#This Row],[TAG]]&amp;Tabela1[[#This Row],[PEDIDO]]&amp;Tabela1[[#This Row],[PRODUTO]]</f>
        <v>P190P-190USINAGEM</v>
      </c>
      <c r="AQ474" s="22" t="str">
        <f ca="1">Tabela1[[#This Row],[PRODUTO]]&amp;Tabela1[[#This Row],[TAG]]</f>
        <v>USINAGEMP190</v>
      </c>
      <c r="AR474" s="24" t="str">
        <f ca="1">Tabela1[[#This Row],[PEDIDO]]&amp;Tabela1[[#This Row],[PRODUTO]]</f>
        <v>P-190USINAGEM</v>
      </c>
      <c r="AS474" s="37">
        <f ca="1">IF(AF474="",0,IF(ISTEXT(AF474),H474*VALUE(SUBSTITUTE(AF474,"%",""))/100,H474*AF474))-Tabela1[[#This Row],[PRONTO ACABADO2]]</f>
        <v>0</v>
      </c>
      <c r="AT474" s="37">
        <f ca="1">IF(AG474="",0,IF(ISTEXT(AG474),H474*VALUE(SUBSTITUTE(AG474,"%",""))/100,H474*AG474))-Tabela1[[#This Row],[PESO EXPEDIDO2]]</f>
        <v>0</v>
      </c>
      <c r="AU474" s="37">
        <f t="shared" ca="1" si="93"/>
        <v>114</v>
      </c>
      <c r="AV474" s="37">
        <f t="shared" ca="1" si="94"/>
        <v>114</v>
      </c>
      <c r="AW474" s="37"/>
    </row>
    <row r="475" spans="1:49" ht="15.75" hidden="1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 ca="1"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 ca="1">Tabela1[[#This Row],[QTDE/ Fabricação]]-Tabela1[[#This Row],[QTE]]</f>
        <v>-1</v>
      </c>
      <c r="R475" s="18">
        <f t="shared" ca="1" si="89"/>
        <v>29.1</v>
      </c>
      <c r="S475" s="18">
        <f t="shared" ca="1" si="82"/>
        <v>29.1</v>
      </c>
      <c r="T475" s="19">
        <f t="shared" ca="1" si="90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 ca="1">IFERROR(COUNTIF(#REF!,Tabela1[[#This Row],[Colunas5]]),"")</f>
        <v/>
      </c>
      <c r="X475" s="14">
        <f ca="1">Tabela1[[#This Row],[QIANTIDADE EXPEDIDA]]*Tabela1[[#This Row],[PESO UNI]]</f>
        <v>29.1</v>
      </c>
      <c r="Y475" s="14">
        <f t="shared" ca="1" si="91"/>
        <v>0</v>
      </c>
      <c r="Z475" s="20">
        <f ca="1"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 ca="1">Tabela1[[#This Row],[Coluna1]]&amp;Tabela1[[#This Row],[PEDIDO]]</f>
        <v>P-190</v>
      </c>
      <c r="AL475"/>
      <c r="AM475"/>
      <c r="AN475"/>
      <c r="AO475" t="str">
        <f t="shared" ca="1" si="92"/>
        <v>P-024504-1/P190</v>
      </c>
      <c r="AP475" t="str">
        <f ca="1">Tabela1[[#This Row],[TAG]]&amp;Tabela1[[#This Row],[PEDIDO]]&amp;Tabela1[[#This Row],[PRODUTO]]</f>
        <v>P190P-190USINAGEM</v>
      </c>
      <c r="AQ475" s="22" t="str">
        <f ca="1">Tabela1[[#This Row],[PRODUTO]]&amp;Tabela1[[#This Row],[TAG]]</f>
        <v>USINAGEMP190</v>
      </c>
      <c r="AR475" s="24" t="str">
        <f ca="1">Tabela1[[#This Row],[PEDIDO]]&amp;Tabela1[[#This Row],[PRODUTO]]</f>
        <v>P-190USINAGEM</v>
      </c>
      <c r="AS475" s="37">
        <f ca="1">IF(AF475="",0,IF(ISTEXT(AF475),H475*VALUE(SUBSTITUTE(AF475,"%",""))/100,H475*AF475))-Tabela1[[#This Row],[PRONTO ACABADO2]]</f>
        <v>0</v>
      </c>
      <c r="AT475" s="37">
        <f ca="1">IF(AG475="",0,IF(ISTEXT(AG475),H475*VALUE(SUBSTITUTE(AG475,"%",""))/100,H475*AG475))-Tabela1[[#This Row],[PESO EXPEDIDO2]]</f>
        <v>0</v>
      </c>
      <c r="AU475" s="37">
        <f t="shared" ca="1" si="93"/>
        <v>29.1</v>
      </c>
      <c r="AV475" s="37">
        <f t="shared" ca="1" si="94"/>
        <v>29.1</v>
      </c>
      <c r="AW475" s="37"/>
    </row>
    <row r="476" spans="1:49" ht="15.75" hidden="1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 ca="1"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 ca="1">Tabela1[[#This Row],[QTDE/ Fabricação]]-Tabela1[[#This Row],[QTE]]</f>
        <v>-1</v>
      </c>
      <c r="R476" s="18">
        <f t="shared" ca="1" si="89"/>
        <v>0.5</v>
      </c>
      <c r="S476" s="18">
        <f t="shared" ca="1" si="82"/>
        <v>0.5</v>
      </c>
      <c r="T476" s="19">
        <f t="shared" ca="1" si="90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 ca="1">IFERROR(COUNTIF(#REF!,Tabela1[[#This Row],[Colunas5]]),"")</f>
        <v/>
      </c>
      <c r="X476" s="14">
        <f ca="1">Tabela1[[#This Row],[QIANTIDADE EXPEDIDA]]*Tabela1[[#This Row],[PESO UNI]]</f>
        <v>0.5</v>
      </c>
      <c r="Y476" s="14">
        <f t="shared" ca="1" si="91"/>
        <v>0</v>
      </c>
      <c r="Z476" s="20">
        <f ca="1"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 ca="1">Tabela1[[#This Row],[Coluna1]]&amp;Tabela1[[#This Row],[PEDIDO]]</f>
        <v>P-190</v>
      </c>
      <c r="AL476"/>
      <c r="AM476"/>
      <c r="AN476"/>
      <c r="AO476" t="str">
        <f t="shared" ca="1" si="92"/>
        <v>P-024937-1/P190</v>
      </c>
      <c r="AP476" t="str">
        <f ca="1">Tabela1[[#This Row],[TAG]]&amp;Tabela1[[#This Row],[PEDIDO]]&amp;Tabela1[[#This Row],[PRODUTO]]</f>
        <v>P190P-190USINAGEM</v>
      </c>
      <c r="AQ476" s="22" t="str">
        <f ca="1">Tabela1[[#This Row],[PRODUTO]]&amp;Tabela1[[#This Row],[TAG]]</f>
        <v>USINAGEMP190</v>
      </c>
      <c r="AR476" s="24" t="str">
        <f ca="1">Tabela1[[#This Row],[PEDIDO]]&amp;Tabela1[[#This Row],[PRODUTO]]</f>
        <v>P-190USINAGEM</v>
      </c>
      <c r="AS476" s="37">
        <f ca="1">IF(AF476="",0,IF(ISTEXT(AF476),H476*VALUE(SUBSTITUTE(AF476,"%",""))/100,H476*AF476))-Tabela1[[#This Row],[PRONTO ACABADO2]]</f>
        <v>0</v>
      </c>
      <c r="AT476" s="37">
        <f ca="1">IF(AG476="",0,IF(ISTEXT(AG476),H476*VALUE(SUBSTITUTE(AG476,"%",""))/100,H476*AG476))-Tabela1[[#This Row],[PESO EXPEDIDO2]]</f>
        <v>0</v>
      </c>
      <c r="AU476" s="37">
        <f t="shared" ca="1" si="93"/>
        <v>0.5</v>
      </c>
      <c r="AV476" s="37">
        <f t="shared" ca="1" si="94"/>
        <v>0.5</v>
      </c>
      <c r="AW476" s="37"/>
    </row>
    <row r="477" spans="1:49" ht="15.75" hidden="1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 ca="1"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 ca="1">Tabela1[[#This Row],[QTDE/ Fabricação]]-Tabela1[[#This Row],[QTE]]</f>
        <v>-1</v>
      </c>
      <c r="R477" s="18">
        <f t="shared" ca="1" si="89"/>
        <v>5</v>
      </c>
      <c r="S477" s="18">
        <f t="shared" ca="1" si="82"/>
        <v>5</v>
      </c>
      <c r="T477" s="19">
        <f t="shared" ca="1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 ca="1">IFERROR(COUNTIF(#REF!,Tabela1[[#This Row],[Colunas5]]),"")</f>
        <v/>
      </c>
      <c r="X477" s="14">
        <f ca="1">Tabela1[[#This Row],[QIANTIDADE EXPEDIDA]]*Tabela1[[#This Row],[PESO UNI]]</f>
        <v>5</v>
      </c>
      <c r="Y477" s="14">
        <f t="shared" ca="1" si="91"/>
        <v>0</v>
      </c>
      <c r="Z477" s="20">
        <f ca="1"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 ca="1">Tabela1[[#This Row],[Coluna1]]&amp;Tabela1[[#This Row],[PEDIDO]]</f>
        <v>P-190</v>
      </c>
      <c r="AL477"/>
      <c r="AM477"/>
      <c r="AN477"/>
      <c r="AO477" t="str">
        <f t="shared" ca="1" si="92"/>
        <v>P-024936-1/P190</v>
      </c>
      <c r="AP477" t="str">
        <f ca="1">Tabela1[[#This Row],[TAG]]&amp;Tabela1[[#This Row],[PEDIDO]]&amp;Tabela1[[#This Row],[PRODUTO]]</f>
        <v>P190P-190ESTRUTURA</v>
      </c>
      <c r="AQ477" s="22" t="str">
        <f ca="1">Tabela1[[#This Row],[PRODUTO]]&amp;Tabela1[[#This Row],[TAG]]</f>
        <v>ESTRUTURAP190</v>
      </c>
      <c r="AR477" s="24" t="str">
        <f ca="1">Tabela1[[#This Row],[PEDIDO]]&amp;Tabela1[[#This Row],[PRODUTO]]</f>
        <v>P-190ESTRUTURA</v>
      </c>
      <c r="AS477" s="37">
        <f ca="1">IF(AF477="",0,IF(ISTEXT(AF477),H477*VALUE(SUBSTITUTE(AF477,"%",""))/100,H477*AF477))-Tabela1[[#This Row],[PRONTO ACABADO2]]</f>
        <v>0</v>
      </c>
      <c r="AT477" s="37">
        <f ca="1">IF(AG477="",0,IF(ISTEXT(AG477),H477*VALUE(SUBSTITUTE(AG477,"%",""))/100,H477*AG477))-Tabela1[[#This Row],[PESO EXPEDIDO2]]</f>
        <v>0</v>
      </c>
      <c r="AU477" s="37">
        <f t="shared" ca="1" si="93"/>
        <v>5</v>
      </c>
      <c r="AV477" s="37">
        <f t="shared" ca="1" si="94"/>
        <v>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 ca="1"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 ca="1">Tabela1[[#This Row],[QTDE/ Fabricação]]-Tabela1[[#This Row],[QTE]]</f>
        <v>-1</v>
      </c>
      <c r="R478" s="18">
        <f t="shared" ca="1" si="89"/>
        <v>2</v>
      </c>
      <c r="S478" s="18">
        <f t="shared" ca="1" si="82"/>
        <v>2</v>
      </c>
      <c r="T478" s="19">
        <f t="shared" ca="1" si="90"/>
        <v>0</v>
      </c>
      <c r="U478" s="16">
        <f>IFERROR(SUMIF('LISTA DE EMBARQUE'!B:B,MICRO!E:E,'LISTA DE EMBARQUE'!G:G),"")</f>
        <v>1</v>
      </c>
      <c r="V478" s="12">
        <f ca="1">IFERROR(VLOOKUP(Tabela1[[#This Row],[COD.MDE]],'LISTA DE EMBARQUE'!B:L,11,0),"")</f>
        <v>4</v>
      </c>
      <c r="W478" s="13" t="str">
        <f ca="1">IFERROR(COUNTIF(#REF!,Tabela1[[#This Row],[Colunas5]]),"")</f>
        <v/>
      </c>
      <c r="X478" s="14">
        <f ca="1">Tabela1[[#This Row],[QIANTIDADE EXPEDIDA]]*Tabela1[[#This Row],[PESO UNI]]</f>
        <v>2</v>
      </c>
      <c r="Y478" s="14">
        <f t="shared" ca="1" si="91"/>
        <v>0</v>
      </c>
      <c r="Z478" s="20">
        <f ca="1"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 ca="1">Tabela1[[#This Row],[Coluna1]]&amp;Tabela1[[#This Row],[PEDIDO]]</f>
        <v>P-190</v>
      </c>
      <c r="AL478"/>
      <c r="AM478"/>
      <c r="AN478"/>
      <c r="AO478" t="str">
        <f t="shared" ca="1" si="92"/>
        <v>P-024936-1/P190</v>
      </c>
      <c r="AP478" t="str">
        <f ca="1">Tabela1[[#This Row],[TAG]]&amp;Tabela1[[#This Row],[PEDIDO]]&amp;Tabela1[[#This Row],[PRODUTO]]</f>
        <v>P190P-190ESTRUTURA</v>
      </c>
      <c r="AQ478" s="22" t="str">
        <f ca="1">Tabela1[[#This Row],[PRODUTO]]&amp;Tabela1[[#This Row],[TAG]]</f>
        <v>ESTRUTURAP190</v>
      </c>
      <c r="AR478" s="24" t="str">
        <f ca="1">Tabela1[[#This Row],[PEDIDO]]&amp;Tabela1[[#This Row],[PRODUTO]]</f>
        <v>P-190ESTRUTURA</v>
      </c>
      <c r="AS478" s="37">
        <f ca="1">IF(AF478="",0,IF(ISTEXT(AF478),H478*VALUE(SUBSTITUTE(AF478,"%",""))/100,H478*AF478))-Tabela1[[#This Row],[PRONTO ACABADO2]]</f>
        <v>0</v>
      </c>
      <c r="AT478" s="37">
        <f ca="1">IF(AG478="",0,IF(ISTEXT(AG478),H478*VALUE(SUBSTITUTE(AG478,"%",""))/100,H478*AG478))-Tabela1[[#This Row],[PESO EXPEDIDO2]]</f>
        <v>0</v>
      </c>
      <c r="AU478" s="37">
        <f t="shared" ca="1" si="93"/>
        <v>2</v>
      </c>
      <c r="AV478" s="37">
        <f t="shared" ca="1" si="94"/>
        <v>2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 ca="1"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 ca="1">Tabela1[[#This Row],[QTDE/ Fabricação]]-Tabela1[[#This Row],[QTE]]</f>
        <v>-1</v>
      </c>
      <c r="R479" s="18">
        <f t="shared" ca="1" si="89"/>
        <v>5.0999999999999996</v>
      </c>
      <c r="S479" s="18">
        <f t="shared" ca="1" si="82"/>
        <v>5.0999999999999996</v>
      </c>
      <c r="T479" s="19">
        <f t="shared" ca="1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 ca="1">IFERROR(COUNTIF(#REF!,Tabela1[[#This Row],[Colunas5]]),"")</f>
        <v/>
      </c>
      <c r="X479" s="14">
        <f ca="1">Tabela1[[#This Row],[QIANTIDADE EXPEDIDA]]*Tabela1[[#This Row],[PESO UNI]]</f>
        <v>5.0999999999999996</v>
      </c>
      <c r="Y479" s="14">
        <f t="shared" ca="1" si="91"/>
        <v>0</v>
      </c>
      <c r="Z479" s="20">
        <f ca="1"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 ca="1">Tabela1[[#This Row],[Coluna1]]&amp;Tabela1[[#This Row],[PEDIDO]]</f>
        <v>P-190</v>
      </c>
      <c r="AL479"/>
      <c r="AM479"/>
      <c r="AN479"/>
      <c r="AO479" t="str">
        <f t="shared" ca="1" si="92"/>
        <v>P-024936-1/P190</v>
      </c>
      <c r="AP479" t="str">
        <f ca="1">Tabela1[[#This Row],[TAG]]&amp;Tabela1[[#This Row],[PEDIDO]]&amp;Tabela1[[#This Row],[PRODUTO]]</f>
        <v>P190P-190ESTRUTURA</v>
      </c>
      <c r="AQ479" s="22" t="str">
        <f ca="1">Tabela1[[#This Row],[PRODUTO]]&amp;Tabela1[[#This Row],[TAG]]</f>
        <v>ESTRUTURAP190</v>
      </c>
      <c r="AR479" s="24" t="str">
        <f ca="1">Tabela1[[#This Row],[PEDIDO]]&amp;Tabela1[[#This Row],[PRODUTO]]</f>
        <v>P-190ESTRUTURA</v>
      </c>
      <c r="AS479" s="37">
        <f ca="1">IF(AF479="",0,IF(ISTEXT(AF479),H479*VALUE(SUBSTITUTE(AF479,"%",""))/100,H479*AF479))-Tabela1[[#This Row],[PRONTO ACABADO2]]</f>
        <v>0</v>
      </c>
      <c r="AT479" s="37">
        <f ca="1">IF(AG479="",0,IF(ISTEXT(AG479),H479*VALUE(SUBSTITUTE(AG479,"%",""))/100,H479*AG479))-Tabela1[[#This Row],[PESO EXPEDIDO2]]</f>
        <v>0</v>
      </c>
      <c r="AU479" s="37">
        <f t="shared" ca="1" si="93"/>
        <v>5.0999999999999996</v>
      </c>
      <c r="AV479" s="37">
        <f t="shared" ca="1" si="94"/>
        <v>5.0999999999999996</v>
      </c>
      <c r="AW479" s="37"/>
    </row>
    <row r="480" spans="1:49" ht="15.75" hidden="1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 ca="1"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 ca="1">Tabela1[[#This Row],[QTDE/ Fabricação]]-Tabela1[[#This Row],[QTE]]</f>
        <v>-1</v>
      </c>
      <c r="R480" s="18">
        <f t="shared" ca="1" si="89"/>
        <v>628.70000000000005</v>
      </c>
      <c r="S480" s="18">
        <f t="shared" ca="1" si="82"/>
        <v>628.70000000000005</v>
      </c>
      <c r="T480" s="19">
        <f t="shared" ca="1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 ca="1">IFERROR(COUNTIF(#REF!,Tabela1[[#This Row],[Colunas5]]),"")</f>
        <v/>
      </c>
      <c r="X480" s="14">
        <f ca="1">Tabela1[[#This Row],[QIANTIDADE EXPEDIDA]]*Tabela1[[#This Row],[PESO UNI]]</f>
        <v>628.70000000000005</v>
      </c>
      <c r="Y480" s="14">
        <f t="shared" ca="1" si="91"/>
        <v>0</v>
      </c>
      <c r="Z480" s="20">
        <f ca="1"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 ca="1">Tabela1[[#This Row],[Coluna1]]&amp;Tabela1[[#This Row],[PEDIDO]]</f>
        <v>P-190</v>
      </c>
      <c r="AL480"/>
      <c r="AM480"/>
      <c r="AN480"/>
      <c r="AO480" t="str">
        <f t="shared" ca="1" si="92"/>
        <v>P-073062-1/P190</v>
      </c>
      <c r="AP480" t="str">
        <f ca="1">Tabela1[[#This Row],[TAG]]&amp;Tabela1[[#This Row],[PEDIDO]]&amp;Tabela1[[#This Row],[PRODUTO]]</f>
        <v>P190P-190TAMBOR</v>
      </c>
      <c r="AQ480" s="22" t="str">
        <f ca="1">Tabela1[[#This Row],[PRODUTO]]&amp;Tabela1[[#This Row],[TAG]]</f>
        <v>TAMBORP190</v>
      </c>
      <c r="AR480" s="24" t="str">
        <f ca="1">Tabela1[[#This Row],[PEDIDO]]&amp;Tabela1[[#This Row],[PRODUTO]]</f>
        <v>P-190TAMBOR</v>
      </c>
      <c r="AS480" s="37">
        <f ca="1">IF(AF480="",0,IF(ISTEXT(AF480),H480*VALUE(SUBSTITUTE(AF480,"%",""))/100,H480*AF480))-Tabela1[[#This Row],[PRONTO ACABADO2]]</f>
        <v>0</v>
      </c>
      <c r="AT480" s="37">
        <f ca="1">IF(AG480="",0,IF(ISTEXT(AG480),H480*VALUE(SUBSTITUTE(AG480,"%",""))/100,H480*AG480))-Tabela1[[#This Row],[PESO EXPEDIDO2]]</f>
        <v>0</v>
      </c>
      <c r="AU480" s="37">
        <f t="shared" ca="1" si="93"/>
        <v>628.70000000000005</v>
      </c>
      <c r="AV480" s="37">
        <f t="shared" ca="1" si="94"/>
        <v>628.70000000000005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 ca="1"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 ca="1">Tabela1[[#This Row],[QTDE/ Fabricação]]-Tabela1[[#This Row],[QTE]]</f>
        <v>-1</v>
      </c>
      <c r="R481" s="18">
        <f t="shared" ca="1" si="89"/>
        <v>11.1</v>
      </c>
      <c r="S481" s="18">
        <f t="shared" ca="1" si="82"/>
        <v>11.1</v>
      </c>
      <c r="T481" s="19">
        <f t="shared" ca="1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 ca="1">IFERROR(COUNTIF(#REF!,Tabela1[[#This Row],[Colunas5]]),"")</f>
        <v/>
      </c>
      <c r="X481" s="14">
        <f ca="1">Tabela1[[#This Row],[QIANTIDADE EXPEDIDA]]*Tabela1[[#This Row],[PESO UNI]]</f>
        <v>11.1</v>
      </c>
      <c r="Y481" s="14">
        <f t="shared" ca="1" si="91"/>
        <v>0</v>
      </c>
      <c r="Z481" s="20">
        <f ca="1"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 ca="1">Tabela1[[#This Row],[Coluna1]]&amp;Tabela1[[#This Row],[PEDIDO]]</f>
        <v>P-190</v>
      </c>
      <c r="AL481"/>
      <c r="AM481"/>
      <c r="AN481"/>
      <c r="AO481" t="str">
        <f t="shared" ca="1" si="92"/>
        <v>P-073062-1/P190</v>
      </c>
      <c r="AP481" t="str">
        <f ca="1">Tabela1[[#This Row],[TAG]]&amp;Tabela1[[#This Row],[PEDIDO]]&amp;Tabela1[[#This Row],[PRODUTO]]</f>
        <v>P190P-190TAMBOR</v>
      </c>
      <c r="AQ481" s="22" t="str">
        <f ca="1">Tabela1[[#This Row],[PRODUTO]]&amp;Tabela1[[#This Row],[TAG]]</f>
        <v>TAMBORP190</v>
      </c>
      <c r="AR481" s="24" t="str">
        <f ca="1">Tabela1[[#This Row],[PEDIDO]]&amp;Tabela1[[#This Row],[PRODUTO]]</f>
        <v>P-190TAMBOR</v>
      </c>
      <c r="AS481" s="37">
        <f ca="1">IF(AF481="",0,IF(ISTEXT(AF481),H481*VALUE(SUBSTITUTE(AF481,"%",""))/100,H481*AF481))-Tabela1[[#This Row],[PRONTO ACABADO2]]</f>
        <v>0</v>
      </c>
      <c r="AT481" s="37">
        <f ca="1">IF(AG481="",0,IF(ISTEXT(AG481),H481*VALUE(SUBSTITUTE(AG481,"%",""))/100,H481*AG481))-Tabela1[[#This Row],[PESO EXPEDIDO2]]</f>
        <v>0</v>
      </c>
      <c r="AU481" s="37">
        <f t="shared" ca="1" si="93"/>
        <v>11.1</v>
      </c>
      <c r="AV481" s="37">
        <f t="shared" ca="1" si="94"/>
        <v>11.1</v>
      </c>
      <c r="AW481" s="37"/>
    </row>
    <row r="482" spans="1:49" ht="15.75" hidden="1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 ca="1"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 ca="1">Tabela1[[#This Row],[QTDE/ Fabricação]]-Tabela1[[#This Row],[QTE]]</f>
        <v>-1</v>
      </c>
      <c r="R482" s="18">
        <f t="shared" ca="1" si="89"/>
        <v>25.3</v>
      </c>
      <c r="S482" s="18">
        <f t="shared" ca="1" si="82"/>
        <v>25.3</v>
      </c>
      <c r="T482" s="19">
        <f t="shared" ca="1" si="90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 ca="1">IFERROR(COUNTIF(#REF!,Tabela1[[#This Row],[Colunas5]]),"")</f>
        <v/>
      </c>
      <c r="X482" s="14">
        <f ca="1">Tabela1[[#This Row],[QIANTIDADE EXPEDIDA]]*Tabela1[[#This Row],[PESO UNI]]</f>
        <v>25.3</v>
      </c>
      <c r="Y482" s="14">
        <f t="shared" ca="1" si="91"/>
        <v>0</v>
      </c>
      <c r="Z482" s="20">
        <f ca="1"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 ca="1">Tabela1[[#This Row],[Coluna1]]&amp;Tabela1[[#This Row],[PEDIDO]]</f>
        <v>P-190</v>
      </c>
      <c r="AL482"/>
      <c r="AM482"/>
      <c r="AN482"/>
      <c r="AO482" t="str">
        <f t="shared" ca="1" si="92"/>
        <v>P-024506-1/P190</v>
      </c>
      <c r="AP482" t="str">
        <f ca="1">Tabela1[[#This Row],[TAG]]&amp;Tabela1[[#This Row],[PEDIDO]]&amp;Tabela1[[#This Row],[PRODUTO]]</f>
        <v>P190P-190ESTRUTURA</v>
      </c>
      <c r="AQ482" s="22" t="str">
        <f ca="1">Tabela1[[#This Row],[PRODUTO]]&amp;Tabela1[[#This Row],[TAG]]</f>
        <v>ESTRUTURAP190</v>
      </c>
      <c r="AR482" s="24" t="str">
        <f ca="1">Tabela1[[#This Row],[PEDIDO]]&amp;Tabela1[[#This Row],[PRODUTO]]</f>
        <v>P-190ESTRUTURA</v>
      </c>
      <c r="AS482" s="37">
        <f ca="1">IF(AF482="",0,IF(ISTEXT(AF482),H482*VALUE(SUBSTITUTE(AF482,"%",""))/100,H482*AF482))-Tabela1[[#This Row],[PRONTO ACABADO2]]</f>
        <v>0</v>
      </c>
      <c r="AT482" s="37">
        <f ca="1">IF(AG482="",0,IF(ISTEXT(AG482),H482*VALUE(SUBSTITUTE(AG482,"%",""))/100,H482*AG482))-Tabela1[[#This Row],[PESO EXPEDIDO2]]</f>
        <v>0</v>
      </c>
      <c r="AU482" s="37">
        <f t="shared" ca="1" si="93"/>
        <v>25.3</v>
      </c>
      <c r="AV482" s="37">
        <f t="shared" ca="1" si="94"/>
        <v>25.3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 ca="1"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 ca="1">Tabela1[[#This Row],[QTDE/ Fabricação]]-Tabela1[[#This Row],[QTE]]</f>
        <v>-1</v>
      </c>
      <c r="R483" s="18">
        <f t="shared" ca="1" si="89"/>
        <v>12.3</v>
      </c>
      <c r="S483" s="18">
        <f t="shared" ca="1" si="82"/>
        <v>12.3</v>
      </c>
      <c r="T483" s="19">
        <f t="shared" ca="1" si="90"/>
        <v>0</v>
      </c>
      <c r="U483" s="16">
        <v>1</v>
      </c>
      <c r="V483" s="12" t="str">
        <f ca="1">IFERROR(VLOOKUP(Tabela1[[#This Row],[COD.MDE]],'LISTA DE EMBARQUE'!B:L,11,0),"")</f>
        <v/>
      </c>
      <c r="W483" s="13" t="str">
        <f ca="1">IFERROR(COUNTIF(#REF!,Tabela1[[#This Row],[Colunas5]]),"")</f>
        <v/>
      </c>
      <c r="X483" s="14">
        <f ca="1">Tabela1[[#This Row],[QIANTIDADE EXPEDIDA]]*Tabela1[[#This Row],[PESO UNI]]</f>
        <v>12.3</v>
      </c>
      <c r="Y483" s="14">
        <f t="shared" ca="1" si="91"/>
        <v>0</v>
      </c>
      <c r="Z483" s="20">
        <f ca="1"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 ca="1">Tabela1[[#This Row],[Coluna1]]&amp;Tabela1[[#This Row],[PEDIDO]]</f>
        <v>P-190</v>
      </c>
      <c r="AL483"/>
      <c r="AM483"/>
      <c r="AN483"/>
      <c r="AO483" t="str">
        <f t="shared" ca="1" si="92"/>
        <v>P-024506-1/P190</v>
      </c>
      <c r="AP483" t="str">
        <f ca="1">Tabela1[[#This Row],[TAG]]&amp;Tabela1[[#This Row],[PEDIDO]]&amp;Tabela1[[#This Row],[PRODUTO]]</f>
        <v>P190P-190ESTRUTURA</v>
      </c>
      <c r="AQ483" s="22" t="str">
        <f ca="1">Tabela1[[#This Row],[PRODUTO]]&amp;Tabela1[[#This Row],[TAG]]</f>
        <v>ESTRUTURAP190</v>
      </c>
      <c r="AR483" s="24" t="str">
        <f ca="1">Tabela1[[#This Row],[PEDIDO]]&amp;Tabela1[[#This Row],[PRODUTO]]</f>
        <v>P-190ESTRUTURA</v>
      </c>
      <c r="AS483" s="37">
        <f ca="1">IF(AF483="",0,IF(ISTEXT(AF483),H483*VALUE(SUBSTITUTE(AF483,"%",""))/100,H483*AF483))-Tabela1[[#This Row],[PRONTO ACABADO2]]</f>
        <v>0</v>
      </c>
      <c r="AT483" s="37">
        <f ca="1">IF(AG483="",0,IF(ISTEXT(AG483),H483*VALUE(SUBSTITUTE(AG483,"%",""))/100,H483*AG483))-Tabela1[[#This Row],[PESO EXPEDIDO2]]</f>
        <v>0</v>
      </c>
      <c r="AU483" s="37">
        <f t="shared" ca="1" si="93"/>
        <v>12.3</v>
      </c>
      <c r="AV483" s="37">
        <f t="shared" ca="1" si="94"/>
        <v>12.3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 ca="1"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 ca="1">Tabela1[[#This Row],[QTDE/ Fabricação]]-Tabela1[[#This Row],[QTE]]</f>
        <v>-1</v>
      </c>
      <c r="R484" s="18">
        <f t="shared" ca="1" si="89"/>
        <v>4.2</v>
      </c>
      <c r="S484" s="18">
        <f t="shared" ca="1" si="82"/>
        <v>4.2</v>
      </c>
      <c r="T484" s="19">
        <f t="shared" ca="1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 ca="1">IFERROR(COUNTIF(#REF!,Tabela1[[#This Row],[Colunas5]]),"")</f>
        <v/>
      </c>
      <c r="X484" s="14">
        <f ca="1">Tabela1[[#This Row],[QIANTIDADE EXPEDIDA]]*Tabela1[[#This Row],[PESO UNI]]</f>
        <v>4.2</v>
      </c>
      <c r="Y484" s="14">
        <f t="shared" ca="1" si="91"/>
        <v>0</v>
      </c>
      <c r="Z484" s="20">
        <f ca="1"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 ca="1">Tabela1[[#This Row],[Coluna1]]&amp;Tabela1[[#This Row],[PEDIDO]]</f>
        <v>P-190</v>
      </c>
      <c r="AL484"/>
      <c r="AM484"/>
      <c r="AN484"/>
      <c r="AO484" t="str">
        <f t="shared" ca="1" si="92"/>
        <v>P-024506-1/P190</v>
      </c>
      <c r="AP484" t="str">
        <f ca="1">Tabela1[[#This Row],[TAG]]&amp;Tabela1[[#This Row],[PEDIDO]]&amp;Tabela1[[#This Row],[PRODUTO]]</f>
        <v>P190P-190ESTRUTURA</v>
      </c>
      <c r="AQ484" s="22" t="str">
        <f ca="1">Tabela1[[#This Row],[PRODUTO]]&amp;Tabela1[[#This Row],[TAG]]</f>
        <v>ESTRUTURAP190</v>
      </c>
      <c r="AR484" s="24" t="str">
        <f ca="1">Tabela1[[#This Row],[PEDIDO]]&amp;Tabela1[[#This Row],[PRODUTO]]</f>
        <v>P-190ESTRUTURA</v>
      </c>
      <c r="AS484" s="37">
        <f ca="1">IF(AF484="",0,IF(ISTEXT(AF484),H484*VALUE(SUBSTITUTE(AF484,"%",""))/100,H484*AF484))-Tabela1[[#This Row],[PRONTO ACABADO2]]</f>
        <v>0</v>
      </c>
      <c r="AT484" s="37">
        <f ca="1">IF(AG484="",0,IF(ISTEXT(AG484),H484*VALUE(SUBSTITUTE(AG484,"%",""))/100,H484*AG484))-Tabela1[[#This Row],[PESO EXPEDIDO2]]</f>
        <v>0</v>
      </c>
      <c r="AU484" s="37">
        <f t="shared" ca="1" si="93"/>
        <v>4.2</v>
      </c>
      <c r="AV484" s="37">
        <f t="shared" ca="1" si="94"/>
        <v>4.2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 ca="1"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 ca="1">Tabela1[[#This Row],[QTDE/ Fabricação]]-Tabela1[[#This Row],[QTE]]</f>
        <v>-1</v>
      </c>
      <c r="R485" s="18">
        <f t="shared" ca="1" si="89"/>
        <v>0.5</v>
      </c>
      <c r="S485" s="18">
        <f t="shared" ca="1" si="82"/>
        <v>0.5</v>
      </c>
      <c r="T485" s="19">
        <f t="shared" ca="1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 ca="1">IFERROR(COUNTIF(#REF!,Tabela1[[#This Row],[Colunas5]]),"")</f>
        <v/>
      </c>
      <c r="X485" s="14">
        <f ca="1">Tabela1[[#This Row],[QIANTIDADE EXPEDIDA]]*Tabela1[[#This Row],[PESO UNI]]</f>
        <v>0.5</v>
      </c>
      <c r="Y485" s="14">
        <f t="shared" ca="1" si="91"/>
        <v>0</v>
      </c>
      <c r="Z485" s="20">
        <f ca="1"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 ca="1">Tabela1[[#This Row],[Coluna1]]&amp;Tabela1[[#This Row],[PEDIDO]]</f>
        <v>P-190</v>
      </c>
      <c r="AL485"/>
      <c r="AM485"/>
      <c r="AN485"/>
      <c r="AO485" t="str">
        <f t="shared" ca="1" si="92"/>
        <v>P-024506-1/P190</v>
      </c>
      <c r="AP485" t="str">
        <f ca="1">Tabela1[[#This Row],[TAG]]&amp;Tabela1[[#This Row],[PEDIDO]]&amp;Tabela1[[#This Row],[PRODUTO]]</f>
        <v>P190P-190ESTRUTURA</v>
      </c>
      <c r="AQ485" s="22" t="str">
        <f ca="1">Tabela1[[#This Row],[PRODUTO]]&amp;Tabela1[[#This Row],[TAG]]</f>
        <v>ESTRUTURAP190</v>
      </c>
      <c r="AR485" s="24" t="str">
        <f ca="1">Tabela1[[#This Row],[PEDIDO]]&amp;Tabela1[[#This Row],[PRODUTO]]</f>
        <v>P-190ESTRUTURA</v>
      </c>
      <c r="AS485" s="37">
        <f ca="1">IF(AF485="",0,IF(ISTEXT(AF485),H485*VALUE(SUBSTITUTE(AF485,"%",""))/100,H485*AF485))-Tabela1[[#This Row],[PRONTO ACABADO2]]</f>
        <v>0</v>
      </c>
      <c r="AT485" s="37">
        <f ca="1">IF(AG485="",0,IF(ISTEXT(AG485),H485*VALUE(SUBSTITUTE(AG485,"%",""))/100,H485*AG485))-Tabela1[[#This Row],[PESO EXPEDIDO2]]</f>
        <v>0</v>
      </c>
      <c r="AU485" s="37">
        <f t="shared" ca="1" si="93"/>
        <v>0.5</v>
      </c>
      <c r="AV485" s="37">
        <f t="shared" ca="1" si="94"/>
        <v>0.5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 ca="1"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 ca="1">Tabela1[[#This Row],[QTDE/ Fabricação]]-Tabela1[[#This Row],[QTE]]</f>
        <v>-1</v>
      </c>
      <c r="R486" s="18">
        <f t="shared" ca="1" si="89"/>
        <v>0.2</v>
      </c>
      <c r="S486" s="18">
        <f t="shared" ca="1" si="82"/>
        <v>0.2</v>
      </c>
      <c r="T486" s="19">
        <f t="shared" ca="1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 ca="1">IFERROR(COUNTIF(#REF!,Tabela1[[#This Row],[Colunas5]]),"")</f>
        <v/>
      </c>
      <c r="X486" s="14">
        <f ca="1">Tabela1[[#This Row],[QIANTIDADE EXPEDIDA]]*Tabela1[[#This Row],[PESO UNI]]</f>
        <v>0.2</v>
      </c>
      <c r="Y486" s="14">
        <f t="shared" ca="1" si="91"/>
        <v>0</v>
      </c>
      <c r="Z486" s="20">
        <f ca="1"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 ca="1">Tabela1[[#This Row],[Coluna1]]&amp;Tabela1[[#This Row],[PEDIDO]]</f>
        <v>P-190</v>
      </c>
      <c r="AL486"/>
      <c r="AM486"/>
      <c r="AN486"/>
      <c r="AO486" t="str">
        <f t="shared" ca="1" si="92"/>
        <v>P-024506-1/P190</v>
      </c>
      <c r="AP486" t="str">
        <f ca="1">Tabela1[[#This Row],[TAG]]&amp;Tabela1[[#This Row],[PEDIDO]]&amp;Tabela1[[#This Row],[PRODUTO]]</f>
        <v>P190P-190ESTRUTURA</v>
      </c>
      <c r="AQ486" s="22" t="str">
        <f ca="1">Tabela1[[#This Row],[PRODUTO]]&amp;Tabela1[[#This Row],[TAG]]</f>
        <v>ESTRUTURAP190</v>
      </c>
      <c r="AR486" s="24" t="str">
        <f ca="1">Tabela1[[#This Row],[PEDIDO]]&amp;Tabela1[[#This Row],[PRODUTO]]</f>
        <v>P-190ESTRUTURA</v>
      </c>
      <c r="AS486" s="37">
        <f ca="1">IF(AF486="",0,IF(ISTEXT(AF486),H486*VALUE(SUBSTITUTE(AF486,"%",""))/100,H486*AF486))-Tabela1[[#This Row],[PRONTO ACABADO2]]</f>
        <v>0</v>
      </c>
      <c r="AT486" s="37">
        <f ca="1">IF(AG486="",0,IF(ISTEXT(AG486),H486*VALUE(SUBSTITUTE(AG486,"%",""))/100,H486*AG486))-Tabela1[[#This Row],[PESO EXPEDIDO2]]</f>
        <v>0</v>
      </c>
      <c r="AU486" s="37">
        <f t="shared" ca="1" si="93"/>
        <v>0.2</v>
      </c>
      <c r="AV486" s="37">
        <f t="shared" ca="1" si="94"/>
        <v>0.2</v>
      </c>
      <c r="AW486" s="37"/>
    </row>
    <row r="487" spans="1:49" ht="15.75" hidden="1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 ca="1"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 ca="1">Tabela1[[#This Row],[QTDE/ Fabricação]]-Tabela1[[#This Row],[QTE]]</f>
        <v>-2</v>
      </c>
      <c r="R487" s="18">
        <f t="shared" ca="1" si="89"/>
        <v>14</v>
      </c>
      <c r="S487" s="18">
        <f t="shared" ca="1" si="82"/>
        <v>14</v>
      </c>
      <c r="T487" s="19">
        <f t="shared" ca="1" si="90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 ca="1">IFERROR(COUNTIF(#REF!,Tabela1[[#This Row],[Colunas5]]),"")</f>
        <v/>
      </c>
      <c r="X487" s="14">
        <f ca="1">Tabela1[[#This Row],[QIANTIDADE EXPEDIDA]]*Tabela1[[#This Row],[PESO UNI]]</f>
        <v>14</v>
      </c>
      <c r="Y487" s="14">
        <f t="shared" ca="1" si="91"/>
        <v>0</v>
      </c>
      <c r="Z487" s="20">
        <f ca="1"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 ca="1">Tabela1[[#This Row],[Coluna1]]&amp;Tabela1[[#This Row],[PEDIDO]]</f>
        <v>P-190</v>
      </c>
      <c r="AL487"/>
      <c r="AM487"/>
      <c r="AN487"/>
      <c r="AO487" t="str">
        <f t="shared" ca="1" si="92"/>
        <v>P-024506-1/P190</v>
      </c>
      <c r="AP487" t="str">
        <f ca="1">Tabela1[[#This Row],[TAG]]&amp;Tabela1[[#This Row],[PEDIDO]]&amp;Tabela1[[#This Row],[PRODUTO]]</f>
        <v>P190P-190ESTRUTURA</v>
      </c>
      <c r="AQ487" s="22" t="str">
        <f ca="1">Tabela1[[#This Row],[PRODUTO]]&amp;Tabela1[[#This Row],[TAG]]</f>
        <v>ESTRUTURAP190</v>
      </c>
      <c r="AR487" s="24" t="str">
        <f ca="1">Tabela1[[#This Row],[PEDIDO]]&amp;Tabela1[[#This Row],[PRODUTO]]</f>
        <v>P-190ESTRUTURA</v>
      </c>
      <c r="AS487" s="37">
        <f ca="1">IF(AF487="",0,IF(ISTEXT(AF487),H487*VALUE(SUBSTITUTE(AF487,"%",""))/100,H487*AF487))-Tabela1[[#This Row],[PRONTO ACABADO2]]</f>
        <v>0</v>
      </c>
      <c r="AT487" s="37">
        <f ca="1">IF(AG487="",0,IF(ISTEXT(AG487),H487*VALUE(SUBSTITUTE(AG487,"%",""))/100,H487*AG487))-Tabela1[[#This Row],[PESO EXPEDIDO2]]</f>
        <v>0</v>
      </c>
      <c r="AU487" s="37">
        <f t="shared" ca="1" si="93"/>
        <v>14</v>
      </c>
      <c r="AV487" s="37">
        <f t="shared" ca="1" si="94"/>
        <v>14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 ca="1"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 ca="1">Tabela1[[#This Row],[QTDE/ Fabricação]]-Tabela1[[#This Row],[QTE]]</f>
        <v>-2</v>
      </c>
      <c r="R488" s="18">
        <f t="shared" ca="1" si="89"/>
        <v>1.6</v>
      </c>
      <c r="S488" s="18">
        <f t="shared" ca="1" si="82"/>
        <v>1.6</v>
      </c>
      <c r="T488" s="19">
        <f t="shared" ca="1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 ca="1">IFERROR(COUNTIF(#REF!,Tabela1[[#This Row],[Colunas5]]),"")</f>
        <v/>
      </c>
      <c r="X488" s="14">
        <f ca="1">Tabela1[[#This Row],[QIANTIDADE EXPEDIDA]]*Tabela1[[#This Row],[PESO UNI]]</f>
        <v>1.6</v>
      </c>
      <c r="Y488" s="14">
        <f t="shared" ca="1" si="91"/>
        <v>0</v>
      </c>
      <c r="Z488" s="20">
        <f ca="1"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 ca="1">Tabela1[[#This Row],[Coluna1]]&amp;Tabela1[[#This Row],[PEDIDO]]</f>
        <v>P-190</v>
      </c>
      <c r="AL488"/>
      <c r="AM488"/>
      <c r="AN488"/>
      <c r="AO488" t="str">
        <f t="shared" ca="1" si="92"/>
        <v>P-024506-1/P190</v>
      </c>
      <c r="AP488" t="str">
        <f ca="1">Tabela1[[#This Row],[TAG]]&amp;Tabela1[[#This Row],[PEDIDO]]&amp;Tabela1[[#This Row],[PRODUTO]]</f>
        <v>P190P-190ESTRUTURA</v>
      </c>
      <c r="AQ488" s="22" t="str">
        <f ca="1">Tabela1[[#This Row],[PRODUTO]]&amp;Tabela1[[#This Row],[TAG]]</f>
        <v>ESTRUTURAP190</v>
      </c>
      <c r="AR488" s="24" t="str">
        <f ca="1">Tabela1[[#This Row],[PEDIDO]]&amp;Tabela1[[#This Row],[PRODUTO]]</f>
        <v>P-190ESTRUTURA</v>
      </c>
      <c r="AS488" s="37">
        <f ca="1">IF(AF488="",0,IF(ISTEXT(AF488),H488*VALUE(SUBSTITUTE(AF488,"%",""))/100,H488*AF488))-Tabela1[[#This Row],[PRONTO ACABADO2]]</f>
        <v>0</v>
      </c>
      <c r="AT488" s="37">
        <f ca="1">IF(AG488="",0,IF(ISTEXT(AG488),H488*VALUE(SUBSTITUTE(AG488,"%",""))/100,H488*AG488))-Tabela1[[#This Row],[PESO EXPEDIDO2]]</f>
        <v>0</v>
      </c>
      <c r="AU488" s="37">
        <f t="shared" ca="1" si="93"/>
        <v>1.6</v>
      </c>
      <c r="AV488" s="37">
        <f t="shared" ca="1" si="94"/>
        <v>1.6</v>
      </c>
      <c r="AW488" s="37"/>
    </row>
    <row r="489" spans="1:49" ht="15.75" hidden="1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 ca="1"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 ca="1">Tabela1[[#This Row],[QTDE/ Fabricação]]-Tabela1[[#This Row],[QTE]]</f>
        <v>-1</v>
      </c>
      <c r="R489" s="18">
        <f t="shared" ca="1" si="89"/>
        <v>0.6</v>
      </c>
      <c r="S489" s="18">
        <f t="shared" ca="1" si="82"/>
        <v>0.6</v>
      </c>
      <c r="T489" s="19">
        <f t="shared" ca="1" si="90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 ca="1">IFERROR(COUNTIF(#REF!,Tabela1[[#This Row],[Colunas5]]),"")</f>
        <v/>
      </c>
      <c r="X489" s="14">
        <f ca="1">Tabela1[[#This Row],[QIANTIDADE EXPEDIDA]]*Tabela1[[#This Row],[PESO UNI]]</f>
        <v>0.6</v>
      </c>
      <c r="Y489" s="14">
        <f t="shared" ca="1" si="91"/>
        <v>0</v>
      </c>
      <c r="Z489" s="20">
        <f ca="1"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 ca="1">Tabela1[[#This Row],[Coluna1]]&amp;Tabela1[[#This Row],[PEDIDO]]</f>
        <v>P-190</v>
      </c>
      <c r="AL489"/>
      <c r="AM489"/>
      <c r="AN489"/>
      <c r="AO489" t="str">
        <f t="shared" ca="1" si="92"/>
        <v>P-024506-1/P190</v>
      </c>
      <c r="AP489" t="str">
        <f ca="1">Tabela1[[#This Row],[TAG]]&amp;Tabela1[[#This Row],[PEDIDO]]&amp;Tabela1[[#This Row],[PRODUTO]]</f>
        <v>P190P-190ESTRUTURA</v>
      </c>
      <c r="AQ489" s="22" t="str">
        <f ca="1">Tabela1[[#This Row],[PRODUTO]]&amp;Tabela1[[#This Row],[TAG]]</f>
        <v>ESTRUTURAP190</v>
      </c>
      <c r="AR489" s="24" t="str">
        <f ca="1">Tabela1[[#This Row],[PEDIDO]]&amp;Tabela1[[#This Row],[PRODUTO]]</f>
        <v>P-190ESTRUTURA</v>
      </c>
      <c r="AS489" s="37">
        <f ca="1">IF(AF489="",0,IF(ISTEXT(AF489),H489*VALUE(SUBSTITUTE(AF489,"%",""))/100,H489*AF489))-Tabela1[[#This Row],[PRONTO ACABADO2]]</f>
        <v>0</v>
      </c>
      <c r="AT489" s="37">
        <f ca="1">IF(AG489="",0,IF(ISTEXT(AG489),H489*VALUE(SUBSTITUTE(AG489,"%",""))/100,H489*AG489))-Tabela1[[#This Row],[PESO EXPEDIDO2]]</f>
        <v>0</v>
      </c>
      <c r="AU489" s="37">
        <f t="shared" ca="1" si="93"/>
        <v>0.6</v>
      </c>
      <c r="AV489" s="37">
        <f t="shared" ca="1" si="94"/>
        <v>0.6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 ca="1"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 ca="1">Tabela1[[#This Row],[QTDE/ Fabricação]]-Tabela1[[#This Row],[QTE]]</f>
        <v>-1</v>
      </c>
      <c r="R490" s="18">
        <f t="shared" ca="1" si="89"/>
        <v>0.1</v>
      </c>
      <c r="S490" s="18">
        <f t="shared" ca="1" si="82"/>
        <v>0.1</v>
      </c>
      <c r="T490" s="19">
        <f t="shared" ca="1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 ca="1">IFERROR(COUNTIF(#REF!,Tabela1[[#This Row],[Colunas5]]),"")</f>
        <v/>
      </c>
      <c r="X490" s="14">
        <f ca="1">Tabela1[[#This Row],[QIANTIDADE EXPEDIDA]]*Tabela1[[#This Row],[PESO UNI]]</f>
        <v>0.1</v>
      </c>
      <c r="Y490" s="14">
        <f t="shared" ca="1" si="91"/>
        <v>0</v>
      </c>
      <c r="Z490" s="20">
        <f ca="1"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 ca="1">Tabela1[[#This Row],[Coluna1]]&amp;Tabela1[[#This Row],[PEDIDO]]</f>
        <v>P-190</v>
      </c>
      <c r="AL490"/>
      <c r="AM490"/>
      <c r="AN490"/>
      <c r="AO490" t="str">
        <f t="shared" ca="1" si="92"/>
        <v>P-024506-1/P190</v>
      </c>
      <c r="AP490" t="str">
        <f ca="1">Tabela1[[#This Row],[TAG]]&amp;Tabela1[[#This Row],[PEDIDO]]&amp;Tabela1[[#This Row],[PRODUTO]]</f>
        <v>P190P-190ESTRUTURA</v>
      </c>
      <c r="AQ490" s="22" t="str">
        <f ca="1">Tabela1[[#This Row],[PRODUTO]]&amp;Tabela1[[#This Row],[TAG]]</f>
        <v>ESTRUTURAP190</v>
      </c>
      <c r="AR490" s="24" t="str">
        <f ca="1">Tabela1[[#This Row],[PEDIDO]]&amp;Tabela1[[#This Row],[PRODUTO]]</f>
        <v>P-190ESTRUTURA</v>
      </c>
      <c r="AS490" s="37">
        <f ca="1">IF(AF490="",0,IF(ISTEXT(AF490),H490*VALUE(SUBSTITUTE(AF490,"%",""))/100,H490*AF490))-Tabela1[[#This Row],[PRONTO ACABADO2]]</f>
        <v>0</v>
      </c>
      <c r="AT490" s="37">
        <f ca="1">IF(AG490="",0,IF(ISTEXT(AG490),H490*VALUE(SUBSTITUTE(AG490,"%",""))/100,H490*AG490))-Tabela1[[#This Row],[PESO EXPEDIDO2]]</f>
        <v>0</v>
      </c>
      <c r="AU490" s="37">
        <f t="shared" ca="1" si="93"/>
        <v>0.1</v>
      </c>
      <c r="AV490" s="37">
        <f t="shared" ca="1" si="94"/>
        <v>0.1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 ca="1"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 ca="1">Tabela1[[#This Row],[QTDE/ Fabricação]]-Tabela1[[#This Row],[QTE]]</f>
        <v>-1</v>
      </c>
      <c r="R491" s="18">
        <f t="shared" ca="1" si="89"/>
        <v>0.1</v>
      </c>
      <c r="S491" s="18">
        <f t="shared" ca="1" si="82"/>
        <v>0.1</v>
      </c>
      <c r="T491" s="19">
        <f t="shared" ca="1" si="90"/>
        <v>0</v>
      </c>
      <c r="U491" s="16">
        <v>1</v>
      </c>
      <c r="V491" s="12" t="str">
        <f ca="1">IFERROR(VLOOKUP(Tabela1[[#This Row],[COD.MDE]],'LISTA DE EMBARQUE'!B:L,11,0),"")</f>
        <v/>
      </c>
      <c r="W491" s="13" t="str">
        <f ca="1">IFERROR(COUNTIF(#REF!,Tabela1[[#This Row],[Colunas5]]),"")</f>
        <v/>
      </c>
      <c r="X491" s="14">
        <f ca="1">Tabela1[[#This Row],[QIANTIDADE EXPEDIDA]]*Tabela1[[#This Row],[PESO UNI]]</f>
        <v>0.1</v>
      </c>
      <c r="Y491" s="14">
        <f t="shared" ca="1" si="91"/>
        <v>0</v>
      </c>
      <c r="Z491" s="20">
        <f ca="1"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 ca="1">Tabela1[[#This Row],[Coluna1]]&amp;Tabela1[[#This Row],[PEDIDO]]</f>
        <v>P-190</v>
      </c>
      <c r="AL491"/>
      <c r="AM491"/>
      <c r="AN491"/>
      <c r="AO491" t="str">
        <f t="shared" ca="1" si="92"/>
        <v>P-024506-1/P190</v>
      </c>
      <c r="AP491" t="str">
        <f ca="1">Tabela1[[#This Row],[TAG]]&amp;Tabela1[[#This Row],[PEDIDO]]&amp;Tabela1[[#This Row],[PRODUTO]]</f>
        <v>P190P-190ESTRUTURA</v>
      </c>
      <c r="AQ491" s="22" t="str">
        <f ca="1">Tabela1[[#This Row],[PRODUTO]]&amp;Tabela1[[#This Row],[TAG]]</f>
        <v>ESTRUTURAP190</v>
      </c>
      <c r="AR491" s="24" t="str">
        <f ca="1">Tabela1[[#This Row],[PEDIDO]]&amp;Tabela1[[#This Row],[PRODUTO]]</f>
        <v>P-190ESTRUTURA</v>
      </c>
      <c r="AS491" s="37">
        <f ca="1">IF(AF491="",0,IF(ISTEXT(AF491),H491*VALUE(SUBSTITUTE(AF491,"%",""))/100,H491*AF491))-Tabela1[[#This Row],[PRONTO ACABADO2]]</f>
        <v>0</v>
      </c>
      <c r="AT491" s="37">
        <f ca="1">IF(AG491="",0,IF(ISTEXT(AG491),H491*VALUE(SUBSTITUTE(AG491,"%",""))/100,H491*AG491))-Tabela1[[#This Row],[PESO EXPEDIDO2]]</f>
        <v>0</v>
      </c>
      <c r="AU491" s="37">
        <f t="shared" ca="1" si="93"/>
        <v>0.1</v>
      </c>
      <c r="AV491" s="37">
        <f t="shared" ca="1" si="94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 ca="1"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 ca="1">Tabela1[[#This Row],[QTDE/ Fabricação]]-Tabela1[[#This Row],[QTE]]</f>
        <v>-1</v>
      </c>
      <c r="R492" s="18">
        <f t="shared" ca="1" si="89"/>
        <v>0.1</v>
      </c>
      <c r="S492" s="18">
        <f t="shared" ca="1" si="82"/>
        <v>0.1</v>
      </c>
      <c r="T492" s="19">
        <f t="shared" ca="1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 ca="1">IFERROR(COUNTIF(#REF!,Tabela1[[#This Row],[Colunas5]]),"")</f>
        <v/>
      </c>
      <c r="X492" s="14">
        <f ca="1">Tabela1[[#This Row],[QIANTIDADE EXPEDIDA]]*Tabela1[[#This Row],[PESO UNI]]</f>
        <v>0.1</v>
      </c>
      <c r="Y492" s="14">
        <f t="shared" ca="1" si="91"/>
        <v>0</v>
      </c>
      <c r="Z492" s="20">
        <f ca="1"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 ca="1">Tabela1[[#This Row],[Coluna1]]&amp;Tabela1[[#This Row],[PEDIDO]]</f>
        <v>P-190</v>
      </c>
      <c r="AL492"/>
      <c r="AM492"/>
      <c r="AN492"/>
      <c r="AO492" t="str">
        <f t="shared" ca="1" si="92"/>
        <v>P-024506-1/P190</v>
      </c>
      <c r="AP492" t="str">
        <f ca="1">Tabela1[[#This Row],[TAG]]&amp;Tabela1[[#This Row],[PEDIDO]]&amp;Tabela1[[#This Row],[PRODUTO]]</f>
        <v>P190P-190ESTRUTURA</v>
      </c>
      <c r="AQ492" s="22" t="str">
        <f ca="1">Tabela1[[#This Row],[PRODUTO]]&amp;Tabela1[[#This Row],[TAG]]</f>
        <v>ESTRUTURAP190</v>
      </c>
      <c r="AR492" s="24" t="str">
        <f ca="1">Tabela1[[#This Row],[PEDIDO]]&amp;Tabela1[[#This Row],[PRODUTO]]</f>
        <v>P-190ESTRUTURA</v>
      </c>
      <c r="AS492" s="37">
        <f ca="1">IF(AF492="",0,IF(ISTEXT(AF492),H492*VALUE(SUBSTITUTE(AF492,"%",""))/100,H492*AF492))-Tabela1[[#This Row],[PRONTO ACABADO2]]</f>
        <v>0</v>
      </c>
      <c r="AT492" s="37">
        <f ca="1">IF(AG492="",0,IF(ISTEXT(AG492),H492*VALUE(SUBSTITUTE(AG492,"%",""))/100,H492*AG492))-Tabela1[[#This Row],[PESO EXPEDIDO2]]</f>
        <v>0</v>
      </c>
      <c r="AU492" s="37">
        <f t="shared" ca="1" si="93"/>
        <v>0.1</v>
      </c>
      <c r="AV492" s="37">
        <f t="shared" ca="1" si="94"/>
        <v>0.1</v>
      </c>
      <c r="AW492" s="37"/>
    </row>
    <row r="493" spans="1:49" ht="15.75" hidden="1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 ca="1"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 ca="1">Tabela1[[#This Row],[QTDE/ Fabricação]]-Tabela1[[#This Row],[QTE]]</f>
        <v>-1</v>
      </c>
      <c r="R493" s="18">
        <f t="shared" ca="1" si="89"/>
        <v>0.2</v>
      </c>
      <c r="S493" s="18">
        <f t="shared" ca="1" si="82"/>
        <v>0.2</v>
      </c>
      <c r="T493" s="19">
        <f t="shared" ca="1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 ca="1">IFERROR(COUNTIF(#REF!,Tabela1[[#This Row],[Colunas5]]),"")</f>
        <v/>
      </c>
      <c r="X493" s="14">
        <f ca="1">Tabela1[[#This Row],[QIANTIDADE EXPEDIDA]]*Tabela1[[#This Row],[PESO UNI]]</f>
        <v>0.2</v>
      </c>
      <c r="Y493" s="14">
        <f t="shared" ca="1" si="91"/>
        <v>0</v>
      </c>
      <c r="Z493" s="20">
        <f ca="1"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 ca="1">Tabela1[[#This Row],[Coluna1]]&amp;Tabela1[[#This Row],[PEDIDO]]</f>
        <v>P-190</v>
      </c>
      <c r="AL493"/>
      <c r="AM493"/>
      <c r="AN493"/>
      <c r="AO493" t="str">
        <f t="shared" ca="1" si="92"/>
        <v>P-024527-1/P190</v>
      </c>
      <c r="AP493" t="str">
        <f ca="1">Tabela1[[#This Row],[TAG]]&amp;Tabela1[[#This Row],[PEDIDO]]&amp;Tabela1[[#This Row],[PRODUTO]]</f>
        <v>P190P-190COMERCIAL</v>
      </c>
      <c r="AQ493" s="22" t="str">
        <f ca="1">Tabela1[[#This Row],[PRODUTO]]&amp;Tabela1[[#This Row],[TAG]]</f>
        <v>COMERCIALP190</v>
      </c>
      <c r="AR493" s="24" t="str">
        <f ca="1">Tabela1[[#This Row],[PEDIDO]]&amp;Tabela1[[#This Row],[PRODUTO]]</f>
        <v>P-190COMERCIAL</v>
      </c>
      <c r="AS493" s="37">
        <f ca="1">IF(AF493="",0,IF(ISTEXT(AF493),H493*VALUE(SUBSTITUTE(AF493,"%",""))/100,H493*AF493))-Tabela1[[#This Row],[PRONTO ACABADO2]]</f>
        <v>0</v>
      </c>
      <c r="AT493" s="37">
        <f ca="1">IF(AG493="",0,IF(ISTEXT(AG493),H493*VALUE(SUBSTITUTE(AG493,"%",""))/100,H493*AG493))-Tabela1[[#This Row],[PESO EXPEDIDO2]]</f>
        <v>0</v>
      </c>
      <c r="AU493" s="37">
        <f t="shared" ca="1" si="93"/>
        <v>0.2</v>
      </c>
      <c r="AV493" s="37">
        <f t="shared" ca="1" si="94"/>
        <v>0.2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 ca="1"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 ca="1">Tabela1[[#This Row],[QTDE/ Fabricação]]-Tabela1[[#This Row],[QTE]]</f>
        <v>-1</v>
      </c>
      <c r="R494" s="18">
        <f t="shared" ca="1" si="89"/>
        <v>0.4</v>
      </c>
      <c r="S494" s="18">
        <f t="shared" ca="1" si="82"/>
        <v>0.4</v>
      </c>
      <c r="T494" s="19">
        <f t="shared" ca="1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 ca="1">IFERROR(COUNTIF(#REF!,Tabela1[[#This Row],[Colunas5]]),"")</f>
        <v/>
      </c>
      <c r="X494" s="14">
        <f ca="1">Tabela1[[#This Row],[QIANTIDADE EXPEDIDA]]*Tabela1[[#This Row],[PESO UNI]]</f>
        <v>0.4</v>
      </c>
      <c r="Y494" s="14">
        <f t="shared" ca="1" si="91"/>
        <v>0</v>
      </c>
      <c r="Z494" s="20">
        <f ca="1"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 ca="1">Tabela1[[#This Row],[Coluna1]]&amp;Tabela1[[#This Row],[PEDIDO]]</f>
        <v>P-190</v>
      </c>
      <c r="AL494"/>
      <c r="AM494"/>
      <c r="AN494"/>
      <c r="AO494" t="str">
        <f t="shared" ca="1" si="92"/>
        <v>P-024527-1/P190</v>
      </c>
      <c r="AP494" t="str">
        <f ca="1">Tabela1[[#This Row],[TAG]]&amp;Tabela1[[#This Row],[PEDIDO]]&amp;Tabela1[[#This Row],[PRODUTO]]</f>
        <v>P190P-190ESTRUTURA</v>
      </c>
      <c r="AQ494" s="22" t="str">
        <f ca="1">Tabela1[[#This Row],[PRODUTO]]&amp;Tabela1[[#This Row],[TAG]]</f>
        <v>ESTRUTURAP190</v>
      </c>
      <c r="AR494" s="24" t="str">
        <f ca="1">Tabela1[[#This Row],[PEDIDO]]&amp;Tabela1[[#This Row],[PRODUTO]]</f>
        <v>P-190ESTRUTURA</v>
      </c>
      <c r="AS494" s="37">
        <f ca="1">IF(AF494="",0,IF(ISTEXT(AF494),H494*VALUE(SUBSTITUTE(AF494,"%",""))/100,H494*AF494))-Tabela1[[#This Row],[PRONTO ACABADO2]]</f>
        <v>0</v>
      </c>
      <c r="AT494" s="37">
        <f ca="1">IF(AG494="",0,IF(ISTEXT(AG494),H494*VALUE(SUBSTITUTE(AG494,"%",""))/100,H494*AG494))-Tabela1[[#This Row],[PESO EXPEDIDO2]]</f>
        <v>0</v>
      </c>
      <c r="AU494" s="37">
        <f t="shared" ca="1" si="93"/>
        <v>0.4</v>
      </c>
      <c r="AV494" s="37">
        <f t="shared" ca="1" si="94"/>
        <v>0.4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 ca="1"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 ca="1">Tabela1[[#This Row],[QTDE/ Fabricação]]-Tabela1[[#This Row],[QTE]]</f>
        <v>-1</v>
      </c>
      <c r="R495" s="18">
        <f t="shared" ca="1" si="89"/>
        <v>0.6</v>
      </c>
      <c r="S495" s="18">
        <f t="shared" ca="1" si="82"/>
        <v>0.6</v>
      </c>
      <c r="T495" s="19">
        <f t="shared" ca="1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 ca="1">IFERROR(COUNTIF(#REF!,Tabela1[[#This Row],[Colunas5]]),"")</f>
        <v/>
      </c>
      <c r="X495" s="14">
        <f ca="1">Tabela1[[#This Row],[QIANTIDADE EXPEDIDA]]*Tabela1[[#This Row],[PESO UNI]]</f>
        <v>0.6</v>
      </c>
      <c r="Y495" s="14">
        <f t="shared" ca="1" si="91"/>
        <v>0</v>
      </c>
      <c r="Z495" s="20">
        <f ca="1"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 ca="1">Tabela1[[#This Row],[Coluna1]]&amp;Tabela1[[#This Row],[PEDIDO]]</f>
        <v>P-190</v>
      </c>
      <c r="AL495"/>
      <c r="AM495"/>
      <c r="AN495"/>
      <c r="AO495" t="str">
        <f t="shared" ca="1" si="92"/>
        <v>P-024527-1/P190</v>
      </c>
      <c r="AP495" t="str">
        <f ca="1">Tabela1[[#This Row],[TAG]]&amp;Tabela1[[#This Row],[PEDIDO]]&amp;Tabela1[[#This Row],[PRODUTO]]</f>
        <v>P190P-190ESTRUTURA</v>
      </c>
      <c r="AQ495" s="22" t="str">
        <f ca="1">Tabela1[[#This Row],[PRODUTO]]&amp;Tabela1[[#This Row],[TAG]]</f>
        <v>ESTRUTURAP190</v>
      </c>
      <c r="AR495" s="24" t="str">
        <f ca="1">Tabela1[[#This Row],[PEDIDO]]&amp;Tabela1[[#This Row],[PRODUTO]]</f>
        <v>P-190ESTRUTURA</v>
      </c>
      <c r="AS495" s="37">
        <f ca="1">IF(AF495="",0,IF(ISTEXT(AF495),H495*VALUE(SUBSTITUTE(AF495,"%",""))/100,H495*AF495))-Tabela1[[#This Row],[PRONTO ACABADO2]]</f>
        <v>0</v>
      </c>
      <c r="AT495" s="37">
        <f ca="1">IF(AG495="",0,IF(ISTEXT(AG495),H495*VALUE(SUBSTITUTE(AG495,"%",""))/100,H495*AG495))-Tabela1[[#This Row],[PESO EXPEDIDO2]]</f>
        <v>0</v>
      </c>
      <c r="AU495" s="37">
        <f t="shared" ca="1" si="93"/>
        <v>0.6</v>
      </c>
      <c r="AV495" s="37">
        <f t="shared" ca="1" si="94"/>
        <v>0.6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 ca="1"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 ca="1">Tabela1[[#This Row],[QTDE/ Fabricação]]-Tabela1[[#This Row],[QTE]]</f>
        <v>-1</v>
      </c>
      <c r="R496" s="18">
        <f t="shared" ca="1" si="89"/>
        <v>0.4</v>
      </c>
      <c r="S496" s="18">
        <f t="shared" ca="1" si="82"/>
        <v>0.4</v>
      </c>
      <c r="T496" s="19">
        <f t="shared" ca="1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 ca="1">IFERROR(COUNTIF(#REF!,Tabela1[[#This Row],[Colunas5]]),"")</f>
        <v/>
      </c>
      <c r="X496" s="14">
        <f ca="1">Tabela1[[#This Row],[QIANTIDADE EXPEDIDA]]*Tabela1[[#This Row],[PESO UNI]]</f>
        <v>0.4</v>
      </c>
      <c r="Y496" s="14">
        <f t="shared" ca="1" si="91"/>
        <v>0</v>
      </c>
      <c r="Z496" s="20">
        <f ca="1"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 ca="1">Tabela1[[#This Row],[Coluna1]]&amp;Tabela1[[#This Row],[PEDIDO]]</f>
        <v>P-190</v>
      </c>
      <c r="AL496"/>
      <c r="AM496"/>
      <c r="AN496"/>
      <c r="AO496" t="str">
        <f t="shared" ca="1" si="92"/>
        <v>P-024527-1/P190</v>
      </c>
      <c r="AP496" t="str">
        <f ca="1">Tabela1[[#This Row],[TAG]]&amp;Tabela1[[#This Row],[PEDIDO]]&amp;Tabela1[[#This Row],[PRODUTO]]</f>
        <v>P190P-190ESTRUTURA</v>
      </c>
      <c r="AQ496" s="22" t="str">
        <f ca="1">Tabela1[[#This Row],[PRODUTO]]&amp;Tabela1[[#This Row],[TAG]]</f>
        <v>ESTRUTURAP190</v>
      </c>
      <c r="AR496" s="24" t="str">
        <f ca="1">Tabela1[[#This Row],[PEDIDO]]&amp;Tabela1[[#This Row],[PRODUTO]]</f>
        <v>P-190ESTRUTURA</v>
      </c>
      <c r="AS496" s="37">
        <f ca="1">IF(AF496="",0,IF(ISTEXT(AF496),H496*VALUE(SUBSTITUTE(AF496,"%",""))/100,H496*AF496))-Tabela1[[#This Row],[PRONTO ACABADO2]]</f>
        <v>0</v>
      </c>
      <c r="AT496" s="37">
        <f ca="1">IF(AG496="",0,IF(ISTEXT(AG496),H496*VALUE(SUBSTITUTE(AG496,"%",""))/100,H496*AG496))-Tabela1[[#This Row],[PESO EXPEDIDO2]]</f>
        <v>0</v>
      </c>
      <c r="AU496" s="37">
        <f t="shared" ca="1" si="93"/>
        <v>0.4</v>
      </c>
      <c r="AV496" s="37">
        <f t="shared" ca="1" si="94"/>
        <v>0.4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 ca="1"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 ca="1">Tabela1[[#This Row],[QTDE/ Fabricação]]-Tabela1[[#This Row],[QTE]]</f>
        <v>-1</v>
      </c>
      <c r="R497" s="18">
        <f t="shared" ca="1" si="89"/>
        <v>9</v>
      </c>
      <c r="S497" s="18">
        <f t="shared" ca="1" si="82"/>
        <v>9</v>
      </c>
      <c r="T497" s="19">
        <f t="shared" ca="1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 ca="1">IFERROR(COUNTIF(#REF!,Tabela1[[#This Row],[Colunas5]]),"")</f>
        <v/>
      </c>
      <c r="X497" s="14">
        <f ca="1">Tabela1[[#This Row],[QIANTIDADE EXPEDIDA]]*Tabela1[[#This Row],[PESO UNI]]</f>
        <v>9</v>
      </c>
      <c r="Y497" s="14">
        <f t="shared" ca="1" si="91"/>
        <v>0</v>
      </c>
      <c r="Z497" s="20">
        <f ca="1"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 ca="1">Tabela1[[#This Row],[Coluna1]]&amp;Tabela1[[#This Row],[PEDIDO]]</f>
        <v>P-190</v>
      </c>
      <c r="AL497"/>
      <c r="AM497"/>
      <c r="AN497"/>
      <c r="AO497" t="str">
        <f t="shared" ca="1" si="92"/>
        <v>P-024527-1/P190</v>
      </c>
      <c r="AP497" t="str">
        <f ca="1">Tabela1[[#This Row],[TAG]]&amp;Tabela1[[#This Row],[PEDIDO]]&amp;Tabela1[[#This Row],[PRODUTO]]</f>
        <v>P190P-190ESTRUTURA</v>
      </c>
      <c r="AQ497" s="22" t="str">
        <f ca="1">Tabela1[[#This Row],[PRODUTO]]&amp;Tabela1[[#This Row],[TAG]]</f>
        <v>ESTRUTURAP190</v>
      </c>
      <c r="AR497" s="24" t="str">
        <f ca="1">Tabela1[[#This Row],[PEDIDO]]&amp;Tabela1[[#This Row],[PRODUTO]]</f>
        <v>P-190ESTRUTURA</v>
      </c>
      <c r="AS497" s="37">
        <f ca="1">IF(AF497="",0,IF(ISTEXT(AF497),H497*VALUE(SUBSTITUTE(AF497,"%",""))/100,H497*AF497))-Tabela1[[#This Row],[PRONTO ACABADO2]]</f>
        <v>0</v>
      </c>
      <c r="AT497" s="37">
        <f ca="1">IF(AG497="",0,IF(ISTEXT(AG497),H497*VALUE(SUBSTITUTE(AG497,"%",""))/100,H497*AG497))-Tabela1[[#This Row],[PESO EXPEDIDO2]]</f>
        <v>0</v>
      </c>
      <c r="AU497" s="37">
        <f t="shared" ca="1" si="93"/>
        <v>9</v>
      </c>
      <c r="AV497" s="37">
        <f t="shared" ca="1" si="94"/>
        <v>9</v>
      </c>
      <c r="AW497" s="37"/>
    </row>
    <row r="498" spans="1:49" ht="15.75" hidden="1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 ca="1"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 ca="1">Tabela1[[#This Row],[QTDE/ Fabricação]]-Tabela1[[#This Row],[QTE]]</f>
        <v>-2</v>
      </c>
      <c r="R498" s="18">
        <f t="shared" ca="1" si="89"/>
        <v>10</v>
      </c>
      <c r="S498" s="18">
        <f t="shared" ca="1" si="82"/>
        <v>10</v>
      </c>
      <c r="T498" s="19">
        <f t="shared" ca="1" si="90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 ca="1">IFERROR(COUNTIF(#REF!,Tabela1[[#This Row],[Colunas5]]),"")</f>
        <v/>
      </c>
      <c r="X498" s="14">
        <f ca="1">Tabela1[[#This Row],[QIANTIDADE EXPEDIDA]]*Tabela1[[#This Row],[PESO UNI]]</f>
        <v>10</v>
      </c>
      <c r="Y498" s="14">
        <f t="shared" ca="1" si="91"/>
        <v>0</v>
      </c>
      <c r="Z498" s="20">
        <f ca="1"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 ca="1">Tabela1[[#This Row],[Coluna1]]&amp;Tabela1[[#This Row],[PEDIDO]]</f>
        <v>P-190</v>
      </c>
      <c r="AL498"/>
      <c r="AM498"/>
      <c r="AN498"/>
      <c r="AO498" t="str">
        <f t="shared" ca="1" si="92"/>
        <v>P-024527-1/P190</v>
      </c>
      <c r="AP498" t="str">
        <f ca="1">Tabela1[[#This Row],[TAG]]&amp;Tabela1[[#This Row],[PEDIDO]]&amp;Tabela1[[#This Row],[PRODUTO]]</f>
        <v>P190P-190ESTRUTURA</v>
      </c>
      <c r="AQ498" s="22" t="str">
        <f ca="1">Tabela1[[#This Row],[PRODUTO]]&amp;Tabela1[[#This Row],[TAG]]</f>
        <v>ESTRUTURAP190</v>
      </c>
      <c r="AR498" s="24" t="str">
        <f ca="1">Tabela1[[#This Row],[PEDIDO]]&amp;Tabela1[[#This Row],[PRODUTO]]</f>
        <v>P-190ESTRUTURA</v>
      </c>
      <c r="AS498" s="37">
        <f ca="1">IF(AF498="",0,IF(ISTEXT(AF498),H498*VALUE(SUBSTITUTE(AF498,"%",""))/100,H498*AF498))-Tabela1[[#This Row],[PRONTO ACABADO2]]</f>
        <v>0</v>
      </c>
      <c r="AT498" s="37">
        <f ca="1">IF(AG498="",0,IF(ISTEXT(AG498),H498*VALUE(SUBSTITUTE(AG498,"%",""))/100,H498*AG498))-Tabela1[[#This Row],[PESO EXPEDIDO2]]</f>
        <v>0</v>
      </c>
      <c r="AU498" s="37">
        <f t="shared" ca="1" si="93"/>
        <v>10</v>
      </c>
      <c r="AV498" s="37">
        <f t="shared" ca="1" si="94"/>
        <v>10</v>
      </c>
      <c r="AW498" s="37"/>
    </row>
    <row r="499" spans="1:49" ht="15.75" hidden="1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 ca="1"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 ca="1">Tabela1[[#This Row],[QTDE/ Fabricação]]-Tabela1[[#This Row],[QTE]]</f>
        <v>-1</v>
      </c>
      <c r="R499" s="18">
        <f t="shared" ca="1" si="89"/>
        <v>23.4</v>
      </c>
      <c r="S499" s="18">
        <f t="shared" ca="1" si="82"/>
        <v>23.4</v>
      </c>
      <c r="T499" s="19">
        <f t="shared" ca="1" si="90"/>
        <v>0</v>
      </c>
      <c r="U499" s="16">
        <v>1</v>
      </c>
      <c r="V499" s="12" t="str">
        <f ca="1">IFERROR(VLOOKUP(Tabela1[[#This Row],[COD.MDE]],'LISTA DE EMBARQUE'!B:L,11,0),"")</f>
        <v/>
      </c>
      <c r="W499" s="13" t="str">
        <f ca="1">IFERROR(COUNTIF(#REF!,Tabela1[[#This Row],[Colunas5]]),"")</f>
        <v/>
      </c>
      <c r="X499" s="14">
        <f ca="1">Tabela1[[#This Row],[QIANTIDADE EXPEDIDA]]*Tabela1[[#This Row],[PESO UNI]]</f>
        <v>23.4</v>
      </c>
      <c r="Y499" s="14">
        <f t="shared" ca="1" si="91"/>
        <v>0</v>
      </c>
      <c r="Z499" s="20">
        <f ca="1"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 ca="1">Tabela1[[#This Row],[Coluna1]]&amp;Tabela1[[#This Row],[PEDIDO]]</f>
        <v>P-190</v>
      </c>
      <c r="AL499"/>
      <c r="AM499"/>
      <c r="AN499"/>
      <c r="AO499" t="str">
        <f t="shared" ca="1" si="92"/>
        <v>P-024527-1/P190</v>
      </c>
      <c r="AP499" t="str">
        <f ca="1">Tabela1[[#This Row],[TAG]]&amp;Tabela1[[#This Row],[PEDIDO]]&amp;Tabela1[[#This Row],[PRODUTO]]</f>
        <v>P190P-190ESTRUTURA</v>
      </c>
      <c r="AQ499" s="22" t="str">
        <f ca="1">Tabela1[[#This Row],[PRODUTO]]&amp;Tabela1[[#This Row],[TAG]]</f>
        <v>ESTRUTURAP190</v>
      </c>
      <c r="AR499" s="24" t="str">
        <f ca="1">Tabela1[[#This Row],[PEDIDO]]&amp;Tabela1[[#This Row],[PRODUTO]]</f>
        <v>P-190ESTRUTURA</v>
      </c>
      <c r="AS499" s="37">
        <f ca="1">IF(AF499="",0,IF(ISTEXT(AF499),H499*VALUE(SUBSTITUTE(AF499,"%",""))/100,H499*AF499))-Tabela1[[#This Row],[PRONTO ACABADO2]]</f>
        <v>0</v>
      </c>
      <c r="AT499" s="37">
        <f ca="1">IF(AG499="",0,IF(ISTEXT(AG499),H499*VALUE(SUBSTITUTE(AG499,"%",""))/100,H499*AG499))-Tabela1[[#This Row],[PESO EXPEDIDO2]]</f>
        <v>0</v>
      </c>
      <c r="AU499" s="37">
        <f t="shared" ca="1" si="93"/>
        <v>23.4</v>
      </c>
      <c r="AV499" s="37">
        <f t="shared" ca="1" si="94"/>
        <v>23.4</v>
      </c>
      <c r="AW499" s="37"/>
    </row>
    <row r="500" spans="1:49" ht="15.75" hidden="1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 ca="1"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 ca="1">Tabela1[[#This Row],[QTDE/ Fabricação]]-Tabela1[[#This Row],[QTE]]</f>
        <v>-1</v>
      </c>
      <c r="R500" s="18">
        <f t="shared" ca="1" si="89"/>
        <v>51.7</v>
      </c>
      <c r="S500" s="18">
        <f t="shared" ca="1" si="82"/>
        <v>51.7</v>
      </c>
      <c r="T500" s="19">
        <f t="shared" ca="1" si="90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 ca="1">IFERROR(COUNTIF(#REF!,Tabela1[[#This Row],[Colunas5]]),"")</f>
        <v/>
      </c>
      <c r="X500" s="14">
        <f ca="1">Tabela1[[#This Row],[QIANTIDADE EXPEDIDA]]*Tabela1[[#This Row],[PESO UNI]]</f>
        <v>51.7</v>
      </c>
      <c r="Y500" s="14">
        <f t="shared" ca="1" si="91"/>
        <v>0</v>
      </c>
      <c r="Z500" s="20">
        <f ca="1"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 ca="1">Tabela1[[#This Row],[Coluna1]]&amp;Tabela1[[#This Row],[PEDIDO]]</f>
        <v>P-190</v>
      </c>
      <c r="AL500"/>
      <c r="AM500"/>
      <c r="AN500"/>
      <c r="AO500" t="str">
        <f t="shared" ca="1" si="92"/>
        <v>P-073059-1/P190</v>
      </c>
      <c r="AP500" t="str">
        <f ca="1">Tabela1[[#This Row],[TAG]]&amp;Tabela1[[#This Row],[PEDIDO]]&amp;Tabela1[[#This Row],[PRODUTO]]</f>
        <v>P190P-190ESTRUTURA</v>
      </c>
      <c r="AQ500" s="22" t="str">
        <f ca="1">Tabela1[[#This Row],[PRODUTO]]&amp;Tabela1[[#This Row],[TAG]]</f>
        <v>ESTRUTURAP190</v>
      </c>
      <c r="AR500" s="24" t="str">
        <f ca="1">Tabela1[[#This Row],[PEDIDO]]&amp;Tabela1[[#This Row],[PRODUTO]]</f>
        <v>P-190ESTRUTURA</v>
      </c>
      <c r="AS500" s="37">
        <f ca="1">IF(AF500="",0,IF(ISTEXT(AF500),H500*VALUE(SUBSTITUTE(AF500,"%",""))/100,H500*AF500))-Tabela1[[#This Row],[PRONTO ACABADO2]]</f>
        <v>0</v>
      </c>
      <c r="AT500" s="37">
        <f ca="1">IF(AG500="",0,IF(ISTEXT(AG500),H500*VALUE(SUBSTITUTE(AG500,"%",""))/100,H500*AG500))-Tabela1[[#This Row],[PESO EXPEDIDO2]]</f>
        <v>0</v>
      </c>
      <c r="AU500" s="37">
        <f t="shared" ca="1" si="93"/>
        <v>51.7</v>
      </c>
      <c r="AV500" s="37">
        <f t="shared" ca="1" si="94"/>
        <v>51.7</v>
      </c>
      <c r="AW500" s="37"/>
    </row>
    <row r="501" spans="1:49" ht="15.75" hidden="1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 ca="1"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 ca="1">Tabela1[[#This Row],[QTDE/ Fabricação]]-Tabela1[[#This Row],[QTE]]</f>
        <v>-1</v>
      </c>
      <c r="R501" s="18">
        <f t="shared" ca="1" si="89"/>
        <v>232.8</v>
      </c>
      <c r="S501" s="18">
        <f t="shared" ca="1" si="82"/>
        <v>232.8</v>
      </c>
      <c r="T501" s="19">
        <f t="shared" ca="1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 ca="1">IFERROR(COUNTIF(#REF!,Tabela1[[#This Row],[Colunas5]]),"")</f>
        <v/>
      </c>
      <c r="X501" s="14">
        <f ca="1">Tabela1[[#This Row],[QIANTIDADE EXPEDIDA]]*Tabela1[[#This Row],[PESO UNI]]</f>
        <v>232.8</v>
      </c>
      <c r="Y501" s="14">
        <f t="shared" ca="1" si="91"/>
        <v>0</v>
      </c>
      <c r="Z501" s="20">
        <f ca="1"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 ca="1">Tabela1[[#This Row],[Coluna1]]&amp;Tabela1[[#This Row],[PEDIDO]]</f>
        <v>P-190</v>
      </c>
      <c r="AL501"/>
      <c r="AM501"/>
      <c r="AN501"/>
      <c r="AO501" t="str">
        <f t="shared" ca="1" si="92"/>
        <v>P-073058-1/P190</v>
      </c>
      <c r="AP501" t="str">
        <f ca="1">Tabela1[[#This Row],[TAG]]&amp;Tabela1[[#This Row],[PEDIDO]]&amp;Tabela1[[#This Row],[PRODUTO]]</f>
        <v>P190P-190ESTRUTURA</v>
      </c>
      <c r="AQ501" s="22" t="str">
        <f ca="1">Tabela1[[#This Row],[PRODUTO]]&amp;Tabela1[[#This Row],[TAG]]</f>
        <v>ESTRUTURAP190</v>
      </c>
      <c r="AR501" s="24" t="str">
        <f ca="1">Tabela1[[#This Row],[PEDIDO]]&amp;Tabela1[[#This Row],[PRODUTO]]</f>
        <v>P-190ESTRUTURA</v>
      </c>
      <c r="AS501" s="37">
        <f ca="1">IF(AF501="",0,IF(ISTEXT(AF501),H501*VALUE(SUBSTITUTE(AF501,"%",""))/100,H501*AF501))-Tabela1[[#This Row],[PRONTO ACABADO2]]</f>
        <v>0</v>
      </c>
      <c r="AT501" s="37">
        <f ca="1">IF(AG501="",0,IF(ISTEXT(AG501),H501*VALUE(SUBSTITUTE(AG501,"%",""))/100,H501*AG501))-Tabela1[[#This Row],[PESO EXPEDIDO2]]</f>
        <v>0</v>
      </c>
      <c r="AU501" s="37">
        <f t="shared" ca="1" si="93"/>
        <v>232.8</v>
      </c>
      <c r="AV501" s="37">
        <f t="shared" ca="1" si="94"/>
        <v>232.8</v>
      </c>
      <c r="AW501" s="37"/>
    </row>
    <row r="502" spans="1:49" ht="15.75" hidden="1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 ca="1"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 ca="1">Tabela1[[#This Row],[QTDE/ Fabricação]]-Tabela1[[#This Row],[QTE]]</f>
        <v>-2</v>
      </c>
      <c r="R502" s="18">
        <f t="shared" ca="1" si="89"/>
        <v>62</v>
      </c>
      <c r="S502" s="18">
        <f t="shared" ca="1" si="82"/>
        <v>62</v>
      </c>
      <c r="T502" s="19">
        <f t="shared" ca="1" si="90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 ca="1">IFERROR(COUNTIF(#REF!,Tabela1[[#This Row],[Colunas5]]),"")</f>
        <v/>
      </c>
      <c r="X502" s="14">
        <f ca="1">Tabela1[[#This Row],[QIANTIDADE EXPEDIDA]]*Tabela1[[#This Row],[PESO UNI]]</f>
        <v>62</v>
      </c>
      <c r="Y502" s="14">
        <f t="shared" ca="1" si="91"/>
        <v>0</v>
      </c>
      <c r="Z502" s="20">
        <f ca="1"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 ca="1">Tabela1[[#This Row],[Coluna1]]&amp;Tabela1[[#This Row],[PEDIDO]]</f>
        <v>P-190</v>
      </c>
      <c r="AL502"/>
      <c r="AM502"/>
      <c r="AN502"/>
      <c r="AO502" t="str">
        <f t="shared" ca="1" si="92"/>
        <v>P-024529-1/P190</v>
      </c>
      <c r="AP502" t="str">
        <f ca="1">Tabela1[[#This Row],[TAG]]&amp;Tabela1[[#This Row],[PEDIDO]]&amp;Tabela1[[#This Row],[PRODUTO]]</f>
        <v>P190P-190ESTRUTURA</v>
      </c>
      <c r="AQ502" s="22" t="str">
        <f ca="1">Tabela1[[#This Row],[PRODUTO]]&amp;Tabela1[[#This Row],[TAG]]</f>
        <v>ESTRUTURAP190</v>
      </c>
      <c r="AR502" s="24" t="str">
        <f ca="1">Tabela1[[#This Row],[PEDIDO]]&amp;Tabela1[[#This Row],[PRODUTO]]</f>
        <v>P-190ESTRUTURA</v>
      </c>
      <c r="AS502" s="37">
        <f ca="1">IF(AF502="",0,IF(ISTEXT(AF502),H502*VALUE(SUBSTITUTE(AF502,"%",""))/100,H502*AF502))-Tabela1[[#This Row],[PRONTO ACABADO2]]</f>
        <v>0</v>
      </c>
      <c r="AT502" s="37">
        <f ca="1">IF(AG502="",0,IF(ISTEXT(AG502),H502*VALUE(SUBSTITUTE(AG502,"%",""))/100,H502*AG502))-Tabela1[[#This Row],[PESO EXPEDIDO2]]</f>
        <v>0</v>
      </c>
      <c r="AU502" s="37">
        <f t="shared" ca="1" si="93"/>
        <v>62</v>
      </c>
      <c r="AV502" s="37">
        <f t="shared" ca="1" si="94"/>
        <v>62</v>
      </c>
      <c r="AW502" s="37"/>
    </row>
    <row r="503" spans="1:49" ht="15.75" hidden="1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 ca="1"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 ca="1">Tabela1[[#This Row],[QTDE/ Fabricação]]-Tabela1[[#This Row],[QTE]]</f>
        <v>-1</v>
      </c>
      <c r="R503" s="18">
        <f t="shared" ca="1" si="89"/>
        <v>45.4</v>
      </c>
      <c r="S503" s="18">
        <f t="shared" ca="1" si="82"/>
        <v>45.4</v>
      </c>
      <c r="T503" s="19">
        <f t="shared" ca="1" si="90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 ca="1">IFERROR(COUNTIF(#REF!,Tabela1[[#This Row],[Colunas5]]),"")</f>
        <v/>
      </c>
      <c r="X503" s="14">
        <f ca="1">Tabela1[[#This Row],[QIANTIDADE EXPEDIDA]]*Tabela1[[#This Row],[PESO UNI]]</f>
        <v>45.4</v>
      </c>
      <c r="Y503" s="14">
        <f t="shared" ca="1" si="91"/>
        <v>0</v>
      </c>
      <c r="Z503" s="20">
        <f ca="1"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 ca="1">Tabela1[[#This Row],[Coluna1]]&amp;Tabela1[[#This Row],[PEDIDO]]</f>
        <v>P-190</v>
      </c>
      <c r="AL503"/>
      <c r="AM503"/>
      <c r="AN503"/>
      <c r="AO503" t="str">
        <f t="shared" ca="1" si="92"/>
        <v>P-024526-1/P190</v>
      </c>
      <c r="AP503" t="str">
        <f ca="1">Tabela1[[#This Row],[TAG]]&amp;Tabela1[[#This Row],[PEDIDO]]&amp;Tabela1[[#This Row],[PRODUTO]]</f>
        <v>P190P-190ESTRUTURA</v>
      </c>
      <c r="AQ503" s="22" t="str">
        <f ca="1">Tabela1[[#This Row],[PRODUTO]]&amp;Tabela1[[#This Row],[TAG]]</f>
        <v>ESTRUTURAP190</v>
      </c>
      <c r="AR503" s="24" t="str">
        <f ca="1">Tabela1[[#This Row],[PEDIDO]]&amp;Tabela1[[#This Row],[PRODUTO]]</f>
        <v>P-190ESTRUTURA</v>
      </c>
      <c r="AS503" s="37">
        <f ca="1">IF(AF503="",0,IF(ISTEXT(AF503),H503*VALUE(SUBSTITUTE(AF503,"%",""))/100,H503*AF503))-Tabela1[[#This Row],[PRONTO ACABADO2]]</f>
        <v>0</v>
      </c>
      <c r="AT503" s="37">
        <f ca="1">IF(AG503="",0,IF(ISTEXT(AG503),H503*VALUE(SUBSTITUTE(AG503,"%",""))/100,H503*AG503))-Tabela1[[#This Row],[PESO EXPEDIDO2]]</f>
        <v>0</v>
      </c>
      <c r="AU503" s="37">
        <f t="shared" ca="1" si="93"/>
        <v>45.4</v>
      </c>
      <c r="AV503" s="37">
        <f t="shared" ca="1" si="94"/>
        <v>45.4</v>
      </c>
      <c r="AW503" s="37"/>
    </row>
    <row r="504" spans="1:49" ht="15.75" hidden="1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 ca="1"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 ca="1">Tabela1[[#This Row],[QTDE/ Fabricação]]-Tabela1[[#This Row],[QTE]]</f>
        <v>-2</v>
      </c>
      <c r="R504" s="18">
        <f t="shared" ca="1" si="89"/>
        <v>48</v>
      </c>
      <c r="S504" s="18">
        <f t="shared" ca="1" si="82"/>
        <v>48</v>
      </c>
      <c r="T504" s="19">
        <f t="shared" ca="1" si="90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 ca="1">IFERROR(COUNTIF(#REF!,Tabela1[[#This Row],[Colunas5]]),"")</f>
        <v/>
      </c>
      <c r="X504" s="14">
        <f ca="1">Tabela1[[#This Row],[QIANTIDADE EXPEDIDA]]*Tabela1[[#This Row],[PESO UNI]]</f>
        <v>48</v>
      </c>
      <c r="Y504" s="14">
        <f t="shared" ca="1" si="91"/>
        <v>0</v>
      </c>
      <c r="Z504" s="20">
        <f ca="1"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 ca="1">Tabela1[[#This Row],[Coluna1]]&amp;Tabela1[[#This Row],[PEDIDO]]</f>
        <v>P-190</v>
      </c>
      <c r="AL504"/>
      <c r="AM504"/>
      <c r="AN504"/>
      <c r="AO504" t="str">
        <f t="shared" ca="1" si="92"/>
        <v>P-024528-1/P190</v>
      </c>
      <c r="AP504" t="str">
        <f ca="1">Tabela1[[#This Row],[TAG]]&amp;Tabela1[[#This Row],[PEDIDO]]&amp;Tabela1[[#This Row],[PRODUTO]]</f>
        <v>P190P-190ESTRUTURA</v>
      </c>
      <c r="AQ504" s="22" t="str">
        <f ca="1">Tabela1[[#This Row],[PRODUTO]]&amp;Tabela1[[#This Row],[TAG]]</f>
        <v>ESTRUTURAP190</v>
      </c>
      <c r="AR504" s="24" t="str">
        <f ca="1">Tabela1[[#This Row],[PEDIDO]]&amp;Tabela1[[#This Row],[PRODUTO]]</f>
        <v>P-190ESTRUTURA</v>
      </c>
      <c r="AS504" s="37">
        <f ca="1">IF(AF504="",0,IF(ISTEXT(AF504),H504*VALUE(SUBSTITUTE(AF504,"%",""))/100,H504*AF504))-Tabela1[[#This Row],[PRONTO ACABADO2]]</f>
        <v>0</v>
      </c>
      <c r="AT504" s="37">
        <f ca="1">IF(AG504="",0,IF(ISTEXT(AG504),H504*VALUE(SUBSTITUTE(AG504,"%",""))/100,H504*AG504))-Tabela1[[#This Row],[PESO EXPEDIDO2]]</f>
        <v>0</v>
      </c>
      <c r="AU504" s="37">
        <f t="shared" ca="1" si="93"/>
        <v>48</v>
      </c>
      <c r="AV504" s="37">
        <f t="shared" ca="1" si="94"/>
        <v>48</v>
      </c>
      <c r="AW504" s="37"/>
    </row>
    <row r="505" spans="1:49" ht="15.75" hidden="1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 ca="1"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 ca="1">Tabela1[[#This Row],[QTDE/ Fabricação]]-Tabela1[[#This Row],[QTE]]</f>
        <v>-1</v>
      </c>
      <c r="R505" s="18">
        <f t="shared" ca="1" si="89"/>
        <v>28.1</v>
      </c>
      <c r="S505" s="18">
        <f t="shared" ca="1" si="82"/>
        <v>28.1</v>
      </c>
      <c r="T505" s="19">
        <f t="shared" ca="1" si="90"/>
        <v>0</v>
      </c>
      <c r="U505" s="16">
        <v>1</v>
      </c>
      <c r="V505" s="12">
        <f ca="1">IFERROR(VLOOKUP(Tabela1[[#This Row],[COD.MDE]],'LISTA DE EMBARQUE'!B:L,11,0),"")</f>
        <v>4</v>
      </c>
      <c r="W505" s="13" t="str">
        <f ca="1">IFERROR(COUNTIF(#REF!,Tabela1[[#This Row],[Colunas5]]),"")</f>
        <v/>
      </c>
      <c r="X505" s="14">
        <f ca="1">Tabela1[[#This Row],[QIANTIDADE EXPEDIDA]]*Tabela1[[#This Row],[PESO UNI]]</f>
        <v>28.1</v>
      </c>
      <c r="Y505" s="14">
        <f t="shared" ca="1" si="91"/>
        <v>0</v>
      </c>
      <c r="Z505" s="20">
        <f ca="1"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 ca="1">Tabela1[[#This Row],[Coluna1]]&amp;Tabela1[[#This Row],[PEDIDO]]</f>
        <v>P-190</v>
      </c>
      <c r="AL505"/>
      <c r="AM505"/>
      <c r="AN505"/>
      <c r="AO505" t="str">
        <f t="shared" ca="1" si="92"/>
        <v>P-024518-1/P190</v>
      </c>
      <c r="AP505" t="str">
        <f ca="1">Tabela1[[#This Row],[TAG]]&amp;Tabela1[[#This Row],[PEDIDO]]&amp;Tabela1[[#This Row],[PRODUTO]]</f>
        <v>P190P-190ESTRUTURA</v>
      </c>
      <c r="AQ505" s="22" t="str">
        <f ca="1">Tabela1[[#This Row],[PRODUTO]]&amp;Tabela1[[#This Row],[TAG]]</f>
        <v>ESTRUTURAP190</v>
      </c>
      <c r="AR505" s="24" t="str">
        <f ca="1">Tabela1[[#This Row],[PEDIDO]]&amp;Tabela1[[#This Row],[PRODUTO]]</f>
        <v>P-190ESTRUTURA</v>
      </c>
      <c r="AS505" s="37">
        <f ca="1">IF(AF505="",0,IF(ISTEXT(AF505),H505*VALUE(SUBSTITUTE(AF505,"%",""))/100,H505*AF505))-Tabela1[[#This Row],[PRONTO ACABADO2]]</f>
        <v>0</v>
      </c>
      <c r="AT505" s="37">
        <f ca="1">IF(AG505="",0,IF(ISTEXT(AG505),H505*VALUE(SUBSTITUTE(AG505,"%",""))/100,H505*AG505))-Tabela1[[#This Row],[PESO EXPEDIDO2]]</f>
        <v>0</v>
      </c>
      <c r="AU505" s="37">
        <f t="shared" ca="1" si="93"/>
        <v>28.1</v>
      </c>
      <c r="AV505" s="37">
        <f t="shared" ca="1" si="94"/>
        <v>28.1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 ca="1"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 ca="1">Tabela1[[#This Row],[QTDE/ Fabricação]]-Tabela1[[#This Row],[QTE]]</f>
        <v>-1</v>
      </c>
      <c r="R506" s="18">
        <f t="shared" ca="1" si="89"/>
        <v>2.9</v>
      </c>
      <c r="S506" s="18">
        <f t="shared" ca="1" si="82"/>
        <v>2.9</v>
      </c>
      <c r="T506" s="19">
        <f t="shared" ca="1" si="90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 ca="1">IFERROR(COUNTIF(#REF!,Tabela1[[#This Row],[Colunas5]]),"")</f>
        <v/>
      </c>
      <c r="X506" s="14">
        <f ca="1">Tabela1[[#This Row],[QIANTIDADE EXPEDIDA]]*Tabela1[[#This Row],[PESO UNI]]</f>
        <v>2.9</v>
      </c>
      <c r="Y506" s="14">
        <f t="shared" ca="1" si="91"/>
        <v>0</v>
      </c>
      <c r="Z506" s="20">
        <f ca="1"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 ca="1">Tabela1[[#This Row],[Coluna1]]&amp;Tabela1[[#This Row],[PEDIDO]]</f>
        <v>P-190</v>
      </c>
      <c r="AL506"/>
      <c r="AM506"/>
      <c r="AN506"/>
      <c r="AO506" t="str">
        <f t="shared" ca="1" si="92"/>
        <v>P-024518-1/P190</v>
      </c>
      <c r="AP506" t="str">
        <f ca="1">Tabela1[[#This Row],[TAG]]&amp;Tabela1[[#This Row],[PEDIDO]]&amp;Tabela1[[#This Row],[PRODUTO]]</f>
        <v>P190P-190ESTRUTURA</v>
      </c>
      <c r="AQ506" s="22" t="str">
        <f ca="1">Tabela1[[#This Row],[PRODUTO]]&amp;Tabela1[[#This Row],[TAG]]</f>
        <v>ESTRUTURAP190</v>
      </c>
      <c r="AR506" s="24" t="str">
        <f ca="1">Tabela1[[#This Row],[PEDIDO]]&amp;Tabela1[[#This Row],[PRODUTO]]</f>
        <v>P-190ESTRUTURA</v>
      </c>
      <c r="AS506" s="37">
        <f ca="1">IF(AF506="",0,IF(ISTEXT(AF506),H506*VALUE(SUBSTITUTE(AF506,"%",""))/100,H506*AF506))-Tabela1[[#This Row],[PRONTO ACABADO2]]</f>
        <v>0</v>
      </c>
      <c r="AT506" s="37">
        <f ca="1">IF(AG506="",0,IF(ISTEXT(AG506),H506*VALUE(SUBSTITUTE(AG506,"%",""))/100,H506*AG506))-Tabela1[[#This Row],[PESO EXPEDIDO2]]</f>
        <v>0</v>
      </c>
      <c r="AU506" s="37">
        <f t="shared" ca="1" si="93"/>
        <v>2.9</v>
      </c>
      <c r="AV506" s="37">
        <f t="shared" ca="1" si="94"/>
        <v>2.9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 ca="1"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 ca="1">Tabela1[[#This Row],[QTDE/ Fabricação]]-Tabela1[[#This Row],[QTE]]</f>
        <v>-1</v>
      </c>
      <c r="R507" s="18">
        <f t="shared" ca="1" si="89"/>
        <v>3.3</v>
      </c>
      <c r="S507" s="18">
        <f t="shared" ref="S507:S570" ca="1" si="103">IFERROR(H507*AG507,"")</f>
        <v>3.3</v>
      </c>
      <c r="T507" s="19">
        <f t="shared" ca="1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 ca="1">IFERROR(COUNTIF(#REF!,Tabela1[[#This Row],[Colunas5]]),"")</f>
        <v/>
      </c>
      <c r="X507" s="14">
        <f ca="1">Tabela1[[#This Row],[QIANTIDADE EXPEDIDA]]*Tabela1[[#This Row],[PESO UNI]]</f>
        <v>3.3</v>
      </c>
      <c r="Y507" s="14">
        <f t="shared" ca="1" si="91"/>
        <v>0</v>
      </c>
      <c r="Z507" s="20">
        <f ca="1"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 ca="1">Tabela1[[#This Row],[Coluna1]]&amp;Tabela1[[#This Row],[PEDIDO]]</f>
        <v>P-190</v>
      </c>
      <c r="AL507"/>
      <c r="AM507"/>
      <c r="AN507"/>
      <c r="AO507" t="str">
        <f t="shared" ca="1" si="92"/>
        <v>P-024518-1/P190</v>
      </c>
      <c r="AP507" t="str">
        <f ca="1">Tabela1[[#This Row],[TAG]]&amp;Tabela1[[#This Row],[PEDIDO]]&amp;Tabela1[[#This Row],[PRODUTO]]</f>
        <v>P190P-190ESTRUTURA</v>
      </c>
      <c r="AQ507" s="22" t="str">
        <f ca="1">Tabela1[[#This Row],[PRODUTO]]&amp;Tabela1[[#This Row],[TAG]]</f>
        <v>ESTRUTURAP190</v>
      </c>
      <c r="AR507" s="24" t="str">
        <f ca="1">Tabela1[[#This Row],[PEDIDO]]&amp;Tabela1[[#This Row],[PRODUTO]]</f>
        <v>P-190ESTRUTURA</v>
      </c>
      <c r="AS507" s="37">
        <f ca="1">IF(AF507="",0,IF(ISTEXT(AF507),H507*VALUE(SUBSTITUTE(AF507,"%",""))/100,H507*AF507))-Tabela1[[#This Row],[PRONTO ACABADO2]]</f>
        <v>0</v>
      </c>
      <c r="AT507" s="37">
        <f ca="1">IF(AG507="",0,IF(ISTEXT(AG507),H507*VALUE(SUBSTITUTE(AG507,"%",""))/100,H507*AG507))-Tabela1[[#This Row],[PESO EXPEDIDO2]]</f>
        <v>0</v>
      </c>
      <c r="AU507" s="37">
        <f t="shared" ca="1" si="93"/>
        <v>3.3</v>
      </c>
      <c r="AV507" s="37">
        <f t="shared" ca="1" si="94"/>
        <v>3.3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 ca="1"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 ca="1">Tabela1[[#This Row],[QTDE/ Fabricação]]-Tabela1[[#This Row],[QTE]]</f>
        <v>-1</v>
      </c>
      <c r="R508" s="18">
        <f t="shared" ca="1" si="89"/>
        <v>0.1</v>
      </c>
      <c r="S508" s="18">
        <f t="shared" ca="1" si="103"/>
        <v>0.1</v>
      </c>
      <c r="T508" s="19">
        <f t="shared" ca="1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 ca="1">IFERROR(COUNTIF(#REF!,Tabela1[[#This Row],[Colunas5]]),"")</f>
        <v/>
      </c>
      <c r="X508" s="14">
        <f ca="1">Tabela1[[#This Row],[QIANTIDADE EXPEDIDA]]*Tabela1[[#This Row],[PESO UNI]]</f>
        <v>0.1</v>
      </c>
      <c r="Y508" s="14">
        <f t="shared" ca="1" si="91"/>
        <v>0</v>
      </c>
      <c r="Z508" s="20">
        <f ca="1"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 ca="1">Tabela1[[#This Row],[Coluna1]]&amp;Tabela1[[#This Row],[PEDIDO]]</f>
        <v>P-190</v>
      </c>
      <c r="AL508"/>
      <c r="AM508"/>
      <c r="AN508"/>
      <c r="AO508" t="str">
        <f t="shared" ca="1" si="92"/>
        <v>P-024518-1/P190</v>
      </c>
      <c r="AP508" t="str">
        <f ca="1">Tabela1[[#This Row],[TAG]]&amp;Tabela1[[#This Row],[PEDIDO]]&amp;Tabela1[[#This Row],[PRODUTO]]</f>
        <v>P190P-190ESTRUTURA</v>
      </c>
      <c r="AQ508" s="22" t="str">
        <f ca="1">Tabela1[[#This Row],[PRODUTO]]&amp;Tabela1[[#This Row],[TAG]]</f>
        <v>ESTRUTURAP190</v>
      </c>
      <c r="AR508" s="24" t="str">
        <f ca="1">Tabela1[[#This Row],[PEDIDO]]&amp;Tabela1[[#This Row],[PRODUTO]]</f>
        <v>P-190ESTRUTURA</v>
      </c>
      <c r="AS508" s="37">
        <f ca="1">IF(AF508="",0,IF(ISTEXT(AF508),H508*VALUE(SUBSTITUTE(AF508,"%",""))/100,H508*AF508))-Tabela1[[#This Row],[PRONTO ACABADO2]]</f>
        <v>0</v>
      </c>
      <c r="AT508" s="37">
        <f ca="1">IF(AG508="",0,IF(ISTEXT(AG508),H508*VALUE(SUBSTITUTE(AG508,"%",""))/100,H508*AG508))-Tabela1[[#This Row],[PESO EXPEDIDO2]]</f>
        <v>0</v>
      </c>
      <c r="AU508" s="37">
        <f t="shared" ca="1" si="93"/>
        <v>0.1</v>
      </c>
      <c r="AV508" s="37">
        <f t="shared" ca="1" si="94"/>
        <v>0.1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 ca="1"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 ca="1">Tabela1[[#This Row],[QTDE/ Fabricação]]-Tabela1[[#This Row],[QTE]]</f>
        <v>-1</v>
      </c>
      <c r="R509" s="18">
        <f t="shared" ca="1" si="89"/>
        <v>0.1</v>
      </c>
      <c r="S509" s="18">
        <f t="shared" ca="1" si="103"/>
        <v>0.1</v>
      </c>
      <c r="T509" s="19">
        <f t="shared" ca="1" si="90"/>
        <v>0</v>
      </c>
      <c r="U509" s="16">
        <f>IFERROR(SUMIF('LISTA DE EMBARQUE'!B:B,MICRO!E:E,'LISTA DE EMBARQUE'!G:G),"")</f>
        <v>1</v>
      </c>
      <c r="V509" s="12">
        <f ca="1">IFERROR(VLOOKUP(Tabela1[[#This Row],[COD.MDE]],'LISTA DE EMBARQUE'!B:L,11,0),"")</f>
        <v>4</v>
      </c>
      <c r="W509" s="13" t="str">
        <f ca="1">IFERROR(COUNTIF(#REF!,Tabela1[[#This Row],[Colunas5]]),"")</f>
        <v/>
      </c>
      <c r="X509" s="14">
        <f ca="1">Tabela1[[#This Row],[QIANTIDADE EXPEDIDA]]*Tabela1[[#This Row],[PESO UNI]]</f>
        <v>0.1</v>
      </c>
      <c r="Y509" s="14">
        <f t="shared" ca="1" si="91"/>
        <v>0</v>
      </c>
      <c r="Z509" s="20">
        <f ca="1"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 ca="1">Tabela1[[#This Row],[Coluna1]]&amp;Tabela1[[#This Row],[PEDIDO]]</f>
        <v>P-190</v>
      </c>
      <c r="AL509"/>
      <c r="AM509"/>
      <c r="AN509"/>
      <c r="AO509" t="str">
        <f t="shared" ca="1" si="92"/>
        <v>P-024518-1/P190</v>
      </c>
      <c r="AP509" t="str">
        <f ca="1">Tabela1[[#This Row],[TAG]]&amp;Tabela1[[#This Row],[PEDIDO]]&amp;Tabela1[[#This Row],[PRODUTO]]</f>
        <v>P190P-190ESTRUTURA</v>
      </c>
      <c r="AQ509" s="22" t="str">
        <f ca="1">Tabela1[[#This Row],[PRODUTO]]&amp;Tabela1[[#This Row],[TAG]]</f>
        <v>ESTRUTURAP190</v>
      </c>
      <c r="AR509" s="24" t="str">
        <f ca="1">Tabela1[[#This Row],[PEDIDO]]&amp;Tabela1[[#This Row],[PRODUTO]]</f>
        <v>P-190ESTRUTURA</v>
      </c>
      <c r="AS509" s="37">
        <f ca="1">IF(AF509="",0,IF(ISTEXT(AF509),H509*VALUE(SUBSTITUTE(AF509,"%",""))/100,H509*AF509))-Tabela1[[#This Row],[PRONTO ACABADO2]]</f>
        <v>0</v>
      </c>
      <c r="AT509" s="37">
        <f ca="1">IF(AG509="",0,IF(ISTEXT(AG509),H509*VALUE(SUBSTITUTE(AG509,"%",""))/100,H509*AG509))-Tabela1[[#This Row],[PESO EXPEDIDO2]]</f>
        <v>0</v>
      </c>
      <c r="AU509" s="37">
        <f t="shared" ca="1" si="93"/>
        <v>0.1</v>
      </c>
      <c r="AV509" s="37">
        <f t="shared" ca="1" si="94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 ca="1"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 ca="1">Tabela1[[#This Row],[QTDE/ Fabricação]]-Tabela1[[#This Row],[QTE]]</f>
        <v>-1</v>
      </c>
      <c r="R510" s="18">
        <f t="shared" ref="R510:R573" ca="1" si="104">IFERROR(H510*((AA510*0.25)+(AC510*0.25)+(AD510*0.225)+(AE510*0.225)+(AF510*0.05)),"")</f>
        <v>0.1</v>
      </c>
      <c r="S510" s="18">
        <f t="shared" ca="1" si="103"/>
        <v>0.1</v>
      </c>
      <c r="T510" s="19">
        <f t="shared" ref="T510:T573" ca="1" si="105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 ca="1">IFERROR(COUNTIF(#REF!,Tabela1[[#This Row],[Colunas5]]),"")</f>
        <v/>
      </c>
      <c r="X510" s="14">
        <f ca="1">Tabela1[[#This Row],[QIANTIDADE EXPEDIDA]]*Tabela1[[#This Row],[PESO UNI]]</f>
        <v>0.1</v>
      </c>
      <c r="Y510" s="14">
        <f t="shared" ref="Y510:Y573" ca="1" si="106">U510-C510</f>
        <v>0</v>
      </c>
      <c r="Z510" s="20">
        <f ca="1"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 ca="1">Tabela1[[#This Row],[Coluna1]]&amp;Tabela1[[#This Row],[PEDIDO]]</f>
        <v>P-190</v>
      </c>
      <c r="AL510"/>
      <c r="AM510"/>
      <c r="AN510"/>
      <c r="AO510" t="str">
        <f t="shared" ref="AO510:AO573" ca="1" si="107">A510&amp;"/"&amp;J510</f>
        <v>P-024518-1/P190</v>
      </c>
      <c r="AP510" t="str">
        <f ca="1">Tabela1[[#This Row],[TAG]]&amp;Tabela1[[#This Row],[PEDIDO]]&amp;Tabela1[[#This Row],[PRODUTO]]</f>
        <v>P190P-190ESTRUTURA</v>
      </c>
      <c r="AQ510" s="22" t="str">
        <f ca="1">Tabela1[[#This Row],[PRODUTO]]&amp;Tabela1[[#This Row],[TAG]]</f>
        <v>ESTRUTURAP190</v>
      </c>
      <c r="AR510" s="24" t="str">
        <f ca="1">Tabela1[[#This Row],[PEDIDO]]&amp;Tabela1[[#This Row],[PRODUTO]]</f>
        <v>P-190ESTRUTURA</v>
      </c>
      <c r="AS510" s="37">
        <f ca="1">IF(AF510="",0,IF(ISTEXT(AF510),H510*VALUE(SUBSTITUTE(AF510,"%",""))/100,H510*AF510))-Tabela1[[#This Row],[PRONTO ACABADO2]]</f>
        <v>0</v>
      </c>
      <c r="AT510" s="37">
        <f ca="1">IF(AG510="",0,IF(ISTEXT(AG510),H510*VALUE(SUBSTITUTE(AG510,"%",""))/100,H510*AG510))-Tabela1[[#This Row],[PESO EXPEDIDO2]]</f>
        <v>0</v>
      </c>
      <c r="AU510" s="37">
        <f t="shared" ref="AU510:AU573" ca="1" si="108">IF(AH510="",0,IF(ISTEXT(AH510),H510*VALUE(SUBSTITUTE(AH510,"%",""))/100,H510*AH510))</f>
        <v>0.1</v>
      </c>
      <c r="AV510" s="37">
        <f t="shared" ref="AV510:AV573" ca="1" si="109">IF(AG510="",0,IF(ISTEXT(AG510),H510*VALUE(SUBSTITUTE(AG510,"%",""))/100,H510*AG510))</f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 ca="1"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 ca="1">Tabela1[[#This Row],[QTDE/ Fabricação]]-Tabela1[[#This Row],[QTE]]</f>
        <v>-1</v>
      </c>
      <c r="R511" s="18">
        <f t="shared" ca="1" si="104"/>
        <v>0.1</v>
      </c>
      <c r="S511" s="18">
        <f t="shared" ca="1" si="103"/>
        <v>0.1</v>
      </c>
      <c r="T511" s="19">
        <f t="shared" ca="1" si="105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 ca="1">IFERROR(COUNTIF(#REF!,Tabela1[[#This Row],[Colunas5]]),"")</f>
        <v/>
      </c>
      <c r="X511" s="14">
        <f ca="1">Tabela1[[#This Row],[QIANTIDADE EXPEDIDA]]*Tabela1[[#This Row],[PESO UNI]]</f>
        <v>0.1</v>
      </c>
      <c r="Y511" s="14">
        <f t="shared" ca="1" si="106"/>
        <v>0</v>
      </c>
      <c r="Z511" s="20">
        <f ca="1"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 ca="1">Tabela1[[#This Row],[Coluna1]]&amp;Tabela1[[#This Row],[PEDIDO]]</f>
        <v>P-190</v>
      </c>
      <c r="AL511"/>
      <c r="AM511"/>
      <c r="AN511"/>
      <c r="AO511" t="str">
        <f t="shared" ca="1" si="107"/>
        <v>P-024518-1/P190</v>
      </c>
      <c r="AP511" t="str">
        <f ca="1">Tabela1[[#This Row],[TAG]]&amp;Tabela1[[#This Row],[PEDIDO]]&amp;Tabela1[[#This Row],[PRODUTO]]</f>
        <v>P190P-190ESTRUTURA</v>
      </c>
      <c r="AQ511" s="22" t="str">
        <f ca="1">Tabela1[[#This Row],[PRODUTO]]&amp;Tabela1[[#This Row],[TAG]]</f>
        <v>ESTRUTURAP190</v>
      </c>
      <c r="AR511" s="24" t="str">
        <f ca="1">Tabela1[[#This Row],[PEDIDO]]&amp;Tabela1[[#This Row],[PRODUTO]]</f>
        <v>P-190ESTRUTURA</v>
      </c>
      <c r="AS511" s="37">
        <f ca="1">IF(AF511="",0,IF(ISTEXT(AF511),H511*VALUE(SUBSTITUTE(AF511,"%",""))/100,H511*AF511))-Tabela1[[#This Row],[PRONTO ACABADO2]]</f>
        <v>0</v>
      </c>
      <c r="AT511" s="37">
        <f ca="1">IF(AG511="",0,IF(ISTEXT(AG511),H511*VALUE(SUBSTITUTE(AG511,"%",""))/100,H511*AG511))-Tabela1[[#This Row],[PESO EXPEDIDO2]]</f>
        <v>0</v>
      </c>
      <c r="AU511" s="37">
        <f t="shared" ca="1" si="108"/>
        <v>0.1</v>
      </c>
      <c r="AV511" s="37">
        <f t="shared" ca="1" si="109"/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 ca="1"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 ca="1">Tabela1[[#This Row],[QTDE/ Fabricação]]-Tabela1[[#This Row],[QTE]]</f>
        <v>-1</v>
      </c>
      <c r="R512" s="18">
        <f t="shared" ca="1" si="104"/>
        <v>0.1</v>
      </c>
      <c r="S512" s="18">
        <f t="shared" ca="1" si="103"/>
        <v>0.1</v>
      </c>
      <c r="T512" s="19">
        <f t="shared" ca="1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 ca="1">IFERROR(COUNTIF(#REF!,Tabela1[[#This Row],[Colunas5]]),"")</f>
        <v/>
      </c>
      <c r="X512" s="14">
        <f ca="1">Tabela1[[#This Row],[QIANTIDADE EXPEDIDA]]*Tabela1[[#This Row],[PESO UNI]]</f>
        <v>0.1</v>
      </c>
      <c r="Y512" s="14">
        <f t="shared" ca="1" si="106"/>
        <v>0</v>
      </c>
      <c r="Z512" s="20">
        <f ca="1"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 ca="1">Tabela1[[#This Row],[Coluna1]]&amp;Tabela1[[#This Row],[PEDIDO]]</f>
        <v>P-190</v>
      </c>
      <c r="AL512"/>
      <c r="AM512"/>
      <c r="AN512"/>
      <c r="AO512" t="str">
        <f t="shared" ca="1" si="107"/>
        <v>P-024518-1/P190</v>
      </c>
      <c r="AP512" t="str">
        <f ca="1">Tabela1[[#This Row],[TAG]]&amp;Tabela1[[#This Row],[PEDIDO]]&amp;Tabela1[[#This Row],[PRODUTO]]</f>
        <v>P190P-190ESTRUTURA</v>
      </c>
      <c r="AQ512" s="22" t="str">
        <f ca="1">Tabela1[[#This Row],[PRODUTO]]&amp;Tabela1[[#This Row],[TAG]]</f>
        <v>ESTRUTURAP190</v>
      </c>
      <c r="AR512" s="24" t="str">
        <f ca="1">Tabela1[[#This Row],[PEDIDO]]&amp;Tabela1[[#This Row],[PRODUTO]]</f>
        <v>P-190ESTRUTURA</v>
      </c>
      <c r="AS512" s="37">
        <f ca="1">IF(AF512="",0,IF(ISTEXT(AF512),H512*VALUE(SUBSTITUTE(AF512,"%",""))/100,H512*AF512))-Tabela1[[#This Row],[PRONTO ACABADO2]]</f>
        <v>0</v>
      </c>
      <c r="AT512" s="37">
        <f ca="1">IF(AG512="",0,IF(ISTEXT(AG512),H512*VALUE(SUBSTITUTE(AG512,"%",""))/100,H512*AG512))-Tabela1[[#This Row],[PESO EXPEDIDO2]]</f>
        <v>0</v>
      </c>
      <c r="AU512" s="37">
        <f t="shared" ca="1" si="108"/>
        <v>0.1</v>
      </c>
      <c r="AV512" s="37">
        <f t="shared" ca="1" si="109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 ca="1"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 ca="1">Tabela1[[#This Row],[QTDE/ Fabricação]]-Tabela1[[#This Row],[QTE]]</f>
        <v>-1</v>
      </c>
      <c r="R513" s="18">
        <f t="shared" ca="1" si="104"/>
        <v>0.1</v>
      </c>
      <c r="S513" s="18">
        <f t="shared" ca="1" si="103"/>
        <v>0.1</v>
      </c>
      <c r="T513" s="19">
        <f t="shared" ca="1" si="105"/>
        <v>0</v>
      </c>
      <c r="U513" s="16">
        <f>IFERROR(SUMIF('LISTA DE EMBARQUE'!B:B,MICRO!E:E,'LISTA DE EMBARQUE'!G:G),"")</f>
        <v>1</v>
      </c>
      <c r="V513" s="12">
        <f ca="1">IFERROR(VLOOKUP(Tabela1[[#This Row],[COD.MDE]],'LISTA DE EMBARQUE'!B:L,11,0),"")</f>
        <v>4</v>
      </c>
      <c r="W513" s="13" t="str">
        <f ca="1">IFERROR(COUNTIF(#REF!,Tabela1[[#This Row],[Colunas5]]),"")</f>
        <v/>
      </c>
      <c r="X513" s="14">
        <f ca="1">Tabela1[[#This Row],[QIANTIDADE EXPEDIDA]]*Tabela1[[#This Row],[PESO UNI]]</f>
        <v>0.1</v>
      </c>
      <c r="Y513" s="14">
        <f t="shared" ca="1" si="106"/>
        <v>0</v>
      </c>
      <c r="Z513" s="20">
        <f ca="1"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 ca="1">Tabela1[[#This Row],[Coluna1]]&amp;Tabela1[[#This Row],[PEDIDO]]</f>
        <v>P-190</v>
      </c>
      <c r="AL513"/>
      <c r="AM513"/>
      <c r="AN513"/>
      <c r="AO513" t="str">
        <f t="shared" ca="1" si="107"/>
        <v>P-024518-1/P190</v>
      </c>
      <c r="AP513" t="str">
        <f ca="1">Tabela1[[#This Row],[TAG]]&amp;Tabela1[[#This Row],[PEDIDO]]&amp;Tabela1[[#This Row],[PRODUTO]]</f>
        <v>P190P-190ESTRUTURA</v>
      </c>
      <c r="AQ513" s="22" t="str">
        <f ca="1">Tabela1[[#This Row],[PRODUTO]]&amp;Tabela1[[#This Row],[TAG]]</f>
        <v>ESTRUTURAP190</v>
      </c>
      <c r="AR513" s="24" t="str">
        <f ca="1">Tabela1[[#This Row],[PEDIDO]]&amp;Tabela1[[#This Row],[PRODUTO]]</f>
        <v>P-190ESTRUTURA</v>
      </c>
      <c r="AS513" s="37">
        <f ca="1">IF(AF513="",0,IF(ISTEXT(AF513),H513*VALUE(SUBSTITUTE(AF513,"%",""))/100,H513*AF513))-Tabela1[[#This Row],[PRONTO ACABADO2]]</f>
        <v>0</v>
      </c>
      <c r="AT513" s="37">
        <f ca="1">IF(AG513="",0,IF(ISTEXT(AG513),H513*VALUE(SUBSTITUTE(AG513,"%",""))/100,H513*AG513))-Tabela1[[#This Row],[PESO EXPEDIDO2]]</f>
        <v>0</v>
      </c>
      <c r="AU513" s="37">
        <f t="shared" ca="1" si="108"/>
        <v>0.1</v>
      </c>
      <c r="AV513" s="37">
        <f t="shared" ca="1" si="109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 ca="1"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 ca="1">Tabela1[[#This Row],[QTDE/ Fabricação]]-Tabela1[[#This Row],[QTE]]</f>
        <v>-2</v>
      </c>
      <c r="R514" s="18">
        <f t="shared" ca="1" si="104"/>
        <v>0.2</v>
      </c>
      <c r="S514" s="18">
        <f t="shared" ca="1" si="103"/>
        <v>0.2</v>
      </c>
      <c r="T514" s="19">
        <f t="shared" ca="1" si="105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 ca="1">IFERROR(COUNTIF(#REF!,Tabela1[[#This Row],[Colunas5]]),"")</f>
        <v/>
      </c>
      <c r="X514" s="14">
        <f ca="1">Tabela1[[#This Row],[QIANTIDADE EXPEDIDA]]*Tabela1[[#This Row],[PESO UNI]]</f>
        <v>0.2</v>
      </c>
      <c r="Y514" s="14">
        <f t="shared" ca="1" si="106"/>
        <v>0</v>
      </c>
      <c r="Z514" s="20">
        <f ca="1"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 ca="1">Tabela1[[#This Row],[Coluna1]]&amp;Tabela1[[#This Row],[PEDIDO]]</f>
        <v>P-190</v>
      </c>
      <c r="AL514"/>
      <c r="AM514"/>
      <c r="AN514"/>
      <c r="AO514" t="str">
        <f t="shared" ca="1" si="107"/>
        <v>P-024518-1/P190</v>
      </c>
      <c r="AP514" t="str">
        <f ca="1">Tabela1[[#This Row],[TAG]]&amp;Tabela1[[#This Row],[PEDIDO]]&amp;Tabela1[[#This Row],[PRODUTO]]</f>
        <v>P190P-190ESTRUTURA</v>
      </c>
      <c r="AQ514" s="22" t="str">
        <f ca="1">Tabela1[[#This Row],[PRODUTO]]&amp;Tabela1[[#This Row],[TAG]]</f>
        <v>ESTRUTURAP190</v>
      </c>
      <c r="AR514" s="24" t="str">
        <f ca="1">Tabela1[[#This Row],[PEDIDO]]&amp;Tabela1[[#This Row],[PRODUTO]]</f>
        <v>P-190ESTRUTURA</v>
      </c>
      <c r="AS514" s="37">
        <f ca="1">IF(AF514="",0,IF(ISTEXT(AF514),H514*VALUE(SUBSTITUTE(AF514,"%",""))/100,H514*AF514))-Tabela1[[#This Row],[PRONTO ACABADO2]]</f>
        <v>0</v>
      </c>
      <c r="AT514" s="37">
        <f ca="1">IF(AG514="",0,IF(ISTEXT(AG514),H514*VALUE(SUBSTITUTE(AG514,"%",""))/100,H514*AG514))-Tabela1[[#This Row],[PESO EXPEDIDO2]]</f>
        <v>0</v>
      </c>
      <c r="AU514" s="37">
        <f t="shared" ca="1" si="108"/>
        <v>0.2</v>
      </c>
      <c r="AV514" s="37">
        <f t="shared" ca="1" si="109"/>
        <v>0.2</v>
      </c>
      <c r="AW514" s="37"/>
    </row>
    <row r="515" spans="1:49" ht="15.75" hidden="1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 ca="1"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 ca="1">Tabela1[[#This Row],[QTDE/ Fabricação]]-Tabela1[[#This Row],[QTE]]</f>
        <v>-1</v>
      </c>
      <c r="R515" s="18">
        <f t="shared" ca="1" si="104"/>
        <v>2.4</v>
      </c>
      <c r="S515" s="18">
        <f t="shared" ca="1" si="103"/>
        <v>2.4</v>
      </c>
      <c r="T515" s="19">
        <f t="shared" ca="1" si="105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 ca="1">IFERROR(COUNTIF(#REF!,Tabela1[[#This Row],[Colunas5]]),"")</f>
        <v/>
      </c>
      <c r="X515" s="14">
        <f ca="1">Tabela1[[#This Row],[QIANTIDADE EXPEDIDA]]*Tabela1[[#This Row],[PESO UNI]]</f>
        <v>2.4</v>
      </c>
      <c r="Y515" s="14">
        <f t="shared" ca="1" si="106"/>
        <v>0</v>
      </c>
      <c r="Z515" s="20">
        <f ca="1"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 ca="1">Tabela1[[#This Row],[Coluna1]]&amp;Tabela1[[#This Row],[PEDIDO]]</f>
        <v>P-190</v>
      </c>
      <c r="AL515"/>
      <c r="AM515"/>
      <c r="AN515"/>
      <c r="AO515" t="str">
        <f t="shared" ca="1" si="107"/>
        <v>P-024533-1/P190</v>
      </c>
      <c r="AP515" t="str">
        <f ca="1">Tabela1[[#This Row],[TAG]]&amp;Tabela1[[#This Row],[PEDIDO]]&amp;Tabela1[[#This Row],[PRODUTO]]</f>
        <v>P190P-190ESTRUTURA</v>
      </c>
      <c r="AQ515" s="22" t="str">
        <f ca="1">Tabela1[[#This Row],[PRODUTO]]&amp;Tabela1[[#This Row],[TAG]]</f>
        <v>ESTRUTURAP190</v>
      </c>
      <c r="AR515" s="24" t="str">
        <f ca="1">Tabela1[[#This Row],[PEDIDO]]&amp;Tabela1[[#This Row],[PRODUTO]]</f>
        <v>P-190ESTRUTURA</v>
      </c>
      <c r="AS515" s="37">
        <f ca="1">IF(AF515="",0,IF(ISTEXT(AF515),H515*VALUE(SUBSTITUTE(AF515,"%",""))/100,H515*AF515))-Tabela1[[#This Row],[PRONTO ACABADO2]]</f>
        <v>0</v>
      </c>
      <c r="AT515" s="37">
        <f ca="1">IF(AG515="",0,IF(ISTEXT(AG515),H515*VALUE(SUBSTITUTE(AG515,"%",""))/100,H515*AG515))-Tabela1[[#This Row],[PESO EXPEDIDO2]]</f>
        <v>0</v>
      </c>
      <c r="AU515" s="37">
        <f t="shared" ca="1" si="108"/>
        <v>2.4</v>
      </c>
      <c r="AV515" s="37">
        <f t="shared" ca="1" si="109"/>
        <v>2.4</v>
      </c>
      <c r="AW515" s="37"/>
    </row>
    <row r="516" spans="1:49" ht="15.75" hidden="1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 ca="1"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 ca="1">Tabela1[[#This Row],[QTDE/ Fabricação]]-Tabela1[[#This Row],[QTE]]</f>
        <v>-4</v>
      </c>
      <c r="R516" s="18">
        <f t="shared" ca="1" si="104"/>
        <v>24</v>
      </c>
      <c r="S516" s="18">
        <f t="shared" ca="1" si="103"/>
        <v>24</v>
      </c>
      <c r="T516" s="19">
        <f t="shared" ca="1" si="105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 ca="1">IFERROR(COUNTIF(#REF!,Tabela1[[#This Row],[Colunas5]]),"")</f>
        <v/>
      </c>
      <c r="X516" s="14">
        <f ca="1">Tabela1[[#This Row],[QIANTIDADE EXPEDIDA]]*Tabela1[[#This Row],[PESO UNI]]</f>
        <v>24</v>
      </c>
      <c r="Y516" s="14">
        <f t="shared" ca="1" si="106"/>
        <v>0</v>
      </c>
      <c r="Z516" s="20">
        <f ca="1"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 ca="1">Tabela1[[#This Row],[Coluna1]]&amp;Tabela1[[#This Row],[PEDIDO]]</f>
        <v>P-190</v>
      </c>
      <c r="AL516"/>
      <c r="AM516"/>
      <c r="AN516"/>
      <c r="AO516" t="str">
        <f t="shared" ca="1" si="107"/>
        <v>P-024530-1/P190</v>
      </c>
      <c r="AP516" t="str">
        <f ca="1">Tabela1[[#This Row],[TAG]]&amp;Tabela1[[#This Row],[PEDIDO]]&amp;Tabela1[[#This Row],[PRODUTO]]</f>
        <v>P190P-190ESTRUTURA</v>
      </c>
      <c r="AQ516" s="22" t="str">
        <f ca="1">Tabela1[[#This Row],[PRODUTO]]&amp;Tabela1[[#This Row],[TAG]]</f>
        <v>ESTRUTURAP190</v>
      </c>
      <c r="AR516" s="24" t="str">
        <f ca="1">Tabela1[[#This Row],[PEDIDO]]&amp;Tabela1[[#This Row],[PRODUTO]]</f>
        <v>P-190ESTRUTURA</v>
      </c>
      <c r="AS516" s="37">
        <f ca="1">IF(AF516="",0,IF(ISTEXT(AF516),H516*VALUE(SUBSTITUTE(AF516,"%",""))/100,H516*AF516))-Tabela1[[#This Row],[PRONTO ACABADO2]]</f>
        <v>0</v>
      </c>
      <c r="AT516" s="37">
        <f ca="1">IF(AG516="",0,IF(ISTEXT(AG516),H516*VALUE(SUBSTITUTE(AG516,"%",""))/100,H516*AG516))-Tabela1[[#This Row],[PESO EXPEDIDO2]]</f>
        <v>0</v>
      </c>
      <c r="AU516" s="37">
        <f t="shared" ca="1" si="108"/>
        <v>24</v>
      </c>
      <c r="AV516" s="37">
        <f t="shared" ca="1" si="109"/>
        <v>24</v>
      </c>
      <c r="AW516" s="37"/>
    </row>
    <row r="517" spans="1:49" ht="15.75" hidden="1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 ca="1"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 ca="1">Tabela1[[#This Row],[QTDE/ Fabricação]]-Tabela1[[#This Row],[QTE]]</f>
        <v>-4</v>
      </c>
      <c r="R517" s="18">
        <f t="shared" ca="1" si="104"/>
        <v>16.399999999999999</v>
      </c>
      <c r="S517" s="18">
        <f t="shared" ca="1" si="103"/>
        <v>16.399999999999999</v>
      </c>
      <c r="T517" s="19">
        <f t="shared" ca="1" si="105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 ca="1">IFERROR(COUNTIF(#REF!,Tabela1[[#This Row],[Colunas5]]),"")</f>
        <v/>
      </c>
      <c r="X517" s="14">
        <f ca="1">Tabela1[[#This Row],[QIANTIDADE EXPEDIDA]]*Tabela1[[#This Row],[PESO UNI]]</f>
        <v>16.399999999999999</v>
      </c>
      <c r="Y517" s="14">
        <f t="shared" ca="1" si="106"/>
        <v>0</v>
      </c>
      <c r="Z517" s="20">
        <f ca="1"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 ca="1">Tabela1[[#This Row],[Coluna1]]&amp;Tabela1[[#This Row],[PEDIDO]]</f>
        <v>P-190</v>
      </c>
      <c r="AL517"/>
      <c r="AM517"/>
      <c r="AN517"/>
      <c r="AO517" t="str">
        <f t="shared" ca="1" si="107"/>
        <v>P-024531-1/P190</v>
      </c>
      <c r="AP517" t="str">
        <f ca="1">Tabela1[[#This Row],[TAG]]&amp;Tabela1[[#This Row],[PEDIDO]]&amp;Tabela1[[#This Row],[PRODUTO]]</f>
        <v>P190P-190ESTRUTURA</v>
      </c>
      <c r="AQ517" s="22" t="str">
        <f ca="1">Tabela1[[#This Row],[PRODUTO]]&amp;Tabela1[[#This Row],[TAG]]</f>
        <v>ESTRUTURAP190</v>
      </c>
      <c r="AR517" s="24" t="str">
        <f ca="1">Tabela1[[#This Row],[PEDIDO]]&amp;Tabela1[[#This Row],[PRODUTO]]</f>
        <v>P-190ESTRUTURA</v>
      </c>
      <c r="AS517" s="37">
        <f ca="1">IF(AF517="",0,IF(ISTEXT(AF517),H517*VALUE(SUBSTITUTE(AF517,"%",""))/100,H517*AF517))-Tabela1[[#This Row],[PRONTO ACABADO2]]</f>
        <v>0</v>
      </c>
      <c r="AT517" s="37">
        <f ca="1">IF(AG517="",0,IF(ISTEXT(AG517),H517*VALUE(SUBSTITUTE(AG517,"%",""))/100,H517*AG517))-Tabela1[[#This Row],[PESO EXPEDIDO2]]</f>
        <v>0</v>
      </c>
      <c r="AU517" s="37">
        <f t="shared" ca="1" si="108"/>
        <v>16.399999999999999</v>
      </c>
      <c r="AV517" s="37">
        <f t="shared" ca="1" si="109"/>
        <v>16.399999999999999</v>
      </c>
      <c r="AW517" s="37"/>
    </row>
    <row r="518" spans="1:49" ht="15.75" hidden="1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 ca="1"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 ca="1">Tabela1[[#This Row],[QTDE/ Fabricação]]-Tabela1[[#This Row],[QTE]]</f>
        <v>-2</v>
      </c>
      <c r="R518" s="18">
        <f t="shared" ca="1" si="104"/>
        <v>852</v>
      </c>
      <c r="S518" s="18">
        <f t="shared" ca="1" si="103"/>
        <v>852</v>
      </c>
      <c r="T518" s="19">
        <f t="shared" ca="1" si="105"/>
        <v>0</v>
      </c>
      <c r="U518" s="16">
        <f ca="1"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 ca="1">IFERROR(COUNTIF(#REF!,Tabela1[[#This Row],[Colunas5]]),"")</f>
        <v/>
      </c>
      <c r="X518" s="14">
        <f ca="1">Tabela1[[#This Row],[QIANTIDADE EXPEDIDA]]*Tabela1[[#This Row],[PESO UNI]]</f>
        <v>852</v>
      </c>
      <c r="Y518" s="14">
        <f t="shared" ca="1" si="106"/>
        <v>0</v>
      </c>
      <c r="Z518" s="20">
        <f ca="1"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 ca="1">Tabela1[[#This Row],[Coluna1]]&amp;Tabela1[[#This Row],[PEDIDO]]</f>
        <v>P-190</v>
      </c>
      <c r="AL518"/>
      <c r="AM518"/>
      <c r="AN518"/>
      <c r="AO518" t="str">
        <f t="shared" ca="1" si="107"/>
        <v>P-024514-1/P190</v>
      </c>
      <c r="AP518" t="str">
        <f ca="1">Tabela1[[#This Row],[TAG]]&amp;Tabela1[[#This Row],[PEDIDO]]&amp;Tabela1[[#This Row],[PRODUTO]]</f>
        <v>P190P-190ESTRUTURA</v>
      </c>
      <c r="AQ518" s="22" t="str">
        <f ca="1">Tabela1[[#This Row],[PRODUTO]]&amp;Tabela1[[#This Row],[TAG]]</f>
        <v>ESTRUTURAP190</v>
      </c>
      <c r="AR518" s="24" t="str">
        <f ca="1">Tabela1[[#This Row],[PEDIDO]]&amp;Tabela1[[#This Row],[PRODUTO]]</f>
        <v>P-190ESTRUTURA</v>
      </c>
      <c r="AS518" s="37">
        <f ca="1">IF(AF518="",0,IF(ISTEXT(AF518),H518*VALUE(SUBSTITUTE(AF518,"%",""))/100,H518*AF518))-Tabela1[[#This Row],[PRONTO ACABADO2]]</f>
        <v>0</v>
      </c>
      <c r="AT518" s="37">
        <f ca="1">IF(AG518="",0,IF(ISTEXT(AG518),H518*VALUE(SUBSTITUTE(AG518,"%",""))/100,H518*AG518))-Tabela1[[#This Row],[PESO EXPEDIDO2]]</f>
        <v>0</v>
      </c>
      <c r="AU518" s="37">
        <f t="shared" ca="1" si="108"/>
        <v>852</v>
      </c>
      <c r="AV518" s="37">
        <f t="shared" ca="1" si="109"/>
        <v>852</v>
      </c>
      <c r="AW518" s="37"/>
    </row>
    <row r="519" spans="1:49" ht="15.75" hidden="1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 ca="1"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 ca="1">Tabela1[[#This Row],[QTDE/ Fabricação]]-Tabela1[[#This Row],[QTE]]</f>
        <v>-1</v>
      </c>
      <c r="R519" s="18">
        <f t="shared" ca="1" si="104"/>
        <v>24</v>
      </c>
      <c r="S519" s="18">
        <f t="shared" ca="1" si="103"/>
        <v>24</v>
      </c>
      <c r="T519" s="19">
        <f t="shared" ca="1" si="105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 ca="1">IFERROR(COUNTIF(#REF!,Tabela1[[#This Row],[Colunas5]]),"")</f>
        <v/>
      </c>
      <c r="X519" s="14">
        <f ca="1">Tabela1[[#This Row],[QIANTIDADE EXPEDIDA]]*Tabela1[[#This Row],[PESO UNI]]</f>
        <v>24</v>
      </c>
      <c r="Y519" s="14">
        <f t="shared" ca="1" si="106"/>
        <v>0</v>
      </c>
      <c r="Z519" s="20">
        <f ca="1"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 ca="1">Tabela1[[#This Row],[Coluna1]]&amp;Tabela1[[#This Row],[PEDIDO]]</f>
        <v>P-190</v>
      </c>
      <c r="AL519"/>
      <c r="AM519"/>
      <c r="AN519"/>
      <c r="AO519" t="str">
        <f t="shared" ca="1" si="107"/>
        <v>P-024500-1/P190</v>
      </c>
      <c r="AP519" t="str">
        <f ca="1">Tabela1[[#This Row],[TAG]]&amp;Tabela1[[#This Row],[PEDIDO]]&amp;Tabela1[[#This Row],[PRODUTO]]</f>
        <v>P190P-190ESTRUTURA</v>
      </c>
      <c r="AQ519" s="22" t="str">
        <f ca="1">Tabela1[[#This Row],[PRODUTO]]&amp;Tabela1[[#This Row],[TAG]]</f>
        <v>ESTRUTURAP190</v>
      </c>
      <c r="AR519" s="24" t="str">
        <f ca="1">Tabela1[[#This Row],[PEDIDO]]&amp;Tabela1[[#This Row],[PRODUTO]]</f>
        <v>P-190ESTRUTURA</v>
      </c>
      <c r="AS519" s="37">
        <f ca="1">IF(AF519="",0,IF(ISTEXT(AF519),H519*VALUE(SUBSTITUTE(AF519,"%",""))/100,H519*AF519))-Tabela1[[#This Row],[PRONTO ACABADO2]]</f>
        <v>0</v>
      </c>
      <c r="AT519" s="37">
        <f ca="1">IF(AG519="",0,IF(ISTEXT(AG519),H519*VALUE(SUBSTITUTE(AG519,"%",""))/100,H519*AG519))-Tabela1[[#This Row],[PESO EXPEDIDO2]]</f>
        <v>0</v>
      </c>
      <c r="AU519" s="37">
        <f t="shared" ca="1" si="108"/>
        <v>24</v>
      </c>
      <c r="AV519" s="37">
        <f t="shared" ca="1" si="109"/>
        <v>24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 ca="1"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 ca="1">Tabela1[[#This Row],[QTDE/ Fabricação]]-Tabela1[[#This Row],[QTE]]</f>
        <v>-1</v>
      </c>
      <c r="R520" s="18">
        <f t="shared" ca="1" si="104"/>
        <v>20</v>
      </c>
      <c r="S520" s="18">
        <f t="shared" ca="1" si="103"/>
        <v>20</v>
      </c>
      <c r="T520" s="19">
        <f t="shared" ca="1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 ca="1">IFERROR(COUNTIF(#REF!,Tabela1[[#This Row],[Colunas5]]),"")</f>
        <v/>
      </c>
      <c r="X520" s="14">
        <f ca="1">Tabela1[[#This Row],[QIANTIDADE EXPEDIDA]]*Tabela1[[#This Row],[PESO UNI]]</f>
        <v>20</v>
      </c>
      <c r="Y520" s="14">
        <f t="shared" ca="1" si="106"/>
        <v>0</v>
      </c>
      <c r="Z520" s="20">
        <f ca="1"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 ca="1">Tabela1[[#This Row],[Coluna1]]&amp;Tabela1[[#This Row],[PEDIDO]]</f>
        <v>P-190</v>
      </c>
      <c r="AL520"/>
      <c r="AM520"/>
      <c r="AN520"/>
      <c r="AO520" t="str">
        <f t="shared" ca="1" si="107"/>
        <v>P-024500-1/P190</v>
      </c>
      <c r="AP520" t="str">
        <f ca="1">Tabela1[[#This Row],[TAG]]&amp;Tabela1[[#This Row],[PEDIDO]]&amp;Tabela1[[#This Row],[PRODUTO]]</f>
        <v>P190P-190ESTRUTURA</v>
      </c>
      <c r="AQ520" s="22" t="str">
        <f ca="1">Tabela1[[#This Row],[PRODUTO]]&amp;Tabela1[[#This Row],[TAG]]</f>
        <v>ESTRUTURAP190</v>
      </c>
      <c r="AR520" s="24" t="str">
        <f ca="1">Tabela1[[#This Row],[PEDIDO]]&amp;Tabela1[[#This Row],[PRODUTO]]</f>
        <v>P-190ESTRUTURA</v>
      </c>
      <c r="AS520" s="37">
        <f ca="1">IF(AF520="",0,IF(ISTEXT(AF520),H520*VALUE(SUBSTITUTE(AF520,"%",""))/100,H520*AF520))-Tabela1[[#This Row],[PRONTO ACABADO2]]</f>
        <v>0</v>
      </c>
      <c r="AT520" s="37">
        <f ca="1">IF(AG520="",0,IF(ISTEXT(AG520),H520*VALUE(SUBSTITUTE(AG520,"%",""))/100,H520*AG520))-Tabela1[[#This Row],[PESO EXPEDIDO2]]</f>
        <v>0</v>
      </c>
      <c r="AU520" s="37">
        <f t="shared" ca="1" si="108"/>
        <v>20</v>
      </c>
      <c r="AV520" s="37">
        <f t="shared" ca="1" si="109"/>
        <v>20</v>
      </c>
      <c r="AW520" s="37"/>
    </row>
    <row r="521" spans="1:49" ht="15.75" hidden="1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 ca="1"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 ca="1">Tabela1[[#This Row],[QTDE/ Fabricação]]-Tabela1[[#This Row],[QTE]]</f>
        <v>-2</v>
      </c>
      <c r="R521" s="18">
        <f t="shared" ca="1" si="104"/>
        <v>6</v>
      </c>
      <c r="S521" s="18">
        <f t="shared" ca="1" si="103"/>
        <v>6</v>
      </c>
      <c r="T521" s="19">
        <f t="shared" ca="1" si="105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 ca="1">IFERROR(COUNTIF(#REF!,Tabela1[[#This Row],[Colunas5]]),"")</f>
        <v/>
      </c>
      <c r="X521" s="14">
        <f ca="1">Tabela1[[#This Row],[QIANTIDADE EXPEDIDA]]*Tabela1[[#This Row],[PESO UNI]]</f>
        <v>6</v>
      </c>
      <c r="Y521" s="14">
        <f t="shared" ca="1" si="106"/>
        <v>0</v>
      </c>
      <c r="Z521" s="20">
        <f ca="1"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 ca="1">Tabela1[[#This Row],[Coluna1]]&amp;Tabela1[[#This Row],[PEDIDO]]</f>
        <v>P-190</v>
      </c>
      <c r="AL521"/>
      <c r="AM521"/>
      <c r="AN521"/>
      <c r="AO521" t="str">
        <f t="shared" ca="1" si="107"/>
        <v>P-024500-1/P190</v>
      </c>
      <c r="AP521" t="str">
        <f ca="1">Tabela1[[#This Row],[TAG]]&amp;Tabela1[[#This Row],[PEDIDO]]&amp;Tabela1[[#This Row],[PRODUTO]]</f>
        <v>P190P-190ESTRUTURA</v>
      </c>
      <c r="AQ521" s="22" t="str">
        <f ca="1">Tabela1[[#This Row],[PRODUTO]]&amp;Tabela1[[#This Row],[TAG]]</f>
        <v>ESTRUTURAP190</v>
      </c>
      <c r="AR521" s="24" t="str">
        <f ca="1">Tabela1[[#This Row],[PEDIDO]]&amp;Tabela1[[#This Row],[PRODUTO]]</f>
        <v>P-190ESTRUTURA</v>
      </c>
      <c r="AS521" s="37">
        <f ca="1">IF(AF521="",0,IF(ISTEXT(AF521),H521*VALUE(SUBSTITUTE(AF521,"%",""))/100,H521*AF521))-Tabela1[[#This Row],[PRONTO ACABADO2]]</f>
        <v>0</v>
      </c>
      <c r="AT521" s="37">
        <f ca="1">IF(AG521="",0,IF(ISTEXT(AG521),H521*VALUE(SUBSTITUTE(AG521,"%",""))/100,H521*AG521))-Tabela1[[#This Row],[PESO EXPEDIDO2]]</f>
        <v>0</v>
      </c>
      <c r="AU521" s="37">
        <f t="shared" ca="1" si="108"/>
        <v>6</v>
      </c>
      <c r="AV521" s="37">
        <f t="shared" ca="1" si="109"/>
        <v>6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 ca="1"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 ca="1">Tabela1[[#This Row],[QTDE/ Fabricação]]-Tabela1[[#This Row],[QTE]]</f>
        <v>-2</v>
      </c>
      <c r="R522" s="18">
        <f t="shared" ca="1" si="104"/>
        <v>6</v>
      </c>
      <c r="S522" s="18">
        <f t="shared" ca="1" si="103"/>
        <v>6</v>
      </c>
      <c r="T522" s="19">
        <f t="shared" ca="1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 ca="1">IFERROR(COUNTIF(#REF!,Tabela1[[#This Row],[Colunas5]]),"")</f>
        <v/>
      </c>
      <c r="X522" s="14">
        <f ca="1">Tabela1[[#This Row],[QIANTIDADE EXPEDIDA]]*Tabela1[[#This Row],[PESO UNI]]</f>
        <v>6</v>
      </c>
      <c r="Y522" s="14">
        <f t="shared" ca="1" si="106"/>
        <v>0</v>
      </c>
      <c r="Z522" s="20">
        <f ca="1"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 ca="1">Tabela1[[#This Row],[Coluna1]]&amp;Tabela1[[#This Row],[PEDIDO]]</f>
        <v>P-190</v>
      </c>
      <c r="AL522"/>
      <c r="AM522"/>
      <c r="AN522"/>
      <c r="AO522" t="str">
        <f t="shared" ca="1" si="107"/>
        <v>P-024500-1/P190</v>
      </c>
      <c r="AP522" t="str">
        <f ca="1">Tabela1[[#This Row],[TAG]]&amp;Tabela1[[#This Row],[PEDIDO]]&amp;Tabela1[[#This Row],[PRODUTO]]</f>
        <v>P190P-190ESTRUTURA</v>
      </c>
      <c r="AQ522" s="22" t="str">
        <f ca="1">Tabela1[[#This Row],[PRODUTO]]&amp;Tabela1[[#This Row],[TAG]]</f>
        <v>ESTRUTURAP190</v>
      </c>
      <c r="AR522" s="24" t="str">
        <f ca="1">Tabela1[[#This Row],[PEDIDO]]&amp;Tabela1[[#This Row],[PRODUTO]]</f>
        <v>P-190ESTRUTURA</v>
      </c>
      <c r="AS522" s="37">
        <f ca="1">IF(AF522="",0,IF(ISTEXT(AF522),H522*VALUE(SUBSTITUTE(AF522,"%",""))/100,H522*AF522))-Tabela1[[#This Row],[PRONTO ACABADO2]]</f>
        <v>0</v>
      </c>
      <c r="AT522" s="37">
        <f ca="1">IF(AG522="",0,IF(ISTEXT(AG522),H522*VALUE(SUBSTITUTE(AG522,"%",""))/100,H522*AG522))-Tabela1[[#This Row],[PESO EXPEDIDO2]]</f>
        <v>0</v>
      </c>
      <c r="AU522" s="37">
        <f t="shared" ca="1" si="108"/>
        <v>6</v>
      </c>
      <c r="AV522" s="37">
        <f t="shared" ca="1" si="109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 ca="1"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 ca="1">Tabela1[[#This Row],[QTDE/ Fabricação]]-Tabela1[[#This Row],[QTE]]</f>
        <v>-1</v>
      </c>
      <c r="R523" s="18">
        <f t="shared" ca="1" si="104"/>
        <v>0.2</v>
      </c>
      <c r="S523" s="18">
        <f t="shared" ca="1" si="103"/>
        <v>0.2</v>
      </c>
      <c r="T523" s="19">
        <f t="shared" ca="1" si="105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 ca="1">IFERROR(COUNTIF(#REF!,Tabela1[[#This Row],[Colunas5]]),"")</f>
        <v/>
      </c>
      <c r="X523" s="14">
        <f ca="1">Tabela1[[#This Row],[QIANTIDADE EXPEDIDA]]*Tabela1[[#This Row],[PESO UNI]]</f>
        <v>0.2</v>
      </c>
      <c r="Y523" s="14">
        <f t="shared" ca="1" si="106"/>
        <v>0</v>
      </c>
      <c r="Z523" s="20">
        <f ca="1"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 ca="1">Tabela1[[#This Row],[Coluna1]]&amp;Tabela1[[#This Row],[PEDIDO]]</f>
        <v>P-190</v>
      </c>
      <c r="AL523"/>
      <c r="AM523"/>
      <c r="AN523"/>
      <c r="AO523" t="str">
        <f t="shared" ca="1" si="107"/>
        <v>P-024500-1/P190</v>
      </c>
      <c r="AP523" t="str">
        <f ca="1">Tabela1[[#This Row],[TAG]]&amp;Tabela1[[#This Row],[PEDIDO]]&amp;Tabela1[[#This Row],[PRODUTO]]</f>
        <v>P190P-190ESTRUTURA</v>
      </c>
      <c r="AQ523" s="22" t="str">
        <f ca="1">Tabela1[[#This Row],[PRODUTO]]&amp;Tabela1[[#This Row],[TAG]]</f>
        <v>ESTRUTURAP190</v>
      </c>
      <c r="AR523" s="24" t="str">
        <f ca="1">Tabela1[[#This Row],[PEDIDO]]&amp;Tabela1[[#This Row],[PRODUTO]]</f>
        <v>P-190ESTRUTURA</v>
      </c>
      <c r="AS523" s="37">
        <f ca="1">IF(AF523="",0,IF(ISTEXT(AF523),H523*VALUE(SUBSTITUTE(AF523,"%",""))/100,H523*AF523))-Tabela1[[#This Row],[PRONTO ACABADO2]]</f>
        <v>0</v>
      </c>
      <c r="AT523" s="37">
        <f ca="1">IF(AG523="",0,IF(ISTEXT(AG523),H523*VALUE(SUBSTITUTE(AG523,"%",""))/100,H523*AG523))-Tabela1[[#This Row],[PESO EXPEDIDO2]]</f>
        <v>0</v>
      </c>
      <c r="AU523" s="37">
        <f t="shared" ca="1" si="108"/>
        <v>0.2</v>
      </c>
      <c r="AV523" s="37">
        <f t="shared" ca="1" si="109"/>
        <v>0.2</v>
      </c>
      <c r="AW523" s="37"/>
    </row>
    <row r="524" spans="1:49" ht="15.75" hidden="1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 ca="1"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 ca="1">Tabela1[[#This Row],[QTDE/ Fabricação]]-Tabela1[[#This Row],[QTE]]</f>
        <v>-2</v>
      </c>
      <c r="R524" s="18">
        <f t="shared" ca="1" si="104"/>
        <v>0.4</v>
      </c>
      <c r="S524" s="18">
        <f t="shared" ca="1" si="103"/>
        <v>0.4</v>
      </c>
      <c r="T524" s="19">
        <f t="shared" ca="1" si="105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 ca="1">IFERROR(COUNTIF(#REF!,Tabela1[[#This Row],[Colunas5]]),"")</f>
        <v/>
      </c>
      <c r="X524" s="14">
        <f ca="1">Tabela1[[#This Row],[QIANTIDADE EXPEDIDA]]*Tabela1[[#This Row],[PESO UNI]]</f>
        <v>0.4</v>
      </c>
      <c r="Y524" s="14">
        <f t="shared" ca="1" si="106"/>
        <v>0</v>
      </c>
      <c r="Z524" s="20">
        <f ca="1"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 ca="1">Tabela1[[#This Row],[Coluna1]]&amp;Tabela1[[#This Row],[PEDIDO]]</f>
        <v>P-190</v>
      </c>
      <c r="AL524"/>
      <c r="AM524"/>
      <c r="AN524"/>
      <c r="AO524" t="str">
        <f t="shared" ca="1" si="107"/>
        <v>P-024500-1/P190</v>
      </c>
      <c r="AP524" t="str">
        <f ca="1">Tabela1[[#This Row],[TAG]]&amp;Tabela1[[#This Row],[PEDIDO]]&amp;Tabela1[[#This Row],[PRODUTO]]</f>
        <v>P190P-190ESTRUTURA</v>
      </c>
      <c r="AQ524" s="22" t="str">
        <f ca="1">Tabela1[[#This Row],[PRODUTO]]&amp;Tabela1[[#This Row],[TAG]]</f>
        <v>ESTRUTURAP190</v>
      </c>
      <c r="AR524" s="24" t="str">
        <f ca="1">Tabela1[[#This Row],[PEDIDO]]&amp;Tabela1[[#This Row],[PRODUTO]]</f>
        <v>P-190ESTRUTURA</v>
      </c>
      <c r="AS524" s="37">
        <f ca="1">IF(AF524="",0,IF(ISTEXT(AF524),H524*VALUE(SUBSTITUTE(AF524,"%",""))/100,H524*AF524))-Tabela1[[#This Row],[PRONTO ACABADO2]]</f>
        <v>0</v>
      </c>
      <c r="AT524" s="37">
        <f ca="1">IF(AG524="",0,IF(ISTEXT(AG524),H524*VALUE(SUBSTITUTE(AG524,"%",""))/100,H524*AG524))-Tabela1[[#This Row],[PESO EXPEDIDO2]]</f>
        <v>0</v>
      </c>
      <c r="AU524" s="37">
        <f t="shared" ca="1" si="108"/>
        <v>0.4</v>
      </c>
      <c r="AV524" s="37">
        <f t="shared" ca="1" si="109"/>
        <v>0.4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 ca="1"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 ca="1">Tabela1[[#This Row],[QTDE/ Fabricação]]-Tabela1[[#This Row],[QTE]]</f>
        <v>-2</v>
      </c>
      <c r="R525" s="18">
        <f t="shared" ca="1" si="104"/>
        <v>0.4</v>
      </c>
      <c r="S525" s="18">
        <f t="shared" ca="1" si="103"/>
        <v>0.4</v>
      </c>
      <c r="T525" s="19">
        <f t="shared" ca="1" si="105"/>
        <v>0</v>
      </c>
      <c r="U525" s="16">
        <v>2</v>
      </c>
      <c r="V525" s="12" t="str">
        <f ca="1">IFERROR(VLOOKUP(Tabela1[[#This Row],[COD.MDE]],'LISTA DE EMBARQUE'!B:L,11,0),"")</f>
        <v/>
      </c>
      <c r="W525" s="13" t="str">
        <f ca="1">IFERROR(COUNTIF(#REF!,Tabela1[[#This Row],[Colunas5]]),"")</f>
        <v/>
      </c>
      <c r="X525" s="14">
        <f ca="1">Tabela1[[#This Row],[QIANTIDADE EXPEDIDA]]*Tabela1[[#This Row],[PESO UNI]]</f>
        <v>0.4</v>
      </c>
      <c r="Y525" s="14">
        <f t="shared" ca="1" si="106"/>
        <v>0</v>
      </c>
      <c r="Z525" s="20">
        <f ca="1"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 ca="1">Tabela1[[#This Row],[Coluna1]]&amp;Tabela1[[#This Row],[PEDIDO]]</f>
        <v>P-190</v>
      </c>
      <c r="AL525"/>
      <c r="AM525"/>
      <c r="AN525"/>
      <c r="AO525" t="str">
        <f t="shared" ca="1" si="107"/>
        <v>P-024500-1/P190</v>
      </c>
      <c r="AP525" t="str">
        <f ca="1">Tabela1[[#This Row],[TAG]]&amp;Tabela1[[#This Row],[PEDIDO]]&amp;Tabela1[[#This Row],[PRODUTO]]</f>
        <v>P190P-190ESTRUTURA</v>
      </c>
      <c r="AQ525" s="22" t="str">
        <f ca="1">Tabela1[[#This Row],[PRODUTO]]&amp;Tabela1[[#This Row],[TAG]]</f>
        <v>ESTRUTURAP190</v>
      </c>
      <c r="AR525" s="24" t="str">
        <f ca="1">Tabela1[[#This Row],[PEDIDO]]&amp;Tabela1[[#This Row],[PRODUTO]]</f>
        <v>P-190ESTRUTURA</v>
      </c>
      <c r="AS525" s="37">
        <f ca="1">IF(AF525="",0,IF(ISTEXT(AF525),H525*VALUE(SUBSTITUTE(AF525,"%",""))/100,H525*AF525))-Tabela1[[#This Row],[PRONTO ACABADO2]]</f>
        <v>0</v>
      </c>
      <c r="AT525" s="37">
        <f ca="1">IF(AG525="",0,IF(ISTEXT(AG525),H525*VALUE(SUBSTITUTE(AG525,"%",""))/100,H525*AG525))-Tabela1[[#This Row],[PESO EXPEDIDO2]]</f>
        <v>0</v>
      </c>
      <c r="AU525" s="37">
        <f t="shared" ca="1" si="108"/>
        <v>0.4</v>
      </c>
      <c r="AV525" s="37">
        <f t="shared" ca="1" si="109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 ca="1"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 ca="1">Tabela1[[#This Row],[QTDE/ Fabricação]]-Tabela1[[#This Row],[QTE]]</f>
        <v>-2</v>
      </c>
      <c r="R526" s="18">
        <f t="shared" ca="1" si="104"/>
        <v>28.4</v>
      </c>
      <c r="S526" s="18">
        <f t="shared" ca="1" si="103"/>
        <v>28.4</v>
      </c>
      <c r="T526" s="19">
        <f t="shared" ca="1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 ca="1">IFERROR(COUNTIF(#REF!,Tabela1[[#This Row],[Colunas5]]),"")</f>
        <v/>
      </c>
      <c r="X526" s="14">
        <f ca="1">Tabela1[[#This Row],[QIANTIDADE EXPEDIDA]]*Tabela1[[#This Row],[PESO UNI]]</f>
        <v>28.4</v>
      </c>
      <c r="Y526" s="14">
        <f t="shared" ca="1" si="106"/>
        <v>0</v>
      </c>
      <c r="Z526" s="20">
        <f ca="1"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 ca="1">Tabela1[[#This Row],[Coluna1]]&amp;Tabela1[[#This Row],[PEDIDO]]</f>
        <v>P-190</v>
      </c>
      <c r="AL526"/>
      <c r="AM526"/>
      <c r="AN526"/>
      <c r="AO526" t="str">
        <f t="shared" ca="1" si="107"/>
        <v>P-024500-1/P190</v>
      </c>
      <c r="AP526" t="str">
        <f ca="1">Tabela1[[#This Row],[TAG]]&amp;Tabela1[[#This Row],[PEDIDO]]&amp;Tabela1[[#This Row],[PRODUTO]]</f>
        <v>P190P-190ESTRUTURA</v>
      </c>
      <c r="AQ526" s="22" t="str">
        <f ca="1">Tabela1[[#This Row],[PRODUTO]]&amp;Tabela1[[#This Row],[TAG]]</f>
        <v>ESTRUTURAP190</v>
      </c>
      <c r="AR526" s="24" t="str">
        <f ca="1">Tabela1[[#This Row],[PEDIDO]]&amp;Tabela1[[#This Row],[PRODUTO]]</f>
        <v>P-190ESTRUTURA</v>
      </c>
      <c r="AS526" s="37">
        <f ca="1">IF(AF526="",0,IF(ISTEXT(AF526),H526*VALUE(SUBSTITUTE(AF526,"%",""))/100,H526*AF526))-Tabela1[[#This Row],[PRONTO ACABADO2]]</f>
        <v>0</v>
      </c>
      <c r="AT526" s="37">
        <f ca="1">IF(AG526="",0,IF(ISTEXT(AG526),H526*VALUE(SUBSTITUTE(AG526,"%",""))/100,H526*AG526))-Tabela1[[#This Row],[PESO EXPEDIDO2]]</f>
        <v>0</v>
      </c>
      <c r="AU526" s="37">
        <f t="shared" ca="1" si="108"/>
        <v>28.4</v>
      </c>
      <c r="AV526" s="37">
        <f t="shared" ca="1" si="109"/>
        <v>28.4</v>
      </c>
      <c r="AW526" s="37"/>
    </row>
    <row r="527" spans="1:49" ht="15.75" hidden="1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 ca="1"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 ca="1">Tabela1[[#This Row],[QTDE/ Fabricação]]-Tabela1[[#This Row],[QTE]]</f>
        <v>-2</v>
      </c>
      <c r="R527" s="18">
        <f t="shared" ca="1" si="104"/>
        <v>143.19999999999999</v>
      </c>
      <c r="S527" s="18">
        <f t="shared" ca="1" si="103"/>
        <v>143.19999999999999</v>
      </c>
      <c r="T527" s="19">
        <f t="shared" ca="1" si="105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 ca="1">IFERROR(COUNTIF(#REF!,Tabela1[[#This Row],[Colunas5]]),"")</f>
        <v/>
      </c>
      <c r="X527" s="14">
        <f ca="1">Tabela1[[#This Row],[QIANTIDADE EXPEDIDA]]*Tabela1[[#This Row],[PESO UNI]]</f>
        <v>143.19999999999999</v>
      </c>
      <c r="Y527" s="14">
        <f t="shared" ca="1" si="106"/>
        <v>0</v>
      </c>
      <c r="Z527" s="20">
        <f ca="1"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 ca="1">Tabela1[[#This Row],[Coluna1]]&amp;Tabela1[[#This Row],[PEDIDO]]</f>
        <v>P-190</v>
      </c>
      <c r="AL527"/>
      <c r="AM527"/>
      <c r="AN527"/>
      <c r="AO527" t="str">
        <f t="shared" ca="1" si="107"/>
        <v>P-024499-1/P190</v>
      </c>
      <c r="AP527" t="str">
        <f ca="1">Tabela1[[#This Row],[TAG]]&amp;Tabela1[[#This Row],[PEDIDO]]&amp;Tabela1[[#This Row],[PRODUTO]]</f>
        <v>P190P-190ESTRUTURA</v>
      </c>
      <c r="AQ527" s="22" t="str">
        <f ca="1">Tabela1[[#This Row],[PRODUTO]]&amp;Tabela1[[#This Row],[TAG]]</f>
        <v>ESTRUTURAP190</v>
      </c>
      <c r="AR527" s="24" t="str">
        <f ca="1">Tabela1[[#This Row],[PEDIDO]]&amp;Tabela1[[#This Row],[PRODUTO]]</f>
        <v>P-190ESTRUTURA</v>
      </c>
      <c r="AS527" s="37">
        <f ca="1">IF(AF527="",0,IF(ISTEXT(AF527),H527*VALUE(SUBSTITUTE(AF527,"%",""))/100,H527*AF527))-Tabela1[[#This Row],[PRONTO ACABADO2]]</f>
        <v>0</v>
      </c>
      <c r="AT527" s="37">
        <f ca="1">IF(AG527="",0,IF(ISTEXT(AG527),H527*VALUE(SUBSTITUTE(AG527,"%",""))/100,H527*AG527))-Tabela1[[#This Row],[PESO EXPEDIDO2]]</f>
        <v>0</v>
      </c>
      <c r="AU527" s="37">
        <f t="shared" ca="1" si="108"/>
        <v>143.19999999999999</v>
      </c>
      <c r="AV527" s="37">
        <f t="shared" ca="1" si="109"/>
        <v>143.19999999999999</v>
      </c>
      <c r="AW527" s="37"/>
    </row>
    <row r="528" spans="1:49" ht="15.75" hidden="1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 ca="1"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 ca="1">Tabela1[[#This Row],[QTDE/ Fabricação]]-Tabela1[[#This Row],[QTE]]</f>
        <v>-1</v>
      </c>
      <c r="R528" s="18">
        <f t="shared" ca="1" si="104"/>
        <v>24</v>
      </c>
      <c r="S528" s="18">
        <f t="shared" ca="1" si="103"/>
        <v>24</v>
      </c>
      <c r="T528" s="19">
        <f t="shared" ca="1" si="105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 ca="1">IFERROR(COUNTIF(#REF!,Tabela1[[#This Row],[Colunas5]]),"")</f>
        <v/>
      </c>
      <c r="X528" s="14">
        <f ca="1">Tabela1[[#This Row],[QIANTIDADE EXPEDIDA]]*Tabela1[[#This Row],[PESO UNI]]</f>
        <v>24</v>
      </c>
      <c r="Y528" s="14">
        <f t="shared" ca="1" si="106"/>
        <v>0</v>
      </c>
      <c r="Z528" s="20">
        <f ca="1"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 ca="1">Tabela1[[#This Row],[Coluna1]]&amp;Tabela1[[#This Row],[PEDIDO]]</f>
        <v>P-190</v>
      </c>
      <c r="AL528"/>
      <c r="AM528"/>
      <c r="AN528"/>
      <c r="AO528" t="str">
        <f t="shared" ca="1" si="107"/>
        <v>P-024498-1/P190</v>
      </c>
      <c r="AP528" t="str">
        <f ca="1">Tabela1[[#This Row],[TAG]]&amp;Tabela1[[#This Row],[PEDIDO]]&amp;Tabela1[[#This Row],[PRODUTO]]</f>
        <v>P190P-190ESTRUTURA</v>
      </c>
      <c r="AQ528" s="22" t="str">
        <f ca="1">Tabela1[[#This Row],[PRODUTO]]&amp;Tabela1[[#This Row],[TAG]]</f>
        <v>ESTRUTURAP190</v>
      </c>
      <c r="AR528" s="24" t="str">
        <f ca="1">Tabela1[[#This Row],[PEDIDO]]&amp;Tabela1[[#This Row],[PRODUTO]]</f>
        <v>P-190ESTRUTURA</v>
      </c>
      <c r="AS528" s="37">
        <f ca="1">IF(AF528="",0,IF(ISTEXT(AF528),H528*VALUE(SUBSTITUTE(AF528,"%",""))/100,H528*AF528))-Tabela1[[#This Row],[PRONTO ACABADO2]]</f>
        <v>0</v>
      </c>
      <c r="AT528" s="37">
        <f ca="1">IF(AG528="",0,IF(ISTEXT(AG528),H528*VALUE(SUBSTITUTE(AG528,"%",""))/100,H528*AG528))-Tabela1[[#This Row],[PESO EXPEDIDO2]]</f>
        <v>0</v>
      </c>
      <c r="AU528" s="37">
        <f t="shared" ca="1" si="108"/>
        <v>24</v>
      </c>
      <c r="AV528" s="37">
        <f t="shared" ca="1" si="109"/>
        <v>24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 ca="1"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 ca="1">Tabela1[[#This Row],[QTDE/ Fabricação]]-Tabela1[[#This Row],[QTE]]</f>
        <v>-1</v>
      </c>
      <c r="R529" s="18">
        <f t="shared" ca="1" si="104"/>
        <v>27</v>
      </c>
      <c r="S529" s="18">
        <f t="shared" ca="1" si="103"/>
        <v>27</v>
      </c>
      <c r="T529" s="19">
        <f t="shared" ca="1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 ca="1">IFERROR(COUNTIF(#REF!,Tabela1[[#This Row],[Colunas5]]),"")</f>
        <v/>
      </c>
      <c r="X529" s="14">
        <f ca="1">Tabela1[[#This Row],[QIANTIDADE EXPEDIDA]]*Tabela1[[#This Row],[PESO UNI]]</f>
        <v>27</v>
      </c>
      <c r="Y529" s="14">
        <f t="shared" ca="1" si="106"/>
        <v>0</v>
      </c>
      <c r="Z529" s="20">
        <f ca="1"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 ca="1">Tabela1[[#This Row],[Coluna1]]&amp;Tabela1[[#This Row],[PEDIDO]]</f>
        <v>P-190</v>
      </c>
      <c r="AL529"/>
      <c r="AM529"/>
      <c r="AN529"/>
      <c r="AO529" t="str">
        <f t="shared" ca="1" si="107"/>
        <v>P-024498-1/P190</v>
      </c>
      <c r="AP529" t="str">
        <f ca="1">Tabela1[[#This Row],[TAG]]&amp;Tabela1[[#This Row],[PEDIDO]]&amp;Tabela1[[#This Row],[PRODUTO]]</f>
        <v>P190P-190ESTRUTURA</v>
      </c>
      <c r="AQ529" s="22" t="str">
        <f ca="1">Tabela1[[#This Row],[PRODUTO]]&amp;Tabela1[[#This Row],[TAG]]</f>
        <v>ESTRUTURAP190</v>
      </c>
      <c r="AR529" s="24" t="str">
        <f ca="1">Tabela1[[#This Row],[PEDIDO]]&amp;Tabela1[[#This Row],[PRODUTO]]</f>
        <v>P-190ESTRUTURA</v>
      </c>
      <c r="AS529" s="37">
        <f ca="1">IF(AF529="",0,IF(ISTEXT(AF529),H529*VALUE(SUBSTITUTE(AF529,"%",""))/100,H529*AF529))-Tabela1[[#This Row],[PRONTO ACABADO2]]</f>
        <v>0</v>
      </c>
      <c r="AT529" s="37">
        <f ca="1">IF(AG529="",0,IF(ISTEXT(AG529),H529*VALUE(SUBSTITUTE(AG529,"%",""))/100,H529*AG529))-Tabela1[[#This Row],[PESO EXPEDIDO2]]</f>
        <v>0</v>
      </c>
      <c r="AU529" s="37">
        <f t="shared" ca="1" si="108"/>
        <v>27</v>
      </c>
      <c r="AV529" s="37">
        <f t="shared" ca="1" si="109"/>
        <v>27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 ca="1"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 ca="1">Tabela1[[#This Row],[QTDE/ Fabricação]]-Tabela1[[#This Row],[QTE]]</f>
        <v>-1</v>
      </c>
      <c r="R530" s="18">
        <f t="shared" ca="1" si="104"/>
        <v>1.5</v>
      </c>
      <c r="S530" s="18">
        <f t="shared" ca="1" si="103"/>
        <v>1.5</v>
      </c>
      <c r="T530" s="19">
        <f t="shared" ca="1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 ca="1">IFERROR(COUNTIF(#REF!,Tabela1[[#This Row],[Colunas5]]),"")</f>
        <v/>
      </c>
      <c r="X530" s="14">
        <f ca="1">Tabela1[[#This Row],[QIANTIDADE EXPEDIDA]]*Tabela1[[#This Row],[PESO UNI]]</f>
        <v>1.5</v>
      </c>
      <c r="Y530" s="14">
        <f t="shared" ca="1" si="106"/>
        <v>0</v>
      </c>
      <c r="Z530" s="20">
        <f ca="1"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 ca="1">Tabela1[[#This Row],[Coluna1]]&amp;Tabela1[[#This Row],[PEDIDO]]</f>
        <v>P-190</v>
      </c>
      <c r="AL530"/>
      <c r="AM530"/>
      <c r="AN530"/>
      <c r="AO530" t="str">
        <f t="shared" ca="1" si="107"/>
        <v>P-024498-1/P190</v>
      </c>
      <c r="AP530" t="str">
        <f ca="1">Tabela1[[#This Row],[TAG]]&amp;Tabela1[[#This Row],[PEDIDO]]&amp;Tabela1[[#This Row],[PRODUTO]]</f>
        <v>P190P-190ESTRUTURA</v>
      </c>
      <c r="AQ530" s="22" t="str">
        <f ca="1">Tabela1[[#This Row],[PRODUTO]]&amp;Tabela1[[#This Row],[TAG]]</f>
        <v>ESTRUTURAP190</v>
      </c>
      <c r="AR530" s="24" t="str">
        <f ca="1">Tabela1[[#This Row],[PEDIDO]]&amp;Tabela1[[#This Row],[PRODUTO]]</f>
        <v>P-190ESTRUTURA</v>
      </c>
      <c r="AS530" s="37">
        <f ca="1">IF(AF530="",0,IF(ISTEXT(AF530),H530*VALUE(SUBSTITUTE(AF530,"%",""))/100,H530*AF530))-Tabela1[[#This Row],[PRONTO ACABADO2]]</f>
        <v>0</v>
      </c>
      <c r="AT530" s="37">
        <f ca="1">IF(AG530="",0,IF(ISTEXT(AG530),H530*VALUE(SUBSTITUTE(AG530,"%",""))/100,H530*AG530))-Tabela1[[#This Row],[PESO EXPEDIDO2]]</f>
        <v>0</v>
      </c>
      <c r="AU530" s="37">
        <f t="shared" ca="1" si="108"/>
        <v>1.5</v>
      </c>
      <c r="AV530" s="37">
        <f t="shared" ca="1" si="109"/>
        <v>1.5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 ca="1"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 ca="1">Tabela1[[#This Row],[QTDE/ Fabricação]]-Tabela1[[#This Row],[QTE]]</f>
        <v>-1</v>
      </c>
      <c r="R531" s="18">
        <f t="shared" ca="1" si="104"/>
        <v>1.5</v>
      </c>
      <c r="S531" s="18">
        <f t="shared" ca="1" si="103"/>
        <v>1.5</v>
      </c>
      <c r="T531" s="19">
        <f t="shared" ca="1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 ca="1">IFERROR(COUNTIF(#REF!,Tabela1[[#This Row],[Colunas5]]),"")</f>
        <v/>
      </c>
      <c r="X531" s="14">
        <f ca="1">Tabela1[[#This Row],[QIANTIDADE EXPEDIDA]]*Tabela1[[#This Row],[PESO UNI]]</f>
        <v>1.5</v>
      </c>
      <c r="Y531" s="14">
        <f t="shared" ca="1" si="106"/>
        <v>0</v>
      </c>
      <c r="Z531" s="20">
        <f ca="1"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 ca="1">Tabela1[[#This Row],[Coluna1]]&amp;Tabela1[[#This Row],[PEDIDO]]</f>
        <v>P-190</v>
      </c>
      <c r="AL531"/>
      <c r="AM531"/>
      <c r="AN531"/>
      <c r="AO531" t="str">
        <f t="shared" ca="1" si="107"/>
        <v>P-024498-1/P190</v>
      </c>
      <c r="AP531" t="str">
        <f ca="1">Tabela1[[#This Row],[TAG]]&amp;Tabela1[[#This Row],[PEDIDO]]&amp;Tabela1[[#This Row],[PRODUTO]]</f>
        <v>P190P-190ESTRUTURA</v>
      </c>
      <c r="AQ531" s="22" t="str">
        <f ca="1">Tabela1[[#This Row],[PRODUTO]]&amp;Tabela1[[#This Row],[TAG]]</f>
        <v>ESTRUTURAP190</v>
      </c>
      <c r="AR531" s="24" t="str">
        <f ca="1">Tabela1[[#This Row],[PEDIDO]]&amp;Tabela1[[#This Row],[PRODUTO]]</f>
        <v>P-190ESTRUTURA</v>
      </c>
      <c r="AS531" s="37">
        <f ca="1">IF(AF531="",0,IF(ISTEXT(AF531),H531*VALUE(SUBSTITUTE(AF531,"%",""))/100,H531*AF531))-Tabela1[[#This Row],[PRONTO ACABADO2]]</f>
        <v>0</v>
      </c>
      <c r="AT531" s="37">
        <f ca="1">IF(AG531="",0,IF(ISTEXT(AG531),H531*VALUE(SUBSTITUTE(AG531,"%",""))/100,H531*AG531))-Tabela1[[#This Row],[PESO EXPEDIDO2]]</f>
        <v>0</v>
      </c>
      <c r="AU531" s="37">
        <f t="shared" ca="1" si="108"/>
        <v>1.5</v>
      </c>
      <c r="AV531" s="37">
        <f t="shared" ca="1" si="109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 ca="1"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 ca="1">Tabela1[[#This Row],[QTDE/ Fabricação]]-Tabela1[[#This Row],[QTE]]</f>
        <v>-2</v>
      </c>
      <c r="R532" s="18">
        <f t="shared" ca="1" si="104"/>
        <v>6</v>
      </c>
      <c r="S532" s="18">
        <f t="shared" ca="1" si="103"/>
        <v>6</v>
      </c>
      <c r="T532" s="19">
        <f t="shared" ca="1" si="105"/>
        <v>0</v>
      </c>
      <c r="U532" s="16">
        <v>2</v>
      </c>
      <c r="V532" s="12" t="str">
        <f ca="1">IFERROR(VLOOKUP(Tabela1[[#This Row],[COD.MDE]],'LISTA DE EMBARQUE'!B:L,11,0),"")</f>
        <v/>
      </c>
      <c r="W532" s="13" t="str">
        <f ca="1">IFERROR(COUNTIF(#REF!,Tabela1[[#This Row],[Colunas5]]),"")</f>
        <v/>
      </c>
      <c r="X532" s="14">
        <f ca="1">Tabela1[[#This Row],[QIANTIDADE EXPEDIDA]]*Tabela1[[#This Row],[PESO UNI]]</f>
        <v>6</v>
      </c>
      <c r="Y532" s="14">
        <f t="shared" ca="1" si="106"/>
        <v>0</v>
      </c>
      <c r="Z532" s="20">
        <f ca="1"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 ca="1">Tabela1[[#This Row],[Coluna1]]&amp;Tabela1[[#This Row],[PEDIDO]]</f>
        <v>P-190</v>
      </c>
      <c r="AL532"/>
      <c r="AM532"/>
      <c r="AN532"/>
      <c r="AO532" t="str">
        <f t="shared" ca="1" si="107"/>
        <v>P-024498-1/P190</v>
      </c>
      <c r="AP532" t="str">
        <f ca="1">Tabela1[[#This Row],[TAG]]&amp;Tabela1[[#This Row],[PEDIDO]]&amp;Tabela1[[#This Row],[PRODUTO]]</f>
        <v>P190P-190ESTRUTURA</v>
      </c>
      <c r="AQ532" s="22" t="str">
        <f ca="1">Tabela1[[#This Row],[PRODUTO]]&amp;Tabela1[[#This Row],[TAG]]</f>
        <v>ESTRUTURAP190</v>
      </c>
      <c r="AR532" s="24" t="str">
        <f ca="1">Tabela1[[#This Row],[PEDIDO]]&amp;Tabela1[[#This Row],[PRODUTO]]</f>
        <v>P-190ESTRUTURA</v>
      </c>
      <c r="AS532" s="37">
        <f ca="1">IF(AF532="",0,IF(ISTEXT(AF532),H532*VALUE(SUBSTITUTE(AF532,"%",""))/100,H532*AF532))-Tabela1[[#This Row],[PRONTO ACABADO2]]</f>
        <v>0</v>
      </c>
      <c r="AT532" s="37">
        <f ca="1">IF(AG532="",0,IF(ISTEXT(AG532),H532*VALUE(SUBSTITUTE(AG532,"%",""))/100,H532*AG532))-Tabela1[[#This Row],[PESO EXPEDIDO2]]</f>
        <v>0</v>
      </c>
      <c r="AU532" s="37">
        <f t="shared" ca="1" si="108"/>
        <v>6</v>
      </c>
      <c r="AV532" s="37">
        <f t="shared" ca="1" si="109"/>
        <v>6</v>
      </c>
      <c r="AW532" s="37"/>
    </row>
    <row r="533" spans="1:49" ht="15.75" hidden="1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 ca="1"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 ca="1">Tabela1[[#This Row],[QTDE/ Fabricação]]-Tabela1[[#This Row],[QTE]]</f>
        <v>-1</v>
      </c>
      <c r="R533" s="18">
        <f t="shared" ca="1" si="104"/>
        <v>0.1</v>
      </c>
      <c r="S533" s="18">
        <f t="shared" ca="1" si="103"/>
        <v>0.1</v>
      </c>
      <c r="T533" s="19">
        <f t="shared" ca="1" si="105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 ca="1">IFERROR(COUNTIF(#REF!,Tabela1[[#This Row],[Colunas5]]),"")</f>
        <v/>
      </c>
      <c r="X533" s="14">
        <f ca="1">Tabela1[[#This Row],[QIANTIDADE EXPEDIDA]]*Tabela1[[#This Row],[PESO UNI]]</f>
        <v>0.1</v>
      </c>
      <c r="Y533" s="14">
        <f t="shared" ca="1" si="106"/>
        <v>0</v>
      </c>
      <c r="Z533" s="20">
        <f ca="1"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 ca="1">Tabela1[[#This Row],[Coluna1]]&amp;Tabela1[[#This Row],[PEDIDO]]</f>
        <v>P-190</v>
      </c>
      <c r="AL533"/>
      <c r="AM533"/>
      <c r="AN533"/>
      <c r="AO533" t="str">
        <f t="shared" ca="1" si="107"/>
        <v>P-024498-1/P190</v>
      </c>
      <c r="AP533" t="str">
        <f ca="1">Tabela1[[#This Row],[TAG]]&amp;Tabela1[[#This Row],[PEDIDO]]&amp;Tabela1[[#This Row],[PRODUTO]]</f>
        <v>P190P-190ESTRUTURA</v>
      </c>
      <c r="AQ533" s="22" t="str">
        <f ca="1">Tabela1[[#This Row],[PRODUTO]]&amp;Tabela1[[#This Row],[TAG]]</f>
        <v>ESTRUTURAP190</v>
      </c>
      <c r="AR533" s="24" t="str">
        <f ca="1">Tabela1[[#This Row],[PEDIDO]]&amp;Tabela1[[#This Row],[PRODUTO]]</f>
        <v>P-190ESTRUTURA</v>
      </c>
      <c r="AS533" s="37">
        <f ca="1">IF(AF533="",0,IF(ISTEXT(AF533),H533*VALUE(SUBSTITUTE(AF533,"%",""))/100,H533*AF533))-Tabela1[[#This Row],[PRONTO ACABADO2]]</f>
        <v>0</v>
      </c>
      <c r="AT533" s="37">
        <f ca="1">IF(AG533="",0,IF(ISTEXT(AG533),H533*VALUE(SUBSTITUTE(AG533,"%",""))/100,H533*AG533))-Tabela1[[#This Row],[PESO EXPEDIDO2]]</f>
        <v>0</v>
      </c>
      <c r="AU533" s="37">
        <f t="shared" ca="1" si="108"/>
        <v>0.1</v>
      </c>
      <c r="AV533" s="37">
        <f t="shared" ca="1" si="109"/>
        <v>0.1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 ca="1"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 ca="1">Tabela1[[#This Row],[QTDE/ Fabricação]]-Tabela1[[#This Row],[QTE]]</f>
        <v>-1</v>
      </c>
      <c r="R534" s="18">
        <f t="shared" ca="1" si="104"/>
        <v>0.2</v>
      </c>
      <c r="S534" s="18">
        <f t="shared" ca="1" si="103"/>
        <v>0.2</v>
      </c>
      <c r="T534" s="19">
        <f t="shared" ca="1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 ca="1">IFERROR(COUNTIF(#REF!,Tabela1[[#This Row],[Colunas5]]),"")</f>
        <v/>
      </c>
      <c r="X534" s="14">
        <f ca="1">Tabela1[[#This Row],[QIANTIDADE EXPEDIDA]]*Tabela1[[#This Row],[PESO UNI]]</f>
        <v>0.2</v>
      </c>
      <c r="Y534" s="14">
        <f t="shared" ca="1" si="106"/>
        <v>0</v>
      </c>
      <c r="Z534" s="20">
        <f ca="1"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 ca="1">Tabela1[[#This Row],[Coluna1]]&amp;Tabela1[[#This Row],[PEDIDO]]</f>
        <v>P-190</v>
      </c>
      <c r="AL534"/>
      <c r="AM534"/>
      <c r="AN534"/>
      <c r="AO534" t="str">
        <f t="shared" ca="1" si="107"/>
        <v>P-024498-1/P190</v>
      </c>
      <c r="AP534" t="str">
        <f ca="1">Tabela1[[#This Row],[TAG]]&amp;Tabela1[[#This Row],[PEDIDO]]&amp;Tabela1[[#This Row],[PRODUTO]]</f>
        <v>P190P-190ESTRUTURA</v>
      </c>
      <c r="AQ534" s="22" t="str">
        <f ca="1">Tabela1[[#This Row],[PRODUTO]]&amp;Tabela1[[#This Row],[TAG]]</f>
        <v>ESTRUTURAP190</v>
      </c>
      <c r="AR534" s="24" t="str">
        <f ca="1">Tabela1[[#This Row],[PEDIDO]]&amp;Tabela1[[#This Row],[PRODUTO]]</f>
        <v>P-190ESTRUTURA</v>
      </c>
      <c r="AS534" s="37">
        <f ca="1">IF(AF534="",0,IF(ISTEXT(AF534),H534*VALUE(SUBSTITUTE(AF534,"%",""))/100,H534*AF534))-Tabela1[[#This Row],[PRONTO ACABADO2]]</f>
        <v>0</v>
      </c>
      <c r="AT534" s="37">
        <f ca="1">IF(AG534="",0,IF(ISTEXT(AG534),H534*VALUE(SUBSTITUTE(AG534,"%",""))/100,H534*AG534))-Tabela1[[#This Row],[PESO EXPEDIDO2]]</f>
        <v>0</v>
      </c>
      <c r="AU534" s="37">
        <f t="shared" ca="1" si="108"/>
        <v>0.2</v>
      </c>
      <c r="AV534" s="37">
        <f t="shared" ca="1" si="109"/>
        <v>0.2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 ca="1"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 ca="1">Tabela1[[#This Row],[QTDE/ Fabricação]]-Tabela1[[#This Row],[QTE]]</f>
        <v>-1</v>
      </c>
      <c r="R535" s="18">
        <f t="shared" ca="1" si="104"/>
        <v>0.1</v>
      </c>
      <c r="S535" s="18">
        <f t="shared" ca="1" si="103"/>
        <v>0.1</v>
      </c>
      <c r="T535" s="19">
        <f t="shared" ca="1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 ca="1">IFERROR(COUNTIF(#REF!,Tabela1[[#This Row],[Colunas5]]),"")</f>
        <v/>
      </c>
      <c r="X535" s="14">
        <f ca="1">Tabela1[[#This Row],[QIANTIDADE EXPEDIDA]]*Tabela1[[#This Row],[PESO UNI]]</f>
        <v>0.1</v>
      </c>
      <c r="Y535" s="14">
        <f t="shared" ca="1" si="106"/>
        <v>0</v>
      </c>
      <c r="Z535" s="20">
        <f ca="1"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 ca="1">Tabela1[[#This Row],[Coluna1]]&amp;Tabela1[[#This Row],[PEDIDO]]</f>
        <v>P-190</v>
      </c>
      <c r="AL535"/>
      <c r="AM535"/>
      <c r="AN535"/>
      <c r="AO535" t="str">
        <f t="shared" ca="1" si="107"/>
        <v>P-024498-1/P190</v>
      </c>
      <c r="AP535" t="str">
        <f ca="1">Tabela1[[#This Row],[TAG]]&amp;Tabela1[[#This Row],[PEDIDO]]&amp;Tabela1[[#This Row],[PRODUTO]]</f>
        <v>P190P-190ESTRUTURA</v>
      </c>
      <c r="AQ535" s="22" t="str">
        <f ca="1">Tabela1[[#This Row],[PRODUTO]]&amp;Tabela1[[#This Row],[TAG]]</f>
        <v>ESTRUTURAP190</v>
      </c>
      <c r="AR535" s="24" t="str">
        <f ca="1">Tabela1[[#This Row],[PEDIDO]]&amp;Tabela1[[#This Row],[PRODUTO]]</f>
        <v>P-190ESTRUTURA</v>
      </c>
      <c r="AS535" s="37">
        <f ca="1">IF(AF535="",0,IF(ISTEXT(AF535),H535*VALUE(SUBSTITUTE(AF535,"%",""))/100,H535*AF535))-Tabela1[[#This Row],[PRONTO ACABADO2]]</f>
        <v>0</v>
      </c>
      <c r="AT535" s="37">
        <f ca="1">IF(AG535="",0,IF(ISTEXT(AG535),H535*VALUE(SUBSTITUTE(AG535,"%",""))/100,H535*AG535))-Tabela1[[#This Row],[PESO EXPEDIDO2]]</f>
        <v>0</v>
      </c>
      <c r="AU535" s="37">
        <f t="shared" ca="1" si="108"/>
        <v>0.1</v>
      </c>
      <c r="AV535" s="37">
        <f t="shared" ca="1" si="109"/>
        <v>0.1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 ca="1"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 ca="1">Tabela1[[#This Row],[QTDE/ Fabricação]]-Tabela1[[#This Row],[QTE]]</f>
        <v>-1</v>
      </c>
      <c r="R536" s="18">
        <f t="shared" ca="1" si="104"/>
        <v>0.1</v>
      </c>
      <c r="S536" s="18">
        <f t="shared" ca="1" si="103"/>
        <v>0.1</v>
      </c>
      <c r="T536" s="19">
        <f t="shared" ca="1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 ca="1">IFERROR(COUNTIF(#REF!,Tabela1[[#This Row],[Colunas5]]),"")</f>
        <v/>
      </c>
      <c r="X536" s="14">
        <f ca="1">Tabela1[[#This Row],[QIANTIDADE EXPEDIDA]]*Tabela1[[#This Row],[PESO UNI]]</f>
        <v>0.1</v>
      </c>
      <c r="Y536" s="14">
        <f t="shared" ca="1" si="106"/>
        <v>0</v>
      </c>
      <c r="Z536" s="20">
        <f ca="1"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 ca="1">Tabela1[[#This Row],[Coluna1]]&amp;Tabela1[[#This Row],[PEDIDO]]</f>
        <v>P-190</v>
      </c>
      <c r="AL536"/>
      <c r="AM536"/>
      <c r="AN536"/>
      <c r="AO536" t="str">
        <f t="shared" ca="1" si="107"/>
        <v>P-024498-1/P190</v>
      </c>
      <c r="AP536" t="str">
        <f ca="1">Tabela1[[#This Row],[TAG]]&amp;Tabela1[[#This Row],[PEDIDO]]&amp;Tabela1[[#This Row],[PRODUTO]]</f>
        <v>P190P-190ESTRUTURA</v>
      </c>
      <c r="AQ536" s="22" t="str">
        <f ca="1">Tabela1[[#This Row],[PRODUTO]]&amp;Tabela1[[#This Row],[TAG]]</f>
        <v>ESTRUTURAP190</v>
      </c>
      <c r="AR536" s="24" t="str">
        <f ca="1">Tabela1[[#This Row],[PEDIDO]]&amp;Tabela1[[#This Row],[PRODUTO]]</f>
        <v>P-190ESTRUTURA</v>
      </c>
      <c r="AS536" s="37">
        <f ca="1">IF(AF536="",0,IF(ISTEXT(AF536),H536*VALUE(SUBSTITUTE(AF536,"%",""))/100,H536*AF536))-Tabela1[[#This Row],[PRONTO ACABADO2]]</f>
        <v>0</v>
      </c>
      <c r="AT536" s="37">
        <f ca="1">IF(AG536="",0,IF(ISTEXT(AG536),H536*VALUE(SUBSTITUTE(AG536,"%",""))/100,H536*AG536))-Tabela1[[#This Row],[PESO EXPEDIDO2]]</f>
        <v>0</v>
      </c>
      <c r="AU536" s="37">
        <f t="shared" ca="1" si="108"/>
        <v>0.1</v>
      </c>
      <c r="AV536" s="37">
        <f t="shared" ca="1" si="109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 ca="1"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 ca="1">Tabela1[[#This Row],[QTDE/ Fabricação]]-Tabela1[[#This Row],[QTE]]</f>
        <v>-2</v>
      </c>
      <c r="R537" s="18">
        <f t="shared" ca="1" si="104"/>
        <v>14.2</v>
      </c>
      <c r="S537" s="18">
        <f t="shared" ca="1" si="103"/>
        <v>14.2</v>
      </c>
      <c r="T537" s="19">
        <f t="shared" ca="1" si="105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 ca="1">IFERROR(COUNTIF(#REF!,Tabela1[[#This Row],[Colunas5]]),"")</f>
        <v/>
      </c>
      <c r="X537" s="14">
        <f ca="1">Tabela1[[#This Row],[QIANTIDADE EXPEDIDA]]*Tabela1[[#This Row],[PESO UNI]]</f>
        <v>14.2</v>
      </c>
      <c r="Y537" s="14">
        <f t="shared" ca="1" si="106"/>
        <v>0</v>
      </c>
      <c r="Z537" s="20">
        <f ca="1"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 ca="1">Tabela1[[#This Row],[Coluna1]]&amp;Tabela1[[#This Row],[PEDIDO]]</f>
        <v>P-190</v>
      </c>
      <c r="AL537"/>
      <c r="AM537"/>
      <c r="AN537"/>
      <c r="AO537" t="str">
        <f t="shared" ca="1" si="107"/>
        <v>P-024498-1/P190</v>
      </c>
      <c r="AP537" t="str">
        <f ca="1">Tabela1[[#This Row],[TAG]]&amp;Tabela1[[#This Row],[PEDIDO]]&amp;Tabela1[[#This Row],[PRODUTO]]</f>
        <v>P190P-190ESTRUTURA</v>
      </c>
      <c r="AQ537" s="22" t="str">
        <f ca="1">Tabela1[[#This Row],[PRODUTO]]&amp;Tabela1[[#This Row],[TAG]]</f>
        <v>ESTRUTURAP190</v>
      </c>
      <c r="AR537" s="24" t="str">
        <f ca="1">Tabela1[[#This Row],[PEDIDO]]&amp;Tabela1[[#This Row],[PRODUTO]]</f>
        <v>P-190ESTRUTURA</v>
      </c>
      <c r="AS537" s="37">
        <f ca="1">IF(AF537="",0,IF(ISTEXT(AF537),H537*VALUE(SUBSTITUTE(AF537,"%",""))/100,H537*AF537))-Tabela1[[#This Row],[PRONTO ACABADO2]]</f>
        <v>0</v>
      </c>
      <c r="AT537" s="37">
        <f ca="1">IF(AG537="",0,IF(ISTEXT(AG537),H537*VALUE(SUBSTITUTE(AG537,"%",""))/100,H537*AG537))-Tabela1[[#This Row],[PESO EXPEDIDO2]]</f>
        <v>0</v>
      </c>
      <c r="AU537" s="37">
        <f t="shared" ca="1" si="108"/>
        <v>14.2</v>
      </c>
      <c r="AV537" s="37">
        <f t="shared" ca="1" si="109"/>
        <v>14.2</v>
      </c>
      <c r="AW537" s="37"/>
    </row>
    <row r="538" spans="1:49" ht="15.75" hidden="1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 ca="1"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 ca="1">Tabela1[[#This Row],[QTDE/ Fabricação]]-Tabela1[[#This Row],[QTE]]</f>
        <v>-1</v>
      </c>
      <c r="R538" s="18">
        <f t="shared" ca="1" si="104"/>
        <v>0.1</v>
      </c>
      <c r="S538" s="18">
        <f t="shared" ca="1" si="103"/>
        <v>0.1</v>
      </c>
      <c r="T538" s="19">
        <f t="shared" ca="1" si="105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 ca="1">IFERROR(COUNTIF(#REF!,Tabela1[[#This Row],[Colunas5]]),"")</f>
        <v/>
      </c>
      <c r="X538" s="14">
        <f ca="1">Tabela1[[#This Row],[QIANTIDADE EXPEDIDA]]*Tabela1[[#This Row],[PESO UNI]]</f>
        <v>0.1</v>
      </c>
      <c r="Y538" s="14">
        <f t="shared" ca="1" si="106"/>
        <v>0</v>
      </c>
      <c r="Z538" s="20">
        <f ca="1"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 ca="1">Tabela1[[#This Row],[Coluna1]]&amp;Tabela1[[#This Row],[PEDIDO]]</f>
        <v>P-190</v>
      </c>
      <c r="AL538"/>
      <c r="AM538"/>
      <c r="AN538"/>
      <c r="AO538" t="str">
        <f t="shared" ca="1" si="107"/>
        <v>P-024498-1/P190</v>
      </c>
      <c r="AP538" t="str">
        <f ca="1">Tabela1[[#This Row],[TAG]]&amp;Tabela1[[#This Row],[PEDIDO]]&amp;Tabela1[[#This Row],[PRODUTO]]</f>
        <v>P190P-190ESTRUTURA</v>
      </c>
      <c r="AQ538" s="22" t="str">
        <f ca="1">Tabela1[[#This Row],[PRODUTO]]&amp;Tabela1[[#This Row],[TAG]]</f>
        <v>ESTRUTURAP190</v>
      </c>
      <c r="AR538" s="24" t="str">
        <f ca="1">Tabela1[[#This Row],[PEDIDO]]&amp;Tabela1[[#This Row],[PRODUTO]]</f>
        <v>P-190ESTRUTURA</v>
      </c>
      <c r="AS538" s="37">
        <f ca="1">IF(AF538="",0,IF(ISTEXT(AF538),H538*VALUE(SUBSTITUTE(AF538,"%",""))/100,H538*AF538))-Tabela1[[#This Row],[PRONTO ACABADO2]]</f>
        <v>0</v>
      </c>
      <c r="AT538" s="37">
        <f ca="1">IF(AG538="",0,IF(ISTEXT(AG538),H538*VALUE(SUBSTITUTE(AG538,"%",""))/100,H538*AG538))-Tabela1[[#This Row],[PESO EXPEDIDO2]]</f>
        <v>0</v>
      </c>
      <c r="AU538" s="37">
        <f t="shared" ca="1" si="108"/>
        <v>0.1</v>
      </c>
      <c r="AV538" s="37">
        <f t="shared" ca="1" si="109"/>
        <v>0.1</v>
      </c>
      <c r="AW538" s="37"/>
    </row>
    <row r="539" spans="1:49" ht="15.75" hidden="1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 ca="1"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 ca="1">Tabela1[[#This Row],[QTDE/ Fabricação]]-Tabela1[[#This Row],[QTE]]</f>
        <v>-2</v>
      </c>
      <c r="R539" s="18">
        <f t="shared" ca="1" si="104"/>
        <v>48</v>
      </c>
      <c r="S539" s="18">
        <f t="shared" ca="1" si="103"/>
        <v>48</v>
      </c>
      <c r="T539" s="19">
        <f t="shared" ca="1" si="105"/>
        <v>0</v>
      </c>
      <c r="U539" s="16">
        <f>IFERROR(SUMIF('LISTA DE EMBARQUE'!B:B,MICRO!E:E,'LISTA DE EMBARQUE'!G:G),"")</f>
        <v>2</v>
      </c>
      <c r="V539" s="12">
        <f ca="1">IFERROR(VLOOKUP(Tabela1[[#This Row],[COD.MDE]],'LISTA DE EMBARQUE'!B:L,11,0),"")</f>
        <v>2</v>
      </c>
      <c r="W539" s="13" t="str">
        <f ca="1">IFERROR(COUNTIF(#REF!,Tabela1[[#This Row],[Colunas5]]),"")</f>
        <v/>
      </c>
      <c r="X539" s="14">
        <f ca="1">Tabela1[[#This Row],[QIANTIDADE EXPEDIDA]]*Tabela1[[#This Row],[PESO UNI]]</f>
        <v>48</v>
      </c>
      <c r="Y539" s="14">
        <f t="shared" ca="1" si="106"/>
        <v>0</v>
      </c>
      <c r="Z539" s="20">
        <f ca="1"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 ca="1">Tabela1[[#This Row],[Coluna1]]&amp;Tabela1[[#This Row],[PEDIDO]]</f>
        <v>P-190</v>
      </c>
      <c r="AL539"/>
      <c r="AM539"/>
      <c r="AN539"/>
      <c r="AO539" t="str">
        <f t="shared" ca="1" si="107"/>
        <v>P-024497-1/P190</v>
      </c>
      <c r="AP539" t="str">
        <f ca="1">Tabela1[[#This Row],[TAG]]&amp;Tabela1[[#This Row],[PEDIDO]]&amp;Tabela1[[#This Row],[PRODUTO]]</f>
        <v>P190P-190ESTRUTURA</v>
      </c>
      <c r="AQ539" s="22" t="str">
        <f ca="1">Tabela1[[#This Row],[PRODUTO]]&amp;Tabela1[[#This Row],[TAG]]</f>
        <v>ESTRUTURAP190</v>
      </c>
      <c r="AR539" s="24" t="str">
        <f ca="1">Tabela1[[#This Row],[PEDIDO]]&amp;Tabela1[[#This Row],[PRODUTO]]</f>
        <v>P-190ESTRUTURA</v>
      </c>
      <c r="AS539" s="37">
        <f ca="1">IF(AF539="",0,IF(ISTEXT(AF539),H539*VALUE(SUBSTITUTE(AF539,"%",""))/100,H539*AF539))-Tabela1[[#This Row],[PRONTO ACABADO2]]</f>
        <v>0</v>
      </c>
      <c r="AT539" s="37">
        <f ca="1">IF(AG539="",0,IF(ISTEXT(AG539),H539*VALUE(SUBSTITUTE(AG539,"%",""))/100,H539*AG539))-Tabela1[[#This Row],[PESO EXPEDIDO2]]</f>
        <v>0</v>
      </c>
      <c r="AU539" s="37">
        <f t="shared" ca="1" si="108"/>
        <v>48</v>
      </c>
      <c r="AV539" s="37">
        <f t="shared" ca="1" si="109"/>
        <v>48</v>
      </c>
      <c r="AW539" s="37"/>
    </row>
    <row r="540" spans="1:49" ht="15.75" hidden="1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 ca="1"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 ca="1">Tabela1[[#This Row],[QTDE/ Fabricação]]-Tabela1[[#This Row],[QTE]]</f>
        <v>-1</v>
      </c>
      <c r="R540" s="18">
        <f t="shared" ca="1" si="104"/>
        <v>951.2</v>
      </c>
      <c r="S540" s="18">
        <f t="shared" ca="1" si="103"/>
        <v>951.2</v>
      </c>
      <c r="T540" s="19">
        <f t="shared" ca="1" si="105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 ca="1">IFERROR(COUNTIF(#REF!,Tabela1[[#This Row],[Colunas5]]),"")</f>
        <v/>
      </c>
      <c r="X540" s="14">
        <f ca="1">Tabela1[[#This Row],[QIANTIDADE EXPEDIDA]]*Tabela1[[#This Row],[PESO UNI]]</f>
        <v>951.2</v>
      </c>
      <c r="Y540" s="14">
        <f t="shared" ca="1" si="106"/>
        <v>0</v>
      </c>
      <c r="Z540" s="20">
        <f ca="1"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 ca="1">Tabela1[[#This Row],[Coluna1]]&amp;Tabela1[[#This Row],[PEDIDO]]</f>
        <v>P-190</v>
      </c>
      <c r="AL540"/>
      <c r="AM540"/>
      <c r="AN540"/>
      <c r="AO540" t="str">
        <f t="shared" ca="1" si="107"/>
        <v>P-024513-1/P190</v>
      </c>
      <c r="AP540" t="str">
        <f ca="1">Tabela1[[#This Row],[TAG]]&amp;Tabela1[[#This Row],[PEDIDO]]&amp;Tabela1[[#This Row],[PRODUTO]]</f>
        <v>P190P-190ESTRUTURA</v>
      </c>
      <c r="AQ540" s="22" t="str">
        <f ca="1">Tabela1[[#This Row],[PRODUTO]]&amp;Tabela1[[#This Row],[TAG]]</f>
        <v>ESTRUTURAP190</v>
      </c>
      <c r="AR540" s="24" t="str">
        <f ca="1">Tabela1[[#This Row],[PEDIDO]]&amp;Tabela1[[#This Row],[PRODUTO]]</f>
        <v>P-190ESTRUTURA</v>
      </c>
      <c r="AS540" s="37">
        <f ca="1">IF(AF540="",0,IF(ISTEXT(AF540),H540*VALUE(SUBSTITUTE(AF540,"%",""))/100,H540*AF540))-Tabela1[[#This Row],[PRONTO ACABADO2]]</f>
        <v>0</v>
      </c>
      <c r="AT540" s="37">
        <f ca="1">IF(AG540="",0,IF(ISTEXT(AG540),H540*VALUE(SUBSTITUTE(AG540,"%",""))/100,H540*AG540))-Tabela1[[#This Row],[PESO EXPEDIDO2]]</f>
        <v>0</v>
      </c>
      <c r="AU540" s="37">
        <f t="shared" ca="1" si="108"/>
        <v>951.2</v>
      </c>
      <c r="AV540" s="37">
        <f t="shared" ca="1" si="109"/>
        <v>951.2</v>
      </c>
      <c r="AW540" s="37"/>
    </row>
    <row r="541" spans="1:49" ht="15.75" hidden="1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 ca="1"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 ca="1">Tabela1[[#This Row],[QTDE/ Fabricação]]-Tabela1[[#This Row],[QTE]]</f>
        <v>-2</v>
      </c>
      <c r="R541" s="18">
        <f t="shared" ca="1" si="104"/>
        <v>6.8</v>
      </c>
      <c r="S541" s="18">
        <f t="shared" ca="1" si="103"/>
        <v>6.8</v>
      </c>
      <c r="T541" s="19">
        <f t="shared" ca="1" si="105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 ca="1">IFERROR(COUNTIF(#REF!,Tabela1[[#This Row],[Colunas5]]),"")</f>
        <v/>
      </c>
      <c r="X541" s="14">
        <f ca="1">Tabela1[[#This Row],[QIANTIDADE EXPEDIDA]]*Tabela1[[#This Row],[PESO UNI]]</f>
        <v>6.8</v>
      </c>
      <c r="Y541" s="14">
        <f t="shared" ca="1" si="106"/>
        <v>0</v>
      </c>
      <c r="Z541" s="20">
        <f ca="1"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 ca="1">Tabela1[[#This Row],[Coluna1]]&amp;Tabela1[[#This Row],[PEDIDO]]</f>
        <v>P-190</v>
      </c>
      <c r="AL541"/>
      <c r="AM541"/>
      <c r="AN541"/>
      <c r="AO541" t="str">
        <f t="shared" ca="1" si="107"/>
        <v>P-024513-1/P190</v>
      </c>
      <c r="AP541" t="str">
        <f ca="1">Tabela1[[#This Row],[TAG]]&amp;Tabela1[[#This Row],[PEDIDO]]&amp;Tabela1[[#This Row],[PRODUTO]]</f>
        <v>P190P-190ESTRUTURA</v>
      </c>
      <c r="AQ541" s="22" t="str">
        <f ca="1">Tabela1[[#This Row],[PRODUTO]]&amp;Tabela1[[#This Row],[TAG]]</f>
        <v>ESTRUTURAP190</v>
      </c>
      <c r="AR541" s="24" t="str">
        <f ca="1">Tabela1[[#This Row],[PEDIDO]]&amp;Tabela1[[#This Row],[PRODUTO]]</f>
        <v>P-190ESTRUTURA</v>
      </c>
      <c r="AS541" s="37">
        <f ca="1">IF(AF541="",0,IF(ISTEXT(AF541),H541*VALUE(SUBSTITUTE(AF541,"%",""))/100,H541*AF541))-Tabela1[[#This Row],[PRONTO ACABADO2]]</f>
        <v>0</v>
      </c>
      <c r="AT541" s="37">
        <f ca="1">IF(AG541="",0,IF(ISTEXT(AG541),H541*VALUE(SUBSTITUTE(AG541,"%",""))/100,H541*AG541))-Tabela1[[#This Row],[PESO EXPEDIDO2]]</f>
        <v>0</v>
      </c>
      <c r="AU541" s="37">
        <f t="shared" ca="1" si="108"/>
        <v>6.8</v>
      </c>
      <c r="AV541" s="37">
        <f t="shared" ca="1" si="109"/>
        <v>6.8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 ca="1"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 ca="1">Tabela1[[#This Row],[QTDE/ Fabricação]]-Tabela1[[#This Row],[QTE]]</f>
        <v>-2</v>
      </c>
      <c r="R542" s="18">
        <f t="shared" ca="1" si="104"/>
        <v>6</v>
      </c>
      <c r="S542" s="18">
        <f t="shared" ca="1" si="103"/>
        <v>6</v>
      </c>
      <c r="T542" s="19">
        <f t="shared" ca="1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 ca="1">IFERROR(COUNTIF(#REF!,Tabela1[[#This Row],[Colunas5]]),"")</f>
        <v/>
      </c>
      <c r="X542" s="14">
        <f ca="1">Tabela1[[#This Row],[QIANTIDADE EXPEDIDA]]*Tabela1[[#This Row],[PESO UNI]]</f>
        <v>6</v>
      </c>
      <c r="Y542" s="14">
        <f t="shared" ca="1" si="106"/>
        <v>0</v>
      </c>
      <c r="Z542" s="20">
        <f ca="1"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 ca="1">Tabela1[[#This Row],[Coluna1]]&amp;Tabela1[[#This Row],[PEDIDO]]</f>
        <v>P-190</v>
      </c>
      <c r="AL542"/>
      <c r="AM542"/>
      <c r="AN542"/>
      <c r="AO542" t="str">
        <f t="shared" ca="1" si="107"/>
        <v>P-024513-1/P190</v>
      </c>
      <c r="AP542" t="str">
        <f ca="1">Tabela1[[#This Row],[TAG]]&amp;Tabela1[[#This Row],[PEDIDO]]&amp;Tabela1[[#This Row],[PRODUTO]]</f>
        <v>P190P-190ESTRUTURA</v>
      </c>
      <c r="AQ542" s="22" t="str">
        <f ca="1">Tabela1[[#This Row],[PRODUTO]]&amp;Tabela1[[#This Row],[TAG]]</f>
        <v>ESTRUTURAP190</v>
      </c>
      <c r="AR542" s="24" t="str">
        <f ca="1">Tabela1[[#This Row],[PEDIDO]]&amp;Tabela1[[#This Row],[PRODUTO]]</f>
        <v>P-190ESTRUTURA</v>
      </c>
      <c r="AS542" s="37">
        <f ca="1">IF(AF542="",0,IF(ISTEXT(AF542),H542*VALUE(SUBSTITUTE(AF542,"%",""))/100,H542*AF542))-Tabela1[[#This Row],[PRONTO ACABADO2]]</f>
        <v>0</v>
      </c>
      <c r="AT542" s="37">
        <f ca="1">IF(AG542="",0,IF(ISTEXT(AG542),H542*VALUE(SUBSTITUTE(AG542,"%",""))/100,H542*AG542))-Tabela1[[#This Row],[PESO EXPEDIDO2]]</f>
        <v>0</v>
      </c>
      <c r="AU542" s="37">
        <f t="shared" ca="1" si="108"/>
        <v>6</v>
      </c>
      <c r="AV542" s="37">
        <f t="shared" ca="1" si="109"/>
        <v>6</v>
      </c>
      <c r="AW542" s="37"/>
    </row>
    <row r="543" spans="1:49" ht="15.75" hidden="1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 ca="1"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 ca="1">Tabela1[[#This Row],[QTDE/ Fabricação]]-Tabela1[[#This Row],[QTE]]</f>
        <v>-12</v>
      </c>
      <c r="R543" s="18">
        <f t="shared" ca="1" si="104"/>
        <v>273.60000000000002</v>
      </c>
      <c r="S543" s="18">
        <f t="shared" ca="1" si="103"/>
        <v>273.60000000000002</v>
      </c>
      <c r="T543" s="19">
        <f t="shared" ca="1" si="105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 ca="1">IFERROR(COUNTIF(#REF!,Tabela1[[#This Row],[Colunas5]]),"")</f>
        <v/>
      </c>
      <c r="X543" s="14">
        <f ca="1">Tabela1[[#This Row],[QIANTIDADE EXPEDIDA]]*Tabela1[[#This Row],[PESO UNI]]</f>
        <v>273.60000000000002</v>
      </c>
      <c r="Y543" s="14">
        <f t="shared" ca="1" si="106"/>
        <v>0</v>
      </c>
      <c r="Z543" s="20">
        <f ca="1"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 ca="1">Tabela1[[#This Row],[Coluna1]]&amp;Tabela1[[#This Row],[PEDIDO]]</f>
        <v>P-190</v>
      </c>
      <c r="AL543"/>
      <c r="AM543"/>
      <c r="AN543"/>
      <c r="AO543" t="str">
        <f t="shared" ca="1" si="107"/>
        <v>P-024513-1/P190</v>
      </c>
      <c r="AP543" t="str">
        <f ca="1">Tabela1[[#This Row],[TAG]]&amp;Tabela1[[#This Row],[PEDIDO]]&amp;Tabela1[[#This Row],[PRODUTO]]</f>
        <v>P190P-190ESTRUTURA</v>
      </c>
      <c r="AQ543" s="22" t="str">
        <f ca="1">Tabela1[[#This Row],[PRODUTO]]&amp;Tabela1[[#This Row],[TAG]]</f>
        <v>ESTRUTURAP190</v>
      </c>
      <c r="AR543" s="24" t="str">
        <f ca="1">Tabela1[[#This Row],[PEDIDO]]&amp;Tabela1[[#This Row],[PRODUTO]]</f>
        <v>P-190ESTRUTURA</v>
      </c>
      <c r="AS543" s="37">
        <f ca="1">IF(AF543="",0,IF(ISTEXT(AF543),H543*VALUE(SUBSTITUTE(AF543,"%",""))/100,H543*AF543))-Tabela1[[#This Row],[PRONTO ACABADO2]]</f>
        <v>0</v>
      </c>
      <c r="AT543" s="37">
        <f ca="1">IF(AG543="",0,IF(ISTEXT(AG543),H543*VALUE(SUBSTITUTE(AG543,"%",""))/100,H543*AG543))-Tabela1[[#This Row],[PESO EXPEDIDO2]]</f>
        <v>0</v>
      </c>
      <c r="AU543" s="37">
        <f t="shared" ca="1" si="108"/>
        <v>273.60000000000002</v>
      </c>
      <c r="AV543" s="37">
        <f t="shared" ca="1" si="109"/>
        <v>273.60000000000002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 ca="1"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 ca="1">Tabela1[[#This Row],[QTDE/ Fabricação]]-Tabela1[[#This Row],[QTE]]</f>
        <v>-12</v>
      </c>
      <c r="R544" s="18">
        <f t="shared" ca="1" si="104"/>
        <v>244.79999999999998</v>
      </c>
      <c r="S544" s="18">
        <f t="shared" ca="1" si="103"/>
        <v>244.79999999999998</v>
      </c>
      <c r="T544" s="19">
        <f t="shared" ca="1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 ca="1">IFERROR(COUNTIF(#REF!,Tabela1[[#This Row],[Colunas5]]),"")</f>
        <v/>
      </c>
      <c r="X544" s="14">
        <f ca="1">Tabela1[[#This Row],[QIANTIDADE EXPEDIDA]]*Tabela1[[#This Row],[PESO UNI]]</f>
        <v>244.79999999999998</v>
      </c>
      <c r="Y544" s="14">
        <f t="shared" ca="1" si="106"/>
        <v>0</v>
      </c>
      <c r="Z544" s="20">
        <f ca="1"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 ca="1">Tabela1[[#This Row],[Coluna1]]&amp;Tabela1[[#This Row],[PEDIDO]]</f>
        <v>P-190</v>
      </c>
      <c r="AL544"/>
      <c r="AM544"/>
      <c r="AN544"/>
      <c r="AO544" t="str">
        <f t="shared" ca="1" si="107"/>
        <v>P-024513-1/P190</v>
      </c>
      <c r="AP544" t="str">
        <f ca="1">Tabela1[[#This Row],[TAG]]&amp;Tabela1[[#This Row],[PEDIDO]]&amp;Tabela1[[#This Row],[PRODUTO]]</f>
        <v>P190P-190ESTRUTURA</v>
      </c>
      <c r="AQ544" s="22" t="str">
        <f ca="1">Tabela1[[#This Row],[PRODUTO]]&amp;Tabela1[[#This Row],[TAG]]</f>
        <v>ESTRUTURAP190</v>
      </c>
      <c r="AR544" s="24" t="str">
        <f ca="1">Tabela1[[#This Row],[PEDIDO]]&amp;Tabela1[[#This Row],[PRODUTO]]</f>
        <v>P-190ESTRUTURA</v>
      </c>
      <c r="AS544" s="37">
        <f ca="1">IF(AF544="",0,IF(ISTEXT(AF544),H544*VALUE(SUBSTITUTE(AF544,"%",""))/100,H544*AF544))-Tabela1[[#This Row],[PRONTO ACABADO2]]</f>
        <v>0</v>
      </c>
      <c r="AT544" s="37">
        <f ca="1">IF(AG544="",0,IF(ISTEXT(AG544),H544*VALUE(SUBSTITUTE(AG544,"%",""))/100,H544*AG544))-Tabela1[[#This Row],[PESO EXPEDIDO2]]</f>
        <v>0</v>
      </c>
      <c r="AU544" s="37">
        <f t="shared" ca="1" si="108"/>
        <v>244.79999999999998</v>
      </c>
      <c r="AV544" s="37">
        <f t="shared" ca="1" si="109"/>
        <v>244.79999999999998</v>
      </c>
      <c r="AW544" s="37"/>
    </row>
    <row r="545" spans="1:49" ht="15.75" hidden="1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 ca="1"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 ca="1">Tabela1[[#This Row],[QTDE/ Fabricação]]-Tabela1[[#This Row],[QTE]]</f>
        <v>-1</v>
      </c>
      <c r="R545" s="18">
        <f t="shared" ca="1" si="104"/>
        <v>961</v>
      </c>
      <c r="S545" s="18">
        <f t="shared" ca="1" si="103"/>
        <v>961</v>
      </c>
      <c r="T545" s="19">
        <f t="shared" ca="1" si="105"/>
        <v>0</v>
      </c>
      <c r="U545" s="16">
        <f>IFERROR(SUMIF('LISTA DE EMBARQUE'!B:B,MICRO!E:E,'LISTA DE EMBARQUE'!G:G),"")</f>
        <v>1</v>
      </c>
      <c r="V545" s="12">
        <f ca="1">IFERROR(VLOOKUP(Tabela1[[#This Row],[COD.MDE]],'LISTA DE EMBARQUE'!B:L,11,0),"")</f>
        <v>3</v>
      </c>
      <c r="W545" s="13" t="str">
        <f ca="1">IFERROR(COUNTIF(#REF!,Tabela1[[#This Row],[Colunas5]]),"")</f>
        <v/>
      </c>
      <c r="X545" s="14">
        <f ca="1">Tabela1[[#This Row],[QIANTIDADE EXPEDIDA]]*Tabela1[[#This Row],[PESO UNI]]</f>
        <v>961</v>
      </c>
      <c r="Y545" s="14">
        <f t="shared" ca="1" si="106"/>
        <v>0</v>
      </c>
      <c r="Z545" s="20">
        <f ca="1"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 ca="1">Tabela1[[#This Row],[Coluna1]]&amp;Tabela1[[#This Row],[PEDIDO]]</f>
        <v>P-190</v>
      </c>
      <c r="AL545"/>
      <c r="AM545"/>
      <c r="AN545"/>
      <c r="AO545" t="str">
        <f t="shared" ca="1" si="107"/>
        <v>P-024512-1/P190</v>
      </c>
      <c r="AP545" t="str">
        <f ca="1">Tabela1[[#This Row],[TAG]]&amp;Tabela1[[#This Row],[PEDIDO]]&amp;Tabela1[[#This Row],[PRODUTO]]</f>
        <v>P190P-190ESTRUTURA</v>
      </c>
      <c r="AQ545" s="22" t="str">
        <f ca="1">Tabela1[[#This Row],[PRODUTO]]&amp;Tabela1[[#This Row],[TAG]]</f>
        <v>ESTRUTURAP190</v>
      </c>
      <c r="AR545" s="24" t="str">
        <f ca="1">Tabela1[[#This Row],[PEDIDO]]&amp;Tabela1[[#This Row],[PRODUTO]]</f>
        <v>P-190ESTRUTURA</v>
      </c>
      <c r="AS545" s="37">
        <f ca="1">IF(AF545="",0,IF(ISTEXT(AF545),H545*VALUE(SUBSTITUTE(AF545,"%",""))/100,H545*AF545))-Tabela1[[#This Row],[PRONTO ACABADO2]]</f>
        <v>0</v>
      </c>
      <c r="AT545" s="37">
        <f ca="1">IF(AG545="",0,IF(ISTEXT(AG545),H545*VALUE(SUBSTITUTE(AG545,"%",""))/100,H545*AG545))-Tabela1[[#This Row],[PESO EXPEDIDO2]]</f>
        <v>0</v>
      </c>
      <c r="AU545" s="37">
        <f t="shared" ca="1" si="108"/>
        <v>961</v>
      </c>
      <c r="AV545" s="37">
        <f t="shared" ca="1" si="109"/>
        <v>961</v>
      </c>
      <c r="AW545" s="37"/>
    </row>
    <row r="546" spans="1:49" ht="15.75" hidden="1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 ca="1"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 ca="1">Tabela1[[#This Row],[QTDE/ Fabricação]]-Tabela1[[#This Row],[QTE]]</f>
        <v>-4</v>
      </c>
      <c r="R546" s="18">
        <f t="shared" ca="1" si="104"/>
        <v>27.2</v>
      </c>
      <c r="S546" s="18">
        <f t="shared" ca="1" si="103"/>
        <v>27.2</v>
      </c>
      <c r="T546" s="19">
        <f t="shared" ca="1" si="105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 ca="1">IFERROR(COUNTIF(#REF!,Tabela1[[#This Row],[Colunas5]]),"")</f>
        <v/>
      </c>
      <c r="X546" s="14">
        <f ca="1">Tabela1[[#This Row],[QIANTIDADE EXPEDIDA]]*Tabela1[[#This Row],[PESO UNI]]</f>
        <v>27.2</v>
      </c>
      <c r="Y546" s="14">
        <f t="shared" ca="1" si="106"/>
        <v>0</v>
      </c>
      <c r="Z546" s="20">
        <f ca="1"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 ca="1">Tabela1[[#This Row],[Coluna1]]&amp;Tabela1[[#This Row],[PEDIDO]]</f>
        <v>P-190</v>
      </c>
      <c r="AL546"/>
      <c r="AM546"/>
      <c r="AN546"/>
      <c r="AO546" t="str">
        <f t="shared" ca="1" si="107"/>
        <v>P-024512-1/P190</v>
      </c>
      <c r="AP546" t="str">
        <f ca="1">Tabela1[[#This Row],[TAG]]&amp;Tabela1[[#This Row],[PEDIDO]]&amp;Tabela1[[#This Row],[PRODUTO]]</f>
        <v>P190P-190ESTRUTURA</v>
      </c>
      <c r="AQ546" s="22" t="str">
        <f ca="1">Tabela1[[#This Row],[PRODUTO]]&amp;Tabela1[[#This Row],[TAG]]</f>
        <v>ESTRUTURAP190</v>
      </c>
      <c r="AR546" s="24" t="str">
        <f ca="1">Tabela1[[#This Row],[PEDIDO]]&amp;Tabela1[[#This Row],[PRODUTO]]</f>
        <v>P-190ESTRUTURA</v>
      </c>
      <c r="AS546" s="37">
        <f ca="1">IF(AF546="",0,IF(ISTEXT(AF546),H546*VALUE(SUBSTITUTE(AF546,"%",""))/100,H546*AF546))-Tabela1[[#This Row],[PRONTO ACABADO2]]</f>
        <v>0</v>
      </c>
      <c r="AT546" s="37">
        <f ca="1">IF(AG546="",0,IF(ISTEXT(AG546),H546*VALUE(SUBSTITUTE(AG546,"%",""))/100,H546*AG546))-Tabela1[[#This Row],[PESO EXPEDIDO2]]</f>
        <v>0</v>
      </c>
      <c r="AU546" s="37">
        <f t="shared" ca="1" si="108"/>
        <v>27.2</v>
      </c>
      <c r="AV546" s="37">
        <f t="shared" ca="1" si="109"/>
        <v>27.2</v>
      </c>
      <c r="AW546" s="37"/>
    </row>
    <row r="547" spans="1:49" ht="15.75" hidden="1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 ca="1"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 ca="1">Tabela1[[#This Row],[QTDE/ Fabricação]]-Tabela1[[#This Row],[QTE]]</f>
        <v>-12</v>
      </c>
      <c r="R547" s="18">
        <f t="shared" ca="1" si="104"/>
        <v>273.60000000000002</v>
      </c>
      <c r="S547" s="18">
        <f t="shared" ca="1" si="103"/>
        <v>273.60000000000002</v>
      </c>
      <c r="T547" s="19">
        <f t="shared" ca="1" si="105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 ca="1">IFERROR(COUNTIF(#REF!,Tabela1[[#This Row],[Colunas5]]),"")</f>
        <v/>
      </c>
      <c r="X547" s="14">
        <f ca="1">Tabela1[[#This Row],[QIANTIDADE EXPEDIDA]]*Tabela1[[#This Row],[PESO UNI]]</f>
        <v>273.60000000000002</v>
      </c>
      <c r="Y547" s="14">
        <f t="shared" ca="1" si="106"/>
        <v>0</v>
      </c>
      <c r="Z547" s="20">
        <f ca="1"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 ca="1">Tabela1[[#This Row],[Coluna1]]&amp;Tabela1[[#This Row],[PEDIDO]]</f>
        <v>P-190</v>
      </c>
      <c r="AL547"/>
      <c r="AM547"/>
      <c r="AN547"/>
      <c r="AO547" t="str">
        <f t="shared" ca="1" si="107"/>
        <v>P-024512-1/P190</v>
      </c>
      <c r="AP547" t="str">
        <f ca="1">Tabela1[[#This Row],[TAG]]&amp;Tabela1[[#This Row],[PEDIDO]]&amp;Tabela1[[#This Row],[PRODUTO]]</f>
        <v>P190P-190ESTRUTURA</v>
      </c>
      <c r="AQ547" s="22" t="str">
        <f ca="1">Tabela1[[#This Row],[PRODUTO]]&amp;Tabela1[[#This Row],[TAG]]</f>
        <v>ESTRUTURAP190</v>
      </c>
      <c r="AR547" s="24" t="str">
        <f ca="1">Tabela1[[#This Row],[PEDIDO]]&amp;Tabela1[[#This Row],[PRODUTO]]</f>
        <v>P-190ESTRUTURA</v>
      </c>
      <c r="AS547" s="37">
        <f ca="1">IF(AF547="",0,IF(ISTEXT(AF547),H547*VALUE(SUBSTITUTE(AF547,"%",""))/100,H547*AF547))-Tabela1[[#This Row],[PRONTO ACABADO2]]</f>
        <v>0</v>
      </c>
      <c r="AT547" s="37">
        <f ca="1">IF(AG547="",0,IF(ISTEXT(AG547),H547*VALUE(SUBSTITUTE(AG547,"%",""))/100,H547*AG547))-Tabela1[[#This Row],[PESO EXPEDIDO2]]</f>
        <v>0</v>
      </c>
      <c r="AU547" s="37">
        <f t="shared" ca="1" si="108"/>
        <v>273.60000000000002</v>
      </c>
      <c r="AV547" s="37">
        <f t="shared" ca="1" si="109"/>
        <v>273.60000000000002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 ca="1"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 ca="1">Tabela1[[#This Row],[QTDE/ Fabricação]]-Tabela1[[#This Row],[QTE]]</f>
        <v>-12</v>
      </c>
      <c r="R548" s="18">
        <f t="shared" ca="1" si="104"/>
        <v>288</v>
      </c>
      <c r="S548" s="18">
        <f t="shared" ca="1" si="103"/>
        <v>288</v>
      </c>
      <c r="T548" s="19">
        <f t="shared" ca="1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 ca="1">IFERROR(COUNTIF(#REF!,Tabela1[[#This Row],[Colunas5]]),"")</f>
        <v/>
      </c>
      <c r="X548" s="14">
        <f ca="1">Tabela1[[#This Row],[QIANTIDADE EXPEDIDA]]*Tabela1[[#This Row],[PESO UNI]]</f>
        <v>288</v>
      </c>
      <c r="Y548" s="14">
        <f t="shared" ca="1" si="106"/>
        <v>0</v>
      </c>
      <c r="Z548" s="20">
        <f ca="1"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 ca="1">Tabela1[[#This Row],[Coluna1]]&amp;Tabela1[[#This Row],[PEDIDO]]</f>
        <v>P-190</v>
      </c>
      <c r="AL548"/>
      <c r="AM548"/>
      <c r="AN548"/>
      <c r="AO548" t="str">
        <f t="shared" ca="1" si="107"/>
        <v>P-024512-1/P190</v>
      </c>
      <c r="AP548" t="str">
        <f ca="1">Tabela1[[#This Row],[TAG]]&amp;Tabela1[[#This Row],[PEDIDO]]&amp;Tabela1[[#This Row],[PRODUTO]]</f>
        <v>P190P-190ESTRUTURA</v>
      </c>
      <c r="AQ548" s="22" t="str">
        <f ca="1">Tabela1[[#This Row],[PRODUTO]]&amp;Tabela1[[#This Row],[TAG]]</f>
        <v>ESTRUTURAP190</v>
      </c>
      <c r="AR548" s="24" t="str">
        <f ca="1">Tabela1[[#This Row],[PEDIDO]]&amp;Tabela1[[#This Row],[PRODUTO]]</f>
        <v>P-190ESTRUTURA</v>
      </c>
      <c r="AS548" s="37">
        <f ca="1">IF(AF548="",0,IF(ISTEXT(AF548),H548*VALUE(SUBSTITUTE(AF548,"%",""))/100,H548*AF548))-Tabela1[[#This Row],[PRONTO ACABADO2]]</f>
        <v>0</v>
      </c>
      <c r="AT548" s="37">
        <f ca="1">IF(AG548="",0,IF(ISTEXT(AG548),H548*VALUE(SUBSTITUTE(AG548,"%",""))/100,H548*AG548))-Tabela1[[#This Row],[PESO EXPEDIDO2]]</f>
        <v>0</v>
      </c>
      <c r="AU548" s="37">
        <f t="shared" ca="1" si="108"/>
        <v>288</v>
      </c>
      <c r="AV548" s="37">
        <f t="shared" ca="1" si="109"/>
        <v>288</v>
      </c>
      <c r="AW548" s="37"/>
    </row>
    <row r="549" spans="1:49" ht="15.75" hidden="1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 ca="1"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 ca="1">Tabela1[[#This Row],[QTDE/ Fabricação]]-Tabela1[[#This Row],[QTE]]</f>
        <v>-2</v>
      </c>
      <c r="R549" s="18">
        <f t="shared" ca="1" si="104"/>
        <v>3797.4</v>
      </c>
      <c r="S549" s="18">
        <f t="shared" ca="1" si="103"/>
        <v>3797.4</v>
      </c>
      <c r="T549" s="19">
        <f t="shared" ca="1" si="105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 ca="1">IFERROR(COUNTIF(#REF!,Tabela1[[#This Row],[Colunas5]]),"")</f>
        <v/>
      </c>
      <c r="X549" s="14">
        <f ca="1">Tabela1[[#This Row],[QIANTIDADE EXPEDIDA]]*Tabela1[[#This Row],[PESO UNI]]</f>
        <v>3797.4</v>
      </c>
      <c r="Y549" s="14">
        <f t="shared" ca="1" si="106"/>
        <v>0</v>
      </c>
      <c r="Z549" s="20">
        <f ca="1"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 ca="1">Tabela1[[#This Row],[Coluna1]]&amp;Tabela1[[#This Row],[PEDIDO]]</f>
        <v>P-190</v>
      </c>
      <c r="AL549"/>
      <c r="AM549"/>
      <c r="AN549"/>
      <c r="AO549" t="str">
        <f t="shared" ca="1" si="107"/>
        <v>P-024511-1/P190</v>
      </c>
      <c r="AP549" t="str">
        <f ca="1">Tabela1[[#This Row],[TAG]]&amp;Tabela1[[#This Row],[PEDIDO]]&amp;Tabela1[[#This Row],[PRODUTO]]</f>
        <v>P190P-190ESTRUTURA</v>
      </c>
      <c r="AQ549" s="22" t="str">
        <f ca="1">Tabela1[[#This Row],[PRODUTO]]&amp;Tabela1[[#This Row],[TAG]]</f>
        <v>ESTRUTURAP190</v>
      </c>
      <c r="AR549" s="24" t="str">
        <f ca="1">Tabela1[[#This Row],[PEDIDO]]&amp;Tabela1[[#This Row],[PRODUTO]]</f>
        <v>P-190ESTRUTURA</v>
      </c>
      <c r="AS549" s="37">
        <f ca="1">IF(AF549="",0,IF(ISTEXT(AF549),H549*VALUE(SUBSTITUTE(AF549,"%",""))/100,H549*AF549))-Tabela1[[#This Row],[PRONTO ACABADO2]]</f>
        <v>0</v>
      </c>
      <c r="AT549" s="37">
        <f ca="1">IF(AG549="",0,IF(ISTEXT(AG549),H549*VALUE(SUBSTITUTE(AG549,"%",""))/100,H549*AG549))-Tabela1[[#This Row],[PESO EXPEDIDO2]]</f>
        <v>0</v>
      </c>
      <c r="AU549" s="37">
        <f t="shared" ca="1" si="108"/>
        <v>3797.4</v>
      </c>
      <c r="AV549" s="37">
        <f t="shared" ca="1" si="109"/>
        <v>3797.4</v>
      </c>
      <c r="AW549" s="37"/>
    </row>
    <row r="550" spans="1:49" ht="15.75" hidden="1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 ca="1"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 ca="1">Tabela1[[#This Row],[QTDE/ Fabricação]]-Tabela1[[#This Row],[QTE]]</f>
        <v>-1</v>
      </c>
      <c r="R550" s="18">
        <f t="shared" ca="1" si="104"/>
        <v>13</v>
      </c>
      <c r="S550" s="18">
        <f t="shared" ca="1" si="103"/>
        <v>13</v>
      </c>
      <c r="T550" s="19">
        <f t="shared" ca="1" si="105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 ca="1">IFERROR(COUNTIF(#REF!,Tabela1[[#This Row],[Colunas5]]),"")</f>
        <v/>
      </c>
      <c r="X550" s="14">
        <f ca="1">Tabela1[[#This Row],[QIANTIDADE EXPEDIDA]]*Tabela1[[#This Row],[PESO UNI]]</f>
        <v>13</v>
      </c>
      <c r="Y550" s="14">
        <f t="shared" ca="1" si="106"/>
        <v>0</v>
      </c>
      <c r="Z550" s="20">
        <f ca="1"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 ca="1">Tabela1[[#This Row],[Coluna1]]&amp;Tabela1[[#This Row],[PEDIDO]]</f>
        <v>P-190</v>
      </c>
      <c r="AL550"/>
      <c r="AM550"/>
      <c r="AN550"/>
      <c r="AO550" t="str">
        <f t="shared" ca="1" si="107"/>
        <v>P-073081-1/P190</v>
      </c>
      <c r="AP550" t="str">
        <f ca="1">Tabela1[[#This Row],[TAG]]&amp;Tabela1[[#This Row],[PEDIDO]]&amp;Tabela1[[#This Row],[PRODUTO]]</f>
        <v>P190P-190ESTRUTURA</v>
      </c>
      <c r="AQ550" s="22" t="str">
        <f ca="1">Tabela1[[#This Row],[PRODUTO]]&amp;Tabela1[[#This Row],[TAG]]</f>
        <v>ESTRUTURAP190</v>
      </c>
      <c r="AR550" s="24" t="str">
        <f ca="1">Tabela1[[#This Row],[PEDIDO]]&amp;Tabela1[[#This Row],[PRODUTO]]</f>
        <v>P-190ESTRUTURA</v>
      </c>
      <c r="AS550" s="37">
        <f ca="1">IF(AF550="",0,IF(ISTEXT(AF550),H550*VALUE(SUBSTITUTE(AF550,"%",""))/100,H550*AF550))-Tabela1[[#This Row],[PRONTO ACABADO2]]</f>
        <v>0</v>
      </c>
      <c r="AT550" s="37">
        <f ca="1">IF(AG550="",0,IF(ISTEXT(AG550),H550*VALUE(SUBSTITUTE(AG550,"%",""))/100,H550*AG550))-Tabela1[[#This Row],[PESO EXPEDIDO2]]</f>
        <v>0</v>
      </c>
      <c r="AU550" s="37">
        <f t="shared" ca="1" si="108"/>
        <v>13</v>
      </c>
      <c r="AV550" s="37">
        <f t="shared" ca="1" si="109"/>
        <v>13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 ca="1"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 ca="1">Tabela1[[#This Row],[QTDE/ Fabricação]]-Tabela1[[#This Row],[QTE]]</f>
        <v>-1</v>
      </c>
      <c r="R551" s="18">
        <f t="shared" ca="1" si="104"/>
        <v>13</v>
      </c>
      <c r="S551" s="18">
        <f t="shared" ca="1" si="103"/>
        <v>13</v>
      </c>
      <c r="T551" s="19">
        <f t="shared" ca="1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 ca="1">IFERROR(COUNTIF(#REF!,Tabela1[[#This Row],[Colunas5]]),"")</f>
        <v/>
      </c>
      <c r="X551" s="14">
        <f ca="1">Tabela1[[#This Row],[QIANTIDADE EXPEDIDA]]*Tabela1[[#This Row],[PESO UNI]]</f>
        <v>13</v>
      </c>
      <c r="Y551" s="14">
        <f t="shared" ca="1" si="106"/>
        <v>0</v>
      </c>
      <c r="Z551" s="20">
        <f ca="1"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 ca="1">Tabela1[[#This Row],[Coluna1]]&amp;Tabela1[[#This Row],[PEDIDO]]</f>
        <v>P-190</v>
      </c>
      <c r="AL551"/>
      <c r="AM551"/>
      <c r="AN551"/>
      <c r="AO551" t="str">
        <f t="shared" ca="1" si="107"/>
        <v>P-073081-1/P190</v>
      </c>
      <c r="AP551" t="str">
        <f ca="1">Tabela1[[#This Row],[TAG]]&amp;Tabela1[[#This Row],[PEDIDO]]&amp;Tabela1[[#This Row],[PRODUTO]]</f>
        <v>P190P-190ESTRUTURA</v>
      </c>
      <c r="AQ551" s="22" t="str">
        <f ca="1">Tabela1[[#This Row],[PRODUTO]]&amp;Tabela1[[#This Row],[TAG]]</f>
        <v>ESTRUTURAP190</v>
      </c>
      <c r="AR551" s="24" t="str">
        <f ca="1">Tabela1[[#This Row],[PEDIDO]]&amp;Tabela1[[#This Row],[PRODUTO]]</f>
        <v>P-190ESTRUTURA</v>
      </c>
      <c r="AS551" s="37">
        <f ca="1">IF(AF551="",0,IF(ISTEXT(AF551),H551*VALUE(SUBSTITUTE(AF551,"%",""))/100,H551*AF551))-Tabela1[[#This Row],[PRONTO ACABADO2]]</f>
        <v>0</v>
      </c>
      <c r="AT551" s="37">
        <f ca="1">IF(AG551="",0,IF(ISTEXT(AG551),H551*VALUE(SUBSTITUTE(AG551,"%",""))/100,H551*AG551))-Tabela1[[#This Row],[PESO EXPEDIDO2]]</f>
        <v>0</v>
      </c>
      <c r="AU551" s="37">
        <f t="shared" ca="1" si="108"/>
        <v>13</v>
      </c>
      <c r="AV551" s="37">
        <f t="shared" ca="1" si="109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 ca="1"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 ca="1">Tabela1[[#This Row],[QTDE/ Fabricação]]-Tabela1[[#This Row],[QTE]]</f>
        <v>-1</v>
      </c>
      <c r="R552" s="18">
        <f t="shared" ca="1" si="104"/>
        <v>6</v>
      </c>
      <c r="S552" s="18">
        <f t="shared" ca="1" si="103"/>
        <v>6</v>
      </c>
      <c r="T552" s="19">
        <f t="shared" ca="1" si="105"/>
        <v>0</v>
      </c>
      <c r="U552" s="16">
        <v>1</v>
      </c>
      <c r="V552" s="12" t="str">
        <f ca="1">IFERROR(VLOOKUP(Tabela1[[#This Row],[COD.MDE]],'LISTA DE EMBARQUE'!B:L,11,0),"")</f>
        <v/>
      </c>
      <c r="W552" s="13" t="str">
        <f ca="1">IFERROR(COUNTIF(#REF!,Tabela1[[#This Row],[Colunas5]]),"")</f>
        <v/>
      </c>
      <c r="X552" s="14">
        <f ca="1">Tabela1[[#This Row],[QIANTIDADE EXPEDIDA]]*Tabela1[[#This Row],[PESO UNI]]</f>
        <v>6</v>
      </c>
      <c r="Y552" s="14">
        <f t="shared" ca="1" si="106"/>
        <v>0</v>
      </c>
      <c r="Z552" s="20">
        <f ca="1"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 ca="1">Tabela1[[#This Row],[Coluna1]]&amp;Tabela1[[#This Row],[PEDIDO]]</f>
        <v>P-190</v>
      </c>
      <c r="AL552"/>
      <c r="AM552"/>
      <c r="AN552"/>
      <c r="AO552" t="str">
        <f t="shared" ca="1" si="107"/>
        <v>P-073081-1/P190</v>
      </c>
      <c r="AP552" t="str">
        <f ca="1">Tabela1[[#This Row],[TAG]]&amp;Tabela1[[#This Row],[PEDIDO]]&amp;Tabela1[[#This Row],[PRODUTO]]</f>
        <v>P190P-190ESTRUTURA</v>
      </c>
      <c r="AQ552" s="22" t="str">
        <f ca="1">Tabela1[[#This Row],[PRODUTO]]&amp;Tabela1[[#This Row],[TAG]]</f>
        <v>ESTRUTURAP190</v>
      </c>
      <c r="AR552" s="24" t="str">
        <f ca="1">Tabela1[[#This Row],[PEDIDO]]&amp;Tabela1[[#This Row],[PRODUTO]]</f>
        <v>P-190ESTRUTURA</v>
      </c>
      <c r="AS552" s="37">
        <f ca="1">IF(AF552="",0,IF(ISTEXT(AF552),H552*VALUE(SUBSTITUTE(AF552,"%",""))/100,H552*AF552))-Tabela1[[#This Row],[PRONTO ACABADO2]]</f>
        <v>0</v>
      </c>
      <c r="AT552" s="37">
        <f ca="1">IF(AG552="",0,IF(ISTEXT(AG552),H552*VALUE(SUBSTITUTE(AG552,"%",""))/100,H552*AG552))-Tabela1[[#This Row],[PESO EXPEDIDO2]]</f>
        <v>0</v>
      </c>
      <c r="AU552" s="37">
        <f t="shared" ca="1" si="108"/>
        <v>6</v>
      </c>
      <c r="AV552" s="37">
        <f t="shared" ca="1" si="109"/>
        <v>6</v>
      </c>
      <c r="AW552" s="37"/>
    </row>
    <row r="553" spans="1:49" ht="15.75" hidden="1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 ca="1"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 ca="1">Tabela1[[#This Row],[QTDE/ Fabricação]]-Tabela1[[#This Row],[QTE]]</f>
        <v>-1</v>
      </c>
      <c r="R553" s="18">
        <f t="shared" ca="1" si="104"/>
        <v>192.3</v>
      </c>
      <c r="S553" s="18">
        <f t="shared" ca="1" si="103"/>
        <v>192.3</v>
      </c>
      <c r="T553" s="19">
        <f t="shared" ca="1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 ca="1">IFERROR(COUNTIF(#REF!,Tabela1[[#This Row],[Colunas5]]),"")</f>
        <v/>
      </c>
      <c r="X553" s="14">
        <f ca="1">Tabela1[[#This Row],[QIANTIDADE EXPEDIDA]]*Tabela1[[#This Row],[PESO UNI]]</f>
        <v>192.3</v>
      </c>
      <c r="Y553" s="14">
        <f t="shared" ca="1" si="106"/>
        <v>0</v>
      </c>
      <c r="Z553" s="20">
        <f ca="1"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 ca="1">Tabela1[[#This Row],[Coluna1]]&amp;Tabela1[[#This Row],[PEDIDO]]</f>
        <v>P-190</v>
      </c>
      <c r="AL553"/>
      <c r="AM553"/>
      <c r="AN553"/>
      <c r="AO553" t="str">
        <f t="shared" ca="1" si="107"/>
        <v>P-024507-1/P190</v>
      </c>
      <c r="AP553" t="str">
        <f ca="1">Tabela1[[#This Row],[TAG]]&amp;Tabela1[[#This Row],[PEDIDO]]&amp;Tabela1[[#This Row],[PRODUTO]]</f>
        <v>P190P-190TECMETAL</v>
      </c>
      <c r="AQ553" s="22" t="str">
        <f ca="1">Tabela1[[#This Row],[PRODUTO]]&amp;Tabela1[[#This Row],[TAG]]</f>
        <v>TECMETALP190</v>
      </c>
      <c r="AR553" s="24" t="str">
        <f ca="1">Tabela1[[#This Row],[PEDIDO]]&amp;Tabela1[[#This Row],[PRODUTO]]</f>
        <v>P-190TECMETAL</v>
      </c>
      <c r="AS553" s="37">
        <f ca="1">IF(AF553="",0,IF(ISTEXT(AF553),H553*VALUE(SUBSTITUTE(AF553,"%",""))/100,H553*AF553))-Tabela1[[#This Row],[PRONTO ACABADO2]]</f>
        <v>0</v>
      </c>
      <c r="AT553" s="37">
        <f ca="1">IF(AG553="",0,IF(ISTEXT(AG553),H553*VALUE(SUBSTITUTE(AG553,"%",""))/100,H553*AG553))-Tabela1[[#This Row],[PESO EXPEDIDO2]]</f>
        <v>0</v>
      </c>
      <c r="AU553" s="37">
        <f t="shared" ca="1" si="108"/>
        <v>192.3</v>
      </c>
      <c r="AV553" s="37">
        <f t="shared" ca="1" si="109"/>
        <v>192.3</v>
      </c>
      <c r="AW553" s="37"/>
    </row>
    <row r="554" spans="1:49" ht="15.75" hidden="1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 ca="1"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 ca="1">Tabela1[[#This Row],[QTDE/ Fabricação]]-Tabela1[[#This Row],[QTE]]</f>
        <v>-1</v>
      </c>
      <c r="R554" s="18">
        <f t="shared" ca="1" si="104"/>
        <v>4</v>
      </c>
      <c r="S554" s="18">
        <f t="shared" ca="1" si="103"/>
        <v>4</v>
      </c>
      <c r="T554" s="19">
        <f t="shared" ca="1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 ca="1">IFERROR(COUNTIF(#REF!,Tabela1[[#This Row],[Colunas5]]),"")</f>
        <v/>
      </c>
      <c r="X554" s="14">
        <f ca="1">Tabela1[[#This Row],[QIANTIDADE EXPEDIDA]]*Tabela1[[#This Row],[PESO UNI]]</f>
        <v>4</v>
      </c>
      <c r="Y554" s="14">
        <f t="shared" ca="1" si="106"/>
        <v>0</v>
      </c>
      <c r="Z554" s="20">
        <f ca="1"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 ca="1">Tabela1[[#This Row],[Coluna1]]&amp;Tabela1[[#This Row],[PEDIDO]]</f>
        <v>P-190</v>
      </c>
      <c r="AL554"/>
      <c r="AM554"/>
      <c r="AN554"/>
      <c r="AO554" t="str">
        <f t="shared" ca="1" si="107"/>
        <v>P-024507-1/P190</v>
      </c>
      <c r="AP554" t="str">
        <f ca="1">Tabela1[[#This Row],[TAG]]&amp;Tabela1[[#This Row],[PEDIDO]]&amp;Tabela1[[#This Row],[PRODUTO]]</f>
        <v>P190P-190TECMETAL</v>
      </c>
      <c r="AQ554" s="22" t="str">
        <f ca="1">Tabela1[[#This Row],[PRODUTO]]&amp;Tabela1[[#This Row],[TAG]]</f>
        <v>TECMETALP190</v>
      </c>
      <c r="AR554" s="24" t="str">
        <f ca="1">Tabela1[[#This Row],[PEDIDO]]&amp;Tabela1[[#This Row],[PRODUTO]]</f>
        <v>P-190TECMETAL</v>
      </c>
      <c r="AS554" s="37">
        <f ca="1">IF(AF554="",0,IF(ISTEXT(AF554),H554*VALUE(SUBSTITUTE(AF554,"%",""))/100,H554*AF554))-Tabela1[[#This Row],[PRONTO ACABADO2]]</f>
        <v>0</v>
      </c>
      <c r="AT554" s="37">
        <f ca="1">IF(AG554="",0,IF(ISTEXT(AG554),H554*VALUE(SUBSTITUTE(AG554,"%",""))/100,H554*AG554))-Tabela1[[#This Row],[PESO EXPEDIDO2]]</f>
        <v>0</v>
      </c>
      <c r="AU554" s="37">
        <f t="shared" ca="1" si="108"/>
        <v>4</v>
      </c>
      <c r="AV554" s="37">
        <f t="shared" ca="1" si="109"/>
        <v>4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 ca="1"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 ca="1">Tabela1[[#This Row],[QTDE/ Fabricação]]-Tabela1[[#This Row],[QTE]]</f>
        <v>-1</v>
      </c>
      <c r="R555" s="18">
        <f t="shared" ca="1" si="104"/>
        <v>4</v>
      </c>
      <c r="S555" s="18">
        <f t="shared" ca="1" si="103"/>
        <v>4</v>
      </c>
      <c r="T555" s="19">
        <f t="shared" ca="1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 ca="1">IFERROR(COUNTIF(#REF!,Tabela1[[#This Row],[Colunas5]]),"")</f>
        <v/>
      </c>
      <c r="X555" s="14">
        <f ca="1">Tabela1[[#This Row],[QIANTIDADE EXPEDIDA]]*Tabela1[[#This Row],[PESO UNI]]</f>
        <v>4</v>
      </c>
      <c r="Y555" s="14">
        <f t="shared" ca="1" si="106"/>
        <v>0</v>
      </c>
      <c r="Z555" s="20">
        <f ca="1"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 ca="1">Tabela1[[#This Row],[Coluna1]]&amp;Tabela1[[#This Row],[PEDIDO]]</f>
        <v>P-190</v>
      </c>
      <c r="AL555"/>
      <c r="AM555"/>
      <c r="AN555"/>
      <c r="AO555" t="str">
        <f t="shared" ca="1" si="107"/>
        <v>P-024507-1/P190</v>
      </c>
      <c r="AP555" t="str">
        <f ca="1">Tabela1[[#This Row],[TAG]]&amp;Tabela1[[#This Row],[PEDIDO]]&amp;Tabela1[[#This Row],[PRODUTO]]</f>
        <v>P190P-190TECMETAL</v>
      </c>
      <c r="AQ555" s="22" t="str">
        <f ca="1">Tabela1[[#This Row],[PRODUTO]]&amp;Tabela1[[#This Row],[TAG]]</f>
        <v>TECMETALP190</v>
      </c>
      <c r="AR555" s="24" t="str">
        <f ca="1">Tabela1[[#This Row],[PEDIDO]]&amp;Tabela1[[#This Row],[PRODUTO]]</f>
        <v>P-190TECMETAL</v>
      </c>
      <c r="AS555" s="37">
        <f ca="1">IF(AF555="",0,IF(ISTEXT(AF555),H555*VALUE(SUBSTITUTE(AF555,"%",""))/100,H555*AF555))-Tabela1[[#This Row],[PRONTO ACABADO2]]</f>
        <v>0</v>
      </c>
      <c r="AT555" s="37">
        <f ca="1">IF(AG555="",0,IF(ISTEXT(AG555),H555*VALUE(SUBSTITUTE(AG555,"%",""))/100,H555*AG555))-Tabela1[[#This Row],[PESO EXPEDIDO2]]</f>
        <v>0</v>
      </c>
      <c r="AU555" s="37">
        <f t="shared" ca="1" si="108"/>
        <v>4</v>
      </c>
      <c r="AV555" s="37">
        <f t="shared" ca="1" si="109"/>
        <v>4</v>
      </c>
      <c r="AW555" s="37"/>
    </row>
    <row r="556" spans="1:49" ht="15.75" hidden="1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 ca="1"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 ca="1">Tabela1[[#This Row],[QTDE/ Fabricação]]-Tabela1[[#This Row],[QTE]]</f>
        <v>-2</v>
      </c>
      <c r="R556" s="18">
        <f t="shared" ca="1" si="104"/>
        <v>90</v>
      </c>
      <c r="S556" s="18">
        <f t="shared" ca="1" si="103"/>
        <v>90</v>
      </c>
      <c r="T556" s="19">
        <f t="shared" ca="1" si="105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 ca="1">IFERROR(COUNTIF(#REF!,Tabela1[[#This Row],[Colunas5]]),"")</f>
        <v/>
      </c>
      <c r="X556" s="14">
        <f ca="1">Tabela1[[#This Row],[QIANTIDADE EXPEDIDA]]*Tabela1[[#This Row],[PESO UNI]]</f>
        <v>90</v>
      </c>
      <c r="Y556" s="14">
        <f t="shared" ca="1" si="106"/>
        <v>0</v>
      </c>
      <c r="Z556" s="20">
        <f ca="1"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 ca="1">Tabela1[[#This Row],[Coluna1]]&amp;Tabela1[[#This Row],[PEDIDO]]</f>
        <v>P-190</v>
      </c>
      <c r="AL556"/>
      <c r="AM556"/>
      <c r="AN556"/>
      <c r="AO556" t="str">
        <f t="shared" ca="1" si="107"/>
        <v>P-073057/P190</v>
      </c>
      <c r="AP556" t="str">
        <f ca="1">Tabela1[[#This Row],[TAG]]&amp;Tabela1[[#This Row],[PEDIDO]]&amp;Tabela1[[#This Row],[PRODUTO]]</f>
        <v>P190P-190COMERCIAL</v>
      </c>
      <c r="AQ556" s="22" t="str">
        <f ca="1">Tabela1[[#This Row],[PRODUTO]]&amp;Tabela1[[#This Row],[TAG]]</f>
        <v>COMERCIALP190</v>
      </c>
      <c r="AR556" s="24" t="str">
        <f ca="1">Tabela1[[#This Row],[PEDIDO]]&amp;Tabela1[[#This Row],[PRODUTO]]</f>
        <v>P-190COMERCIAL</v>
      </c>
      <c r="AS556" s="37">
        <f ca="1">IF(AF556="",0,IF(ISTEXT(AF556),H556*VALUE(SUBSTITUTE(AF556,"%",""))/100,H556*AF556))-Tabela1[[#This Row],[PRONTO ACABADO2]]</f>
        <v>0</v>
      </c>
      <c r="AT556" s="37">
        <f ca="1">IF(AG556="",0,IF(ISTEXT(AG556),H556*VALUE(SUBSTITUTE(AG556,"%",""))/100,H556*AG556))-Tabela1[[#This Row],[PESO EXPEDIDO2]]</f>
        <v>0</v>
      </c>
      <c r="AU556" s="37">
        <f t="shared" ca="1" si="108"/>
        <v>90</v>
      </c>
      <c r="AV556" s="37">
        <f t="shared" ca="1" si="109"/>
        <v>90</v>
      </c>
      <c r="AW556" s="37"/>
    </row>
    <row r="557" spans="1:49" ht="15.75" hidden="1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 ca="1"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 ca="1">Tabela1[[#This Row],[QTDE/ Fabricação]]-Tabela1[[#This Row],[QTE]]</f>
        <v>-1</v>
      </c>
      <c r="R557" s="18">
        <f t="shared" ca="1" si="104"/>
        <v>85</v>
      </c>
      <c r="S557" s="18">
        <f t="shared" ca="1" si="103"/>
        <v>85</v>
      </c>
      <c r="T557" s="19">
        <f t="shared" ca="1" si="105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 ca="1">IFERROR(COUNTIF(#REF!,Tabela1[[#This Row],[Colunas5]]),"")</f>
        <v/>
      </c>
      <c r="X557" s="14">
        <f ca="1">Tabela1[[#This Row],[QIANTIDADE EXPEDIDA]]*Tabela1[[#This Row],[PESO UNI]]</f>
        <v>85</v>
      </c>
      <c r="Y557" s="14">
        <f t="shared" ca="1" si="106"/>
        <v>0</v>
      </c>
      <c r="Z557" s="20">
        <f ca="1"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 ca="1">Tabela1[[#This Row],[Coluna1]]&amp;Tabela1[[#This Row],[PEDIDO]]</f>
        <v>P-190</v>
      </c>
      <c r="AL557"/>
      <c r="AM557"/>
      <c r="AN557"/>
      <c r="AO557" t="str">
        <f t="shared" ca="1" si="107"/>
        <v>P-073057/P190</v>
      </c>
      <c r="AP557" t="str">
        <f ca="1">Tabela1[[#This Row],[TAG]]&amp;Tabela1[[#This Row],[PEDIDO]]&amp;Tabela1[[#This Row],[PRODUTO]]</f>
        <v>P190P-190COMERCIAL</v>
      </c>
      <c r="AQ557" s="22" t="str">
        <f ca="1">Tabela1[[#This Row],[PRODUTO]]&amp;Tabela1[[#This Row],[TAG]]</f>
        <v>COMERCIALP190</v>
      </c>
      <c r="AR557" s="24" t="str">
        <f ca="1">Tabela1[[#This Row],[PEDIDO]]&amp;Tabela1[[#This Row],[PRODUTO]]</f>
        <v>P-190COMERCIAL</v>
      </c>
      <c r="AS557" s="37">
        <f ca="1">IF(AF557="",0,IF(ISTEXT(AF557),H557*VALUE(SUBSTITUTE(AF557,"%",""))/100,H557*AF557))-Tabela1[[#This Row],[PRONTO ACABADO2]]</f>
        <v>0</v>
      </c>
      <c r="AT557" s="37">
        <f ca="1">IF(AG557="",0,IF(ISTEXT(AG557),H557*VALUE(SUBSTITUTE(AG557,"%",""))/100,H557*AG557))-Tabela1[[#This Row],[PESO EXPEDIDO2]]</f>
        <v>0</v>
      </c>
      <c r="AU557" s="37">
        <f t="shared" ca="1" si="108"/>
        <v>85</v>
      </c>
      <c r="AV557" s="37">
        <f t="shared" ca="1" si="109"/>
        <v>85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 ca="1"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 ca="1">Tabela1[[#This Row],[QTDE/ Fabricação]]-Tabela1[[#This Row],[QTE]]</f>
        <v>-1</v>
      </c>
      <c r="R558" s="18">
        <f t="shared" ca="1" si="104"/>
        <v>65</v>
      </c>
      <c r="S558" s="18">
        <f t="shared" ca="1" si="103"/>
        <v>65</v>
      </c>
      <c r="T558" s="19">
        <f t="shared" ca="1" si="105"/>
        <v>0</v>
      </c>
      <c r="U558" s="16">
        <f ca="1"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 ca="1">IFERROR(COUNTIF(#REF!,Tabela1[[#This Row],[Colunas5]]),"")</f>
        <v/>
      </c>
      <c r="X558" s="14">
        <f ca="1">Tabela1[[#This Row],[QIANTIDADE EXPEDIDA]]*Tabela1[[#This Row],[PESO UNI]]</f>
        <v>65</v>
      </c>
      <c r="Y558" s="14">
        <f t="shared" ca="1" si="106"/>
        <v>0</v>
      </c>
      <c r="Z558" s="20">
        <f ca="1"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 ca="1">Tabela1[[#This Row],[Coluna1]]&amp;Tabela1[[#This Row],[PEDIDO]]</f>
        <v>P-190</v>
      </c>
      <c r="AL558"/>
      <c r="AM558"/>
      <c r="AN558"/>
      <c r="AO558" t="str">
        <f t="shared" ca="1" si="107"/>
        <v>P-073057/P190</v>
      </c>
      <c r="AP558" t="str">
        <f ca="1">Tabela1[[#This Row],[TAG]]&amp;Tabela1[[#This Row],[PEDIDO]]&amp;Tabela1[[#This Row],[PRODUTO]]</f>
        <v>P190P-190COMERCIAL</v>
      </c>
      <c r="AQ558" s="22" t="str">
        <f ca="1">Tabela1[[#This Row],[PRODUTO]]&amp;Tabela1[[#This Row],[TAG]]</f>
        <v>COMERCIALP190</v>
      </c>
      <c r="AR558" s="24" t="str">
        <f ca="1">Tabela1[[#This Row],[PEDIDO]]&amp;Tabela1[[#This Row],[PRODUTO]]</f>
        <v>P-190COMERCIAL</v>
      </c>
      <c r="AS558" s="37">
        <f ca="1">IF(AF558="",0,IF(ISTEXT(AF558),H558*VALUE(SUBSTITUTE(AF558,"%",""))/100,H558*AF558))-Tabela1[[#This Row],[PRONTO ACABADO2]]</f>
        <v>0</v>
      </c>
      <c r="AT558" s="37">
        <f ca="1">IF(AG558="",0,IF(ISTEXT(AG558),H558*VALUE(SUBSTITUTE(AG558,"%",""))/100,H558*AG558))-Tabela1[[#This Row],[PESO EXPEDIDO2]]</f>
        <v>0</v>
      </c>
      <c r="AU558" s="37">
        <f t="shared" ca="1" si="108"/>
        <v>65</v>
      </c>
      <c r="AV558" s="37">
        <f t="shared" ca="1" si="109"/>
        <v>65</v>
      </c>
      <c r="AW558" s="37"/>
    </row>
    <row r="559" spans="1:49" ht="15.75" hidden="1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 ca="1"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 ca="1">Tabela1[[#This Row],[QTDE/ Fabricação]]-Tabela1[[#This Row],[QTE]]</f>
        <v>-1</v>
      </c>
      <c r="R559" s="18">
        <f t="shared" ca="1" si="104"/>
        <v>7.2</v>
      </c>
      <c r="S559" s="18">
        <f t="shared" ca="1" si="103"/>
        <v>7.2</v>
      </c>
      <c r="T559" s="19">
        <f t="shared" ca="1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 ca="1">IFERROR(COUNTIF(#REF!,Tabela1[[#This Row],[Colunas5]]),"")</f>
        <v/>
      </c>
      <c r="X559" s="14">
        <f ca="1">Tabela1[[#This Row],[QIANTIDADE EXPEDIDA]]*Tabela1[[#This Row],[PESO UNI]]</f>
        <v>7.2</v>
      </c>
      <c r="Y559" s="14">
        <f t="shared" ca="1" si="106"/>
        <v>0</v>
      </c>
      <c r="Z559" s="20">
        <f ca="1"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 ca="1">Tabela1[[#This Row],[Coluna1]]&amp;Tabela1[[#This Row],[PEDIDO]]</f>
        <v>P-190</v>
      </c>
      <c r="AL559"/>
      <c r="AM559"/>
      <c r="AN559"/>
      <c r="AO559" t="str">
        <f t="shared" ca="1" si="107"/>
        <v>P-073057-1/P190</v>
      </c>
      <c r="AP559" t="str">
        <f ca="1">Tabela1[[#This Row],[TAG]]&amp;Tabela1[[#This Row],[PEDIDO]]&amp;Tabela1[[#This Row],[PRODUTO]]</f>
        <v>P190P-190COMERCIAL</v>
      </c>
      <c r="AQ559" s="22" t="str">
        <f ca="1">Tabela1[[#This Row],[PRODUTO]]&amp;Tabela1[[#This Row],[TAG]]</f>
        <v>COMERCIALP190</v>
      </c>
      <c r="AR559" s="24" t="str">
        <f ca="1">Tabela1[[#This Row],[PEDIDO]]&amp;Tabela1[[#This Row],[PRODUTO]]</f>
        <v>P-190COMERCIAL</v>
      </c>
      <c r="AS559" s="37">
        <f ca="1">IF(AF559="",0,IF(ISTEXT(AF559),H559*VALUE(SUBSTITUTE(AF559,"%",""))/100,H559*AF559))-Tabela1[[#This Row],[PRONTO ACABADO2]]</f>
        <v>0</v>
      </c>
      <c r="AT559" s="37">
        <f ca="1">IF(AG559="",0,IF(ISTEXT(AG559),H559*VALUE(SUBSTITUTE(AG559,"%",""))/100,H559*AG559))-Tabela1[[#This Row],[PESO EXPEDIDO2]]</f>
        <v>0</v>
      </c>
      <c r="AU559" s="37">
        <f t="shared" ca="1" si="108"/>
        <v>7.2</v>
      </c>
      <c r="AV559" s="37">
        <f t="shared" ca="1" si="109"/>
        <v>7.2</v>
      </c>
      <c r="AW559" s="37"/>
    </row>
    <row r="560" spans="1:49" ht="15.75" hidden="1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 ca="1"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 ca="1">Tabela1[[#This Row],[QTDE/ Fabricação]]-Tabela1[[#This Row],[QTE]]</f>
        <v>-1</v>
      </c>
      <c r="R560" s="18">
        <f t="shared" ca="1" si="104"/>
        <v>0.03</v>
      </c>
      <c r="S560" s="18">
        <f t="shared" ca="1" si="103"/>
        <v>0.03</v>
      </c>
      <c r="T560" s="19">
        <f t="shared" ca="1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 ca="1">IFERROR(COUNTIF(#REF!,Tabela1[[#This Row],[Colunas5]]),"")</f>
        <v/>
      </c>
      <c r="X560" s="14">
        <f ca="1">Tabela1[[#This Row],[QIANTIDADE EXPEDIDA]]*Tabela1[[#This Row],[PESO UNI]]</f>
        <v>0.03</v>
      </c>
      <c r="Y560" s="14">
        <f t="shared" ca="1" si="106"/>
        <v>0</v>
      </c>
      <c r="Z560" s="20">
        <f ca="1"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 ca="1">Tabela1[[#This Row],[Coluna1]]&amp;Tabela1[[#This Row],[PEDIDO]]</f>
        <v>P-190</v>
      </c>
      <c r="AL560"/>
      <c r="AM560"/>
      <c r="AN560"/>
      <c r="AO560" t="str">
        <f t="shared" ca="1" si="107"/>
        <v>P-024533-1/P190</v>
      </c>
      <c r="AP560" t="str">
        <f ca="1">Tabela1[[#This Row],[TAG]]&amp;Tabela1[[#This Row],[PEDIDO]]&amp;Tabela1[[#This Row],[PRODUTO]]</f>
        <v>P190P-190COMERCIAL</v>
      </c>
      <c r="AQ560" s="22" t="str">
        <f ca="1">Tabela1[[#This Row],[PRODUTO]]&amp;Tabela1[[#This Row],[TAG]]</f>
        <v>COMERCIALP190</v>
      </c>
      <c r="AR560" s="24" t="str">
        <f ca="1">Tabela1[[#This Row],[PEDIDO]]&amp;Tabela1[[#This Row],[PRODUTO]]</f>
        <v>P-190COMERCIAL</v>
      </c>
      <c r="AS560" s="37">
        <f ca="1">IF(AF560="",0,IF(ISTEXT(AF560),H560*VALUE(SUBSTITUTE(AF560,"%",""))/100,H560*AF560))-Tabela1[[#This Row],[PRONTO ACABADO2]]</f>
        <v>0</v>
      </c>
      <c r="AT560" s="37">
        <f ca="1">IF(AG560="",0,IF(ISTEXT(AG560),H560*VALUE(SUBSTITUTE(AG560,"%",""))/100,H560*AG560))-Tabela1[[#This Row],[PESO EXPEDIDO2]]</f>
        <v>0</v>
      </c>
      <c r="AU560" s="37">
        <f t="shared" ca="1" si="108"/>
        <v>0.03</v>
      </c>
      <c r="AV560" s="37">
        <f t="shared" ca="1" si="109"/>
        <v>0.03</v>
      </c>
      <c r="AW560" s="37"/>
    </row>
    <row r="561" spans="1:49" ht="15.75" hidden="1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 ca="1"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 ca="1">Tabela1[[#This Row],[QTDE/ Fabricação]]-Tabela1[[#This Row],[QTE]]</f>
        <v>-4</v>
      </c>
      <c r="R561" s="18">
        <f t="shared" ca="1" si="104"/>
        <v>0.08</v>
      </c>
      <c r="S561" s="18">
        <f t="shared" ca="1" si="103"/>
        <v>0.08</v>
      </c>
      <c r="T561" s="19">
        <f t="shared" ca="1" si="105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 ca="1">IFERROR(COUNTIF(#REF!,Tabela1[[#This Row],[Colunas5]]),"")</f>
        <v/>
      </c>
      <c r="X561" s="14">
        <f ca="1">Tabela1[[#This Row],[QIANTIDADE EXPEDIDA]]*Tabela1[[#This Row],[PESO UNI]]</f>
        <v>0.08</v>
      </c>
      <c r="Y561" s="14">
        <f t="shared" ca="1" si="106"/>
        <v>0</v>
      </c>
      <c r="Z561" s="20">
        <f ca="1"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 ca="1">Tabela1[[#This Row],[Coluna1]]&amp;Tabela1[[#This Row],[PEDIDO]]</f>
        <v>P-190</v>
      </c>
      <c r="AL561"/>
      <c r="AM561"/>
      <c r="AN561"/>
      <c r="AO561" t="str">
        <f t="shared" ca="1" si="107"/>
        <v>P-024533-1/P190</v>
      </c>
      <c r="AP561" t="str">
        <f ca="1">Tabela1[[#This Row],[TAG]]&amp;Tabela1[[#This Row],[PEDIDO]]&amp;Tabela1[[#This Row],[PRODUTO]]</f>
        <v>P190P-190COMERCIAL</v>
      </c>
      <c r="AQ561" s="22" t="str">
        <f ca="1">Tabela1[[#This Row],[PRODUTO]]&amp;Tabela1[[#This Row],[TAG]]</f>
        <v>COMERCIALP190</v>
      </c>
      <c r="AR561" s="24" t="str">
        <f ca="1">Tabela1[[#This Row],[PEDIDO]]&amp;Tabela1[[#This Row],[PRODUTO]]</f>
        <v>P-190COMERCIAL</v>
      </c>
      <c r="AS561" s="37">
        <f ca="1">IF(AF561="",0,IF(ISTEXT(AF561),H561*VALUE(SUBSTITUTE(AF561,"%",""))/100,H561*AF561))-Tabela1[[#This Row],[PRONTO ACABADO2]]</f>
        <v>0</v>
      </c>
      <c r="AT561" s="37">
        <f ca="1">IF(AG561="",0,IF(ISTEXT(AG561),H561*VALUE(SUBSTITUTE(AG561,"%",""))/100,H561*AG561))-Tabela1[[#This Row],[PESO EXPEDIDO2]]</f>
        <v>0</v>
      </c>
      <c r="AU561" s="37">
        <f t="shared" ca="1" si="108"/>
        <v>0.08</v>
      </c>
      <c r="AV561" s="37">
        <f t="shared" ca="1" si="109"/>
        <v>0.08</v>
      </c>
      <c r="AW561" s="37"/>
    </row>
    <row r="562" spans="1:49" ht="15.75" hidden="1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 ca="1"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 ca="1">Tabela1[[#This Row],[QTDE/ Fabricação]]-Tabela1[[#This Row],[QTE]]</f>
        <v>-2</v>
      </c>
      <c r="R562" s="18">
        <f t="shared" ca="1" si="104"/>
        <v>0.04</v>
      </c>
      <c r="S562" s="18">
        <f t="shared" ca="1" si="103"/>
        <v>0.04</v>
      </c>
      <c r="T562" s="19">
        <f t="shared" ca="1" si="105"/>
        <v>0</v>
      </c>
      <c r="U562" s="16">
        <f ca="1"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 ca="1">IFERROR(COUNTIF(#REF!,Tabela1[[#This Row],[Colunas5]]),"")</f>
        <v/>
      </c>
      <c r="X562" s="14">
        <f ca="1">Tabela1[[#This Row],[QIANTIDADE EXPEDIDA]]*Tabela1[[#This Row],[PESO UNI]]</f>
        <v>0.04</v>
      </c>
      <c r="Y562" s="14">
        <f t="shared" ca="1" si="106"/>
        <v>0</v>
      </c>
      <c r="Z562" s="20">
        <f ca="1"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 ca="1">Tabela1[[#This Row],[Coluna1]]&amp;Tabela1[[#This Row],[PEDIDO]]</f>
        <v>P-190</v>
      </c>
      <c r="AL562"/>
      <c r="AM562"/>
      <c r="AN562"/>
      <c r="AO562" t="str">
        <f t="shared" ca="1" si="107"/>
        <v>P-024533-1/P190</v>
      </c>
      <c r="AP562" t="str">
        <f ca="1">Tabela1[[#This Row],[TAG]]&amp;Tabela1[[#This Row],[PEDIDO]]&amp;Tabela1[[#This Row],[PRODUTO]]</f>
        <v>P190P-190COMERCIAL</v>
      </c>
      <c r="AQ562" s="22" t="str">
        <f ca="1">Tabela1[[#This Row],[PRODUTO]]&amp;Tabela1[[#This Row],[TAG]]</f>
        <v>COMERCIALP190</v>
      </c>
      <c r="AR562" s="24" t="str">
        <f ca="1">Tabela1[[#This Row],[PEDIDO]]&amp;Tabela1[[#This Row],[PRODUTO]]</f>
        <v>P-190COMERCIAL</v>
      </c>
      <c r="AS562" s="37">
        <f ca="1">IF(AF562="",0,IF(ISTEXT(AF562),H562*VALUE(SUBSTITUTE(AF562,"%",""))/100,H562*AF562))-Tabela1[[#This Row],[PRONTO ACABADO2]]</f>
        <v>0</v>
      </c>
      <c r="AT562" s="37">
        <f ca="1">IF(AG562="",0,IF(ISTEXT(AG562),H562*VALUE(SUBSTITUTE(AG562,"%",""))/100,H562*AG562))-Tabela1[[#This Row],[PESO EXPEDIDO2]]</f>
        <v>0</v>
      </c>
      <c r="AU562" s="37">
        <f t="shared" ca="1" si="108"/>
        <v>0.04</v>
      </c>
      <c r="AV562" s="37">
        <f t="shared" ca="1" si="109"/>
        <v>0.04</v>
      </c>
      <c r="AW562" s="37"/>
    </row>
    <row r="563" spans="1:49" ht="15.75" hidden="1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 ca="1"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 ca="1">Tabela1[[#This Row],[QTDE/ Fabricação]]-Tabela1[[#This Row],[QTE]]</f>
        <v>-110</v>
      </c>
      <c r="R563" s="18">
        <f t="shared" ca="1" si="104"/>
        <v>170.5</v>
      </c>
      <c r="S563" s="18">
        <f t="shared" ca="1" si="103"/>
        <v>170.5</v>
      </c>
      <c r="T563" s="19">
        <f t="shared" ca="1" si="105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 ca="1">IFERROR(COUNTIF(#REF!,Tabela1[[#This Row],[Colunas5]]),"")</f>
        <v/>
      </c>
      <c r="X563" s="14">
        <f ca="1">Tabela1[[#This Row],[QIANTIDADE EXPEDIDA]]*Tabela1[[#This Row],[PESO UNI]]</f>
        <v>170.5</v>
      </c>
      <c r="Y563" s="14">
        <f t="shared" ca="1" si="106"/>
        <v>0</v>
      </c>
      <c r="Z563" s="20">
        <f ca="1"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 ca="1">Tabela1[[#This Row],[Coluna1]]&amp;Tabela1[[#This Row],[PEDIDO]]</f>
        <v>P-190</v>
      </c>
      <c r="AL563"/>
      <c r="AM563"/>
      <c r="AN563"/>
      <c r="AO563" t="str">
        <f t="shared" ca="1" si="107"/>
        <v>P-073057-1/P190</v>
      </c>
      <c r="AP563" t="str">
        <f ca="1">Tabela1[[#This Row],[TAG]]&amp;Tabela1[[#This Row],[PEDIDO]]&amp;Tabela1[[#This Row],[PRODUTO]]</f>
        <v>P190P-190COMERCIAL</v>
      </c>
      <c r="AQ563" s="22" t="str">
        <f ca="1">Tabela1[[#This Row],[PRODUTO]]&amp;Tabela1[[#This Row],[TAG]]</f>
        <v>COMERCIALP190</v>
      </c>
      <c r="AR563" s="24" t="str">
        <f ca="1">Tabela1[[#This Row],[PEDIDO]]&amp;Tabela1[[#This Row],[PRODUTO]]</f>
        <v>P-190COMERCIAL</v>
      </c>
      <c r="AS563" s="37">
        <f ca="1">IF(AF563="",0,IF(ISTEXT(AF563),H563*VALUE(SUBSTITUTE(AF563,"%",""))/100,H563*AF563))-Tabela1[[#This Row],[PRONTO ACABADO2]]</f>
        <v>0</v>
      </c>
      <c r="AT563" s="37">
        <f ca="1">IF(AG563="",0,IF(ISTEXT(AG563),H563*VALUE(SUBSTITUTE(AG563,"%",""))/100,H563*AG563))-Tabela1[[#This Row],[PESO EXPEDIDO2]]</f>
        <v>0</v>
      </c>
      <c r="AU563" s="37">
        <f t="shared" ca="1" si="108"/>
        <v>170.5</v>
      </c>
      <c r="AV563" s="37">
        <f t="shared" ca="1" si="109"/>
        <v>170.5</v>
      </c>
      <c r="AW563" s="37"/>
    </row>
    <row r="564" spans="1:49" ht="15.75" hidden="1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 ca="1"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 ca="1">Tabela1[[#This Row],[QTDE/ Fabricação]]-Tabela1[[#This Row],[QTE]]</f>
        <v>-40</v>
      </c>
      <c r="R564" s="18">
        <f t="shared" ca="1" si="104"/>
        <v>11.6</v>
      </c>
      <c r="S564" s="18">
        <f t="shared" ca="1" si="103"/>
        <v>11.6</v>
      </c>
      <c r="T564" s="19">
        <f t="shared" ca="1" si="105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 ca="1">IFERROR(COUNTIF(#REF!,Tabela1[[#This Row],[Colunas5]]),"")</f>
        <v/>
      </c>
      <c r="X564" s="14">
        <f ca="1">Tabela1[[#This Row],[QIANTIDADE EXPEDIDA]]*Tabela1[[#This Row],[PESO UNI]]</f>
        <v>11.6</v>
      </c>
      <c r="Y564" s="14">
        <f t="shared" ca="1" si="106"/>
        <v>0</v>
      </c>
      <c r="Z564" s="20">
        <f ca="1"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 ca="1">Tabela1[[#This Row],[Coluna1]]&amp;Tabela1[[#This Row],[PEDIDO]]</f>
        <v>P-190</v>
      </c>
      <c r="AL564"/>
      <c r="AM564"/>
      <c r="AN564"/>
      <c r="AO564" t="str">
        <f t="shared" ca="1" si="107"/>
        <v>P-073056-1/P190</v>
      </c>
      <c r="AP564" t="str">
        <f ca="1">Tabela1[[#This Row],[TAG]]&amp;Tabela1[[#This Row],[PEDIDO]]&amp;Tabela1[[#This Row],[PRODUTO]]</f>
        <v>P190P-190COMERCIAL</v>
      </c>
      <c r="AQ564" s="22" t="str">
        <f ca="1">Tabela1[[#This Row],[PRODUTO]]&amp;Tabela1[[#This Row],[TAG]]</f>
        <v>COMERCIALP190</v>
      </c>
      <c r="AR564" s="24" t="str">
        <f ca="1">Tabela1[[#This Row],[PEDIDO]]&amp;Tabela1[[#This Row],[PRODUTO]]</f>
        <v>P-190COMERCIAL</v>
      </c>
      <c r="AS564" s="37">
        <f ca="1">IF(AF564="",0,IF(ISTEXT(AF564),H564*VALUE(SUBSTITUTE(AF564,"%",""))/100,H564*AF564))-Tabela1[[#This Row],[PRONTO ACABADO2]]</f>
        <v>0</v>
      </c>
      <c r="AT564" s="37">
        <f ca="1">IF(AG564="",0,IF(ISTEXT(AG564),H564*VALUE(SUBSTITUTE(AG564,"%",""))/100,H564*AG564))-Tabela1[[#This Row],[PESO EXPEDIDO2]]</f>
        <v>0</v>
      </c>
      <c r="AU564" s="37">
        <f t="shared" ca="1" si="108"/>
        <v>11.6</v>
      </c>
      <c r="AV564" s="37">
        <f t="shared" ca="1" si="109"/>
        <v>11.6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 ca="1"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 ca="1">Tabela1[[#This Row],[QTDE/ Fabricação]]-Tabela1[[#This Row],[QTE]]</f>
        <v>-40</v>
      </c>
      <c r="R565" s="18">
        <f t="shared" ca="1" si="104"/>
        <v>0.8</v>
      </c>
      <c r="S565" s="18">
        <f t="shared" ca="1" si="103"/>
        <v>0.8</v>
      </c>
      <c r="T565" s="19">
        <f t="shared" ca="1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 ca="1">IFERROR(COUNTIF(#REF!,Tabela1[[#This Row],[Colunas5]]),"")</f>
        <v/>
      </c>
      <c r="X565" s="14">
        <f ca="1">Tabela1[[#This Row],[QIANTIDADE EXPEDIDA]]*Tabela1[[#This Row],[PESO UNI]]</f>
        <v>0.8</v>
      </c>
      <c r="Y565" s="14">
        <f t="shared" ca="1" si="106"/>
        <v>0</v>
      </c>
      <c r="Z565" s="20">
        <f ca="1"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 ca="1">Tabela1[[#This Row],[Coluna1]]&amp;Tabela1[[#This Row],[PEDIDO]]</f>
        <v>P-190</v>
      </c>
      <c r="AL565"/>
      <c r="AM565"/>
      <c r="AN565"/>
      <c r="AO565" t="str">
        <f t="shared" ca="1" si="107"/>
        <v>P-073056-1/P190</v>
      </c>
      <c r="AP565" t="str">
        <f ca="1">Tabela1[[#This Row],[TAG]]&amp;Tabela1[[#This Row],[PEDIDO]]&amp;Tabela1[[#This Row],[PRODUTO]]</f>
        <v>P190P-190COMERCIAL</v>
      </c>
      <c r="AQ565" s="22" t="str">
        <f ca="1">Tabela1[[#This Row],[PRODUTO]]&amp;Tabela1[[#This Row],[TAG]]</f>
        <v>COMERCIALP190</v>
      </c>
      <c r="AR565" s="24" t="str">
        <f ca="1">Tabela1[[#This Row],[PEDIDO]]&amp;Tabela1[[#This Row],[PRODUTO]]</f>
        <v>P-190COMERCIAL</v>
      </c>
      <c r="AS565" s="37">
        <f ca="1">IF(AF565="",0,IF(ISTEXT(AF565),H565*VALUE(SUBSTITUTE(AF565,"%",""))/100,H565*AF565))-Tabela1[[#This Row],[PRONTO ACABADO2]]</f>
        <v>0</v>
      </c>
      <c r="AT565" s="37">
        <f ca="1">IF(AG565="",0,IF(ISTEXT(AG565),H565*VALUE(SUBSTITUTE(AG565,"%",""))/100,H565*AG565))-Tabela1[[#This Row],[PESO EXPEDIDO2]]</f>
        <v>0</v>
      </c>
      <c r="AU565" s="37">
        <f t="shared" ca="1" si="108"/>
        <v>0.8</v>
      </c>
      <c r="AV565" s="37">
        <f t="shared" ca="1" si="109"/>
        <v>0.8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 ca="1"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 ca="1">Tabela1[[#This Row],[QTDE/ Fabricação]]-Tabela1[[#This Row],[QTE]]</f>
        <v>-40</v>
      </c>
      <c r="R566" s="18">
        <f t="shared" ca="1" si="104"/>
        <v>2.2000000000000002</v>
      </c>
      <c r="S566" s="18">
        <f t="shared" ca="1" si="103"/>
        <v>2.2000000000000002</v>
      </c>
      <c r="T566" s="19">
        <f t="shared" ca="1" si="105"/>
        <v>0</v>
      </c>
      <c r="U566" s="16">
        <f ca="1"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 ca="1">IFERROR(COUNTIF(#REF!,Tabela1[[#This Row],[Colunas5]]),"")</f>
        <v/>
      </c>
      <c r="X566" s="14">
        <f ca="1">Tabela1[[#This Row],[QIANTIDADE EXPEDIDA]]*Tabela1[[#This Row],[PESO UNI]]</f>
        <v>2.2000000000000002</v>
      </c>
      <c r="Y566" s="14">
        <f t="shared" ca="1" si="106"/>
        <v>0</v>
      </c>
      <c r="Z566" s="20">
        <f ca="1"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 ca="1">Tabela1[[#This Row],[Coluna1]]&amp;Tabela1[[#This Row],[PEDIDO]]</f>
        <v>P-190</v>
      </c>
      <c r="AL566"/>
      <c r="AM566"/>
      <c r="AN566"/>
      <c r="AO566" t="str">
        <f t="shared" ca="1" si="107"/>
        <v>P-073056-1/P190</v>
      </c>
      <c r="AP566" t="str">
        <f ca="1">Tabela1[[#This Row],[TAG]]&amp;Tabela1[[#This Row],[PEDIDO]]&amp;Tabela1[[#This Row],[PRODUTO]]</f>
        <v>P190P-190COMERCIAL</v>
      </c>
      <c r="AQ566" s="22" t="str">
        <f ca="1">Tabela1[[#This Row],[PRODUTO]]&amp;Tabela1[[#This Row],[TAG]]</f>
        <v>COMERCIALP190</v>
      </c>
      <c r="AR566" s="24" t="str">
        <f ca="1">Tabela1[[#This Row],[PEDIDO]]&amp;Tabela1[[#This Row],[PRODUTO]]</f>
        <v>P-190COMERCIAL</v>
      </c>
      <c r="AS566" s="37">
        <f ca="1">IF(AF566="",0,IF(ISTEXT(AF566),H566*VALUE(SUBSTITUTE(AF566,"%",""))/100,H566*AF566))-Tabela1[[#This Row],[PRONTO ACABADO2]]</f>
        <v>0</v>
      </c>
      <c r="AT566" s="37">
        <f ca="1">IF(AG566="",0,IF(ISTEXT(AG566),H566*VALUE(SUBSTITUTE(AG566,"%",""))/100,H566*AG566))-Tabela1[[#This Row],[PESO EXPEDIDO2]]</f>
        <v>0</v>
      </c>
      <c r="AU566" s="37">
        <f t="shared" ca="1" si="108"/>
        <v>2.2000000000000002</v>
      </c>
      <c r="AV566" s="37">
        <f t="shared" ca="1" si="109"/>
        <v>2.2000000000000002</v>
      </c>
      <c r="AW566" s="37"/>
    </row>
    <row r="567" spans="1:49" ht="15.75" hidden="1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 ca="1"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 ca="1">Tabela1[[#This Row],[QTDE/ Fabricação]]-Tabela1[[#This Row],[QTE]]</f>
        <v>-1</v>
      </c>
      <c r="R567" s="18">
        <f t="shared" ca="1" si="104"/>
        <v>6.5</v>
      </c>
      <c r="S567" s="18">
        <f t="shared" ca="1" si="103"/>
        <v>6.5</v>
      </c>
      <c r="T567" s="19">
        <f t="shared" ca="1" si="105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 ca="1">IFERROR(COUNTIF(#REF!,Tabela1[[#This Row],[Colunas5]]),"")</f>
        <v/>
      </c>
      <c r="X567" s="14">
        <f ca="1">Tabela1[[#This Row],[QIANTIDADE EXPEDIDA]]*Tabela1[[#This Row],[PESO UNI]]</f>
        <v>6.5</v>
      </c>
      <c r="Y567" s="14">
        <f t="shared" ca="1" si="106"/>
        <v>0</v>
      </c>
      <c r="Z567" s="20">
        <f ca="1"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 ca="1">Tabela1[[#This Row],[Coluna1]]&amp;Tabela1[[#This Row],[PEDIDO]]</f>
        <v>P-190</v>
      </c>
      <c r="AL567"/>
      <c r="AM567"/>
      <c r="AN567"/>
      <c r="AO567" t="str">
        <f t="shared" ca="1" si="107"/>
        <v xml:space="preserve"> P-073060-1/P190</v>
      </c>
      <c r="AP567" t="str">
        <f ca="1">Tabela1[[#This Row],[TAG]]&amp;Tabela1[[#This Row],[PEDIDO]]&amp;Tabela1[[#This Row],[PRODUTO]]</f>
        <v>P190P-190COMERCIAL</v>
      </c>
      <c r="AQ567" s="22" t="str">
        <f ca="1">Tabela1[[#This Row],[PRODUTO]]&amp;Tabela1[[#This Row],[TAG]]</f>
        <v>COMERCIALP190</v>
      </c>
      <c r="AR567" s="24" t="str">
        <f ca="1">Tabela1[[#This Row],[PEDIDO]]&amp;Tabela1[[#This Row],[PRODUTO]]</f>
        <v>P-190COMERCIAL</v>
      </c>
      <c r="AS567" s="37">
        <f ca="1">IF(AF567="",0,IF(ISTEXT(AF567),H567*VALUE(SUBSTITUTE(AF567,"%",""))/100,H567*AF567))-Tabela1[[#This Row],[PRONTO ACABADO2]]</f>
        <v>0</v>
      </c>
      <c r="AT567" s="37">
        <f ca="1">IF(AG567="",0,IF(ISTEXT(AG567),H567*VALUE(SUBSTITUTE(AG567,"%",""))/100,H567*AG567))-Tabela1[[#This Row],[PESO EXPEDIDO2]]</f>
        <v>0</v>
      </c>
      <c r="AU567" s="37">
        <f t="shared" ca="1" si="108"/>
        <v>6.5</v>
      </c>
      <c r="AV567" s="37">
        <f t="shared" ca="1" si="109"/>
        <v>6.5</v>
      </c>
      <c r="AW567" s="37"/>
    </row>
    <row r="568" spans="1:49" ht="15.75" hidden="1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 ca="1"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 ca="1">Tabela1[[#This Row],[QTDE/ Fabricação]]-Tabela1[[#This Row],[QTE]]</f>
        <v>-18</v>
      </c>
      <c r="R568" s="18">
        <f t="shared" ca="1" si="104"/>
        <v>0.36</v>
      </c>
      <c r="S568" s="18">
        <f t="shared" ca="1" si="103"/>
        <v>0.36</v>
      </c>
      <c r="T568" s="19">
        <f t="shared" ca="1" si="105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 ca="1">IFERROR(COUNTIF(#REF!,Tabela1[[#This Row],[Colunas5]]),"")</f>
        <v/>
      </c>
      <c r="X568" s="14">
        <f ca="1">Tabela1[[#This Row],[QIANTIDADE EXPEDIDA]]*Tabela1[[#This Row],[PESO UNI]]</f>
        <v>0.36</v>
      </c>
      <c r="Y568" s="14">
        <f t="shared" ca="1" si="106"/>
        <v>0</v>
      </c>
      <c r="Z568" s="20">
        <f ca="1"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 ca="1">Tabela1[[#This Row],[Coluna1]]&amp;Tabela1[[#This Row],[PEDIDO]]</f>
        <v>P-190</v>
      </c>
      <c r="AL568"/>
      <c r="AM568"/>
      <c r="AN568"/>
      <c r="AO568" t="str">
        <f t="shared" ca="1" si="107"/>
        <v>(CONFORME ET:BBR-D-DF-1073-MDE-K-0017)/P190</v>
      </c>
      <c r="AP568" t="str">
        <f ca="1">Tabela1[[#This Row],[TAG]]&amp;Tabela1[[#This Row],[PEDIDO]]&amp;Tabela1[[#This Row],[PRODUTO]]</f>
        <v>P190P-190COMERCIAL</v>
      </c>
      <c r="AQ568" s="22" t="str">
        <f ca="1">Tabela1[[#This Row],[PRODUTO]]&amp;Tabela1[[#This Row],[TAG]]</f>
        <v>COMERCIALP190</v>
      </c>
      <c r="AR568" s="24" t="str">
        <f ca="1">Tabela1[[#This Row],[PEDIDO]]&amp;Tabela1[[#This Row],[PRODUTO]]</f>
        <v>P-190COMERCIAL</v>
      </c>
      <c r="AS568" s="37">
        <f ca="1">IF(AF568="",0,IF(ISTEXT(AF568),H568*VALUE(SUBSTITUTE(AF568,"%",""))/100,H568*AF568))-Tabela1[[#This Row],[PRONTO ACABADO2]]</f>
        <v>0</v>
      </c>
      <c r="AT568" s="37">
        <f ca="1">IF(AG568="",0,IF(ISTEXT(AG568),H568*VALUE(SUBSTITUTE(AG568,"%",""))/100,H568*AG568))-Tabela1[[#This Row],[PESO EXPEDIDO2]]</f>
        <v>0</v>
      </c>
      <c r="AU568" s="37">
        <f t="shared" ca="1" si="108"/>
        <v>0.36</v>
      </c>
      <c r="AV568" s="37">
        <f t="shared" ca="1" si="109"/>
        <v>0.36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 ca="1"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 ca="1">Tabela1[[#This Row],[QTDE/ Fabricação]]-Tabela1[[#This Row],[QTE]]</f>
        <v>-18</v>
      </c>
      <c r="R569" s="18">
        <f t="shared" ca="1" si="104"/>
        <v>0.54</v>
      </c>
      <c r="S569" s="18">
        <f t="shared" ca="1" si="103"/>
        <v>0.54</v>
      </c>
      <c r="T569" s="19">
        <f t="shared" ca="1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 ca="1">IFERROR(COUNTIF(#REF!,Tabela1[[#This Row],[Colunas5]]),"")</f>
        <v/>
      </c>
      <c r="X569" s="14">
        <f ca="1">Tabela1[[#This Row],[QIANTIDADE EXPEDIDA]]*Tabela1[[#This Row],[PESO UNI]]</f>
        <v>0.54</v>
      </c>
      <c r="Y569" s="14">
        <f t="shared" ca="1" si="106"/>
        <v>0</v>
      </c>
      <c r="Z569" s="20">
        <f ca="1"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 ca="1">Tabela1[[#This Row],[Coluna1]]&amp;Tabela1[[#This Row],[PEDIDO]]</f>
        <v>P-190</v>
      </c>
      <c r="AL569"/>
      <c r="AM569"/>
      <c r="AN569"/>
      <c r="AO569" t="str">
        <f t="shared" ca="1" si="107"/>
        <v>(CONFORME ET:BBR-D-DF-1073-MDE-K-0017)/P190</v>
      </c>
      <c r="AP569" t="str">
        <f ca="1">Tabela1[[#This Row],[TAG]]&amp;Tabela1[[#This Row],[PEDIDO]]&amp;Tabela1[[#This Row],[PRODUTO]]</f>
        <v>P190P-190COMERCIAL</v>
      </c>
      <c r="AQ569" s="22" t="str">
        <f ca="1">Tabela1[[#This Row],[PRODUTO]]&amp;Tabela1[[#This Row],[TAG]]</f>
        <v>COMERCIALP190</v>
      </c>
      <c r="AR569" s="24" t="str">
        <f ca="1">Tabela1[[#This Row],[PEDIDO]]&amp;Tabela1[[#This Row],[PRODUTO]]</f>
        <v>P-190COMERCIAL</v>
      </c>
      <c r="AS569" s="37">
        <f ca="1">IF(AF569="",0,IF(ISTEXT(AF569),H569*VALUE(SUBSTITUTE(AF569,"%",""))/100,H569*AF569))-Tabela1[[#This Row],[PRONTO ACABADO2]]</f>
        <v>0</v>
      </c>
      <c r="AT569" s="37">
        <f ca="1">IF(AG569="",0,IF(ISTEXT(AG569),H569*VALUE(SUBSTITUTE(AG569,"%",""))/100,H569*AG569))-Tabela1[[#This Row],[PESO EXPEDIDO2]]</f>
        <v>0</v>
      </c>
      <c r="AU569" s="37">
        <f t="shared" ca="1" si="108"/>
        <v>0.54</v>
      </c>
      <c r="AV569" s="37">
        <f t="shared" ca="1" si="109"/>
        <v>0.54</v>
      </c>
      <c r="AW569" s="37"/>
    </row>
    <row r="570" spans="1:49" ht="15.75" hidden="1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 ca="1"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 ca="1">Tabela1[[#This Row],[QTDE/ Fabricação]]-Tabela1[[#This Row],[QTE]]</f>
        <v>-5</v>
      </c>
      <c r="R570" s="18">
        <f t="shared" ca="1" si="104"/>
        <v>0.1</v>
      </c>
      <c r="S570" s="18">
        <f t="shared" ca="1" si="103"/>
        <v>0.1</v>
      </c>
      <c r="T570" s="19">
        <f t="shared" ca="1" si="105"/>
        <v>0</v>
      </c>
      <c r="U570" s="16">
        <f ca="1"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 ca="1">IFERROR(COUNTIF(#REF!,Tabela1[[#This Row],[Colunas5]]),"")</f>
        <v/>
      </c>
      <c r="X570" s="14">
        <f ca="1">Tabela1[[#This Row],[QIANTIDADE EXPEDIDA]]*Tabela1[[#This Row],[PESO UNI]]</f>
        <v>0.1</v>
      </c>
      <c r="Y570" s="14">
        <f t="shared" ca="1" si="106"/>
        <v>0</v>
      </c>
      <c r="Z570" s="20">
        <f ca="1"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 ca="1">Tabela1[[#This Row],[Coluna1]]&amp;Tabela1[[#This Row],[PEDIDO]]</f>
        <v>P-190</v>
      </c>
      <c r="AL570"/>
      <c r="AM570"/>
      <c r="AN570"/>
      <c r="AO570" t="str">
        <f t="shared" ca="1" si="107"/>
        <v>(CONFORME ET:BBR-D-DF-1073-MDE-K-0017)/P190</v>
      </c>
      <c r="AP570" t="str">
        <f ca="1">Tabela1[[#This Row],[TAG]]&amp;Tabela1[[#This Row],[PEDIDO]]&amp;Tabela1[[#This Row],[PRODUTO]]</f>
        <v>P190P-190COMERCIAL</v>
      </c>
      <c r="AQ570" s="22" t="str">
        <f ca="1">Tabela1[[#This Row],[PRODUTO]]&amp;Tabela1[[#This Row],[TAG]]</f>
        <v>COMERCIALP190</v>
      </c>
      <c r="AR570" s="24" t="str">
        <f ca="1">Tabela1[[#This Row],[PEDIDO]]&amp;Tabela1[[#This Row],[PRODUTO]]</f>
        <v>P-190COMERCIAL</v>
      </c>
      <c r="AS570" s="37">
        <f ca="1">IF(AF570="",0,IF(ISTEXT(AF570),H570*VALUE(SUBSTITUTE(AF570,"%",""))/100,H570*AF570))-Tabela1[[#This Row],[PRONTO ACABADO2]]</f>
        <v>0</v>
      </c>
      <c r="AT570" s="37">
        <f ca="1">IF(AG570="",0,IF(ISTEXT(AG570),H570*VALUE(SUBSTITUTE(AG570,"%",""))/100,H570*AG570))-Tabela1[[#This Row],[PESO EXPEDIDO2]]</f>
        <v>0</v>
      </c>
      <c r="AU570" s="37">
        <f t="shared" ca="1" si="108"/>
        <v>0.1</v>
      </c>
      <c r="AV570" s="37">
        <f t="shared" ca="1" si="109"/>
        <v>0.1</v>
      </c>
      <c r="AW570" s="37"/>
    </row>
    <row r="571" spans="1:49" ht="15.75" hidden="1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 ca="1"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 ca="1">Tabela1[[#This Row],[QTDE/ Fabricação]]-Tabela1[[#This Row],[QTE]]</f>
        <v>-3</v>
      </c>
      <c r="R571" s="18">
        <f t="shared" ca="1" si="104"/>
        <v>0.12</v>
      </c>
      <c r="S571" s="18">
        <f t="shared" ref="S571:S603" ca="1" si="110">IFERROR(H571*AG571,"")</f>
        <v>0.12</v>
      </c>
      <c r="T571" s="19">
        <f t="shared" ca="1" si="105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 ca="1">IFERROR(COUNTIF(#REF!,Tabela1[[#This Row],[Colunas5]]),"")</f>
        <v/>
      </c>
      <c r="X571" s="14">
        <f ca="1">Tabela1[[#This Row],[QIANTIDADE EXPEDIDA]]*Tabela1[[#This Row],[PESO UNI]]</f>
        <v>0.12</v>
      </c>
      <c r="Y571" s="14">
        <f t="shared" ca="1" si="106"/>
        <v>0</v>
      </c>
      <c r="Z571" s="20">
        <f ca="1"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 ca="1">Tabela1[[#This Row],[Coluna1]]&amp;Tabela1[[#This Row],[PEDIDO]]</f>
        <v>P-190</v>
      </c>
      <c r="AL571"/>
      <c r="AM571"/>
      <c r="AN571"/>
      <c r="AO571" t="str">
        <f t="shared" ca="1" si="107"/>
        <v>(CONFORME ET:BBR-D-DF-1073-MDE-K-0017)/P190</v>
      </c>
      <c r="AP571" t="str">
        <f ca="1">Tabela1[[#This Row],[TAG]]&amp;Tabela1[[#This Row],[PEDIDO]]&amp;Tabela1[[#This Row],[PRODUTO]]</f>
        <v>P190P-190COMERCIAL</v>
      </c>
      <c r="AQ571" s="22" t="str">
        <f ca="1">Tabela1[[#This Row],[PRODUTO]]&amp;Tabela1[[#This Row],[TAG]]</f>
        <v>COMERCIALP190</v>
      </c>
      <c r="AR571" s="24" t="str">
        <f ca="1">Tabela1[[#This Row],[PEDIDO]]&amp;Tabela1[[#This Row],[PRODUTO]]</f>
        <v>P-190COMERCIAL</v>
      </c>
      <c r="AS571" s="37">
        <f ca="1">IF(AF571="",0,IF(ISTEXT(AF571),H571*VALUE(SUBSTITUTE(AF571,"%",""))/100,H571*AF571))-Tabela1[[#This Row],[PRONTO ACABADO2]]</f>
        <v>0</v>
      </c>
      <c r="AT571" s="37">
        <f ca="1">IF(AG571="",0,IF(ISTEXT(AG571),H571*VALUE(SUBSTITUTE(AG571,"%",""))/100,H571*AG571))-Tabela1[[#This Row],[PESO EXPEDIDO2]]</f>
        <v>0</v>
      </c>
      <c r="AU571" s="37">
        <f t="shared" ca="1" si="108"/>
        <v>0.12</v>
      </c>
      <c r="AV571" s="37">
        <f t="shared" ca="1" si="109"/>
        <v>0.12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 ca="1"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 ca="1">Tabela1[[#This Row],[QTDE/ Fabricação]]-Tabela1[[#This Row],[QTE]]</f>
        <v>-3</v>
      </c>
      <c r="R572" s="18">
        <f t="shared" ca="1" si="104"/>
        <v>0.15000000000000002</v>
      </c>
      <c r="S572" s="18">
        <f t="shared" ca="1" si="110"/>
        <v>0.15000000000000002</v>
      </c>
      <c r="T572" s="19">
        <f t="shared" ca="1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 ca="1">IFERROR(COUNTIF(#REF!,Tabela1[[#This Row],[Colunas5]]),"")</f>
        <v/>
      </c>
      <c r="X572" s="14">
        <f ca="1">Tabela1[[#This Row],[QIANTIDADE EXPEDIDA]]*Tabela1[[#This Row],[PESO UNI]]</f>
        <v>0.15000000000000002</v>
      </c>
      <c r="Y572" s="14">
        <f t="shared" ca="1" si="106"/>
        <v>0</v>
      </c>
      <c r="Z572" s="20">
        <f ca="1"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 ca="1">Tabela1[[#This Row],[Coluna1]]&amp;Tabela1[[#This Row],[PEDIDO]]</f>
        <v>P-190</v>
      </c>
      <c r="AL572"/>
      <c r="AM572"/>
      <c r="AN572"/>
      <c r="AO572" t="str">
        <f t="shared" ca="1" si="107"/>
        <v>(CONFORME ET:BBR-D-DF-1073-MDE-K-0017)/P190</v>
      </c>
      <c r="AP572" t="str">
        <f ca="1">Tabela1[[#This Row],[TAG]]&amp;Tabela1[[#This Row],[PEDIDO]]&amp;Tabela1[[#This Row],[PRODUTO]]</f>
        <v>P190P-190COMERCIAL</v>
      </c>
      <c r="AQ572" s="22" t="str">
        <f ca="1">Tabela1[[#This Row],[PRODUTO]]&amp;Tabela1[[#This Row],[TAG]]</f>
        <v>COMERCIALP190</v>
      </c>
      <c r="AR572" s="24" t="str">
        <f ca="1">Tabela1[[#This Row],[PEDIDO]]&amp;Tabela1[[#This Row],[PRODUTO]]</f>
        <v>P-190COMERCIAL</v>
      </c>
      <c r="AS572" s="37">
        <f ca="1">IF(AF572="",0,IF(ISTEXT(AF572),H572*VALUE(SUBSTITUTE(AF572,"%",""))/100,H572*AF572))-Tabela1[[#This Row],[PRONTO ACABADO2]]</f>
        <v>0</v>
      </c>
      <c r="AT572" s="37">
        <f ca="1">IF(AG572="",0,IF(ISTEXT(AG572),H572*VALUE(SUBSTITUTE(AG572,"%",""))/100,H572*AG572))-Tabela1[[#This Row],[PESO EXPEDIDO2]]</f>
        <v>0</v>
      </c>
      <c r="AU572" s="37">
        <f t="shared" ca="1" si="108"/>
        <v>0.15000000000000002</v>
      </c>
      <c r="AV572" s="37">
        <f t="shared" ca="1" si="109"/>
        <v>0.15000000000000002</v>
      </c>
      <c r="AW572" s="37"/>
    </row>
    <row r="573" spans="1:49" ht="15.75" hidden="1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 ca="1"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 ca="1">Tabela1[[#This Row],[QTDE/ Fabricação]]-Tabela1[[#This Row],[QTE]]</f>
        <v>-10</v>
      </c>
      <c r="R573" s="18">
        <f t="shared" ca="1" si="104"/>
        <v>0.5</v>
      </c>
      <c r="S573" s="18">
        <f t="shared" ca="1" si="110"/>
        <v>0.5</v>
      </c>
      <c r="T573" s="19">
        <f t="shared" ca="1" si="105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 ca="1">IFERROR(COUNTIF(#REF!,Tabela1[[#This Row],[Colunas5]]),"")</f>
        <v/>
      </c>
      <c r="X573" s="14">
        <f ca="1">Tabela1[[#This Row],[QIANTIDADE EXPEDIDA]]*Tabela1[[#This Row],[PESO UNI]]</f>
        <v>0.5</v>
      </c>
      <c r="Y573" s="14">
        <f t="shared" ca="1" si="106"/>
        <v>0</v>
      </c>
      <c r="Z573" s="20">
        <f ca="1"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 ca="1">Tabela1[[#This Row],[Coluna1]]&amp;Tabela1[[#This Row],[PEDIDO]]</f>
        <v>P-190</v>
      </c>
      <c r="AL573"/>
      <c r="AM573"/>
      <c r="AN573"/>
      <c r="AO573" t="str">
        <f t="shared" ca="1" si="107"/>
        <v>(CONFORME ET:BBR-D-DF-1073-MDE-K-0017)/P190</v>
      </c>
      <c r="AP573" t="str">
        <f ca="1">Tabela1[[#This Row],[TAG]]&amp;Tabela1[[#This Row],[PEDIDO]]&amp;Tabela1[[#This Row],[PRODUTO]]</f>
        <v>P190P-190COMERCIAL</v>
      </c>
      <c r="AQ573" s="22" t="str">
        <f ca="1">Tabela1[[#This Row],[PRODUTO]]&amp;Tabela1[[#This Row],[TAG]]</f>
        <v>COMERCIALP190</v>
      </c>
      <c r="AR573" s="24" t="str">
        <f ca="1">Tabela1[[#This Row],[PEDIDO]]&amp;Tabela1[[#This Row],[PRODUTO]]</f>
        <v>P-190COMERCIAL</v>
      </c>
      <c r="AS573" s="37">
        <f ca="1">IF(AF573="",0,IF(ISTEXT(AF573),H573*VALUE(SUBSTITUTE(AF573,"%",""))/100,H573*AF573))-Tabela1[[#This Row],[PRONTO ACABADO2]]</f>
        <v>0</v>
      </c>
      <c r="AT573" s="37">
        <f ca="1">IF(AG573="",0,IF(ISTEXT(AG573),H573*VALUE(SUBSTITUTE(AG573,"%",""))/100,H573*AG573))-Tabela1[[#This Row],[PESO EXPEDIDO2]]</f>
        <v>0</v>
      </c>
      <c r="AU573" s="37">
        <f t="shared" ca="1" si="108"/>
        <v>0.5</v>
      </c>
      <c r="AV573" s="37">
        <f t="shared" ca="1" si="109"/>
        <v>0.5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 ca="1"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 ca="1">Tabela1[[#This Row],[QTDE/ Fabricação]]-Tabela1[[#This Row],[QTE]]</f>
        <v>-10</v>
      </c>
      <c r="R574" s="18">
        <f t="shared" ref="R574:R603" ca="1" si="111">IFERROR(H574*((AA574*0.25)+(AC574*0.25)+(AD574*0.225)+(AE574*0.225)+(AF574*0.05)),"")</f>
        <v>0.6</v>
      </c>
      <c r="S574" s="18">
        <f t="shared" ca="1" si="110"/>
        <v>0.6</v>
      </c>
      <c r="T574" s="19">
        <f t="shared" ref="T574:T603" ca="1" si="112">IFERROR(S574-H574,"")</f>
        <v>0</v>
      </c>
      <c r="U574" s="16">
        <f ca="1"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 ca="1">IFERROR(COUNTIF(#REF!,Tabela1[[#This Row],[Colunas5]]),"")</f>
        <v/>
      </c>
      <c r="X574" s="14">
        <f ca="1">Tabela1[[#This Row],[QIANTIDADE EXPEDIDA]]*Tabela1[[#This Row],[PESO UNI]]</f>
        <v>0.6</v>
      </c>
      <c r="Y574" s="14">
        <f t="shared" ref="Y574:Y603" ca="1" si="113">U574-C574</f>
        <v>0</v>
      </c>
      <c r="Z574" s="20">
        <f ca="1"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 ca="1">Tabela1[[#This Row],[Coluna1]]&amp;Tabela1[[#This Row],[PEDIDO]]</f>
        <v>P-190</v>
      </c>
      <c r="AL574"/>
      <c r="AM574"/>
      <c r="AN574"/>
      <c r="AO574" t="str">
        <f t="shared" ref="AO574:AO604" ca="1" si="114">A574&amp;"/"&amp;J574</f>
        <v>(CONFORME ET:BBR-D-DF-1073-MDE-K-0017)/P190</v>
      </c>
      <c r="AP574" t="str">
        <f ca="1">Tabela1[[#This Row],[TAG]]&amp;Tabela1[[#This Row],[PEDIDO]]&amp;Tabela1[[#This Row],[PRODUTO]]</f>
        <v>P190P-190COMERCIAL</v>
      </c>
      <c r="AQ574" s="22" t="str">
        <f ca="1">Tabela1[[#This Row],[PRODUTO]]&amp;Tabela1[[#This Row],[TAG]]</f>
        <v>COMERCIALP190</v>
      </c>
      <c r="AR574" s="24" t="str">
        <f ca="1">Tabela1[[#This Row],[PEDIDO]]&amp;Tabela1[[#This Row],[PRODUTO]]</f>
        <v>P-190COMERCIAL</v>
      </c>
      <c r="AS574" s="37">
        <f ca="1">IF(AF574="",0,IF(ISTEXT(AF574),H574*VALUE(SUBSTITUTE(AF574,"%",""))/100,H574*AF574))-Tabela1[[#This Row],[PRONTO ACABADO2]]</f>
        <v>0</v>
      </c>
      <c r="AT574" s="37">
        <f ca="1">IF(AG574="",0,IF(ISTEXT(AG574),H574*VALUE(SUBSTITUTE(AG574,"%",""))/100,H574*AG574))-Tabela1[[#This Row],[PESO EXPEDIDO2]]</f>
        <v>0</v>
      </c>
      <c r="AU574" s="37">
        <f t="shared" ref="AU574:AU604" ca="1" si="115">IF(AH574="",0,IF(ISTEXT(AH574),H574*VALUE(SUBSTITUTE(AH574,"%",""))/100,H574*AH574))</f>
        <v>0.6</v>
      </c>
      <c r="AV574" s="37">
        <f t="shared" ref="AV574:AV604" ca="1" si="116">IF(AG574="",0,IF(ISTEXT(AG574),H574*VALUE(SUBSTITUTE(AG574,"%",""))/100,H574*AG574))</f>
        <v>0.6</v>
      </c>
      <c r="AW574" s="37"/>
    </row>
    <row r="575" spans="1:49" ht="15.75" hidden="1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 ca="1"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 ca="1">Tabela1[[#This Row],[QTDE/ Fabricação]]-Tabela1[[#This Row],[QTE]]</f>
        <v>-2</v>
      </c>
      <c r="R575" s="18">
        <f t="shared" ca="1" si="111"/>
        <v>0.06</v>
      </c>
      <c r="S575" s="18">
        <f t="shared" ca="1" si="110"/>
        <v>0.06</v>
      </c>
      <c r="T575" s="19">
        <f t="shared" ca="1" si="112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 ca="1">IFERROR(COUNTIF(#REF!,Tabela1[[#This Row],[Colunas5]]),"")</f>
        <v/>
      </c>
      <c r="X575" s="14">
        <f ca="1">Tabela1[[#This Row],[QIANTIDADE EXPEDIDA]]*Tabela1[[#This Row],[PESO UNI]]</f>
        <v>0.06</v>
      </c>
      <c r="Y575" s="14">
        <f t="shared" ca="1" si="113"/>
        <v>0</v>
      </c>
      <c r="Z575" s="20">
        <f ca="1"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 ca="1">Tabela1[[#This Row],[Coluna1]]&amp;Tabela1[[#This Row],[PEDIDO]]</f>
        <v>P-190</v>
      </c>
      <c r="AL575"/>
      <c r="AM575"/>
      <c r="AN575"/>
      <c r="AO575" t="str">
        <f t="shared" ca="1" si="114"/>
        <v>(CONFORME ET:BBR-D-DF-1073-MDE-K-0017)/P190</v>
      </c>
      <c r="AP575" t="str">
        <f ca="1">Tabela1[[#This Row],[TAG]]&amp;Tabela1[[#This Row],[PEDIDO]]&amp;Tabela1[[#This Row],[PRODUTO]]</f>
        <v>P190P-190COMERCIAL</v>
      </c>
      <c r="AQ575" s="22" t="str">
        <f ca="1">Tabela1[[#This Row],[PRODUTO]]&amp;Tabela1[[#This Row],[TAG]]</f>
        <v>COMERCIALP190</v>
      </c>
      <c r="AR575" s="24" t="str">
        <f ca="1">Tabela1[[#This Row],[PEDIDO]]&amp;Tabela1[[#This Row],[PRODUTO]]</f>
        <v>P-190COMERCIAL</v>
      </c>
      <c r="AS575" s="37">
        <f ca="1">IF(AF575="",0,IF(ISTEXT(AF575),H575*VALUE(SUBSTITUTE(AF575,"%",""))/100,H575*AF575))-Tabela1[[#This Row],[PRONTO ACABADO2]]</f>
        <v>0</v>
      </c>
      <c r="AT575" s="37">
        <f ca="1">IF(AG575="",0,IF(ISTEXT(AG575),H575*VALUE(SUBSTITUTE(AG575,"%",""))/100,H575*AG575))-Tabela1[[#This Row],[PESO EXPEDIDO2]]</f>
        <v>0</v>
      </c>
      <c r="AU575" s="37">
        <f t="shared" ca="1" si="115"/>
        <v>0.06</v>
      </c>
      <c r="AV575" s="37">
        <f t="shared" ca="1" si="116"/>
        <v>0.06</v>
      </c>
      <c r="AW575" s="37"/>
    </row>
    <row r="576" spans="1:49" ht="15.75" hidden="1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 ca="1"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 ca="1">Tabela1[[#This Row],[QTDE/ Fabricação]]-Tabela1[[#This Row],[QTE]]</f>
        <v>-4</v>
      </c>
      <c r="R576" s="18">
        <f t="shared" ca="1" si="111"/>
        <v>0.16</v>
      </c>
      <c r="S576" s="18">
        <f t="shared" ca="1" si="110"/>
        <v>0.16</v>
      </c>
      <c r="T576" s="19">
        <f t="shared" ca="1" si="112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 ca="1">IFERROR(COUNTIF(#REF!,Tabela1[[#This Row],[Colunas5]]),"")</f>
        <v/>
      </c>
      <c r="X576" s="14">
        <f ca="1">Tabela1[[#This Row],[QIANTIDADE EXPEDIDA]]*Tabela1[[#This Row],[PESO UNI]]</f>
        <v>0.16</v>
      </c>
      <c r="Y576" s="14">
        <f t="shared" ca="1" si="113"/>
        <v>0</v>
      </c>
      <c r="Z576" s="20">
        <f ca="1"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 ca="1">Tabela1[[#This Row],[Coluna1]]&amp;Tabela1[[#This Row],[PEDIDO]]</f>
        <v>P-190</v>
      </c>
      <c r="AL576"/>
      <c r="AM576"/>
      <c r="AN576"/>
      <c r="AO576" t="str">
        <f t="shared" ca="1" si="114"/>
        <v>(CONFORME ET:BBR-D-DF-1073-MDE-K-0017)/P190</v>
      </c>
      <c r="AP576" t="str">
        <f ca="1">Tabela1[[#This Row],[TAG]]&amp;Tabela1[[#This Row],[PEDIDO]]&amp;Tabela1[[#This Row],[PRODUTO]]</f>
        <v>P190P-190COMERCIAL</v>
      </c>
      <c r="AQ576" s="22" t="str">
        <f ca="1">Tabela1[[#This Row],[PRODUTO]]&amp;Tabela1[[#This Row],[TAG]]</f>
        <v>COMERCIALP190</v>
      </c>
      <c r="AR576" s="24" t="str">
        <f ca="1">Tabela1[[#This Row],[PEDIDO]]&amp;Tabela1[[#This Row],[PRODUTO]]</f>
        <v>P-190COMERCIAL</v>
      </c>
      <c r="AS576" s="37">
        <f ca="1">IF(AF576="",0,IF(ISTEXT(AF576),H576*VALUE(SUBSTITUTE(AF576,"%",""))/100,H576*AF576))-Tabela1[[#This Row],[PRONTO ACABADO2]]</f>
        <v>0</v>
      </c>
      <c r="AT576" s="37">
        <f ca="1">IF(AG576="",0,IF(ISTEXT(AG576),H576*VALUE(SUBSTITUTE(AG576,"%",""))/100,H576*AG576))-Tabela1[[#This Row],[PESO EXPEDIDO2]]</f>
        <v>0</v>
      </c>
      <c r="AU576" s="37">
        <f t="shared" ca="1" si="115"/>
        <v>0.16</v>
      </c>
      <c r="AV576" s="37">
        <f t="shared" ca="1" si="116"/>
        <v>0.16</v>
      </c>
      <c r="AW576" s="37"/>
    </row>
    <row r="577" spans="1:49" ht="15.75" hidden="1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 ca="1"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 ca="1">Tabela1[[#This Row],[QTDE/ Fabricação]]-Tabela1[[#This Row],[QTE]]</f>
        <v>-2</v>
      </c>
      <c r="R577" s="18">
        <f t="shared" ca="1" si="111"/>
        <v>0.04</v>
      </c>
      <c r="S577" s="18">
        <f t="shared" ca="1" si="110"/>
        <v>0.04</v>
      </c>
      <c r="T577" s="19">
        <f t="shared" ca="1" si="112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 ca="1">IFERROR(COUNTIF(#REF!,Tabela1[[#This Row],[Colunas5]]),"")</f>
        <v/>
      </c>
      <c r="X577" s="14">
        <f ca="1">Tabela1[[#This Row],[QIANTIDADE EXPEDIDA]]*Tabela1[[#This Row],[PESO UNI]]</f>
        <v>0.04</v>
      </c>
      <c r="Y577" s="14">
        <f t="shared" ca="1" si="113"/>
        <v>0</v>
      </c>
      <c r="Z577" s="20">
        <f ca="1"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 ca="1">Tabela1[[#This Row],[Coluna1]]&amp;Tabela1[[#This Row],[PEDIDO]]</f>
        <v>P-190</v>
      </c>
      <c r="AL577"/>
      <c r="AM577"/>
      <c r="AN577"/>
      <c r="AO577" t="str">
        <f t="shared" ca="1" si="114"/>
        <v>(CONFORME ET:BBR-D-DF-1073-MDE-K-0017)/P190</v>
      </c>
      <c r="AP577" t="str">
        <f ca="1">Tabela1[[#This Row],[TAG]]&amp;Tabela1[[#This Row],[PEDIDO]]&amp;Tabela1[[#This Row],[PRODUTO]]</f>
        <v>P190P-190COMERCIAL</v>
      </c>
      <c r="AQ577" s="22" t="str">
        <f ca="1">Tabela1[[#This Row],[PRODUTO]]&amp;Tabela1[[#This Row],[TAG]]</f>
        <v>COMERCIALP190</v>
      </c>
      <c r="AR577" s="24" t="str">
        <f ca="1">Tabela1[[#This Row],[PEDIDO]]&amp;Tabela1[[#This Row],[PRODUTO]]</f>
        <v>P-190COMERCIAL</v>
      </c>
      <c r="AS577" s="37">
        <f ca="1">IF(AF577="",0,IF(ISTEXT(AF577),H577*VALUE(SUBSTITUTE(AF577,"%",""))/100,H577*AF577))-Tabela1[[#This Row],[PRONTO ACABADO2]]</f>
        <v>0</v>
      </c>
      <c r="AT577" s="37">
        <f ca="1">IF(AG577="",0,IF(ISTEXT(AG577),H577*VALUE(SUBSTITUTE(AG577,"%",""))/100,H577*AG577))-Tabela1[[#This Row],[PESO EXPEDIDO2]]</f>
        <v>0</v>
      </c>
      <c r="AU577" s="37">
        <f t="shared" ca="1" si="115"/>
        <v>0.04</v>
      </c>
      <c r="AV577" s="37">
        <f t="shared" ca="1" si="116"/>
        <v>0.04</v>
      </c>
      <c r="AW577" s="37"/>
    </row>
    <row r="578" spans="1:49" ht="15.75" hidden="1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 ca="1"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 ca="1">Tabela1[[#This Row],[QTDE/ Fabricação]]-Tabela1[[#This Row],[QTE]]</f>
        <v>-8</v>
      </c>
      <c r="R578" s="18">
        <f t="shared" ca="1" si="111"/>
        <v>0.32</v>
      </c>
      <c r="S578" s="18">
        <f t="shared" ca="1" si="110"/>
        <v>0.32</v>
      </c>
      <c r="T578" s="19">
        <f t="shared" ca="1" si="112"/>
        <v>0</v>
      </c>
      <c r="U578" s="16">
        <f ca="1"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 ca="1">IFERROR(COUNTIF(#REF!,Tabela1[[#This Row],[Colunas5]]),"")</f>
        <v/>
      </c>
      <c r="X578" s="14">
        <f ca="1">Tabela1[[#This Row],[QIANTIDADE EXPEDIDA]]*Tabela1[[#This Row],[PESO UNI]]</f>
        <v>0.32</v>
      </c>
      <c r="Y578" s="14">
        <f t="shared" ca="1" si="113"/>
        <v>0</v>
      </c>
      <c r="Z578" s="20">
        <f ca="1"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 ca="1">Tabela1[[#This Row],[Coluna1]]&amp;Tabela1[[#This Row],[PEDIDO]]</f>
        <v>P-190</v>
      </c>
      <c r="AL578"/>
      <c r="AM578"/>
      <c r="AN578"/>
      <c r="AO578" t="str">
        <f t="shared" ca="1" si="114"/>
        <v>(CONFORME ET:BBR-D-DF-1073-MDE-K-0017)/P190</v>
      </c>
      <c r="AP578" t="str">
        <f ca="1">Tabela1[[#This Row],[TAG]]&amp;Tabela1[[#This Row],[PEDIDO]]&amp;Tabela1[[#This Row],[PRODUTO]]</f>
        <v>P190P-190COMERCIAL</v>
      </c>
      <c r="AQ578" s="22" t="str">
        <f ca="1">Tabela1[[#This Row],[PRODUTO]]&amp;Tabela1[[#This Row],[TAG]]</f>
        <v>COMERCIALP190</v>
      </c>
      <c r="AR578" s="24" t="str">
        <f ca="1">Tabela1[[#This Row],[PEDIDO]]&amp;Tabela1[[#This Row],[PRODUTO]]</f>
        <v>P-190COMERCIAL</v>
      </c>
      <c r="AS578" s="37">
        <f ca="1">IF(AF578="",0,IF(ISTEXT(AF578),H578*VALUE(SUBSTITUTE(AF578,"%",""))/100,H578*AF578))-Tabela1[[#This Row],[PRONTO ACABADO2]]</f>
        <v>0</v>
      </c>
      <c r="AT578" s="37">
        <f ca="1">IF(AG578="",0,IF(ISTEXT(AG578),H578*VALUE(SUBSTITUTE(AG578,"%",""))/100,H578*AG578))-Tabela1[[#This Row],[PESO EXPEDIDO2]]</f>
        <v>0</v>
      </c>
      <c r="AU578" s="37">
        <f t="shared" ca="1" si="115"/>
        <v>0.32</v>
      </c>
      <c r="AV578" s="37">
        <f t="shared" ca="1" si="116"/>
        <v>0.32</v>
      </c>
      <c r="AW578" s="37"/>
    </row>
    <row r="579" spans="1:49" ht="15.75" hidden="1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 ca="1"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 ca="1">Tabela1[[#This Row],[QTDE/ Fabricação]]-Tabela1[[#This Row],[QTE]]</f>
        <v>-1</v>
      </c>
      <c r="R579" s="18">
        <f t="shared" ca="1" si="111"/>
        <v>2.2000000000000002</v>
      </c>
      <c r="S579" s="18">
        <f t="shared" ca="1" si="110"/>
        <v>2.2000000000000002</v>
      </c>
      <c r="T579" s="19">
        <f t="shared" ca="1" si="112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 ca="1">IFERROR(COUNTIF(#REF!,Tabela1[[#This Row],[Colunas5]]),"")</f>
        <v/>
      </c>
      <c r="X579" s="14">
        <f ca="1">Tabela1[[#This Row],[QIANTIDADE EXPEDIDA]]*Tabela1[[#This Row],[PESO UNI]]</f>
        <v>2.2000000000000002</v>
      </c>
      <c r="Y579" s="14">
        <f t="shared" ca="1" si="113"/>
        <v>0</v>
      </c>
      <c r="Z579" s="20">
        <f ca="1"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 ca="1">Tabela1[[#This Row],[Coluna1]]&amp;Tabela1[[#This Row],[PEDIDO]]</f>
        <v>P-190</v>
      </c>
      <c r="AL579"/>
      <c r="AM579"/>
      <c r="AN579"/>
      <c r="AO579" t="str">
        <f t="shared" ca="1" si="114"/>
        <v>(CONFORME ET:BBR-D-DF-1073-MDE-K-0017)/P190</v>
      </c>
      <c r="AP579" t="str">
        <f ca="1">Tabela1[[#This Row],[TAG]]&amp;Tabela1[[#This Row],[PEDIDO]]&amp;Tabela1[[#This Row],[PRODUTO]]</f>
        <v>P190P-190COMERCIAL</v>
      </c>
      <c r="AQ579" s="22" t="str">
        <f ca="1">Tabela1[[#This Row],[PRODUTO]]&amp;Tabela1[[#This Row],[TAG]]</f>
        <v>COMERCIALP190</v>
      </c>
      <c r="AR579" s="24" t="str">
        <f ca="1">Tabela1[[#This Row],[PEDIDO]]&amp;Tabela1[[#This Row],[PRODUTO]]</f>
        <v>P-190COMERCIAL</v>
      </c>
      <c r="AS579" s="37">
        <f ca="1">IF(AF579="",0,IF(ISTEXT(AF579),H579*VALUE(SUBSTITUTE(AF579,"%",""))/100,H579*AF579))-Tabela1[[#This Row],[PRONTO ACABADO2]]</f>
        <v>0</v>
      </c>
      <c r="AT579" s="37">
        <f ca="1">IF(AG579="",0,IF(ISTEXT(AG579),H579*VALUE(SUBSTITUTE(AG579,"%",""))/100,H579*AG579))-Tabela1[[#This Row],[PESO EXPEDIDO2]]</f>
        <v>0</v>
      </c>
      <c r="AU579" s="37">
        <f t="shared" ca="1" si="115"/>
        <v>2.2000000000000002</v>
      </c>
      <c r="AV579" s="37">
        <f t="shared" ca="1" si="116"/>
        <v>2.2000000000000002</v>
      </c>
      <c r="AW579" s="37"/>
    </row>
    <row r="580" spans="1:49" ht="15.75" hidden="1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 ca="1"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 ca="1">Tabela1[[#This Row],[QTDE/ Fabricação]]-Tabela1[[#This Row],[QTE]]</f>
        <v>-71</v>
      </c>
      <c r="R580" s="18">
        <f t="shared" ca="1" si="111"/>
        <v>9.0169999999999995</v>
      </c>
      <c r="S580" s="18">
        <f t="shared" ca="1" si="110"/>
        <v>9.0169999999999995</v>
      </c>
      <c r="T580" s="19">
        <f t="shared" ca="1" si="112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 ca="1">IFERROR(COUNTIF(#REF!,Tabela1[[#This Row],[Colunas5]]),"")</f>
        <v/>
      </c>
      <c r="X580" s="14">
        <f ca="1">Tabela1[[#This Row],[QIANTIDADE EXPEDIDA]]*Tabela1[[#This Row],[PESO UNI]]</f>
        <v>9.0169999999999995</v>
      </c>
      <c r="Y580" s="14">
        <f t="shared" ca="1" si="113"/>
        <v>0</v>
      </c>
      <c r="Z580" s="20">
        <f ca="1"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 ca="1">Tabela1[[#This Row],[Coluna1]]&amp;Tabela1[[#This Row],[PEDIDO]]</f>
        <v>P-190</v>
      </c>
      <c r="AL580"/>
      <c r="AM580"/>
      <c r="AN580"/>
      <c r="AO580" t="str">
        <f t="shared" ca="1" si="114"/>
        <v>(CONFORME ET:BBR-D-DF-1073-MDE-K-0017)/P190</v>
      </c>
      <c r="AP580" t="str">
        <f ca="1">Tabela1[[#This Row],[TAG]]&amp;Tabela1[[#This Row],[PEDIDO]]&amp;Tabela1[[#This Row],[PRODUTO]]</f>
        <v>P190P-190COMERCIAL</v>
      </c>
      <c r="AQ580" s="22" t="str">
        <f ca="1">Tabela1[[#This Row],[PRODUTO]]&amp;Tabela1[[#This Row],[TAG]]</f>
        <v>COMERCIALP190</v>
      </c>
      <c r="AR580" s="24" t="str">
        <f ca="1">Tabela1[[#This Row],[PEDIDO]]&amp;Tabela1[[#This Row],[PRODUTO]]</f>
        <v>P-190COMERCIAL</v>
      </c>
      <c r="AS580" s="37">
        <f ca="1">IF(AF580="",0,IF(ISTEXT(AF580),H580*VALUE(SUBSTITUTE(AF580,"%",""))/100,H580*AF580))-Tabela1[[#This Row],[PRONTO ACABADO2]]</f>
        <v>0</v>
      </c>
      <c r="AT580" s="37">
        <f ca="1">IF(AG580="",0,IF(ISTEXT(AG580),H580*VALUE(SUBSTITUTE(AG580,"%",""))/100,H580*AG580))-Tabela1[[#This Row],[PESO EXPEDIDO2]]</f>
        <v>0</v>
      </c>
      <c r="AU580" s="37">
        <f t="shared" ca="1" si="115"/>
        <v>9.0169999999999995</v>
      </c>
      <c r="AV580" s="37">
        <f t="shared" ca="1" si="116"/>
        <v>9.0169999999999995</v>
      </c>
      <c r="AW580" s="37"/>
    </row>
    <row r="581" spans="1:49" ht="15.75" hidden="1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 ca="1"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 ca="1">Tabela1[[#This Row],[QTDE/ Fabricação]]-Tabela1[[#This Row],[QTE]]</f>
        <v>-10</v>
      </c>
      <c r="R581" s="18">
        <f t="shared" ca="1" si="111"/>
        <v>1.4000000000000001</v>
      </c>
      <c r="S581" s="18">
        <f t="shared" ca="1" si="110"/>
        <v>1.4000000000000001</v>
      </c>
      <c r="T581" s="19">
        <f t="shared" ca="1" si="112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 ca="1">IFERROR(COUNTIF(#REF!,Tabela1[[#This Row],[Colunas5]]),"")</f>
        <v/>
      </c>
      <c r="X581" s="14">
        <f ca="1">Tabela1[[#This Row],[QIANTIDADE EXPEDIDA]]*Tabela1[[#This Row],[PESO UNI]]</f>
        <v>1.4000000000000001</v>
      </c>
      <c r="Y581" s="14">
        <f t="shared" ca="1" si="113"/>
        <v>0</v>
      </c>
      <c r="Z581" s="20">
        <f ca="1"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 ca="1">Tabela1[[#This Row],[Coluna1]]&amp;Tabela1[[#This Row],[PEDIDO]]</f>
        <v>P-190</v>
      </c>
      <c r="AL581"/>
      <c r="AM581"/>
      <c r="AN581"/>
      <c r="AO581" t="str">
        <f t="shared" ca="1" si="114"/>
        <v>(CONFORME ET:BBR-D-DF-1073-MDE-K-0017)/P190</v>
      </c>
      <c r="AP581" t="str">
        <f ca="1">Tabela1[[#This Row],[TAG]]&amp;Tabela1[[#This Row],[PEDIDO]]&amp;Tabela1[[#This Row],[PRODUTO]]</f>
        <v>P190P-190COMERCIAL</v>
      </c>
      <c r="AQ581" s="22" t="str">
        <f ca="1">Tabela1[[#This Row],[PRODUTO]]&amp;Tabela1[[#This Row],[TAG]]</f>
        <v>COMERCIALP190</v>
      </c>
      <c r="AR581" s="24" t="str">
        <f ca="1">Tabela1[[#This Row],[PEDIDO]]&amp;Tabela1[[#This Row],[PRODUTO]]</f>
        <v>P-190COMERCIAL</v>
      </c>
      <c r="AS581" s="37">
        <f ca="1">IF(AF581="",0,IF(ISTEXT(AF581),H581*VALUE(SUBSTITUTE(AF581,"%",""))/100,H581*AF581))-Tabela1[[#This Row],[PRONTO ACABADO2]]</f>
        <v>0</v>
      </c>
      <c r="AT581" s="37">
        <f ca="1">IF(AG581="",0,IF(ISTEXT(AG581),H581*VALUE(SUBSTITUTE(AG581,"%",""))/100,H581*AG581))-Tabela1[[#This Row],[PESO EXPEDIDO2]]</f>
        <v>0</v>
      </c>
      <c r="AU581" s="37">
        <f t="shared" ca="1" si="115"/>
        <v>1.4000000000000001</v>
      </c>
      <c r="AV581" s="37">
        <f t="shared" ca="1" si="116"/>
        <v>1.4000000000000001</v>
      </c>
      <c r="AW581" s="37"/>
    </row>
    <row r="582" spans="1:49" ht="15.75" hidden="1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 ca="1"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 ca="1">Tabela1[[#This Row],[QTDE/ Fabricação]]-Tabela1[[#This Row],[QTE]]</f>
        <v>-18</v>
      </c>
      <c r="R582" s="18">
        <f t="shared" ca="1" si="111"/>
        <v>6.6059999999999999</v>
      </c>
      <c r="S582" s="18">
        <f t="shared" ca="1" si="110"/>
        <v>6.6059999999999999</v>
      </c>
      <c r="T582" s="19">
        <f t="shared" ca="1" si="112"/>
        <v>0</v>
      </c>
      <c r="U582" s="16">
        <f ca="1"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 ca="1">IFERROR(COUNTIF(#REF!,Tabela1[[#This Row],[Colunas5]]),"")</f>
        <v/>
      </c>
      <c r="X582" s="14">
        <f ca="1">Tabela1[[#This Row],[QIANTIDADE EXPEDIDA]]*Tabela1[[#This Row],[PESO UNI]]</f>
        <v>6.6059999999999999</v>
      </c>
      <c r="Y582" s="14">
        <f t="shared" ca="1" si="113"/>
        <v>0</v>
      </c>
      <c r="Z582" s="20">
        <f ca="1"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 ca="1">Tabela1[[#This Row],[Coluna1]]&amp;Tabela1[[#This Row],[PEDIDO]]</f>
        <v>P-190</v>
      </c>
      <c r="AL582"/>
      <c r="AM582"/>
      <c r="AN582"/>
      <c r="AO582" t="str">
        <f t="shared" ca="1" si="114"/>
        <v>(CONFORME ET:BBR-D-DF-1073-MDE-K-0017)/P190</v>
      </c>
      <c r="AP582" t="str">
        <f ca="1">Tabela1[[#This Row],[TAG]]&amp;Tabela1[[#This Row],[PEDIDO]]&amp;Tabela1[[#This Row],[PRODUTO]]</f>
        <v>P190P-190COMERCIAL</v>
      </c>
      <c r="AQ582" s="22" t="str">
        <f ca="1">Tabela1[[#This Row],[PRODUTO]]&amp;Tabela1[[#This Row],[TAG]]</f>
        <v>COMERCIALP190</v>
      </c>
      <c r="AR582" s="24" t="str">
        <f ca="1">Tabela1[[#This Row],[PEDIDO]]&amp;Tabela1[[#This Row],[PRODUTO]]</f>
        <v>P-190COMERCIAL</v>
      </c>
      <c r="AS582" s="37">
        <f ca="1">IF(AF582="",0,IF(ISTEXT(AF582),H582*VALUE(SUBSTITUTE(AF582,"%",""))/100,H582*AF582))-Tabela1[[#This Row],[PRONTO ACABADO2]]</f>
        <v>0</v>
      </c>
      <c r="AT582" s="37">
        <f ca="1">IF(AG582="",0,IF(ISTEXT(AG582),H582*VALUE(SUBSTITUTE(AG582,"%",""))/100,H582*AG582))-Tabela1[[#This Row],[PESO EXPEDIDO2]]</f>
        <v>0</v>
      </c>
      <c r="AU582" s="37">
        <f t="shared" ca="1" si="115"/>
        <v>6.6059999999999999</v>
      </c>
      <c r="AV582" s="37">
        <f t="shared" ca="1" si="116"/>
        <v>6.6059999999999999</v>
      </c>
      <c r="AW582" s="37"/>
    </row>
    <row r="583" spans="1:49" ht="15.75" hidden="1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 ca="1"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 ca="1">Tabela1[[#This Row],[QTDE/ Fabricação]]-Tabela1[[#This Row],[QTE]]</f>
        <v>-50</v>
      </c>
      <c r="R583" s="18">
        <f t="shared" ca="1" si="111"/>
        <v>28.499999999999996</v>
      </c>
      <c r="S583" s="18">
        <f t="shared" ca="1" si="110"/>
        <v>28.499999999999996</v>
      </c>
      <c r="T583" s="19">
        <f t="shared" ca="1" si="112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 ca="1">IFERROR(COUNTIF(#REF!,Tabela1[[#This Row],[Colunas5]]),"")</f>
        <v/>
      </c>
      <c r="X583" s="14">
        <f ca="1">Tabela1[[#This Row],[QIANTIDADE EXPEDIDA]]*Tabela1[[#This Row],[PESO UNI]]</f>
        <v>28.499999999999996</v>
      </c>
      <c r="Y583" s="14">
        <f t="shared" ca="1" si="113"/>
        <v>0</v>
      </c>
      <c r="Z583" s="20">
        <f ca="1"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 ca="1">Tabela1[[#This Row],[Coluna1]]&amp;Tabela1[[#This Row],[PEDIDO]]</f>
        <v>P-190</v>
      </c>
      <c r="AL583"/>
      <c r="AM583"/>
      <c r="AN583"/>
      <c r="AO583" t="str">
        <f t="shared" ca="1" si="114"/>
        <v>(CONFORME ET:BBR-D-DF-1073-MDE-K-0017)/P190</v>
      </c>
      <c r="AP583" t="str">
        <f ca="1">Tabela1[[#This Row],[TAG]]&amp;Tabela1[[#This Row],[PEDIDO]]&amp;Tabela1[[#This Row],[PRODUTO]]</f>
        <v>P190P-190COMERCIAL</v>
      </c>
      <c r="AQ583" s="22" t="str">
        <f ca="1">Tabela1[[#This Row],[PRODUTO]]&amp;Tabela1[[#This Row],[TAG]]</f>
        <v>COMERCIALP190</v>
      </c>
      <c r="AR583" s="24" t="str">
        <f ca="1">Tabela1[[#This Row],[PEDIDO]]&amp;Tabela1[[#This Row],[PRODUTO]]</f>
        <v>P-190COMERCIAL</v>
      </c>
      <c r="AS583" s="37">
        <f ca="1">IF(AF583="",0,IF(ISTEXT(AF583),H583*VALUE(SUBSTITUTE(AF583,"%",""))/100,H583*AF583))-Tabela1[[#This Row],[PRONTO ACABADO2]]</f>
        <v>0</v>
      </c>
      <c r="AT583" s="37">
        <f ca="1">IF(AG583="",0,IF(ISTEXT(AG583),H583*VALUE(SUBSTITUTE(AG583,"%",""))/100,H583*AG583))-Tabela1[[#This Row],[PESO EXPEDIDO2]]</f>
        <v>0</v>
      </c>
      <c r="AU583" s="37">
        <f t="shared" ca="1" si="115"/>
        <v>28.499999999999996</v>
      </c>
      <c r="AV583" s="37">
        <f t="shared" ca="1" si="116"/>
        <v>28.499999999999996</v>
      </c>
      <c r="AW583" s="37"/>
    </row>
    <row r="584" spans="1:49" ht="15.75" hidden="1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 ca="1"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 ca="1">Tabela1[[#This Row],[QTDE/ Fabricação]]-Tabela1[[#This Row],[QTE]]</f>
        <v>-60</v>
      </c>
      <c r="R584" s="18">
        <f t="shared" ca="1" si="111"/>
        <v>9.9960000000000004</v>
      </c>
      <c r="S584" s="18">
        <f t="shared" ca="1" si="110"/>
        <v>9.9960000000000004</v>
      </c>
      <c r="T584" s="19">
        <f t="shared" ca="1" si="112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 ca="1">IFERROR(COUNTIF(#REF!,Tabela1[[#This Row],[Colunas5]]),"")</f>
        <v/>
      </c>
      <c r="X584" s="14">
        <f ca="1">Tabela1[[#This Row],[QIANTIDADE EXPEDIDA]]*Tabela1[[#This Row],[PESO UNI]]</f>
        <v>9.9960000000000004</v>
      </c>
      <c r="Y584" s="14">
        <f t="shared" ca="1" si="113"/>
        <v>0</v>
      </c>
      <c r="Z584" s="20">
        <f ca="1"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 ca="1">Tabela1[[#This Row],[Coluna1]]&amp;Tabela1[[#This Row],[PEDIDO]]</f>
        <v>P-190</v>
      </c>
      <c r="AL584"/>
      <c r="AM584"/>
      <c r="AN584"/>
      <c r="AO584" t="str">
        <f t="shared" ca="1" si="114"/>
        <v>(CONFORME ET:BBR-D-DF-1073-MDE-K-0017)/P190</v>
      </c>
      <c r="AP584" t="str">
        <f ca="1">Tabela1[[#This Row],[TAG]]&amp;Tabela1[[#This Row],[PEDIDO]]&amp;Tabela1[[#This Row],[PRODUTO]]</f>
        <v>P190P-190COMERCIAL</v>
      </c>
      <c r="AQ584" s="22" t="str">
        <f ca="1">Tabela1[[#This Row],[PRODUTO]]&amp;Tabela1[[#This Row],[TAG]]</f>
        <v>COMERCIALP190</v>
      </c>
      <c r="AR584" s="24" t="str">
        <f ca="1">Tabela1[[#This Row],[PEDIDO]]&amp;Tabela1[[#This Row],[PRODUTO]]</f>
        <v>P-190COMERCIAL</v>
      </c>
      <c r="AS584" s="37">
        <f ca="1">IF(AF584="",0,IF(ISTEXT(AF584),H584*VALUE(SUBSTITUTE(AF584,"%",""))/100,H584*AF584))-Tabela1[[#This Row],[PRONTO ACABADO2]]</f>
        <v>0</v>
      </c>
      <c r="AT584" s="37">
        <f ca="1">IF(AG584="",0,IF(ISTEXT(AG584),H584*VALUE(SUBSTITUTE(AG584,"%",""))/100,H584*AG584))-Tabela1[[#This Row],[PESO EXPEDIDO2]]</f>
        <v>0</v>
      </c>
      <c r="AU584" s="37">
        <f t="shared" ca="1" si="115"/>
        <v>9.9960000000000004</v>
      </c>
      <c r="AV584" s="37">
        <f t="shared" ca="1" si="116"/>
        <v>9.9960000000000004</v>
      </c>
      <c r="AW584" s="37"/>
    </row>
    <row r="585" spans="1:49" ht="15.75" hidden="1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 ca="1"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 ca="1">Tabela1[[#This Row],[QTDE/ Fabricação]]-Tabela1[[#This Row],[QTE]]</f>
        <v>-15</v>
      </c>
      <c r="R585" s="18">
        <f t="shared" ca="1" si="111"/>
        <v>2.4</v>
      </c>
      <c r="S585" s="18">
        <f t="shared" ca="1" si="110"/>
        <v>2.4</v>
      </c>
      <c r="T585" s="19">
        <f t="shared" ca="1" si="112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 ca="1">IFERROR(COUNTIF(#REF!,Tabela1[[#This Row],[Colunas5]]),"")</f>
        <v/>
      </c>
      <c r="X585" s="14">
        <f ca="1">Tabela1[[#This Row],[QIANTIDADE EXPEDIDA]]*Tabela1[[#This Row],[PESO UNI]]</f>
        <v>2.4</v>
      </c>
      <c r="Y585" s="14">
        <f t="shared" ca="1" si="113"/>
        <v>0</v>
      </c>
      <c r="Z585" s="20">
        <f ca="1"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 ca="1">Tabela1[[#This Row],[Coluna1]]&amp;Tabela1[[#This Row],[PEDIDO]]</f>
        <v>P-190</v>
      </c>
      <c r="AL585"/>
      <c r="AM585"/>
      <c r="AN585"/>
      <c r="AO585" t="str">
        <f t="shared" ca="1" si="114"/>
        <v>(CONFORME ET:BBR-D-DF-1073-MDE-K-0017)/P190</v>
      </c>
      <c r="AP585" t="str">
        <f ca="1">Tabela1[[#This Row],[TAG]]&amp;Tabela1[[#This Row],[PEDIDO]]&amp;Tabela1[[#This Row],[PRODUTO]]</f>
        <v>P190P-190COMERCIAL</v>
      </c>
      <c r="AQ585" s="22" t="str">
        <f ca="1">Tabela1[[#This Row],[PRODUTO]]&amp;Tabela1[[#This Row],[TAG]]</f>
        <v>COMERCIALP190</v>
      </c>
      <c r="AR585" s="24" t="str">
        <f ca="1">Tabela1[[#This Row],[PEDIDO]]&amp;Tabela1[[#This Row],[PRODUTO]]</f>
        <v>P-190COMERCIAL</v>
      </c>
      <c r="AS585" s="37">
        <f ca="1">IF(AF585="",0,IF(ISTEXT(AF585),H585*VALUE(SUBSTITUTE(AF585,"%",""))/100,H585*AF585))-Tabela1[[#This Row],[PRONTO ACABADO2]]</f>
        <v>0</v>
      </c>
      <c r="AT585" s="37">
        <f ca="1">IF(AG585="",0,IF(ISTEXT(AG585),H585*VALUE(SUBSTITUTE(AG585,"%",""))/100,H585*AG585))-Tabela1[[#This Row],[PESO EXPEDIDO2]]</f>
        <v>0</v>
      </c>
      <c r="AU585" s="37">
        <f t="shared" ca="1" si="115"/>
        <v>2.4</v>
      </c>
      <c r="AV585" s="37">
        <f t="shared" ca="1" si="116"/>
        <v>2.4</v>
      </c>
      <c r="AW585" s="37"/>
    </row>
    <row r="586" spans="1:49" ht="15.75" hidden="1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 ca="1"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 ca="1">Tabela1[[#This Row],[QTDE/ Fabricação]]-Tabela1[[#This Row],[QTE]]</f>
        <v>-52</v>
      </c>
      <c r="R586" s="18">
        <f t="shared" ca="1" si="111"/>
        <v>23.192</v>
      </c>
      <c r="S586" s="18">
        <f t="shared" ca="1" si="110"/>
        <v>23.192</v>
      </c>
      <c r="T586" s="19">
        <f t="shared" ca="1" si="112"/>
        <v>0</v>
      </c>
      <c r="U586" s="16">
        <f ca="1"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 ca="1">IFERROR(COUNTIF(#REF!,Tabela1[[#This Row],[Colunas5]]),"")</f>
        <v/>
      </c>
      <c r="X586" s="14">
        <f ca="1">Tabela1[[#This Row],[QIANTIDADE EXPEDIDA]]*Tabela1[[#This Row],[PESO UNI]]</f>
        <v>23.192</v>
      </c>
      <c r="Y586" s="14">
        <f t="shared" ca="1" si="113"/>
        <v>0</v>
      </c>
      <c r="Z586" s="20">
        <f ca="1"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 ca="1">Tabela1[[#This Row],[Coluna1]]&amp;Tabela1[[#This Row],[PEDIDO]]</f>
        <v>P-190</v>
      </c>
      <c r="AL586"/>
      <c r="AM586"/>
      <c r="AN586"/>
      <c r="AO586" t="str">
        <f t="shared" ca="1" si="114"/>
        <v>(CONFORME ET:BBR-D-DF-1073-MDE-K-0017)/P190</v>
      </c>
      <c r="AP586" t="str">
        <f ca="1">Tabela1[[#This Row],[TAG]]&amp;Tabela1[[#This Row],[PEDIDO]]&amp;Tabela1[[#This Row],[PRODUTO]]</f>
        <v>P190P-190COMERCIAL</v>
      </c>
      <c r="AQ586" s="22" t="str">
        <f ca="1">Tabela1[[#This Row],[PRODUTO]]&amp;Tabela1[[#This Row],[TAG]]</f>
        <v>COMERCIALP190</v>
      </c>
      <c r="AR586" s="24" t="str">
        <f ca="1">Tabela1[[#This Row],[PEDIDO]]&amp;Tabela1[[#This Row],[PRODUTO]]</f>
        <v>P-190COMERCIAL</v>
      </c>
      <c r="AS586" s="37">
        <f ca="1">IF(AF586="",0,IF(ISTEXT(AF586),H586*VALUE(SUBSTITUTE(AF586,"%",""))/100,H586*AF586))-Tabela1[[#This Row],[PRONTO ACABADO2]]</f>
        <v>0</v>
      </c>
      <c r="AT586" s="37">
        <f ca="1">IF(AG586="",0,IF(ISTEXT(AG586),H586*VALUE(SUBSTITUTE(AG586,"%",""))/100,H586*AG586))-Tabela1[[#This Row],[PESO EXPEDIDO2]]</f>
        <v>0</v>
      </c>
      <c r="AU586" s="37">
        <f t="shared" ca="1" si="115"/>
        <v>23.192</v>
      </c>
      <c r="AV586" s="37">
        <f t="shared" ca="1" si="116"/>
        <v>23.192</v>
      </c>
      <c r="AW586" s="37"/>
    </row>
    <row r="587" spans="1:49" ht="15.75" hidden="1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 ca="1"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 ca="1">Tabela1[[#This Row],[QTDE/ Fabricação]]-Tabela1[[#This Row],[QTE]]</f>
        <v>-78</v>
      </c>
      <c r="R587" s="18">
        <f t="shared" ca="1" si="111"/>
        <v>11.543999999999999</v>
      </c>
      <c r="S587" s="18">
        <f t="shared" ca="1" si="110"/>
        <v>11.543999999999999</v>
      </c>
      <c r="T587" s="19">
        <f t="shared" ca="1" si="112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 ca="1">IFERROR(COUNTIF(#REF!,Tabela1[[#This Row],[Colunas5]]),"")</f>
        <v/>
      </c>
      <c r="X587" s="14">
        <f ca="1">Tabela1[[#This Row],[QIANTIDADE EXPEDIDA]]*Tabela1[[#This Row],[PESO UNI]]</f>
        <v>11.543999999999999</v>
      </c>
      <c r="Y587" s="14">
        <f t="shared" ca="1" si="113"/>
        <v>0</v>
      </c>
      <c r="Z587" s="20">
        <f ca="1"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 ca="1">Tabela1[[#This Row],[Coluna1]]&amp;Tabela1[[#This Row],[PEDIDO]]</f>
        <v>P-190</v>
      </c>
      <c r="AL587"/>
      <c r="AM587"/>
      <c r="AN587"/>
      <c r="AO587" t="str">
        <f t="shared" ca="1" si="114"/>
        <v>(CONFORME ET:BBR-D-DF-1073-MDE-K-0017)/P190</v>
      </c>
      <c r="AP587" t="str">
        <f ca="1">Tabela1[[#This Row],[TAG]]&amp;Tabela1[[#This Row],[PEDIDO]]&amp;Tabela1[[#This Row],[PRODUTO]]</f>
        <v>P190P-190COMERCIAL</v>
      </c>
      <c r="AQ587" s="22" t="str">
        <f ca="1">Tabela1[[#This Row],[PRODUTO]]&amp;Tabela1[[#This Row],[TAG]]</f>
        <v>COMERCIALP190</v>
      </c>
      <c r="AR587" s="24" t="str">
        <f ca="1">Tabela1[[#This Row],[PEDIDO]]&amp;Tabela1[[#This Row],[PRODUTO]]</f>
        <v>P-190COMERCIAL</v>
      </c>
      <c r="AS587" s="37">
        <f ca="1">IF(AF587="",0,IF(ISTEXT(AF587),H587*VALUE(SUBSTITUTE(AF587,"%",""))/100,H587*AF587))-Tabela1[[#This Row],[PRONTO ACABADO2]]</f>
        <v>0</v>
      </c>
      <c r="AT587" s="37">
        <f ca="1">IF(AG587="",0,IF(ISTEXT(AG587),H587*VALUE(SUBSTITUTE(AG587,"%",""))/100,H587*AG587))-Tabela1[[#This Row],[PESO EXPEDIDO2]]</f>
        <v>0</v>
      </c>
      <c r="AU587" s="37">
        <f t="shared" ca="1" si="115"/>
        <v>11.543999999999999</v>
      </c>
      <c r="AV587" s="37">
        <f t="shared" ca="1" si="116"/>
        <v>11.543999999999999</v>
      </c>
      <c r="AW587" s="37"/>
    </row>
    <row r="588" spans="1:49" ht="15.75" hidden="1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 ca="1"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 ca="1">Tabela1[[#This Row],[QTDE/ Fabricação]]-Tabela1[[#This Row],[QTE]]</f>
        <v>-26</v>
      </c>
      <c r="R588" s="18">
        <f t="shared" ca="1" si="111"/>
        <v>4.3940000000000001</v>
      </c>
      <c r="S588" s="18">
        <f t="shared" ca="1" si="110"/>
        <v>4.3940000000000001</v>
      </c>
      <c r="T588" s="19">
        <f t="shared" ca="1" si="112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 ca="1">IFERROR(COUNTIF(#REF!,Tabela1[[#This Row],[Colunas5]]),"")</f>
        <v/>
      </c>
      <c r="X588" s="14">
        <f ca="1">Tabela1[[#This Row],[QIANTIDADE EXPEDIDA]]*Tabela1[[#This Row],[PESO UNI]]</f>
        <v>4.3940000000000001</v>
      </c>
      <c r="Y588" s="14">
        <f t="shared" ca="1" si="113"/>
        <v>0</v>
      </c>
      <c r="Z588" s="20">
        <f ca="1"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 ca="1">Tabela1[[#This Row],[Coluna1]]&amp;Tabela1[[#This Row],[PEDIDO]]</f>
        <v>P-190</v>
      </c>
      <c r="AL588"/>
      <c r="AM588"/>
      <c r="AN588"/>
      <c r="AO588" t="str">
        <f t="shared" ca="1" si="114"/>
        <v>(CONFORME ET:BBR-D-DF-1073-MDE-K-0017)/P190</v>
      </c>
      <c r="AP588" t="str">
        <f ca="1">Tabela1[[#This Row],[TAG]]&amp;Tabela1[[#This Row],[PEDIDO]]&amp;Tabela1[[#This Row],[PRODUTO]]</f>
        <v>P190P-190COMERCIAL</v>
      </c>
      <c r="AQ588" s="22" t="str">
        <f ca="1">Tabela1[[#This Row],[PRODUTO]]&amp;Tabela1[[#This Row],[TAG]]</f>
        <v>COMERCIALP190</v>
      </c>
      <c r="AR588" s="24" t="str">
        <f ca="1">Tabela1[[#This Row],[PEDIDO]]&amp;Tabela1[[#This Row],[PRODUTO]]</f>
        <v>P-190COMERCIAL</v>
      </c>
      <c r="AS588" s="37">
        <f ca="1">IF(AF588="",0,IF(ISTEXT(AF588),H588*VALUE(SUBSTITUTE(AF588,"%",""))/100,H588*AF588))-Tabela1[[#This Row],[PRONTO ACABADO2]]</f>
        <v>0</v>
      </c>
      <c r="AT588" s="37">
        <f ca="1">IF(AG588="",0,IF(ISTEXT(AG588),H588*VALUE(SUBSTITUTE(AG588,"%",""))/100,H588*AG588))-Tabela1[[#This Row],[PESO EXPEDIDO2]]</f>
        <v>0</v>
      </c>
      <c r="AU588" s="37">
        <f t="shared" ca="1" si="115"/>
        <v>4.3940000000000001</v>
      </c>
      <c r="AV588" s="37">
        <f t="shared" ca="1" si="116"/>
        <v>4.3940000000000001</v>
      </c>
      <c r="AW588" s="37"/>
    </row>
    <row r="589" spans="1:49" ht="15.75" hidden="1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 ca="1"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 ca="1">Tabela1[[#This Row],[QTDE/ Fabricação]]-Tabela1[[#This Row],[QTE]]</f>
        <v>-60</v>
      </c>
      <c r="R589" s="18">
        <f t="shared" ca="1" si="111"/>
        <v>39.96</v>
      </c>
      <c r="S589" s="18">
        <f t="shared" ca="1" si="110"/>
        <v>39.96</v>
      </c>
      <c r="T589" s="19">
        <f t="shared" ca="1" si="112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 ca="1">IFERROR(COUNTIF(#REF!,Tabela1[[#This Row],[Colunas5]]),"")</f>
        <v/>
      </c>
      <c r="X589" s="14">
        <f ca="1">Tabela1[[#This Row],[QIANTIDADE EXPEDIDA]]*Tabela1[[#This Row],[PESO UNI]]</f>
        <v>39.96</v>
      </c>
      <c r="Y589" s="14">
        <f t="shared" ca="1" si="113"/>
        <v>0</v>
      </c>
      <c r="Z589" s="20">
        <f ca="1"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 ca="1">Tabela1[[#This Row],[Coluna1]]&amp;Tabela1[[#This Row],[PEDIDO]]</f>
        <v>P-190</v>
      </c>
      <c r="AL589"/>
      <c r="AM589"/>
      <c r="AN589"/>
      <c r="AO589" t="str">
        <f t="shared" ca="1" si="114"/>
        <v>(CONFORME ET:BBR-D-DF-1073-MDE-K-0017)/P190</v>
      </c>
      <c r="AP589" t="str">
        <f ca="1">Tabela1[[#This Row],[TAG]]&amp;Tabela1[[#This Row],[PEDIDO]]&amp;Tabela1[[#This Row],[PRODUTO]]</f>
        <v>P190P-190COMERCIAL</v>
      </c>
      <c r="AQ589" s="22" t="str">
        <f ca="1">Tabela1[[#This Row],[PRODUTO]]&amp;Tabela1[[#This Row],[TAG]]</f>
        <v>COMERCIALP190</v>
      </c>
      <c r="AR589" s="24" t="str">
        <f ca="1">Tabela1[[#This Row],[PEDIDO]]&amp;Tabela1[[#This Row],[PRODUTO]]</f>
        <v>P-190COMERCIAL</v>
      </c>
      <c r="AS589" s="37">
        <f ca="1">IF(AF589="",0,IF(ISTEXT(AF589),H589*VALUE(SUBSTITUTE(AF589,"%",""))/100,H589*AF589))-Tabela1[[#This Row],[PRONTO ACABADO2]]</f>
        <v>0</v>
      </c>
      <c r="AT589" s="37">
        <f ca="1">IF(AG589="",0,IF(ISTEXT(AG589),H589*VALUE(SUBSTITUTE(AG589,"%",""))/100,H589*AG589))-Tabela1[[#This Row],[PESO EXPEDIDO2]]</f>
        <v>0</v>
      </c>
      <c r="AU589" s="37">
        <f t="shared" ca="1" si="115"/>
        <v>39.96</v>
      </c>
      <c r="AV589" s="37">
        <f t="shared" ca="1" si="116"/>
        <v>39.96</v>
      </c>
      <c r="AW589" s="37"/>
    </row>
    <row r="590" spans="1:49" ht="15.75" hidden="1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 ca="1"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 ca="1">Tabela1[[#This Row],[QTDE/ Fabricação]]-Tabela1[[#This Row],[QTE]]</f>
        <v>-52</v>
      </c>
      <c r="R590" s="18">
        <f t="shared" ca="1" si="111"/>
        <v>10.972</v>
      </c>
      <c r="S590" s="18">
        <f t="shared" ca="1" si="110"/>
        <v>10.972</v>
      </c>
      <c r="T590" s="19">
        <f t="shared" ca="1" si="112"/>
        <v>0</v>
      </c>
      <c r="U590" s="16">
        <f ca="1"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 ca="1">IFERROR(COUNTIF(#REF!,Tabela1[[#This Row],[Colunas5]]),"")</f>
        <v/>
      </c>
      <c r="X590" s="14">
        <f ca="1">Tabela1[[#This Row],[QIANTIDADE EXPEDIDA]]*Tabela1[[#This Row],[PESO UNI]]</f>
        <v>10.972</v>
      </c>
      <c r="Y590" s="14">
        <f t="shared" ca="1" si="113"/>
        <v>0</v>
      </c>
      <c r="Z590" s="20">
        <f ca="1"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 ca="1">Tabela1[[#This Row],[Coluna1]]&amp;Tabela1[[#This Row],[PEDIDO]]</f>
        <v>P-190</v>
      </c>
      <c r="AL590"/>
      <c r="AM590"/>
      <c r="AN590"/>
      <c r="AO590" t="str">
        <f t="shared" ca="1" si="114"/>
        <v>(CONFORME ET:BBR-D-DF-1073-MDE-K-0017)/P190</v>
      </c>
      <c r="AP590" t="str">
        <f ca="1">Tabela1[[#This Row],[TAG]]&amp;Tabela1[[#This Row],[PEDIDO]]&amp;Tabela1[[#This Row],[PRODUTO]]</f>
        <v>P190P-190COMERCIAL</v>
      </c>
      <c r="AQ590" s="22" t="str">
        <f ca="1">Tabela1[[#This Row],[PRODUTO]]&amp;Tabela1[[#This Row],[TAG]]</f>
        <v>COMERCIALP190</v>
      </c>
      <c r="AR590" s="24" t="str">
        <f ca="1">Tabela1[[#This Row],[PEDIDO]]&amp;Tabela1[[#This Row],[PRODUTO]]</f>
        <v>P-190COMERCIAL</v>
      </c>
      <c r="AS590" s="37">
        <f ca="1">IF(AF590="",0,IF(ISTEXT(AF590),H590*VALUE(SUBSTITUTE(AF590,"%",""))/100,H590*AF590))-Tabela1[[#This Row],[PRONTO ACABADO2]]</f>
        <v>0</v>
      </c>
      <c r="AT590" s="37">
        <f ca="1">IF(AG590="",0,IF(ISTEXT(AG590),H590*VALUE(SUBSTITUTE(AG590,"%",""))/100,H590*AG590))-Tabela1[[#This Row],[PESO EXPEDIDO2]]</f>
        <v>0</v>
      </c>
      <c r="AU590" s="37">
        <f t="shared" ca="1" si="115"/>
        <v>10.972</v>
      </c>
      <c r="AV590" s="37">
        <f t="shared" ca="1" si="116"/>
        <v>10.972</v>
      </c>
      <c r="AW590" s="37"/>
    </row>
    <row r="591" spans="1:49" ht="15.75" hidden="1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 ca="1"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 ca="1">Tabela1[[#This Row],[QTDE/ Fabricação]]-Tabela1[[#This Row],[QTE]]</f>
        <v>-26</v>
      </c>
      <c r="R591" s="18">
        <f t="shared" ca="1" si="111"/>
        <v>10.997999999999999</v>
      </c>
      <c r="S591" s="18">
        <f t="shared" ca="1" si="110"/>
        <v>10.997999999999999</v>
      </c>
      <c r="T591" s="19">
        <f t="shared" ca="1" si="112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 ca="1">IFERROR(COUNTIF(#REF!,Tabela1[[#This Row],[Colunas5]]),"")</f>
        <v/>
      </c>
      <c r="X591" s="14">
        <f ca="1">Tabela1[[#This Row],[QIANTIDADE EXPEDIDA]]*Tabela1[[#This Row],[PESO UNI]]</f>
        <v>10.997999999999999</v>
      </c>
      <c r="Y591" s="14">
        <f t="shared" ca="1" si="113"/>
        <v>0</v>
      </c>
      <c r="Z591" s="20">
        <f ca="1"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 ca="1">Tabela1[[#This Row],[Coluna1]]&amp;Tabela1[[#This Row],[PEDIDO]]</f>
        <v>P-190</v>
      </c>
      <c r="AL591"/>
      <c r="AM591"/>
      <c r="AN591"/>
      <c r="AO591" t="str">
        <f t="shared" ca="1" si="114"/>
        <v>(CONFORME ET:BBR-D-DF-1073-MDE-K-0017)/P190</v>
      </c>
      <c r="AP591" t="str">
        <f ca="1">Tabela1[[#This Row],[TAG]]&amp;Tabela1[[#This Row],[PEDIDO]]&amp;Tabela1[[#This Row],[PRODUTO]]</f>
        <v>P190P-190COMERCIAL</v>
      </c>
      <c r="AQ591" s="22" t="str">
        <f ca="1">Tabela1[[#This Row],[PRODUTO]]&amp;Tabela1[[#This Row],[TAG]]</f>
        <v>COMERCIALP190</v>
      </c>
      <c r="AR591" s="24" t="str">
        <f ca="1">Tabela1[[#This Row],[PEDIDO]]&amp;Tabela1[[#This Row],[PRODUTO]]</f>
        <v>P-190COMERCIAL</v>
      </c>
      <c r="AS591" s="37">
        <f ca="1">IF(AF591="",0,IF(ISTEXT(AF591),H591*VALUE(SUBSTITUTE(AF591,"%",""))/100,H591*AF591))-Tabela1[[#This Row],[PRONTO ACABADO2]]</f>
        <v>0</v>
      </c>
      <c r="AT591" s="37">
        <f ca="1">IF(AG591="",0,IF(ISTEXT(AG591),H591*VALUE(SUBSTITUTE(AG591,"%",""))/100,H591*AG591))-Tabela1[[#This Row],[PESO EXPEDIDO2]]</f>
        <v>0</v>
      </c>
      <c r="AU591" s="37">
        <f t="shared" ca="1" si="115"/>
        <v>10.997999999999999</v>
      </c>
      <c r="AV591" s="37">
        <f t="shared" ca="1" si="116"/>
        <v>10.997999999999999</v>
      </c>
      <c r="AW591" s="37"/>
    </row>
    <row r="592" spans="1:49" ht="15.75" hidden="1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 ca="1"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 ca="1">Tabela1[[#This Row],[QTDE/ Fabricação]]-Tabela1[[#This Row],[QTE]]</f>
        <v>-3</v>
      </c>
      <c r="R592" s="18">
        <f t="shared" ca="1" si="111"/>
        <v>10.5</v>
      </c>
      <c r="S592" s="18">
        <f t="shared" ca="1" si="110"/>
        <v>10.5</v>
      </c>
      <c r="T592" s="19">
        <f t="shared" ca="1" si="112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 ca="1">IFERROR(COUNTIF(#REF!,Tabela1[[#This Row],[Colunas5]]),"")</f>
        <v/>
      </c>
      <c r="X592" s="14">
        <f ca="1">Tabela1[[#This Row],[QIANTIDADE EXPEDIDA]]*Tabela1[[#This Row],[PESO UNI]]</f>
        <v>10.5</v>
      </c>
      <c r="Y592" s="14">
        <f t="shared" ca="1" si="113"/>
        <v>0</v>
      </c>
      <c r="Z592" s="20">
        <f ca="1"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 ca="1">Tabela1[[#This Row],[Coluna1]]&amp;Tabela1[[#This Row],[PEDIDO]]</f>
        <v>P-190</v>
      </c>
      <c r="AL592"/>
      <c r="AM592"/>
      <c r="AN592"/>
      <c r="AO592" t="str">
        <f t="shared" ca="1" si="114"/>
        <v>(CONFORME ET:BBR-D-DF-1073-MDE-K-0017)/P190</v>
      </c>
      <c r="AP592" t="str">
        <f ca="1">Tabela1[[#This Row],[TAG]]&amp;Tabela1[[#This Row],[PEDIDO]]&amp;Tabela1[[#This Row],[PRODUTO]]</f>
        <v>P190P-190COMERCIAL</v>
      </c>
      <c r="AQ592" s="22" t="str">
        <f ca="1">Tabela1[[#This Row],[PRODUTO]]&amp;Tabela1[[#This Row],[TAG]]</f>
        <v>COMERCIALP190</v>
      </c>
      <c r="AR592" s="24" t="str">
        <f ca="1">Tabela1[[#This Row],[PEDIDO]]&amp;Tabela1[[#This Row],[PRODUTO]]</f>
        <v>P-190COMERCIAL</v>
      </c>
      <c r="AS592" s="37">
        <f ca="1">IF(AF592="",0,IF(ISTEXT(AF592),H592*VALUE(SUBSTITUTE(AF592,"%",""))/100,H592*AF592))-Tabela1[[#This Row],[PRONTO ACABADO2]]</f>
        <v>0</v>
      </c>
      <c r="AT592" s="37">
        <f ca="1">IF(AG592="",0,IF(ISTEXT(AG592),H592*VALUE(SUBSTITUTE(AG592,"%",""))/100,H592*AG592))-Tabela1[[#This Row],[PESO EXPEDIDO2]]</f>
        <v>0</v>
      </c>
      <c r="AU592" s="37">
        <f t="shared" ca="1" si="115"/>
        <v>10.5</v>
      </c>
      <c r="AV592" s="37">
        <f t="shared" ca="1" si="116"/>
        <v>10.5</v>
      </c>
      <c r="AW592" s="37"/>
    </row>
    <row r="593" spans="1:49" ht="15.75" hidden="1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 ca="1"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 ca="1">Tabela1[[#This Row],[QTDE/ Fabricação]]-Tabela1[[#This Row],[QTE]]</f>
        <v>-20</v>
      </c>
      <c r="R593" s="18">
        <f t="shared" ca="1" si="111"/>
        <v>6</v>
      </c>
      <c r="S593" s="18">
        <f t="shared" ca="1" si="110"/>
        <v>6</v>
      </c>
      <c r="T593" s="19">
        <f t="shared" ca="1" si="112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 ca="1">IFERROR(COUNTIF(#REF!,Tabela1[[#This Row],[Colunas5]]),"")</f>
        <v/>
      </c>
      <c r="X593" s="14">
        <f ca="1">Tabela1[[#This Row],[QIANTIDADE EXPEDIDA]]*Tabela1[[#This Row],[PESO UNI]]</f>
        <v>6</v>
      </c>
      <c r="Y593" s="14">
        <f t="shared" ca="1" si="113"/>
        <v>0</v>
      </c>
      <c r="Z593" s="20">
        <f ca="1"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 ca="1">Tabela1[[#This Row],[Coluna1]]&amp;Tabela1[[#This Row],[PEDIDO]]</f>
        <v>P-190</v>
      </c>
      <c r="AL593"/>
      <c r="AM593"/>
      <c r="AN593"/>
      <c r="AO593" t="str">
        <f t="shared" ca="1" si="114"/>
        <v>(CONFORME ET:BBR-D-DF-1073-MDE-K-0017)/P190</v>
      </c>
      <c r="AP593" t="str">
        <f ca="1">Tabela1[[#This Row],[TAG]]&amp;Tabela1[[#This Row],[PEDIDO]]&amp;Tabela1[[#This Row],[PRODUTO]]</f>
        <v>P190P-190COMERCIAL</v>
      </c>
      <c r="AQ593" s="22" t="str">
        <f ca="1">Tabela1[[#This Row],[PRODUTO]]&amp;Tabela1[[#This Row],[TAG]]</f>
        <v>COMERCIALP190</v>
      </c>
      <c r="AR593" s="24" t="str">
        <f ca="1">Tabela1[[#This Row],[PEDIDO]]&amp;Tabela1[[#This Row],[PRODUTO]]</f>
        <v>P-190COMERCIAL</v>
      </c>
      <c r="AS593" s="37">
        <f ca="1">IF(AF593="",0,IF(ISTEXT(AF593),H593*VALUE(SUBSTITUTE(AF593,"%",""))/100,H593*AF593))-Tabela1[[#This Row],[PRONTO ACABADO2]]</f>
        <v>0</v>
      </c>
      <c r="AT593" s="37">
        <f ca="1">IF(AG593="",0,IF(ISTEXT(AG593),H593*VALUE(SUBSTITUTE(AG593,"%",""))/100,H593*AG593))-Tabela1[[#This Row],[PESO EXPEDIDO2]]</f>
        <v>0</v>
      </c>
      <c r="AU593" s="37">
        <f t="shared" ca="1" si="115"/>
        <v>6</v>
      </c>
      <c r="AV593" s="37">
        <f t="shared" ca="1" si="116"/>
        <v>6</v>
      </c>
      <c r="AW593" s="37"/>
    </row>
    <row r="594" spans="1:49" ht="15.75" hidden="1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 ca="1"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 ca="1">Tabela1[[#This Row],[QTDE/ Fabricação]]-Tabela1[[#This Row],[QTE]]</f>
        <v>-6</v>
      </c>
      <c r="R594" s="18">
        <f t="shared" ca="1" si="111"/>
        <v>0.06</v>
      </c>
      <c r="S594" s="18">
        <f t="shared" ca="1" si="110"/>
        <v>0.06</v>
      </c>
      <c r="T594" s="19">
        <f t="shared" ca="1" si="112"/>
        <v>0</v>
      </c>
      <c r="U594" s="16">
        <f ca="1"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 ca="1">IFERROR(COUNTIF(#REF!,Tabela1[[#This Row],[Colunas5]]),"")</f>
        <v/>
      </c>
      <c r="X594" s="14">
        <f ca="1">Tabela1[[#This Row],[QIANTIDADE EXPEDIDA]]*Tabela1[[#This Row],[PESO UNI]]</f>
        <v>0.06</v>
      </c>
      <c r="Y594" s="14">
        <f t="shared" ca="1" si="113"/>
        <v>0</v>
      </c>
      <c r="Z594" s="20">
        <f ca="1"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 ca="1">Tabela1[[#This Row],[Coluna1]]&amp;Tabela1[[#This Row],[PEDIDO]]</f>
        <v>P-190</v>
      </c>
      <c r="AL594"/>
      <c r="AM594"/>
      <c r="AN594"/>
      <c r="AO594" t="str">
        <f t="shared" ca="1" si="114"/>
        <v>(CONFORME ET:BBR-D-DF-1073-MDE-K-0017)/P190</v>
      </c>
      <c r="AP594" t="str">
        <f ca="1">Tabela1[[#This Row],[TAG]]&amp;Tabela1[[#This Row],[PEDIDO]]&amp;Tabela1[[#This Row],[PRODUTO]]</f>
        <v>P190P-190COMERCIAL</v>
      </c>
      <c r="AQ594" s="22" t="str">
        <f ca="1">Tabela1[[#This Row],[PRODUTO]]&amp;Tabela1[[#This Row],[TAG]]</f>
        <v>COMERCIALP190</v>
      </c>
      <c r="AR594" s="24" t="str">
        <f ca="1">Tabela1[[#This Row],[PEDIDO]]&amp;Tabela1[[#This Row],[PRODUTO]]</f>
        <v>P-190COMERCIAL</v>
      </c>
      <c r="AS594" s="37">
        <f ca="1">IF(AF594="",0,IF(ISTEXT(AF594),H594*VALUE(SUBSTITUTE(AF594,"%",""))/100,H594*AF594))-Tabela1[[#This Row],[PRONTO ACABADO2]]</f>
        <v>0</v>
      </c>
      <c r="AT594" s="37">
        <f ca="1">IF(AG594="",0,IF(ISTEXT(AG594),H594*VALUE(SUBSTITUTE(AG594,"%",""))/100,H594*AG594))-Tabela1[[#This Row],[PESO EXPEDIDO2]]</f>
        <v>0</v>
      </c>
      <c r="AU594" s="37">
        <f t="shared" ca="1" si="115"/>
        <v>0.06</v>
      </c>
      <c r="AV594" s="37">
        <f t="shared" ca="1" si="116"/>
        <v>0.06</v>
      </c>
      <c r="AW594" s="37"/>
    </row>
    <row r="595" spans="1:49" ht="15.75" hidden="1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 ca="1"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 ca="1">Tabela1[[#This Row],[QTDE/ Fabricação]]-Tabela1[[#This Row],[QTE]]</f>
        <v>-3</v>
      </c>
      <c r="R595" s="18">
        <f t="shared" ca="1" si="111"/>
        <v>0.06</v>
      </c>
      <c r="S595" s="18">
        <f t="shared" ca="1" si="110"/>
        <v>0.06</v>
      </c>
      <c r="T595" s="19">
        <f t="shared" ca="1" si="112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 ca="1">IFERROR(COUNTIF(#REF!,Tabela1[[#This Row],[Colunas5]]),"")</f>
        <v/>
      </c>
      <c r="X595" s="14">
        <f ca="1">Tabela1[[#This Row],[QIANTIDADE EXPEDIDA]]*Tabela1[[#This Row],[PESO UNI]]</f>
        <v>0.06</v>
      </c>
      <c r="Y595" s="14">
        <f t="shared" ca="1" si="113"/>
        <v>0</v>
      </c>
      <c r="Z595" s="20">
        <f ca="1"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 ca="1">Tabela1[[#This Row],[Coluna1]]&amp;Tabela1[[#This Row],[PEDIDO]]</f>
        <v>P-190</v>
      </c>
      <c r="AL595"/>
      <c r="AM595"/>
      <c r="AN595"/>
      <c r="AO595" t="str">
        <f t="shared" ca="1" si="114"/>
        <v>(CONFORME ET:BBR-D-DF-1073-MDE-K-0017)/P190</v>
      </c>
      <c r="AP595" t="str">
        <f ca="1">Tabela1[[#This Row],[TAG]]&amp;Tabela1[[#This Row],[PEDIDO]]&amp;Tabela1[[#This Row],[PRODUTO]]</f>
        <v>P190P-190COMERCIAL</v>
      </c>
      <c r="AQ595" s="22" t="str">
        <f ca="1">Tabela1[[#This Row],[PRODUTO]]&amp;Tabela1[[#This Row],[TAG]]</f>
        <v>COMERCIALP190</v>
      </c>
      <c r="AR595" s="24" t="str">
        <f ca="1">Tabela1[[#This Row],[PEDIDO]]&amp;Tabela1[[#This Row],[PRODUTO]]</f>
        <v>P-190COMERCIAL</v>
      </c>
      <c r="AS595" s="37">
        <f ca="1">IF(AF595="",0,IF(ISTEXT(AF595),H595*VALUE(SUBSTITUTE(AF595,"%",""))/100,H595*AF595))-Tabela1[[#This Row],[PRONTO ACABADO2]]</f>
        <v>0</v>
      </c>
      <c r="AT595" s="37">
        <f ca="1">IF(AG595="",0,IF(ISTEXT(AG595),H595*VALUE(SUBSTITUTE(AG595,"%",""))/100,H595*AG595))-Tabela1[[#This Row],[PESO EXPEDIDO2]]</f>
        <v>0</v>
      </c>
      <c r="AU595" s="37">
        <f t="shared" ca="1" si="115"/>
        <v>0.06</v>
      </c>
      <c r="AV595" s="37">
        <f t="shared" ca="1" si="116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 ca="1"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 ca="1">Tabela1[[#This Row],[QTDE/ Fabricação]]-Tabela1[[#This Row],[QTE]]</f>
        <v>-6</v>
      </c>
      <c r="R596" s="18">
        <f t="shared" ca="1" si="111"/>
        <v>0.06</v>
      </c>
      <c r="S596" s="18">
        <f t="shared" ca="1" si="110"/>
        <v>0.06</v>
      </c>
      <c r="T596" s="19">
        <f t="shared" ca="1" si="112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 ca="1">IFERROR(COUNTIF(#REF!,Tabela1[[#This Row],[Colunas5]]),"")</f>
        <v/>
      </c>
      <c r="X596" s="14">
        <f ca="1">Tabela1[[#This Row],[QIANTIDADE EXPEDIDA]]*Tabela1[[#This Row],[PESO UNI]]</f>
        <v>0.06</v>
      </c>
      <c r="Y596" s="14">
        <f t="shared" ca="1" si="113"/>
        <v>0</v>
      </c>
      <c r="Z596" s="20">
        <f ca="1"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 ca="1">Tabela1[[#This Row],[Coluna1]]&amp;Tabela1[[#This Row],[PEDIDO]]</f>
        <v>P-190</v>
      </c>
      <c r="AL596"/>
      <c r="AM596"/>
      <c r="AN596"/>
      <c r="AO596" t="str">
        <f t="shared" ca="1" si="114"/>
        <v>(CONFORME ET:BBR-D-DF-1073-MDE-K-0017)/P190</v>
      </c>
      <c r="AP596" t="str">
        <f ca="1">Tabela1[[#This Row],[TAG]]&amp;Tabela1[[#This Row],[PEDIDO]]&amp;Tabela1[[#This Row],[PRODUTO]]</f>
        <v>P190P-190COMERCIAL</v>
      </c>
      <c r="AQ596" s="22" t="str">
        <f ca="1">Tabela1[[#This Row],[PRODUTO]]&amp;Tabela1[[#This Row],[TAG]]</f>
        <v>COMERCIALP190</v>
      </c>
      <c r="AR596" s="24" t="str">
        <f ca="1">Tabela1[[#This Row],[PEDIDO]]&amp;Tabela1[[#This Row],[PRODUTO]]</f>
        <v>P-190COMERCIAL</v>
      </c>
      <c r="AS596" s="37">
        <f ca="1">IF(AF596="",0,IF(ISTEXT(AF596),H596*VALUE(SUBSTITUTE(AF596,"%",""))/100,H596*AF596))-Tabela1[[#This Row],[PRONTO ACABADO2]]</f>
        <v>0</v>
      </c>
      <c r="AT596" s="37">
        <f ca="1">IF(AG596="",0,IF(ISTEXT(AG596),H596*VALUE(SUBSTITUTE(AG596,"%",""))/100,H596*AG596))-Tabela1[[#This Row],[PESO EXPEDIDO2]]</f>
        <v>0</v>
      </c>
      <c r="AU596" s="37">
        <f t="shared" ca="1" si="115"/>
        <v>0.06</v>
      </c>
      <c r="AV596" s="37">
        <f t="shared" ca="1" si="116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 ca="1"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 ca="1">Tabela1[[#This Row],[QTDE/ Fabricação]]-Tabela1[[#This Row],[QTE]]</f>
        <v>-15</v>
      </c>
      <c r="R597" s="18">
        <f t="shared" ca="1" si="111"/>
        <v>5.1899999999999995</v>
      </c>
      <c r="S597" s="18">
        <f t="shared" ca="1" si="110"/>
        <v>5.1899999999999995</v>
      </c>
      <c r="T597" s="19">
        <f t="shared" ca="1" si="112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 ca="1">IFERROR(COUNTIF(#REF!,Tabela1[[#This Row],[Colunas5]]),"")</f>
        <v/>
      </c>
      <c r="X597" s="14">
        <f ca="1">Tabela1[[#This Row],[QIANTIDADE EXPEDIDA]]*Tabela1[[#This Row],[PESO UNI]]</f>
        <v>5.1899999999999995</v>
      </c>
      <c r="Y597" s="14">
        <f t="shared" ca="1" si="113"/>
        <v>0</v>
      </c>
      <c r="Z597" s="20">
        <f ca="1"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 ca="1">Tabela1[[#This Row],[Coluna1]]&amp;Tabela1[[#This Row],[PEDIDO]]</f>
        <v>P-190</v>
      </c>
      <c r="AL597"/>
      <c r="AM597"/>
      <c r="AN597"/>
      <c r="AO597" t="str">
        <f t="shared" ca="1" si="114"/>
        <v>(CONFORME ET:BBR-D-DF-1073-MDE-K-0017)/P190</v>
      </c>
      <c r="AP597" t="str">
        <f ca="1">Tabela1[[#This Row],[TAG]]&amp;Tabela1[[#This Row],[PEDIDO]]&amp;Tabela1[[#This Row],[PRODUTO]]</f>
        <v>P190P-190COMERCIAL</v>
      </c>
      <c r="AQ597" s="22" t="str">
        <f ca="1">Tabela1[[#This Row],[PRODUTO]]&amp;Tabela1[[#This Row],[TAG]]</f>
        <v>COMERCIALP190</v>
      </c>
      <c r="AR597" s="24" t="str">
        <f ca="1">Tabela1[[#This Row],[PEDIDO]]&amp;Tabela1[[#This Row],[PRODUTO]]</f>
        <v>P-190COMERCIAL</v>
      </c>
      <c r="AS597" s="37">
        <f ca="1">IF(AF597="",0,IF(ISTEXT(AF597),H597*VALUE(SUBSTITUTE(AF597,"%",""))/100,H597*AF597))-Tabela1[[#This Row],[PRONTO ACABADO2]]</f>
        <v>0</v>
      </c>
      <c r="AT597" s="37">
        <f ca="1">IF(AG597="",0,IF(ISTEXT(AG597),H597*VALUE(SUBSTITUTE(AG597,"%",""))/100,H597*AG597))-Tabela1[[#This Row],[PESO EXPEDIDO2]]</f>
        <v>0</v>
      </c>
      <c r="AU597" s="37">
        <f t="shared" ca="1" si="115"/>
        <v>5.1899999999999995</v>
      </c>
      <c r="AV597" s="37">
        <f t="shared" ca="1" si="116"/>
        <v>5.1899999999999995</v>
      </c>
      <c r="AW597" s="37"/>
    </row>
    <row r="598" spans="1:49" ht="15.75" hidden="1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 ca="1"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 ca="1">Tabela1[[#This Row],[QTDE/ Fabricação]]-Tabela1[[#This Row],[QTE]]</f>
        <v>-12</v>
      </c>
      <c r="R598" s="18">
        <f t="shared" ca="1" si="111"/>
        <v>1.4040000000000001</v>
      </c>
      <c r="S598" s="18">
        <f t="shared" ca="1" si="110"/>
        <v>1.4040000000000001</v>
      </c>
      <c r="T598" s="19">
        <f t="shared" ca="1" si="112"/>
        <v>0</v>
      </c>
      <c r="U598" s="16">
        <f ca="1"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 ca="1">IFERROR(COUNTIF(#REF!,Tabela1[[#This Row],[Colunas5]]),"")</f>
        <v/>
      </c>
      <c r="X598" s="14">
        <f ca="1">Tabela1[[#This Row],[QIANTIDADE EXPEDIDA]]*Tabela1[[#This Row],[PESO UNI]]</f>
        <v>1.4040000000000001</v>
      </c>
      <c r="Y598" s="14">
        <f t="shared" ca="1" si="113"/>
        <v>0</v>
      </c>
      <c r="Z598" s="20">
        <f ca="1"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 ca="1">Tabela1[[#This Row],[Coluna1]]&amp;Tabela1[[#This Row],[PEDIDO]]</f>
        <v>P-190</v>
      </c>
      <c r="AL598"/>
      <c r="AM598"/>
      <c r="AN598"/>
      <c r="AO598" t="str">
        <f t="shared" ca="1" si="114"/>
        <v>(CONFORME ET:BBR-D-DF-1073-MDE-K-0017)/P190</v>
      </c>
      <c r="AP598" t="str">
        <f ca="1">Tabela1[[#This Row],[TAG]]&amp;Tabela1[[#This Row],[PEDIDO]]&amp;Tabela1[[#This Row],[PRODUTO]]</f>
        <v>P190P-190COMERCIAL</v>
      </c>
      <c r="AQ598" s="22" t="str">
        <f ca="1">Tabela1[[#This Row],[PRODUTO]]&amp;Tabela1[[#This Row],[TAG]]</f>
        <v>COMERCIALP190</v>
      </c>
      <c r="AR598" s="24" t="str">
        <f ca="1">Tabela1[[#This Row],[PEDIDO]]&amp;Tabela1[[#This Row],[PRODUTO]]</f>
        <v>P-190COMERCIAL</v>
      </c>
      <c r="AS598" s="37">
        <f ca="1">IF(AF598="",0,IF(ISTEXT(AF598),H598*VALUE(SUBSTITUTE(AF598,"%",""))/100,H598*AF598))-Tabela1[[#This Row],[PRONTO ACABADO2]]</f>
        <v>0</v>
      </c>
      <c r="AT598" s="37">
        <f ca="1">IF(AG598="",0,IF(ISTEXT(AG598),H598*VALUE(SUBSTITUTE(AG598,"%",""))/100,H598*AG598))-Tabela1[[#This Row],[PESO EXPEDIDO2]]</f>
        <v>0</v>
      </c>
      <c r="AU598" s="37">
        <f t="shared" ca="1" si="115"/>
        <v>1.4040000000000001</v>
      </c>
      <c r="AV598" s="37">
        <f t="shared" ca="1" si="116"/>
        <v>1.4040000000000001</v>
      </c>
      <c r="AW598" s="37"/>
    </row>
    <row r="599" spans="1:49" ht="15.75" hidden="1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 ca="1"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 ca="1">Tabela1[[#This Row],[QTDE/ Fabricação]]-Tabela1[[#This Row],[QTE]]</f>
        <v>-4</v>
      </c>
      <c r="R599" s="18">
        <f t="shared" ca="1" si="111"/>
        <v>4</v>
      </c>
      <c r="S599" s="18">
        <f t="shared" ca="1" si="110"/>
        <v>4</v>
      </c>
      <c r="T599" s="19">
        <f t="shared" ca="1" si="112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 ca="1">IFERROR(COUNTIF(#REF!,Tabela1[[#This Row],[Colunas5]]),"")</f>
        <v/>
      </c>
      <c r="X599" s="14">
        <f ca="1">Tabela1[[#This Row],[QIANTIDADE EXPEDIDA]]*Tabela1[[#This Row],[PESO UNI]]</f>
        <v>4</v>
      </c>
      <c r="Y599" s="14">
        <f t="shared" ca="1" si="113"/>
        <v>0</v>
      </c>
      <c r="Z599" s="20">
        <f ca="1"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 ca="1">Tabela1[[#This Row],[Coluna1]]&amp;Tabela1[[#This Row],[PEDIDO]]</f>
        <v>P-190</v>
      </c>
      <c r="AL599"/>
      <c r="AM599"/>
      <c r="AN599"/>
      <c r="AO599" t="str">
        <f t="shared" ca="1" si="114"/>
        <v>P-073057-1/P190</v>
      </c>
      <c r="AP599" t="str">
        <f ca="1">Tabela1[[#This Row],[TAG]]&amp;Tabela1[[#This Row],[PEDIDO]]&amp;Tabela1[[#This Row],[PRODUTO]]</f>
        <v>P190P-190COMERCIAL</v>
      </c>
      <c r="AQ599" s="22" t="str">
        <f ca="1">Tabela1[[#This Row],[PRODUTO]]&amp;Tabela1[[#This Row],[TAG]]</f>
        <v>COMERCIALP190</v>
      </c>
      <c r="AR599" s="24" t="str">
        <f ca="1">Tabela1[[#This Row],[PEDIDO]]&amp;Tabela1[[#This Row],[PRODUTO]]</f>
        <v>P-190COMERCIAL</v>
      </c>
      <c r="AS599" s="37">
        <f ca="1">IF(AF599="",0,IF(ISTEXT(AF599),H599*VALUE(SUBSTITUTE(AF599,"%",""))/100,H599*AF599))-Tabela1[[#This Row],[PRONTO ACABADO2]]</f>
        <v>0</v>
      </c>
      <c r="AT599" s="37">
        <f ca="1">IF(AG599="",0,IF(ISTEXT(AG599),H599*VALUE(SUBSTITUTE(AG599,"%",""))/100,H599*AG599))-Tabela1[[#This Row],[PESO EXPEDIDO2]]</f>
        <v>0</v>
      </c>
      <c r="AU599" s="37">
        <f t="shared" ca="1" si="115"/>
        <v>4</v>
      </c>
      <c r="AV599" s="37">
        <f t="shared" ca="1" si="116"/>
        <v>4</v>
      </c>
      <c r="AW599" s="37"/>
    </row>
    <row r="600" spans="1:49" ht="15.75" hidden="1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 ca="1"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 ca="1">Tabela1[[#This Row],[QTDE/ Fabricação]]-Tabela1[[#This Row],[QTE]]</f>
        <v>-1</v>
      </c>
      <c r="R600" s="18">
        <f t="shared" ca="1" si="111"/>
        <v>1.2</v>
      </c>
      <c r="S600" s="18">
        <f t="shared" ca="1" si="110"/>
        <v>1.2</v>
      </c>
      <c r="T600" s="19">
        <f t="shared" ca="1" si="112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 ca="1">IFERROR(COUNTIF(#REF!,Tabela1[[#This Row],[Colunas5]]),"")</f>
        <v/>
      </c>
      <c r="X600" s="14">
        <f ca="1">Tabela1[[#This Row],[QIANTIDADE EXPEDIDA]]*Tabela1[[#This Row],[PESO UNI]]</f>
        <v>1.2</v>
      </c>
      <c r="Y600" s="14">
        <f t="shared" ca="1" si="113"/>
        <v>0</v>
      </c>
      <c r="Z600" s="20">
        <f ca="1"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 ca="1">Tabela1[[#This Row],[Coluna1]]&amp;Tabela1[[#This Row],[PEDIDO]]</f>
        <v>P-190</v>
      </c>
      <c r="AL600"/>
      <c r="AM600"/>
      <c r="AN600"/>
      <c r="AO600" t="str">
        <f t="shared" ca="1" si="114"/>
        <v>(CONFORME ET:BBR-D-DF-1073-MDE-K-0017)/P190</v>
      </c>
      <c r="AP600" t="str">
        <f ca="1">Tabela1[[#This Row],[TAG]]&amp;Tabela1[[#This Row],[PEDIDO]]&amp;Tabela1[[#This Row],[PRODUTO]]</f>
        <v>P190P-190COMERCIAL</v>
      </c>
      <c r="AQ600" s="22" t="str">
        <f ca="1">Tabela1[[#This Row],[PRODUTO]]&amp;Tabela1[[#This Row],[TAG]]</f>
        <v>COMERCIALP190</v>
      </c>
      <c r="AR600" s="24" t="str">
        <f ca="1">Tabela1[[#This Row],[PEDIDO]]&amp;Tabela1[[#This Row],[PRODUTO]]</f>
        <v>P-190COMERCIAL</v>
      </c>
      <c r="AS600" s="37">
        <f ca="1">IF(AF600="",0,IF(ISTEXT(AF600),H600*VALUE(SUBSTITUTE(AF600,"%",""))/100,H600*AF600))-Tabela1[[#This Row],[PRONTO ACABADO2]]</f>
        <v>0</v>
      </c>
      <c r="AT600" s="37">
        <f ca="1">IF(AG600="",0,IF(ISTEXT(AG600),H600*VALUE(SUBSTITUTE(AG600,"%",""))/100,H600*AG600))-Tabela1[[#This Row],[PESO EXPEDIDO2]]</f>
        <v>0</v>
      </c>
      <c r="AU600" s="37">
        <f t="shared" ca="1" si="115"/>
        <v>1.2</v>
      </c>
      <c r="AV600" s="37">
        <f t="shared" ca="1" si="116"/>
        <v>1.2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 ca="1"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 ca="1">Tabela1[[#This Row],[QTDE/ Fabricação]]-Tabela1[[#This Row],[QTE]]</f>
        <v>-1</v>
      </c>
      <c r="R601" s="18">
        <f t="shared" ca="1" si="111"/>
        <v>2.5</v>
      </c>
      <c r="S601" s="18">
        <f t="shared" ca="1" si="110"/>
        <v>2.5</v>
      </c>
      <c r="T601" s="19">
        <f t="shared" ca="1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 ca="1">IFERROR(COUNTIF(#REF!,Tabela1[[#This Row],[Colunas5]]),"")</f>
        <v/>
      </c>
      <c r="X601" s="14">
        <f ca="1">Tabela1[[#This Row],[QIANTIDADE EXPEDIDA]]*Tabela1[[#This Row],[PESO UNI]]</f>
        <v>2.5</v>
      </c>
      <c r="Y601" s="14">
        <f t="shared" ca="1" si="113"/>
        <v>0</v>
      </c>
      <c r="Z601" s="20">
        <f ca="1"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 ca="1">Tabela1[[#This Row],[Coluna1]]&amp;Tabela1[[#This Row],[PEDIDO]]</f>
        <v>P-190</v>
      </c>
      <c r="AL601"/>
      <c r="AM601"/>
      <c r="AN601"/>
      <c r="AO601" t="str">
        <f t="shared" ca="1" si="114"/>
        <v>(CONFORME ET:BBR-D-DF-1073-MDE-K-0017)/P190</v>
      </c>
      <c r="AP601" t="str">
        <f ca="1">Tabela1[[#This Row],[TAG]]&amp;Tabela1[[#This Row],[PEDIDO]]&amp;Tabela1[[#This Row],[PRODUTO]]</f>
        <v>P190P-190COMERCIAL</v>
      </c>
      <c r="AQ601" s="22" t="str">
        <f ca="1">Tabela1[[#This Row],[PRODUTO]]&amp;Tabela1[[#This Row],[TAG]]</f>
        <v>COMERCIALP190</v>
      </c>
      <c r="AR601" s="24" t="str">
        <f ca="1">Tabela1[[#This Row],[PEDIDO]]&amp;Tabela1[[#This Row],[PRODUTO]]</f>
        <v>P-190COMERCIAL</v>
      </c>
      <c r="AS601" s="37">
        <f ca="1">IF(AF601="",0,IF(ISTEXT(AF601),H601*VALUE(SUBSTITUTE(AF601,"%",""))/100,H601*AF601))-Tabela1[[#This Row],[PRONTO ACABADO2]]</f>
        <v>0</v>
      </c>
      <c r="AT601" s="37">
        <f ca="1">IF(AG601="",0,IF(ISTEXT(AG601),H601*VALUE(SUBSTITUTE(AG601,"%",""))/100,H601*AG601))-Tabela1[[#This Row],[PESO EXPEDIDO2]]</f>
        <v>0</v>
      </c>
      <c r="AU601" s="37">
        <f t="shared" ca="1" si="115"/>
        <v>2.5</v>
      </c>
      <c r="AV601" s="37">
        <f t="shared" ca="1" si="116"/>
        <v>2.5</v>
      </c>
      <c r="AW601" s="37"/>
    </row>
    <row r="602" spans="1:49" ht="15.75" hidden="1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 ca="1"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 ca="1">Tabela1[[#This Row],[QTDE/ Fabricação]]-Tabela1[[#This Row],[QTE]]</f>
        <v>-1</v>
      </c>
      <c r="R602" s="18">
        <f t="shared" ca="1" si="111"/>
        <v>120</v>
      </c>
      <c r="S602" s="18">
        <f t="shared" ca="1" si="110"/>
        <v>120</v>
      </c>
      <c r="T602" s="19">
        <f t="shared" ca="1" si="112"/>
        <v>0</v>
      </c>
      <c r="U602" s="16">
        <f ca="1"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 ca="1">IFERROR(COUNTIF(#REF!,Tabela1[[#This Row],[Colunas5]]),"")</f>
        <v/>
      </c>
      <c r="X602" s="14">
        <f ca="1">Tabela1[[#This Row],[QIANTIDADE EXPEDIDA]]*Tabela1[[#This Row],[PESO UNI]]</f>
        <v>120</v>
      </c>
      <c r="Y602" s="14">
        <f t="shared" ca="1" si="113"/>
        <v>0</v>
      </c>
      <c r="Z602" s="20">
        <f ca="1"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 ca="1">Tabela1[[#This Row],[Coluna1]]&amp;Tabela1[[#This Row],[PEDIDO]]</f>
        <v>P-190</v>
      </c>
      <c r="AL602"/>
      <c r="AM602"/>
      <c r="AN602"/>
      <c r="AO602" t="str">
        <f t="shared" ca="1" si="114"/>
        <v>PAINEL ELÉTRICO CONF. OV-260385-PTC-02/P190</v>
      </c>
      <c r="AP602" t="str">
        <f ca="1">Tabela1[[#This Row],[TAG]]&amp;Tabela1[[#This Row],[PEDIDO]]&amp;Tabela1[[#This Row],[PRODUTO]]</f>
        <v>P190P-190COMERCIAL</v>
      </c>
      <c r="AQ602" s="22" t="str">
        <f ca="1">Tabela1[[#This Row],[PRODUTO]]&amp;Tabela1[[#This Row],[TAG]]</f>
        <v>COMERCIALP190</v>
      </c>
      <c r="AR602" s="24" t="str">
        <f ca="1">Tabela1[[#This Row],[PEDIDO]]&amp;Tabela1[[#This Row],[PRODUTO]]</f>
        <v>P-190COMERCIAL</v>
      </c>
      <c r="AS602" s="37">
        <f ca="1">IF(AF602="",0,IF(ISTEXT(AF602),H602*VALUE(SUBSTITUTE(AF602,"%",""))/100,H602*AF602))-Tabela1[[#This Row],[PRONTO ACABADO2]]</f>
        <v>0</v>
      </c>
      <c r="AT602" s="37">
        <f ca="1">IF(AG602="",0,IF(ISTEXT(AG602),H602*VALUE(SUBSTITUTE(AG602,"%",""))/100,H602*AG602))-Tabela1[[#This Row],[PESO EXPEDIDO2]]</f>
        <v>0</v>
      </c>
      <c r="AU602" s="37">
        <f t="shared" ca="1" si="115"/>
        <v>120</v>
      </c>
      <c r="AV602" s="37">
        <f t="shared" ca="1" si="116"/>
        <v>120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 ca="1"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 ca="1">Tabela1[[#This Row],[QTDE/ Fabricação]]-Tabela1[[#This Row],[QTE]]</f>
        <v>-1</v>
      </c>
      <c r="R603" s="18">
        <f t="shared" ca="1" si="111"/>
        <v>0.5</v>
      </c>
      <c r="S603" s="18">
        <f t="shared" ca="1" si="110"/>
        <v>0.5</v>
      </c>
      <c r="T603" s="19">
        <f t="shared" ca="1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 ca="1">IFERROR(COUNTIF(#REF!,Tabela1[[#This Row],[Colunas5]]),"")</f>
        <v/>
      </c>
      <c r="X603" s="14">
        <f ca="1">Tabela1[[#This Row],[QIANTIDADE EXPEDIDA]]*Tabela1[[#This Row],[PESO UNI]]</f>
        <v>0.5</v>
      </c>
      <c r="Y603" s="14">
        <f t="shared" ca="1" si="113"/>
        <v>0</v>
      </c>
      <c r="Z603" s="20">
        <f ca="1"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 ca="1">Tabela1[[#This Row],[Coluna1]]&amp;Tabela1[[#This Row],[PEDIDO]]</f>
        <v>P-190</v>
      </c>
      <c r="AL603"/>
      <c r="AM603"/>
      <c r="AN603"/>
      <c r="AO603" t="str">
        <f t="shared" ca="1" si="114"/>
        <v>PAINEL ELÉTRICO CONF. OV-260385-PTC-02/P190</v>
      </c>
      <c r="AP603" t="str">
        <f ca="1">Tabela1[[#This Row],[TAG]]&amp;Tabela1[[#This Row],[PEDIDO]]&amp;Tabela1[[#This Row],[PRODUTO]]</f>
        <v>P190P-190COMERCIAL</v>
      </c>
      <c r="AQ603" s="22" t="str">
        <f ca="1">Tabela1[[#This Row],[PRODUTO]]&amp;Tabela1[[#This Row],[TAG]]</f>
        <v>COMERCIALP190</v>
      </c>
      <c r="AR603" s="24" t="str">
        <f ca="1">Tabela1[[#This Row],[PEDIDO]]&amp;Tabela1[[#This Row],[PRODUTO]]</f>
        <v>P-190COMERCIAL</v>
      </c>
      <c r="AS603" s="37">
        <f ca="1">IF(AF603="",0,IF(ISTEXT(AF603),H603*VALUE(SUBSTITUTE(AF603,"%",""))/100,H603*AF603))-Tabela1[[#This Row],[PRONTO ACABADO2]]</f>
        <v>0</v>
      </c>
      <c r="AT603" s="37">
        <f ca="1">IF(AG603="",0,IF(ISTEXT(AG603),H603*VALUE(SUBSTITUTE(AG603,"%",""))/100,H603*AG603))-Tabela1[[#This Row],[PESO EXPEDIDO2]]</f>
        <v>0</v>
      </c>
      <c r="AU603" s="37">
        <f t="shared" ca="1" si="115"/>
        <v>0.5</v>
      </c>
      <c r="AV603" s="37">
        <f t="shared" ca="1" si="116"/>
        <v>0.5</v>
      </c>
      <c r="AW603" s="37"/>
    </row>
    <row r="604" spans="1:49" ht="15.75" hidden="1" customHeight="1" x14ac:dyDescent="0.25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 ca="1">Tabela1[[#This Row],[PESO UNI]]*Tabela1[[#This Row],[QTE]]</f>
        <v>1065.9000000000001</v>
      </c>
      <c r="I604" s="7" t="s">
        <v>4864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 ca="1">Tabela1[[#This Row],[QTDE/ Fabricação]]-Tabela1[[#This Row],[QTE]]</f>
        <v>-1</v>
      </c>
      <c r="R604" s="18">
        <f ca="1">IFERROR(H604*((AA604*0.25)+(AC604*0.25)+(AD604*0.225)+(AE604*0.225)+(AF604*0.05)),"")</f>
        <v>1065.9000000000001</v>
      </c>
      <c r="S604" s="18">
        <f t="shared" ref="S604:S624" ca="1" si="117">IFERROR(H604*AG604,"")</f>
        <v>1065.9000000000001</v>
      </c>
      <c r="T604" s="19">
        <f ca="1">IFERROR(S604-H604,"")</f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5</v>
      </c>
      <c r="W604" s="13" t="str">
        <f ca="1">IFERROR(COUNTIF(#REF!,Tabela1[[#This Row],[Colunas5]]),"")</f>
        <v/>
      </c>
      <c r="X604" s="14">
        <f ca="1">Tabela1[[#This Row],[QIANTIDADE EXPEDIDA]]*Tabela1[[#This Row],[PESO UNI]]</f>
        <v>1065.9000000000001</v>
      </c>
      <c r="Y604" s="14">
        <f ca="1">U604-C604</f>
        <v>0</v>
      </c>
      <c r="Z604" s="20">
        <f ca="1"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tr">
        <f ca="1">IF(Z604&lt;=0,"ok","")</f>
        <v>ok</v>
      </c>
      <c r="AJ604"/>
      <c r="AK604" t="str">
        <f ca="1">Tabela1[[#This Row],[Coluna1]]&amp;Tabela1[[#This Row],[PEDIDO]]</f>
        <v>P-198</v>
      </c>
      <c r="AL604"/>
      <c r="AM604"/>
      <c r="AN604"/>
      <c r="AO604" t="str">
        <f t="shared" ca="1" si="114"/>
        <v>T-073245-1/14-CV-0001</v>
      </c>
      <c r="AP604" t="str">
        <f ca="1">Tabela1[[#This Row],[TAG]]&amp;Tabela1[[#This Row],[PEDIDO]]&amp;Tabela1[[#This Row],[PRODUTO]]</f>
        <v>14-CV-0001P-198ESTRUTURA</v>
      </c>
      <c r="AQ604" s="22" t="str">
        <f ca="1">Tabela1[[#This Row],[PRODUTO]]&amp;Tabela1[[#This Row],[TAG]]</f>
        <v>ESTRUTURA14-CV-0001</v>
      </c>
      <c r="AR604" s="24" t="str">
        <f ca="1">Tabela1[[#This Row],[PEDIDO]]&amp;Tabela1[[#This Row],[PRODUTO]]</f>
        <v>P-198ESTRUTURA</v>
      </c>
      <c r="AS604" s="37">
        <f ca="1">IF(AF604="",0,IF(ISTEXT(AF604),H604*VALUE(SUBSTITUTE(AF604,"%",""))/100,H604*AF604))-Tabela1[[#This Row],[PRONTO ACABADO2]]</f>
        <v>0</v>
      </c>
      <c r="AT604" s="37">
        <f ca="1">IF(AG604="",0,IF(ISTEXT(AG604),H604*VALUE(SUBSTITUTE(AG604,"%",""))/100,H604*AG604))-Tabela1[[#This Row],[PESO EXPEDIDO2]]</f>
        <v>0</v>
      </c>
      <c r="AU604" s="37">
        <f t="shared" ca="1" si="115"/>
        <v>1065.9000000000001</v>
      </c>
      <c r="AV604" s="37">
        <f t="shared" ca="1" si="116"/>
        <v>1065.9000000000001</v>
      </c>
      <c r="AW604" s="37"/>
    </row>
    <row r="605" spans="1:49" ht="15.75" hidden="1" customHeight="1" x14ac:dyDescent="0.25">
      <c r="A605" s="1" t="s">
        <v>2552</v>
      </c>
      <c r="B605" s="194"/>
      <c r="C605" s="196">
        <v>47</v>
      </c>
      <c r="D605" s="207" t="s">
        <v>3735</v>
      </c>
      <c r="E605" s="193" t="s">
        <v>4446</v>
      </c>
      <c r="F605" s="196" t="s">
        <v>4411</v>
      </c>
      <c r="G605" s="197">
        <v>121.38</v>
      </c>
      <c r="H605" s="34">
        <f ca="1">Tabela1[[#This Row],[PESO UNI]]*Tabela1[[#This Row],[QTE]]</f>
        <v>5704.86</v>
      </c>
      <c r="I605" s="197">
        <v>0</v>
      </c>
      <c r="J605" s="8" t="s">
        <v>2550</v>
      </c>
      <c r="K605" s="8" t="s">
        <v>4320</v>
      </c>
      <c r="L605" s="9" t="s">
        <v>2551</v>
      </c>
      <c r="M605" s="198"/>
      <c r="N605" s="204" t="s">
        <v>38</v>
      </c>
      <c r="O605" s="199"/>
      <c r="P605" s="200"/>
      <c r="Q605" s="14">
        <f ca="1">Tabela1[[#This Row],[QTDE/ Fabricação]]-Tabela1[[#This Row],[QTE]]</f>
        <v>-47</v>
      </c>
      <c r="R605" s="18">
        <f t="shared" ref="R605" ca="1" si="118">IFERROR(H605*((AA605*0.25)+(AC605*0.25)+(AD605*0.225)+(AE605*0.225)+(AF605*0.05)),"")</f>
        <v>5704.86</v>
      </c>
      <c r="S605" s="158">
        <f t="shared" ca="1" si="117"/>
        <v>5704.86</v>
      </c>
      <c r="T605" s="19">
        <f t="shared" ref="T605" ca="1" si="119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 ca="1">IFERROR(COUNTIF(#REF!,Tabela1[[#This Row],[Colunas5]]),"")</f>
        <v/>
      </c>
      <c r="X605" s="14">
        <f ca="1">Tabela1[[#This Row],[QIANTIDADE EXPEDIDA]]*Tabela1[[#This Row],[PESO UNI]]</f>
        <v>5704.86</v>
      </c>
      <c r="Y605" s="14">
        <f t="shared" ref="Y605" ca="1" si="120">U605-C605</f>
        <v>0</v>
      </c>
      <c r="Z605" s="20">
        <f ca="1"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1"/>
      <c r="AR605" s="158"/>
      <c r="AS605" s="158"/>
      <c r="AT605" s="158"/>
      <c r="AU605" s="158"/>
      <c r="AV605" s="158"/>
      <c r="AW605" s="158"/>
    </row>
    <row r="606" spans="1:49" ht="15.75" hidden="1" customHeight="1" x14ac:dyDescent="0.25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1283.7</v>
      </c>
      <c r="H606" s="34">
        <f ca="1">Tabela1[[#This Row],[PESO UNI]]*Tabela1[[#This Row],[QTE]]</f>
        <v>1283.7</v>
      </c>
      <c r="I606" s="7" t="s">
        <v>5494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 ca="1">Tabela1[[#This Row],[QTDE/ Fabricação]]-Tabela1[[#This Row],[QTE]]</f>
        <v>-1</v>
      </c>
      <c r="R606" s="18">
        <f t="shared" ref="R606:R624" ca="1" si="121">IFERROR(H606*((AA606*0.25)+(AC606*0.25)+(AD606*0.225)+(AE606*0.225)+(AF606*0.05)),"")</f>
        <v>1283.7</v>
      </c>
      <c r="S606" s="18">
        <f t="shared" ca="1" si="117"/>
        <v>1283.7</v>
      </c>
      <c r="T606" s="19">
        <f t="shared" ref="T606:T624" ca="1" si="122">IFERROR(S606-H606,"")</f>
        <v>0</v>
      </c>
      <c r="U606" s="16">
        <f>IFERROR(SUMIF('LISTA DE EMBARQUE'!B:B,MICRO!E:E,'LISTA DE EMBARQUE'!G:G),"")</f>
        <v>1</v>
      </c>
      <c r="V606" s="12">
        <f ca="1">IFERROR(VLOOKUP(Tabela1[[#This Row],[COD.MDE]],'LISTA DE EMBARQUE'!B:L,11,0),"")</f>
        <v>6</v>
      </c>
      <c r="W606" s="13" t="str">
        <f ca="1">IFERROR(COUNTIF(#REF!,Tabela1[[#This Row],[Colunas5]]),"")</f>
        <v/>
      </c>
      <c r="X606" s="14">
        <f ca="1">Tabela1[[#This Row],[QIANTIDADE EXPEDIDA]]*Tabela1[[#This Row],[PESO UNI]]</f>
        <v>1283.7</v>
      </c>
      <c r="Y606" s="14">
        <f t="shared" ref="Y606:Y624" ca="1" si="123">U606-C606</f>
        <v>0</v>
      </c>
      <c r="Z606" s="20">
        <f ca="1">Tabela1[[#This Row],[PESO TOTAL]]-Tabela1[[#This Row],[Peso Expedido]]</f>
        <v>0</v>
      </c>
      <c r="AA606" s="17">
        <v>1</v>
      </c>
      <c r="AB606" s="33"/>
      <c r="AC606" s="17">
        <v>1</v>
      </c>
      <c r="AD606" s="17">
        <v>1</v>
      </c>
      <c r="AE606" s="17">
        <v>1</v>
      </c>
      <c r="AF606" s="17">
        <v>1</v>
      </c>
      <c r="AG606" s="17">
        <v>1</v>
      </c>
      <c r="AH606" s="17">
        <v>1</v>
      </c>
      <c r="AI606" s="33" t="s">
        <v>4412</v>
      </c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hidden="1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396.2</v>
      </c>
      <c r="H607" s="34">
        <f ca="1">Tabela1[[#This Row],[PESO UNI]]*Tabela1[[#This Row],[QTE]]</f>
        <v>396.2</v>
      </c>
      <c r="I607" s="7" t="s">
        <v>5493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 ca="1">Tabela1[[#This Row],[QTDE/ Fabricação]]-Tabela1[[#This Row],[QTE]]</f>
        <v>-1</v>
      </c>
      <c r="R607" s="18">
        <f t="shared" ca="1" si="121"/>
        <v>396.2</v>
      </c>
      <c r="S607" s="18">
        <f t="shared" ca="1" si="117"/>
        <v>396.2</v>
      </c>
      <c r="T607" s="19">
        <f t="shared" ca="1" si="122"/>
        <v>0</v>
      </c>
      <c r="U607" s="16">
        <f>IFERROR(SUMIF('LISTA DE EMBARQUE'!B:B,MICRO!E:E,'LISTA DE EMBARQUE'!G:G),"")</f>
        <v>1</v>
      </c>
      <c r="V607" s="12">
        <f>IFERROR(VLOOKUP(Tabela1[[#This Row],[COD.MDE]],'LISTA DE EMBARQUE'!B:L,11,0),"")</f>
        <v>6</v>
      </c>
      <c r="W607" s="13" t="str">
        <f ca="1">IFERROR(COUNTIF(#REF!,Tabela1[[#This Row],[Colunas5]]),"")</f>
        <v/>
      </c>
      <c r="X607" s="14">
        <f ca="1">Tabela1[[#This Row],[QIANTIDADE EXPEDIDA]]*Tabela1[[#This Row],[PESO UNI]]</f>
        <v>396.2</v>
      </c>
      <c r="Y607" s="14">
        <f t="shared" ca="1" si="123"/>
        <v>0</v>
      </c>
      <c r="Z607" s="20">
        <f ca="1">Tabela1[[#This Row],[PESO TOTAL]]-Tabela1[[#This Row],[Peso Expedido]]</f>
        <v>0</v>
      </c>
      <c r="AA607" s="17">
        <v>1</v>
      </c>
      <c r="AB607" s="33"/>
      <c r="AC607" s="17">
        <v>1</v>
      </c>
      <c r="AD607" s="17">
        <v>1</v>
      </c>
      <c r="AE607" s="17">
        <v>1</v>
      </c>
      <c r="AF607" s="17">
        <v>1</v>
      </c>
      <c r="AG607" s="17">
        <v>1</v>
      </c>
      <c r="AH607" s="17">
        <v>1</v>
      </c>
      <c r="AI607" s="33" t="s">
        <v>4412</v>
      </c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 ca="1">Tabela1[[#This Row],[PESO UNI]]*Tabela1[[#This Row],[QTE]]</f>
        <v>166</v>
      </c>
      <c r="I608" s="7" t="s">
        <v>5492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 ca="1">Tabela1[[#This Row],[QTDE/ Fabricação]]-Tabela1[[#This Row],[QTE]]</f>
        <v>-1</v>
      </c>
      <c r="R608" s="18">
        <f t="shared" ca="1" si="121"/>
        <v>74.7</v>
      </c>
      <c r="S608" s="18">
        <f t="shared" ca="1" si="117"/>
        <v>0</v>
      </c>
      <c r="T608" s="19">
        <f t="shared" ca="1" si="122"/>
        <v>-166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 ca="1">IFERROR(COUNTIF(#REF!,Tabela1[[#This Row],[Colunas5]]),"")</f>
        <v/>
      </c>
      <c r="X608" s="14">
        <f ca="1">Tabela1[[#This Row],[QIANTIDADE EXPEDIDA]]*Tabela1[[#This Row],[PESO UNI]]</f>
        <v>0</v>
      </c>
      <c r="Y608" s="14">
        <f t="shared" ca="1" si="123"/>
        <v>-1</v>
      </c>
      <c r="Z608" s="20">
        <f ca="1">Tabela1[[#This Row],[PESO TOTAL]]-Tabela1[[#This Row],[Peso Expedido]]</f>
        <v>166</v>
      </c>
      <c r="AA608" s="17">
        <v>0.9</v>
      </c>
      <c r="AB608" s="33"/>
      <c r="AC608" s="33">
        <v>0.9</v>
      </c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 ca="1">Tabela1[[#This Row],[PESO UNI]]*Tabela1[[#This Row],[QTE]]</f>
        <v>28.6</v>
      </c>
      <c r="I609" s="7" t="s">
        <v>5492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 ca="1">Tabela1[[#This Row],[QTDE/ Fabricação]]-Tabela1[[#This Row],[QTE]]</f>
        <v>-1</v>
      </c>
      <c r="R609" s="18">
        <f t="shared" ca="1" si="121"/>
        <v>12.870000000000001</v>
      </c>
      <c r="S609" s="18">
        <f t="shared" ca="1" si="117"/>
        <v>0</v>
      </c>
      <c r="T609" s="19">
        <f t="shared" ca="1" si="122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 ca="1">IFERROR(COUNTIF(#REF!,Tabela1[[#This Row],[Colunas5]]),"")</f>
        <v/>
      </c>
      <c r="X609" s="14">
        <f ca="1">Tabela1[[#This Row],[QIANTIDADE EXPEDIDA]]*Tabela1[[#This Row],[PESO UNI]]</f>
        <v>0</v>
      </c>
      <c r="Y609" s="14">
        <f t="shared" ca="1" si="123"/>
        <v>-1</v>
      </c>
      <c r="Z609" s="20">
        <f ca="1">Tabela1[[#This Row],[PESO TOTAL]]-Tabela1[[#This Row],[Peso Expedido]]</f>
        <v>28.6</v>
      </c>
      <c r="AA609" s="17">
        <v>0.9</v>
      </c>
      <c r="AB609" s="33"/>
      <c r="AC609" s="33">
        <v>0.9</v>
      </c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 ca="1">Tabela1[[#This Row],[PESO UNI]]*Tabela1[[#This Row],[QTE]]</f>
        <v>126.7</v>
      </c>
      <c r="I610" s="7" t="s">
        <v>5491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 ca="1">Tabela1[[#This Row],[QTDE/ Fabricação]]-Tabela1[[#This Row],[QTE]]</f>
        <v>-1</v>
      </c>
      <c r="R610" s="18">
        <f t="shared" ca="1" si="121"/>
        <v>31.675000000000001</v>
      </c>
      <c r="S610" s="18">
        <f t="shared" ca="1" si="117"/>
        <v>0</v>
      </c>
      <c r="T610" s="19">
        <f t="shared" ca="1" si="122"/>
        <v>-126.7</v>
      </c>
      <c r="U610" s="16">
        <f>IFERROR(SUMIF('LISTA DE EMBARQUE'!B:B,MICRO!E:E,'LISTA DE EMBARQUE'!G:G),"")</f>
        <v>0</v>
      </c>
      <c r="V610" s="12" t="str">
        <f ca="1">IFERROR(VLOOKUP(Tabela1[[#This Row],[COD.MDE]],'LISTA DE EMBARQUE'!B:L,11,0),"")</f>
        <v/>
      </c>
      <c r="W610" s="13" t="str">
        <f ca="1">IFERROR(COUNTIF(#REF!,Tabela1[[#This Row],[Colunas5]]),"")</f>
        <v/>
      </c>
      <c r="X610" s="14">
        <f ca="1">Tabela1[[#This Row],[QIANTIDADE EXPEDIDA]]*Tabela1[[#This Row],[PESO UNI]]</f>
        <v>0</v>
      </c>
      <c r="Y610" s="14">
        <f t="shared" ca="1" si="123"/>
        <v>-1</v>
      </c>
      <c r="Z610" s="20">
        <f ca="1">Tabela1[[#This Row],[PESO TOTAL]]-Tabela1[[#This Row],[Peso Expedido]]</f>
        <v>126.7</v>
      </c>
      <c r="AA610" s="17">
        <v>1</v>
      </c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117.8</v>
      </c>
      <c r="H611" s="34">
        <f ca="1">Tabela1[[#This Row],[PESO UNI]]*Tabela1[[#This Row],[QTE]]</f>
        <v>117.8</v>
      </c>
      <c r="I611" s="7" t="s">
        <v>5491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 ca="1">Tabela1[[#This Row],[QTDE/ Fabricação]]-Tabela1[[#This Row],[QTE]]</f>
        <v>-1</v>
      </c>
      <c r="R611" s="18">
        <f t="shared" ca="1" si="121"/>
        <v>29.45</v>
      </c>
      <c r="S611" s="18">
        <f t="shared" ca="1" si="117"/>
        <v>0</v>
      </c>
      <c r="T611" s="19">
        <f t="shared" ca="1" si="122"/>
        <v>-117.8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 ca="1">IFERROR(COUNTIF(#REF!,Tabela1[[#This Row],[Colunas5]]),"")</f>
        <v/>
      </c>
      <c r="X611" s="14">
        <f ca="1">Tabela1[[#This Row],[QIANTIDADE EXPEDIDA]]*Tabela1[[#This Row],[PESO UNI]]</f>
        <v>0</v>
      </c>
      <c r="Y611" s="14">
        <f t="shared" ca="1" si="123"/>
        <v>-1</v>
      </c>
      <c r="Z611" s="20">
        <f ca="1">Tabela1[[#This Row],[PESO TOTAL]]-Tabela1[[#This Row],[Peso Expedido]]</f>
        <v>117.8</v>
      </c>
      <c r="AA611" s="17">
        <v>1</v>
      </c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 ca="1"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 ca="1">Tabela1[[#This Row],[QTDE/ Fabricação]]-Tabela1[[#This Row],[QTE]]</f>
        <v>-1</v>
      </c>
      <c r="R612" s="18">
        <f t="shared" ca="1" si="121"/>
        <v>45.405000000000001</v>
      </c>
      <c r="S612" s="18">
        <f t="shared" ca="1" si="117"/>
        <v>0</v>
      </c>
      <c r="T612" s="19">
        <f t="shared" ca="1" si="122"/>
        <v>-100.9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 ca="1">IFERROR(COUNTIF(#REF!,Tabela1[[#This Row],[Colunas5]]),"")</f>
        <v/>
      </c>
      <c r="X612" s="14">
        <f ca="1">Tabela1[[#This Row],[QIANTIDADE EXPEDIDA]]*Tabela1[[#This Row],[PESO UNI]]</f>
        <v>0</v>
      </c>
      <c r="Y612" s="14">
        <f t="shared" ca="1" si="123"/>
        <v>-1</v>
      </c>
      <c r="Z612" s="20">
        <f ca="1">Tabela1[[#This Row],[PESO TOTAL]]-Tabela1[[#This Row],[Peso Expedido]]</f>
        <v>100.9</v>
      </c>
      <c r="AA612" s="17">
        <v>0.9</v>
      </c>
      <c r="AB612" s="33"/>
      <c r="AC612" s="33">
        <v>0.9</v>
      </c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 ca="1"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 ca="1">Tabela1[[#This Row],[QTDE/ Fabricação]]-Tabela1[[#This Row],[QTE]]</f>
        <v>-2</v>
      </c>
      <c r="R613" s="18">
        <f t="shared" ca="1" si="121"/>
        <v>75.06</v>
      </c>
      <c r="S613" s="18">
        <f t="shared" ca="1" si="117"/>
        <v>0</v>
      </c>
      <c r="T613" s="19">
        <f t="shared" ca="1" si="122"/>
        <v>-166.8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 ca="1">IFERROR(COUNTIF(#REF!,Tabela1[[#This Row],[Colunas5]]),"")</f>
        <v/>
      </c>
      <c r="X613" s="14">
        <f ca="1">Tabela1[[#This Row],[QIANTIDADE EXPEDIDA]]*Tabela1[[#This Row],[PESO UNI]]</f>
        <v>0</v>
      </c>
      <c r="Y613" s="14">
        <f t="shared" ca="1" si="123"/>
        <v>-2</v>
      </c>
      <c r="Z613" s="20">
        <f ca="1">Tabela1[[#This Row],[PESO TOTAL]]-Tabela1[[#This Row],[Peso Expedido]]</f>
        <v>166.8</v>
      </c>
      <c r="AA613" s="17">
        <v>0.9</v>
      </c>
      <c r="AB613" s="33"/>
      <c r="AC613" s="33">
        <v>0.9</v>
      </c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 ca="1"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 ca="1">Tabela1[[#This Row],[QTDE/ Fabricação]]-Tabela1[[#This Row],[QTE]]</f>
        <v>-1</v>
      </c>
      <c r="R614" s="18">
        <f t="shared" ca="1" si="121"/>
        <v>54.09</v>
      </c>
      <c r="S614" s="18">
        <f t="shared" ca="1" si="117"/>
        <v>0</v>
      </c>
      <c r="T614" s="19">
        <f t="shared" ca="1" si="122"/>
        <v>-120.2</v>
      </c>
      <c r="U614" s="16">
        <f>IFERROR(SUMIF('LISTA DE EMBARQUE'!B:B,MICRO!E:E,'LISTA DE EMBARQUE'!G:G),"")</f>
        <v>0</v>
      </c>
      <c r="V614" s="12" t="str">
        <f ca="1">IFERROR(VLOOKUP(Tabela1[[#This Row],[COD.MDE]],'LISTA DE EMBARQUE'!B:L,11,0),"")</f>
        <v/>
      </c>
      <c r="W614" s="13" t="str">
        <f ca="1">IFERROR(COUNTIF(#REF!,Tabela1[[#This Row],[Colunas5]]),"")</f>
        <v/>
      </c>
      <c r="X614" s="14">
        <f ca="1">Tabela1[[#This Row],[QIANTIDADE EXPEDIDA]]*Tabela1[[#This Row],[PESO UNI]]</f>
        <v>0</v>
      </c>
      <c r="Y614" s="14">
        <f t="shared" ca="1" si="123"/>
        <v>-1</v>
      </c>
      <c r="Z614" s="20">
        <f ca="1">Tabela1[[#This Row],[PESO TOTAL]]-Tabela1[[#This Row],[Peso Expedido]]</f>
        <v>120.2</v>
      </c>
      <c r="AA614" s="17">
        <v>0.9</v>
      </c>
      <c r="AB614" s="33"/>
      <c r="AC614" s="33">
        <v>0.9</v>
      </c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 ca="1"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 ca="1">Tabela1[[#This Row],[QTDE/ Fabricação]]-Tabela1[[#This Row],[QTE]]</f>
        <v>-1</v>
      </c>
      <c r="R615" s="18">
        <f t="shared" ca="1" si="121"/>
        <v>28.62</v>
      </c>
      <c r="S615" s="18">
        <f t="shared" ca="1" si="117"/>
        <v>0</v>
      </c>
      <c r="T615" s="19">
        <f t="shared" ca="1" si="122"/>
        <v>-63.6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 ca="1">IFERROR(COUNTIF(#REF!,Tabela1[[#This Row],[Colunas5]]),"")</f>
        <v/>
      </c>
      <c r="X615" s="14">
        <f ca="1">Tabela1[[#This Row],[QIANTIDADE EXPEDIDA]]*Tabela1[[#This Row],[PESO UNI]]</f>
        <v>0</v>
      </c>
      <c r="Y615" s="14">
        <f t="shared" ca="1" si="123"/>
        <v>-1</v>
      </c>
      <c r="Z615" s="20">
        <f ca="1">Tabela1[[#This Row],[PESO TOTAL]]-Tabela1[[#This Row],[Peso Expedido]]</f>
        <v>63.6</v>
      </c>
      <c r="AA615" s="17">
        <v>0.9</v>
      </c>
      <c r="AB615" s="33"/>
      <c r="AC615" s="33">
        <v>0.9</v>
      </c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 ca="1"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 ca="1">Tabela1[[#This Row],[QTDE/ Fabricação]]-Tabela1[[#This Row],[QTE]]</f>
        <v>-1</v>
      </c>
      <c r="R616" s="18">
        <f t="shared" ca="1" si="121"/>
        <v>34.11</v>
      </c>
      <c r="S616" s="18">
        <f t="shared" ca="1" si="117"/>
        <v>0</v>
      </c>
      <c r="T616" s="19">
        <f t="shared" ca="1" si="122"/>
        <v>-75.8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 ca="1">IFERROR(COUNTIF(#REF!,Tabela1[[#This Row],[Colunas5]]),"")</f>
        <v/>
      </c>
      <c r="X616" s="14">
        <f ca="1">Tabela1[[#This Row],[QIANTIDADE EXPEDIDA]]*Tabela1[[#This Row],[PESO UNI]]</f>
        <v>0</v>
      </c>
      <c r="Y616" s="14">
        <f t="shared" ca="1" si="123"/>
        <v>-1</v>
      </c>
      <c r="Z616" s="20">
        <f ca="1">Tabela1[[#This Row],[PESO TOTAL]]-Tabela1[[#This Row],[Peso Expedido]]</f>
        <v>75.8</v>
      </c>
      <c r="AA616" s="17">
        <v>0.9</v>
      </c>
      <c r="AB616" s="33"/>
      <c r="AC616" s="33">
        <v>0.9</v>
      </c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761.9</v>
      </c>
      <c r="H617" s="34">
        <f ca="1">Tabela1[[#This Row],[PESO UNI]]*Tabela1[[#This Row],[QTE]]</f>
        <v>761.9</v>
      </c>
      <c r="I617" s="7" t="s">
        <v>5495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 ca="1">Tabela1[[#This Row],[QTDE/ Fabricação]]-Tabela1[[#This Row],[QTE]]</f>
        <v>-1</v>
      </c>
      <c r="R617" s="18">
        <f t="shared" ca="1" si="121"/>
        <v>761.9</v>
      </c>
      <c r="S617" s="18">
        <f t="shared" ca="1" si="117"/>
        <v>761.9</v>
      </c>
      <c r="T617" s="19">
        <f t="shared" ca="1" si="122"/>
        <v>0</v>
      </c>
      <c r="U617" s="16">
        <f>IFERROR(SUMIF('LISTA DE EMBARQUE'!B:B,MICRO!E:E,'LISTA DE EMBARQUE'!G:G),"")</f>
        <v>1</v>
      </c>
      <c r="V617" s="12">
        <f>IFERROR(VLOOKUP(Tabela1[[#This Row],[COD.MDE]],'LISTA DE EMBARQUE'!B:L,11,0),"")</f>
        <v>6</v>
      </c>
      <c r="W617" s="13" t="str">
        <f ca="1">IFERROR(COUNTIF(#REF!,Tabela1[[#This Row],[Colunas5]]),"")</f>
        <v/>
      </c>
      <c r="X617" s="14">
        <f ca="1">Tabela1[[#This Row],[QIANTIDADE EXPEDIDA]]*Tabela1[[#This Row],[PESO UNI]]</f>
        <v>761.9</v>
      </c>
      <c r="Y617" s="14">
        <f t="shared" ca="1" si="123"/>
        <v>0</v>
      </c>
      <c r="Z617" s="20">
        <f ca="1">Tabela1[[#This Row],[PESO TOTAL]]-Tabela1[[#This Row],[Peso Expedido]]</f>
        <v>0</v>
      </c>
      <c r="AA617" s="17">
        <v>1</v>
      </c>
      <c r="AB617" s="33"/>
      <c r="AC617" s="17">
        <v>1</v>
      </c>
      <c r="AD617" s="17">
        <v>1</v>
      </c>
      <c r="AE617" s="17">
        <v>1</v>
      </c>
      <c r="AF617" s="17">
        <v>1</v>
      </c>
      <c r="AG617" s="17">
        <v>1</v>
      </c>
      <c r="AH617" s="17">
        <v>1</v>
      </c>
      <c r="AI617" s="33" t="s">
        <v>4412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85.1</v>
      </c>
      <c r="H618" s="34">
        <f ca="1">Tabela1[[#This Row],[PESO UNI]]*Tabela1[[#This Row],[QTE]]</f>
        <v>170.2</v>
      </c>
      <c r="I618" s="7" t="s">
        <v>5495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 ca="1">Tabela1[[#This Row],[QTDE/ Fabricação]]-Tabela1[[#This Row],[QTE]]</f>
        <v>-2</v>
      </c>
      <c r="R618" s="18">
        <f t="shared" ca="1" si="121"/>
        <v>170.2</v>
      </c>
      <c r="S618" s="18">
        <f t="shared" ca="1" si="117"/>
        <v>170.2</v>
      </c>
      <c r="T618" s="19">
        <f t="shared" ca="1" si="122"/>
        <v>0</v>
      </c>
      <c r="U618" s="16">
        <f>IFERROR(SUMIF('LISTA DE EMBARQUE'!B:B,MICRO!E:E,'LISTA DE EMBARQUE'!G:G),"")</f>
        <v>2</v>
      </c>
      <c r="V618" s="12">
        <f ca="1">IFERROR(VLOOKUP(Tabela1[[#This Row],[COD.MDE]],'LISTA DE EMBARQUE'!B:L,11,0),"")</f>
        <v>6</v>
      </c>
      <c r="W618" s="13" t="str">
        <f ca="1">IFERROR(COUNTIF(#REF!,Tabela1[[#This Row],[Colunas5]]),"")</f>
        <v/>
      </c>
      <c r="X618" s="14">
        <f ca="1">Tabela1[[#This Row],[QIANTIDADE EXPEDIDA]]*Tabela1[[#This Row],[PESO UNI]]</f>
        <v>170.2</v>
      </c>
      <c r="Y618" s="14">
        <f t="shared" ca="1" si="123"/>
        <v>0</v>
      </c>
      <c r="Z618" s="20">
        <f ca="1">Tabela1[[#This Row],[PESO TOTAL]]-Tabela1[[#This Row],[Peso Expedido]]</f>
        <v>0</v>
      </c>
      <c r="AA618" s="17">
        <v>1</v>
      </c>
      <c r="AB618" s="33"/>
      <c r="AC618" s="17">
        <v>1</v>
      </c>
      <c r="AD618" s="17">
        <v>1</v>
      </c>
      <c r="AE618" s="17">
        <v>1</v>
      </c>
      <c r="AF618" s="17">
        <v>1</v>
      </c>
      <c r="AG618" s="17">
        <v>1</v>
      </c>
      <c r="AH618" s="17">
        <v>1</v>
      </c>
      <c r="AI618" s="33" t="s">
        <v>4412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 ca="1">Tabela1[[#This Row],[PESO UNI]]*Tabela1[[#This Row],[QTE]]</f>
        <v>103.6</v>
      </c>
      <c r="I619" s="7" t="s">
        <v>5495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 ca="1">Tabela1[[#This Row],[QTDE/ Fabricação]]-Tabela1[[#This Row],[QTE]]</f>
        <v>-2</v>
      </c>
      <c r="R619" s="18">
        <f t="shared" ca="1" si="121"/>
        <v>103.6</v>
      </c>
      <c r="S619" s="18">
        <f t="shared" ca="1" si="117"/>
        <v>103.6</v>
      </c>
      <c r="T619" s="19">
        <f t="shared" ca="1" si="122"/>
        <v>0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 ca="1">IFERROR(COUNTIF(#REF!,Tabela1[[#This Row],[Colunas5]]),"")</f>
        <v/>
      </c>
      <c r="X619" s="14">
        <f ca="1">Tabela1[[#This Row],[QIANTIDADE EXPEDIDA]]*Tabela1[[#This Row],[PESO UNI]]</f>
        <v>0</v>
      </c>
      <c r="Y619" s="14">
        <f t="shared" ca="1" si="123"/>
        <v>-2</v>
      </c>
      <c r="Z619" s="20">
        <f ca="1">Tabela1[[#This Row],[PESO TOTAL]]-Tabela1[[#This Row],[Peso Expedido]]</f>
        <v>103.6</v>
      </c>
      <c r="AA619" s="17">
        <v>1</v>
      </c>
      <c r="AB619" s="33"/>
      <c r="AC619" s="33">
        <v>1</v>
      </c>
      <c r="AD619" s="33">
        <v>1</v>
      </c>
      <c r="AE619" s="33">
        <v>1</v>
      </c>
      <c r="AF619" s="33">
        <v>1</v>
      </c>
      <c r="AG619" s="33">
        <v>1</v>
      </c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 ca="1">Tabela1[[#This Row],[PESO UNI]]*Tabela1[[#This Row],[QTE]]</f>
        <v>5.4</v>
      </c>
      <c r="I620" s="7" t="s">
        <v>5495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 ca="1">Tabela1[[#This Row],[QTDE/ Fabricação]]-Tabela1[[#This Row],[QTE]]</f>
        <v>-2</v>
      </c>
      <c r="R620" s="18">
        <f t="shared" ca="1" si="121"/>
        <v>5.4</v>
      </c>
      <c r="S620" s="18">
        <f t="shared" ca="1" si="117"/>
        <v>5.4</v>
      </c>
      <c r="T620" s="19">
        <f t="shared" ca="1" si="122"/>
        <v>0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 ca="1">IFERROR(COUNTIF(#REF!,Tabela1[[#This Row],[Colunas5]]),"")</f>
        <v/>
      </c>
      <c r="X620" s="14">
        <f ca="1">Tabela1[[#This Row],[QIANTIDADE EXPEDIDA]]*Tabela1[[#This Row],[PESO UNI]]</f>
        <v>0</v>
      </c>
      <c r="Y620" s="14">
        <f t="shared" ca="1" si="123"/>
        <v>-2</v>
      </c>
      <c r="Z620" s="20">
        <f ca="1">Tabela1[[#This Row],[PESO TOTAL]]-Tabela1[[#This Row],[Peso Expedido]]</f>
        <v>5.4</v>
      </c>
      <c r="AA620" s="17">
        <v>1</v>
      </c>
      <c r="AB620" s="33"/>
      <c r="AC620" s="33">
        <v>1</v>
      </c>
      <c r="AD620" s="33">
        <v>1</v>
      </c>
      <c r="AE620" s="33">
        <v>1</v>
      </c>
      <c r="AF620" s="33">
        <v>1</v>
      </c>
      <c r="AG620" s="33">
        <v>1</v>
      </c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 ca="1">Tabela1[[#This Row],[PESO UNI]]*Tabela1[[#This Row],[QTE]]</f>
        <v>1.5</v>
      </c>
      <c r="I621" s="7" t="s">
        <v>5495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 ca="1">Tabela1[[#This Row],[QTDE/ Fabricação]]-Tabela1[[#This Row],[QTE]]</f>
        <v>-2</v>
      </c>
      <c r="R621" s="18">
        <f t="shared" ca="1" si="121"/>
        <v>0.71249999999999991</v>
      </c>
      <c r="S621" s="18">
        <f t="shared" ca="1" si="117"/>
        <v>0</v>
      </c>
      <c r="T621" s="19">
        <f t="shared" ca="1" si="122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 ca="1">IFERROR(COUNTIF(#REF!,Tabela1[[#This Row],[Colunas5]]),"")</f>
        <v/>
      </c>
      <c r="X621" s="14">
        <f ca="1">Tabela1[[#This Row],[QIANTIDADE EXPEDIDA]]*Tabela1[[#This Row],[PESO UNI]]</f>
        <v>0</v>
      </c>
      <c r="Y621" s="14">
        <f t="shared" ca="1" si="123"/>
        <v>-2</v>
      </c>
      <c r="Z621" s="20">
        <f ca="1">Tabela1[[#This Row],[PESO TOTAL]]-Tabela1[[#This Row],[Peso Expedido]]</f>
        <v>1.5</v>
      </c>
      <c r="AA621" s="17">
        <v>1</v>
      </c>
      <c r="AB621" s="33"/>
      <c r="AC621" s="33">
        <v>0.9</v>
      </c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 ca="1">Tabela1[[#This Row],[PESO UNI]]*Tabela1[[#This Row],[QTE]]</f>
        <v>1.6</v>
      </c>
      <c r="I622" s="7" t="s">
        <v>5495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 ca="1">Tabela1[[#This Row],[QTDE/ Fabricação]]-Tabela1[[#This Row],[QTE]]</f>
        <v>-2</v>
      </c>
      <c r="R622" s="18">
        <f t="shared" ca="1" si="121"/>
        <v>1.6</v>
      </c>
      <c r="S622" s="18">
        <f t="shared" ca="1" si="117"/>
        <v>1.6</v>
      </c>
      <c r="T622" s="19">
        <f t="shared" ca="1" si="122"/>
        <v>0</v>
      </c>
      <c r="U622" s="16">
        <f>IFERROR(SUMIF('LISTA DE EMBARQUE'!B:B,MICRO!E:E,'LISTA DE EMBARQUE'!G:G),"")</f>
        <v>0</v>
      </c>
      <c r="V622" s="12" t="str">
        <f ca="1">IFERROR(VLOOKUP(Tabela1[[#This Row],[COD.MDE]],'LISTA DE EMBARQUE'!B:L,11,0),"")</f>
        <v/>
      </c>
      <c r="W622" s="13" t="str">
        <f ca="1">IFERROR(COUNTIF(#REF!,Tabela1[[#This Row],[Colunas5]]),"")</f>
        <v/>
      </c>
      <c r="X622" s="14">
        <f ca="1">Tabela1[[#This Row],[QIANTIDADE EXPEDIDA]]*Tabela1[[#This Row],[PESO UNI]]</f>
        <v>0</v>
      </c>
      <c r="Y622" s="14">
        <f t="shared" ca="1" si="123"/>
        <v>-2</v>
      </c>
      <c r="Z622" s="20">
        <f ca="1">Tabela1[[#This Row],[PESO TOTAL]]-Tabela1[[#This Row],[Peso Expedido]]</f>
        <v>1.6</v>
      </c>
      <c r="AA622" s="17">
        <v>1</v>
      </c>
      <c r="AB622" s="33"/>
      <c r="AC622" s="33">
        <v>1</v>
      </c>
      <c r="AD622" s="33">
        <v>1</v>
      </c>
      <c r="AE622" s="33">
        <v>1</v>
      </c>
      <c r="AF622" s="33">
        <v>1</v>
      </c>
      <c r="AG622" s="33">
        <v>1</v>
      </c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 ca="1">Tabela1[[#This Row],[PESO UNI]]*Tabela1[[#This Row],[QTE]]</f>
        <v>527.5</v>
      </c>
      <c r="I623" s="7" t="s">
        <v>4865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 ca="1">Tabela1[[#This Row],[QTDE/ Fabricação]]-Tabela1[[#This Row],[QTE]]</f>
        <v>-1</v>
      </c>
      <c r="R623" s="18">
        <f t="shared" ca="1" si="121"/>
        <v>527.5</v>
      </c>
      <c r="S623" s="18">
        <f t="shared" ca="1" si="117"/>
        <v>527.5</v>
      </c>
      <c r="T623" s="19">
        <f t="shared" ca="1" si="122"/>
        <v>0</v>
      </c>
      <c r="U623" s="16">
        <f>IFERROR(SUMIF('LISTA DE EMBARQUE'!B:B,MICRO!E:E,'LISTA DE EMBARQUE'!G:G),"")</f>
        <v>1</v>
      </c>
      <c r="V623" s="12">
        <f>IFERROR(VLOOKUP(Tabela1[[#This Row],[COD.MDE]],'LISTA DE EMBARQUE'!B:L,11,0),"")</f>
        <v>5</v>
      </c>
      <c r="W623" s="13" t="str">
        <f ca="1">IFERROR(COUNTIF(#REF!,Tabela1[[#This Row],[Colunas5]]),"")</f>
        <v/>
      </c>
      <c r="X623" s="14">
        <f ca="1">Tabela1[[#This Row],[QIANTIDADE EXPEDIDA]]*Tabela1[[#This Row],[PESO UNI]]</f>
        <v>527.5</v>
      </c>
      <c r="Y623" s="14">
        <f t="shared" ca="1" si="123"/>
        <v>0</v>
      </c>
      <c r="Z623" s="20">
        <f ca="1">Tabela1[[#This Row],[PESO TOTAL]]-Tabela1[[#This Row],[Peso Expedido]]</f>
        <v>0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>
        <v>1</v>
      </c>
      <c r="AI623" s="33" t="str">
        <f ca="1">IF(Z623&lt;=0,"ok","")</f>
        <v>ok</v>
      </c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 ca="1"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 ca="1">Tabela1[[#This Row],[QTDE/ Fabricação]]-Tabela1[[#This Row],[QTE]]</f>
        <v>-30</v>
      </c>
      <c r="R624" s="18">
        <f t="shared" ca="1" si="121"/>
        <v>345</v>
      </c>
      <c r="S624" s="18">
        <f t="shared" ca="1" si="117"/>
        <v>345</v>
      </c>
      <c r="T624" s="19">
        <f t="shared" ca="1" si="122"/>
        <v>0</v>
      </c>
      <c r="U624" s="16">
        <v>30</v>
      </c>
      <c r="V624" s="12">
        <v>1</v>
      </c>
      <c r="W624" s="13" t="str">
        <f ca="1">IFERROR(COUNTIF(#REF!,Tabela1[[#This Row],[Colunas5]]),"")</f>
        <v/>
      </c>
      <c r="X624" s="14">
        <f ca="1">Tabela1[[#This Row],[QIANTIDADE EXPEDIDA]]*Tabela1[[#This Row],[PESO UNI]]</f>
        <v>345</v>
      </c>
      <c r="Y624" s="14">
        <f t="shared" ca="1" si="123"/>
        <v>0</v>
      </c>
      <c r="Z624" s="20">
        <f ca="1"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 ca="1"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 ca="1">Tabela1[[#This Row],[QTDE/ Fabricação]]-Tabela1[[#This Row],[QTE]]</f>
        <v>-2</v>
      </c>
      <c r="R625" s="18">
        <f t="shared" ref="R625:R626" ca="1" si="124">IFERROR(H625*((AA625*0.25)+(AC625*0.25)+(AD625*0.225)+(AE625*0.225)+(AF625*0.05)),"")</f>
        <v>4.78</v>
      </c>
      <c r="S625" s="18">
        <f t="shared" ref="S625:S626" ca="1" si="125">IFERROR(H625*AG625,"")</f>
        <v>4.78</v>
      </c>
      <c r="T625" s="19">
        <f t="shared" ref="T625:T626" ca="1" si="126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 ca="1">IFERROR(COUNTIF(#REF!,Tabela1[[#This Row],[Colunas5]]),"")</f>
        <v/>
      </c>
      <c r="X625" s="14">
        <f ca="1">Tabela1[[#This Row],[QIANTIDADE EXPEDIDA]]*Tabela1[[#This Row],[PESO UNI]]</f>
        <v>4.78</v>
      </c>
      <c r="Y625" s="14">
        <f t="shared" ref="Y625:Y626" ca="1" si="127">U625-C625</f>
        <v>0</v>
      </c>
      <c r="Z625" s="20">
        <f ca="1"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 ca="1"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 ca="1">Tabela1[[#This Row],[QTDE/ Fabricação]]-Tabela1[[#This Row],[QTE]]</f>
        <v>-2</v>
      </c>
      <c r="R626" s="18">
        <f t="shared" ca="1" si="124"/>
        <v>4.78</v>
      </c>
      <c r="S626" s="18">
        <f t="shared" ca="1" si="125"/>
        <v>4.78</v>
      </c>
      <c r="T626" s="19">
        <f t="shared" ca="1" si="126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 ca="1">IFERROR(COUNTIF(#REF!,Tabela1[[#This Row],[Colunas5]]),"")</f>
        <v/>
      </c>
      <c r="X626" s="14">
        <f ca="1">Tabela1[[#This Row],[QIANTIDADE EXPEDIDA]]*Tabela1[[#This Row],[PESO UNI]]</f>
        <v>4.78</v>
      </c>
      <c r="Y626" s="14">
        <f t="shared" ca="1" si="127"/>
        <v>0</v>
      </c>
      <c r="Z626" s="20">
        <f ca="1"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 ca="1">Tabela1[[#This Row],[QTDE/ Fabricação]]-Tabela1[[#This Row],[QTE]]</f>
        <v>-16</v>
      </c>
      <c r="R627" s="18">
        <f t="shared" ref="R627:R690" ca="1" si="128">IFERROR(H627*((AA627*0.25)+(AC627*0.25)+(AD627*0.225)+(AE627*0.225)+(AF627*0.05)),"")</f>
        <v>19.2</v>
      </c>
      <c r="S627" s="18">
        <f t="shared" ref="S627:S690" ca="1" si="129">IFERROR(H627*AG627,"")</f>
        <v>19.2</v>
      </c>
      <c r="T627" s="19">
        <f t="shared" ref="T627:T690" ca="1" si="130">IFERROR(S627-H627,"")</f>
        <v>0</v>
      </c>
      <c r="U627" s="16">
        <f>IFERROR(SUMIF('LISTA DE EMBARQUE'!B:B,MICRO!E:E,'LISTA DE EMBARQUE'!G:G),"")</f>
        <v>16</v>
      </c>
      <c r="V627" s="12">
        <f ca="1">IFERROR(VLOOKUP(Tabela1[[#This Row],[COD.MDE]],'LISTA DE EMBARQUE'!B:L,11,0),"")</f>
        <v>12</v>
      </c>
      <c r="W627" s="13" t="str">
        <f ca="1">IFERROR(COUNTIF(#REF!,Tabela1[[#This Row],[Colunas5]]),"")</f>
        <v/>
      </c>
      <c r="X627" s="14">
        <f ca="1">Tabela1[[#This Row],[QIANTIDADE EXPEDIDA]]*Tabela1[[#This Row],[PESO UNI]]</f>
        <v>19.2</v>
      </c>
      <c r="Y627" s="14">
        <f t="shared" ref="Y627:Y690" ca="1" si="131">U627-C627</f>
        <v>0</v>
      </c>
      <c r="Z627" s="20">
        <f ca="1"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 ca="1">Tabela1[[#This Row],[QTDE/ Fabricação]]-Tabela1[[#This Row],[QTE]]</f>
        <v>-8</v>
      </c>
      <c r="R628" s="18">
        <f t="shared" ca="1" si="128"/>
        <v>14.4</v>
      </c>
      <c r="S628" s="18">
        <f t="shared" ca="1" si="129"/>
        <v>14.4</v>
      </c>
      <c r="T628" s="19">
        <f t="shared" ca="1" si="130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 ca="1">IFERROR(COUNTIF(#REF!,Tabela1[[#This Row],[Colunas5]]),"")</f>
        <v/>
      </c>
      <c r="X628" s="14">
        <f ca="1">Tabela1[[#This Row],[QIANTIDADE EXPEDIDA]]*Tabela1[[#This Row],[PESO UNI]]</f>
        <v>14.4</v>
      </c>
      <c r="Y628" s="14">
        <f t="shared" ca="1" si="131"/>
        <v>0</v>
      </c>
      <c r="Z628" s="20">
        <f ca="1"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 ca="1">Tabela1[[#This Row],[QTDE/ Fabricação]]-Tabela1[[#This Row],[QTE]]</f>
        <v>-7</v>
      </c>
      <c r="R629" s="18">
        <f t="shared" ca="1" si="128"/>
        <v>14.700000000000001</v>
      </c>
      <c r="S629" s="18">
        <f t="shared" ca="1" si="129"/>
        <v>14.700000000000001</v>
      </c>
      <c r="T629" s="19">
        <f t="shared" ca="1" si="130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 ca="1">IFERROR(COUNTIF(#REF!,Tabela1[[#This Row],[Colunas5]]),"")</f>
        <v/>
      </c>
      <c r="X629" s="14">
        <f ca="1">Tabela1[[#This Row],[QIANTIDADE EXPEDIDA]]*Tabela1[[#This Row],[PESO UNI]]</f>
        <v>14.700000000000001</v>
      </c>
      <c r="Y629" s="14">
        <f t="shared" ca="1" si="131"/>
        <v>0</v>
      </c>
      <c r="Z629" s="20">
        <f ca="1"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 ca="1">Tabela1[[#This Row],[QTDE/ Fabricação]]-Tabela1[[#This Row],[QTE]]</f>
        <v>-3</v>
      </c>
      <c r="R630" s="18">
        <f t="shared" ca="1" si="128"/>
        <v>0.15000000000000002</v>
      </c>
      <c r="S630" s="18">
        <f t="shared" ca="1" si="129"/>
        <v>0.15000000000000002</v>
      </c>
      <c r="T630" s="19">
        <f t="shared" ca="1" si="130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 ca="1">IFERROR(COUNTIF(#REF!,Tabela1[[#This Row],[Colunas5]]),"")</f>
        <v/>
      </c>
      <c r="X630" s="14">
        <f ca="1">Tabela1[[#This Row],[QIANTIDADE EXPEDIDA]]*Tabela1[[#This Row],[PESO UNI]]</f>
        <v>0.15000000000000002</v>
      </c>
      <c r="Y630" s="14">
        <f t="shared" ca="1" si="131"/>
        <v>0</v>
      </c>
      <c r="Z630" s="20">
        <f ca="1"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 ca="1">Tabela1[[#This Row],[QTDE/ Fabricação]]-Tabela1[[#This Row],[QTE]]</f>
        <v>-3</v>
      </c>
      <c r="R631" s="18">
        <f t="shared" ca="1" si="128"/>
        <v>0.06</v>
      </c>
      <c r="S631" s="18">
        <f t="shared" ca="1" si="129"/>
        <v>0.06</v>
      </c>
      <c r="T631" s="19">
        <f t="shared" ca="1" si="130"/>
        <v>0</v>
      </c>
      <c r="U631" s="16">
        <f>IFERROR(SUMIF('LISTA DE EMBARQUE'!B:B,MICRO!E:E,'LISTA DE EMBARQUE'!G:G),"")</f>
        <v>3</v>
      </c>
      <c r="V631" s="12">
        <f ca="1">IFERROR(VLOOKUP(Tabela1[[#This Row],[COD.MDE]],'LISTA DE EMBARQUE'!B:L,11,0),"")</f>
        <v>12</v>
      </c>
      <c r="W631" s="13" t="str">
        <f ca="1">IFERROR(COUNTIF(#REF!,Tabela1[[#This Row],[Colunas5]]),"")</f>
        <v/>
      </c>
      <c r="X631" s="14">
        <f ca="1">Tabela1[[#This Row],[QIANTIDADE EXPEDIDA]]*Tabela1[[#This Row],[PESO UNI]]</f>
        <v>0.06</v>
      </c>
      <c r="Y631" s="14">
        <f t="shared" ca="1" si="131"/>
        <v>0</v>
      </c>
      <c r="Z631" s="20">
        <f ca="1"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 ca="1">Tabela1[[#This Row],[QTDE/ Fabricação]]-Tabela1[[#This Row],[QTE]]</f>
        <v>-2</v>
      </c>
      <c r="R632" s="18">
        <f t="shared" ca="1" si="128"/>
        <v>1.6</v>
      </c>
      <c r="S632" s="18">
        <f t="shared" ca="1" si="129"/>
        <v>1.6</v>
      </c>
      <c r="T632" s="19">
        <f t="shared" ca="1" si="130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 ca="1">IFERROR(COUNTIF(#REF!,Tabela1[[#This Row],[Colunas5]]),"")</f>
        <v/>
      </c>
      <c r="X632" s="14">
        <f ca="1">Tabela1[[#This Row],[QIANTIDADE EXPEDIDA]]*Tabela1[[#This Row],[PESO UNI]]</f>
        <v>1.6</v>
      </c>
      <c r="Y632" s="14">
        <f t="shared" ca="1" si="131"/>
        <v>0</v>
      </c>
      <c r="Z632" s="20">
        <f ca="1"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 ca="1">Tabela1[[#This Row],[QTDE/ Fabricação]]-Tabela1[[#This Row],[QTE]]</f>
        <v>-6</v>
      </c>
      <c r="R633" s="18">
        <f t="shared" ca="1" si="128"/>
        <v>0.24</v>
      </c>
      <c r="S633" s="18">
        <f t="shared" ca="1" si="129"/>
        <v>0.24</v>
      </c>
      <c r="T633" s="19">
        <f t="shared" ca="1" si="130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 ca="1">IFERROR(COUNTIF(#REF!,Tabela1[[#This Row],[Colunas5]]),"")</f>
        <v/>
      </c>
      <c r="X633" s="14">
        <f ca="1">Tabela1[[#This Row],[QIANTIDADE EXPEDIDA]]*Tabela1[[#This Row],[PESO UNI]]</f>
        <v>0.24</v>
      </c>
      <c r="Y633" s="14">
        <f t="shared" ca="1" si="131"/>
        <v>0</v>
      </c>
      <c r="Z633" s="20">
        <f ca="1"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 ca="1">Tabela1[[#This Row],[QTDE/ Fabricação]]-Tabela1[[#This Row],[QTE]]</f>
        <v>-2</v>
      </c>
      <c r="R634" s="18">
        <f t="shared" ca="1" si="128"/>
        <v>0.1</v>
      </c>
      <c r="S634" s="18">
        <f t="shared" ca="1" si="129"/>
        <v>0.1</v>
      </c>
      <c r="T634" s="19">
        <f t="shared" ca="1" si="130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 ca="1">IFERROR(COUNTIF(#REF!,Tabela1[[#This Row],[Colunas5]]),"")</f>
        <v/>
      </c>
      <c r="X634" s="14">
        <f ca="1">Tabela1[[#This Row],[QIANTIDADE EXPEDIDA]]*Tabela1[[#This Row],[PESO UNI]]</f>
        <v>0.1</v>
      </c>
      <c r="Y634" s="14">
        <f t="shared" ca="1" si="131"/>
        <v>0</v>
      </c>
      <c r="Z634" s="20">
        <f ca="1"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 ca="1">Tabela1[[#This Row],[QTDE/ Fabricação]]-Tabela1[[#This Row],[QTE]]</f>
        <v>-6</v>
      </c>
      <c r="R635" s="18">
        <f t="shared" ca="1" si="128"/>
        <v>0.18</v>
      </c>
      <c r="S635" s="18">
        <f t="shared" ca="1" si="129"/>
        <v>0.18</v>
      </c>
      <c r="T635" s="19">
        <f t="shared" ca="1" si="130"/>
        <v>0</v>
      </c>
      <c r="U635" s="16">
        <f>IFERROR(SUMIF('LISTA DE EMBARQUE'!B:B,MICRO!E:E,'LISTA DE EMBARQUE'!G:G),"")</f>
        <v>6</v>
      </c>
      <c r="V635" s="12">
        <f ca="1">IFERROR(VLOOKUP(Tabela1[[#This Row],[COD.MDE]],'LISTA DE EMBARQUE'!B:L,11,0),"")</f>
        <v>12</v>
      </c>
      <c r="W635" s="13" t="str">
        <f ca="1">IFERROR(COUNTIF(#REF!,Tabela1[[#This Row],[Colunas5]]),"")</f>
        <v/>
      </c>
      <c r="X635" s="14">
        <f ca="1">Tabela1[[#This Row],[QIANTIDADE EXPEDIDA]]*Tabela1[[#This Row],[PESO UNI]]</f>
        <v>0.18</v>
      </c>
      <c r="Y635" s="14">
        <f t="shared" ca="1" si="131"/>
        <v>0</v>
      </c>
      <c r="Z635" s="20">
        <f ca="1"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 ca="1">Tabela1[[#This Row],[QTDE/ Fabricação]]-Tabela1[[#This Row],[QTE]]</f>
        <v>-2</v>
      </c>
      <c r="R636" s="18">
        <f t="shared" ca="1" si="128"/>
        <v>0.1</v>
      </c>
      <c r="S636" s="18">
        <f t="shared" ca="1" si="129"/>
        <v>0.1</v>
      </c>
      <c r="T636" s="19">
        <f t="shared" ca="1" si="130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 ca="1">IFERROR(COUNTIF(#REF!,Tabela1[[#This Row],[Colunas5]]),"")</f>
        <v/>
      </c>
      <c r="X636" s="14">
        <f ca="1">Tabela1[[#This Row],[QIANTIDADE EXPEDIDA]]*Tabela1[[#This Row],[PESO UNI]]</f>
        <v>0.1</v>
      </c>
      <c r="Y636" s="14">
        <f t="shared" ca="1" si="131"/>
        <v>0</v>
      </c>
      <c r="Z636" s="20">
        <f ca="1"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 ca="1">Tabela1[[#This Row],[QTDE/ Fabricação]]-Tabela1[[#This Row],[QTE]]</f>
        <v>-2</v>
      </c>
      <c r="R637" s="18">
        <f t="shared" ca="1" si="128"/>
        <v>0.16</v>
      </c>
      <c r="S637" s="18">
        <f t="shared" ca="1" si="129"/>
        <v>0.16</v>
      </c>
      <c r="T637" s="19">
        <f t="shared" ca="1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 ca="1">IFERROR(COUNTIF(#REF!,Tabela1[[#This Row],[Colunas5]]),"")</f>
        <v/>
      </c>
      <c r="X637" s="14">
        <f ca="1">Tabela1[[#This Row],[QIANTIDADE EXPEDIDA]]*Tabela1[[#This Row],[PESO UNI]]</f>
        <v>0.16</v>
      </c>
      <c r="Y637" s="14">
        <f t="shared" ca="1" si="131"/>
        <v>0</v>
      </c>
      <c r="Z637" s="20">
        <f ca="1"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 ca="1">Tabela1[[#This Row],[QTDE/ Fabricação]]-Tabela1[[#This Row],[QTE]]</f>
        <v>-4</v>
      </c>
      <c r="R638" s="18">
        <f t="shared" ca="1" si="128"/>
        <v>0.12</v>
      </c>
      <c r="S638" s="18">
        <f t="shared" ca="1" si="129"/>
        <v>0.12</v>
      </c>
      <c r="T638" s="19">
        <f t="shared" ca="1" si="130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 ca="1">IFERROR(COUNTIF(#REF!,Tabela1[[#This Row],[Colunas5]]),"")</f>
        <v/>
      </c>
      <c r="X638" s="14">
        <f ca="1">Tabela1[[#This Row],[QIANTIDADE EXPEDIDA]]*Tabela1[[#This Row],[PESO UNI]]</f>
        <v>0.12</v>
      </c>
      <c r="Y638" s="14">
        <f t="shared" ca="1" si="131"/>
        <v>0</v>
      </c>
      <c r="Z638" s="20">
        <f ca="1"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 ca="1">Tabela1[[#This Row],[QTDE/ Fabricação]]-Tabela1[[#This Row],[QTE]]</f>
        <v>-2</v>
      </c>
      <c r="R639" s="18">
        <f t="shared" ca="1" si="128"/>
        <v>0.1</v>
      </c>
      <c r="S639" s="18">
        <f t="shared" ca="1" si="129"/>
        <v>0.1</v>
      </c>
      <c r="T639" s="19">
        <f t="shared" ca="1" si="130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 ca="1">IFERROR(COUNTIF(#REF!,Tabela1[[#This Row],[Colunas5]]),"")</f>
        <v/>
      </c>
      <c r="X639" s="14">
        <f ca="1">Tabela1[[#This Row],[QIANTIDADE EXPEDIDA]]*Tabela1[[#This Row],[PESO UNI]]</f>
        <v>0.1</v>
      </c>
      <c r="Y639" s="14">
        <f t="shared" ca="1" si="131"/>
        <v>0</v>
      </c>
      <c r="Z639" s="20">
        <f ca="1"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 ca="1">Tabela1[[#This Row],[QTDE/ Fabricação]]-Tabela1[[#This Row],[QTE]]</f>
        <v>-3</v>
      </c>
      <c r="R640" s="18">
        <f t="shared" ca="1" si="128"/>
        <v>0.24</v>
      </c>
      <c r="S640" s="18">
        <f t="shared" ca="1" si="129"/>
        <v>0.24</v>
      </c>
      <c r="T640" s="19">
        <f t="shared" ca="1" si="130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 ca="1">IFERROR(COUNTIF(#REF!,Tabela1[[#This Row],[Colunas5]]),"")</f>
        <v/>
      </c>
      <c r="X640" s="14">
        <f ca="1">Tabela1[[#This Row],[QIANTIDADE EXPEDIDA]]*Tabela1[[#This Row],[PESO UNI]]</f>
        <v>0.24</v>
      </c>
      <c r="Y640" s="14">
        <f t="shared" ca="1" si="131"/>
        <v>0</v>
      </c>
      <c r="Z640" s="20">
        <f ca="1"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 ca="1">Tabela1[[#This Row],[QTDE/ Fabricação]]-Tabela1[[#This Row],[QTE]]</f>
        <v>-5</v>
      </c>
      <c r="R641" s="18">
        <f t="shared" ca="1" si="128"/>
        <v>0.15</v>
      </c>
      <c r="S641" s="18">
        <f t="shared" ca="1" si="129"/>
        <v>0.15</v>
      </c>
      <c r="T641" s="19">
        <f t="shared" ca="1" si="130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 ca="1">IFERROR(COUNTIF(#REF!,Tabela1[[#This Row],[Colunas5]]),"")</f>
        <v/>
      </c>
      <c r="X641" s="14">
        <f ca="1">Tabela1[[#This Row],[QIANTIDADE EXPEDIDA]]*Tabela1[[#This Row],[PESO UNI]]</f>
        <v>0.15</v>
      </c>
      <c r="Y641" s="14">
        <f t="shared" ca="1" si="131"/>
        <v>0</v>
      </c>
      <c r="Z641" s="20">
        <f ca="1"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 ca="1">Tabela1[[#This Row],[QTDE/ Fabricação]]-Tabela1[[#This Row],[QTE]]</f>
        <v>-7</v>
      </c>
      <c r="R642" s="18">
        <f t="shared" ca="1" si="128"/>
        <v>0.14000000000000001</v>
      </c>
      <c r="S642" s="18">
        <f t="shared" ca="1" si="129"/>
        <v>0.14000000000000001</v>
      </c>
      <c r="T642" s="19">
        <f t="shared" ca="1" si="130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 ca="1">IFERROR(COUNTIF(#REF!,Tabela1[[#This Row],[Colunas5]]),"")</f>
        <v/>
      </c>
      <c r="X642" s="14">
        <f ca="1">Tabela1[[#This Row],[QIANTIDADE EXPEDIDA]]*Tabela1[[#This Row],[PESO UNI]]</f>
        <v>0.14000000000000001</v>
      </c>
      <c r="Y642" s="14">
        <f t="shared" ca="1" si="131"/>
        <v>0</v>
      </c>
      <c r="Z642" s="20">
        <f ca="1"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 ca="1">Tabela1[[#This Row],[QTDE/ Fabricação]]-Tabela1[[#This Row],[QTE]]</f>
        <v>-32</v>
      </c>
      <c r="R643" s="18">
        <f t="shared" ca="1" si="128"/>
        <v>0.64</v>
      </c>
      <c r="S643" s="18">
        <f t="shared" ca="1" si="129"/>
        <v>0.64</v>
      </c>
      <c r="T643" s="19">
        <f t="shared" ca="1" si="130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 ca="1">IFERROR(COUNTIF(#REF!,Tabela1[[#This Row],[Colunas5]]),"")</f>
        <v/>
      </c>
      <c r="X643" s="14">
        <f ca="1">Tabela1[[#This Row],[QIANTIDADE EXPEDIDA]]*Tabela1[[#This Row],[PESO UNI]]</f>
        <v>0.64</v>
      </c>
      <c r="Y643" s="14">
        <f t="shared" ca="1" si="131"/>
        <v>0</v>
      </c>
      <c r="Z643" s="20">
        <f ca="1"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 ca="1">Tabela1[[#This Row],[QTDE/ Fabricação]]-Tabela1[[#This Row],[QTE]]</f>
        <v>-16</v>
      </c>
      <c r="R644" s="18">
        <f t="shared" ca="1" si="128"/>
        <v>0.64</v>
      </c>
      <c r="S644" s="18">
        <f t="shared" ca="1" si="129"/>
        <v>0.64</v>
      </c>
      <c r="T644" s="19">
        <f t="shared" ca="1" si="130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 ca="1">IFERROR(COUNTIF(#REF!,Tabela1[[#This Row],[Colunas5]]),"")</f>
        <v/>
      </c>
      <c r="X644" s="14">
        <f ca="1">Tabela1[[#This Row],[QIANTIDADE EXPEDIDA]]*Tabela1[[#This Row],[PESO UNI]]</f>
        <v>0.64</v>
      </c>
      <c r="Y644" s="14">
        <f t="shared" ca="1" si="131"/>
        <v>0</v>
      </c>
      <c r="Z644" s="20">
        <f ca="1"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 ca="1">Tabela1[[#This Row],[QTDE/ Fabricação]]-Tabela1[[#This Row],[QTE]]</f>
        <v>-14</v>
      </c>
      <c r="R645" s="18">
        <f t="shared" ca="1" si="128"/>
        <v>0.84</v>
      </c>
      <c r="S645" s="18">
        <f t="shared" ca="1" si="129"/>
        <v>0.84</v>
      </c>
      <c r="T645" s="19">
        <f t="shared" ca="1" si="130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 ca="1">IFERROR(COUNTIF(#REF!,Tabela1[[#This Row],[Colunas5]]),"")</f>
        <v/>
      </c>
      <c r="X645" s="14">
        <f ca="1">Tabela1[[#This Row],[QIANTIDADE EXPEDIDA]]*Tabela1[[#This Row],[PESO UNI]]</f>
        <v>0.84</v>
      </c>
      <c r="Y645" s="14">
        <f t="shared" ca="1" si="131"/>
        <v>0</v>
      </c>
      <c r="Z645" s="20">
        <f ca="1"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 ca="1">Tabela1[[#This Row],[QTDE/ Fabricação]]-Tabela1[[#This Row],[QTE]]</f>
        <v>-16</v>
      </c>
      <c r="R646" s="18">
        <f t="shared" ca="1" si="128"/>
        <v>19.2</v>
      </c>
      <c r="S646" s="18">
        <f t="shared" ca="1" si="129"/>
        <v>19.2</v>
      </c>
      <c r="T646" s="19">
        <f t="shared" ca="1" si="130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 ca="1">IFERROR(COUNTIF(#REF!,Tabela1[[#This Row],[Colunas5]]),"")</f>
        <v/>
      </c>
      <c r="X646" s="14">
        <f ca="1">Tabela1[[#This Row],[QIANTIDADE EXPEDIDA]]*Tabela1[[#This Row],[PESO UNI]]</f>
        <v>19.2</v>
      </c>
      <c r="Y646" s="14">
        <f t="shared" ca="1" si="131"/>
        <v>0</v>
      </c>
      <c r="Z646" s="20">
        <f ca="1"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 ca="1">Tabela1[[#This Row],[QTDE/ Fabricação]]-Tabela1[[#This Row],[QTE]]</f>
        <v>-8</v>
      </c>
      <c r="R647" s="18">
        <f t="shared" ca="1" si="128"/>
        <v>14.4</v>
      </c>
      <c r="S647" s="18">
        <f t="shared" ca="1" si="129"/>
        <v>14.4</v>
      </c>
      <c r="T647" s="19">
        <f t="shared" ca="1" si="130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 ca="1">IFERROR(COUNTIF(#REF!,Tabela1[[#This Row],[Colunas5]]),"")</f>
        <v/>
      </c>
      <c r="X647" s="14">
        <f ca="1">Tabela1[[#This Row],[QIANTIDADE EXPEDIDA]]*Tabela1[[#This Row],[PESO UNI]]</f>
        <v>14.4</v>
      </c>
      <c r="Y647" s="14">
        <f t="shared" ca="1" si="131"/>
        <v>0</v>
      </c>
      <c r="Z647" s="20">
        <f ca="1"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 ca="1">Tabela1[[#This Row],[QTDE/ Fabricação]]-Tabela1[[#This Row],[QTE]]</f>
        <v>-7</v>
      </c>
      <c r="R648" s="18">
        <f t="shared" ca="1" si="128"/>
        <v>14.700000000000001</v>
      </c>
      <c r="S648" s="18">
        <f t="shared" ca="1" si="129"/>
        <v>14.700000000000001</v>
      </c>
      <c r="T648" s="19">
        <f t="shared" ca="1" si="130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 ca="1">IFERROR(COUNTIF(#REF!,Tabela1[[#This Row],[Colunas5]]),"")</f>
        <v/>
      </c>
      <c r="X648" s="14">
        <f ca="1">Tabela1[[#This Row],[QIANTIDADE EXPEDIDA]]*Tabela1[[#This Row],[PESO UNI]]</f>
        <v>14.700000000000001</v>
      </c>
      <c r="Y648" s="14">
        <f t="shared" ca="1" si="131"/>
        <v>0</v>
      </c>
      <c r="Z648" s="20">
        <f ca="1"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 ca="1">Tabela1[[#This Row],[QTDE/ Fabricação]]-Tabela1[[#This Row],[QTE]]</f>
        <v>-3</v>
      </c>
      <c r="R649" s="18">
        <f t="shared" ca="1" si="128"/>
        <v>0.15000000000000002</v>
      </c>
      <c r="S649" s="18">
        <f t="shared" ca="1" si="129"/>
        <v>0.15000000000000002</v>
      </c>
      <c r="T649" s="19">
        <f t="shared" ca="1" si="130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 ca="1">IFERROR(COUNTIF(#REF!,Tabela1[[#This Row],[Colunas5]]),"")</f>
        <v/>
      </c>
      <c r="X649" s="14">
        <f ca="1">Tabela1[[#This Row],[QIANTIDADE EXPEDIDA]]*Tabela1[[#This Row],[PESO UNI]]</f>
        <v>0.15000000000000002</v>
      </c>
      <c r="Y649" s="14">
        <f t="shared" ca="1" si="131"/>
        <v>0</v>
      </c>
      <c r="Z649" s="20">
        <f ca="1"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 ca="1">Tabela1[[#This Row],[QTDE/ Fabricação]]-Tabela1[[#This Row],[QTE]]</f>
        <v>-3</v>
      </c>
      <c r="R650" s="18">
        <f t="shared" ca="1" si="128"/>
        <v>0.06</v>
      </c>
      <c r="S650" s="18">
        <f t="shared" ca="1" si="129"/>
        <v>0.06</v>
      </c>
      <c r="T650" s="19">
        <f t="shared" ca="1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 ca="1">IFERROR(COUNTIF(#REF!,Tabela1[[#This Row],[Colunas5]]),"")</f>
        <v/>
      </c>
      <c r="X650" s="14">
        <f ca="1">Tabela1[[#This Row],[QIANTIDADE EXPEDIDA]]*Tabela1[[#This Row],[PESO UNI]]</f>
        <v>0.06</v>
      </c>
      <c r="Y650" s="14">
        <f t="shared" ca="1" si="131"/>
        <v>0</v>
      </c>
      <c r="Z650" s="20">
        <f ca="1"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 ca="1">Tabela1[[#This Row],[QTDE/ Fabricação]]-Tabela1[[#This Row],[QTE]]</f>
        <v>-2</v>
      </c>
      <c r="R651" s="18">
        <f t="shared" ca="1" si="128"/>
        <v>1.6</v>
      </c>
      <c r="S651" s="18">
        <f t="shared" ca="1" si="129"/>
        <v>1.6</v>
      </c>
      <c r="T651" s="19">
        <f t="shared" ca="1" si="130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 ca="1">IFERROR(COUNTIF(#REF!,Tabela1[[#This Row],[Colunas5]]),"")</f>
        <v/>
      </c>
      <c r="X651" s="14">
        <f ca="1">Tabela1[[#This Row],[QIANTIDADE EXPEDIDA]]*Tabela1[[#This Row],[PESO UNI]]</f>
        <v>1.6</v>
      </c>
      <c r="Y651" s="14">
        <f t="shared" ca="1" si="131"/>
        <v>0</v>
      </c>
      <c r="Z651" s="20">
        <f ca="1"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 ca="1">Tabela1[[#This Row],[QTDE/ Fabricação]]-Tabela1[[#This Row],[QTE]]</f>
        <v>-6</v>
      </c>
      <c r="R652" s="18">
        <f t="shared" ca="1" si="128"/>
        <v>0.24</v>
      </c>
      <c r="S652" s="18">
        <f t="shared" ca="1" si="129"/>
        <v>0.24</v>
      </c>
      <c r="T652" s="19">
        <f t="shared" ca="1" si="130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 ca="1">IFERROR(COUNTIF(#REF!,Tabela1[[#This Row],[Colunas5]]),"")</f>
        <v/>
      </c>
      <c r="X652" s="14">
        <f ca="1">Tabela1[[#This Row],[QIANTIDADE EXPEDIDA]]*Tabela1[[#This Row],[PESO UNI]]</f>
        <v>0.24</v>
      </c>
      <c r="Y652" s="14">
        <f t="shared" ca="1" si="131"/>
        <v>0</v>
      </c>
      <c r="Z652" s="20">
        <f ca="1"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 ca="1">Tabela1[[#This Row],[QTDE/ Fabricação]]-Tabela1[[#This Row],[QTE]]</f>
        <v>-2</v>
      </c>
      <c r="R653" s="18">
        <f t="shared" ca="1" si="128"/>
        <v>0.1</v>
      </c>
      <c r="S653" s="18">
        <f t="shared" ca="1" si="129"/>
        <v>0.1</v>
      </c>
      <c r="T653" s="19">
        <f t="shared" ca="1" si="130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 ca="1">IFERROR(COUNTIF(#REF!,Tabela1[[#This Row],[Colunas5]]),"")</f>
        <v/>
      </c>
      <c r="X653" s="14">
        <f ca="1">Tabela1[[#This Row],[QIANTIDADE EXPEDIDA]]*Tabela1[[#This Row],[PESO UNI]]</f>
        <v>0.1</v>
      </c>
      <c r="Y653" s="14">
        <f t="shared" ca="1" si="131"/>
        <v>0</v>
      </c>
      <c r="Z653" s="20">
        <f ca="1"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 ca="1">Tabela1[[#This Row],[QTDE/ Fabricação]]-Tabela1[[#This Row],[QTE]]</f>
        <v>-6</v>
      </c>
      <c r="R654" s="18">
        <f t="shared" ca="1" si="128"/>
        <v>0.18</v>
      </c>
      <c r="S654" s="18">
        <f t="shared" ca="1" si="129"/>
        <v>0.18</v>
      </c>
      <c r="T654" s="19">
        <f t="shared" ca="1" si="130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 ca="1">IFERROR(COUNTIF(#REF!,Tabela1[[#This Row],[Colunas5]]),"")</f>
        <v/>
      </c>
      <c r="X654" s="14">
        <f ca="1">Tabela1[[#This Row],[QIANTIDADE EXPEDIDA]]*Tabela1[[#This Row],[PESO UNI]]</f>
        <v>0.18</v>
      </c>
      <c r="Y654" s="14">
        <f t="shared" ca="1" si="131"/>
        <v>0</v>
      </c>
      <c r="Z654" s="20">
        <f ca="1"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 ca="1">Tabela1[[#This Row],[QTDE/ Fabricação]]-Tabela1[[#This Row],[QTE]]</f>
        <v>-2</v>
      </c>
      <c r="R655" s="18">
        <f t="shared" ca="1" si="128"/>
        <v>0.1</v>
      </c>
      <c r="S655" s="18">
        <f t="shared" ca="1" si="129"/>
        <v>0.1</v>
      </c>
      <c r="T655" s="19">
        <f t="shared" ca="1" si="130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 ca="1">IFERROR(COUNTIF(#REF!,Tabela1[[#This Row],[Colunas5]]),"")</f>
        <v/>
      </c>
      <c r="X655" s="14">
        <f ca="1">Tabela1[[#This Row],[QIANTIDADE EXPEDIDA]]*Tabela1[[#This Row],[PESO UNI]]</f>
        <v>0.1</v>
      </c>
      <c r="Y655" s="14">
        <f t="shared" ca="1" si="131"/>
        <v>0</v>
      </c>
      <c r="Z655" s="20">
        <f ca="1"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 ca="1">Tabela1[[#This Row],[QTDE/ Fabricação]]-Tabela1[[#This Row],[QTE]]</f>
        <v>-2</v>
      </c>
      <c r="R656" s="18">
        <f t="shared" ca="1" si="128"/>
        <v>0.16</v>
      </c>
      <c r="S656" s="18">
        <f t="shared" ca="1" si="129"/>
        <v>0.16</v>
      </c>
      <c r="T656" s="19">
        <f t="shared" ca="1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 ca="1">IFERROR(COUNTIF(#REF!,Tabela1[[#This Row],[Colunas5]]),"")</f>
        <v/>
      </c>
      <c r="X656" s="14">
        <f ca="1">Tabela1[[#This Row],[QIANTIDADE EXPEDIDA]]*Tabela1[[#This Row],[PESO UNI]]</f>
        <v>0.16</v>
      </c>
      <c r="Y656" s="14">
        <f t="shared" ca="1" si="131"/>
        <v>0</v>
      </c>
      <c r="Z656" s="20">
        <f ca="1"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 ca="1">Tabela1[[#This Row],[QTDE/ Fabricação]]-Tabela1[[#This Row],[QTE]]</f>
        <v>-4</v>
      </c>
      <c r="R657" s="18">
        <f t="shared" ca="1" si="128"/>
        <v>0.12</v>
      </c>
      <c r="S657" s="18">
        <f t="shared" ca="1" si="129"/>
        <v>0.12</v>
      </c>
      <c r="T657" s="19">
        <f t="shared" ca="1" si="130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 ca="1">IFERROR(COUNTIF(#REF!,Tabela1[[#This Row],[Colunas5]]),"")</f>
        <v/>
      </c>
      <c r="X657" s="14">
        <f ca="1">Tabela1[[#This Row],[QIANTIDADE EXPEDIDA]]*Tabela1[[#This Row],[PESO UNI]]</f>
        <v>0.12</v>
      </c>
      <c r="Y657" s="14">
        <f t="shared" ca="1" si="131"/>
        <v>0</v>
      </c>
      <c r="Z657" s="20">
        <f ca="1"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 ca="1">Tabela1[[#This Row],[QTDE/ Fabricação]]-Tabela1[[#This Row],[QTE]]</f>
        <v>-2</v>
      </c>
      <c r="R658" s="18">
        <f t="shared" ca="1" si="128"/>
        <v>0.1</v>
      </c>
      <c r="S658" s="18">
        <f t="shared" ca="1" si="129"/>
        <v>0.1</v>
      </c>
      <c r="T658" s="19">
        <f t="shared" ca="1" si="130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 ca="1">IFERROR(COUNTIF(#REF!,Tabela1[[#This Row],[Colunas5]]),"")</f>
        <v/>
      </c>
      <c r="X658" s="14">
        <f ca="1">Tabela1[[#This Row],[QIANTIDADE EXPEDIDA]]*Tabela1[[#This Row],[PESO UNI]]</f>
        <v>0.1</v>
      </c>
      <c r="Y658" s="14">
        <f t="shared" ca="1" si="131"/>
        <v>0</v>
      </c>
      <c r="Z658" s="20">
        <f ca="1"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 ca="1">Tabela1[[#This Row],[QTDE/ Fabricação]]-Tabela1[[#This Row],[QTE]]</f>
        <v>-3</v>
      </c>
      <c r="R659" s="18">
        <f t="shared" ca="1" si="128"/>
        <v>0.24</v>
      </c>
      <c r="S659" s="18">
        <f t="shared" ca="1" si="129"/>
        <v>0.24</v>
      </c>
      <c r="T659" s="19">
        <f t="shared" ca="1" si="130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 ca="1">IFERROR(COUNTIF(#REF!,Tabela1[[#This Row],[Colunas5]]),"")</f>
        <v/>
      </c>
      <c r="X659" s="14">
        <f ca="1">Tabela1[[#This Row],[QIANTIDADE EXPEDIDA]]*Tabela1[[#This Row],[PESO UNI]]</f>
        <v>0.24</v>
      </c>
      <c r="Y659" s="14">
        <f t="shared" ca="1" si="131"/>
        <v>0</v>
      </c>
      <c r="Z659" s="20">
        <f ca="1"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 ca="1">Tabela1[[#This Row],[QTDE/ Fabricação]]-Tabela1[[#This Row],[QTE]]</f>
        <v>-5</v>
      </c>
      <c r="R660" s="18">
        <f t="shared" ca="1" si="128"/>
        <v>0.15</v>
      </c>
      <c r="S660" s="18">
        <f t="shared" ca="1" si="129"/>
        <v>0.15</v>
      </c>
      <c r="T660" s="19">
        <f t="shared" ca="1" si="130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 ca="1">IFERROR(COUNTIF(#REF!,Tabela1[[#This Row],[Colunas5]]),"")</f>
        <v/>
      </c>
      <c r="X660" s="14">
        <f ca="1">Tabela1[[#This Row],[QIANTIDADE EXPEDIDA]]*Tabela1[[#This Row],[PESO UNI]]</f>
        <v>0.15</v>
      </c>
      <c r="Y660" s="14">
        <f t="shared" ca="1" si="131"/>
        <v>0</v>
      </c>
      <c r="Z660" s="20">
        <f ca="1"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 ca="1">Tabela1[[#This Row],[QTDE/ Fabricação]]-Tabela1[[#This Row],[QTE]]</f>
        <v>-7</v>
      </c>
      <c r="R661" s="18">
        <f t="shared" ca="1" si="128"/>
        <v>0.14000000000000001</v>
      </c>
      <c r="S661" s="18">
        <f t="shared" ca="1" si="129"/>
        <v>0.14000000000000001</v>
      </c>
      <c r="T661" s="19">
        <f t="shared" ca="1" si="130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 ca="1">IFERROR(COUNTIF(#REF!,Tabela1[[#This Row],[Colunas5]]),"")</f>
        <v/>
      </c>
      <c r="X661" s="14">
        <f ca="1">Tabela1[[#This Row],[QIANTIDADE EXPEDIDA]]*Tabela1[[#This Row],[PESO UNI]]</f>
        <v>0.14000000000000001</v>
      </c>
      <c r="Y661" s="14">
        <f t="shared" ca="1" si="131"/>
        <v>0</v>
      </c>
      <c r="Z661" s="20">
        <f ca="1"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 ca="1">Tabela1[[#This Row],[QTDE/ Fabricação]]-Tabela1[[#This Row],[QTE]]</f>
        <v>-32</v>
      </c>
      <c r="R662" s="18">
        <f t="shared" ca="1" si="128"/>
        <v>0.64</v>
      </c>
      <c r="S662" s="18">
        <f t="shared" ca="1" si="129"/>
        <v>0.64</v>
      </c>
      <c r="T662" s="19">
        <f t="shared" ca="1" si="130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 ca="1">IFERROR(COUNTIF(#REF!,Tabela1[[#This Row],[Colunas5]]),"")</f>
        <v/>
      </c>
      <c r="X662" s="14">
        <f ca="1">Tabela1[[#This Row],[QIANTIDADE EXPEDIDA]]*Tabela1[[#This Row],[PESO UNI]]</f>
        <v>0.64</v>
      </c>
      <c r="Y662" s="14">
        <f t="shared" ca="1" si="131"/>
        <v>0</v>
      </c>
      <c r="Z662" s="20">
        <f ca="1"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 ca="1">Tabela1[[#This Row],[QTDE/ Fabricação]]-Tabela1[[#This Row],[QTE]]</f>
        <v>-16</v>
      </c>
      <c r="R663" s="18">
        <f t="shared" ca="1" si="128"/>
        <v>0.64</v>
      </c>
      <c r="S663" s="18">
        <f t="shared" ca="1" si="129"/>
        <v>0.64</v>
      </c>
      <c r="T663" s="19">
        <f t="shared" ca="1" si="130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 ca="1">IFERROR(COUNTIF(#REF!,Tabela1[[#This Row],[Colunas5]]),"")</f>
        <v/>
      </c>
      <c r="X663" s="14">
        <f ca="1">Tabela1[[#This Row],[QIANTIDADE EXPEDIDA]]*Tabela1[[#This Row],[PESO UNI]]</f>
        <v>0.64</v>
      </c>
      <c r="Y663" s="14">
        <f t="shared" ca="1" si="131"/>
        <v>0</v>
      </c>
      <c r="Z663" s="20">
        <f ca="1"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 ca="1">Tabela1[[#This Row],[QTDE/ Fabricação]]-Tabela1[[#This Row],[QTE]]</f>
        <v>-14</v>
      </c>
      <c r="R664" s="18">
        <f t="shared" ca="1" si="128"/>
        <v>0.84</v>
      </c>
      <c r="S664" s="18">
        <f t="shared" ca="1" si="129"/>
        <v>0.84</v>
      </c>
      <c r="T664" s="19">
        <f t="shared" ca="1" si="130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 ca="1">IFERROR(COUNTIF(#REF!,Tabela1[[#This Row],[Colunas5]]),"")</f>
        <v/>
      </c>
      <c r="X664" s="14">
        <f ca="1">Tabela1[[#This Row],[QIANTIDADE EXPEDIDA]]*Tabela1[[#This Row],[PESO UNI]]</f>
        <v>0.84</v>
      </c>
      <c r="Y664" s="14">
        <f t="shared" ca="1" si="131"/>
        <v>0</v>
      </c>
      <c r="Z664" s="20">
        <f ca="1"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 ca="1">Tabela1[[#This Row],[QTDE/ Fabricação]]-Tabela1[[#This Row],[QTE]]</f>
        <v>-130</v>
      </c>
      <c r="R665" s="18">
        <f t="shared" ca="1" si="128"/>
        <v>45.5</v>
      </c>
      <c r="S665" s="18">
        <f t="shared" ca="1" si="129"/>
        <v>45.5</v>
      </c>
      <c r="T665" s="19">
        <f t="shared" ca="1" si="130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 ca="1">IFERROR(COUNTIF(#REF!,Tabela1[[#This Row],[Colunas5]]),"")</f>
        <v/>
      </c>
      <c r="X665" s="14">
        <f ca="1">Tabela1[[#This Row],[QIANTIDADE EXPEDIDA]]*Tabela1[[#This Row],[PESO UNI]]</f>
        <v>45.5</v>
      </c>
      <c r="Y665" s="14">
        <f t="shared" ca="1" si="131"/>
        <v>0</v>
      </c>
      <c r="Z665" s="20">
        <f ca="1"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 ca="1">Tabela1[[#This Row],[QTDE/ Fabricação]]-Tabela1[[#This Row],[QTE]]</f>
        <v>-250</v>
      </c>
      <c r="R666" s="18">
        <f t="shared" ca="1" si="128"/>
        <v>0</v>
      </c>
      <c r="S666" s="18">
        <f t="shared" ca="1" si="129"/>
        <v>0</v>
      </c>
      <c r="T666" s="19">
        <f t="shared" ca="1" si="130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 ca="1">IFERROR(COUNTIF(#REF!,Tabela1[[#This Row],[Colunas5]]),"")</f>
        <v/>
      </c>
      <c r="X666" s="14">
        <f ca="1">Tabela1[[#This Row],[QIANTIDADE EXPEDIDA]]*Tabela1[[#This Row],[PESO UNI]]</f>
        <v>0</v>
      </c>
      <c r="Y666" s="14">
        <f t="shared" ca="1" si="131"/>
        <v>0</v>
      </c>
      <c r="Z666" s="20">
        <f ca="1"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 ca="1">Tabela1[[#This Row],[QTDE/ Fabricação]]-Tabela1[[#This Row],[QTE]]</f>
        <v>-5</v>
      </c>
      <c r="R667" s="18">
        <f t="shared" ca="1" si="128"/>
        <v>1.5</v>
      </c>
      <c r="S667" s="18">
        <f t="shared" ca="1" si="129"/>
        <v>1.5</v>
      </c>
      <c r="T667" s="19">
        <f t="shared" ca="1" si="130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 ca="1">IFERROR(COUNTIF(#REF!,Tabela1[[#This Row],[Colunas5]]),"")</f>
        <v/>
      </c>
      <c r="X667" s="14">
        <f ca="1">Tabela1[[#This Row],[QIANTIDADE EXPEDIDA]]*Tabela1[[#This Row],[PESO UNI]]</f>
        <v>1.5</v>
      </c>
      <c r="Y667" s="14">
        <f t="shared" ca="1" si="131"/>
        <v>0</v>
      </c>
      <c r="Z667" s="20">
        <f ca="1"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 ca="1">Tabela1[[#This Row],[QTDE/ Fabricação]]-Tabela1[[#This Row],[QTE]]</f>
        <v>-6</v>
      </c>
      <c r="R668" s="18">
        <f t="shared" ca="1" si="128"/>
        <v>0.12</v>
      </c>
      <c r="S668" s="18">
        <f t="shared" ca="1" si="129"/>
        <v>0.12</v>
      </c>
      <c r="T668" s="19">
        <f t="shared" ca="1" si="130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 ca="1">IFERROR(COUNTIF(#REF!,Tabela1[[#This Row],[Colunas5]]),"")</f>
        <v/>
      </c>
      <c r="X668" s="14">
        <f ca="1">Tabela1[[#This Row],[QIANTIDADE EXPEDIDA]]*Tabela1[[#This Row],[PESO UNI]]</f>
        <v>0.12</v>
      </c>
      <c r="Y668" s="14">
        <f t="shared" ca="1" si="131"/>
        <v>0</v>
      </c>
      <c r="Z668" s="20">
        <f ca="1"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 ca="1">Tabela1[[#This Row],[QTDE/ Fabricação]]-Tabela1[[#This Row],[QTE]]</f>
        <v>-6</v>
      </c>
      <c r="R669" s="18">
        <f t="shared" ca="1" si="128"/>
        <v>0.18</v>
      </c>
      <c r="S669" s="18">
        <f t="shared" ca="1" si="129"/>
        <v>0.18</v>
      </c>
      <c r="T669" s="19">
        <f t="shared" ca="1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 ca="1">IFERROR(COUNTIF(#REF!,Tabela1[[#This Row],[Colunas5]]),"")</f>
        <v/>
      </c>
      <c r="X669" s="14">
        <f ca="1">Tabela1[[#This Row],[QIANTIDADE EXPEDIDA]]*Tabela1[[#This Row],[PESO UNI]]</f>
        <v>0.18</v>
      </c>
      <c r="Y669" s="14">
        <f t="shared" ca="1" si="131"/>
        <v>0</v>
      </c>
      <c r="Z669" s="20">
        <f ca="1"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 ca="1">Tabela1[[#This Row],[QTDE/ Fabricação]]-Tabela1[[#This Row],[QTE]]</f>
        <v>-4</v>
      </c>
      <c r="R670" s="18">
        <f t="shared" ca="1" si="128"/>
        <v>0.04</v>
      </c>
      <c r="S670" s="18">
        <f t="shared" ca="1" si="129"/>
        <v>0.04</v>
      </c>
      <c r="T670" s="19">
        <f t="shared" ca="1" si="130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 ca="1">IFERROR(COUNTIF(#REF!,Tabela1[[#This Row],[Colunas5]]),"")</f>
        <v/>
      </c>
      <c r="X670" s="14">
        <f ca="1">Tabela1[[#This Row],[QIANTIDADE EXPEDIDA]]*Tabela1[[#This Row],[PESO UNI]]</f>
        <v>0.04</v>
      </c>
      <c r="Y670" s="14">
        <f t="shared" ca="1" si="131"/>
        <v>0</v>
      </c>
      <c r="Z670" s="20">
        <f ca="1"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 ca="1">Tabela1[[#This Row],[QTDE/ Fabricação]]-Tabela1[[#This Row],[QTE]]</f>
        <v>-3</v>
      </c>
      <c r="R671" s="18">
        <f t="shared" ca="1" si="128"/>
        <v>0.15000000000000002</v>
      </c>
      <c r="S671" s="18">
        <f t="shared" ca="1" si="129"/>
        <v>0.15000000000000002</v>
      </c>
      <c r="T671" s="19">
        <f t="shared" ca="1" si="130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 ca="1">IFERROR(COUNTIF(#REF!,Tabela1[[#This Row],[Colunas5]]),"")</f>
        <v/>
      </c>
      <c r="X671" s="14">
        <f ca="1">Tabela1[[#This Row],[QIANTIDADE EXPEDIDA]]*Tabela1[[#This Row],[PESO UNI]]</f>
        <v>0.15000000000000002</v>
      </c>
      <c r="Y671" s="14">
        <f t="shared" ca="1" si="131"/>
        <v>0</v>
      </c>
      <c r="Z671" s="20">
        <f ca="1"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 ca="1">Tabela1[[#This Row],[QTDE/ Fabricação]]-Tabela1[[#This Row],[QTE]]</f>
        <v>-3</v>
      </c>
      <c r="R672" s="18">
        <f t="shared" ca="1" si="128"/>
        <v>0.15000000000000002</v>
      </c>
      <c r="S672" s="18">
        <f t="shared" ca="1" si="129"/>
        <v>0.15000000000000002</v>
      </c>
      <c r="T672" s="19">
        <f t="shared" ca="1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 ca="1">IFERROR(COUNTIF(#REF!,Tabela1[[#This Row],[Colunas5]]),"")</f>
        <v/>
      </c>
      <c r="X672" s="14">
        <f ca="1">Tabela1[[#This Row],[QIANTIDADE EXPEDIDA]]*Tabela1[[#This Row],[PESO UNI]]</f>
        <v>0.15000000000000002</v>
      </c>
      <c r="Y672" s="14">
        <f t="shared" ca="1" si="131"/>
        <v>0</v>
      </c>
      <c r="Z672" s="20">
        <f ca="1"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 ca="1">Tabela1[[#This Row],[QTDE/ Fabricação]]-Tabela1[[#This Row],[QTE]]</f>
        <v>-5</v>
      </c>
      <c r="R673" s="18">
        <f t="shared" ca="1" si="128"/>
        <v>0.1</v>
      </c>
      <c r="S673" s="18">
        <f t="shared" ca="1" si="129"/>
        <v>0.1</v>
      </c>
      <c r="T673" s="19">
        <f t="shared" ca="1" si="130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 ca="1">IFERROR(COUNTIF(#REF!,Tabela1[[#This Row],[Colunas5]]),"")</f>
        <v/>
      </c>
      <c r="X673" s="14">
        <f ca="1">Tabela1[[#This Row],[QIANTIDADE EXPEDIDA]]*Tabela1[[#This Row],[PESO UNI]]</f>
        <v>0.1</v>
      </c>
      <c r="Y673" s="14">
        <f t="shared" ca="1" si="131"/>
        <v>0</v>
      </c>
      <c r="Z673" s="20">
        <f ca="1"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 ca="1">Tabela1[[#This Row],[QTDE/ Fabricação]]-Tabela1[[#This Row],[QTE]]</f>
        <v>-2</v>
      </c>
      <c r="R674" s="18">
        <f t="shared" ca="1" si="128"/>
        <v>0.08</v>
      </c>
      <c r="S674" s="18">
        <f t="shared" ca="1" si="129"/>
        <v>0.08</v>
      </c>
      <c r="T674" s="19">
        <f t="shared" ca="1" si="130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 ca="1">IFERROR(COUNTIF(#REF!,Tabela1[[#This Row],[Colunas5]]),"")</f>
        <v/>
      </c>
      <c r="X674" s="14">
        <f ca="1">Tabela1[[#This Row],[QIANTIDADE EXPEDIDA]]*Tabela1[[#This Row],[PESO UNI]]</f>
        <v>0.08</v>
      </c>
      <c r="Y674" s="14">
        <f t="shared" ca="1" si="131"/>
        <v>0</v>
      </c>
      <c r="Z674" s="20">
        <f ca="1"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 ca="1">Tabela1[[#This Row],[QTDE/ Fabricação]]-Tabela1[[#This Row],[QTE]]</f>
        <v>-1</v>
      </c>
      <c r="R675" s="18">
        <f t="shared" ca="1" si="128"/>
        <v>1.2</v>
      </c>
      <c r="S675" s="18">
        <f t="shared" ca="1" si="129"/>
        <v>1.2</v>
      </c>
      <c r="T675" s="19">
        <f t="shared" ca="1" si="130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 ca="1">IFERROR(COUNTIF(#REF!,Tabela1[[#This Row],[Colunas5]]),"")</f>
        <v/>
      </c>
      <c r="X675" s="14">
        <f ca="1">Tabela1[[#This Row],[QIANTIDADE EXPEDIDA]]*Tabela1[[#This Row],[PESO UNI]]</f>
        <v>1.2</v>
      </c>
      <c r="Y675" s="14">
        <f t="shared" ca="1" si="131"/>
        <v>0</v>
      </c>
      <c r="Z675" s="20">
        <f ca="1"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 ca="1">Tabela1[[#This Row],[QTDE/ Fabricação]]-Tabela1[[#This Row],[QTE]]</f>
        <v>-130</v>
      </c>
      <c r="R676" s="18">
        <f t="shared" ca="1" si="128"/>
        <v>234</v>
      </c>
      <c r="S676" s="18">
        <f t="shared" ca="1" si="129"/>
        <v>234</v>
      </c>
      <c r="T676" s="19">
        <f t="shared" ca="1" si="130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 ca="1">IFERROR(COUNTIF(#REF!,Tabela1[[#This Row],[Colunas5]]),"")</f>
        <v/>
      </c>
      <c r="X676" s="14">
        <f ca="1">Tabela1[[#This Row],[QIANTIDADE EXPEDIDA]]*Tabela1[[#This Row],[PESO UNI]]</f>
        <v>234</v>
      </c>
      <c r="Y676" s="14">
        <f t="shared" ca="1" si="131"/>
        <v>0</v>
      </c>
      <c r="Z676" s="20">
        <f ca="1"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 ca="1">Tabela1[[#This Row],[QTDE/ Fabricação]]-Tabela1[[#This Row],[QTE]]</f>
        <v>-250</v>
      </c>
      <c r="R677" s="18">
        <f t="shared" ca="1" si="128"/>
        <v>450</v>
      </c>
      <c r="S677" s="18">
        <f t="shared" ca="1" si="129"/>
        <v>450</v>
      </c>
      <c r="T677" s="19">
        <f t="shared" ca="1" si="130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 ca="1">IFERROR(COUNTIF(#REF!,Tabela1[[#This Row],[Colunas5]]),"")</f>
        <v/>
      </c>
      <c r="X677" s="14">
        <f ca="1">Tabela1[[#This Row],[QIANTIDADE EXPEDIDA]]*Tabela1[[#This Row],[PESO UNI]]</f>
        <v>450</v>
      </c>
      <c r="Y677" s="14">
        <f t="shared" ca="1" si="131"/>
        <v>0</v>
      </c>
      <c r="Z677" s="20">
        <f ca="1"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 ca="1">Tabela1[[#This Row],[QTDE/ Fabricação]]-Tabela1[[#This Row],[QTE]]</f>
        <v>-5</v>
      </c>
      <c r="R678" s="18">
        <f t="shared" ca="1" si="128"/>
        <v>1.5</v>
      </c>
      <c r="S678" s="18">
        <f t="shared" ca="1" si="129"/>
        <v>1.5</v>
      </c>
      <c r="T678" s="19">
        <f t="shared" ca="1" si="130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 ca="1">IFERROR(COUNTIF(#REF!,Tabela1[[#This Row],[Colunas5]]),"")</f>
        <v/>
      </c>
      <c r="X678" s="14">
        <f ca="1">Tabela1[[#This Row],[QIANTIDADE EXPEDIDA]]*Tabela1[[#This Row],[PESO UNI]]</f>
        <v>1.5</v>
      </c>
      <c r="Y678" s="14">
        <f t="shared" ca="1" si="131"/>
        <v>0</v>
      </c>
      <c r="Z678" s="20">
        <f ca="1"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 ca="1">Tabela1[[#This Row],[QTDE/ Fabricação]]-Tabela1[[#This Row],[QTE]]</f>
        <v>-6</v>
      </c>
      <c r="R679" s="18">
        <f t="shared" ca="1" si="128"/>
        <v>0.12</v>
      </c>
      <c r="S679" s="18">
        <f t="shared" ca="1" si="129"/>
        <v>0.12</v>
      </c>
      <c r="T679" s="19">
        <f t="shared" ca="1" si="130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 ca="1">IFERROR(COUNTIF(#REF!,Tabela1[[#This Row],[Colunas5]]),"")</f>
        <v/>
      </c>
      <c r="X679" s="14">
        <f ca="1">Tabela1[[#This Row],[QIANTIDADE EXPEDIDA]]*Tabela1[[#This Row],[PESO UNI]]</f>
        <v>0.12</v>
      </c>
      <c r="Y679" s="14">
        <f t="shared" ca="1" si="131"/>
        <v>0</v>
      </c>
      <c r="Z679" s="20">
        <f ca="1"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 ca="1">Tabela1[[#This Row],[QTDE/ Fabricação]]-Tabela1[[#This Row],[QTE]]</f>
        <v>-6</v>
      </c>
      <c r="R680" s="18">
        <f t="shared" ca="1" si="128"/>
        <v>0.18</v>
      </c>
      <c r="S680" s="18">
        <f t="shared" ca="1" si="129"/>
        <v>0.18</v>
      </c>
      <c r="T680" s="19">
        <f t="shared" ca="1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 ca="1">IFERROR(COUNTIF(#REF!,Tabela1[[#This Row],[Colunas5]]),"")</f>
        <v/>
      </c>
      <c r="X680" s="14">
        <f ca="1">Tabela1[[#This Row],[QIANTIDADE EXPEDIDA]]*Tabela1[[#This Row],[PESO UNI]]</f>
        <v>0.18</v>
      </c>
      <c r="Y680" s="14">
        <f t="shared" ca="1" si="131"/>
        <v>0</v>
      </c>
      <c r="Z680" s="20">
        <f ca="1"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 ca="1">Tabela1[[#This Row],[QTDE/ Fabricação]]-Tabela1[[#This Row],[QTE]]</f>
        <v>-4</v>
      </c>
      <c r="R681" s="18">
        <f t="shared" ca="1" si="128"/>
        <v>0.04</v>
      </c>
      <c r="S681" s="18">
        <f t="shared" ca="1" si="129"/>
        <v>0.04</v>
      </c>
      <c r="T681" s="19">
        <f t="shared" ca="1" si="130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 ca="1">IFERROR(COUNTIF(#REF!,Tabela1[[#This Row],[Colunas5]]),"")</f>
        <v/>
      </c>
      <c r="X681" s="14">
        <f ca="1">Tabela1[[#This Row],[QIANTIDADE EXPEDIDA]]*Tabela1[[#This Row],[PESO UNI]]</f>
        <v>0.04</v>
      </c>
      <c r="Y681" s="14">
        <f t="shared" ca="1" si="131"/>
        <v>0</v>
      </c>
      <c r="Z681" s="20">
        <f ca="1"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 ca="1">Tabela1[[#This Row],[QTDE/ Fabricação]]-Tabela1[[#This Row],[QTE]]</f>
        <v>-3</v>
      </c>
      <c r="R682" s="18">
        <f t="shared" ca="1" si="128"/>
        <v>6</v>
      </c>
      <c r="S682" s="18">
        <f t="shared" ca="1" si="129"/>
        <v>6</v>
      </c>
      <c r="T682" s="19">
        <f t="shared" ca="1" si="130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 ca="1">IFERROR(COUNTIF(#REF!,Tabela1[[#This Row],[Colunas5]]),"")</f>
        <v/>
      </c>
      <c r="X682" s="14">
        <f ca="1">Tabela1[[#This Row],[QIANTIDADE EXPEDIDA]]*Tabela1[[#This Row],[PESO UNI]]</f>
        <v>6</v>
      </c>
      <c r="Y682" s="14">
        <f t="shared" ca="1" si="131"/>
        <v>0</v>
      </c>
      <c r="Z682" s="20">
        <f ca="1"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 ca="1">Tabela1[[#This Row],[QTDE/ Fabricação]]-Tabela1[[#This Row],[QTE]]</f>
        <v>-3</v>
      </c>
      <c r="R683" s="18">
        <f t="shared" ca="1" si="128"/>
        <v>4.5</v>
      </c>
      <c r="S683" s="18">
        <f t="shared" ca="1" si="129"/>
        <v>4.5</v>
      </c>
      <c r="T683" s="19">
        <f t="shared" ca="1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 ca="1">IFERROR(COUNTIF(#REF!,Tabela1[[#This Row],[Colunas5]]),"")</f>
        <v/>
      </c>
      <c r="X683" s="14">
        <f ca="1">Tabela1[[#This Row],[QIANTIDADE EXPEDIDA]]*Tabela1[[#This Row],[PESO UNI]]</f>
        <v>4.5</v>
      </c>
      <c r="Y683" s="14">
        <f t="shared" ca="1" si="131"/>
        <v>0</v>
      </c>
      <c r="Z683" s="20">
        <f ca="1"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 ca="1">Tabela1[[#This Row],[QTDE/ Fabricação]]-Tabela1[[#This Row],[QTE]]</f>
        <v>-5</v>
      </c>
      <c r="R684" s="18">
        <f t="shared" ca="1" si="128"/>
        <v>0.1</v>
      </c>
      <c r="S684" s="18">
        <f t="shared" ca="1" si="129"/>
        <v>0.1</v>
      </c>
      <c r="T684" s="19">
        <f t="shared" ca="1" si="130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 ca="1">IFERROR(COUNTIF(#REF!,Tabela1[[#This Row],[Colunas5]]),"")</f>
        <v/>
      </c>
      <c r="X684" s="14">
        <f ca="1">Tabela1[[#This Row],[QIANTIDADE EXPEDIDA]]*Tabela1[[#This Row],[PESO UNI]]</f>
        <v>0.1</v>
      </c>
      <c r="Y684" s="14">
        <f t="shared" ca="1" si="131"/>
        <v>0</v>
      </c>
      <c r="Z684" s="20">
        <f ca="1"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 ca="1">Tabela1[[#This Row],[QTDE/ Fabricação]]-Tabela1[[#This Row],[QTE]]</f>
        <v>-2</v>
      </c>
      <c r="R685" s="18">
        <f t="shared" ca="1" si="128"/>
        <v>0.08</v>
      </c>
      <c r="S685" s="18">
        <f t="shared" ca="1" si="129"/>
        <v>0.08</v>
      </c>
      <c r="T685" s="19">
        <f t="shared" ca="1" si="130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 ca="1">IFERROR(COUNTIF(#REF!,Tabela1[[#This Row],[Colunas5]]),"")</f>
        <v/>
      </c>
      <c r="X685" s="14">
        <f ca="1">Tabela1[[#This Row],[QIANTIDADE EXPEDIDA]]*Tabela1[[#This Row],[PESO UNI]]</f>
        <v>0.08</v>
      </c>
      <c r="Y685" s="14">
        <f t="shared" ca="1" si="131"/>
        <v>0</v>
      </c>
      <c r="Z685" s="20">
        <f ca="1"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 ca="1">Tabela1[[#This Row],[QTDE/ Fabricação]]-Tabela1[[#This Row],[QTE]]</f>
        <v>-1</v>
      </c>
      <c r="R686" s="18">
        <f t="shared" ca="1" si="128"/>
        <v>1.2</v>
      </c>
      <c r="S686" s="18">
        <f t="shared" ca="1" si="129"/>
        <v>1.2</v>
      </c>
      <c r="T686" s="19">
        <f t="shared" ca="1" si="130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 ca="1">IFERROR(COUNTIF(#REF!,Tabela1[[#This Row],[Colunas5]]),"")</f>
        <v/>
      </c>
      <c r="X686" s="14">
        <f ca="1">Tabela1[[#This Row],[QIANTIDADE EXPEDIDA]]*Tabela1[[#This Row],[PESO UNI]]</f>
        <v>1.2</v>
      </c>
      <c r="Y686" s="14">
        <f t="shared" ca="1" si="131"/>
        <v>0</v>
      </c>
      <c r="Z686" s="20">
        <f ca="1"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 ca="1">Tabela1[[#This Row],[QTDE/ Fabricação]]-Tabela1[[#This Row],[QTE]]</f>
        <v>-1</v>
      </c>
      <c r="R687" s="18">
        <f t="shared" ca="1" si="128"/>
        <v>1.8</v>
      </c>
      <c r="S687" s="18">
        <f t="shared" ca="1" si="129"/>
        <v>1.8</v>
      </c>
      <c r="T687" s="19">
        <f t="shared" ca="1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 ca="1">IFERROR(COUNTIF(#REF!,Tabela1[[#This Row],[Colunas5]]),"")</f>
        <v/>
      </c>
      <c r="X687" s="14">
        <f ca="1">Tabela1[[#This Row],[QIANTIDADE EXPEDIDA]]*Tabela1[[#This Row],[PESO UNI]]</f>
        <v>1.8</v>
      </c>
      <c r="Y687" s="14">
        <f t="shared" ca="1" si="131"/>
        <v>0</v>
      </c>
      <c r="Z687" s="20">
        <f ca="1"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 ca="1">Tabela1[[#This Row],[QTDE/ Fabricação]]-Tabela1[[#This Row],[QTE]]</f>
        <v>-2</v>
      </c>
      <c r="R688" s="18">
        <f t="shared" ca="1" si="128"/>
        <v>3.6</v>
      </c>
      <c r="S688" s="18">
        <f t="shared" ca="1" si="129"/>
        <v>3.6</v>
      </c>
      <c r="T688" s="19">
        <f t="shared" ca="1" si="130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 ca="1">IFERROR(COUNTIF(#REF!,Tabela1[[#This Row],[Colunas5]]),"")</f>
        <v/>
      </c>
      <c r="X688" s="14">
        <f ca="1">Tabela1[[#This Row],[QIANTIDADE EXPEDIDA]]*Tabela1[[#This Row],[PESO UNI]]</f>
        <v>3.6</v>
      </c>
      <c r="Y688" s="14">
        <f t="shared" ca="1" si="131"/>
        <v>0</v>
      </c>
      <c r="Z688" s="20">
        <f ca="1"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 ca="1">Tabela1[[#This Row],[QTDE/ Fabricação]]-Tabela1[[#This Row],[QTE]]</f>
        <v>-4</v>
      </c>
      <c r="R689" s="18">
        <f t="shared" ca="1" si="128"/>
        <v>8</v>
      </c>
      <c r="S689" s="18">
        <f t="shared" ca="1" si="129"/>
        <v>8</v>
      </c>
      <c r="T689" s="19">
        <f t="shared" ca="1" si="130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 ca="1">IFERROR(COUNTIF(#REF!,Tabela1[[#This Row],[Colunas5]]),"")</f>
        <v/>
      </c>
      <c r="X689" s="14">
        <f ca="1">Tabela1[[#This Row],[QIANTIDADE EXPEDIDA]]*Tabela1[[#This Row],[PESO UNI]]</f>
        <v>8</v>
      </c>
      <c r="Y689" s="14">
        <f t="shared" ca="1" si="131"/>
        <v>0</v>
      </c>
      <c r="Z689" s="20">
        <f ca="1"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 ca="1">Tabela1[[#This Row],[QTDE/ Fabricação]]-Tabela1[[#This Row],[QTE]]</f>
        <v>-1</v>
      </c>
      <c r="R690" s="18">
        <f t="shared" ca="1" si="128"/>
        <v>1.5</v>
      </c>
      <c r="S690" s="18">
        <f t="shared" ca="1" si="129"/>
        <v>1.5</v>
      </c>
      <c r="T690" s="19">
        <f t="shared" ca="1" si="130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 ca="1">IFERROR(COUNTIF(#REF!,Tabela1[[#This Row],[Colunas5]]),"")</f>
        <v/>
      </c>
      <c r="X690" s="14">
        <f ca="1">Tabela1[[#This Row],[QIANTIDADE EXPEDIDA]]*Tabela1[[#This Row],[PESO UNI]]</f>
        <v>1.5</v>
      </c>
      <c r="Y690" s="14">
        <f t="shared" ca="1" si="131"/>
        <v>0</v>
      </c>
      <c r="Z690" s="20">
        <f ca="1"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 ca="1">Tabela1[[#This Row],[QTDE/ Fabricação]]-Tabela1[[#This Row],[QTE]]</f>
        <v>-1</v>
      </c>
      <c r="R691" s="18">
        <f t="shared" ref="R691:R754" ca="1" si="132">IFERROR(H691*((AA691*0.25)+(AC691*0.25)+(AD691*0.225)+(AE691*0.225)+(AF691*0.05)),"")</f>
        <v>2</v>
      </c>
      <c r="S691" s="18">
        <f t="shared" ref="S691:S754" ca="1" si="133">IFERROR(H691*AG691,"")</f>
        <v>2</v>
      </c>
      <c r="T691" s="19">
        <f t="shared" ref="T691:T754" ca="1" si="134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 ca="1">IFERROR(COUNTIF(#REF!,Tabela1[[#This Row],[Colunas5]]),"")</f>
        <v/>
      </c>
      <c r="X691" s="14">
        <f ca="1">Tabela1[[#This Row],[QIANTIDADE EXPEDIDA]]*Tabela1[[#This Row],[PESO UNI]]</f>
        <v>2</v>
      </c>
      <c r="Y691" s="14">
        <f t="shared" ref="Y691:Y754" ca="1" si="135">U691-C691</f>
        <v>0</v>
      </c>
      <c r="Z691" s="20">
        <f ca="1"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 ca="1">Tabela1[[#This Row],[QTDE/ Fabricação]]-Tabela1[[#This Row],[QTE]]</f>
        <v>-2</v>
      </c>
      <c r="R692" s="18">
        <f t="shared" ca="1" si="132"/>
        <v>3.6</v>
      </c>
      <c r="S692" s="18">
        <f t="shared" ca="1" si="133"/>
        <v>3.6</v>
      </c>
      <c r="T692" s="19">
        <f t="shared" ca="1" si="134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 ca="1">IFERROR(COUNTIF(#REF!,Tabela1[[#This Row],[Colunas5]]),"")</f>
        <v/>
      </c>
      <c r="X692" s="14">
        <f ca="1">Tabela1[[#This Row],[QIANTIDADE EXPEDIDA]]*Tabela1[[#This Row],[PESO UNI]]</f>
        <v>3.6</v>
      </c>
      <c r="Y692" s="14">
        <f t="shared" ca="1" si="135"/>
        <v>0</v>
      </c>
      <c r="Z692" s="20">
        <f ca="1"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 ca="1">Tabela1[[#This Row],[QTDE/ Fabricação]]-Tabela1[[#This Row],[QTE]]</f>
        <v>-4</v>
      </c>
      <c r="R693" s="18">
        <f t="shared" ca="1" si="132"/>
        <v>8</v>
      </c>
      <c r="S693" s="18">
        <f t="shared" ca="1" si="133"/>
        <v>8</v>
      </c>
      <c r="T693" s="19">
        <f t="shared" ca="1" si="134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 ca="1">IFERROR(COUNTIF(#REF!,Tabela1[[#This Row],[Colunas5]]),"")</f>
        <v/>
      </c>
      <c r="X693" s="14">
        <f ca="1">Tabela1[[#This Row],[QIANTIDADE EXPEDIDA]]*Tabela1[[#This Row],[PESO UNI]]</f>
        <v>8</v>
      </c>
      <c r="Y693" s="14">
        <f t="shared" ca="1" si="135"/>
        <v>0</v>
      </c>
      <c r="Z693" s="20">
        <f ca="1"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 ca="1">Tabela1[[#This Row],[QTDE/ Fabricação]]-Tabela1[[#This Row],[QTE]]</f>
        <v>-1</v>
      </c>
      <c r="R694" s="18">
        <f t="shared" ca="1" si="132"/>
        <v>1.5</v>
      </c>
      <c r="S694" s="18">
        <f t="shared" ca="1" si="133"/>
        <v>1.5</v>
      </c>
      <c r="T694" s="19">
        <f t="shared" ca="1" si="134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 ca="1">IFERROR(COUNTIF(#REF!,Tabela1[[#This Row],[Colunas5]]),"")</f>
        <v/>
      </c>
      <c r="X694" s="14">
        <f ca="1">Tabela1[[#This Row],[QIANTIDADE EXPEDIDA]]*Tabela1[[#This Row],[PESO UNI]]</f>
        <v>1.5</v>
      </c>
      <c r="Y694" s="14">
        <f t="shared" ca="1" si="135"/>
        <v>0</v>
      </c>
      <c r="Z694" s="20">
        <f ca="1"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 ca="1">Tabela1[[#This Row],[QTDE/ Fabricação]]-Tabela1[[#This Row],[QTE]]</f>
        <v>-2</v>
      </c>
      <c r="R695" s="18">
        <f t="shared" ca="1" si="132"/>
        <v>3.6</v>
      </c>
      <c r="S695" s="18">
        <f t="shared" ca="1" si="133"/>
        <v>3.6</v>
      </c>
      <c r="T695" s="19">
        <f t="shared" ca="1" si="134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 ca="1">IFERROR(COUNTIF(#REF!,Tabela1[[#This Row],[Colunas5]]),"")</f>
        <v/>
      </c>
      <c r="X695" s="14">
        <f ca="1">Tabela1[[#This Row],[QIANTIDADE EXPEDIDA]]*Tabela1[[#This Row],[PESO UNI]]</f>
        <v>3.6</v>
      </c>
      <c r="Y695" s="14">
        <f t="shared" ca="1" si="135"/>
        <v>0</v>
      </c>
      <c r="Z695" s="20">
        <f ca="1"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 ca="1">Tabela1[[#This Row],[QTDE/ Fabricação]]-Tabela1[[#This Row],[QTE]]</f>
        <v>-1</v>
      </c>
      <c r="R696" s="18">
        <f t="shared" ca="1" si="132"/>
        <v>0.01</v>
      </c>
      <c r="S696" s="18">
        <f t="shared" ca="1" si="133"/>
        <v>0.01</v>
      </c>
      <c r="T696" s="19">
        <f t="shared" ca="1" si="134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 ca="1">IFERROR(COUNTIF(#REF!,Tabela1[[#This Row],[Colunas5]]),"")</f>
        <v/>
      </c>
      <c r="X696" s="14">
        <f ca="1">Tabela1[[#This Row],[QIANTIDADE EXPEDIDA]]*Tabela1[[#This Row],[PESO UNI]]</f>
        <v>0.01</v>
      </c>
      <c r="Y696" s="14">
        <f t="shared" ca="1" si="135"/>
        <v>0</v>
      </c>
      <c r="Z696" s="20">
        <f ca="1"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 ca="1">Tabela1[[#This Row],[QTDE/ Fabricação]]-Tabela1[[#This Row],[QTE]]</f>
        <v>-2</v>
      </c>
      <c r="R697" s="18">
        <f t="shared" ca="1" si="132"/>
        <v>3.6</v>
      </c>
      <c r="S697" s="18">
        <f t="shared" ca="1" si="133"/>
        <v>3.6</v>
      </c>
      <c r="T697" s="19">
        <f t="shared" ca="1" si="134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 ca="1">IFERROR(COUNTIF(#REF!,Tabela1[[#This Row],[Colunas5]]),"")</f>
        <v/>
      </c>
      <c r="X697" s="14">
        <f ca="1">Tabela1[[#This Row],[QIANTIDADE EXPEDIDA]]*Tabela1[[#This Row],[PESO UNI]]</f>
        <v>3.6</v>
      </c>
      <c r="Y697" s="14">
        <f t="shared" ca="1" si="135"/>
        <v>0</v>
      </c>
      <c r="Z697" s="20">
        <f ca="1"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 ca="1">Tabela1[[#This Row],[QTDE/ Fabricação]]-Tabela1[[#This Row],[QTE]]</f>
        <v>-1</v>
      </c>
      <c r="R698" s="18">
        <f t="shared" ca="1" si="132"/>
        <v>0.01</v>
      </c>
      <c r="S698" s="18">
        <f t="shared" ca="1" si="133"/>
        <v>0.01</v>
      </c>
      <c r="T698" s="19">
        <f t="shared" ca="1" si="134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 ca="1">IFERROR(COUNTIF(#REF!,Tabela1[[#This Row],[Colunas5]]),"")</f>
        <v/>
      </c>
      <c r="X698" s="14">
        <f ca="1">Tabela1[[#This Row],[QIANTIDADE EXPEDIDA]]*Tabela1[[#This Row],[PESO UNI]]</f>
        <v>0.01</v>
      </c>
      <c r="Y698" s="14">
        <f t="shared" ca="1" si="135"/>
        <v>0</v>
      </c>
      <c r="Z698" s="20">
        <f ca="1"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 ca="1">Tabela1[[#This Row],[QTDE/ Fabricação]]-Tabela1[[#This Row],[QTE]]</f>
        <v>-32</v>
      </c>
      <c r="R699" s="18">
        <f t="shared" ca="1" si="132"/>
        <v>0.64</v>
      </c>
      <c r="S699" s="18">
        <f t="shared" ca="1" si="133"/>
        <v>0.64</v>
      </c>
      <c r="T699" s="19">
        <f t="shared" ca="1" si="134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 ca="1">IFERROR(COUNTIF(#REF!,Tabela1[[#This Row],[Colunas5]]),"")</f>
        <v/>
      </c>
      <c r="X699" s="14">
        <f ca="1">Tabela1[[#This Row],[QIANTIDADE EXPEDIDA]]*Tabela1[[#This Row],[PESO UNI]]</f>
        <v>0.64</v>
      </c>
      <c r="Y699" s="14">
        <f t="shared" ca="1" si="135"/>
        <v>0</v>
      </c>
      <c r="Z699" s="20">
        <f ca="1"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 ca="1">Tabela1[[#This Row],[QTDE/ Fabricação]]-Tabela1[[#This Row],[QTE]]</f>
        <v>-216</v>
      </c>
      <c r="R700" s="18">
        <f t="shared" ca="1" si="132"/>
        <v>10.8</v>
      </c>
      <c r="S700" s="18">
        <f t="shared" ca="1" si="133"/>
        <v>10.8</v>
      </c>
      <c r="T700" s="19">
        <f t="shared" ca="1" si="134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 ca="1">IFERROR(COUNTIF(#REF!,Tabela1[[#This Row],[Colunas5]]),"")</f>
        <v/>
      </c>
      <c r="X700" s="14">
        <f ca="1">Tabela1[[#This Row],[QIANTIDADE EXPEDIDA]]*Tabela1[[#This Row],[PESO UNI]]</f>
        <v>10.8</v>
      </c>
      <c r="Y700" s="14">
        <f t="shared" ca="1" si="135"/>
        <v>0</v>
      </c>
      <c r="Z700" s="20">
        <f ca="1"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 ca="1">Tabela1[[#This Row],[QTDE/ Fabricação]]-Tabela1[[#This Row],[QTE]]</f>
        <v>-208</v>
      </c>
      <c r="R701" s="18">
        <f t="shared" ca="1" si="132"/>
        <v>10.4</v>
      </c>
      <c r="S701" s="18">
        <f t="shared" ca="1" si="133"/>
        <v>10.4</v>
      </c>
      <c r="T701" s="19">
        <f t="shared" ca="1" si="134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 ca="1">IFERROR(COUNTIF(#REF!,Tabela1[[#This Row],[Colunas5]]),"")</f>
        <v/>
      </c>
      <c r="X701" s="14">
        <f ca="1">Tabela1[[#This Row],[QIANTIDADE EXPEDIDA]]*Tabela1[[#This Row],[PESO UNI]]</f>
        <v>10.4</v>
      </c>
      <c r="Y701" s="14">
        <f t="shared" ca="1" si="135"/>
        <v>0</v>
      </c>
      <c r="Z701" s="20">
        <f ca="1"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 ca="1">Tabela1[[#This Row],[QTDE/ Fabricação]]-Tabela1[[#This Row],[QTE]]</f>
        <v>-1</v>
      </c>
      <c r="R702" s="18">
        <f t="shared" ca="1" si="132"/>
        <v>0</v>
      </c>
      <c r="S702" s="18">
        <f t="shared" ca="1" si="133"/>
        <v>0</v>
      </c>
      <c r="T702" s="19">
        <f t="shared" ca="1" si="134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 ca="1">IFERROR(COUNTIF(#REF!,Tabela1[[#This Row],[Colunas5]]),"")</f>
        <v/>
      </c>
      <c r="X702" s="14">
        <f ca="1">Tabela1[[#This Row],[QIANTIDADE EXPEDIDA]]*Tabela1[[#This Row],[PESO UNI]]</f>
        <v>0</v>
      </c>
      <c r="Y702" s="14">
        <f t="shared" ca="1" si="135"/>
        <v>0</v>
      </c>
      <c r="Z702" s="20">
        <f ca="1"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 ca="1">Tabela1[[#This Row],[QTDE/ Fabricação]]-Tabela1[[#This Row],[QTE]]</f>
        <v>-1</v>
      </c>
      <c r="R703" s="18">
        <f t="shared" ca="1" si="132"/>
        <v>0</v>
      </c>
      <c r="S703" s="18">
        <f t="shared" ca="1" si="133"/>
        <v>0</v>
      </c>
      <c r="T703" s="19">
        <f t="shared" ca="1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 ca="1">IFERROR(COUNTIF(#REF!,Tabela1[[#This Row],[Colunas5]]),"")</f>
        <v/>
      </c>
      <c r="X703" s="14">
        <f ca="1">Tabela1[[#This Row],[QIANTIDADE EXPEDIDA]]*Tabela1[[#This Row],[PESO UNI]]</f>
        <v>0</v>
      </c>
      <c r="Y703" s="14">
        <f t="shared" ca="1" si="135"/>
        <v>0</v>
      </c>
      <c r="Z703" s="20">
        <f ca="1"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 ca="1">Tabela1[[#This Row],[QTDE/ Fabricação]]-Tabela1[[#This Row],[QTE]]</f>
        <v>-1</v>
      </c>
      <c r="R704" s="18">
        <f t="shared" ca="1" si="132"/>
        <v>1800</v>
      </c>
      <c r="S704" s="18">
        <f t="shared" ca="1" si="133"/>
        <v>1800</v>
      </c>
      <c r="T704" s="19">
        <f t="shared" ca="1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 ca="1">IFERROR(COUNTIF(#REF!,Tabela1[[#This Row],[Colunas5]]),"")</f>
        <v/>
      </c>
      <c r="X704" s="14">
        <f ca="1">Tabela1[[#This Row],[QIANTIDADE EXPEDIDA]]*Tabela1[[#This Row],[PESO UNI]]</f>
        <v>1800</v>
      </c>
      <c r="Y704" s="14">
        <f t="shared" ca="1" si="135"/>
        <v>0</v>
      </c>
      <c r="Z704" s="20">
        <f ca="1"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 ca="1">Tabela1[[#This Row],[QTDE/ Fabricação]]-Tabela1[[#This Row],[QTE]]</f>
        <v>-1</v>
      </c>
      <c r="R705" s="18">
        <f t="shared" ca="1" si="132"/>
        <v>1800</v>
      </c>
      <c r="S705" s="18">
        <f t="shared" ca="1" si="133"/>
        <v>1800</v>
      </c>
      <c r="T705" s="19">
        <f t="shared" ca="1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 ca="1">IFERROR(COUNTIF(#REF!,Tabela1[[#This Row],[Colunas5]]),"")</f>
        <v/>
      </c>
      <c r="X705" s="14">
        <f ca="1">Tabela1[[#This Row],[QIANTIDADE EXPEDIDA]]*Tabela1[[#This Row],[PESO UNI]]</f>
        <v>1800</v>
      </c>
      <c r="Y705" s="14">
        <f t="shared" ca="1" si="135"/>
        <v>0</v>
      </c>
      <c r="Z705" s="20">
        <f ca="1"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 ca="1">Tabela1[[#This Row],[QTDE/ Fabricação]]-Tabela1[[#This Row],[QTE]]</f>
        <v>-232</v>
      </c>
      <c r="R706" s="18">
        <f t="shared" ca="1" si="132"/>
        <v>43.616</v>
      </c>
      <c r="S706" s="18">
        <f t="shared" ca="1" si="133"/>
        <v>43.616</v>
      </c>
      <c r="T706" s="19">
        <f t="shared" ca="1" si="134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 ca="1">IFERROR(COUNTIF(#REF!,Tabela1[[#This Row],[Colunas5]]),"")</f>
        <v/>
      </c>
      <c r="X706" s="14">
        <f ca="1">Tabela1[[#This Row],[QIANTIDADE EXPEDIDA]]*Tabela1[[#This Row],[PESO UNI]]</f>
        <v>43.616</v>
      </c>
      <c r="Y706" s="14">
        <f t="shared" ca="1" si="135"/>
        <v>0</v>
      </c>
      <c r="Z706" s="20">
        <f ca="1"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 ca="1">Tabela1[[#This Row],[QTDE/ Fabricação]]-Tabela1[[#This Row],[QTE]]</f>
        <v>-96</v>
      </c>
      <c r="R707" s="18">
        <f t="shared" ca="1" si="132"/>
        <v>18.048000000000002</v>
      </c>
      <c r="S707" s="18">
        <f t="shared" ca="1" si="133"/>
        <v>18.048000000000002</v>
      </c>
      <c r="T707" s="19">
        <f t="shared" ca="1" si="134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 ca="1">IFERROR(COUNTIF(#REF!,Tabela1[[#This Row],[Colunas5]]),"")</f>
        <v/>
      </c>
      <c r="X707" s="14">
        <f ca="1">Tabela1[[#This Row],[QIANTIDADE EXPEDIDA]]*Tabela1[[#This Row],[PESO UNI]]</f>
        <v>18.048000000000002</v>
      </c>
      <c r="Y707" s="14">
        <f t="shared" ca="1" si="135"/>
        <v>0</v>
      </c>
      <c r="Z707" s="20">
        <f ca="1"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 ca="1">Tabela1[[#This Row],[QTDE/ Fabricação]]-Tabela1[[#This Row],[QTE]]</f>
        <v>-218</v>
      </c>
      <c r="R708" s="18">
        <f t="shared" ca="1" si="132"/>
        <v>40.984000000000002</v>
      </c>
      <c r="S708" s="18">
        <f t="shared" ca="1" si="133"/>
        <v>40.984000000000002</v>
      </c>
      <c r="T708" s="19">
        <f t="shared" ca="1" si="134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 ca="1">IFERROR(COUNTIF(#REF!,Tabela1[[#This Row],[Colunas5]]),"")</f>
        <v/>
      </c>
      <c r="X708" s="14">
        <f ca="1">Tabela1[[#This Row],[QIANTIDADE EXPEDIDA]]*Tabela1[[#This Row],[PESO UNI]]</f>
        <v>40.984000000000002</v>
      </c>
      <c r="Y708" s="14">
        <f t="shared" ca="1" si="135"/>
        <v>0</v>
      </c>
      <c r="Z708" s="20">
        <f ca="1"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 ca="1">Tabela1[[#This Row],[QTDE/ Fabricação]]-Tabela1[[#This Row],[QTE]]</f>
        <v>-58</v>
      </c>
      <c r="R709" s="18">
        <f t="shared" ca="1" si="132"/>
        <v>10.904</v>
      </c>
      <c r="S709" s="18">
        <f t="shared" ca="1" si="133"/>
        <v>10.904</v>
      </c>
      <c r="T709" s="19">
        <f t="shared" ca="1" si="134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 ca="1">IFERROR(COUNTIF(#REF!,Tabela1[[#This Row],[Colunas5]]),"")</f>
        <v/>
      </c>
      <c r="X709" s="14">
        <f ca="1">Tabela1[[#This Row],[QIANTIDADE EXPEDIDA]]*Tabela1[[#This Row],[PESO UNI]]</f>
        <v>10.904</v>
      </c>
      <c r="Y709" s="14">
        <f t="shared" ca="1" si="135"/>
        <v>0</v>
      </c>
      <c r="Z709" s="20">
        <f ca="1"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 ca="1">Tabela1[[#This Row],[QTDE/ Fabricação]]-Tabela1[[#This Row],[QTE]]</f>
        <v>-2</v>
      </c>
      <c r="R710" s="18">
        <f t="shared" ca="1" si="132"/>
        <v>28.722000000000001</v>
      </c>
      <c r="S710" s="18">
        <f t="shared" ca="1" si="133"/>
        <v>28.722000000000001</v>
      </c>
      <c r="T710" s="19">
        <f t="shared" ca="1" si="134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 ca="1">IFERROR(COUNTIF(#REF!,Tabela1[[#This Row],[Colunas5]]),"")</f>
        <v/>
      </c>
      <c r="X710" s="14">
        <f ca="1">Tabela1[[#This Row],[QIANTIDADE EXPEDIDA]]*Tabela1[[#This Row],[PESO UNI]]</f>
        <v>28.722000000000001</v>
      </c>
      <c r="Y710" s="14">
        <f t="shared" ca="1" si="135"/>
        <v>0</v>
      </c>
      <c r="Z710" s="20">
        <f ca="1"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 ca="1">Tabela1[[#This Row],[QTDE/ Fabricação]]-Tabela1[[#This Row],[QTE]]</f>
        <v>-2</v>
      </c>
      <c r="R711" s="18">
        <f t="shared" ca="1" si="132"/>
        <v>28.722000000000001</v>
      </c>
      <c r="S711" s="18">
        <f t="shared" ca="1" si="133"/>
        <v>28.722000000000001</v>
      </c>
      <c r="T711" s="19">
        <f t="shared" ca="1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 ca="1">IFERROR(COUNTIF(#REF!,Tabela1[[#This Row],[Colunas5]]),"")</f>
        <v/>
      </c>
      <c r="X711" s="14">
        <f ca="1">Tabela1[[#This Row],[QIANTIDADE EXPEDIDA]]*Tabela1[[#This Row],[PESO UNI]]</f>
        <v>28.722000000000001</v>
      </c>
      <c r="Y711" s="14">
        <f t="shared" ca="1" si="135"/>
        <v>0</v>
      </c>
      <c r="Z711" s="20">
        <f ca="1"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 ca="1">Tabela1[[#This Row],[QTDE/ Fabricação]]-Tabela1[[#This Row],[QTE]]</f>
        <v>-2</v>
      </c>
      <c r="R712" s="18">
        <f t="shared" ca="1" si="132"/>
        <v>28.722000000000001</v>
      </c>
      <c r="S712" s="18">
        <f t="shared" ca="1" si="133"/>
        <v>28.722000000000001</v>
      </c>
      <c r="T712" s="19">
        <f t="shared" ca="1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 ca="1">IFERROR(COUNTIF(#REF!,Tabela1[[#This Row],[Colunas5]]),"")</f>
        <v/>
      </c>
      <c r="X712" s="14">
        <f ca="1">Tabela1[[#This Row],[QIANTIDADE EXPEDIDA]]*Tabela1[[#This Row],[PESO UNI]]</f>
        <v>28.722000000000001</v>
      </c>
      <c r="Y712" s="14">
        <f t="shared" ca="1" si="135"/>
        <v>0</v>
      </c>
      <c r="Z712" s="20">
        <f ca="1"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 ca="1">Tabela1[[#This Row],[QTDE/ Fabricação]]-Tabela1[[#This Row],[QTE]]</f>
        <v>-2</v>
      </c>
      <c r="R713" s="18">
        <f t="shared" ca="1" si="132"/>
        <v>28.722000000000001</v>
      </c>
      <c r="S713" s="18">
        <f t="shared" ca="1" si="133"/>
        <v>28.722000000000001</v>
      </c>
      <c r="T713" s="19">
        <f t="shared" ca="1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 ca="1">IFERROR(COUNTIF(#REF!,Tabela1[[#This Row],[Colunas5]]),"")</f>
        <v/>
      </c>
      <c r="X713" s="14">
        <f ca="1">Tabela1[[#This Row],[QIANTIDADE EXPEDIDA]]*Tabela1[[#This Row],[PESO UNI]]</f>
        <v>28.722000000000001</v>
      </c>
      <c r="Y713" s="14">
        <f t="shared" ca="1" si="135"/>
        <v>0</v>
      </c>
      <c r="Z713" s="20">
        <f ca="1"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 ca="1">Tabela1[[#This Row],[QTDE/ Fabricação]]-Tabela1[[#This Row],[QTE]]</f>
        <v>-2</v>
      </c>
      <c r="R714" s="18">
        <f t="shared" ca="1" si="132"/>
        <v>28.722000000000001</v>
      </c>
      <c r="S714" s="18">
        <f t="shared" ca="1" si="133"/>
        <v>28.722000000000001</v>
      </c>
      <c r="T714" s="19">
        <f t="shared" ca="1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 ca="1">IFERROR(COUNTIF(#REF!,Tabela1[[#This Row],[Colunas5]]),"")</f>
        <v/>
      </c>
      <c r="X714" s="14">
        <f ca="1">Tabela1[[#This Row],[QIANTIDADE EXPEDIDA]]*Tabela1[[#This Row],[PESO UNI]]</f>
        <v>28.722000000000001</v>
      </c>
      <c r="Y714" s="14">
        <f t="shared" ca="1" si="135"/>
        <v>0</v>
      </c>
      <c r="Z714" s="20">
        <f ca="1"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 ca="1">Tabela1[[#This Row],[QTDE/ Fabricação]]-Tabela1[[#This Row],[QTE]]</f>
        <v>-2</v>
      </c>
      <c r="R715" s="18">
        <f t="shared" ca="1" si="132"/>
        <v>28.722000000000001</v>
      </c>
      <c r="S715" s="18">
        <f t="shared" ca="1" si="133"/>
        <v>28.722000000000001</v>
      </c>
      <c r="T715" s="19">
        <f t="shared" ca="1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 ca="1">IFERROR(COUNTIF(#REF!,Tabela1[[#This Row],[Colunas5]]),"")</f>
        <v/>
      </c>
      <c r="X715" s="14">
        <f ca="1">Tabela1[[#This Row],[QIANTIDADE EXPEDIDA]]*Tabela1[[#This Row],[PESO UNI]]</f>
        <v>28.722000000000001</v>
      </c>
      <c r="Y715" s="14">
        <f t="shared" ca="1" si="135"/>
        <v>0</v>
      </c>
      <c r="Z715" s="20">
        <f ca="1"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 ca="1">Tabela1[[#This Row],[QTDE/ Fabricação]]-Tabela1[[#This Row],[QTE]]</f>
        <v>-4</v>
      </c>
      <c r="R716" s="18">
        <f t="shared" ca="1" si="132"/>
        <v>57.444000000000003</v>
      </c>
      <c r="S716" s="18">
        <f t="shared" ca="1" si="133"/>
        <v>57.444000000000003</v>
      </c>
      <c r="T716" s="19">
        <f t="shared" ca="1" si="134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 ca="1">IFERROR(COUNTIF(#REF!,Tabela1[[#This Row],[Colunas5]]),"")</f>
        <v/>
      </c>
      <c r="X716" s="14">
        <f ca="1">Tabela1[[#This Row],[QIANTIDADE EXPEDIDA]]*Tabela1[[#This Row],[PESO UNI]]</f>
        <v>57.444000000000003</v>
      </c>
      <c r="Y716" s="14">
        <f t="shared" ca="1" si="135"/>
        <v>0</v>
      </c>
      <c r="Z716" s="20">
        <f ca="1"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 ca="1">Tabela1[[#This Row],[QTDE/ Fabricação]]-Tabela1[[#This Row],[QTE]]</f>
        <v>-4</v>
      </c>
      <c r="R717" s="18">
        <f t="shared" ca="1" si="132"/>
        <v>57.444000000000003</v>
      </c>
      <c r="S717" s="18">
        <f t="shared" ca="1" si="133"/>
        <v>57.444000000000003</v>
      </c>
      <c r="T717" s="19">
        <f t="shared" ca="1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 ca="1">IFERROR(COUNTIF(#REF!,Tabela1[[#This Row],[Colunas5]]),"")</f>
        <v/>
      </c>
      <c r="X717" s="14">
        <f ca="1">Tabela1[[#This Row],[QIANTIDADE EXPEDIDA]]*Tabela1[[#This Row],[PESO UNI]]</f>
        <v>57.444000000000003</v>
      </c>
      <c r="Y717" s="14">
        <f t="shared" ca="1" si="135"/>
        <v>0</v>
      </c>
      <c r="Z717" s="20">
        <f ca="1"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 ca="1">Tabela1[[#This Row],[QTDE/ Fabricação]]-Tabela1[[#This Row],[QTE]]</f>
        <v>-4</v>
      </c>
      <c r="R718" s="18">
        <f t="shared" ca="1" si="132"/>
        <v>57.444000000000003</v>
      </c>
      <c r="S718" s="18">
        <f t="shared" ca="1" si="133"/>
        <v>57.444000000000003</v>
      </c>
      <c r="T718" s="19">
        <f t="shared" ca="1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 ca="1">IFERROR(COUNTIF(#REF!,Tabela1[[#This Row],[Colunas5]]),"")</f>
        <v/>
      </c>
      <c r="X718" s="14">
        <f ca="1">Tabela1[[#This Row],[QIANTIDADE EXPEDIDA]]*Tabela1[[#This Row],[PESO UNI]]</f>
        <v>57.444000000000003</v>
      </c>
      <c r="Y718" s="14">
        <f t="shared" ca="1" si="135"/>
        <v>0</v>
      </c>
      <c r="Z718" s="20">
        <f ca="1"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 ca="1">Tabela1[[#This Row],[QTDE/ Fabricação]]-Tabela1[[#This Row],[QTE]]</f>
        <v>-4</v>
      </c>
      <c r="R719" s="18">
        <f t="shared" ca="1" si="132"/>
        <v>57.444000000000003</v>
      </c>
      <c r="S719" s="18">
        <f t="shared" ca="1" si="133"/>
        <v>57.444000000000003</v>
      </c>
      <c r="T719" s="19">
        <f t="shared" ca="1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 ca="1">IFERROR(COUNTIF(#REF!,Tabela1[[#This Row],[Colunas5]]),"")</f>
        <v/>
      </c>
      <c r="X719" s="14">
        <f ca="1">Tabela1[[#This Row],[QIANTIDADE EXPEDIDA]]*Tabela1[[#This Row],[PESO UNI]]</f>
        <v>57.444000000000003</v>
      </c>
      <c r="Y719" s="14">
        <f t="shared" ca="1" si="135"/>
        <v>0</v>
      </c>
      <c r="Z719" s="20">
        <f ca="1"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 ca="1">Tabela1[[#This Row],[QTDE/ Fabricação]]-Tabela1[[#This Row],[QTE]]</f>
        <v>-4</v>
      </c>
      <c r="R720" s="18">
        <f t="shared" ca="1" si="132"/>
        <v>57.444000000000003</v>
      </c>
      <c r="S720" s="18">
        <f t="shared" ca="1" si="133"/>
        <v>57.444000000000003</v>
      </c>
      <c r="T720" s="19">
        <f t="shared" ca="1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 ca="1">IFERROR(COUNTIF(#REF!,Tabela1[[#This Row],[Colunas5]]),"")</f>
        <v/>
      </c>
      <c r="X720" s="14">
        <f ca="1">Tabela1[[#This Row],[QIANTIDADE EXPEDIDA]]*Tabela1[[#This Row],[PESO UNI]]</f>
        <v>57.444000000000003</v>
      </c>
      <c r="Y720" s="14">
        <f t="shared" ca="1" si="135"/>
        <v>0</v>
      </c>
      <c r="Z720" s="20">
        <f ca="1"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 ca="1">Tabela1[[#This Row],[QTDE/ Fabricação]]-Tabela1[[#This Row],[QTE]]</f>
        <v>-8</v>
      </c>
      <c r="R721" s="18">
        <f t="shared" ca="1" si="132"/>
        <v>114.88800000000001</v>
      </c>
      <c r="S721" s="18">
        <f t="shared" ca="1" si="133"/>
        <v>114.88800000000001</v>
      </c>
      <c r="T721" s="19">
        <f t="shared" ca="1" si="134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 ca="1">IFERROR(COUNTIF(#REF!,Tabela1[[#This Row],[Colunas5]]),"")</f>
        <v/>
      </c>
      <c r="X721" s="14">
        <f ca="1">Tabela1[[#This Row],[QIANTIDADE EXPEDIDA]]*Tabela1[[#This Row],[PESO UNI]]</f>
        <v>114.88800000000001</v>
      </c>
      <c r="Y721" s="14">
        <f t="shared" ca="1" si="135"/>
        <v>0</v>
      </c>
      <c r="Z721" s="20">
        <f ca="1"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 ca="1">Tabela1[[#This Row],[QTDE/ Fabricação]]-Tabela1[[#This Row],[QTE]]</f>
        <v>-4</v>
      </c>
      <c r="R722" s="18">
        <f t="shared" ca="1" si="132"/>
        <v>57.444000000000003</v>
      </c>
      <c r="S722" s="18">
        <f t="shared" ca="1" si="133"/>
        <v>57.444000000000003</v>
      </c>
      <c r="T722" s="19">
        <f t="shared" ca="1" si="134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 ca="1">IFERROR(COUNTIF(#REF!,Tabela1[[#This Row],[Colunas5]]),"")</f>
        <v/>
      </c>
      <c r="X722" s="14">
        <f ca="1">Tabela1[[#This Row],[QIANTIDADE EXPEDIDA]]*Tabela1[[#This Row],[PESO UNI]]</f>
        <v>57.444000000000003</v>
      </c>
      <c r="Y722" s="14">
        <f t="shared" ca="1" si="135"/>
        <v>0</v>
      </c>
      <c r="Z722" s="20">
        <f ca="1"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 ca="1">Tabela1[[#This Row],[QTDE/ Fabricação]]-Tabela1[[#This Row],[QTE]]</f>
        <v>-12</v>
      </c>
      <c r="R723" s="18">
        <f t="shared" ca="1" si="132"/>
        <v>172.33199999999999</v>
      </c>
      <c r="S723" s="18">
        <f t="shared" ca="1" si="133"/>
        <v>172.33199999999999</v>
      </c>
      <c r="T723" s="19">
        <f t="shared" ca="1" si="134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 ca="1">IFERROR(COUNTIF(#REF!,Tabela1[[#This Row],[Colunas5]]),"")</f>
        <v/>
      </c>
      <c r="X723" s="14">
        <f ca="1">Tabela1[[#This Row],[QIANTIDADE EXPEDIDA]]*Tabela1[[#This Row],[PESO UNI]]</f>
        <v>172.33199999999999</v>
      </c>
      <c r="Y723" s="14">
        <f t="shared" ca="1" si="135"/>
        <v>0</v>
      </c>
      <c r="Z723" s="20">
        <f ca="1"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 ca="1">Tabela1[[#This Row],[QTDE/ Fabricação]]-Tabela1[[#This Row],[QTE]]</f>
        <v>-4</v>
      </c>
      <c r="R724" s="18">
        <f t="shared" ca="1" si="132"/>
        <v>57.444000000000003</v>
      </c>
      <c r="S724" s="18">
        <f t="shared" ca="1" si="133"/>
        <v>57.444000000000003</v>
      </c>
      <c r="T724" s="19">
        <f t="shared" ca="1" si="134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 ca="1">IFERROR(COUNTIF(#REF!,Tabela1[[#This Row],[Colunas5]]),"")</f>
        <v/>
      </c>
      <c r="X724" s="14">
        <f ca="1">Tabela1[[#This Row],[QIANTIDADE EXPEDIDA]]*Tabela1[[#This Row],[PESO UNI]]</f>
        <v>57.444000000000003</v>
      </c>
      <c r="Y724" s="14">
        <f t="shared" ca="1" si="135"/>
        <v>0</v>
      </c>
      <c r="Z724" s="20">
        <f ca="1"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 ca="1">Tabela1[[#This Row],[QTDE/ Fabricação]]-Tabela1[[#This Row],[QTE]]</f>
        <v>-4</v>
      </c>
      <c r="R725" s="18">
        <f t="shared" ca="1" si="132"/>
        <v>57.444000000000003</v>
      </c>
      <c r="S725" s="18">
        <f t="shared" ca="1" si="133"/>
        <v>57.444000000000003</v>
      </c>
      <c r="T725" s="19">
        <f t="shared" ca="1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 ca="1">IFERROR(COUNTIF(#REF!,Tabela1[[#This Row],[Colunas5]]),"")</f>
        <v/>
      </c>
      <c r="X725" s="14">
        <f ca="1">Tabela1[[#This Row],[QIANTIDADE EXPEDIDA]]*Tabela1[[#This Row],[PESO UNI]]</f>
        <v>57.444000000000003</v>
      </c>
      <c r="Y725" s="14">
        <f t="shared" ca="1" si="135"/>
        <v>0</v>
      </c>
      <c r="Z725" s="20">
        <f ca="1"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 ca="1">Tabela1[[#This Row],[QTDE/ Fabricação]]-Tabela1[[#This Row],[QTE]]</f>
        <v>-4</v>
      </c>
      <c r="R726" s="18">
        <f t="shared" ca="1" si="132"/>
        <v>57.444000000000003</v>
      </c>
      <c r="S726" s="18">
        <f t="shared" ca="1" si="133"/>
        <v>57.444000000000003</v>
      </c>
      <c r="T726" s="19">
        <f t="shared" ca="1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 ca="1">IFERROR(COUNTIF(#REF!,Tabela1[[#This Row],[Colunas5]]),"")</f>
        <v/>
      </c>
      <c r="X726" s="14">
        <f ca="1">Tabela1[[#This Row],[QIANTIDADE EXPEDIDA]]*Tabela1[[#This Row],[PESO UNI]]</f>
        <v>57.444000000000003</v>
      </c>
      <c r="Y726" s="14">
        <f t="shared" ca="1" si="135"/>
        <v>0</v>
      </c>
      <c r="Z726" s="20">
        <f ca="1"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 ca="1">Tabela1[[#This Row],[QTDE/ Fabricação]]-Tabela1[[#This Row],[QTE]]</f>
        <v>-20</v>
      </c>
      <c r="R727" s="18">
        <f t="shared" ca="1" si="132"/>
        <v>287.22000000000003</v>
      </c>
      <c r="S727" s="18">
        <f t="shared" ca="1" si="133"/>
        <v>287.22000000000003</v>
      </c>
      <c r="T727" s="19">
        <f t="shared" ca="1" si="134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 ca="1">IFERROR(COUNTIF(#REF!,Tabela1[[#This Row],[Colunas5]]),"")</f>
        <v/>
      </c>
      <c r="X727" s="14">
        <f ca="1">Tabela1[[#This Row],[QIANTIDADE EXPEDIDA]]*Tabela1[[#This Row],[PESO UNI]]</f>
        <v>287.22000000000003</v>
      </c>
      <c r="Y727" s="14">
        <f t="shared" ca="1" si="135"/>
        <v>0</v>
      </c>
      <c r="Z727" s="20">
        <f ca="1"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 ca="1">Tabela1[[#This Row],[QTDE/ Fabricação]]-Tabela1[[#This Row],[QTE]]</f>
        <v>-2</v>
      </c>
      <c r="R728" s="18">
        <f t="shared" ca="1" si="132"/>
        <v>28.722000000000001</v>
      </c>
      <c r="S728" s="18">
        <f t="shared" ca="1" si="133"/>
        <v>28.722000000000001</v>
      </c>
      <c r="T728" s="19">
        <f t="shared" ca="1" si="134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 ca="1">IFERROR(COUNTIF(#REF!,Tabela1[[#This Row],[Colunas5]]),"")</f>
        <v/>
      </c>
      <c r="X728" s="14">
        <f ca="1">Tabela1[[#This Row],[QIANTIDADE EXPEDIDA]]*Tabela1[[#This Row],[PESO UNI]]</f>
        <v>28.722000000000001</v>
      </c>
      <c r="Y728" s="14">
        <f t="shared" ca="1" si="135"/>
        <v>0</v>
      </c>
      <c r="Z728" s="20">
        <f ca="1"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 ca="1">Tabela1[[#This Row],[QTDE/ Fabricação]]-Tabela1[[#This Row],[QTE]]</f>
        <v>-22</v>
      </c>
      <c r="R729" s="18">
        <f t="shared" ca="1" si="132"/>
        <v>315.94200000000001</v>
      </c>
      <c r="S729" s="18">
        <f t="shared" ca="1" si="133"/>
        <v>315.94200000000001</v>
      </c>
      <c r="T729" s="19">
        <f t="shared" ca="1" si="134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 ca="1">IFERROR(COUNTIF(#REF!,Tabela1[[#This Row],[Colunas5]]),"")</f>
        <v/>
      </c>
      <c r="X729" s="14">
        <f ca="1">Tabela1[[#This Row],[QIANTIDADE EXPEDIDA]]*Tabela1[[#This Row],[PESO UNI]]</f>
        <v>315.94200000000001</v>
      </c>
      <c r="Y729" s="14">
        <f t="shared" ca="1" si="135"/>
        <v>0</v>
      </c>
      <c r="Z729" s="20">
        <f ca="1"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 ca="1">Tabela1[[#This Row],[QTDE/ Fabricação]]-Tabela1[[#This Row],[QTE]]</f>
        <v>-2</v>
      </c>
      <c r="R730" s="18">
        <f t="shared" ca="1" si="132"/>
        <v>28.722000000000001</v>
      </c>
      <c r="S730" s="18">
        <f t="shared" ca="1" si="133"/>
        <v>28.722000000000001</v>
      </c>
      <c r="T730" s="19">
        <f t="shared" ca="1" si="134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 ca="1">IFERROR(COUNTIF(#REF!,Tabela1[[#This Row],[Colunas5]]),"")</f>
        <v/>
      </c>
      <c r="X730" s="14">
        <f ca="1">Tabela1[[#This Row],[QIANTIDADE EXPEDIDA]]*Tabela1[[#This Row],[PESO UNI]]</f>
        <v>28.722000000000001</v>
      </c>
      <c r="Y730" s="14">
        <f t="shared" ca="1" si="135"/>
        <v>0</v>
      </c>
      <c r="Z730" s="20">
        <f ca="1"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 ca="1">Tabela1[[#This Row],[QTDE/ Fabricação]]-Tabela1[[#This Row],[QTE]]</f>
        <v>-2</v>
      </c>
      <c r="R731" s="18">
        <f t="shared" ca="1" si="132"/>
        <v>28.722000000000001</v>
      </c>
      <c r="S731" s="18">
        <f t="shared" ca="1" si="133"/>
        <v>28.722000000000001</v>
      </c>
      <c r="T731" s="19">
        <f t="shared" ca="1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 ca="1">IFERROR(COUNTIF(#REF!,Tabela1[[#This Row],[Colunas5]]),"")</f>
        <v/>
      </c>
      <c r="X731" s="14">
        <f ca="1">Tabela1[[#This Row],[QIANTIDADE EXPEDIDA]]*Tabela1[[#This Row],[PESO UNI]]</f>
        <v>28.722000000000001</v>
      </c>
      <c r="Y731" s="14">
        <f t="shared" ca="1" si="135"/>
        <v>0</v>
      </c>
      <c r="Z731" s="20">
        <f ca="1"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 ca="1">Tabela1[[#This Row],[QTDE/ Fabricação]]-Tabela1[[#This Row],[QTE]]</f>
        <v>-2</v>
      </c>
      <c r="R732" s="18">
        <f t="shared" ca="1" si="132"/>
        <v>28.722000000000001</v>
      </c>
      <c r="S732" s="18">
        <f t="shared" ca="1" si="133"/>
        <v>28.722000000000001</v>
      </c>
      <c r="T732" s="19">
        <f t="shared" ca="1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 ca="1">IFERROR(COUNTIF(#REF!,Tabela1[[#This Row],[Colunas5]]),"")</f>
        <v/>
      </c>
      <c r="X732" s="14">
        <f ca="1">Tabela1[[#This Row],[QIANTIDADE EXPEDIDA]]*Tabela1[[#This Row],[PESO UNI]]</f>
        <v>28.722000000000001</v>
      </c>
      <c r="Y732" s="14">
        <f t="shared" ca="1" si="135"/>
        <v>0</v>
      </c>
      <c r="Z732" s="20">
        <f ca="1"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 ca="1">Tabela1[[#This Row],[QTDE/ Fabricação]]-Tabela1[[#This Row],[QTE]]</f>
        <v>-2</v>
      </c>
      <c r="R733" s="18">
        <f t="shared" ca="1" si="132"/>
        <v>28.722000000000001</v>
      </c>
      <c r="S733" s="18">
        <f t="shared" ca="1" si="133"/>
        <v>28.722000000000001</v>
      </c>
      <c r="T733" s="19">
        <f t="shared" ca="1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 ca="1">IFERROR(COUNTIF(#REF!,Tabela1[[#This Row],[Colunas5]]),"")</f>
        <v/>
      </c>
      <c r="X733" s="14">
        <f ca="1">Tabela1[[#This Row],[QIANTIDADE EXPEDIDA]]*Tabela1[[#This Row],[PESO UNI]]</f>
        <v>28.722000000000001</v>
      </c>
      <c r="Y733" s="14">
        <f t="shared" ca="1" si="135"/>
        <v>0</v>
      </c>
      <c r="Z733" s="20">
        <f ca="1"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 ca="1">Tabela1[[#This Row],[QTDE/ Fabricação]]-Tabela1[[#This Row],[QTE]]</f>
        <v>-4</v>
      </c>
      <c r="R734" s="18">
        <f t="shared" ca="1" si="132"/>
        <v>57.444000000000003</v>
      </c>
      <c r="S734" s="18">
        <f t="shared" ca="1" si="133"/>
        <v>57.444000000000003</v>
      </c>
      <c r="T734" s="19">
        <f t="shared" ca="1" si="134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 ca="1">IFERROR(COUNTIF(#REF!,Tabela1[[#This Row],[Colunas5]]),"")</f>
        <v/>
      </c>
      <c r="X734" s="14">
        <f ca="1">Tabela1[[#This Row],[QIANTIDADE EXPEDIDA]]*Tabela1[[#This Row],[PESO UNI]]</f>
        <v>57.444000000000003</v>
      </c>
      <c r="Y734" s="14">
        <f t="shared" ca="1" si="135"/>
        <v>0</v>
      </c>
      <c r="Z734" s="20">
        <f ca="1"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 ca="1">Tabela1[[#This Row],[QTDE/ Fabricação]]-Tabela1[[#This Row],[QTE]]</f>
        <v>-4</v>
      </c>
      <c r="R735" s="18">
        <f t="shared" ca="1" si="132"/>
        <v>57.444000000000003</v>
      </c>
      <c r="S735" s="18">
        <f t="shared" ca="1" si="133"/>
        <v>57.444000000000003</v>
      </c>
      <c r="T735" s="19">
        <f t="shared" ca="1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 ca="1">IFERROR(COUNTIF(#REF!,Tabela1[[#This Row],[Colunas5]]),"")</f>
        <v/>
      </c>
      <c r="X735" s="14">
        <f ca="1">Tabela1[[#This Row],[QIANTIDADE EXPEDIDA]]*Tabela1[[#This Row],[PESO UNI]]</f>
        <v>57.444000000000003</v>
      </c>
      <c r="Y735" s="14">
        <f t="shared" ca="1" si="135"/>
        <v>0</v>
      </c>
      <c r="Z735" s="20">
        <f ca="1"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 ca="1">Tabela1[[#This Row],[QTDE/ Fabricação]]-Tabela1[[#This Row],[QTE]]</f>
        <v>-6</v>
      </c>
      <c r="R736" s="18">
        <f t="shared" ca="1" si="132"/>
        <v>86.165999999999997</v>
      </c>
      <c r="S736" s="18">
        <f t="shared" ca="1" si="133"/>
        <v>86.165999999999997</v>
      </c>
      <c r="T736" s="19">
        <f t="shared" ca="1" si="134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 ca="1">IFERROR(COUNTIF(#REF!,Tabela1[[#This Row],[Colunas5]]),"")</f>
        <v/>
      </c>
      <c r="X736" s="14">
        <f ca="1">Tabela1[[#This Row],[QIANTIDADE EXPEDIDA]]*Tabela1[[#This Row],[PESO UNI]]</f>
        <v>86.165999999999997</v>
      </c>
      <c r="Y736" s="14">
        <f t="shared" ca="1" si="135"/>
        <v>0</v>
      </c>
      <c r="Z736" s="20">
        <f ca="1"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 ca="1">Tabela1[[#This Row],[QTDE/ Fabricação]]-Tabela1[[#This Row],[QTE]]</f>
        <v>-2</v>
      </c>
      <c r="R737" s="18">
        <f t="shared" ca="1" si="132"/>
        <v>28.722000000000001</v>
      </c>
      <c r="S737" s="18">
        <f t="shared" ca="1" si="133"/>
        <v>28.722000000000001</v>
      </c>
      <c r="T737" s="19">
        <f t="shared" ca="1" si="134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 ca="1">IFERROR(COUNTIF(#REF!,Tabela1[[#This Row],[Colunas5]]),"")</f>
        <v/>
      </c>
      <c r="X737" s="14">
        <f ca="1">Tabela1[[#This Row],[QIANTIDADE EXPEDIDA]]*Tabela1[[#This Row],[PESO UNI]]</f>
        <v>28.722000000000001</v>
      </c>
      <c r="Y737" s="14">
        <f t="shared" ca="1" si="135"/>
        <v>0</v>
      </c>
      <c r="Z737" s="20">
        <f ca="1"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 ca="1">Tabela1[[#This Row],[QTDE/ Fabricação]]-Tabela1[[#This Row],[QTE]]</f>
        <v>-2</v>
      </c>
      <c r="R738" s="18">
        <f t="shared" ca="1" si="132"/>
        <v>28.722000000000001</v>
      </c>
      <c r="S738" s="18">
        <f t="shared" ca="1" si="133"/>
        <v>28.722000000000001</v>
      </c>
      <c r="T738" s="19">
        <f t="shared" ca="1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 ca="1">IFERROR(COUNTIF(#REF!,Tabela1[[#This Row],[Colunas5]]),"")</f>
        <v/>
      </c>
      <c r="X738" s="14">
        <f ca="1">Tabela1[[#This Row],[QIANTIDADE EXPEDIDA]]*Tabela1[[#This Row],[PESO UNI]]</f>
        <v>28.722000000000001</v>
      </c>
      <c r="Y738" s="14">
        <f t="shared" ca="1" si="135"/>
        <v>0</v>
      </c>
      <c r="Z738" s="20">
        <f ca="1"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 ca="1">Tabela1[[#This Row],[QTDE/ Fabricação]]-Tabela1[[#This Row],[QTE]]</f>
        <v>-26</v>
      </c>
      <c r="R739" s="18">
        <f t="shared" ca="1" si="132"/>
        <v>373.38600000000002</v>
      </c>
      <c r="S739" s="18">
        <f t="shared" ca="1" si="133"/>
        <v>373.38600000000002</v>
      </c>
      <c r="T739" s="19">
        <f t="shared" ca="1" si="134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 ca="1">IFERROR(COUNTIF(#REF!,Tabela1[[#This Row],[Colunas5]]),"")</f>
        <v/>
      </c>
      <c r="X739" s="14">
        <f ca="1">Tabela1[[#This Row],[QIANTIDADE EXPEDIDA]]*Tabela1[[#This Row],[PESO UNI]]</f>
        <v>373.38600000000002</v>
      </c>
      <c r="Y739" s="14">
        <f t="shared" ca="1" si="135"/>
        <v>0</v>
      </c>
      <c r="Z739" s="20">
        <f ca="1"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 ca="1">Tabela1[[#This Row],[QTDE/ Fabricação]]-Tabela1[[#This Row],[QTE]]</f>
        <v>-4</v>
      </c>
      <c r="R740" s="18">
        <f t="shared" ca="1" si="132"/>
        <v>57.444000000000003</v>
      </c>
      <c r="S740" s="18">
        <f t="shared" ca="1" si="133"/>
        <v>57.444000000000003</v>
      </c>
      <c r="T740" s="19">
        <f t="shared" ca="1" si="134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 ca="1">IFERROR(COUNTIF(#REF!,Tabela1[[#This Row],[Colunas5]]),"")</f>
        <v/>
      </c>
      <c r="X740" s="14">
        <f ca="1">Tabela1[[#This Row],[QIANTIDADE EXPEDIDA]]*Tabela1[[#This Row],[PESO UNI]]</f>
        <v>57.444000000000003</v>
      </c>
      <c r="Y740" s="14">
        <f t="shared" ca="1" si="135"/>
        <v>0</v>
      </c>
      <c r="Z740" s="20">
        <f ca="1"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 ca="1">Tabela1[[#This Row],[QTDE/ Fabricação]]-Tabela1[[#This Row],[QTE]]</f>
        <v>-20</v>
      </c>
      <c r="R741" s="18">
        <f t="shared" ca="1" si="132"/>
        <v>287.22000000000003</v>
      </c>
      <c r="S741" s="18">
        <f t="shared" ca="1" si="133"/>
        <v>287.22000000000003</v>
      </c>
      <c r="T741" s="19">
        <f t="shared" ca="1" si="134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 ca="1">IFERROR(COUNTIF(#REF!,Tabela1[[#This Row],[Colunas5]]),"")</f>
        <v/>
      </c>
      <c r="X741" s="14">
        <f ca="1">Tabela1[[#This Row],[QIANTIDADE EXPEDIDA]]*Tabela1[[#This Row],[PESO UNI]]</f>
        <v>287.22000000000003</v>
      </c>
      <c r="Y741" s="14">
        <f t="shared" ca="1" si="135"/>
        <v>0</v>
      </c>
      <c r="Z741" s="20">
        <f ca="1"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 ca="1">Tabela1[[#This Row],[QTDE/ Fabricação]]-Tabela1[[#This Row],[QTE]]</f>
        <v>-1</v>
      </c>
      <c r="R742" s="18">
        <f t="shared" ca="1" si="132"/>
        <v>12.6</v>
      </c>
      <c r="S742" s="18">
        <f t="shared" ca="1" si="133"/>
        <v>12.6</v>
      </c>
      <c r="T742" s="19">
        <f t="shared" ca="1" si="134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 ca="1">IFERROR(COUNTIF(#REF!,Tabela1[[#This Row],[Colunas5]]),"")</f>
        <v/>
      </c>
      <c r="X742" s="14">
        <f ca="1">Tabela1[[#This Row],[QIANTIDADE EXPEDIDA]]*Tabela1[[#This Row],[PESO UNI]]</f>
        <v>12.6</v>
      </c>
      <c r="Y742" s="14">
        <f t="shared" ca="1" si="135"/>
        <v>0</v>
      </c>
      <c r="Z742" s="20">
        <f ca="1"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 ca="1">Tabela1[[#This Row],[QTDE/ Fabricação]]-Tabela1[[#This Row],[QTE]]</f>
        <v>-1</v>
      </c>
      <c r="R743" s="18">
        <f t="shared" ca="1" si="132"/>
        <v>12.6</v>
      </c>
      <c r="S743" s="18">
        <f t="shared" ca="1" si="133"/>
        <v>12.6</v>
      </c>
      <c r="T743" s="19">
        <f t="shared" ca="1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 ca="1">IFERROR(COUNTIF(#REF!,Tabela1[[#This Row],[Colunas5]]),"")</f>
        <v/>
      </c>
      <c r="X743" s="14">
        <f ca="1">Tabela1[[#This Row],[QIANTIDADE EXPEDIDA]]*Tabela1[[#This Row],[PESO UNI]]</f>
        <v>12.6</v>
      </c>
      <c r="Y743" s="14">
        <f t="shared" ca="1" si="135"/>
        <v>0</v>
      </c>
      <c r="Z743" s="20">
        <f ca="1"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 ca="1">Tabela1[[#This Row],[QTDE/ Fabricação]]-Tabela1[[#This Row],[QTE]]</f>
        <v>-1</v>
      </c>
      <c r="R744" s="18">
        <f t="shared" ca="1" si="132"/>
        <v>12.6</v>
      </c>
      <c r="S744" s="18">
        <f t="shared" ca="1" si="133"/>
        <v>12.6</v>
      </c>
      <c r="T744" s="19">
        <f t="shared" ca="1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 ca="1">IFERROR(COUNTIF(#REF!,Tabela1[[#This Row],[Colunas5]]),"")</f>
        <v/>
      </c>
      <c r="X744" s="14">
        <f ca="1">Tabela1[[#This Row],[QIANTIDADE EXPEDIDA]]*Tabela1[[#This Row],[PESO UNI]]</f>
        <v>12.6</v>
      </c>
      <c r="Y744" s="14">
        <f t="shared" ca="1" si="135"/>
        <v>0</v>
      </c>
      <c r="Z744" s="20">
        <f ca="1"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 ca="1">Tabela1[[#This Row],[QTDE/ Fabricação]]-Tabela1[[#This Row],[QTE]]</f>
        <v>-1</v>
      </c>
      <c r="R745" s="18">
        <f t="shared" ca="1" si="132"/>
        <v>12.6</v>
      </c>
      <c r="S745" s="18">
        <f t="shared" ca="1" si="133"/>
        <v>12.6</v>
      </c>
      <c r="T745" s="19">
        <f t="shared" ca="1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 ca="1">IFERROR(COUNTIF(#REF!,Tabela1[[#This Row],[Colunas5]]),"")</f>
        <v/>
      </c>
      <c r="X745" s="14">
        <f ca="1">Tabela1[[#This Row],[QIANTIDADE EXPEDIDA]]*Tabela1[[#This Row],[PESO UNI]]</f>
        <v>12.6</v>
      </c>
      <c r="Y745" s="14">
        <f t="shared" ca="1" si="135"/>
        <v>0</v>
      </c>
      <c r="Z745" s="20">
        <f ca="1"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 ca="1">Tabela1[[#This Row],[QTDE/ Fabricação]]-Tabela1[[#This Row],[QTE]]</f>
        <v>-1</v>
      </c>
      <c r="R746" s="18">
        <f t="shared" ca="1" si="132"/>
        <v>12.6</v>
      </c>
      <c r="S746" s="18">
        <f t="shared" ca="1" si="133"/>
        <v>12.6</v>
      </c>
      <c r="T746" s="19">
        <f t="shared" ca="1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 ca="1">IFERROR(COUNTIF(#REF!,Tabela1[[#This Row],[Colunas5]]),"")</f>
        <v/>
      </c>
      <c r="X746" s="14">
        <f ca="1">Tabela1[[#This Row],[QIANTIDADE EXPEDIDA]]*Tabela1[[#This Row],[PESO UNI]]</f>
        <v>12.6</v>
      </c>
      <c r="Y746" s="14">
        <f t="shared" ca="1" si="135"/>
        <v>0</v>
      </c>
      <c r="Z746" s="20">
        <f ca="1"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 ca="1">Tabela1[[#This Row],[QTDE/ Fabricação]]-Tabela1[[#This Row],[QTE]]</f>
        <v>-1</v>
      </c>
      <c r="R747" s="18">
        <f t="shared" ca="1" si="132"/>
        <v>12.6</v>
      </c>
      <c r="S747" s="18">
        <f t="shared" ca="1" si="133"/>
        <v>12.6</v>
      </c>
      <c r="T747" s="19">
        <f t="shared" ca="1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 ca="1">IFERROR(COUNTIF(#REF!,Tabela1[[#This Row],[Colunas5]]),"")</f>
        <v/>
      </c>
      <c r="X747" s="14">
        <f ca="1">Tabela1[[#This Row],[QIANTIDADE EXPEDIDA]]*Tabela1[[#This Row],[PESO UNI]]</f>
        <v>12.6</v>
      </c>
      <c r="Y747" s="14">
        <f t="shared" ca="1" si="135"/>
        <v>0</v>
      </c>
      <c r="Z747" s="20">
        <f ca="1"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 ca="1">Tabela1[[#This Row],[QTDE/ Fabricação]]-Tabela1[[#This Row],[QTE]]</f>
        <v>-1</v>
      </c>
      <c r="R748" s="18">
        <f t="shared" ca="1" si="132"/>
        <v>12.6</v>
      </c>
      <c r="S748" s="18">
        <f t="shared" ca="1" si="133"/>
        <v>12.6</v>
      </c>
      <c r="T748" s="19">
        <f t="shared" ca="1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 ca="1">IFERROR(COUNTIF(#REF!,Tabela1[[#This Row],[Colunas5]]),"")</f>
        <v/>
      </c>
      <c r="X748" s="14">
        <f ca="1">Tabela1[[#This Row],[QIANTIDADE EXPEDIDA]]*Tabela1[[#This Row],[PESO UNI]]</f>
        <v>12.6</v>
      </c>
      <c r="Y748" s="14">
        <f t="shared" ca="1" si="135"/>
        <v>0</v>
      </c>
      <c r="Z748" s="20">
        <f ca="1"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 ca="1">Tabela1[[#This Row],[QTDE/ Fabricação]]-Tabela1[[#This Row],[QTE]]</f>
        <v>-1</v>
      </c>
      <c r="R749" s="18">
        <f t="shared" ca="1" si="132"/>
        <v>12.6</v>
      </c>
      <c r="S749" s="18">
        <f t="shared" ca="1" si="133"/>
        <v>12.6</v>
      </c>
      <c r="T749" s="19">
        <f t="shared" ca="1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 ca="1">IFERROR(COUNTIF(#REF!,Tabela1[[#This Row],[Colunas5]]),"")</f>
        <v/>
      </c>
      <c r="X749" s="14">
        <f ca="1">Tabela1[[#This Row],[QIANTIDADE EXPEDIDA]]*Tabela1[[#This Row],[PESO UNI]]</f>
        <v>12.6</v>
      </c>
      <c r="Y749" s="14">
        <f t="shared" ca="1" si="135"/>
        <v>0</v>
      </c>
      <c r="Z749" s="20">
        <f ca="1"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 ca="1">Tabela1[[#This Row],[QTDE/ Fabricação]]-Tabela1[[#This Row],[QTE]]</f>
        <v>-1</v>
      </c>
      <c r="R750" s="18">
        <f t="shared" ca="1" si="132"/>
        <v>12.6</v>
      </c>
      <c r="S750" s="18">
        <f t="shared" ca="1" si="133"/>
        <v>12.6</v>
      </c>
      <c r="T750" s="19">
        <f t="shared" ca="1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 ca="1">IFERROR(COUNTIF(#REF!,Tabela1[[#This Row],[Colunas5]]),"")</f>
        <v/>
      </c>
      <c r="X750" s="14">
        <f ca="1">Tabela1[[#This Row],[QIANTIDADE EXPEDIDA]]*Tabela1[[#This Row],[PESO UNI]]</f>
        <v>12.6</v>
      </c>
      <c r="Y750" s="14">
        <f t="shared" ca="1" si="135"/>
        <v>0</v>
      </c>
      <c r="Z750" s="20">
        <f ca="1"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 ca="1">Tabela1[[#This Row],[QTDE/ Fabricação]]-Tabela1[[#This Row],[QTE]]</f>
        <v>-1</v>
      </c>
      <c r="R751" s="18">
        <f t="shared" ca="1" si="132"/>
        <v>12.6</v>
      </c>
      <c r="S751" s="18">
        <f t="shared" ca="1" si="133"/>
        <v>12.6</v>
      </c>
      <c r="T751" s="19">
        <f t="shared" ca="1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 ca="1">IFERROR(COUNTIF(#REF!,Tabela1[[#This Row],[Colunas5]]),"")</f>
        <v/>
      </c>
      <c r="X751" s="14">
        <f ca="1">Tabela1[[#This Row],[QIANTIDADE EXPEDIDA]]*Tabela1[[#This Row],[PESO UNI]]</f>
        <v>12.6</v>
      </c>
      <c r="Y751" s="14">
        <f t="shared" ca="1" si="135"/>
        <v>0</v>
      </c>
      <c r="Z751" s="20">
        <f ca="1"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 ca="1">Tabela1[[#This Row],[QTDE/ Fabricação]]-Tabela1[[#This Row],[QTE]]</f>
        <v>-1</v>
      </c>
      <c r="R752" s="18">
        <f t="shared" ca="1" si="132"/>
        <v>12.6</v>
      </c>
      <c r="S752" s="18">
        <f t="shared" ca="1" si="133"/>
        <v>12.6</v>
      </c>
      <c r="T752" s="19">
        <f t="shared" ca="1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 ca="1">IFERROR(COUNTIF(#REF!,Tabela1[[#This Row],[Colunas5]]),"")</f>
        <v/>
      </c>
      <c r="X752" s="14">
        <f ca="1">Tabela1[[#This Row],[QIANTIDADE EXPEDIDA]]*Tabela1[[#This Row],[PESO UNI]]</f>
        <v>12.6</v>
      </c>
      <c r="Y752" s="14">
        <f t="shared" ca="1" si="135"/>
        <v>0</v>
      </c>
      <c r="Z752" s="20">
        <f ca="1"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 ca="1">Tabela1[[#This Row],[QTDE/ Fabricação]]-Tabela1[[#This Row],[QTE]]</f>
        <v>-1</v>
      </c>
      <c r="R753" s="18">
        <f t="shared" ca="1" si="132"/>
        <v>12.6</v>
      </c>
      <c r="S753" s="18">
        <f t="shared" ca="1" si="133"/>
        <v>12.6</v>
      </c>
      <c r="T753" s="19">
        <f t="shared" ca="1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 ca="1">IFERROR(COUNTIF(#REF!,Tabela1[[#This Row],[Colunas5]]),"")</f>
        <v/>
      </c>
      <c r="X753" s="14">
        <f ca="1">Tabela1[[#This Row],[QIANTIDADE EXPEDIDA]]*Tabela1[[#This Row],[PESO UNI]]</f>
        <v>12.6</v>
      </c>
      <c r="Y753" s="14">
        <f t="shared" ca="1" si="135"/>
        <v>0</v>
      </c>
      <c r="Z753" s="20">
        <f ca="1"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 ca="1">Tabela1[[#This Row],[QTDE/ Fabricação]]-Tabela1[[#This Row],[QTE]]</f>
        <v>-168</v>
      </c>
      <c r="R754" s="18">
        <f t="shared" ca="1" si="132"/>
        <v>31.584</v>
      </c>
      <c r="S754" s="18">
        <f t="shared" ca="1" si="133"/>
        <v>31.584</v>
      </c>
      <c r="T754" s="19">
        <f t="shared" ca="1" si="134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 ca="1">IFERROR(COUNTIF(#REF!,Tabela1[[#This Row],[Colunas5]]),"")</f>
        <v/>
      </c>
      <c r="X754" s="14">
        <f ca="1">Tabela1[[#This Row],[QIANTIDADE EXPEDIDA]]*Tabela1[[#This Row],[PESO UNI]]</f>
        <v>31.584</v>
      </c>
      <c r="Y754" s="14">
        <f t="shared" ca="1" si="135"/>
        <v>0</v>
      </c>
      <c r="Z754" s="20">
        <f ca="1"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 ca="1">Tabela1[[#This Row],[QTDE/ Fabricação]]-Tabela1[[#This Row],[QTE]]</f>
        <v>-336</v>
      </c>
      <c r="R755" s="18">
        <f t="shared" ref="R755:R760" ca="1" si="136">IFERROR(H755*((AA755*0.25)+(AC755*0.25)+(AD755*0.225)+(AE755*0.225)+(AF755*0.05)),"")</f>
        <v>63.167999999999999</v>
      </c>
      <c r="S755" s="18">
        <f t="shared" ref="S755:S760" ca="1" si="137">IFERROR(H755*AG755,"")</f>
        <v>63.167999999999999</v>
      </c>
      <c r="T755" s="19">
        <f t="shared" ref="T755:T760" ca="1" si="138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 ca="1">IFERROR(COUNTIF(#REF!,Tabela1[[#This Row],[Colunas5]]),"")</f>
        <v/>
      </c>
      <c r="X755" s="14">
        <f ca="1">Tabela1[[#This Row],[QIANTIDADE EXPEDIDA]]*Tabela1[[#This Row],[PESO UNI]]</f>
        <v>63.167999999999999</v>
      </c>
      <c r="Y755" s="14">
        <f t="shared" ref="Y755:Y760" ca="1" si="139">U755-C755</f>
        <v>0</v>
      </c>
      <c r="Z755" s="20">
        <f ca="1"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 ca="1">Tabela1[[#This Row],[QTDE/ Fabricação]]-Tabela1[[#This Row],[QTE]]</f>
        <v>-168</v>
      </c>
      <c r="R756" s="18">
        <f t="shared" ca="1" si="136"/>
        <v>31.584</v>
      </c>
      <c r="S756" s="18">
        <f t="shared" ca="1" si="137"/>
        <v>31.584</v>
      </c>
      <c r="T756" s="19">
        <f t="shared" ca="1" si="138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 ca="1">IFERROR(COUNTIF(#REF!,Tabela1[[#This Row],[Colunas5]]),"")</f>
        <v/>
      </c>
      <c r="X756" s="14">
        <f ca="1">Tabela1[[#This Row],[QIANTIDADE EXPEDIDA]]*Tabela1[[#This Row],[PESO UNI]]</f>
        <v>31.584</v>
      </c>
      <c r="Y756" s="14">
        <f t="shared" ca="1" si="139"/>
        <v>0</v>
      </c>
      <c r="Z756" s="20">
        <f ca="1"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 ca="1">Tabela1[[#This Row],[QTDE/ Fabricação]]-Tabela1[[#This Row],[QTE]]</f>
        <v>-336</v>
      </c>
      <c r="R757" s="18">
        <f t="shared" ca="1" si="136"/>
        <v>63.167999999999999</v>
      </c>
      <c r="S757" s="18">
        <f t="shared" ca="1" si="137"/>
        <v>63.167999999999999</v>
      </c>
      <c r="T757" s="19">
        <f t="shared" ca="1" si="138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 ca="1">IFERROR(COUNTIF(#REF!,Tabela1[[#This Row],[Colunas5]]),"")</f>
        <v/>
      </c>
      <c r="X757" s="14">
        <f ca="1">Tabela1[[#This Row],[QIANTIDADE EXPEDIDA]]*Tabela1[[#This Row],[PESO UNI]]</f>
        <v>63.167999999999999</v>
      </c>
      <c r="Y757" s="14">
        <f t="shared" ca="1" si="139"/>
        <v>0</v>
      </c>
      <c r="Z757" s="20">
        <f ca="1"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 ca="1">Tabela1[[#This Row],[QTDE/ Fabricação]]-Tabela1[[#This Row],[QTE]]</f>
        <v>-160</v>
      </c>
      <c r="R758" s="18">
        <f t="shared" ca="1" si="136"/>
        <v>1460.8000000000002</v>
      </c>
      <c r="S758" s="18">
        <f t="shared" ca="1" si="137"/>
        <v>1460.8000000000002</v>
      </c>
      <c r="T758" s="19">
        <f t="shared" ca="1" si="138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 ca="1">IFERROR(COUNTIF(#REF!,Tabela1[[#This Row],[Colunas5]]),"")</f>
        <v/>
      </c>
      <c r="X758" s="14">
        <f ca="1">Tabela1[[#This Row],[QIANTIDADE EXPEDIDA]]*Tabela1[[#This Row],[PESO UNI]]</f>
        <v>1460.8000000000002</v>
      </c>
      <c r="Y758" s="14">
        <f t="shared" ca="1" si="139"/>
        <v>0</v>
      </c>
      <c r="Z758" s="20">
        <f ca="1"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 ca="1">Tabela1[[#This Row],[QTDE/ Fabricação]]-Tabela1[[#This Row],[QTE]]</f>
        <v>-160</v>
      </c>
      <c r="R759" s="18">
        <f t="shared" ca="1" si="136"/>
        <v>1460.8000000000002</v>
      </c>
      <c r="S759" s="18">
        <f t="shared" ca="1" si="137"/>
        <v>1460.8000000000002</v>
      </c>
      <c r="T759" s="19">
        <f t="shared" ca="1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 ca="1">IFERROR(COUNTIF(#REF!,Tabela1[[#This Row],[Colunas5]]),"")</f>
        <v/>
      </c>
      <c r="X759" s="14">
        <f ca="1">Tabela1[[#This Row],[QIANTIDADE EXPEDIDA]]*Tabela1[[#This Row],[PESO UNI]]</f>
        <v>1460.8000000000002</v>
      </c>
      <c r="Y759" s="14">
        <f t="shared" ca="1" si="139"/>
        <v>0</v>
      </c>
      <c r="Z759" s="20">
        <f ca="1"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 ca="1">Tabela1[[#This Row],[QTDE/ Fabricação]]-Tabela1[[#This Row],[QTE]]</f>
        <v>-1</v>
      </c>
      <c r="R760" s="18">
        <f t="shared" ca="1" si="136"/>
        <v>12.5</v>
      </c>
      <c r="S760" s="18">
        <f t="shared" ca="1" si="137"/>
        <v>12.5</v>
      </c>
      <c r="T760" s="19">
        <f t="shared" ca="1" si="138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 ca="1">IFERROR(COUNTIF(#REF!,Tabela1[[#This Row],[Colunas5]]),"")</f>
        <v/>
      </c>
      <c r="X760" s="14">
        <f ca="1">Tabela1[[#This Row],[QIANTIDADE EXPEDIDA]]*Tabela1[[#This Row],[PESO UNI]]</f>
        <v>12.5</v>
      </c>
      <c r="Y760" s="14">
        <f t="shared" ca="1" si="139"/>
        <v>0</v>
      </c>
      <c r="Z760" s="20">
        <f ca="1"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 ca="1">Tabela1[[#This Row],[QTDE/ Fabricação]]-Tabela1[[#This Row],[QTE]]</f>
        <v>-1</v>
      </c>
      <c r="R761" s="18">
        <f ca="1">IFERROR(H761*((AA761*0.25)+(AC761*0.25)+(AD761*0.225)+(AE761*0.225)+(AF761*0.05)),"")</f>
        <v>12.5</v>
      </c>
      <c r="S761" s="18">
        <f ca="1">IFERROR(H761*AG761,"")</f>
        <v>12.5</v>
      </c>
      <c r="T761" s="19">
        <f ca="1"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 ca="1">IFERROR(COUNTIF(#REF!,Tabela1[[#This Row],[Colunas5]]),"")</f>
        <v/>
      </c>
      <c r="X761" s="14">
        <f ca="1">Tabela1[[#This Row],[QIANTIDADE EXPEDIDA]]*Tabela1[[#This Row],[PESO UNI]]</f>
        <v>12.5</v>
      </c>
      <c r="Y761" s="14">
        <f ca="1">U761-C761</f>
        <v>0</v>
      </c>
      <c r="Z761" s="20">
        <f ca="1"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 ca="1"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 ca="1">Tabela1[[#This Row],[QTDE/ Fabricação]]-Tabela1[[#This Row],[QTE]]</f>
        <v>-2</v>
      </c>
      <c r="R762" s="18">
        <f t="shared" ref="R762" ca="1" si="140">IFERROR(H762*((AA762*0.25)+(AC762*0.25)+(AD762*0.225)+(AE762*0.225)+(AF762*0.05)),"")</f>
        <v>6.4</v>
      </c>
      <c r="S762" s="18">
        <f t="shared" ref="S762" ca="1" si="141">IFERROR(H762*AG762,"")</f>
        <v>6.4</v>
      </c>
      <c r="T762" s="19">
        <f t="shared" ref="T762" ca="1" si="142">IFERROR(S762-H762,"")</f>
        <v>0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 ca="1">IFERROR(Tabela1[[#This Row],[QIANTIDADE EXPEDIDA]]*Tabela1[[#This Row],[PESO UNI]],"")</f>
        <v>0</v>
      </c>
      <c r="Y762" s="14">
        <f t="shared" ref="Y762" ca="1" si="143">U762-C762</f>
        <v>-2</v>
      </c>
      <c r="Z762" s="20">
        <f ca="1"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>
        <v>1</v>
      </c>
      <c r="AG762" s="33">
        <v>1</v>
      </c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 ca="1"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 ca="1">Tabela1[[#This Row],[QTDE/ Fabricação]]-Tabela1[[#This Row],[QTE]]</f>
        <v>-2</v>
      </c>
      <c r="R763" s="18">
        <f ca="1">IFERROR(H763*((AA763*0.25)+(AC763*0.25)+(AD763*0.225)+(AE763*0.225)+(AF763*0.05)),"")</f>
        <v>6.4</v>
      </c>
      <c r="S763" s="18">
        <f ca="1">IFERROR(H763*AG763,"")</f>
        <v>6.4</v>
      </c>
      <c r="T763" s="19">
        <f ca="1">IFERROR(S763-H763,"")</f>
        <v>0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 ca="1">IFERROR(Tabela1[[#This Row],[QIANTIDADE EXPEDIDA]]*Tabela1[[#This Row],[PESO UNI]],"")</f>
        <v>0</v>
      </c>
      <c r="Y763" s="14">
        <f ca="1">U763-C763</f>
        <v>-2</v>
      </c>
      <c r="Z763" s="20">
        <f ca="1"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>
        <v>1</v>
      </c>
      <c r="AG763" s="33">
        <v>1</v>
      </c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209" t="s">
        <v>653</v>
      </c>
      <c r="B764" s="21"/>
      <c r="C764" s="207">
        <v>2</v>
      </c>
      <c r="D764" s="207" t="s">
        <v>4831</v>
      </c>
      <c r="E764" s="210">
        <v>4419</v>
      </c>
      <c r="F764" s="193">
        <v>9</v>
      </c>
      <c r="G764" s="211">
        <v>2.39</v>
      </c>
      <c r="H764" s="34">
        <f ca="1"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 ca="1">Tabela1[[#This Row],[QTDE/ Fabricação]]-Tabela1[[#This Row],[QTE]]</f>
        <v>-2</v>
      </c>
      <c r="R764" s="18">
        <f ca="1">IFERROR(H764*((AA764*0.25)+(AC764*0.25)+(AD764*0.225)+(AE764*0.225)+(AF764*0.05)),"")</f>
        <v>4.78</v>
      </c>
      <c r="S764" s="18">
        <f ca="1">IFERROR(H764*AG764,"")</f>
        <v>4.78</v>
      </c>
      <c r="T764" s="19">
        <f ca="1"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 ca="1">IFERROR(Tabela1[[#This Row],[QIANTIDADE EXPEDIDA]]*Tabela1[[#This Row],[PESO UNI]],"")</f>
        <v>0</v>
      </c>
      <c r="Y764" s="14">
        <f ca="1">U764-C764</f>
        <v>-2</v>
      </c>
      <c r="Z764" s="20">
        <f ca="1">Tabela1[[#This Row],[PESO TOTAL]]-Tabela1[[#This Row],[Peso Expedido]]</f>
        <v>4.78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 ca="1"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 ca="1">Tabela1[[#This Row],[QTDE/ Fabricação]]-Tabela1[[#This Row],[QTE]]</f>
        <v>-15</v>
      </c>
      <c r="R765" s="18">
        <f t="shared" ref="R765:R769" ca="1" si="144">IFERROR(H765*((AA765*0.25)+(AC765*0.25)+(AD765*0.225)+(AE765*0.225)+(AF765*0.05)),"")</f>
        <v>135</v>
      </c>
      <c r="S765" s="18">
        <f t="shared" ref="S765:S769" ca="1" si="145">IFERROR(H765*AG765,"")</f>
        <v>135</v>
      </c>
      <c r="T765" s="19">
        <f t="shared" ref="T765:T769" ca="1" si="146">IFERROR(S765-H765,"")</f>
        <v>0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 ca="1">IFERROR(Tabela1[[#This Row],[QIANTIDADE EXPEDIDA]]*Tabela1[[#This Row],[PESO UNI]],"")</f>
        <v>0</v>
      </c>
      <c r="Y765" s="14">
        <f t="shared" ref="Y765:Y769" ca="1" si="147">U765-C765</f>
        <v>-15</v>
      </c>
      <c r="Z765" s="20">
        <f ca="1">Tabela1[[#This Row],[PESO TOTAL]]-Tabela1[[#This Row],[Peso Expedido]]</f>
        <v>135</v>
      </c>
      <c r="AA765" s="17">
        <v>1</v>
      </c>
      <c r="AB765" s="33"/>
      <c r="AC765" s="33">
        <v>1</v>
      </c>
      <c r="AD765" s="33">
        <v>1</v>
      </c>
      <c r="AE765" s="33">
        <v>1</v>
      </c>
      <c r="AF765" s="33">
        <v>1</v>
      </c>
      <c r="AG765" s="33">
        <v>1</v>
      </c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 ca="1"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 ca="1">Tabela1[[#This Row],[QTDE/ Fabricação]]-Tabela1[[#This Row],[QTE]]</f>
        <v>-22</v>
      </c>
      <c r="R766" s="18">
        <f t="shared" ca="1" si="144"/>
        <v>46.2</v>
      </c>
      <c r="S766" s="18">
        <f t="shared" ca="1" si="145"/>
        <v>46.2</v>
      </c>
      <c r="T766" s="19">
        <f t="shared" ca="1" si="146"/>
        <v>0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 ca="1">IFERROR(Tabela1[[#This Row],[QIANTIDADE EXPEDIDA]]*Tabela1[[#This Row],[PESO UNI]],"")</f>
        <v>0</v>
      </c>
      <c r="Y766" s="14">
        <f t="shared" ca="1" si="147"/>
        <v>-22</v>
      </c>
      <c r="Z766" s="20">
        <f ca="1">Tabela1[[#This Row],[PESO TOTAL]]-Tabela1[[#This Row],[Peso Expedido]]</f>
        <v>46.2</v>
      </c>
      <c r="AA766" s="17">
        <v>1</v>
      </c>
      <c r="AB766" s="33"/>
      <c r="AC766" s="33">
        <v>1</v>
      </c>
      <c r="AD766" s="33">
        <v>1</v>
      </c>
      <c r="AE766" s="33">
        <v>1</v>
      </c>
      <c r="AF766" s="33">
        <v>1</v>
      </c>
      <c r="AG766" s="33">
        <v>1</v>
      </c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 ca="1"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 ca="1">Tabela1[[#This Row],[QTDE/ Fabricação]]-Tabela1[[#This Row],[QTE]]</f>
        <v>-72</v>
      </c>
      <c r="R767" s="18">
        <f t="shared" ca="1" si="144"/>
        <v>194.4</v>
      </c>
      <c r="S767" s="18">
        <f t="shared" ca="1" si="145"/>
        <v>194.4</v>
      </c>
      <c r="T767" s="19">
        <f t="shared" ca="1" si="146"/>
        <v>0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 ca="1">IFERROR(Tabela1[[#This Row],[QIANTIDADE EXPEDIDA]]*Tabela1[[#This Row],[PESO UNI]],"")</f>
        <v>0</v>
      </c>
      <c r="Y767" s="14">
        <f t="shared" ca="1" si="147"/>
        <v>-72</v>
      </c>
      <c r="Z767" s="20">
        <f ca="1">Tabela1[[#This Row],[PESO TOTAL]]-Tabela1[[#This Row],[Peso Expedido]]</f>
        <v>194.4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 ca="1"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 ca="1">Tabela1[[#This Row],[QTDE/ Fabricação]]-Tabela1[[#This Row],[QTE]]</f>
        <v>-4</v>
      </c>
      <c r="R768" s="18">
        <f t="shared" ca="1" si="144"/>
        <v>10</v>
      </c>
      <c r="S768" s="18">
        <f t="shared" ca="1" si="145"/>
        <v>10</v>
      </c>
      <c r="T768" s="19">
        <f t="shared" ca="1" si="146"/>
        <v>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 ca="1">IFERROR(Tabela1[[#This Row],[QIANTIDADE EXPEDIDA]]*Tabela1[[#This Row],[PESO UNI]],"")</f>
        <v>0</v>
      </c>
      <c r="Y768" s="14">
        <f t="shared" ca="1" si="147"/>
        <v>-4</v>
      </c>
      <c r="Z768" s="20">
        <f ca="1">Tabela1[[#This Row],[PESO TOTAL]]-Tabela1[[#This Row],[Peso Expedido]]</f>
        <v>10</v>
      </c>
      <c r="AA768" s="17">
        <v>1</v>
      </c>
      <c r="AB768" s="33"/>
      <c r="AC768" s="33">
        <v>1</v>
      </c>
      <c r="AD768" s="33">
        <v>1</v>
      </c>
      <c r="AE768" s="33">
        <v>1</v>
      </c>
      <c r="AF768" s="33">
        <v>1</v>
      </c>
      <c r="AG768" s="33">
        <v>1</v>
      </c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 ca="1"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 ca="1">Tabela1[[#This Row],[QTDE/ Fabricação]]-Tabela1[[#This Row],[QTE]]</f>
        <v>-22</v>
      </c>
      <c r="R769" s="18">
        <f t="shared" ca="1" si="144"/>
        <v>92.4</v>
      </c>
      <c r="S769" s="18">
        <f t="shared" ca="1" si="145"/>
        <v>92.4</v>
      </c>
      <c r="T769" s="19">
        <f t="shared" ca="1" si="146"/>
        <v>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 ca="1">IFERROR(Tabela1[[#This Row],[QIANTIDADE EXPEDIDA]]*Tabela1[[#This Row],[PESO UNI]],"")</f>
        <v>0</v>
      </c>
      <c r="Y769" s="14">
        <f t="shared" ca="1" si="147"/>
        <v>-22</v>
      </c>
      <c r="Z769" s="20">
        <v>100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 ca="1"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 ca="1">Tabela1[[#This Row],[QTDE/ Fabricação]]-Tabela1[[#This Row],[QTE]]</f>
        <v>-80</v>
      </c>
      <c r="R770" s="18">
        <f t="shared" ref="R770:R774" ca="1" si="148">IFERROR(H770*((AA770*0.25)+(AC770*0.25)+(AD770*0.225)+(AE770*0.225)+(AF770*0.05)),"")</f>
        <v>288</v>
      </c>
      <c r="S770" s="18">
        <f t="shared" ref="S770:S774" ca="1" si="149">IFERROR(H770*AG770,"")</f>
        <v>288</v>
      </c>
      <c r="T770" s="19">
        <f t="shared" ref="T770:T774" ca="1" si="150">IFERROR(S770-H770,"")</f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 ca="1">IFERROR(Tabela1[[#This Row],[QIANTIDADE EXPEDIDA]]*Tabela1[[#This Row],[PESO UNI]],"")</f>
        <v>0</v>
      </c>
      <c r="Y770" s="14">
        <f t="shared" ref="Y770:Y774" ca="1" si="151">U770-C770</f>
        <v>-80</v>
      </c>
      <c r="Z770" s="20">
        <f ca="1">Tabela1[[#This Row],[PESO TOTAL]]-Tabela1[[#This Row],[Peso Expedido]]</f>
        <v>288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 ca="1"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 ca="1">Tabela1[[#This Row],[QTDE/ Fabricação]]-Tabela1[[#This Row],[QTE]]</f>
        <v>-1</v>
      </c>
      <c r="R771" s="18">
        <f t="shared" ca="1" si="148"/>
        <v>144.42750000000001</v>
      </c>
      <c r="S771" s="18">
        <f t="shared" ca="1" si="149"/>
        <v>0</v>
      </c>
      <c r="T771" s="19">
        <f t="shared" ca="1" si="150"/>
        <v>-235.8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 ca="1">IFERROR(Tabela1[[#This Row],[QIANTIDADE EXPEDIDA]]*Tabela1[[#This Row],[PESO UNI]],"")</f>
        <v>0</v>
      </c>
      <c r="Y771" s="14">
        <f t="shared" ca="1" si="151"/>
        <v>-1</v>
      </c>
      <c r="Z771" s="20">
        <f ca="1">Tabela1[[#This Row],[PESO TOTAL]]-Tabela1[[#This Row],[Peso Expedido]]</f>
        <v>235.8</v>
      </c>
      <c r="AA771" s="17">
        <v>1</v>
      </c>
      <c r="AB771" s="33"/>
      <c r="AC771" s="33">
        <v>1</v>
      </c>
      <c r="AD771" s="33">
        <v>0.5</v>
      </c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 ca="1"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 ca="1">Tabela1[[#This Row],[QTDE/ Fabricação]]-Tabela1[[#This Row],[QTE]]</f>
        <v>-1</v>
      </c>
      <c r="R772" s="18">
        <f t="shared" ca="1" si="148"/>
        <v>3219.6525000000001</v>
      </c>
      <c r="S772" s="18">
        <f t="shared" ca="1" si="149"/>
        <v>0</v>
      </c>
      <c r="T772" s="19">
        <f t="shared" ca="1" si="150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 ca="1">IFERROR(Tabela1[[#This Row],[QIANTIDADE EXPEDIDA]]*Tabela1[[#This Row],[PESO UNI]],"")</f>
        <v>0</v>
      </c>
      <c r="Y772" s="14">
        <f t="shared" ca="1" si="151"/>
        <v>-1</v>
      </c>
      <c r="Z772" s="20">
        <f ca="1">Tabela1[[#This Row],[PESO TOTAL]]-Tabela1[[#This Row],[Peso Expedido]]</f>
        <v>3799</v>
      </c>
      <c r="AA772" s="17">
        <v>1</v>
      </c>
      <c r="AB772" s="33"/>
      <c r="AC772" s="33">
        <v>1</v>
      </c>
      <c r="AD772" s="33">
        <v>1</v>
      </c>
      <c r="AE772" s="33">
        <v>0.5</v>
      </c>
      <c r="AF772" s="33">
        <v>0.2</v>
      </c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 ca="1"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 ca="1">Tabela1[[#This Row],[QTDE/ Fabricação]]-Tabela1[[#This Row],[QTE]]</f>
        <v>-1</v>
      </c>
      <c r="R773" s="18">
        <f t="shared" ca="1" si="148"/>
        <v>2587.2660000000001</v>
      </c>
      <c r="S773" s="18">
        <f t="shared" ca="1" si="149"/>
        <v>522.68000000000006</v>
      </c>
      <c r="T773" s="19">
        <f t="shared" ca="1" si="150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 ca="1">IFERROR(Tabela1[[#This Row],[QIANTIDADE EXPEDIDA]]*Tabela1[[#This Row],[PESO UNI]],"")</f>
        <v>0</v>
      </c>
      <c r="Y773" s="14">
        <f t="shared" ca="1" si="151"/>
        <v>-1</v>
      </c>
      <c r="Z773" s="20">
        <f ca="1">Tabela1[[#This Row],[PESO TOTAL]]-Tabela1[[#This Row],[Peso Expedido]]</f>
        <v>2613.4</v>
      </c>
      <c r="AA773" s="17">
        <v>1</v>
      </c>
      <c r="AB773" s="33"/>
      <c r="AC773" s="33">
        <v>1</v>
      </c>
      <c r="AD773" s="33">
        <v>1</v>
      </c>
      <c r="AE773" s="33">
        <v>1</v>
      </c>
      <c r="AF773" s="33">
        <v>0.8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4863</v>
      </c>
      <c r="K774" s="8" t="s">
        <v>4320</v>
      </c>
      <c r="L774" s="9" t="s">
        <v>4862</v>
      </c>
      <c r="M774" s="10"/>
      <c r="N774" s="8" t="s">
        <v>38</v>
      </c>
      <c r="O774" s="12"/>
      <c r="P774" s="13"/>
      <c r="Q774" s="14">
        <f ca="1">Tabela1[[#This Row],[QTDE/ Fabricação]]-Tabela1[[#This Row],[QTE]]</f>
        <v>0</v>
      </c>
      <c r="R774" s="18">
        <f t="shared" ca="1" si="148"/>
        <v>1000</v>
      </c>
      <c r="S774" s="18">
        <f t="shared" ca="1" si="149"/>
        <v>1000</v>
      </c>
      <c r="T774" s="19">
        <f t="shared" ca="1" si="150"/>
        <v>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 ca="1">IFERROR(Tabela1[[#This Row],[QIANTIDADE EXPEDIDA]]*Tabela1[[#This Row],[PESO UNI]],"")</f>
        <v>0</v>
      </c>
      <c r="Y774" s="14">
        <f t="shared" ca="1" si="151"/>
        <v>0</v>
      </c>
      <c r="Z774" s="20">
        <v>0</v>
      </c>
      <c r="AA774" s="17">
        <v>1</v>
      </c>
      <c r="AB774" s="33">
        <v>1</v>
      </c>
      <c r="AC774" s="33">
        <v>1</v>
      </c>
      <c r="AD774" s="33">
        <v>1</v>
      </c>
      <c r="AE774" s="33">
        <v>1</v>
      </c>
      <c r="AF774" s="33">
        <v>1</v>
      </c>
      <c r="AG774" s="33">
        <v>1</v>
      </c>
      <c r="AH774" s="33">
        <v>1</v>
      </c>
      <c r="AI774" s="33" t="s">
        <v>4412</v>
      </c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 t="s">
        <v>4866</v>
      </c>
      <c r="B775" s="21" t="s">
        <v>4867</v>
      </c>
      <c r="C775" s="1">
        <v>1</v>
      </c>
      <c r="D775" s="1" t="s">
        <v>4871</v>
      </c>
      <c r="E775" s="7">
        <v>4430</v>
      </c>
      <c r="F775" s="7">
        <v>40</v>
      </c>
      <c r="G775" s="1">
        <v>67.099999999999994</v>
      </c>
      <c r="H775" s="34">
        <f ca="1">Tabela1[[#This Row],[PESO UNI]]*Tabela1[[#This Row],[QTE]]</f>
        <v>67.099999999999994</v>
      </c>
      <c r="I775" s="7" t="s">
        <v>5496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 ca="1">Tabela1[[#This Row],[QTDE/ Fabricação]]-Tabela1[[#This Row],[QTE]]</f>
        <v>-1</v>
      </c>
      <c r="R775" s="18">
        <f t="shared" ref="R775:R806" ca="1" si="152">IFERROR(H775*((AA775*0.25)+(AC775*0.25)+(AD775*0.225)+(AE775*0.225)+(AF775*0.05)),"")</f>
        <v>30.194999999999997</v>
      </c>
      <c r="S775" s="18">
        <f t="shared" ref="S775:S806" ca="1" si="153">IFERROR(H775*AG775,"")</f>
        <v>0</v>
      </c>
      <c r="T775" s="19">
        <f t="shared" ref="T775:T806" ca="1" si="154">IFERROR(S775-H775,"")</f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 ca="1">IFERROR(Tabela1[[#This Row],[QIANTIDADE EXPEDIDA]]*Tabela1[[#This Row],[PESO UNI]],"")</f>
        <v>0</v>
      </c>
      <c r="Y775" s="14">
        <f t="shared" ref="Y775:Y806" ca="1" si="155">U775-C775</f>
        <v>-1</v>
      </c>
      <c r="Z775" s="20">
        <f ca="1">Tabela1[[#This Row],[PESO TOTAL]]-Tabela1[[#This Row],[Peso Expedido]]</f>
        <v>67.099999999999994</v>
      </c>
      <c r="AA775" s="17">
        <v>0.9</v>
      </c>
      <c r="AB775" s="33"/>
      <c r="AC775" s="33">
        <v>0.9</v>
      </c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4866</v>
      </c>
      <c r="B776" s="21" t="s">
        <v>4867</v>
      </c>
      <c r="C776" s="1">
        <v>4</v>
      </c>
      <c r="D776" s="1" t="s">
        <v>4872</v>
      </c>
      <c r="E776" s="7">
        <v>4431</v>
      </c>
      <c r="F776" s="7">
        <v>40</v>
      </c>
      <c r="G776" s="1">
        <v>7.8</v>
      </c>
      <c r="H776" s="34">
        <f ca="1">Tabela1[[#This Row],[PESO UNI]]*Tabela1[[#This Row],[QTE]]</f>
        <v>31.2</v>
      </c>
      <c r="I776" s="7" t="s">
        <v>5496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 ca="1">Tabela1[[#This Row],[QTDE/ Fabricação]]-Tabela1[[#This Row],[QTE]]</f>
        <v>-4</v>
      </c>
      <c r="R776" s="18">
        <f t="shared" ca="1" si="152"/>
        <v>14.04</v>
      </c>
      <c r="S776" s="18">
        <f t="shared" ca="1" si="153"/>
        <v>0</v>
      </c>
      <c r="T776" s="19">
        <f t="shared" ca="1" si="154"/>
        <v>-31.2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 ca="1">IFERROR(Tabela1[[#This Row],[QIANTIDADE EXPEDIDA]]*Tabela1[[#This Row],[PESO UNI]],"")</f>
        <v>0</v>
      </c>
      <c r="Y776" s="14">
        <f t="shared" ca="1" si="155"/>
        <v>-4</v>
      </c>
      <c r="Z776" s="20">
        <f ca="1">Tabela1[[#This Row],[PESO TOTAL]]-Tabela1[[#This Row],[Peso Expedido]]</f>
        <v>31.2</v>
      </c>
      <c r="AA776" s="17">
        <v>0.9</v>
      </c>
      <c r="AB776" s="33"/>
      <c r="AC776" s="33">
        <v>0.9</v>
      </c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1" t="s">
        <v>4866</v>
      </c>
      <c r="B777" s="21" t="s">
        <v>4867</v>
      </c>
      <c r="C777" s="1">
        <v>1</v>
      </c>
      <c r="D777" s="1" t="s">
        <v>4873</v>
      </c>
      <c r="E777" s="7">
        <v>4432</v>
      </c>
      <c r="F777" s="7">
        <v>40</v>
      </c>
      <c r="G777" s="1">
        <v>106.8</v>
      </c>
      <c r="H777" s="34">
        <f ca="1">Tabela1[[#This Row],[PESO UNI]]*Tabela1[[#This Row],[QTE]]</f>
        <v>106.8</v>
      </c>
      <c r="I777" s="7" t="s">
        <v>5496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 ca="1">Tabela1[[#This Row],[QTDE/ Fabricação]]-Tabela1[[#This Row],[QTE]]</f>
        <v>-1</v>
      </c>
      <c r="R777" s="18">
        <f t="shared" ca="1" si="152"/>
        <v>48.06</v>
      </c>
      <c r="S777" s="18">
        <f t="shared" ca="1" si="153"/>
        <v>0</v>
      </c>
      <c r="T777" s="19">
        <f t="shared" ca="1" si="154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 ca="1">IFERROR(Tabela1[[#This Row],[QIANTIDADE EXPEDIDA]]*Tabela1[[#This Row],[PESO UNI]],"")</f>
        <v>0</v>
      </c>
      <c r="Y777" s="14">
        <f t="shared" ca="1" si="155"/>
        <v>-1</v>
      </c>
      <c r="Z777" s="20">
        <f ca="1">Tabela1[[#This Row],[PESO TOTAL]]-Tabela1[[#This Row],[Peso Expedido]]</f>
        <v>106.8</v>
      </c>
      <c r="AA777" s="17">
        <v>0.9</v>
      </c>
      <c r="AB777" s="33"/>
      <c r="AC777" s="33">
        <v>0.9</v>
      </c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4866</v>
      </c>
      <c r="B778" s="21" t="s">
        <v>4867</v>
      </c>
      <c r="C778" s="1">
        <v>6</v>
      </c>
      <c r="D778" s="1" t="s">
        <v>4874</v>
      </c>
      <c r="E778" s="7">
        <v>4433</v>
      </c>
      <c r="F778" s="7">
        <v>40</v>
      </c>
      <c r="G778" s="1">
        <v>7.3</v>
      </c>
      <c r="H778" s="34">
        <f ca="1">Tabela1[[#This Row],[PESO UNI]]*Tabela1[[#This Row],[QTE]]</f>
        <v>43.8</v>
      </c>
      <c r="I778" s="7" t="s">
        <v>5496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 ca="1">Tabela1[[#This Row],[QTDE/ Fabricação]]-Tabela1[[#This Row],[QTE]]</f>
        <v>-6</v>
      </c>
      <c r="R778" s="18">
        <f t="shared" ca="1" si="152"/>
        <v>43.8</v>
      </c>
      <c r="S778" s="18">
        <f t="shared" ca="1" si="153"/>
        <v>43.8</v>
      </c>
      <c r="T778" s="19">
        <f t="shared" ca="1" si="154"/>
        <v>0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 ca="1">IFERROR(Tabela1[[#This Row],[QIANTIDADE EXPEDIDA]]*Tabela1[[#This Row],[PESO UNI]],"")</f>
        <v>0</v>
      </c>
      <c r="Y778" s="14">
        <f t="shared" ca="1" si="155"/>
        <v>-6</v>
      </c>
      <c r="Z778" s="20">
        <f ca="1">Tabela1[[#This Row],[PESO TOTAL]]-Tabela1[[#This Row],[Peso Expedido]]</f>
        <v>43.8</v>
      </c>
      <c r="AA778" s="17">
        <v>1</v>
      </c>
      <c r="AB778" s="33"/>
      <c r="AC778" s="33">
        <v>1</v>
      </c>
      <c r="AD778" s="33">
        <v>1</v>
      </c>
      <c r="AE778" s="33">
        <v>1</v>
      </c>
      <c r="AF778" s="33">
        <v>1</v>
      </c>
      <c r="AG778" s="33">
        <v>1</v>
      </c>
      <c r="AH778" s="33">
        <v>1</v>
      </c>
      <c r="AI778" s="33" t="s">
        <v>4509</v>
      </c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4866</v>
      </c>
      <c r="B779" s="21" t="s">
        <v>4867</v>
      </c>
      <c r="C779" s="1">
        <v>2</v>
      </c>
      <c r="D779" s="1" t="s">
        <v>4875</v>
      </c>
      <c r="E779" s="7">
        <v>4434</v>
      </c>
      <c r="F779" s="7">
        <v>40</v>
      </c>
      <c r="G779" s="1">
        <v>10</v>
      </c>
      <c r="H779" s="34">
        <f ca="1">Tabela1[[#This Row],[PESO UNI]]*Tabela1[[#This Row],[QTE]]</f>
        <v>20</v>
      </c>
      <c r="I779" s="7" t="s">
        <v>5496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 ca="1">Tabela1[[#This Row],[QTDE/ Fabricação]]-Tabela1[[#This Row],[QTE]]</f>
        <v>-2</v>
      </c>
      <c r="R779" s="18">
        <f t="shared" ca="1" si="152"/>
        <v>20</v>
      </c>
      <c r="S779" s="18">
        <f t="shared" ca="1" si="153"/>
        <v>20</v>
      </c>
      <c r="T779" s="19">
        <f t="shared" ca="1" si="154"/>
        <v>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 ca="1">IFERROR(Tabela1[[#This Row],[QIANTIDADE EXPEDIDA]]*Tabela1[[#This Row],[PESO UNI]],"")</f>
        <v>0</v>
      </c>
      <c r="Y779" s="14">
        <f t="shared" ca="1" si="155"/>
        <v>-2</v>
      </c>
      <c r="Z779" s="20">
        <f ca="1">Tabela1[[#This Row],[PESO TOTAL]]-Tabela1[[#This Row],[Peso Expedido]]</f>
        <v>20</v>
      </c>
      <c r="AA779" s="17">
        <v>1</v>
      </c>
      <c r="AB779" s="33"/>
      <c r="AC779" s="33">
        <v>1</v>
      </c>
      <c r="AD779" s="33">
        <v>1</v>
      </c>
      <c r="AE779" s="33">
        <v>1</v>
      </c>
      <c r="AF779" s="33">
        <v>1</v>
      </c>
      <c r="AG779" s="33">
        <v>1</v>
      </c>
      <c r="AH779" s="33">
        <v>1</v>
      </c>
      <c r="AI779" s="33" t="s">
        <v>4509</v>
      </c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4866</v>
      </c>
      <c r="B780" s="21" t="s">
        <v>4867</v>
      </c>
      <c r="C780" s="1">
        <v>2</v>
      </c>
      <c r="D780" s="1" t="s">
        <v>4876</v>
      </c>
      <c r="E780" s="7">
        <v>4435</v>
      </c>
      <c r="F780" s="7">
        <v>40</v>
      </c>
      <c r="G780" s="1">
        <v>8.1999999999999993</v>
      </c>
      <c r="H780" s="34">
        <f ca="1">Tabela1[[#This Row],[PESO UNI]]*Tabela1[[#This Row],[QTE]]</f>
        <v>16.399999999999999</v>
      </c>
      <c r="I780" s="7" t="s">
        <v>5496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 ca="1">Tabela1[[#This Row],[QTDE/ Fabricação]]-Tabela1[[#This Row],[QTE]]</f>
        <v>-2</v>
      </c>
      <c r="R780" s="18">
        <f t="shared" ca="1" si="152"/>
        <v>16.399999999999999</v>
      </c>
      <c r="S780" s="18">
        <f t="shared" ca="1" si="153"/>
        <v>16.399999999999999</v>
      </c>
      <c r="T780" s="19">
        <f t="shared" ca="1" si="154"/>
        <v>0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 ca="1">IFERROR(Tabela1[[#This Row],[QIANTIDADE EXPEDIDA]]*Tabela1[[#This Row],[PESO UNI]],"")</f>
        <v>0</v>
      </c>
      <c r="Y780" s="14">
        <f t="shared" ca="1" si="155"/>
        <v>-2</v>
      </c>
      <c r="Z780" s="20">
        <f ca="1">Tabela1[[#This Row],[PESO TOTAL]]-Tabela1[[#This Row],[Peso Expedido]]</f>
        <v>16.399999999999999</v>
      </c>
      <c r="AA780" s="17">
        <v>1</v>
      </c>
      <c r="AB780" s="33"/>
      <c r="AC780" s="33">
        <v>1</v>
      </c>
      <c r="AD780" s="33">
        <v>1</v>
      </c>
      <c r="AE780" s="33">
        <v>1</v>
      </c>
      <c r="AF780" s="33">
        <v>1</v>
      </c>
      <c r="AG780" s="33">
        <v>1</v>
      </c>
      <c r="AH780" s="33">
        <v>1</v>
      </c>
      <c r="AI780" s="33" t="s">
        <v>4509</v>
      </c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4869</v>
      </c>
      <c r="B781" s="21" t="s">
        <v>4870</v>
      </c>
      <c r="C781" s="1">
        <v>2</v>
      </c>
      <c r="D781" s="1" t="s">
        <v>4877</v>
      </c>
      <c r="E781" s="7">
        <v>4436</v>
      </c>
      <c r="F781" s="7">
        <v>40</v>
      </c>
      <c r="G781" s="1">
        <v>72.8</v>
      </c>
      <c r="H781" s="34">
        <f ca="1">Tabela1[[#This Row],[PESO UNI]]*Tabela1[[#This Row],[QTE]]</f>
        <v>145.6</v>
      </c>
      <c r="I781" s="7" t="s">
        <v>5383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 ca="1">Tabela1[[#This Row],[QTDE/ Fabricação]]-Tabela1[[#This Row],[QTE]]</f>
        <v>-2</v>
      </c>
      <c r="R781" s="18">
        <f t="shared" ca="1" si="152"/>
        <v>145.6</v>
      </c>
      <c r="S781" s="18">
        <f t="shared" ca="1" si="153"/>
        <v>145.6</v>
      </c>
      <c r="T781" s="19">
        <f t="shared" ca="1" si="154"/>
        <v>0</v>
      </c>
      <c r="U781" s="16">
        <f>IFERROR(SUMIF('LISTA DE EMBARQUE'!B:B,MICRO!E:E,'LISTA DE EMBARQUE'!G:G),"")</f>
        <v>2</v>
      </c>
      <c r="V781" s="12">
        <f>IFERROR(VLOOKUP(Tabela1[[#This Row],[COD.MDE]],'LISTA DE EMBARQUE'!B:L,11,0),"")</f>
        <v>6</v>
      </c>
      <c r="W781" s="13">
        <f>IFERROR(VLOOKUP(Tabela1[[#This Row],[COD.MDE]],'LISTA DE EMBARQUE'!B:M,12,0),"")</f>
        <v>46273</v>
      </c>
      <c r="X781" s="14">
        <f ca="1">IFERROR(Tabela1[[#This Row],[QIANTIDADE EXPEDIDA]]*Tabela1[[#This Row],[PESO UNI]],"")</f>
        <v>145.6</v>
      </c>
      <c r="Y781" s="14">
        <f t="shared" ca="1" si="155"/>
        <v>0</v>
      </c>
      <c r="Z781" s="20">
        <f ca="1">Tabela1[[#This Row],[PESO TOTAL]]-Tabela1[[#This Row],[Peso Expedido]]</f>
        <v>0</v>
      </c>
      <c r="AA781" s="17">
        <v>1</v>
      </c>
      <c r="AB781" s="33"/>
      <c r="AC781" s="17">
        <v>1</v>
      </c>
      <c r="AD781" s="17">
        <v>1</v>
      </c>
      <c r="AE781" s="17">
        <v>1</v>
      </c>
      <c r="AF781" s="17">
        <v>1</v>
      </c>
      <c r="AG781" s="17">
        <v>1</v>
      </c>
      <c r="AH781" s="17">
        <v>1</v>
      </c>
      <c r="AI781" s="33" t="s">
        <v>4412</v>
      </c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1" t="s">
        <v>4869</v>
      </c>
      <c r="B782" s="21" t="s">
        <v>4870</v>
      </c>
      <c r="C782" s="1">
        <v>4</v>
      </c>
      <c r="D782" s="1" t="s">
        <v>4891</v>
      </c>
      <c r="E782" s="7">
        <v>4437</v>
      </c>
      <c r="F782" s="7">
        <v>40</v>
      </c>
      <c r="G782" s="1">
        <v>16.2</v>
      </c>
      <c r="H782" s="34">
        <f ca="1">Tabela1[[#This Row],[PESO UNI]]*Tabela1[[#This Row],[QTE]]</f>
        <v>64.8</v>
      </c>
      <c r="I782" s="7" t="s">
        <v>5383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 ca="1">Tabela1[[#This Row],[QTDE/ Fabricação]]-Tabela1[[#This Row],[QTE]]</f>
        <v>-4</v>
      </c>
      <c r="R782" s="18">
        <f t="shared" ca="1" si="152"/>
        <v>64.8</v>
      </c>
      <c r="S782" s="18">
        <f t="shared" ca="1" si="153"/>
        <v>64.8</v>
      </c>
      <c r="T782" s="19">
        <f t="shared" ca="1" si="154"/>
        <v>0</v>
      </c>
      <c r="U782" s="16">
        <f>IFERROR(SUMIF('LISTA DE EMBARQUE'!B:B,MICRO!E:E,'LISTA DE EMBARQUE'!G:G),"")</f>
        <v>2</v>
      </c>
      <c r="V782" s="12">
        <f>IFERROR(VLOOKUP(Tabela1[[#This Row],[COD.MDE]],'LISTA DE EMBARQUE'!B:L,11,0),"")</f>
        <v>6</v>
      </c>
      <c r="W782" s="13">
        <f>IFERROR(VLOOKUP(Tabela1[[#This Row],[COD.MDE]],'LISTA DE EMBARQUE'!B:M,12,0),"")</f>
        <v>46273</v>
      </c>
      <c r="X782" s="14">
        <f ca="1">IFERROR(Tabela1[[#This Row],[QIANTIDADE EXPEDIDA]]*Tabela1[[#This Row],[PESO UNI]],"")</f>
        <v>32.4</v>
      </c>
      <c r="Y782" s="14">
        <f t="shared" ca="1" si="155"/>
        <v>-2</v>
      </c>
      <c r="Z782" s="20">
        <f ca="1">Tabela1[[#This Row],[PESO TOTAL]]-Tabela1[[#This Row],[Peso Expedido]]</f>
        <v>32.4</v>
      </c>
      <c r="AA782" s="17">
        <v>1</v>
      </c>
      <c r="AB782" s="33"/>
      <c r="AC782" s="33">
        <v>1</v>
      </c>
      <c r="AD782" s="33">
        <v>1</v>
      </c>
      <c r="AE782" s="33">
        <v>1</v>
      </c>
      <c r="AF782" s="33">
        <v>1</v>
      </c>
      <c r="AG782" s="33">
        <v>1</v>
      </c>
      <c r="AH782" s="33">
        <v>0.5</v>
      </c>
      <c r="AI782" s="33" t="s">
        <v>4412</v>
      </c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4869</v>
      </c>
      <c r="B783" s="21" t="s">
        <v>4870</v>
      </c>
      <c r="C783" s="1">
        <v>4</v>
      </c>
      <c r="D783" s="1" t="s">
        <v>4890</v>
      </c>
      <c r="E783" s="7">
        <v>4438</v>
      </c>
      <c r="F783" s="7">
        <v>40</v>
      </c>
      <c r="G783" s="1">
        <v>0.6</v>
      </c>
      <c r="H783" s="34">
        <f ca="1">Tabela1[[#This Row],[PESO UNI]]*Tabela1[[#This Row],[QTE]]</f>
        <v>2.4</v>
      </c>
      <c r="I783" s="7" t="s">
        <v>5383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 ca="1">Tabela1[[#This Row],[QTDE/ Fabricação]]-Tabela1[[#This Row],[QTE]]</f>
        <v>-4</v>
      </c>
      <c r="R783" s="18">
        <f t="shared" ca="1" si="152"/>
        <v>2.4</v>
      </c>
      <c r="S783" s="18">
        <f t="shared" ca="1" si="153"/>
        <v>2.4</v>
      </c>
      <c r="T783" s="19">
        <f t="shared" ca="1" si="154"/>
        <v>0</v>
      </c>
      <c r="U783" s="16">
        <f>IFERROR(SUMIF('LISTA DE EMBARQUE'!B:B,MICRO!E:E,'LISTA DE EMBARQUE'!G:G),"")</f>
        <v>4</v>
      </c>
      <c r="V783" s="12">
        <f>IFERROR(VLOOKUP(Tabela1[[#This Row],[COD.MDE]],'LISTA DE EMBARQUE'!B:L,11,0),"")</f>
        <v>6</v>
      </c>
      <c r="W783" s="13">
        <f>IFERROR(VLOOKUP(Tabela1[[#This Row],[COD.MDE]],'LISTA DE EMBARQUE'!B:M,12,0),"")</f>
        <v>46273</v>
      </c>
      <c r="X783" s="14">
        <f ca="1">IFERROR(Tabela1[[#This Row],[QIANTIDADE EXPEDIDA]]*Tabela1[[#This Row],[PESO UNI]],"")</f>
        <v>2.4</v>
      </c>
      <c r="Y783" s="14">
        <f t="shared" ca="1" si="155"/>
        <v>0</v>
      </c>
      <c r="Z783" s="20">
        <f ca="1">Tabela1[[#This Row],[PESO TOTAL]]-Tabela1[[#This Row],[Peso Expedido]]</f>
        <v>0</v>
      </c>
      <c r="AA783" s="17">
        <v>1</v>
      </c>
      <c r="AB783" s="33"/>
      <c r="AC783" s="17">
        <v>1</v>
      </c>
      <c r="AD783" s="17">
        <v>1</v>
      </c>
      <c r="AE783" s="17">
        <v>1</v>
      </c>
      <c r="AF783" s="17">
        <v>1</v>
      </c>
      <c r="AG783" s="17">
        <v>1</v>
      </c>
      <c r="AH783" s="17">
        <v>1</v>
      </c>
      <c r="AI783" s="33" t="s">
        <v>4412</v>
      </c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1" t="s">
        <v>4869</v>
      </c>
      <c r="B784" s="21" t="s">
        <v>4870</v>
      </c>
      <c r="C784" s="1">
        <v>4</v>
      </c>
      <c r="D784" s="1" t="s">
        <v>4889</v>
      </c>
      <c r="E784" s="7">
        <v>4439</v>
      </c>
      <c r="F784" s="7">
        <v>40</v>
      </c>
      <c r="G784" s="1">
        <v>6</v>
      </c>
      <c r="H784" s="34">
        <f ca="1">Tabela1[[#This Row],[PESO UNI]]*Tabela1[[#This Row],[QTE]]</f>
        <v>24</v>
      </c>
      <c r="I784" s="7" t="s">
        <v>5383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 ca="1">Tabela1[[#This Row],[QTDE/ Fabricação]]-Tabela1[[#This Row],[QTE]]</f>
        <v>-4</v>
      </c>
      <c r="R784" s="18">
        <f t="shared" ca="1" si="152"/>
        <v>10.8</v>
      </c>
      <c r="S784" s="18">
        <f t="shared" ca="1" si="153"/>
        <v>0</v>
      </c>
      <c r="T784" s="19">
        <f t="shared" ca="1" si="154"/>
        <v>-24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 ca="1">IFERROR(Tabela1[[#This Row],[QIANTIDADE EXPEDIDA]]*Tabela1[[#This Row],[PESO UNI]],"")</f>
        <v>0</v>
      </c>
      <c r="Y784" s="14">
        <f t="shared" ca="1" si="155"/>
        <v>-4</v>
      </c>
      <c r="Z784" s="20">
        <f ca="1">Tabela1[[#This Row],[PESO TOTAL]]-Tabela1[[#This Row],[Peso Expedido]]</f>
        <v>24</v>
      </c>
      <c r="AA784" s="17">
        <v>0.9</v>
      </c>
      <c r="AB784" s="33"/>
      <c r="AC784" s="33">
        <v>0.9</v>
      </c>
      <c r="AD784" s="33"/>
      <c r="AE784" s="33"/>
      <c r="AF784" s="33"/>
      <c r="AG784" s="33"/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1" t="s">
        <v>4869</v>
      </c>
      <c r="B785" s="21" t="s">
        <v>4870</v>
      </c>
      <c r="C785" s="1">
        <v>2</v>
      </c>
      <c r="D785" s="1" t="s">
        <v>4888</v>
      </c>
      <c r="E785" s="7">
        <v>4440</v>
      </c>
      <c r="F785" s="7">
        <v>40</v>
      </c>
      <c r="G785" s="1">
        <v>67.2</v>
      </c>
      <c r="H785" s="34">
        <f ca="1">Tabela1[[#This Row],[PESO UNI]]*Tabela1[[#This Row],[QTE]]</f>
        <v>134.4</v>
      </c>
      <c r="I785" s="7" t="s">
        <v>5383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 ca="1">Tabela1[[#This Row],[QTDE/ Fabricação]]-Tabela1[[#This Row],[QTE]]</f>
        <v>-2</v>
      </c>
      <c r="R785" s="18">
        <f t="shared" ca="1" si="152"/>
        <v>60.480000000000004</v>
      </c>
      <c r="S785" s="18">
        <f t="shared" ca="1" si="153"/>
        <v>0</v>
      </c>
      <c r="T785" s="19">
        <f t="shared" ca="1" si="154"/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 ca="1">IFERROR(Tabela1[[#This Row],[QIANTIDADE EXPEDIDA]]*Tabela1[[#This Row],[PESO UNI]],"")</f>
        <v>0</v>
      </c>
      <c r="Y785" s="14">
        <f t="shared" ca="1" si="155"/>
        <v>-2</v>
      </c>
      <c r="Z785" s="20">
        <f ca="1">Tabela1[[#This Row],[PESO TOTAL]]-Tabela1[[#This Row],[Peso Expedido]]</f>
        <v>134.4</v>
      </c>
      <c r="AA785" s="17">
        <v>0.9</v>
      </c>
      <c r="AB785" s="33"/>
      <c r="AC785" s="33">
        <v>0.9</v>
      </c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4869</v>
      </c>
      <c r="B786" s="21" t="s">
        <v>4870</v>
      </c>
      <c r="C786" s="1">
        <v>12</v>
      </c>
      <c r="D786" s="1" t="s">
        <v>4887</v>
      </c>
      <c r="E786" s="7">
        <v>4441</v>
      </c>
      <c r="F786" s="7">
        <v>40</v>
      </c>
      <c r="G786" s="1">
        <v>7.3</v>
      </c>
      <c r="H786" s="34">
        <f ca="1">Tabela1[[#This Row],[PESO UNI]]*Tabela1[[#This Row],[QTE]]</f>
        <v>87.6</v>
      </c>
      <c r="I786" s="7" t="s">
        <v>5383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 ca="1">Tabela1[[#This Row],[QTDE/ Fabricação]]-Tabela1[[#This Row],[QTE]]</f>
        <v>-12</v>
      </c>
      <c r="R786" s="18">
        <f t="shared" ca="1" si="152"/>
        <v>39.42</v>
      </c>
      <c r="S786" s="18">
        <f t="shared" ca="1" si="153"/>
        <v>0</v>
      </c>
      <c r="T786" s="19">
        <f t="shared" ca="1" si="154"/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 ca="1">IFERROR(Tabela1[[#This Row],[QIANTIDADE EXPEDIDA]]*Tabela1[[#This Row],[PESO UNI]],"")</f>
        <v>0</v>
      </c>
      <c r="Y786" s="14">
        <f t="shared" ca="1" si="155"/>
        <v>-12</v>
      </c>
      <c r="Z786" s="20">
        <f ca="1">Tabela1[[#This Row],[PESO TOTAL]]-Tabela1[[#This Row],[Peso Expedido]]</f>
        <v>87.6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4869</v>
      </c>
      <c r="B787" s="21" t="s">
        <v>4870</v>
      </c>
      <c r="C787" s="1">
        <v>2</v>
      </c>
      <c r="D787" s="1" t="s">
        <v>4886</v>
      </c>
      <c r="E787" s="7">
        <v>4442</v>
      </c>
      <c r="F787" s="7">
        <v>40</v>
      </c>
      <c r="G787" s="1">
        <v>11.6</v>
      </c>
      <c r="H787" s="34">
        <f ca="1">Tabela1[[#This Row],[PESO UNI]]*Tabela1[[#This Row],[QTE]]</f>
        <v>23.2</v>
      </c>
      <c r="I787" s="7" t="s">
        <v>5383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 ca="1">Tabela1[[#This Row],[QTDE/ Fabricação]]-Tabela1[[#This Row],[QTE]]</f>
        <v>-2</v>
      </c>
      <c r="R787" s="18">
        <f t="shared" ca="1" si="152"/>
        <v>10.44</v>
      </c>
      <c r="S787" s="18">
        <f t="shared" ca="1" si="153"/>
        <v>0</v>
      </c>
      <c r="T787" s="19">
        <f t="shared" ca="1" si="154"/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 ca="1">IFERROR(Tabela1[[#This Row],[QIANTIDADE EXPEDIDA]]*Tabela1[[#This Row],[PESO UNI]],"")</f>
        <v>0</v>
      </c>
      <c r="Y787" s="14">
        <f t="shared" ca="1" si="155"/>
        <v>-2</v>
      </c>
      <c r="Z787" s="20">
        <f ca="1">Tabela1[[#This Row],[PESO TOTAL]]-Tabela1[[#This Row],[Peso Expedido]]</f>
        <v>23.2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4869</v>
      </c>
      <c r="B788" s="21" t="s">
        <v>4870</v>
      </c>
      <c r="C788" s="1">
        <v>2</v>
      </c>
      <c r="D788" s="1" t="s">
        <v>4885</v>
      </c>
      <c r="E788" s="7">
        <v>4443</v>
      </c>
      <c r="F788" s="7">
        <v>40</v>
      </c>
      <c r="G788" s="1">
        <v>12.2</v>
      </c>
      <c r="H788" s="34">
        <f ca="1">Tabela1[[#This Row],[PESO UNI]]*Tabela1[[#This Row],[QTE]]</f>
        <v>24.4</v>
      </c>
      <c r="I788" s="7" t="s">
        <v>5383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 ca="1">Tabela1[[#This Row],[QTDE/ Fabricação]]-Tabela1[[#This Row],[QTE]]</f>
        <v>-2</v>
      </c>
      <c r="R788" s="18">
        <f t="shared" ca="1" si="152"/>
        <v>10.98</v>
      </c>
      <c r="S788" s="18">
        <f t="shared" ca="1" si="153"/>
        <v>0</v>
      </c>
      <c r="T788" s="19">
        <f t="shared" ca="1" si="154"/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 ca="1">IFERROR(Tabela1[[#This Row],[QIANTIDADE EXPEDIDA]]*Tabela1[[#This Row],[PESO UNI]],"")</f>
        <v>0</v>
      </c>
      <c r="Y788" s="14">
        <f t="shared" ca="1" si="155"/>
        <v>-2</v>
      </c>
      <c r="Z788" s="20">
        <f ca="1">Tabela1[[#This Row],[PESO TOTAL]]-Tabela1[[#This Row],[Peso Expedido]]</f>
        <v>24.4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4869</v>
      </c>
      <c r="B789" s="21" t="s">
        <v>4870</v>
      </c>
      <c r="C789" s="1">
        <v>2</v>
      </c>
      <c r="D789" s="1" t="s">
        <v>4884</v>
      </c>
      <c r="E789" s="7">
        <v>4444</v>
      </c>
      <c r="F789" s="7">
        <v>40</v>
      </c>
      <c r="G789" s="1">
        <v>12.8</v>
      </c>
      <c r="H789" s="34">
        <f ca="1">Tabela1[[#This Row],[PESO UNI]]*Tabela1[[#This Row],[QTE]]</f>
        <v>25.6</v>
      </c>
      <c r="I789" s="7" t="s">
        <v>5383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 ca="1">Tabela1[[#This Row],[QTDE/ Fabricação]]-Tabela1[[#This Row],[QTE]]</f>
        <v>-2</v>
      </c>
      <c r="R789" s="18">
        <f t="shared" ca="1" si="152"/>
        <v>11.520000000000001</v>
      </c>
      <c r="S789" s="18">
        <f t="shared" ca="1" si="153"/>
        <v>0</v>
      </c>
      <c r="T789" s="19">
        <f t="shared" ca="1" si="154"/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 ca="1">IFERROR(Tabela1[[#This Row],[QIANTIDADE EXPEDIDA]]*Tabela1[[#This Row],[PESO UNI]],"")</f>
        <v>0</v>
      </c>
      <c r="Y789" s="14">
        <f t="shared" ca="1" si="155"/>
        <v>-2</v>
      </c>
      <c r="Z789" s="20">
        <f ca="1">Tabela1[[#This Row],[PESO TOTAL]]-Tabela1[[#This Row],[Peso Expedido]]</f>
        <v>25.6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4869</v>
      </c>
      <c r="B790" s="21" t="s">
        <v>4870</v>
      </c>
      <c r="C790" s="1">
        <v>2</v>
      </c>
      <c r="D790" s="1" t="s">
        <v>4883</v>
      </c>
      <c r="E790" s="7">
        <v>4445</v>
      </c>
      <c r="F790" s="7">
        <v>40</v>
      </c>
      <c r="G790" s="1">
        <v>13.5</v>
      </c>
      <c r="H790" s="34">
        <f ca="1">Tabela1[[#This Row],[PESO UNI]]*Tabela1[[#This Row],[QTE]]</f>
        <v>27</v>
      </c>
      <c r="I790" s="7" t="s">
        <v>5383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 ca="1">Tabela1[[#This Row],[QTDE/ Fabricação]]-Tabela1[[#This Row],[QTE]]</f>
        <v>-2</v>
      </c>
      <c r="R790" s="18">
        <f t="shared" ca="1" si="152"/>
        <v>12.15</v>
      </c>
      <c r="S790" s="18">
        <f t="shared" ca="1" si="153"/>
        <v>0</v>
      </c>
      <c r="T790" s="19">
        <f t="shared" ca="1" si="154"/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 ca="1">IFERROR(Tabela1[[#This Row],[QIANTIDADE EXPEDIDA]]*Tabela1[[#This Row],[PESO UNI]],"")</f>
        <v>0</v>
      </c>
      <c r="Y790" s="14">
        <f t="shared" ca="1" si="155"/>
        <v>-2</v>
      </c>
      <c r="Z790" s="20">
        <f ca="1">Tabela1[[#This Row],[PESO TOTAL]]-Tabela1[[#This Row],[Peso Expedido]]</f>
        <v>27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4869</v>
      </c>
      <c r="B791" s="21" t="s">
        <v>4870</v>
      </c>
      <c r="C791" s="1">
        <v>2</v>
      </c>
      <c r="D791" s="1" t="s">
        <v>4882</v>
      </c>
      <c r="E791" s="7">
        <v>4446</v>
      </c>
      <c r="F791" s="7">
        <v>40</v>
      </c>
      <c r="G791" s="1">
        <v>14.1</v>
      </c>
      <c r="H791" s="34">
        <f ca="1">Tabela1[[#This Row],[PESO UNI]]*Tabela1[[#This Row],[QTE]]</f>
        <v>28.2</v>
      </c>
      <c r="I791" s="7" t="s">
        <v>5383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 ca="1">Tabela1[[#This Row],[QTDE/ Fabricação]]-Tabela1[[#This Row],[QTE]]</f>
        <v>-2</v>
      </c>
      <c r="R791" s="18">
        <f t="shared" ca="1" si="152"/>
        <v>12.69</v>
      </c>
      <c r="S791" s="18">
        <f t="shared" ca="1" si="153"/>
        <v>0</v>
      </c>
      <c r="T791" s="19">
        <f t="shared" ca="1" si="154"/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 ca="1">IFERROR(Tabela1[[#This Row],[QIANTIDADE EXPEDIDA]]*Tabela1[[#This Row],[PESO UNI]],"")</f>
        <v>0</v>
      </c>
      <c r="Y791" s="14">
        <f t="shared" ca="1" si="155"/>
        <v>-2</v>
      </c>
      <c r="Z791" s="20">
        <f ca="1">Tabela1[[#This Row],[PESO TOTAL]]-Tabela1[[#This Row],[Peso Expedido]]</f>
        <v>28.2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4869</v>
      </c>
      <c r="B792" s="21" t="s">
        <v>4870</v>
      </c>
      <c r="C792" s="1">
        <v>2</v>
      </c>
      <c r="D792" s="1" t="s">
        <v>4881</v>
      </c>
      <c r="E792" s="7">
        <v>4447</v>
      </c>
      <c r="F792" s="7">
        <v>40</v>
      </c>
      <c r="G792" s="1">
        <v>13.9</v>
      </c>
      <c r="H792" s="34">
        <f ca="1">Tabela1[[#This Row],[PESO UNI]]*Tabela1[[#This Row],[QTE]]</f>
        <v>27.8</v>
      </c>
      <c r="I792" s="7" t="s">
        <v>5383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 ca="1">Tabela1[[#This Row],[QTDE/ Fabricação]]-Tabela1[[#This Row],[QTE]]</f>
        <v>-2</v>
      </c>
      <c r="R792" s="18">
        <f t="shared" ca="1" si="152"/>
        <v>12.51</v>
      </c>
      <c r="S792" s="18">
        <f t="shared" ca="1" si="153"/>
        <v>0</v>
      </c>
      <c r="T792" s="19">
        <f t="shared" ca="1" si="154"/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 ca="1">IFERROR(Tabela1[[#This Row],[QIANTIDADE EXPEDIDA]]*Tabela1[[#This Row],[PESO UNI]],"")</f>
        <v>0</v>
      </c>
      <c r="Y792" s="14">
        <f t="shared" ca="1" si="155"/>
        <v>-2</v>
      </c>
      <c r="Z792" s="20">
        <f ca="1">Tabela1[[#This Row],[PESO TOTAL]]-Tabela1[[#This Row],[Peso Expedido]]</f>
        <v>27.8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4878</v>
      </c>
      <c r="B793" s="21" t="s">
        <v>4879</v>
      </c>
      <c r="C793" s="1">
        <v>2</v>
      </c>
      <c r="D793" s="1" t="s">
        <v>4880</v>
      </c>
      <c r="E793" s="7">
        <v>4448</v>
      </c>
      <c r="F793" s="7">
        <v>40</v>
      </c>
      <c r="G793" s="1">
        <v>71.099999999999994</v>
      </c>
      <c r="H793" s="34">
        <f ca="1">Tabela1[[#This Row],[PESO UNI]]*Tabela1[[#This Row],[QTE]]</f>
        <v>142.19999999999999</v>
      </c>
      <c r="I793" s="7" t="s">
        <v>5383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 ca="1">Tabela1[[#This Row],[QTDE/ Fabricação]]-Tabela1[[#This Row],[QTE]]</f>
        <v>-2</v>
      </c>
      <c r="R793" s="18">
        <f t="shared" ca="1" si="152"/>
        <v>142.19999999999999</v>
      </c>
      <c r="S793" s="18">
        <f t="shared" ca="1" si="153"/>
        <v>142.19999999999999</v>
      </c>
      <c r="T793" s="19">
        <f t="shared" ca="1" si="154"/>
        <v>0</v>
      </c>
      <c r="U793" s="16">
        <f>IFERROR(SUMIF('LISTA DE EMBARQUE'!B:B,MICRO!E:E,'LISTA DE EMBARQUE'!G:G),"")</f>
        <v>2</v>
      </c>
      <c r="V793" s="12">
        <f>IFERROR(VLOOKUP(Tabela1[[#This Row],[COD.MDE]],'LISTA DE EMBARQUE'!B:L,11,0),"")</f>
        <v>6</v>
      </c>
      <c r="W793" s="13">
        <f>IFERROR(VLOOKUP(Tabela1[[#This Row],[COD.MDE]],'LISTA DE EMBARQUE'!B:M,12,0),"")</f>
        <v>46273</v>
      </c>
      <c r="X793" s="14">
        <f ca="1">IFERROR(Tabela1[[#This Row],[QIANTIDADE EXPEDIDA]]*Tabela1[[#This Row],[PESO UNI]],"")</f>
        <v>142.19999999999999</v>
      </c>
      <c r="Y793" s="14">
        <f t="shared" ca="1" si="155"/>
        <v>0</v>
      </c>
      <c r="Z793" s="20">
        <f ca="1">Tabela1[[#This Row],[PESO TOTAL]]-Tabela1[[#This Row],[Peso Expedido]]</f>
        <v>0</v>
      </c>
      <c r="AA793" s="17">
        <v>1</v>
      </c>
      <c r="AB793" s="33"/>
      <c r="AC793" s="17">
        <v>1</v>
      </c>
      <c r="AD793" s="17">
        <v>1</v>
      </c>
      <c r="AE793" s="17">
        <v>1</v>
      </c>
      <c r="AF793" s="17">
        <v>1</v>
      </c>
      <c r="AG793" s="17">
        <v>1</v>
      </c>
      <c r="AH793" s="17">
        <v>1</v>
      </c>
      <c r="AI793" s="33" t="s">
        <v>4412</v>
      </c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4878</v>
      </c>
      <c r="B794" s="21" t="s">
        <v>4879</v>
      </c>
      <c r="C794" s="1">
        <v>4</v>
      </c>
      <c r="D794" s="1" t="s">
        <v>4892</v>
      </c>
      <c r="E794" s="7">
        <v>4449</v>
      </c>
      <c r="F794" s="7">
        <v>40</v>
      </c>
      <c r="G794" s="1">
        <v>8.1</v>
      </c>
      <c r="H794" s="34">
        <f ca="1">Tabela1[[#This Row],[PESO UNI]]*Tabela1[[#This Row],[QTE]]</f>
        <v>32.4</v>
      </c>
      <c r="I794" s="7" t="s">
        <v>5383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 ca="1">Tabela1[[#This Row],[QTDE/ Fabricação]]-Tabela1[[#This Row],[QTE]]</f>
        <v>-4</v>
      </c>
      <c r="R794" s="18">
        <f t="shared" ca="1" si="152"/>
        <v>32.4</v>
      </c>
      <c r="S794" s="18">
        <f t="shared" ca="1" si="153"/>
        <v>32.4</v>
      </c>
      <c r="T794" s="19">
        <f t="shared" ca="1" si="154"/>
        <v>0</v>
      </c>
      <c r="U794" s="16">
        <f>IFERROR(SUMIF('LISTA DE EMBARQUE'!B:B,MICRO!E:E,'LISTA DE EMBARQUE'!G:G),"")</f>
        <v>2</v>
      </c>
      <c r="V794" s="12">
        <f>IFERROR(VLOOKUP(Tabela1[[#This Row],[COD.MDE]],'LISTA DE EMBARQUE'!B:L,11,0),"")</f>
        <v>6</v>
      </c>
      <c r="W794" s="13">
        <f>IFERROR(VLOOKUP(Tabela1[[#This Row],[COD.MDE]],'LISTA DE EMBARQUE'!B:M,12,0),"")</f>
        <v>46273</v>
      </c>
      <c r="X794" s="14">
        <f ca="1">IFERROR(Tabela1[[#This Row],[QIANTIDADE EXPEDIDA]]*Tabela1[[#This Row],[PESO UNI]],"")</f>
        <v>16.2</v>
      </c>
      <c r="Y794" s="14">
        <f t="shared" ca="1" si="155"/>
        <v>-2</v>
      </c>
      <c r="Z794" s="20">
        <f ca="1">Tabela1[[#This Row],[PESO TOTAL]]-Tabela1[[#This Row],[Peso Expedido]]</f>
        <v>16.2</v>
      </c>
      <c r="AA794" s="17">
        <v>1</v>
      </c>
      <c r="AB794" s="33"/>
      <c r="AC794" s="33">
        <v>1</v>
      </c>
      <c r="AD794" s="33">
        <v>1</v>
      </c>
      <c r="AE794" s="33">
        <v>1</v>
      </c>
      <c r="AF794" s="33">
        <v>1</v>
      </c>
      <c r="AG794" s="33">
        <v>1</v>
      </c>
      <c r="AH794" s="33">
        <v>0.5</v>
      </c>
      <c r="AI794" s="33" t="s">
        <v>4412</v>
      </c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4878</v>
      </c>
      <c r="B795" s="21" t="s">
        <v>4879</v>
      </c>
      <c r="C795" s="1">
        <v>4</v>
      </c>
      <c r="D795" s="1" t="s">
        <v>4893</v>
      </c>
      <c r="E795" s="7">
        <v>4450</v>
      </c>
      <c r="F795" s="7">
        <v>40</v>
      </c>
      <c r="G795" s="1">
        <v>0.6</v>
      </c>
      <c r="H795" s="34">
        <f ca="1">Tabela1[[#This Row],[PESO UNI]]*Tabela1[[#This Row],[QTE]]</f>
        <v>2.4</v>
      </c>
      <c r="I795" s="7" t="s">
        <v>5383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 ca="1">Tabela1[[#This Row],[QTDE/ Fabricação]]-Tabela1[[#This Row],[QTE]]</f>
        <v>-4</v>
      </c>
      <c r="R795" s="18">
        <f t="shared" ca="1" si="152"/>
        <v>2.4</v>
      </c>
      <c r="S795" s="18">
        <f t="shared" ca="1" si="153"/>
        <v>2.4</v>
      </c>
      <c r="T795" s="19">
        <f t="shared" ca="1" si="154"/>
        <v>0</v>
      </c>
      <c r="U795" s="16">
        <f>IFERROR(SUMIF('LISTA DE EMBARQUE'!B:B,MICRO!E:E,'LISTA DE EMBARQUE'!G:G),"")</f>
        <v>4</v>
      </c>
      <c r="V795" s="12">
        <f>IFERROR(VLOOKUP(Tabela1[[#This Row],[COD.MDE]],'LISTA DE EMBARQUE'!B:L,11,0),"")</f>
        <v>6</v>
      </c>
      <c r="W795" s="13">
        <f>IFERROR(VLOOKUP(Tabela1[[#This Row],[COD.MDE]],'LISTA DE EMBARQUE'!B:M,12,0),"")</f>
        <v>46273</v>
      </c>
      <c r="X795" s="14">
        <f ca="1">IFERROR(Tabela1[[#This Row],[QIANTIDADE EXPEDIDA]]*Tabela1[[#This Row],[PESO UNI]],"")</f>
        <v>2.4</v>
      </c>
      <c r="Y795" s="14">
        <f t="shared" ca="1" si="155"/>
        <v>0</v>
      </c>
      <c r="Z795" s="20">
        <f ca="1">Tabela1[[#This Row],[PESO TOTAL]]-Tabela1[[#This Row],[Peso Expedido]]</f>
        <v>0</v>
      </c>
      <c r="AA795" s="17">
        <v>1</v>
      </c>
      <c r="AB795" s="33"/>
      <c r="AC795" s="17">
        <v>1</v>
      </c>
      <c r="AD795" s="17">
        <v>1</v>
      </c>
      <c r="AE795" s="17">
        <v>1</v>
      </c>
      <c r="AF795" s="17">
        <v>1</v>
      </c>
      <c r="AG795" s="17">
        <v>1</v>
      </c>
      <c r="AH795" s="17">
        <v>1</v>
      </c>
      <c r="AI795" s="33" t="s">
        <v>4412</v>
      </c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1" t="s">
        <v>4878</v>
      </c>
      <c r="B796" s="21" t="s">
        <v>4879</v>
      </c>
      <c r="C796" s="1">
        <v>4</v>
      </c>
      <c r="D796" s="1" t="s">
        <v>4894</v>
      </c>
      <c r="E796" s="7">
        <v>4451</v>
      </c>
      <c r="F796" s="7">
        <v>40</v>
      </c>
      <c r="G796" s="1">
        <v>6</v>
      </c>
      <c r="H796" s="34">
        <f ca="1">Tabela1[[#This Row],[PESO UNI]]*Tabela1[[#This Row],[QTE]]</f>
        <v>24</v>
      </c>
      <c r="I796" s="7" t="s">
        <v>5383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 ca="1">Tabela1[[#This Row],[QTDE/ Fabricação]]-Tabela1[[#This Row],[QTE]]</f>
        <v>-4</v>
      </c>
      <c r="R796" s="18">
        <f t="shared" ca="1" si="152"/>
        <v>10.8</v>
      </c>
      <c r="S796" s="18">
        <f t="shared" ca="1" si="153"/>
        <v>0</v>
      </c>
      <c r="T796" s="19">
        <f t="shared" ca="1" si="154"/>
        <v>-24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 ca="1">IFERROR(Tabela1[[#This Row],[QIANTIDADE EXPEDIDA]]*Tabela1[[#This Row],[PESO UNI]],"")</f>
        <v>0</v>
      </c>
      <c r="Y796" s="14">
        <f t="shared" ca="1" si="155"/>
        <v>-4</v>
      </c>
      <c r="Z796" s="20">
        <f ca="1">Tabela1[[#This Row],[PESO TOTAL]]-Tabela1[[#This Row],[Peso Expedido]]</f>
        <v>24</v>
      </c>
      <c r="AA796" s="17">
        <v>0.9</v>
      </c>
      <c r="AB796" s="33"/>
      <c r="AC796" s="33">
        <v>0.9</v>
      </c>
      <c r="AD796" s="33"/>
      <c r="AE796" s="33"/>
      <c r="AF796" s="33"/>
      <c r="AG796" s="33"/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1" t="s">
        <v>4878</v>
      </c>
      <c r="B797" s="21" t="s">
        <v>4879</v>
      </c>
      <c r="C797" s="1">
        <v>2</v>
      </c>
      <c r="D797" s="1" t="s">
        <v>4895</v>
      </c>
      <c r="E797" s="7">
        <v>4452</v>
      </c>
      <c r="F797" s="7">
        <v>40</v>
      </c>
      <c r="G797" s="1">
        <v>109.2</v>
      </c>
      <c r="H797" s="34">
        <f ca="1">Tabela1[[#This Row],[PESO UNI]]*Tabela1[[#This Row],[QTE]]</f>
        <v>218.4</v>
      </c>
      <c r="I797" s="7" t="s">
        <v>5383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 ca="1">Tabela1[[#This Row],[QTDE/ Fabricação]]-Tabela1[[#This Row],[QTE]]</f>
        <v>-2</v>
      </c>
      <c r="R797" s="18">
        <f t="shared" ca="1" si="152"/>
        <v>98.28</v>
      </c>
      <c r="S797" s="18">
        <f t="shared" ca="1" si="153"/>
        <v>0</v>
      </c>
      <c r="T797" s="19">
        <f t="shared" ca="1" si="154"/>
        <v>-218.4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 ca="1">IFERROR(Tabela1[[#This Row],[QIANTIDADE EXPEDIDA]]*Tabela1[[#This Row],[PESO UNI]],"")</f>
        <v>0</v>
      </c>
      <c r="Y797" s="14">
        <f t="shared" ca="1" si="155"/>
        <v>-2</v>
      </c>
      <c r="Z797" s="20">
        <f ca="1">Tabela1[[#This Row],[PESO TOTAL]]-Tabela1[[#This Row],[Peso Expedido]]</f>
        <v>218.4</v>
      </c>
      <c r="AA797" s="17">
        <v>0.9</v>
      </c>
      <c r="AB797" s="33"/>
      <c r="AC797" s="33">
        <v>0.9</v>
      </c>
      <c r="AD797" s="33"/>
      <c r="AE797" s="33"/>
      <c r="AF797" s="33"/>
      <c r="AG797" s="33"/>
      <c r="AH797" s="33"/>
      <c r="AI797" s="33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4878</v>
      </c>
      <c r="B798" s="21" t="s">
        <v>4879</v>
      </c>
      <c r="C798" s="1">
        <v>12</v>
      </c>
      <c r="D798" s="1" t="s">
        <v>4896</v>
      </c>
      <c r="E798" s="7">
        <v>4453</v>
      </c>
      <c r="F798" s="7">
        <v>40</v>
      </c>
      <c r="G798" s="1">
        <v>7.3</v>
      </c>
      <c r="H798" s="34">
        <f ca="1">Tabela1[[#This Row],[PESO UNI]]*Tabela1[[#This Row],[QTE]]</f>
        <v>87.6</v>
      </c>
      <c r="I798" s="7" t="s">
        <v>5383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 ca="1">Tabela1[[#This Row],[QTDE/ Fabricação]]-Tabela1[[#This Row],[QTE]]</f>
        <v>-12</v>
      </c>
      <c r="R798" s="18">
        <f t="shared" ca="1" si="152"/>
        <v>87.6</v>
      </c>
      <c r="S798" s="18">
        <f t="shared" ca="1" si="153"/>
        <v>87.6</v>
      </c>
      <c r="T798" s="19">
        <f t="shared" ca="1" si="154"/>
        <v>0</v>
      </c>
      <c r="U798" s="16">
        <f>IFERROR(SUMIF('LISTA DE EMBARQUE'!B:B,MICRO!E:E,'LISTA DE EMBARQUE'!G:G),"")</f>
        <v>12</v>
      </c>
      <c r="V798" s="12">
        <f>IFERROR(VLOOKUP(Tabela1[[#This Row],[COD.MDE]],'LISTA DE EMBARQUE'!B:L,11,0),"")</f>
        <v>5</v>
      </c>
      <c r="W798" s="13">
        <f>IFERROR(VLOOKUP(Tabela1[[#This Row],[COD.MDE]],'LISTA DE EMBARQUE'!B:M,12,0),"")</f>
        <v>46254</v>
      </c>
      <c r="X798" s="14">
        <f ca="1">IFERROR(Tabela1[[#This Row],[QIANTIDADE EXPEDIDA]]*Tabela1[[#This Row],[PESO UNI]],"")</f>
        <v>87.6</v>
      </c>
      <c r="Y798" s="14">
        <f t="shared" ca="1" si="155"/>
        <v>0</v>
      </c>
      <c r="Z798" s="20">
        <f ca="1">Tabela1[[#This Row],[PESO TOTAL]]-Tabela1[[#This Row],[Peso Expedido]]</f>
        <v>0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tr">
        <f t="shared" ref="AI798:AI804" ca="1" si="156">IF(Z798&lt;=0,"ok","")</f>
        <v>ok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1" t="s">
        <v>4878</v>
      </c>
      <c r="B799" s="21" t="s">
        <v>4879</v>
      </c>
      <c r="C799" s="1">
        <v>2</v>
      </c>
      <c r="D799" s="1" t="s">
        <v>4897</v>
      </c>
      <c r="E799" s="7">
        <v>4454</v>
      </c>
      <c r="F799" s="7">
        <v>40</v>
      </c>
      <c r="G799" s="1">
        <v>8.5</v>
      </c>
      <c r="H799" s="34">
        <f ca="1">Tabela1[[#This Row],[PESO UNI]]*Tabela1[[#This Row],[QTE]]</f>
        <v>17</v>
      </c>
      <c r="I799" s="7" t="s">
        <v>5383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 ca="1">Tabela1[[#This Row],[QTDE/ Fabricação]]-Tabela1[[#This Row],[QTE]]</f>
        <v>-2</v>
      </c>
      <c r="R799" s="18">
        <f t="shared" ca="1" si="152"/>
        <v>17</v>
      </c>
      <c r="S799" s="18">
        <f t="shared" ca="1" si="153"/>
        <v>17</v>
      </c>
      <c r="T799" s="19">
        <f t="shared" ca="1" si="154"/>
        <v>0</v>
      </c>
      <c r="U799" s="16">
        <f>IFERROR(SUMIF('LISTA DE EMBARQUE'!B:B,MICRO!E:E,'LISTA DE EMBARQUE'!G:G),"")</f>
        <v>2</v>
      </c>
      <c r="V799" s="12">
        <f>IFERROR(VLOOKUP(Tabela1[[#This Row],[COD.MDE]],'LISTA DE EMBARQUE'!B:L,11,0),"")</f>
        <v>5</v>
      </c>
      <c r="W799" s="13">
        <f>IFERROR(VLOOKUP(Tabela1[[#This Row],[COD.MDE]],'LISTA DE EMBARQUE'!B:M,12,0),"")</f>
        <v>46254</v>
      </c>
      <c r="X799" s="14">
        <f ca="1">IFERROR(Tabela1[[#This Row],[QIANTIDADE EXPEDIDA]]*Tabela1[[#This Row],[PESO UNI]],"")</f>
        <v>17</v>
      </c>
      <c r="Y799" s="14">
        <f t="shared" ca="1" si="155"/>
        <v>0</v>
      </c>
      <c r="Z799" s="20">
        <f ca="1">Tabela1[[#This Row],[PESO TOTAL]]-Tabela1[[#This Row],[Peso Expedido]]</f>
        <v>0</v>
      </c>
      <c r="AA799" s="17">
        <v>1</v>
      </c>
      <c r="AB799" s="33"/>
      <c r="AC799" s="33">
        <v>1</v>
      </c>
      <c r="AD799" s="33">
        <v>1</v>
      </c>
      <c r="AE799" s="33">
        <v>1</v>
      </c>
      <c r="AF799" s="33">
        <v>1</v>
      </c>
      <c r="AG799" s="33">
        <v>1</v>
      </c>
      <c r="AH799" s="33">
        <v>1</v>
      </c>
      <c r="AI799" s="33" t="str">
        <f t="shared" ca="1" si="156"/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1" t="s">
        <v>4878</v>
      </c>
      <c r="B800" s="21" t="s">
        <v>4879</v>
      </c>
      <c r="C800" s="1">
        <v>2</v>
      </c>
      <c r="D800" s="1" t="s">
        <v>4898</v>
      </c>
      <c r="E800" s="7">
        <v>4455</v>
      </c>
      <c r="F800" s="7">
        <v>40</v>
      </c>
      <c r="G800" s="1">
        <v>9.1999999999999993</v>
      </c>
      <c r="H800" s="34">
        <f ca="1">Tabela1[[#This Row],[PESO UNI]]*Tabela1[[#This Row],[QTE]]</f>
        <v>18.399999999999999</v>
      </c>
      <c r="I800" s="7" t="s">
        <v>5383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 ca="1">Tabela1[[#This Row],[QTDE/ Fabricação]]-Tabela1[[#This Row],[QTE]]</f>
        <v>-2</v>
      </c>
      <c r="R800" s="18">
        <f t="shared" ca="1" si="152"/>
        <v>18.399999999999999</v>
      </c>
      <c r="S800" s="18">
        <f t="shared" ca="1" si="153"/>
        <v>18.399999999999999</v>
      </c>
      <c r="T800" s="19">
        <f t="shared" ca="1" si="154"/>
        <v>0</v>
      </c>
      <c r="U800" s="16">
        <f>IFERROR(SUMIF('LISTA DE EMBARQUE'!B:B,MICRO!E:E,'LISTA DE EMBARQUE'!G:G),"")</f>
        <v>2</v>
      </c>
      <c r="V800" s="12">
        <f>IFERROR(VLOOKUP(Tabela1[[#This Row],[COD.MDE]],'LISTA DE EMBARQUE'!B:L,11,0),"")</f>
        <v>5</v>
      </c>
      <c r="W800" s="13">
        <f>IFERROR(VLOOKUP(Tabela1[[#This Row],[COD.MDE]],'LISTA DE EMBARQUE'!B:M,12,0),"")</f>
        <v>46254</v>
      </c>
      <c r="X800" s="14">
        <f ca="1">IFERROR(Tabela1[[#This Row],[QIANTIDADE EXPEDIDA]]*Tabela1[[#This Row],[PESO UNI]],"")</f>
        <v>18.399999999999999</v>
      </c>
      <c r="Y800" s="14">
        <f t="shared" ca="1" si="155"/>
        <v>0</v>
      </c>
      <c r="Z800" s="20">
        <f ca="1">Tabela1[[#This Row],[PESO TOTAL]]-Tabela1[[#This Row],[Peso Expedido]]</f>
        <v>0</v>
      </c>
      <c r="AA800" s="17">
        <v>1</v>
      </c>
      <c r="AB800" s="33"/>
      <c r="AC800" s="33">
        <v>1</v>
      </c>
      <c r="AD800" s="33">
        <v>1</v>
      </c>
      <c r="AE800" s="33">
        <v>1</v>
      </c>
      <c r="AF800" s="33">
        <v>1</v>
      </c>
      <c r="AG800" s="33">
        <v>1</v>
      </c>
      <c r="AH800" s="33">
        <v>1</v>
      </c>
      <c r="AI800" s="33" t="str">
        <f t="shared" ca="1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1" t="s">
        <v>4878</v>
      </c>
      <c r="B801" s="21" t="s">
        <v>4879</v>
      </c>
      <c r="C801" s="1">
        <v>2</v>
      </c>
      <c r="D801" s="1" t="s">
        <v>4899</v>
      </c>
      <c r="E801" s="7">
        <v>4456</v>
      </c>
      <c r="F801" s="7">
        <v>40</v>
      </c>
      <c r="G801" s="1">
        <v>9.9</v>
      </c>
      <c r="H801" s="34">
        <f ca="1">Tabela1[[#This Row],[PESO UNI]]*Tabela1[[#This Row],[QTE]]</f>
        <v>19.8</v>
      </c>
      <c r="I801" s="7" t="s">
        <v>5383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 ca="1">Tabela1[[#This Row],[QTDE/ Fabricação]]-Tabela1[[#This Row],[QTE]]</f>
        <v>-2</v>
      </c>
      <c r="R801" s="18">
        <f t="shared" ca="1" si="152"/>
        <v>19.8</v>
      </c>
      <c r="S801" s="18">
        <f t="shared" ca="1" si="153"/>
        <v>19.8</v>
      </c>
      <c r="T801" s="19">
        <f t="shared" ca="1" si="154"/>
        <v>0</v>
      </c>
      <c r="U801" s="16">
        <f>IFERROR(SUMIF('LISTA DE EMBARQUE'!B:B,MICRO!E:E,'LISTA DE EMBARQUE'!G:G),"")</f>
        <v>2</v>
      </c>
      <c r="V801" s="12">
        <f>IFERROR(VLOOKUP(Tabela1[[#This Row],[COD.MDE]],'LISTA DE EMBARQUE'!B:L,11,0),"")</f>
        <v>5</v>
      </c>
      <c r="W801" s="13">
        <f>IFERROR(VLOOKUP(Tabela1[[#This Row],[COD.MDE]],'LISTA DE EMBARQUE'!B:M,12,0),"")</f>
        <v>46254</v>
      </c>
      <c r="X801" s="14">
        <f ca="1">IFERROR(Tabela1[[#This Row],[QIANTIDADE EXPEDIDA]]*Tabela1[[#This Row],[PESO UNI]],"")</f>
        <v>19.8</v>
      </c>
      <c r="Y801" s="14">
        <f t="shared" ca="1" si="155"/>
        <v>0</v>
      </c>
      <c r="Z801" s="20">
        <f ca="1">Tabela1[[#This Row],[PESO TOTAL]]-Tabela1[[#This Row],[Peso Expedido]]</f>
        <v>0</v>
      </c>
      <c r="AA801" s="17">
        <v>1</v>
      </c>
      <c r="AB801" s="33"/>
      <c r="AC801" s="33">
        <v>1</v>
      </c>
      <c r="AD801" s="33">
        <v>1</v>
      </c>
      <c r="AE801" s="33">
        <v>1</v>
      </c>
      <c r="AF801" s="33">
        <v>1</v>
      </c>
      <c r="AG801" s="33">
        <v>1</v>
      </c>
      <c r="AH801" s="33">
        <v>1</v>
      </c>
      <c r="AI801" s="33" t="str">
        <f t="shared" ca="1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1" t="s">
        <v>4878</v>
      </c>
      <c r="B802" s="21" t="s">
        <v>4879</v>
      </c>
      <c r="C802" s="1">
        <v>2</v>
      </c>
      <c r="D802" s="1" t="s">
        <v>4900</v>
      </c>
      <c r="E802" s="7">
        <v>4457</v>
      </c>
      <c r="F802" s="7">
        <v>40</v>
      </c>
      <c r="G802" s="1">
        <v>10.5</v>
      </c>
      <c r="H802" s="34">
        <f ca="1">Tabela1[[#This Row],[PESO UNI]]*Tabela1[[#This Row],[QTE]]</f>
        <v>21</v>
      </c>
      <c r="I802" s="7" t="s">
        <v>5383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 ca="1">Tabela1[[#This Row],[QTDE/ Fabricação]]-Tabela1[[#This Row],[QTE]]</f>
        <v>-2</v>
      </c>
      <c r="R802" s="18">
        <f t="shared" ca="1" si="152"/>
        <v>21</v>
      </c>
      <c r="S802" s="18">
        <f t="shared" ca="1" si="153"/>
        <v>21</v>
      </c>
      <c r="T802" s="19">
        <f t="shared" ca="1" si="154"/>
        <v>0</v>
      </c>
      <c r="U802" s="16">
        <f>IFERROR(SUMIF('LISTA DE EMBARQUE'!B:B,MICRO!E:E,'LISTA DE EMBARQUE'!G:G),"")</f>
        <v>2</v>
      </c>
      <c r="V802" s="12">
        <f>IFERROR(VLOOKUP(Tabela1[[#This Row],[COD.MDE]],'LISTA DE EMBARQUE'!B:L,11,0),"")</f>
        <v>5</v>
      </c>
      <c r="W802" s="13">
        <f>IFERROR(VLOOKUP(Tabela1[[#This Row],[COD.MDE]],'LISTA DE EMBARQUE'!B:M,12,0),"")</f>
        <v>46254</v>
      </c>
      <c r="X802" s="14">
        <f ca="1">IFERROR(Tabela1[[#This Row],[QIANTIDADE EXPEDIDA]]*Tabela1[[#This Row],[PESO UNI]],"")</f>
        <v>21</v>
      </c>
      <c r="Y802" s="14">
        <f t="shared" ca="1" si="155"/>
        <v>0</v>
      </c>
      <c r="Z802" s="20">
        <f ca="1">Tabela1[[#This Row],[PESO TOTAL]]-Tabela1[[#This Row],[Peso Expedido]]</f>
        <v>0</v>
      </c>
      <c r="AA802" s="17">
        <v>1</v>
      </c>
      <c r="AB802" s="33"/>
      <c r="AC802" s="33">
        <v>1</v>
      </c>
      <c r="AD802" s="33">
        <v>1</v>
      </c>
      <c r="AE802" s="33">
        <v>1</v>
      </c>
      <c r="AF802" s="33">
        <v>1</v>
      </c>
      <c r="AG802" s="33">
        <v>1</v>
      </c>
      <c r="AH802" s="33">
        <v>1</v>
      </c>
      <c r="AI802" s="33" t="str">
        <f t="shared" ca="1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1" t="s">
        <v>4878</v>
      </c>
      <c r="B803" s="21" t="s">
        <v>4879</v>
      </c>
      <c r="C803" s="1">
        <v>2</v>
      </c>
      <c r="D803" s="1" t="s">
        <v>4901</v>
      </c>
      <c r="E803" s="7">
        <v>4458</v>
      </c>
      <c r="F803" s="7">
        <v>40</v>
      </c>
      <c r="G803" s="1">
        <v>11.2</v>
      </c>
      <c r="H803" s="34">
        <f ca="1">Tabela1[[#This Row],[PESO UNI]]*Tabela1[[#This Row],[QTE]]</f>
        <v>22.4</v>
      </c>
      <c r="I803" s="7" t="s">
        <v>5383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 ca="1">Tabela1[[#This Row],[QTDE/ Fabricação]]-Tabela1[[#This Row],[QTE]]</f>
        <v>-2</v>
      </c>
      <c r="R803" s="18">
        <f t="shared" ca="1" si="152"/>
        <v>22.4</v>
      </c>
      <c r="S803" s="18">
        <f t="shared" ca="1" si="153"/>
        <v>22.4</v>
      </c>
      <c r="T803" s="19">
        <f t="shared" ca="1" si="154"/>
        <v>0</v>
      </c>
      <c r="U803" s="16">
        <f>IFERROR(SUMIF('LISTA DE EMBARQUE'!B:B,MICRO!E:E,'LISTA DE EMBARQUE'!G:G),"")</f>
        <v>2</v>
      </c>
      <c r="V803" s="12">
        <f>IFERROR(VLOOKUP(Tabela1[[#This Row],[COD.MDE]],'LISTA DE EMBARQUE'!B:L,11,0),"")</f>
        <v>5</v>
      </c>
      <c r="W803" s="13">
        <f>IFERROR(VLOOKUP(Tabela1[[#This Row],[COD.MDE]],'LISTA DE EMBARQUE'!B:M,12,0),"")</f>
        <v>46254</v>
      </c>
      <c r="X803" s="14">
        <f ca="1">IFERROR(Tabela1[[#This Row],[QIANTIDADE EXPEDIDA]]*Tabela1[[#This Row],[PESO UNI]],"")</f>
        <v>22.4</v>
      </c>
      <c r="Y803" s="14">
        <f t="shared" ca="1" si="155"/>
        <v>0</v>
      </c>
      <c r="Z803" s="20">
        <f ca="1">Tabela1[[#This Row],[PESO TOTAL]]-Tabela1[[#This Row],[Peso Expedido]]</f>
        <v>0</v>
      </c>
      <c r="AA803" s="17">
        <v>1</v>
      </c>
      <c r="AB803" s="33"/>
      <c r="AC803" s="33">
        <v>1</v>
      </c>
      <c r="AD803" s="33">
        <v>1</v>
      </c>
      <c r="AE803" s="33">
        <v>1</v>
      </c>
      <c r="AF803" s="33">
        <v>1</v>
      </c>
      <c r="AG803" s="33">
        <v>1</v>
      </c>
      <c r="AH803" s="33">
        <v>1</v>
      </c>
      <c r="AI803" s="33" t="str">
        <f t="shared" ca="1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1" t="s">
        <v>4878</v>
      </c>
      <c r="B804" s="21" t="s">
        <v>4879</v>
      </c>
      <c r="C804" s="1">
        <v>2</v>
      </c>
      <c r="D804" s="1" t="s">
        <v>4902</v>
      </c>
      <c r="E804" s="7">
        <v>4459</v>
      </c>
      <c r="F804" s="7">
        <v>40</v>
      </c>
      <c r="G804" s="1">
        <v>11.9</v>
      </c>
      <c r="H804" s="34">
        <f ca="1">Tabela1[[#This Row],[PESO UNI]]*Tabela1[[#This Row],[QTE]]</f>
        <v>23.8</v>
      </c>
      <c r="I804" s="7" t="s">
        <v>5383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 ca="1">Tabela1[[#This Row],[QTDE/ Fabricação]]-Tabela1[[#This Row],[QTE]]</f>
        <v>-2</v>
      </c>
      <c r="R804" s="18">
        <f t="shared" ca="1" si="152"/>
        <v>23.8</v>
      </c>
      <c r="S804" s="18">
        <f t="shared" ca="1" si="153"/>
        <v>23.8</v>
      </c>
      <c r="T804" s="19">
        <f t="shared" ca="1" si="154"/>
        <v>0</v>
      </c>
      <c r="U804" s="16">
        <f>IFERROR(SUMIF('LISTA DE EMBARQUE'!B:B,MICRO!E:E,'LISTA DE EMBARQUE'!G:G),"")</f>
        <v>2</v>
      </c>
      <c r="V804" s="12">
        <f>IFERROR(VLOOKUP(Tabela1[[#This Row],[COD.MDE]],'LISTA DE EMBARQUE'!B:L,11,0),"")</f>
        <v>5</v>
      </c>
      <c r="W804" s="13">
        <f>IFERROR(VLOOKUP(Tabela1[[#This Row],[COD.MDE]],'LISTA DE EMBARQUE'!B:M,12,0),"")</f>
        <v>46254</v>
      </c>
      <c r="X804" s="14">
        <f ca="1">IFERROR(Tabela1[[#This Row],[QIANTIDADE EXPEDIDA]]*Tabela1[[#This Row],[PESO UNI]],"")</f>
        <v>23.8</v>
      </c>
      <c r="Y804" s="14">
        <f t="shared" ca="1" si="155"/>
        <v>0</v>
      </c>
      <c r="Z804" s="20">
        <f ca="1">Tabela1[[#This Row],[PESO TOTAL]]-Tabela1[[#This Row],[Peso Expedido]]</f>
        <v>0</v>
      </c>
      <c r="AA804" s="17">
        <v>1</v>
      </c>
      <c r="AB804" s="33"/>
      <c r="AC804" s="33">
        <v>1</v>
      </c>
      <c r="AD804" s="33">
        <v>1</v>
      </c>
      <c r="AE804" s="33">
        <v>1</v>
      </c>
      <c r="AF804" s="33">
        <v>1</v>
      </c>
      <c r="AG804" s="33">
        <v>1</v>
      </c>
      <c r="AH804" s="33">
        <v>1</v>
      </c>
      <c r="AI804" s="33" t="str">
        <f t="shared" ca="1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1" t="s">
        <v>4903</v>
      </c>
      <c r="B805" s="21" t="s">
        <v>4904</v>
      </c>
      <c r="C805" s="1">
        <v>8</v>
      </c>
      <c r="D805" s="1" t="s">
        <v>4905</v>
      </c>
      <c r="E805" s="7">
        <v>4460</v>
      </c>
      <c r="F805" s="7">
        <v>40</v>
      </c>
      <c r="G805" s="1">
        <v>69.8</v>
      </c>
      <c r="H805" s="34">
        <f ca="1">Tabela1[[#This Row],[PESO UNI]]*Tabela1[[#This Row],[QTE]]</f>
        <v>558.4</v>
      </c>
      <c r="I805" s="7" t="s">
        <v>5383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 ca="1">Tabela1[[#This Row],[QTDE/ Fabricação]]-Tabela1[[#This Row],[QTE]]</f>
        <v>-8</v>
      </c>
      <c r="R805" s="18">
        <f t="shared" ca="1" si="152"/>
        <v>251.28</v>
      </c>
      <c r="S805" s="18">
        <f t="shared" ca="1" si="153"/>
        <v>0</v>
      </c>
      <c r="T805" s="19">
        <f t="shared" ca="1" si="154"/>
        <v>-558.4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 ca="1">IFERROR(Tabela1[[#This Row],[QIANTIDADE EXPEDIDA]]*Tabela1[[#This Row],[PESO UNI]],"")</f>
        <v>0</v>
      </c>
      <c r="Y805" s="14">
        <f t="shared" ca="1" si="155"/>
        <v>-8</v>
      </c>
      <c r="Z805" s="20">
        <f ca="1">Tabela1[[#This Row],[PESO TOTAL]]-Tabela1[[#This Row],[Peso Expedido]]</f>
        <v>558.4</v>
      </c>
      <c r="AA805" s="17">
        <v>0.9</v>
      </c>
      <c r="AB805" s="33"/>
      <c r="AC805" s="33">
        <v>0.9</v>
      </c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1" t="s">
        <v>4903</v>
      </c>
      <c r="B806" s="21" t="s">
        <v>4904</v>
      </c>
      <c r="C806" s="1">
        <v>16</v>
      </c>
      <c r="D806" s="1" t="s">
        <v>4906</v>
      </c>
      <c r="E806" s="7">
        <v>4461</v>
      </c>
      <c r="F806" s="7">
        <v>40</v>
      </c>
      <c r="G806" s="1">
        <v>81.099999999999994</v>
      </c>
      <c r="H806" s="34">
        <f ca="1">Tabela1[[#This Row],[PESO UNI]]*Tabela1[[#This Row],[QTE]]</f>
        <v>1297.5999999999999</v>
      </c>
      <c r="I806" s="7" t="s">
        <v>5383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 ca="1">Tabela1[[#This Row],[QTDE/ Fabricação]]-Tabela1[[#This Row],[QTE]]</f>
        <v>-16</v>
      </c>
      <c r="R806" s="18">
        <f t="shared" ca="1" si="152"/>
        <v>1297.5999999999999</v>
      </c>
      <c r="S806" s="18">
        <f t="shared" ca="1" si="153"/>
        <v>1297.5999999999999</v>
      </c>
      <c r="T806" s="19">
        <f t="shared" ca="1" si="154"/>
        <v>0</v>
      </c>
      <c r="U806" s="16">
        <f>IFERROR(SUMIF('LISTA DE EMBARQUE'!B:B,MICRO!E:E,'LISTA DE EMBARQUE'!G:G),"")</f>
        <v>16</v>
      </c>
      <c r="V806" s="12">
        <f>IFERROR(VLOOKUP(Tabela1[[#This Row],[COD.MDE]],'LISTA DE EMBARQUE'!B:L,11,0),"")</f>
        <v>6</v>
      </c>
      <c r="W806" s="13">
        <f>IFERROR(VLOOKUP(Tabela1[[#This Row],[COD.MDE]],'LISTA DE EMBARQUE'!B:M,12,0),"")</f>
        <v>46273</v>
      </c>
      <c r="X806" s="14">
        <f ca="1">IFERROR(Tabela1[[#This Row],[QIANTIDADE EXPEDIDA]]*Tabela1[[#This Row],[PESO UNI]],"")</f>
        <v>1297.5999999999999</v>
      </c>
      <c r="Y806" s="14">
        <f t="shared" ca="1" si="155"/>
        <v>0</v>
      </c>
      <c r="Z806" s="20">
        <f ca="1">Tabela1[[#This Row],[PESO TOTAL]]-Tabela1[[#This Row],[Peso Expedido]]</f>
        <v>0</v>
      </c>
      <c r="AA806" s="17">
        <v>1</v>
      </c>
      <c r="AB806" s="33"/>
      <c r="AC806" s="17">
        <v>1</v>
      </c>
      <c r="AD806" s="17">
        <v>1</v>
      </c>
      <c r="AE806" s="17">
        <v>1</v>
      </c>
      <c r="AF806" s="17">
        <v>1</v>
      </c>
      <c r="AG806" s="17">
        <v>1</v>
      </c>
      <c r="AH806" s="17">
        <v>1</v>
      </c>
      <c r="AI806" s="33" t="s">
        <v>4412</v>
      </c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1" t="s">
        <v>4903</v>
      </c>
      <c r="B807" s="21" t="s">
        <v>4904</v>
      </c>
      <c r="C807" s="1">
        <v>16</v>
      </c>
      <c r="D807" s="1" t="s">
        <v>4907</v>
      </c>
      <c r="E807" s="7">
        <v>4462</v>
      </c>
      <c r="F807" s="7">
        <v>40</v>
      </c>
      <c r="G807" s="1">
        <v>0.6</v>
      </c>
      <c r="H807" s="34">
        <f ca="1">Tabela1[[#This Row],[PESO UNI]]*Tabela1[[#This Row],[QTE]]</f>
        <v>9.6</v>
      </c>
      <c r="I807" s="7" t="s">
        <v>5383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 ca="1">Tabela1[[#This Row],[QTDE/ Fabricação]]-Tabela1[[#This Row],[QTE]]</f>
        <v>-16</v>
      </c>
      <c r="R807" s="18">
        <f t="shared" ref="R807:R833" ca="1" si="157">IFERROR(H807*((AA807*0.25)+(AC807*0.25)+(AD807*0.225)+(AE807*0.225)+(AF807*0.05)),"")</f>
        <v>9.6</v>
      </c>
      <c r="S807" s="18">
        <f t="shared" ref="S807:S833" ca="1" si="158">IFERROR(H807*AG807,"")</f>
        <v>9.6</v>
      </c>
      <c r="T807" s="19">
        <f t="shared" ref="T807:T833" ca="1" si="159">IFERROR(S807-H807,"")</f>
        <v>0</v>
      </c>
      <c r="U807" s="16">
        <f>IFERROR(SUMIF('LISTA DE EMBARQUE'!B:B,MICRO!E:E,'LISTA DE EMBARQUE'!G:G),"")</f>
        <v>16</v>
      </c>
      <c r="V807" s="12">
        <f>IFERROR(VLOOKUP(Tabela1[[#This Row],[COD.MDE]],'LISTA DE EMBARQUE'!B:L,11,0),"")</f>
        <v>6</v>
      </c>
      <c r="W807" s="13">
        <f>IFERROR(VLOOKUP(Tabela1[[#This Row],[COD.MDE]],'LISTA DE EMBARQUE'!B:M,12,0),"")</f>
        <v>46273</v>
      </c>
      <c r="X807" s="14">
        <f ca="1">IFERROR(Tabela1[[#This Row],[QIANTIDADE EXPEDIDA]]*Tabela1[[#This Row],[PESO UNI]],"")</f>
        <v>9.6</v>
      </c>
      <c r="Y807" s="14">
        <f t="shared" ref="Y807:Y833" ca="1" si="160">U807-C807</f>
        <v>0</v>
      </c>
      <c r="Z807" s="20">
        <f ca="1">Tabela1[[#This Row],[PESO TOTAL]]-Tabela1[[#This Row],[Peso Expedido]]</f>
        <v>0</v>
      </c>
      <c r="AA807" s="17">
        <v>1</v>
      </c>
      <c r="AB807" s="33"/>
      <c r="AC807" s="17">
        <v>1</v>
      </c>
      <c r="AD807" s="17">
        <v>1</v>
      </c>
      <c r="AE807" s="17">
        <v>1</v>
      </c>
      <c r="AF807" s="17">
        <v>1</v>
      </c>
      <c r="AG807" s="17">
        <v>1</v>
      </c>
      <c r="AH807" s="17">
        <v>1</v>
      </c>
      <c r="AI807" s="33" t="s">
        <v>4412</v>
      </c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1" t="s">
        <v>4903</v>
      </c>
      <c r="B808" s="21" t="s">
        <v>4904</v>
      </c>
      <c r="C808" s="1">
        <v>8</v>
      </c>
      <c r="D808" s="1" t="s">
        <v>4908</v>
      </c>
      <c r="E808" s="7">
        <v>4463</v>
      </c>
      <c r="F808" s="7">
        <v>40</v>
      </c>
      <c r="G808" s="1">
        <v>11.2</v>
      </c>
      <c r="H808" s="34">
        <f ca="1">Tabela1[[#This Row],[PESO UNI]]*Tabela1[[#This Row],[QTE]]</f>
        <v>89.6</v>
      </c>
      <c r="I808" s="7" t="s">
        <v>5383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 ca="1">Tabela1[[#This Row],[QTDE/ Fabricação]]-Tabela1[[#This Row],[QTE]]</f>
        <v>-8</v>
      </c>
      <c r="R808" s="18">
        <f t="shared" ca="1" si="157"/>
        <v>89.6</v>
      </c>
      <c r="S808" s="18">
        <f t="shared" ca="1" si="158"/>
        <v>89.6</v>
      </c>
      <c r="T808" s="19">
        <f t="shared" ca="1" si="159"/>
        <v>0</v>
      </c>
      <c r="U808" s="16">
        <f>IFERROR(SUMIF('LISTA DE EMBARQUE'!B:B,MICRO!E:E,'LISTA DE EMBARQUE'!G:G),"")</f>
        <v>8</v>
      </c>
      <c r="V808" s="12">
        <f>IFERROR(VLOOKUP(Tabela1[[#This Row],[COD.MDE]],'LISTA DE EMBARQUE'!B:L,11,0),"")</f>
        <v>6</v>
      </c>
      <c r="W808" s="13">
        <f>IFERROR(VLOOKUP(Tabela1[[#This Row],[COD.MDE]],'LISTA DE EMBARQUE'!B:M,12,0),"")</f>
        <v>46273</v>
      </c>
      <c r="X808" s="14">
        <f ca="1">IFERROR(Tabela1[[#This Row],[QIANTIDADE EXPEDIDA]]*Tabela1[[#This Row],[PESO UNI]],"")</f>
        <v>89.6</v>
      </c>
      <c r="Y808" s="14">
        <f t="shared" ca="1" si="160"/>
        <v>0</v>
      </c>
      <c r="Z808" s="20">
        <f ca="1">Tabela1[[#This Row],[PESO TOTAL]]-Tabela1[[#This Row],[Peso Expedido]]</f>
        <v>0</v>
      </c>
      <c r="AA808" s="17">
        <v>1</v>
      </c>
      <c r="AB808" s="33"/>
      <c r="AC808" s="17">
        <v>1</v>
      </c>
      <c r="AD808" s="17">
        <v>1</v>
      </c>
      <c r="AE808" s="17">
        <v>1</v>
      </c>
      <c r="AF808" s="17">
        <v>1</v>
      </c>
      <c r="AG808" s="17">
        <v>1</v>
      </c>
      <c r="AH808" s="17">
        <v>1</v>
      </c>
      <c r="AI808" s="33" t="s">
        <v>4412</v>
      </c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1" t="s">
        <v>4903</v>
      </c>
      <c r="B809" s="21" t="s">
        <v>4904</v>
      </c>
      <c r="C809" s="1">
        <v>16</v>
      </c>
      <c r="D809" s="1" t="s">
        <v>4909</v>
      </c>
      <c r="E809" s="7">
        <v>4464</v>
      </c>
      <c r="F809" s="7">
        <v>40</v>
      </c>
      <c r="G809" s="1">
        <v>6</v>
      </c>
      <c r="H809" s="34">
        <f ca="1">Tabela1[[#This Row],[PESO UNI]]*Tabela1[[#This Row],[QTE]]</f>
        <v>96</v>
      </c>
      <c r="I809" s="7" t="s">
        <v>5383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 ca="1">Tabela1[[#This Row],[QTDE/ Fabricação]]-Tabela1[[#This Row],[QTE]]</f>
        <v>-16</v>
      </c>
      <c r="R809" s="18">
        <f t="shared" ca="1" si="157"/>
        <v>43.2</v>
      </c>
      <c r="S809" s="18">
        <f t="shared" ca="1" si="158"/>
        <v>0</v>
      </c>
      <c r="T809" s="19">
        <f t="shared" ca="1" si="159"/>
        <v>-96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 ca="1">IFERROR(Tabela1[[#This Row],[QIANTIDADE EXPEDIDA]]*Tabela1[[#This Row],[PESO UNI]],"")</f>
        <v>0</v>
      </c>
      <c r="Y809" s="14">
        <f t="shared" ca="1" si="160"/>
        <v>-16</v>
      </c>
      <c r="Z809" s="20">
        <f ca="1">Tabela1[[#This Row],[PESO TOTAL]]-Tabela1[[#This Row],[Peso Expedido]]</f>
        <v>96</v>
      </c>
      <c r="AA809" s="17">
        <v>0.9</v>
      </c>
      <c r="AB809" s="33"/>
      <c r="AC809" s="33">
        <v>0.9</v>
      </c>
      <c r="AD809" s="33"/>
      <c r="AE809" s="33"/>
      <c r="AF809" s="33"/>
      <c r="AG809" s="33"/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1" t="s">
        <v>4903</v>
      </c>
      <c r="B810" s="21" t="s">
        <v>4904</v>
      </c>
      <c r="C810" s="1">
        <v>96</v>
      </c>
      <c r="D810" s="1" t="s">
        <v>4910</v>
      </c>
      <c r="E810" s="7">
        <v>4465</v>
      </c>
      <c r="F810" s="7">
        <v>40</v>
      </c>
      <c r="G810" s="1">
        <v>7.3</v>
      </c>
      <c r="H810" s="34">
        <f ca="1">Tabela1[[#This Row],[PESO UNI]]*Tabela1[[#This Row],[QTE]]</f>
        <v>700.8</v>
      </c>
      <c r="I810" s="7" t="s">
        <v>5383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 ca="1">Tabela1[[#This Row],[QTDE/ Fabricação]]-Tabela1[[#This Row],[QTE]]</f>
        <v>-96</v>
      </c>
      <c r="R810" s="18">
        <f t="shared" ca="1" si="157"/>
        <v>315.36</v>
      </c>
      <c r="S810" s="18">
        <f t="shared" ca="1" si="158"/>
        <v>0</v>
      </c>
      <c r="T810" s="19">
        <f t="shared" ca="1" si="159"/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 ca="1">IFERROR(Tabela1[[#This Row],[QIANTIDADE EXPEDIDA]]*Tabela1[[#This Row],[PESO UNI]],"")</f>
        <v>0</v>
      </c>
      <c r="Y810" s="14">
        <f t="shared" ca="1" si="160"/>
        <v>-96</v>
      </c>
      <c r="Z810" s="20">
        <f ca="1">Tabela1[[#This Row],[PESO TOTAL]]-Tabela1[[#This Row],[Peso Expedido]]</f>
        <v>700.8</v>
      </c>
      <c r="AA810" s="17">
        <v>0.9</v>
      </c>
      <c r="AB810" s="33"/>
      <c r="AC810" s="33">
        <v>0.9</v>
      </c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4911</v>
      </c>
      <c r="B811" s="21" t="s">
        <v>4912</v>
      </c>
      <c r="C811" s="1">
        <v>2</v>
      </c>
      <c r="D811" s="1" t="s">
        <v>4913</v>
      </c>
      <c r="E811" s="7">
        <v>4466</v>
      </c>
      <c r="F811" s="7">
        <v>40</v>
      </c>
      <c r="G811" s="1">
        <v>90.5</v>
      </c>
      <c r="H811" s="34">
        <f ca="1">Tabela1[[#This Row],[PESO UNI]]*Tabela1[[#This Row],[QTE]]</f>
        <v>181</v>
      </c>
      <c r="I811" s="7" t="s">
        <v>5383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 ca="1">Tabela1[[#This Row],[QTDE/ Fabricação]]-Tabela1[[#This Row],[QTE]]</f>
        <v>-2</v>
      </c>
      <c r="R811" s="18">
        <f t="shared" ca="1" si="157"/>
        <v>181</v>
      </c>
      <c r="S811" s="18">
        <f t="shared" ca="1" si="158"/>
        <v>181</v>
      </c>
      <c r="T811" s="19">
        <f t="shared" ca="1" si="159"/>
        <v>0</v>
      </c>
      <c r="U811" s="16">
        <f>IFERROR(SUMIF('LISTA DE EMBARQUE'!B:B,MICRO!E:E,'LISTA DE EMBARQUE'!G:G),"")</f>
        <v>2</v>
      </c>
      <c r="V811" s="12">
        <f>IFERROR(VLOOKUP(Tabela1[[#This Row],[COD.MDE]],'LISTA DE EMBARQUE'!B:L,11,0),"")</f>
        <v>6</v>
      </c>
      <c r="W811" s="13">
        <f>IFERROR(VLOOKUP(Tabela1[[#This Row],[COD.MDE]],'LISTA DE EMBARQUE'!B:M,12,0),"")</f>
        <v>46273</v>
      </c>
      <c r="X811" s="14">
        <f ca="1">IFERROR(Tabela1[[#This Row],[QIANTIDADE EXPEDIDA]]*Tabela1[[#This Row],[PESO UNI]],"")</f>
        <v>181</v>
      </c>
      <c r="Y811" s="14">
        <f t="shared" ca="1" si="160"/>
        <v>0</v>
      </c>
      <c r="Z811" s="20">
        <f ca="1">Tabela1[[#This Row],[PESO TOTAL]]-Tabela1[[#This Row],[Peso Expedido]]</f>
        <v>0</v>
      </c>
      <c r="AA811" s="17">
        <v>1</v>
      </c>
      <c r="AB811" s="33"/>
      <c r="AC811" s="17">
        <v>1</v>
      </c>
      <c r="AD811" s="17">
        <v>1</v>
      </c>
      <c r="AE811" s="17">
        <v>1</v>
      </c>
      <c r="AF811" s="17">
        <v>1</v>
      </c>
      <c r="AG811" s="17">
        <v>1</v>
      </c>
      <c r="AH811" s="17">
        <v>1</v>
      </c>
      <c r="AI811" s="33" t="s">
        <v>4412</v>
      </c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1" t="s">
        <v>4911</v>
      </c>
      <c r="B812" s="21" t="s">
        <v>4912</v>
      </c>
      <c r="C812" s="1">
        <v>4</v>
      </c>
      <c r="D812" s="1" t="s">
        <v>4914</v>
      </c>
      <c r="E812" s="7">
        <v>4467</v>
      </c>
      <c r="F812" s="7">
        <v>40</v>
      </c>
      <c r="G812" s="1">
        <v>8.1</v>
      </c>
      <c r="H812" s="34">
        <f ca="1">Tabela1[[#This Row],[PESO UNI]]*Tabela1[[#This Row],[QTE]]</f>
        <v>32.4</v>
      </c>
      <c r="I812" s="7" t="s">
        <v>5383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 ca="1">Tabela1[[#This Row],[QTDE/ Fabricação]]-Tabela1[[#This Row],[QTE]]</f>
        <v>-4</v>
      </c>
      <c r="R812" s="18">
        <f t="shared" ca="1" si="157"/>
        <v>32.4</v>
      </c>
      <c r="S812" s="18">
        <f t="shared" ca="1" si="158"/>
        <v>32.4</v>
      </c>
      <c r="T812" s="19">
        <f t="shared" ca="1" si="159"/>
        <v>0</v>
      </c>
      <c r="U812" s="16">
        <f>IFERROR(SUMIF('LISTA DE EMBARQUE'!B:B,MICRO!E:E,'LISTA DE EMBARQUE'!G:G),"")</f>
        <v>2</v>
      </c>
      <c r="V812" s="12">
        <f>IFERROR(VLOOKUP(Tabela1[[#This Row],[COD.MDE]],'LISTA DE EMBARQUE'!B:L,11,0),"")</f>
        <v>6</v>
      </c>
      <c r="W812" s="13">
        <f>IFERROR(VLOOKUP(Tabela1[[#This Row],[COD.MDE]],'LISTA DE EMBARQUE'!B:M,12,0),"")</f>
        <v>46273</v>
      </c>
      <c r="X812" s="14">
        <f ca="1">IFERROR(Tabela1[[#This Row],[QIANTIDADE EXPEDIDA]]*Tabela1[[#This Row],[PESO UNI]],"")</f>
        <v>16.2</v>
      </c>
      <c r="Y812" s="14">
        <f t="shared" ca="1" si="160"/>
        <v>-2</v>
      </c>
      <c r="Z812" s="20">
        <f ca="1">Tabela1[[#This Row],[PESO TOTAL]]-Tabela1[[#This Row],[Peso Expedido]]</f>
        <v>16.2</v>
      </c>
      <c r="AA812" s="17">
        <v>1</v>
      </c>
      <c r="AB812" s="33"/>
      <c r="AC812" s="33">
        <v>1</v>
      </c>
      <c r="AD812" s="33">
        <v>1</v>
      </c>
      <c r="AE812" s="33">
        <v>1</v>
      </c>
      <c r="AF812" s="33">
        <v>1</v>
      </c>
      <c r="AG812" s="33">
        <v>1</v>
      </c>
      <c r="AH812" s="33">
        <v>0.5</v>
      </c>
      <c r="AI812" s="33" t="s">
        <v>4412</v>
      </c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4911</v>
      </c>
      <c r="B813" s="21" t="s">
        <v>4912</v>
      </c>
      <c r="C813" s="1">
        <v>4</v>
      </c>
      <c r="D813" s="1" t="s">
        <v>4915</v>
      </c>
      <c r="E813" s="7">
        <v>4468</v>
      </c>
      <c r="F813" s="7">
        <v>40</v>
      </c>
      <c r="G813" s="1">
        <v>0.6</v>
      </c>
      <c r="H813" s="34">
        <f ca="1">Tabela1[[#This Row],[PESO UNI]]*Tabela1[[#This Row],[QTE]]</f>
        <v>2.4</v>
      </c>
      <c r="I813" s="7" t="s">
        <v>5383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 ca="1">Tabela1[[#This Row],[QTDE/ Fabricação]]-Tabela1[[#This Row],[QTE]]</f>
        <v>-4</v>
      </c>
      <c r="R813" s="18">
        <f t="shared" ca="1" si="157"/>
        <v>2.4</v>
      </c>
      <c r="S813" s="18">
        <f t="shared" ca="1" si="158"/>
        <v>2.4</v>
      </c>
      <c r="T813" s="19">
        <f t="shared" ca="1" si="159"/>
        <v>0</v>
      </c>
      <c r="U813" s="16">
        <f>IFERROR(SUMIF('LISTA DE EMBARQUE'!B:B,MICRO!E:E,'LISTA DE EMBARQUE'!G:G),"")</f>
        <v>4</v>
      </c>
      <c r="V813" s="12">
        <f>IFERROR(VLOOKUP(Tabela1[[#This Row],[COD.MDE]],'LISTA DE EMBARQUE'!B:L,11,0),"")</f>
        <v>6</v>
      </c>
      <c r="W813" s="13">
        <f>IFERROR(VLOOKUP(Tabela1[[#This Row],[COD.MDE]],'LISTA DE EMBARQUE'!B:M,12,0),"")</f>
        <v>46273</v>
      </c>
      <c r="X813" s="14">
        <f ca="1">IFERROR(Tabela1[[#This Row],[QIANTIDADE EXPEDIDA]]*Tabela1[[#This Row],[PESO UNI]],"")</f>
        <v>2.4</v>
      </c>
      <c r="Y813" s="14">
        <f t="shared" ca="1" si="160"/>
        <v>0</v>
      </c>
      <c r="Z813" s="20">
        <f ca="1">Tabela1[[#This Row],[PESO TOTAL]]-Tabela1[[#This Row],[Peso Expedido]]</f>
        <v>0</v>
      </c>
      <c r="AA813" s="17">
        <v>1</v>
      </c>
      <c r="AB813" s="33"/>
      <c r="AC813" s="17">
        <v>1</v>
      </c>
      <c r="AD813" s="17">
        <v>1</v>
      </c>
      <c r="AE813" s="17">
        <v>1</v>
      </c>
      <c r="AF813" s="17">
        <v>1</v>
      </c>
      <c r="AG813" s="17">
        <v>1</v>
      </c>
      <c r="AH813" s="17">
        <v>1</v>
      </c>
      <c r="AI813" s="33" t="s">
        <v>4412</v>
      </c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1" t="s">
        <v>4911</v>
      </c>
      <c r="B814" s="21" t="s">
        <v>4912</v>
      </c>
      <c r="C814" s="1">
        <v>2</v>
      </c>
      <c r="D814" s="1" t="s">
        <v>4916</v>
      </c>
      <c r="E814" s="7">
        <v>4469</v>
      </c>
      <c r="F814" s="7">
        <v>40</v>
      </c>
      <c r="G814" s="1">
        <v>11.2</v>
      </c>
      <c r="H814" s="34">
        <f ca="1">Tabela1[[#This Row],[PESO UNI]]*Tabela1[[#This Row],[QTE]]</f>
        <v>22.4</v>
      </c>
      <c r="I814" s="7" t="s">
        <v>5383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 ca="1">Tabela1[[#This Row],[QTDE/ Fabricação]]-Tabela1[[#This Row],[QTE]]</f>
        <v>-2</v>
      </c>
      <c r="R814" s="18">
        <f t="shared" ca="1" si="157"/>
        <v>22.4</v>
      </c>
      <c r="S814" s="18">
        <f t="shared" ca="1" si="158"/>
        <v>22.4</v>
      </c>
      <c r="T814" s="19">
        <f t="shared" ca="1" si="159"/>
        <v>0</v>
      </c>
      <c r="U814" s="16">
        <f>IFERROR(SUMIF('LISTA DE EMBARQUE'!B:B,MICRO!E:E,'LISTA DE EMBARQUE'!G:G),"")</f>
        <v>2</v>
      </c>
      <c r="V814" s="12">
        <f>IFERROR(VLOOKUP(Tabela1[[#This Row],[COD.MDE]],'LISTA DE EMBARQUE'!B:L,11,0),"")</f>
        <v>6</v>
      </c>
      <c r="W814" s="13">
        <f>IFERROR(VLOOKUP(Tabela1[[#This Row],[COD.MDE]],'LISTA DE EMBARQUE'!B:M,12,0),"")</f>
        <v>46273</v>
      </c>
      <c r="X814" s="14">
        <f ca="1">IFERROR(Tabela1[[#This Row],[QIANTIDADE EXPEDIDA]]*Tabela1[[#This Row],[PESO UNI]],"")</f>
        <v>22.4</v>
      </c>
      <c r="Y814" s="14">
        <f t="shared" ca="1" si="160"/>
        <v>0</v>
      </c>
      <c r="Z814" s="20">
        <f ca="1">Tabela1[[#This Row],[PESO TOTAL]]-Tabela1[[#This Row],[Peso Expedido]]</f>
        <v>0</v>
      </c>
      <c r="AA814" s="17">
        <v>1</v>
      </c>
      <c r="AB814" s="33"/>
      <c r="AC814" s="17">
        <v>1</v>
      </c>
      <c r="AD814" s="17">
        <v>1</v>
      </c>
      <c r="AE814" s="17">
        <v>1</v>
      </c>
      <c r="AF814" s="17">
        <v>1</v>
      </c>
      <c r="AG814" s="17">
        <v>1</v>
      </c>
      <c r="AH814" s="17">
        <v>1</v>
      </c>
      <c r="AI814" s="33" t="s">
        <v>4412</v>
      </c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4911</v>
      </c>
      <c r="B815" s="21" t="s">
        <v>4912</v>
      </c>
      <c r="C815" s="1">
        <v>2</v>
      </c>
      <c r="D815" s="1" t="s">
        <v>4917</v>
      </c>
      <c r="E815" s="7">
        <v>4470</v>
      </c>
      <c r="F815" s="7">
        <v>40</v>
      </c>
      <c r="G815" s="1">
        <v>3.4</v>
      </c>
      <c r="H815" s="34">
        <f ca="1">Tabela1[[#This Row],[PESO UNI]]*Tabela1[[#This Row],[QTE]]</f>
        <v>6.8</v>
      </c>
      <c r="I815" s="7" t="s">
        <v>5383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 ca="1">Tabela1[[#This Row],[QTDE/ Fabricação]]-Tabela1[[#This Row],[QTE]]</f>
        <v>-2</v>
      </c>
      <c r="R815" s="18">
        <f t="shared" ca="1" si="157"/>
        <v>3.06</v>
      </c>
      <c r="S815" s="18">
        <f t="shared" ca="1" si="158"/>
        <v>0</v>
      </c>
      <c r="T815" s="19">
        <f t="shared" ca="1" si="159"/>
        <v>-6.8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 ca="1">IFERROR(Tabela1[[#This Row],[QIANTIDADE EXPEDIDA]]*Tabela1[[#This Row],[PESO UNI]],"")</f>
        <v>0</v>
      </c>
      <c r="Y815" s="14">
        <f t="shared" ca="1" si="160"/>
        <v>-2</v>
      </c>
      <c r="Z815" s="20">
        <f ca="1">Tabela1[[#This Row],[PESO TOTAL]]-Tabela1[[#This Row],[Peso Expedido]]</f>
        <v>6.8</v>
      </c>
      <c r="AA815" s="17">
        <v>0.9</v>
      </c>
      <c r="AB815" s="33"/>
      <c r="AC815" s="33">
        <v>0.9</v>
      </c>
      <c r="AD815" s="33"/>
      <c r="AE815" s="33"/>
      <c r="AF815" s="33"/>
      <c r="AG815" s="33"/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1" t="s">
        <v>4911</v>
      </c>
      <c r="B816" s="21" t="s">
        <v>4912</v>
      </c>
      <c r="C816" s="1">
        <v>2</v>
      </c>
      <c r="D816" s="1" t="s">
        <v>4918</v>
      </c>
      <c r="E816" s="7">
        <v>4471</v>
      </c>
      <c r="F816" s="7">
        <v>40</v>
      </c>
      <c r="G816" s="1">
        <v>6</v>
      </c>
      <c r="H816" s="34">
        <f ca="1">Tabela1[[#This Row],[PESO UNI]]*Tabela1[[#This Row],[QTE]]</f>
        <v>12</v>
      </c>
      <c r="I816" s="7" t="s">
        <v>5383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 ca="1">Tabela1[[#This Row],[QTDE/ Fabricação]]-Tabela1[[#This Row],[QTE]]</f>
        <v>-2</v>
      </c>
      <c r="R816" s="18">
        <f t="shared" ca="1" si="157"/>
        <v>5.4</v>
      </c>
      <c r="S816" s="18">
        <f t="shared" ca="1" si="158"/>
        <v>0</v>
      </c>
      <c r="T816" s="19">
        <f t="shared" ca="1" si="159"/>
        <v>-12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 ca="1">IFERROR(Tabela1[[#This Row],[QIANTIDADE EXPEDIDA]]*Tabela1[[#This Row],[PESO UNI]],"")</f>
        <v>0</v>
      </c>
      <c r="Y816" s="14">
        <f t="shared" ca="1" si="160"/>
        <v>-2</v>
      </c>
      <c r="Z816" s="20">
        <f ca="1">Tabela1[[#This Row],[PESO TOTAL]]-Tabela1[[#This Row],[Peso Expedido]]</f>
        <v>12</v>
      </c>
      <c r="AA816" s="17">
        <v>0.9</v>
      </c>
      <c r="AB816" s="33"/>
      <c r="AC816" s="33">
        <v>0.9</v>
      </c>
      <c r="AD816" s="33"/>
      <c r="AE816" s="33"/>
      <c r="AF816" s="33"/>
      <c r="AG816" s="33"/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1" t="s">
        <v>4911</v>
      </c>
      <c r="B817" s="21" t="s">
        <v>4912</v>
      </c>
      <c r="C817" s="1">
        <v>28</v>
      </c>
      <c r="D817" s="1" t="s">
        <v>4919</v>
      </c>
      <c r="E817" s="7">
        <v>4472</v>
      </c>
      <c r="F817" s="7">
        <v>40</v>
      </c>
      <c r="G817" s="1">
        <v>7.3</v>
      </c>
      <c r="H817" s="34">
        <f ca="1">Tabela1[[#This Row],[PESO UNI]]*Tabela1[[#This Row],[QTE]]</f>
        <v>204.4</v>
      </c>
      <c r="I817" s="7" t="s">
        <v>5383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 ca="1">Tabela1[[#This Row],[QTDE/ Fabricação]]-Tabela1[[#This Row],[QTE]]</f>
        <v>-28</v>
      </c>
      <c r="R817" s="18">
        <f t="shared" ca="1" si="157"/>
        <v>204.4</v>
      </c>
      <c r="S817" s="18">
        <f t="shared" ca="1" si="158"/>
        <v>204.4</v>
      </c>
      <c r="T817" s="19">
        <f t="shared" ca="1" si="159"/>
        <v>0</v>
      </c>
      <c r="U817" s="16">
        <f>IFERROR(SUMIF('LISTA DE EMBARQUE'!B:B,MICRO!E:E,'LISTA DE EMBARQUE'!G:G),"")</f>
        <v>28</v>
      </c>
      <c r="V817" s="12">
        <f>IFERROR(VLOOKUP(Tabela1[[#This Row],[COD.MDE]],'LISTA DE EMBARQUE'!B:L,11,0),"")</f>
        <v>5</v>
      </c>
      <c r="W817" s="13">
        <f>IFERROR(VLOOKUP(Tabela1[[#This Row],[COD.MDE]],'LISTA DE EMBARQUE'!B:M,12,0),"")</f>
        <v>46254</v>
      </c>
      <c r="X817" s="14">
        <f ca="1">IFERROR(Tabela1[[#This Row],[QIANTIDADE EXPEDIDA]]*Tabela1[[#This Row],[PESO UNI]],"")</f>
        <v>204.4</v>
      </c>
      <c r="Y817" s="14">
        <f t="shared" ca="1" si="160"/>
        <v>0</v>
      </c>
      <c r="Z817" s="20">
        <f ca="1">Tabela1[[#This Row],[PESO TOTAL]]-Tabela1[[#This Row],[Peso Expedido]]</f>
        <v>0</v>
      </c>
      <c r="AA817" s="17">
        <v>1</v>
      </c>
      <c r="AB817" s="33"/>
      <c r="AC817" s="33">
        <v>1</v>
      </c>
      <c r="AD817" s="33">
        <v>1</v>
      </c>
      <c r="AE817" s="33">
        <v>1</v>
      </c>
      <c r="AF817" s="33">
        <v>1</v>
      </c>
      <c r="AG817" s="33">
        <v>1</v>
      </c>
      <c r="AH817" s="33">
        <v>1</v>
      </c>
      <c r="AI817" s="33" t="str">
        <f ca="1">IF(Z817&lt;=0,"ok","")</f>
        <v>ok</v>
      </c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1" t="s">
        <v>4920</v>
      </c>
      <c r="B818" s="21" t="s">
        <v>4921</v>
      </c>
      <c r="C818" s="1">
        <v>1</v>
      </c>
      <c r="D818" s="1" t="s">
        <v>4922</v>
      </c>
      <c r="E818" s="7">
        <v>4473</v>
      </c>
      <c r="F818" s="7">
        <v>41</v>
      </c>
      <c r="G818" s="1">
        <v>715.7</v>
      </c>
      <c r="H818" s="34">
        <f ca="1">Tabela1[[#This Row],[PESO UNI]]*Tabela1[[#This Row],[QTE]]</f>
        <v>715.7</v>
      </c>
      <c r="I818" s="7" t="s">
        <v>5007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38</v>
      </c>
      <c r="O818" s="12"/>
      <c r="P818" s="13"/>
      <c r="Q818" s="14">
        <f ca="1">Tabela1[[#This Row],[QTDE/ Fabricação]]-Tabela1[[#This Row],[QTE]]</f>
        <v>-1</v>
      </c>
      <c r="R818" s="18">
        <f t="shared" ca="1" si="157"/>
        <v>178.92500000000001</v>
      </c>
      <c r="S818" s="18">
        <f t="shared" ca="1" si="158"/>
        <v>0</v>
      </c>
      <c r="T818" s="19">
        <f t="shared" ca="1" si="159"/>
        <v>-715.7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 ca="1">IFERROR(Tabela1[[#This Row],[QIANTIDADE EXPEDIDA]]*Tabela1[[#This Row],[PESO UNI]],"")</f>
        <v>0</v>
      </c>
      <c r="Y818" s="14">
        <f t="shared" ca="1" si="160"/>
        <v>-1</v>
      </c>
      <c r="Z818" s="20">
        <f ca="1">Tabela1[[#This Row],[PESO TOTAL]]-Tabela1[[#This Row],[Peso Expedido]]</f>
        <v>715.7</v>
      </c>
      <c r="AA818" s="17">
        <v>1</v>
      </c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1" t="s">
        <v>4920</v>
      </c>
      <c r="B819" s="21" t="s">
        <v>4921</v>
      </c>
      <c r="C819" s="1">
        <v>4</v>
      </c>
      <c r="D819" s="1" t="s">
        <v>4923</v>
      </c>
      <c r="E819" s="7">
        <v>4474</v>
      </c>
      <c r="F819" s="7">
        <v>41</v>
      </c>
      <c r="G819" s="1">
        <v>10.7</v>
      </c>
      <c r="H819" s="34">
        <f ca="1">Tabela1[[#This Row],[PESO UNI]]*Tabela1[[#This Row],[QTE]]</f>
        <v>42.8</v>
      </c>
      <c r="I819" s="7" t="s">
        <v>5007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38</v>
      </c>
      <c r="O819" s="12"/>
      <c r="P819" s="13"/>
      <c r="Q819" s="14">
        <f ca="1">Tabela1[[#This Row],[QTDE/ Fabricação]]-Tabela1[[#This Row],[QTE]]</f>
        <v>-4</v>
      </c>
      <c r="R819" s="18">
        <f t="shared" ca="1" si="157"/>
        <v>10.7</v>
      </c>
      <c r="S819" s="18">
        <f t="shared" ca="1" si="158"/>
        <v>0</v>
      </c>
      <c r="T819" s="19">
        <f t="shared" ca="1" si="159"/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 ca="1">IFERROR(Tabela1[[#This Row],[QIANTIDADE EXPEDIDA]]*Tabela1[[#This Row],[PESO UNI]],"")</f>
        <v>0</v>
      </c>
      <c r="Y819" s="14">
        <f t="shared" ca="1" si="160"/>
        <v>-4</v>
      </c>
      <c r="Z819" s="20">
        <f ca="1">Tabela1[[#This Row],[PESO TOTAL]]-Tabela1[[#This Row],[Peso Expedido]]</f>
        <v>42.8</v>
      </c>
      <c r="AA819" s="17">
        <v>1</v>
      </c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4924</v>
      </c>
      <c r="B820" s="21" t="s">
        <v>4925</v>
      </c>
      <c r="C820" s="1">
        <v>2</v>
      </c>
      <c r="D820" s="1" t="s">
        <v>4926</v>
      </c>
      <c r="E820" s="7">
        <v>4475</v>
      </c>
      <c r="F820" s="7">
        <v>42</v>
      </c>
      <c r="G820" s="1">
        <v>23.8</v>
      </c>
      <c r="H820" s="34">
        <f ca="1"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 ca="1">Tabela1[[#This Row],[QTDE/ Fabricação]]-Tabela1[[#This Row],[QTE]]</f>
        <v>-2</v>
      </c>
      <c r="R820" s="18">
        <f t="shared" ca="1" si="157"/>
        <v>21.42</v>
      </c>
      <c r="S820" s="18">
        <f t="shared" ca="1" si="158"/>
        <v>0</v>
      </c>
      <c r="T820" s="19">
        <f t="shared" ca="1" si="159"/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 ca="1">IFERROR(Tabela1[[#This Row],[QIANTIDADE EXPEDIDA]]*Tabela1[[#This Row],[PESO UNI]],"")</f>
        <v>0</v>
      </c>
      <c r="Y820" s="14">
        <f t="shared" ca="1" si="160"/>
        <v>-2</v>
      </c>
      <c r="Z820" s="20">
        <f ca="1">Tabela1[[#This Row],[PESO TOTAL]]-Tabela1[[#This Row],[Peso Expedido]]</f>
        <v>47.6</v>
      </c>
      <c r="AA820" s="17">
        <v>0.9</v>
      </c>
      <c r="AB820" s="33"/>
      <c r="AC820" s="33">
        <v>0.9</v>
      </c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4927</v>
      </c>
      <c r="B821" s="21" t="s">
        <v>4928</v>
      </c>
      <c r="C821" s="1">
        <v>1</v>
      </c>
      <c r="D821" s="1" t="s">
        <v>4935</v>
      </c>
      <c r="E821" s="7">
        <v>4476</v>
      </c>
      <c r="F821" s="7">
        <v>43</v>
      </c>
      <c r="G821" s="1">
        <v>1146.0999999999999</v>
      </c>
      <c r="H821" s="34">
        <f ca="1">Tabela1[[#This Row],[PESO UNI]]*Tabela1[[#This Row],[QTE]]</f>
        <v>1146.0999999999999</v>
      </c>
      <c r="I821" s="7" t="s">
        <v>5490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 ca="1">Tabela1[[#This Row],[QTDE/ Fabricação]]-Tabela1[[#This Row],[QTE]]</f>
        <v>-1</v>
      </c>
      <c r="R821" s="18">
        <f t="shared" ca="1" si="157"/>
        <v>1146.0999999999999</v>
      </c>
      <c r="S821" s="18">
        <f t="shared" ca="1" si="158"/>
        <v>1146.0999999999999</v>
      </c>
      <c r="T821" s="19">
        <f t="shared" ca="1" si="159"/>
        <v>0</v>
      </c>
      <c r="U821" s="16">
        <f>IFERROR(SUMIF('LISTA DE EMBARQUE'!B:B,MICRO!E:E,'LISTA DE EMBARQUE'!G:G),"")</f>
        <v>1</v>
      </c>
      <c r="V821" s="12">
        <f>IFERROR(VLOOKUP(Tabela1[[#This Row],[COD.MDE]],'LISTA DE EMBARQUE'!B:L,11,0),"")</f>
        <v>6</v>
      </c>
      <c r="W821" s="13">
        <f>IFERROR(VLOOKUP(Tabela1[[#This Row],[COD.MDE]],'LISTA DE EMBARQUE'!B:M,12,0),"")</f>
        <v>46273</v>
      </c>
      <c r="X821" s="14">
        <f ca="1">IFERROR(Tabela1[[#This Row],[QIANTIDADE EXPEDIDA]]*Tabela1[[#This Row],[PESO UNI]],"")</f>
        <v>1146.0999999999999</v>
      </c>
      <c r="Y821" s="14">
        <f t="shared" ca="1" si="160"/>
        <v>0</v>
      </c>
      <c r="Z821" s="20">
        <f ca="1">Tabela1[[#This Row],[PESO TOTAL]]-Tabela1[[#This Row],[Peso Expedido]]</f>
        <v>0</v>
      </c>
      <c r="AA821" s="17">
        <v>1</v>
      </c>
      <c r="AB821" s="33"/>
      <c r="AC821" s="17">
        <v>1</v>
      </c>
      <c r="AD821" s="17">
        <v>1</v>
      </c>
      <c r="AE821" s="17">
        <v>1</v>
      </c>
      <c r="AF821" s="17">
        <v>1</v>
      </c>
      <c r="AG821" s="17">
        <v>1</v>
      </c>
      <c r="AH821" s="17">
        <v>1</v>
      </c>
      <c r="AI821" s="33" t="s">
        <v>4412</v>
      </c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1" t="s">
        <v>4929</v>
      </c>
      <c r="B822" s="21" t="s">
        <v>4930</v>
      </c>
      <c r="C822" s="1">
        <v>1</v>
      </c>
      <c r="D822" s="1" t="s">
        <v>4934</v>
      </c>
      <c r="E822" s="7">
        <v>4477</v>
      </c>
      <c r="F822" s="7">
        <v>43</v>
      </c>
      <c r="G822" s="1">
        <v>769.4</v>
      </c>
      <c r="H822" s="34">
        <f ca="1">Tabela1[[#This Row],[PESO UNI]]*Tabela1[[#This Row],[QTE]]</f>
        <v>769.4</v>
      </c>
      <c r="I822" s="7" t="s">
        <v>5281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38</v>
      </c>
      <c r="O822" s="12"/>
      <c r="P822" s="13"/>
      <c r="Q822" s="14">
        <f ca="1">Tabela1[[#This Row],[QTDE/ Fabricação]]-Tabela1[[#This Row],[QTE]]</f>
        <v>-1</v>
      </c>
      <c r="R822" s="18">
        <f t="shared" ca="1" si="157"/>
        <v>192.35</v>
      </c>
      <c r="S822" s="18">
        <f t="shared" ca="1" si="158"/>
        <v>0</v>
      </c>
      <c r="T822" s="19">
        <f t="shared" ca="1" si="159"/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 ca="1">IFERROR(Tabela1[[#This Row],[QIANTIDADE EXPEDIDA]]*Tabela1[[#This Row],[PESO UNI]],"")</f>
        <v>0</v>
      </c>
      <c r="Y822" s="14">
        <f t="shared" ca="1" si="160"/>
        <v>-1</v>
      </c>
      <c r="Z822" s="20">
        <f ca="1">Tabela1[[#This Row],[PESO TOTAL]]-Tabela1[[#This Row],[Peso Expedido]]</f>
        <v>769.4</v>
      </c>
      <c r="AA822" s="17">
        <v>1</v>
      </c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4931</v>
      </c>
      <c r="B823" s="21" t="s">
        <v>4932</v>
      </c>
      <c r="C823" s="1">
        <v>1</v>
      </c>
      <c r="D823" s="1" t="s">
        <v>4933</v>
      </c>
      <c r="E823" s="7">
        <v>4478</v>
      </c>
      <c r="F823" s="7">
        <v>43</v>
      </c>
      <c r="G823" s="1">
        <v>764.5</v>
      </c>
      <c r="H823" s="34">
        <f ca="1">Tabela1[[#This Row],[PESO UNI]]*Tabela1[[#This Row],[QTE]]</f>
        <v>764.5</v>
      </c>
      <c r="I823" s="7" t="s">
        <v>5281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 ca="1">Tabela1[[#This Row],[QTDE/ Fabricação]]-Tabela1[[#This Row],[QTE]]</f>
        <v>-1</v>
      </c>
      <c r="R823" s="18">
        <f t="shared" ca="1" si="157"/>
        <v>191.125</v>
      </c>
      <c r="S823" s="18">
        <f t="shared" ca="1" si="158"/>
        <v>0</v>
      </c>
      <c r="T823" s="19">
        <f t="shared" ca="1" si="159"/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 ca="1">IFERROR(Tabela1[[#This Row],[QIANTIDADE EXPEDIDA]]*Tabela1[[#This Row],[PESO UNI]],"")</f>
        <v>0</v>
      </c>
      <c r="Y823" s="14">
        <f t="shared" ca="1" si="160"/>
        <v>-1</v>
      </c>
      <c r="Z823" s="20">
        <f ca="1">Tabela1[[#This Row],[PESO TOTAL]]-Tabela1[[#This Row],[Peso Expedido]]</f>
        <v>764.5</v>
      </c>
      <c r="AA823" s="17">
        <v>1</v>
      </c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4936</v>
      </c>
      <c r="B824" s="21" t="s">
        <v>4937</v>
      </c>
      <c r="C824" s="1">
        <v>1</v>
      </c>
      <c r="D824" s="1" t="s">
        <v>4938</v>
      </c>
      <c r="E824" s="7">
        <v>4479</v>
      </c>
      <c r="F824" s="7">
        <v>43</v>
      </c>
      <c r="G824" s="1">
        <v>748.5</v>
      </c>
      <c r="H824" s="34">
        <f ca="1">Tabela1[[#This Row],[PESO UNI]]*Tabela1[[#This Row],[QTE]]</f>
        <v>748.5</v>
      </c>
      <c r="I824" s="7" t="s">
        <v>5483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 ca="1">Tabela1[[#This Row],[QTDE/ Fabricação]]-Tabela1[[#This Row],[QTE]]</f>
        <v>-1</v>
      </c>
      <c r="R824" s="18">
        <f t="shared" ca="1" si="157"/>
        <v>187.125</v>
      </c>
      <c r="S824" s="18">
        <f t="shared" ca="1" si="158"/>
        <v>0</v>
      </c>
      <c r="T824" s="19">
        <f t="shared" ca="1" si="159"/>
        <v>-748.5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 ca="1">IFERROR(Tabela1[[#This Row],[QIANTIDADE EXPEDIDA]]*Tabela1[[#This Row],[PESO UNI]],"")</f>
        <v>0</v>
      </c>
      <c r="Y824" s="14">
        <f t="shared" ca="1" si="160"/>
        <v>-1</v>
      </c>
      <c r="Z824" s="20">
        <f ca="1">Tabela1[[#This Row],[PESO TOTAL]]-Tabela1[[#This Row],[Peso Expedido]]</f>
        <v>748.5</v>
      </c>
      <c r="AA824" s="17">
        <v>1</v>
      </c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4936</v>
      </c>
      <c r="B825" s="21" t="s">
        <v>4937</v>
      </c>
      <c r="C825" s="1">
        <v>1</v>
      </c>
      <c r="D825" s="1" t="s">
        <v>5009</v>
      </c>
      <c r="E825" s="7">
        <v>4512</v>
      </c>
      <c r="F825" s="7">
        <v>43</v>
      </c>
      <c r="G825" s="1">
        <v>287.7</v>
      </c>
      <c r="H825" s="34">
        <f ca="1">Tabela1[[#This Row],[PESO UNI]]*Tabela1[[#This Row],[QTE]]</f>
        <v>287.7</v>
      </c>
      <c r="I825" s="7" t="s">
        <v>5483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 ca="1">Tabela1[[#This Row],[QTDE/ Fabricação]]-Tabela1[[#This Row],[QTE]]</f>
        <v>-1</v>
      </c>
      <c r="R825" s="18">
        <f t="shared" ca="1" si="157"/>
        <v>71.924999999999997</v>
      </c>
      <c r="S825" s="18">
        <f t="shared" ca="1" si="158"/>
        <v>0</v>
      </c>
      <c r="T825" s="19">
        <f t="shared" ca="1" si="159"/>
        <v>-287.7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 ca="1">IFERROR(Tabela1[[#This Row],[QIANTIDADE EXPEDIDA]]*Tabela1[[#This Row],[PESO UNI]],"")</f>
        <v>0</v>
      </c>
      <c r="Y825" s="14">
        <f t="shared" ca="1" si="160"/>
        <v>-1</v>
      </c>
      <c r="Z825" s="20">
        <f ca="1">Tabela1[[#This Row],[PESO TOTAL]]-Tabela1[[#This Row],[Peso Expedido]]</f>
        <v>287.7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4936</v>
      </c>
      <c r="B826" s="21" t="s">
        <v>4937</v>
      </c>
      <c r="C826" s="1">
        <v>1</v>
      </c>
      <c r="D826" s="1" t="s">
        <v>4938</v>
      </c>
      <c r="E826" s="7">
        <v>4513</v>
      </c>
      <c r="F826" s="7">
        <v>43</v>
      </c>
      <c r="G826" s="1">
        <v>376.1</v>
      </c>
      <c r="H826" s="34">
        <f ca="1">Tabela1[[#This Row],[PESO UNI]]*Tabela1[[#This Row],[QTE]]</f>
        <v>376.1</v>
      </c>
      <c r="I826" s="7" t="s">
        <v>5483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 ca="1">Tabela1[[#This Row],[QTDE/ Fabricação]]-Tabela1[[#This Row],[QTE]]</f>
        <v>-1</v>
      </c>
      <c r="R826" s="18">
        <f t="shared" ca="1" si="157"/>
        <v>94.025000000000006</v>
      </c>
      <c r="S826" s="18">
        <f t="shared" ca="1" si="158"/>
        <v>0</v>
      </c>
      <c r="T826" s="19">
        <f t="shared" ca="1" si="159"/>
        <v>-376.1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 ca="1">IFERROR(Tabela1[[#This Row],[QIANTIDADE EXPEDIDA]]*Tabela1[[#This Row],[PESO UNI]],"")</f>
        <v>0</v>
      </c>
      <c r="Y826" s="14">
        <f t="shared" ca="1" si="160"/>
        <v>-1</v>
      </c>
      <c r="Z826" s="20">
        <f ca="1">Tabela1[[#This Row],[PESO TOTAL]]-Tabela1[[#This Row],[Peso Expedido]]</f>
        <v>376.1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4939</v>
      </c>
      <c r="B827" s="21" t="s">
        <v>4940</v>
      </c>
      <c r="C827" s="1">
        <v>1</v>
      </c>
      <c r="D827" s="1" t="s">
        <v>4941</v>
      </c>
      <c r="E827" s="7">
        <v>4480</v>
      </c>
      <c r="F827" s="7">
        <v>44</v>
      </c>
      <c r="G827" s="1">
        <v>485.6</v>
      </c>
      <c r="H827" s="34">
        <f ca="1">Tabela1[[#This Row],[PESO UNI]]*Tabela1[[#This Row],[QTE]]</f>
        <v>485.6</v>
      </c>
      <c r="I827" s="7" t="s">
        <v>5006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 ca="1">Tabela1[[#This Row],[QTDE/ Fabricação]]-Tabela1[[#This Row],[QTE]]</f>
        <v>-1</v>
      </c>
      <c r="R827" s="18">
        <f t="shared" ca="1" si="157"/>
        <v>121.4</v>
      </c>
      <c r="S827" s="18">
        <f t="shared" ca="1" si="158"/>
        <v>0</v>
      </c>
      <c r="T827" s="19">
        <f t="shared" ca="1" si="159"/>
        <v>-485.6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 ca="1">IFERROR(Tabela1[[#This Row],[QIANTIDADE EXPEDIDA]]*Tabela1[[#This Row],[PESO UNI]],"")</f>
        <v>0</v>
      </c>
      <c r="Y827" s="14">
        <f t="shared" ca="1" si="160"/>
        <v>-1</v>
      </c>
      <c r="Z827" s="20">
        <f ca="1">Tabela1[[#This Row],[PESO TOTAL]]-Tabela1[[#This Row],[Peso Expedido]]</f>
        <v>485.6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4939</v>
      </c>
      <c r="B828" s="21" t="s">
        <v>4940</v>
      </c>
      <c r="C828" s="1">
        <v>2</v>
      </c>
      <c r="D828" s="1" t="s">
        <v>4942</v>
      </c>
      <c r="E828" s="7">
        <v>4481</v>
      </c>
      <c r="F828" s="7">
        <v>44</v>
      </c>
      <c r="G828" s="1">
        <v>90.6</v>
      </c>
      <c r="H828" s="34">
        <f ca="1">Tabela1[[#This Row],[PESO UNI]]*Tabela1[[#This Row],[QTE]]</f>
        <v>181.2</v>
      </c>
      <c r="I828" s="7" t="s">
        <v>5006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 ca="1">Tabela1[[#This Row],[QTDE/ Fabricação]]-Tabela1[[#This Row],[QTE]]</f>
        <v>-2</v>
      </c>
      <c r="R828" s="18">
        <f t="shared" ca="1" si="157"/>
        <v>45.3</v>
      </c>
      <c r="S828" s="18">
        <f t="shared" ca="1" si="158"/>
        <v>0</v>
      </c>
      <c r="T828" s="19">
        <f t="shared" ca="1" si="159"/>
        <v>-181.2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 ca="1">IFERROR(Tabela1[[#This Row],[QIANTIDADE EXPEDIDA]]*Tabela1[[#This Row],[PESO UNI]],"")</f>
        <v>0</v>
      </c>
      <c r="Y828" s="14">
        <f t="shared" ca="1" si="160"/>
        <v>-2</v>
      </c>
      <c r="Z828" s="20">
        <f ca="1">Tabela1[[#This Row],[PESO TOTAL]]-Tabela1[[#This Row],[Peso Expedido]]</f>
        <v>181.2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4939</v>
      </c>
      <c r="B829" s="21" t="s">
        <v>4940</v>
      </c>
      <c r="C829" s="1">
        <v>2</v>
      </c>
      <c r="D829" s="1" t="s">
        <v>4943</v>
      </c>
      <c r="E829" s="7">
        <v>4482</v>
      </c>
      <c r="F829" s="7">
        <v>44</v>
      </c>
      <c r="G829" s="1">
        <v>113.8</v>
      </c>
      <c r="H829" s="34">
        <f ca="1">Tabela1[[#This Row],[PESO UNI]]*Tabela1[[#This Row],[QTE]]</f>
        <v>227.6</v>
      </c>
      <c r="I829" s="7" t="s">
        <v>5006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 ca="1">Tabela1[[#This Row],[QTDE/ Fabricação]]-Tabela1[[#This Row],[QTE]]</f>
        <v>-2</v>
      </c>
      <c r="R829" s="18">
        <f t="shared" ca="1" si="157"/>
        <v>56.9</v>
      </c>
      <c r="S829" s="18">
        <f t="shared" ca="1" si="158"/>
        <v>0</v>
      </c>
      <c r="T829" s="19">
        <f t="shared" ca="1" si="159"/>
        <v>-227.6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 ca="1">IFERROR(Tabela1[[#This Row],[QIANTIDADE EXPEDIDA]]*Tabela1[[#This Row],[PESO UNI]],"")</f>
        <v>0</v>
      </c>
      <c r="Y829" s="14">
        <f t="shared" ca="1" si="160"/>
        <v>-2</v>
      </c>
      <c r="Z829" s="20">
        <f ca="1">Tabela1[[#This Row],[PESO TOTAL]]-Tabela1[[#This Row],[Peso Expedido]]</f>
        <v>227.6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4944</v>
      </c>
      <c r="B830" s="21" t="s">
        <v>4945</v>
      </c>
      <c r="C830" s="1">
        <v>2</v>
      </c>
      <c r="D830" s="1" t="s">
        <v>4946</v>
      </c>
      <c r="E830" s="7">
        <v>4483</v>
      </c>
      <c r="F830" s="7">
        <v>44</v>
      </c>
      <c r="G830" s="1">
        <v>19.399999999999999</v>
      </c>
      <c r="H830" s="34">
        <f ca="1">Tabela1[[#This Row],[PESO UNI]]*Tabela1[[#This Row],[QTE]]</f>
        <v>38.799999999999997</v>
      </c>
      <c r="I830" s="7" t="s">
        <v>5006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 ca="1">Tabela1[[#This Row],[QTDE/ Fabricação]]-Tabela1[[#This Row],[QTE]]</f>
        <v>-2</v>
      </c>
      <c r="R830" s="18">
        <f t="shared" ca="1" si="157"/>
        <v>9.6999999999999993</v>
      </c>
      <c r="S830" s="18">
        <f t="shared" ca="1" si="158"/>
        <v>0</v>
      </c>
      <c r="T830" s="19">
        <f t="shared" ca="1" si="159"/>
        <v>-38.799999999999997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 ca="1">IFERROR(Tabela1[[#This Row],[QIANTIDADE EXPEDIDA]]*Tabela1[[#This Row],[PESO UNI]],"")</f>
        <v>0</v>
      </c>
      <c r="Y830" s="14">
        <f t="shared" ca="1" si="160"/>
        <v>-2</v>
      </c>
      <c r="Z830" s="20">
        <f ca="1">Tabela1[[#This Row],[PESO TOTAL]]-Tabela1[[#This Row],[Peso Expedido]]</f>
        <v>38.799999999999997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4944</v>
      </c>
      <c r="B831" s="21" t="s">
        <v>4945</v>
      </c>
      <c r="C831" s="1">
        <v>2</v>
      </c>
      <c r="D831" s="1" t="s">
        <v>4947</v>
      </c>
      <c r="E831" s="7">
        <v>4484</v>
      </c>
      <c r="F831" s="7">
        <v>44</v>
      </c>
      <c r="G831" s="1">
        <v>26.2</v>
      </c>
      <c r="H831" s="34">
        <f ca="1">Tabela1[[#This Row],[PESO UNI]]*Tabela1[[#This Row],[QTE]]</f>
        <v>52.4</v>
      </c>
      <c r="I831" s="7" t="s">
        <v>5006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 ca="1">Tabela1[[#This Row],[QTDE/ Fabricação]]-Tabela1[[#This Row],[QTE]]</f>
        <v>-2</v>
      </c>
      <c r="R831" s="18">
        <f t="shared" ca="1" si="157"/>
        <v>13.1</v>
      </c>
      <c r="S831" s="18">
        <f t="shared" ca="1" si="158"/>
        <v>0</v>
      </c>
      <c r="T831" s="19">
        <f t="shared" ca="1" si="159"/>
        <v>-52.4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 ca="1">IFERROR(Tabela1[[#This Row],[QIANTIDADE EXPEDIDA]]*Tabela1[[#This Row],[PESO UNI]],"")</f>
        <v>0</v>
      </c>
      <c r="Y831" s="14">
        <f t="shared" ca="1" si="160"/>
        <v>-2</v>
      </c>
      <c r="Z831" s="20">
        <f ca="1">Tabela1[[#This Row],[PESO TOTAL]]-Tabela1[[#This Row],[Peso Expedido]]</f>
        <v>52.4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4944</v>
      </c>
      <c r="B832" s="21" t="s">
        <v>4945</v>
      </c>
      <c r="C832" s="1">
        <v>2</v>
      </c>
      <c r="D832" s="1" t="s">
        <v>4948</v>
      </c>
      <c r="E832" s="7">
        <v>4485</v>
      </c>
      <c r="F832" s="7">
        <v>44</v>
      </c>
      <c r="G832" s="1">
        <v>2.2000000000000002</v>
      </c>
      <c r="H832" s="34">
        <f ca="1">Tabela1[[#This Row],[PESO UNI]]*Tabela1[[#This Row],[QTE]]</f>
        <v>4.4000000000000004</v>
      </c>
      <c r="I832" s="7" t="s">
        <v>5006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38</v>
      </c>
      <c r="O832" s="12"/>
      <c r="P832" s="13"/>
      <c r="Q832" s="14">
        <f ca="1">Tabela1[[#This Row],[QTDE/ Fabricação]]-Tabela1[[#This Row],[QTE]]</f>
        <v>-2</v>
      </c>
      <c r="R832" s="18">
        <f t="shared" ca="1" si="157"/>
        <v>1.1000000000000001</v>
      </c>
      <c r="S832" s="18">
        <f t="shared" ca="1" si="158"/>
        <v>0</v>
      </c>
      <c r="T832" s="19">
        <f t="shared" ca="1" si="159"/>
        <v>-4.4000000000000004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 ca="1">IFERROR(Tabela1[[#This Row],[QIANTIDADE EXPEDIDA]]*Tabela1[[#This Row],[PESO UNI]],"")</f>
        <v>0</v>
      </c>
      <c r="Y832" s="14">
        <f t="shared" ca="1" si="160"/>
        <v>-2</v>
      </c>
      <c r="Z832" s="20">
        <f ca="1">Tabela1[[#This Row],[PESO TOTAL]]-Tabela1[[#This Row],[Peso Expedido]]</f>
        <v>4.4000000000000004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4944</v>
      </c>
      <c r="B833" s="21" t="s">
        <v>4945</v>
      </c>
      <c r="C833" s="1">
        <v>2</v>
      </c>
      <c r="D833" s="1" t="s">
        <v>4949</v>
      </c>
      <c r="E833" s="7">
        <v>4486</v>
      </c>
      <c r="F833" s="7">
        <v>44</v>
      </c>
      <c r="G833" s="1">
        <v>6.9</v>
      </c>
      <c r="H833" s="34">
        <f ca="1">Tabela1[[#This Row],[PESO UNI]]*Tabela1[[#This Row],[QTE]]</f>
        <v>13.8</v>
      </c>
      <c r="I833" s="7" t="s">
        <v>5006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38</v>
      </c>
      <c r="O833" s="12"/>
      <c r="P833" s="13"/>
      <c r="Q833" s="14">
        <f ca="1">Tabela1[[#This Row],[QTDE/ Fabricação]]-Tabela1[[#This Row],[QTE]]</f>
        <v>-2</v>
      </c>
      <c r="R833" s="18">
        <f t="shared" ca="1" si="157"/>
        <v>3.45</v>
      </c>
      <c r="S833" s="18">
        <f t="shared" ca="1" si="158"/>
        <v>0</v>
      </c>
      <c r="T833" s="19">
        <f t="shared" ca="1" si="159"/>
        <v>-13.8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 ca="1">IFERROR(Tabela1[[#This Row],[QIANTIDADE EXPEDIDA]]*Tabela1[[#This Row],[PESO UNI]],"")</f>
        <v>0</v>
      </c>
      <c r="Y833" s="14">
        <f t="shared" ca="1" si="160"/>
        <v>-2</v>
      </c>
      <c r="Z833" s="20">
        <f ca="1">Tabela1[[#This Row],[PESO TOTAL]]-Tabela1[[#This Row],[Peso Expedido]]</f>
        <v>13.8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733</v>
      </c>
      <c r="B834" s="21"/>
      <c r="C834" s="1">
        <v>2</v>
      </c>
      <c r="D834" s="1" t="s">
        <v>4951</v>
      </c>
      <c r="E834" s="7">
        <v>4487</v>
      </c>
      <c r="F834" s="7">
        <v>71</v>
      </c>
      <c r="G834" s="1">
        <v>7.4</v>
      </c>
      <c r="H834" s="34">
        <f ca="1">Tabela1[[#This Row],[PESO UNI]]*Tabela1[[#This Row],[QTE]]</f>
        <v>14.8</v>
      </c>
      <c r="I834" s="7">
        <v>0</v>
      </c>
      <c r="J834" s="8" t="s">
        <v>585</v>
      </c>
      <c r="K834" s="8" t="s">
        <v>23</v>
      </c>
      <c r="L834" s="9" t="s">
        <v>4952</v>
      </c>
      <c r="M834" s="10">
        <v>46234</v>
      </c>
      <c r="N834" s="8" t="s">
        <v>38</v>
      </c>
      <c r="O834" s="12"/>
      <c r="P834" s="13"/>
      <c r="Q834" s="14">
        <f ca="1">Tabela1[[#This Row],[QTDE/ Fabricação]]-Tabela1[[#This Row],[QTE]]</f>
        <v>-2</v>
      </c>
      <c r="R834" s="18">
        <f t="shared" ref="R834" ca="1" si="161">IFERROR(H834*((AA834*0.25)+(AC834*0.25)+(AD834*0.225)+(AE834*0.225)+(AF834*0.05)),"")</f>
        <v>14.8</v>
      </c>
      <c r="S834" s="18">
        <f t="shared" ref="S834" ca="1" si="162">IFERROR(H834*AG834,"")</f>
        <v>14.8</v>
      </c>
      <c r="T834" s="19">
        <f t="shared" ref="T834" ca="1" si="163">IFERROR(S834-H834,"")</f>
        <v>0</v>
      </c>
      <c r="U834" s="16">
        <v>2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 ca="1">IFERROR(Tabela1[[#This Row],[QIANTIDADE EXPEDIDA]]*Tabela1[[#This Row],[PESO UNI]],"")</f>
        <v>14.8</v>
      </c>
      <c r="Y834" s="14">
        <f t="shared" ref="Y834" ca="1" si="164">U834-C834</f>
        <v>0</v>
      </c>
      <c r="Z834" s="20">
        <f ca="1">Tabela1[[#This Row],[PESO TOTAL]]-Tabela1[[#This Row],[Peso Expedido]]</f>
        <v>0</v>
      </c>
      <c r="AA834" s="17">
        <v>1</v>
      </c>
      <c r="AB834" s="17">
        <v>1</v>
      </c>
      <c r="AC834" s="17">
        <v>1</v>
      </c>
      <c r="AD834" s="17">
        <v>1</v>
      </c>
      <c r="AE834" s="17">
        <v>1</v>
      </c>
      <c r="AF834" s="33">
        <v>1</v>
      </c>
      <c r="AG834" s="33">
        <v>1</v>
      </c>
      <c r="AH834" s="33">
        <v>1</v>
      </c>
      <c r="AI834" s="33" t="s">
        <v>5415</v>
      </c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4953</v>
      </c>
      <c r="B835" s="21"/>
      <c r="C835" s="1">
        <v>1</v>
      </c>
      <c r="D835" s="1" t="s">
        <v>4954</v>
      </c>
      <c r="E835" s="7">
        <v>4488</v>
      </c>
      <c r="F835" s="7">
        <v>45</v>
      </c>
      <c r="G835" s="1">
        <v>3649.4</v>
      </c>
      <c r="H835" s="34">
        <f ca="1">Tabela1[[#This Row],[PESO UNI]]*Tabela1[[#This Row],[QTE]]</f>
        <v>3649.4</v>
      </c>
      <c r="I835" s="7">
        <v>0</v>
      </c>
      <c r="J835" s="8" t="s">
        <v>3093</v>
      </c>
      <c r="K835" s="8" t="s">
        <v>22</v>
      </c>
      <c r="L835" s="9" t="s">
        <v>2984</v>
      </c>
      <c r="M835" s="10">
        <v>46237</v>
      </c>
      <c r="N835" s="8" t="s">
        <v>38</v>
      </c>
      <c r="O835" s="12"/>
      <c r="P835" s="13"/>
      <c r="Q835" s="14">
        <f ca="1">Tabela1[[#This Row],[QTDE/ Fabricação]]-Tabela1[[#This Row],[QTE]]</f>
        <v>-1</v>
      </c>
      <c r="R835" s="18">
        <f t="shared" ref="R835:R841" ca="1" si="165">IFERROR(H835*((AA835*0.25)+(AC835*0.25)+(AD835*0.225)+(AE835*0.225)+(AF835*0.05)),"")</f>
        <v>1642.23</v>
      </c>
      <c r="S835" s="18">
        <f t="shared" ref="S835:S841" ca="1" si="166">IFERROR(H835*AG835,"")</f>
        <v>0</v>
      </c>
      <c r="T835" s="19">
        <f t="shared" ref="T835:T841" ca="1" si="167">IFERROR(S835-H835,"")</f>
        <v>-3649.4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 ca="1">IFERROR(Tabela1[[#This Row],[QIANTIDADE EXPEDIDA]]*Tabela1[[#This Row],[PESO UNI]],"")</f>
        <v>0</v>
      </c>
      <c r="Y835" s="14">
        <f t="shared" ref="Y835:Y841" ca="1" si="168">U835-C835</f>
        <v>-1</v>
      </c>
      <c r="Z835" s="20">
        <f ca="1">Tabela1[[#This Row],[PESO TOTAL]]-Tabela1[[#This Row],[Peso Expedido]]</f>
        <v>3649.4</v>
      </c>
      <c r="AA835" s="17">
        <v>0.9</v>
      </c>
      <c r="AB835" s="33"/>
      <c r="AC835" s="33">
        <v>0.9</v>
      </c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4956</v>
      </c>
      <c r="B836" s="21"/>
      <c r="C836" s="1">
        <v>1</v>
      </c>
      <c r="D836" s="1" t="s">
        <v>4955</v>
      </c>
      <c r="E836" s="7">
        <v>4489</v>
      </c>
      <c r="F836" s="7">
        <v>45</v>
      </c>
      <c r="G836" s="1">
        <v>2670.7</v>
      </c>
      <c r="H836" s="34">
        <f ca="1">Tabela1[[#This Row],[PESO UNI]]*Tabela1[[#This Row],[QTE]]</f>
        <v>2670.7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 ca="1">Tabela1[[#This Row],[QTDE/ Fabricação]]-Tabela1[[#This Row],[QTE]]</f>
        <v>-1</v>
      </c>
      <c r="R836" s="18">
        <f t="shared" ca="1" si="165"/>
        <v>1201.8150000000001</v>
      </c>
      <c r="S836" s="18">
        <f t="shared" ca="1" si="166"/>
        <v>0</v>
      </c>
      <c r="T836" s="19">
        <f t="shared" ca="1" si="167"/>
        <v>-2670.7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 ca="1">IFERROR(Tabela1[[#This Row],[QIANTIDADE EXPEDIDA]]*Tabela1[[#This Row],[PESO UNI]],"")</f>
        <v>0</v>
      </c>
      <c r="Y836" s="14">
        <f t="shared" ca="1" si="168"/>
        <v>-1</v>
      </c>
      <c r="Z836" s="20">
        <f ca="1">Tabela1[[#This Row],[PESO TOTAL]]-Tabela1[[#This Row],[Peso Expedido]]</f>
        <v>2670.7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4957</v>
      </c>
      <c r="B837" s="21" t="s">
        <v>4958</v>
      </c>
      <c r="C837" s="1">
        <v>1</v>
      </c>
      <c r="D837" s="1" t="s">
        <v>4959</v>
      </c>
      <c r="E837" s="7">
        <v>4490</v>
      </c>
      <c r="F837" s="7">
        <v>46</v>
      </c>
      <c r="G837" s="1">
        <v>2649.8</v>
      </c>
      <c r="H837" s="34">
        <f ca="1">Tabela1[[#This Row],[PESO UNI]]*Tabela1[[#This Row],[QTE]]</f>
        <v>2649.8</v>
      </c>
      <c r="I837" s="7" t="s">
        <v>5006</v>
      </c>
      <c r="J837" s="8" t="s">
        <v>3093</v>
      </c>
      <c r="K837" s="8" t="s">
        <v>4320</v>
      </c>
      <c r="L837" s="9" t="s">
        <v>2984</v>
      </c>
      <c r="M837" s="10">
        <v>46238</v>
      </c>
      <c r="N837" s="8" t="s">
        <v>38</v>
      </c>
      <c r="O837" s="12"/>
      <c r="P837" s="13"/>
      <c r="Q837" s="14">
        <f ca="1">Tabela1[[#This Row],[QTDE/ Fabricação]]-Tabela1[[#This Row],[QTE]]</f>
        <v>-1</v>
      </c>
      <c r="R837" s="18">
        <f t="shared" ca="1" si="165"/>
        <v>662.45</v>
      </c>
      <c r="S837" s="18">
        <f t="shared" ca="1" si="166"/>
        <v>0</v>
      </c>
      <c r="T837" s="19">
        <f t="shared" ca="1" si="167"/>
        <v>-2649.8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 ca="1">IFERROR(Tabela1[[#This Row],[QIANTIDADE EXPEDIDA]]*Tabela1[[#This Row],[PESO UNI]],"")</f>
        <v>0</v>
      </c>
      <c r="Y837" s="14">
        <f t="shared" ca="1" si="168"/>
        <v>-1</v>
      </c>
      <c r="Z837" s="20">
        <f ca="1">Tabela1[[#This Row],[PESO TOTAL]]-Tabela1[[#This Row],[Peso Expedido]]</f>
        <v>2649.8</v>
      </c>
      <c r="AA837" s="17">
        <v>1</v>
      </c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hidden="1" customHeight="1" x14ac:dyDescent="0.25">
      <c r="A838" s="1" t="s">
        <v>4960</v>
      </c>
      <c r="B838" s="21" t="s">
        <v>4961</v>
      </c>
      <c r="C838" s="1">
        <v>1</v>
      </c>
      <c r="D838" s="1" t="s">
        <v>4964</v>
      </c>
      <c r="E838" s="7">
        <v>4491</v>
      </c>
      <c r="F838" s="7">
        <v>47</v>
      </c>
      <c r="G838" s="1">
        <v>435.1</v>
      </c>
      <c r="H838" s="34">
        <f ca="1">Tabela1[[#This Row],[PESO UNI]]*Tabela1[[#This Row],[QTE]]</f>
        <v>435.1</v>
      </c>
      <c r="I838" s="7" t="s">
        <v>5300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 ca="1">Tabela1[[#This Row],[QTDE/ Fabricação]]-Tabela1[[#This Row],[QTE]]</f>
        <v>-1</v>
      </c>
      <c r="R838" s="18">
        <f t="shared" ca="1" si="165"/>
        <v>108.77500000000001</v>
      </c>
      <c r="S838" s="18">
        <f t="shared" ca="1" si="166"/>
        <v>0</v>
      </c>
      <c r="T838" s="19">
        <f t="shared" ca="1" si="167"/>
        <v>-435.1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 ca="1">IFERROR(Tabela1[[#This Row],[QIANTIDADE EXPEDIDA]]*Tabela1[[#This Row],[PESO UNI]],"")</f>
        <v>0</v>
      </c>
      <c r="Y838" s="14">
        <f t="shared" ca="1" si="168"/>
        <v>-1</v>
      </c>
      <c r="Z838" s="20">
        <f ca="1">Tabela1[[#This Row],[PESO TOTAL]]-Tabela1[[#This Row],[Peso Expedido]]</f>
        <v>435.1</v>
      </c>
      <c r="AA838" s="17">
        <v>1</v>
      </c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hidden="1" customHeight="1" x14ac:dyDescent="0.25">
      <c r="A839" s="1" t="s">
        <v>4963</v>
      </c>
      <c r="B839" s="21" t="s">
        <v>4962</v>
      </c>
      <c r="C839" s="1">
        <v>1</v>
      </c>
      <c r="D839" s="1" t="s">
        <v>4965</v>
      </c>
      <c r="E839" s="7">
        <v>4492</v>
      </c>
      <c r="F839" s="7">
        <v>47</v>
      </c>
      <c r="G839" s="1">
        <v>670.6</v>
      </c>
      <c r="H839" s="34">
        <f ca="1">Tabela1[[#This Row],[PESO UNI]]*Tabela1[[#This Row],[QTE]]</f>
        <v>670.6</v>
      </c>
      <c r="I839" s="7" t="s">
        <v>5300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 ca="1">Tabela1[[#This Row],[QTDE/ Fabricação]]-Tabela1[[#This Row],[QTE]]</f>
        <v>-1</v>
      </c>
      <c r="R839" s="18">
        <f t="shared" ca="1" si="165"/>
        <v>670.6</v>
      </c>
      <c r="S839" s="18">
        <f t="shared" ca="1" si="166"/>
        <v>670.6</v>
      </c>
      <c r="T839" s="19">
        <f t="shared" ca="1" si="167"/>
        <v>0</v>
      </c>
      <c r="U839" s="16">
        <f>IFERROR(SUMIF('LISTA DE EMBARQUE'!B:B,MICRO!E:E,'LISTA DE EMBARQUE'!G:G),"")</f>
        <v>1</v>
      </c>
      <c r="V839" s="12">
        <f>IFERROR(VLOOKUP(Tabela1[[#This Row],[COD.MDE]],'LISTA DE EMBARQUE'!B:L,11,0),"")</f>
        <v>6</v>
      </c>
      <c r="W839" s="13">
        <f>IFERROR(VLOOKUP(Tabela1[[#This Row],[COD.MDE]],'LISTA DE EMBARQUE'!B:M,12,0),"")</f>
        <v>46273</v>
      </c>
      <c r="X839" s="14">
        <f ca="1">IFERROR(Tabela1[[#This Row],[QIANTIDADE EXPEDIDA]]*Tabela1[[#This Row],[PESO UNI]],"")</f>
        <v>670.6</v>
      </c>
      <c r="Y839" s="14">
        <f t="shared" ca="1" si="168"/>
        <v>0</v>
      </c>
      <c r="Z839" s="20">
        <f ca="1">Tabela1[[#This Row],[PESO TOTAL]]-Tabela1[[#This Row],[Peso Expedido]]</f>
        <v>0</v>
      </c>
      <c r="AA839" s="17">
        <v>1</v>
      </c>
      <c r="AB839" s="33"/>
      <c r="AC839" s="17">
        <v>1</v>
      </c>
      <c r="AD839" s="17">
        <v>1</v>
      </c>
      <c r="AE839" s="17">
        <v>1</v>
      </c>
      <c r="AF839" s="17">
        <v>1</v>
      </c>
      <c r="AG839" s="17">
        <v>1</v>
      </c>
      <c r="AH839" s="17">
        <v>1</v>
      </c>
      <c r="AI839" s="33" t="s">
        <v>4412</v>
      </c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hidden="1" customHeight="1" x14ac:dyDescent="0.25">
      <c r="A840" s="1" t="s">
        <v>4972</v>
      </c>
      <c r="B840" s="21" t="s">
        <v>4973</v>
      </c>
      <c r="C840" s="1">
        <v>4</v>
      </c>
      <c r="D840" s="1" t="s">
        <v>4974</v>
      </c>
      <c r="E840" s="7">
        <v>4493</v>
      </c>
      <c r="F840" s="7">
        <v>48</v>
      </c>
      <c r="G840" s="1">
        <v>8.9</v>
      </c>
      <c r="H840" s="34">
        <f ca="1">Tabela1[[#This Row],[PESO UNI]]*Tabela1[[#This Row],[QTE]]</f>
        <v>35.6</v>
      </c>
      <c r="I840" s="7" t="s">
        <v>5300</v>
      </c>
      <c r="J840" s="8" t="s">
        <v>3045</v>
      </c>
      <c r="K840" s="8" t="s">
        <v>4320</v>
      </c>
      <c r="L840" s="9" t="s">
        <v>2984</v>
      </c>
      <c r="M840" s="10">
        <v>46238</v>
      </c>
      <c r="N840" s="8" t="s">
        <v>38</v>
      </c>
      <c r="O840" s="12"/>
      <c r="P840" s="13"/>
      <c r="Q840" s="14">
        <f ca="1">Tabela1[[#This Row],[QTDE/ Fabricação]]-Tabela1[[#This Row],[QTE]]</f>
        <v>-4</v>
      </c>
      <c r="R840" s="18">
        <f t="shared" ca="1" si="165"/>
        <v>8.9</v>
      </c>
      <c r="S840" s="18">
        <f t="shared" ca="1" si="166"/>
        <v>0</v>
      </c>
      <c r="T840" s="19">
        <f t="shared" ca="1" si="167"/>
        <v>-35.6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 ca="1">IFERROR(Tabela1[[#This Row],[QIANTIDADE EXPEDIDA]]*Tabela1[[#This Row],[PESO UNI]],"")</f>
        <v>0</v>
      </c>
      <c r="Y840" s="14">
        <f t="shared" ca="1" si="168"/>
        <v>-4</v>
      </c>
      <c r="Z840" s="20">
        <f ca="1">Tabela1[[#This Row],[PESO TOTAL]]-Tabela1[[#This Row],[Peso Expedido]]</f>
        <v>35.6</v>
      </c>
      <c r="AA840" s="17">
        <v>1</v>
      </c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25">
      <c r="A841" s="1" t="s">
        <v>4972</v>
      </c>
      <c r="B841" s="21" t="s">
        <v>4973</v>
      </c>
      <c r="C841" s="1">
        <v>1</v>
      </c>
      <c r="D841" s="1" t="s">
        <v>4975</v>
      </c>
      <c r="E841" s="7">
        <v>4494</v>
      </c>
      <c r="F841" s="7">
        <v>48</v>
      </c>
      <c r="G841" s="1">
        <v>325</v>
      </c>
      <c r="H841" s="34">
        <f ca="1">Tabela1[[#This Row],[PESO UNI]]*Tabela1[[#This Row],[QTE]]</f>
        <v>325</v>
      </c>
      <c r="I841" s="7" t="s">
        <v>5300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38</v>
      </c>
      <c r="O841" s="12"/>
      <c r="P841" s="13"/>
      <c r="Q841" s="14">
        <f ca="1">Tabela1[[#This Row],[QTDE/ Fabricação]]-Tabela1[[#This Row],[QTE]]</f>
        <v>-1</v>
      </c>
      <c r="R841" s="18">
        <f t="shared" ca="1" si="165"/>
        <v>81.25</v>
      </c>
      <c r="S841" s="18">
        <f t="shared" ca="1" si="166"/>
        <v>0</v>
      </c>
      <c r="T841" s="19">
        <f t="shared" ca="1" si="167"/>
        <v>-325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 ca="1">IFERROR(Tabela1[[#This Row],[QIANTIDADE EXPEDIDA]]*Tabela1[[#This Row],[PESO UNI]],"")</f>
        <v>0</v>
      </c>
      <c r="Y841" s="14">
        <f t="shared" ca="1" si="168"/>
        <v>-1</v>
      </c>
      <c r="Z841" s="20">
        <f ca="1">Tabela1[[#This Row],[PESO TOTAL]]-Tabela1[[#This Row],[Peso Expedido]]</f>
        <v>325</v>
      </c>
      <c r="AA841" s="17">
        <v>1</v>
      </c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2277</v>
      </c>
      <c r="B842" s="21"/>
      <c r="C842" s="1">
        <v>4</v>
      </c>
      <c r="D842" s="1" t="s">
        <v>4977</v>
      </c>
      <c r="E842" s="7">
        <v>4495</v>
      </c>
      <c r="F842" s="7">
        <v>12</v>
      </c>
      <c r="G842" s="1">
        <v>2.7</v>
      </c>
      <c r="H842" s="34">
        <f ca="1">Tabela1[[#This Row],[PESO UNI]]*Tabela1[[#This Row],[QTE]]</f>
        <v>10.8</v>
      </c>
      <c r="I842" s="7">
        <v>1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 ca="1">Tabela1[[#This Row],[QTDE/ Fabricação]]-Tabela1[[#This Row],[QTE]]</f>
        <v>-4</v>
      </c>
      <c r="R842" s="18">
        <f t="shared" ref="R842:R853" ca="1" si="169">IFERROR(H842*((AA842*0.25)+(AC842*0.25)+(AD842*0.225)+(AE842*0.225)+(AF842*0.05)),"")</f>
        <v>3.78</v>
      </c>
      <c r="S842" s="18">
        <f t="shared" ref="S842:S853" ca="1" si="170">IFERROR(H842*AG842,"")</f>
        <v>3.78</v>
      </c>
      <c r="T842" s="19">
        <f t="shared" ref="T842:T853" ca="1" si="171">IFERROR(S842-H842,"")</f>
        <v>-7.0200000000000014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 ca="1">IFERROR(Tabela1[[#This Row],[QIANTIDADE EXPEDIDA]]*Tabela1[[#This Row],[PESO UNI]],"")</f>
        <v>0</v>
      </c>
      <c r="Y842" s="14">
        <f t="shared" ref="Y842:Y853" ca="1" si="172">U842-C842</f>
        <v>-4</v>
      </c>
      <c r="Z842" s="20">
        <f ca="1">Tabela1[[#This Row],[PESO TOTAL]]-Tabela1[[#This Row],[Peso Expedido]]</f>
        <v>10.8</v>
      </c>
      <c r="AA842" s="17">
        <v>0.35</v>
      </c>
      <c r="AB842" s="33"/>
      <c r="AC842" s="33">
        <v>0.35</v>
      </c>
      <c r="AD842" s="33">
        <v>0.35</v>
      </c>
      <c r="AE842" s="33">
        <v>0.35</v>
      </c>
      <c r="AF842" s="33">
        <v>0.35</v>
      </c>
      <c r="AG842" s="33">
        <v>0.35</v>
      </c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4978</v>
      </c>
      <c r="B843" s="21"/>
      <c r="C843" s="1">
        <v>32</v>
      </c>
      <c r="D843" s="1" t="s">
        <v>5412</v>
      </c>
      <c r="E843" s="7">
        <v>4496</v>
      </c>
      <c r="F843" s="7">
        <v>12</v>
      </c>
      <c r="G843" s="1">
        <v>18.399999999999999</v>
      </c>
      <c r="H843" s="34">
        <f ca="1">Tabela1[[#This Row],[PESO UNI]]*Tabela1[[#This Row],[QTE]]</f>
        <v>588.79999999999995</v>
      </c>
      <c r="I843" s="7" t="s">
        <v>5411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 ca="1">Tabela1[[#This Row],[QTDE/ Fabricação]]-Tabela1[[#This Row],[QTE]]</f>
        <v>-32</v>
      </c>
      <c r="R843" s="18">
        <f ca="1">IFERROR(H843*((AA843*0.25)+(AC843*0.25)+(AD843*0.225)+(AE843*0.225)+(AF843*0.05)),"")</f>
        <v>264.96000000000004</v>
      </c>
      <c r="S843" s="18">
        <f ca="1">IFERROR(H843*AG843,"")</f>
        <v>235.51999999999998</v>
      </c>
      <c r="T843" s="19">
        <f ca="1">IFERROR(S843-H843,"")</f>
        <v>-353.28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 ca="1">IFERROR(Tabela1[[#This Row],[QIANTIDADE EXPEDIDA]]*Tabela1[[#This Row],[PESO UNI]],"")</f>
        <v>0</v>
      </c>
      <c r="Y843" s="14">
        <f ca="1">U843-C843</f>
        <v>-32</v>
      </c>
      <c r="Z843" s="20">
        <f ca="1">Tabela1[[#This Row],[PESO TOTAL]]-Tabela1[[#This Row],[Peso Expedido]]</f>
        <v>588.79999999999995</v>
      </c>
      <c r="AA843" s="17">
        <v>0.5</v>
      </c>
      <c r="AB843" s="33"/>
      <c r="AC843" s="33">
        <v>0.5</v>
      </c>
      <c r="AD843" s="33">
        <v>0.4</v>
      </c>
      <c r="AE843" s="33">
        <v>0.4</v>
      </c>
      <c r="AF843" s="33">
        <v>0.4</v>
      </c>
      <c r="AG843" s="33">
        <v>0.4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4978</v>
      </c>
      <c r="B844" s="21"/>
      <c r="C844" s="1">
        <v>64</v>
      </c>
      <c r="D844" s="1" t="s">
        <v>5413</v>
      </c>
      <c r="E844" s="7">
        <v>4748</v>
      </c>
      <c r="F844" s="7">
        <v>12</v>
      </c>
      <c r="G844" s="1">
        <v>40</v>
      </c>
      <c r="H844" s="34">
        <f ca="1">Tabela1[[#This Row],[PESO UNI]]*Tabela1[[#This Row],[QTE]]</f>
        <v>2560</v>
      </c>
      <c r="I844" s="7" t="s">
        <v>5411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 ca="1">Tabela1[[#This Row],[QTDE/ Fabricação]]-Tabela1[[#This Row],[QTE]]</f>
        <v>-64</v>
      </c>
      <c r="R844" s="18">
        <f ca="1">IFERROR(H844*((AA844*0.25)+(AC844*0.25)+(AD844*0.225)+(AE844*0.225)+(AF844*0.05)),"")</f>
        <v>1152.0000000000002</v>
      </c>
      <c r="S844" s="18">
        <f ca="1">IFERROR(H844*AG844,"")</f>
        <v>1024</v>
      </c>
      <c r="T844" s="19">
        <f ca="1">IFERROR(S844-H844,"")</f>
        <v>-1536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 ca="1">IFERROR(Tabela1[[#This Row],[QIANTIDADE EXPEDIDA]]*Tabela1[[#This Row],[PESO UNI]],"")</f>
        <v>0</v>
      </c>
      <c r="Y844" s="14">
        <f ca="1">U844-C844</f>
        <v>-64</v>
      </c>
      <c r="Z844" s="20">
        <f ca="1">Tabela1[[#This Row],[PESO TOTAL]]-Tabela1[[#This Row],[Peso Expedido]]</f>
        <v>2560</v>
      </c>
      <c r="AA844" s="17">
        <v>0.5</v>
      </c>
      <c r="AB844" s="33"/>
      <c r="AC844" s="33">
        <v>0.5</v>
      </c>
      <c r="AD844" s="33">
        <v>0.4</v>
      </c>
      <c r="AE844" s="33">
        <v>0.4</v>
      </c>
      <c r="AF844" s="33">
        <v>0.4</v>
      </c>
      <c r="AG844" s="33">
        <v>0.4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4979</v>
      </c>
      <c r="B845" s="21"/>
      <c r="C845" s="1">
        <v>11</v>
      </c>
      <c r="D845" s="1" t="s">
        <v>4980</v>
      </c>
      <c r="E845" s="7">
        <v>4497</v>
      </c>
      <c r="F845" s="7">
        <v>12</v>
      </c>
      <c r="G845" s="1">
        <v>18.399999999999999</v>
      </c>
      <c r="H845" s="34">
        <f ca="1">Tabela1[[#This Row],[PESO UNI]]*Tabela1[[#This Row],[QTE]]</f>
        <v>202.39999999999998</v>
      </c>
      <c r="I845" s="7" t="s">
        <v>5411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 ca="1">Tabela1[[#This Row],[QTDE/ Fabricação]]-Tabela1[[#This Row],[QTE]]</f>
        <v>-11</v>
      </c>
      <c r="R845" s="18">
        <f ca="1">IFERROR(H845*((AA845*0.25)+(AC845*0.25)+(AD845*0.225)+(AE845*0.225)+(AF845*0.05)),"")</f>
        <v>70.839999999999989</v>
      </c>
      <c r="S845" s="18">
        <f ca="1">IFERROR(H845*AG845,"")</f>
        <v>70.839999999999989</v>
      </c>
      <c r="T845" s="19">
        <f ca="1">IFERROR(S845-H845,"")</f>
        <v>-131.56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 ca="1">IFERROR(Tabela1[[#This Row],[QIANTIDADE EXPEDIDA]]*Tabela1[[#This Row],[PESO UNI]],"")</f>
        <v>0</v>
      </c>
      <c r="Y845" s="14">
        <f ca="1">U845-C845</f>
        <v>-11</v>
      </c>
      <c r="Z845" s="20">
        <f ca="1">Tabela1[[#This Row],[PESO TOTAL]]-Tabela1[[#This Row],[Peso Expedido]]</f>
        <v>202.39999999999998</v>
      </c>
      <c r="AA845" s="17">
        <v>0.35</v>
      </c>
      <c r="AB845" s="33"/>
      <c r="AC845" s="33">
        <v>0.35</v>
      </c>
      <c r="AD845" s="33">
        <v>0.35</v>
      </c>
      <c r="AE845" s="33">
        <v>0.35</v>
      </c>
      <c r="AF845" s="33">
        <v>0.35</v>
      </c>
      <c r="AG845" s="33">
        <v>0.35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4979</v>
      </c>
      <c r="B846" s="21"/>
      <c r="C846" s="1">
        <v>22</v>
      </c>
      <c r="D846" s="1" t="s">
        <v>5414</v>
      </c>
      <c r="E846" s="7">
        <v>4749</v>
      </c>
      <c r="F846" s="7">
        <v>12</v>
      </c>
      <c r="G846" s="1">
        <v>20</v>
      </c>
      <c r="H846" s="34">
        <f ca="1">Tabela1[[#This Row],[PESO UNI]]*Tabela1[[#This Row],[QTE]]</f>
        <v>440</v>
      </c>
      <c r="I846" s="7" t="s">
        <v>5411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 ca="1">Tabela1[[#This Row],[QTDE/ Fabricação]]-Tabela1[[#This Row],[QTE]]</f>
        <v>-22</v>
      </c>
      <c r="R846" s="18">
        <f ca="1">IFERROR(H846*((AA846*0.25)+(AC846*0.25)+(AD846*0.225)+(AE846*0.225)+(AF846*0.05)),"")</f>
        <v>154</v>
      </c>
      <c r="S846" s="18">
        <f ca="1">IFERROR(H846*AG846,"")</f>
        <v>154</v>
      </c>
      <c r="T846" s="19">
        <f ca="1">IFERROR(S846-H846,"")</f>
        <v>-286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 ca="1">IFERROR(Tabela1[[#This Row],[QIANTIDADE EXPEDIDA]]*Tabela1[[#This Row],[PESO UNI]],"")</f>
        <v>0</v>
      </c>
      <c r="Y846" s="14">
        <f ca="1">U846-C846</f>
        <v>-22</v>
      </c>
      <c r="Z846" s="20">
        <f ca="1">Tabela1[[#This Row],[PESO TOTAL]]-Tabela1[[#This Row],[Peso Expedido]]</f>
        <v>440</v>
      </c>
      <c r="AA846" s="17">
        <v>0.35</v>
      </c>
      <c r="AB846" s="33"/>
      <c r="AC846" s="33">
        <v>0.35</v>
      </c>
      <c r="AD846" s="33">
        <v>0.35</v>
      </c>
      <c r="AE846" s="33">
        <v>0.35</v>
      </c>
      <c r="AF846" s="33">
        <v>0.35</v>
      </c>
      <c r="AG846" s="33">
        <v>0.35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4981</v>
      </c>
      <c r="B847" s="21"/>
      <c r="C847" s="1">
        <v>4</v>
      </c>
      <c r="D847" s="1" t="s">
        <v>4982</v>
      </c>
      <c r="E847" s="7">
        <v>4498</v>
      </c>
      <c r="F847" s="7">
        <v>12</v>
      </c>
      <c r="G847" s="1">
        <v>32.299999999999997</v>
      </c>
      <c r="H847" s="34">
        <f ca="1">Tabela1[[#This Row],[PESO UNI]]*Tabela1[[#This Row],[QTE]]</f>
        <v>129.19999999999999</v>
      </c>
      <c r="I847" s="7" t="s">
        <v>5411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 ca="1">Tabela1[[#This Row],[QTDE/ Fabricação]]-Tabela1[[#This Row],[QTE]]</f>
        <v>-4</v>
      </c>
      <c r="R847" s="18">
        <f t="shared" ca="1" si="169"/>
        <v>58.14</v>
      </c>
      <c r="S847" s="18">
        <f t="shared" ca="1" si="170"/>
        <v>51.68</v>
      </c>
      <c r="T847" s="19">
        <f t="shared" ca="1" si="171"/>
        <v>-77.519999999999982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 ca="1">IFERROR(Tabela1[[#This Row],[QIANTIDADE EXPEDIDA]]*Tabela1[[#This Row],[PESO UNI]],"")</f>
        <v>0</v>
      </c>
      <c r="Y847" s="14">
        <f t="shared" ca="1" si="172"/>
        <v>-4</v>
      </c>
      <c r="Z847" s="20">
        <f ca="1">Tabela1[[#This Row],[PESO TOTAL]]-Tabela1[[#This Row],[Peso Expedido]]</f>
        <v>129.19999999999999</v>
      </c>
      <c r="AA847" s="17">
        <v>0.5</v>
      </c>
      <c r="AB847" s="33"/>
      <c r="AC847" s="33">
        <v>0.5</v>
      </c>
      <c r="AD847" s="33">
        <v>0.4</v>
      </c>
      <c r="AE847" s="33">
        <v>0.4</v>
      </c>
      <c r="AF847" s="33">
        <v>0.4</v>
      </c>
      <c r="AG847" s="33">
        <v>0.4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4981</v>
      </c>
      <c r="B848" s="21"/>
      <c r="C848" s="1">
        <v>4</v>
      </c>
      <c r="D848" s="1" t="s">
        <v>4983</v>
      </c>
      <c r="E848" s="7">
        <v>4499</v>
      </c>
      <c r="F848" s="7">
        <v>12</v>
      </c>
      <c r="G848" s="1">
        <v>28.8</v>
      </c>
      <c r="H848" s="34">
        <f ca="1">Tabela1[[#This Row],[PESO UNI]]*Tabela1[[#This Row],[QTE]]</f>
        <v>115.2</v>
      </c>
      <c r="I848" s="7" t="s">
        <v>5411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 ca="1">Tabela1[[#This Row],[QTDE/ Fabricação]]-Tabela1[[#This Row],[QTE]]</f>
        <v>-4</v>
      </c>
      <c r="R848" s="18">
        <f t="shared" ca="1" si="169"/>
        <v>51.840000000000011</v>
      </c>
      <c r="S848" s="18">
        <f t="shared" ca="1" si="170"/>
        <v>46.080000000000005</v>
      </c>
      <c r="T848" s="19">
        <f t="shared" ca="1" si="171"/>
        <v>-69.12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 ca="1">IFERROR(Tabela1[[#This Row],[QIANTIDADE EXPEDIDA]]*Tabela1[[#This Row],[PESO UNI]],"")</f>
        <v>0</v>
      </c>
      <c r="Y848" s="14">
        <f t="shared" ca="1" si="172"/>
        <v>-4</v>
      </c>
      <c r="Z848" s="20">
        <f ca="1">Tabela1[[#This Row],[PESO TOTAL]]-Tabela1[[#This Row],[Peso Expedido]]</f>
        <v>115.2</v>
      </c>
      <c r="AA848" s="17">
        <v>0.5</v>
      </c>
      <c r="AB848" s="33"/>
      <c r="AC848" s="33">
        <v>0.5</v>
      </c>
      <c r="AD848" s="33">
        <v>0.4</v>
      </c>
      <c r="AE848" s="33">
        <v>0.4</v>
      </c>
      <c r="AF848" s="33">
        <v>0.4</v>
      </c>
      <c r="AG848" s="33">
        <v>0.4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4981</v>
      </c>
      <c r="B849" s="21"/>
      <c r="C849" s="1">
        <v>4</v>
      </c>
      <c r="D849" s="1" t="s">
        <v>4984</v>
      </c>
      <c r="E849" s="7">
        <v>4500</v>
      </c>
      <c r="F849" s="7">
        <v>12</v>
      </c>
      <c r="G849" s="1">
        <v>28.8</v>
      </c>
      <c r="H849" s="34">
        <f ca="1">Tabela1[[#This Row],[PESO UNI]]*Tabela1[[#This Row],[QTE]]</f>
        <v>115.2</v>
      </c>
      <c r="I849" s="7" t="s">
        <v>5411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 ca="1">Tabela1[[#This Row],[QTDE/ Fabricação]]-Tabela1[[#This Row],[QTE]]</f>
        <v>-4</v>
      </c>
      <c r="R849" s="18">
        <f t="shared" ca="1" si="169"/>
        <v>51.840000000000011</v>
      </c>
      <c r="S849" s="18">
        <f t="shared" ca="1" si="170"/>
        <v>46.080000000000005</v>
      </c>
      <c r="T849" s="19">
        <f t="shared" ca="1" si="171"/>
        <v>-69.12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 ca="1">IFERROR(Tabela1[[#This Row],[QIANTIDADE EXPEDIDA]]*Tabela1[[#This Row],[PESO UNI]],"")</f>
        <v>0</v>
      </c>
      <c r="Y849" s="14">
        <f t="shared" ca="1" si="172"/>
        <v>-4</v>
      </c>
      <c r="Z849" s="20">
        <f ca="1">Tabela1[[#This Row],[PESO TOTAL]]-Tabela1[[#This Row],[Peso Expedido]]</f>
        <v>115.2</v>
      </c>
      <c r="AA849" s="17">
        <v>0.5</v>
      </c>
      <c r="AB849" s="33"/>
      <c r="AC849" s="33">
        <v>0.5</v>
      </c>
      <c r="AD849" s="33">
        <v>0.4</v>
      </c>
      <c r="AE849" s="33">
        <v>0.4</v>
      </c>
      <c r="AF849" s="33">
        <v>0.4</v>
      </c>
      <c r="AG849" s="33">
        <v>0.4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4981</v>
      </c>
      <c r="B850" s="21"/>
      <c r="C850" s="1">
        <v>8</v>
      </c>
      <c r="D850" s="1" t="s">
        <v>4985</v>
      </c>
      <c r="E850" s="7">
        <v>4501</v>
      </c>
      <c r="F850" s="7">
        <v>12</v>
      </c>
      <c r="G850" s="1">
        <v>13.8</v>
      </c>
      <c r="H850" s="34">
        <f ca="1">Tabela1[[#This Row],[PESO UNI]]*Tabela1[[#This Row],[QTE]]</f>
        <v>110.4</v>
      </c>
      <c r="I850" s="7" t="s">
        <v>5411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 ca="1">Tabela1[[#This Row],[QTDE/ Fabricação]]-Tabela1[[#This Row],[QTE]]</f>
        <v>-8</v>
      </c>
      <c r="R850" s="18">
        <f t="shared" ca="1" si="169"/>
        <v>49.680000000000007</v>
      </c>
      <c r="S850" s="18">
        <f t="shared" ca="1" si="170"/>
        <v>44.160000000000004</v>
      </c>
      <c r="T850" s="19">
        <f t="shared" ca="1" si="171"/>
        <v>-66.240000000000009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 ca="1">IFERROR(Tabela1[[#This Row],[QIANTIDADE EXPEDIDA]]*Tabela1[[#This Row],[PESO UNI]],"")</f>
        <v>0</v>
      </c>
      <c r="Y850" s="14">
        <f t="shared" ca="1" si="172"/>
        <v>-8</v>
      </c>
      <c r="Z850" s="20">
        <f ca="1">Tabela1[[#This Row],[PESO TOTAL]]-Tabela1[[#This Row],[Peso Expedido]]</f>
        <v>110.4</v>
      </c>
      <c r="AA850" s="17">
        <v>0.5</v>
      </c>
      <c r="AB850" s="33"/>
      <c r="AC850" s="33">
        <v>0.5</v>
      </c>
      <c r="AD850" s="33">
        <v>0.4</v>
      </c>
      <c r="AE850" s="33">
        <v>0.4</v>
      </c>
      <c r="AF850" s="33">
        <v>0.4</v>
      </c>
      <c r="AG850" s="33">
        <v>0.4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4986</v>
      </c>
      <c r="B851" s="21"/>
      <c r="C851" s="1">
        <v>4</v>
      </c>
      <c r="D851" s="1" t="s">
        <v>4987</v>
      </c>
      <c r="E851" s="7">
        <v>4502</v>
      </c>
      <c r="F851" s="7">
        <v>12</v>
      </c>
      <c r="G851" s="1">
        <v>18.399999999999999</v>
      </c>
      <c r="H851" s="34">
        <f ca="1">Tabela1[[#This Row],[PESO UNI]]*Tabela1[[#This Row],[QTE]]</f>
        <v>73.599999999999994</v>
      </c>
      <c r="I851" s="7" t="s">
        <v>5411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 ca="1">Tabela1[[#This Row],[QTDE/ Fabricação]]-Tabela1[[#This Row],[QTE]]</f>
        <v>-4</v>
      </c>
      <c r="R851" s="18">
        <f ca="1">IFERROR(H851*((AA851*0.25)+(AC851*0.25)+(AD851*0.225)+(AE851*0.225)+(AF851*0.05)),"")</f>
        <v>33.120000000000005</v>
      </c>
      <c r="S851" s="18">
        <f t="shared" ca="1" si="170"/>
        <v>29.439999999999998</v>
      </c>
      <c r="T851" s="19">
        <f t="shared" ca="1" si="171"/>
        <v>-44.16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 ca="1">IFERROR(Tabela1[[#This Row],[QIANTIDADE EXPEDIDA]]*Tabela1[[#This Row],[PESO UNI]],"")</f>
        <v>0</v>
      </c>
      <c r="Y851" s="14">
        <f t="shared" ca="1" si="172"/>
        <v>-4</v>
      </c>
      <c r="Z851" s="20">
        <f ca="1">Tabela1[[#This Row],[PESO TOTAL]]-Tabela1[[#This Row],[Peso Expedido]]</f>
        <v>73.599999999999994</v>
      </c>
      <c r="AA851" s="17">
        <v>0.5</v>
      </c>
      <c r="AB851" s="33"/>
      <c r="AC851" s="33">
        <v>0.5</v>
      </c>
      <c r="AD851" s="33">
        <v>0.4</v>
      </c>
      <c r="AE851" s="33">
        <v>0.4</v>
      </c>
      <c r="AF851" s="33">
        <v>0.4</v>
      </c>
      <c r="AG851" s="33">
        <v>0.4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4986</v>
      </c>
      <c r="B852" s="21"/>
      <c r="C852" s="1">
        <v>8</v>
      </c>
      <c r="D852" s="1" t="s">
        <v>4988</v>
      </c>
      <c r="E852" s="7">
        <v>4502</v>
      </c>
      <c r="F852" s="7">
        <v>12</v>
      </c>
      <c r="G852" s="1">
        <v>28.6</v>
      </c>
      <c r="H852" s="34">
        <f ca="1">Tabela1[[#This Row],[PESO UNI]]*Tabela1[[#This Row],[QTE]]</f>
        <v>228.8</v>
      </c>
      <c r="I852" s="7" t="s">
        <v>5411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 ca="1">Tabela1[[#This Row],[QTDE/ Fabricação]]-Tabela1[[#This Row],[QTE]]</f>
        <v>-8</v>
      </c>
      <c r="R852" s="18">
        <f ca="1">IFERROR(H852*((AA852*0.25)+(AC852*0.25)+(AD852*0.225)+(AE852*0.225)+(AF852*0.05)),"")</f>
        <v>102.96000000000002</v>
      </c>
      <c r="S852" s="18">
        <f t="shared" ca="1" si="170"/>
        <v>91.52000000000001</v>
      </c>
      <c r="T852" s="19">
        <f t="shared" ca="1" si="171"/>
        <v>-137.28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 ca="1">IFERROR(Tabela1[[#This Row],[QIANTIDADE EXPEDIDA]]*Tabela1[[#This Row],[PESO UNI]],"")</f>
        <v>0</v>
      </c>
      <c r="Y852" s="14">
        <f t="shared" ca="1" si="172"/>
        <v>-8</v>
      </c>
      <c r="Z852" s="20">
        <f ca="1">Tabela1[[#This Row],[PESO TOTAL]]-Tabela1[[#This Row],[Peso Expedido]]</f>
        <v>228.8</v>
      </c>
      <c r="AA852" s="17">
        <v>0.5</v>
      </c>
      <c r="AB852" s="33"/>
      <c r="AC852" s="33">
        <v>0.5</v>
      </c>
      <c r="AD852" s="33">
        <v>0.4</v>
      </c>
      <c r="AE852" s="33">
        <v>0.4</v>
      </c>
      <c r="AF852" s="33">
        <v>0.4</v>
      </c>
      <c r="AG852" s="33">
        <v>0.4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hidden="1" customHeight="1" x14ac:dyDescent="0.25">
      <c r="A853" s="1" t="s">
        <v>4989</v>
      </c>
      <c r="B853" s="21"/>
      <c r="C853" s="1">
        <v>1</v>
      </c>
      <c r="D853" s="1" t="s">
        <v>4990</v>
      </c>
      <c r="E853" s="7">
        <v>4503</v>
      </c>
      <c r="F853" s="7">
        <v>12</v>
      </c>
      <c r="G853" s="1">
        <v>27</v>
      </c>
      <c r="H853" s="34">
        <f ca="1">Tabela1[[#This Row],[PESO UNI]]*Tabela1[[#This Row],[QTE]]</f>
        <v>27</v>
      </c>
      <c r="I853" s="7">
        <v>0</v>
      </c>
      <c r="J853" s="8" t="s">
        <v>4834</v>
      </c>
      <c r="K853" s="8" t="s">
        <v>33</v>
      </c>
      <c r="L853" s="9" t="s">
        <v>3291</v>
      </c>
      <c r="M853" s="10">
        <v>46239</v>
      </c>
      <c r="N853" s="8" t="s">
        <v>38</v>
      </c>
      <c r="O853" s="12"/>
      <c r="P853" s="13"/>
      <c r="Q853" s="14">
        <f ca="1">Tabela1[[#This Row],[QTDE/ Fabricação]]-Tabela1[[#This Row],[QTE]]</f>
        <v>-1</v>
      </c>
      <c r="R853" s="18">
        <f t="shared" ca="1" si="169"/>
        <v>12.150000000000002</v>
      </c>
      <c r="S853" s="18">
        <f t="shared" ca="1" si="170"/>
        <v>10.8</v>
      </c>
      <c r="T853" s="19">
        <f t="shared" ca="1" si="171"/>
        <v>-16.2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 ca="1">IFERROR(Tabela1[[#This Row],[QIANTIDADE EXPEDIDA]]*Tabela1[[#This Row],[PESO UNI]],"")</f>
        <v>0</v>
      </c>
      <c r="Y853" s="14">
        <f t="shared" ca="1" si="172"/>
        <v>-1</v>
      </c>
      <c r="Z853" s="20">
        <f ca="1">Tabela1[[#This Row],[PESO TOTAL]]-Tabela1[[#This Row],[Peso Expedido]]</f>
        <v>27</v>
      </c>
      <c r="AA853" s="17">
        <v>0.5</v>
      </c>
      <c r="AB853" s="33"/>
      <c r="AC853" s="33">
        <v>0.5</v>
      </c>
      <c r="AD853" s="33">
        <v>0.4</v>
      </c>
      <c r="AE853" s="33">
        <v>0.4</v>
      </c>
      <c r="AF853" s="33">
        <v>0.4</v>
      </c>
      <c r="AG853" s="33">
        <v>0.4</v>
      </c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hidden="1" customHeight="1" x14ac:dyDescent="0.25">
      <c r="A854" s="1" t="s">
        <v>4991</v>
      </c>
      <c r="B854" s="21"/>
      <c r="C854" s="1">
        <v>14</v>
      </c>
      <c r="D854" s="1" t="s">
        <v>4992</v>
      </c>
      <c r="E854" s="7">
        <v>4504</v>
      </c>
      <c r="F854" s="7">
        <v>12</v>
      </c>
      <c r="G854" s="1">
        <v>7</v>
      </c>
      <c r="H854" s="34">
        <f ca="1">Tabela1[[#This Row],[PESO UNI]]*Tabela1[[#This Row],[QTE]]</f>
        <v>98</v>
      </c>
      <c r="I854" s="7">
        <v>0</v>
      </c>
      <c r="J854" s="8" t="s">
        <v>4834</v>
      </c>
      <c r="K854" s="8" t="s">
        <v>33</v>
      </c>
      <c r="L854" s="9" t="s">
        <v>3291</v>
      </c>
      <c r="M854" s="10">
        <v>46239</v>
      </c>
      <c r="N854" s="8" t="s">
        <v>38</v>
      </c>
      <c r="O854" s="12"/>
      <c r="P854" s="13"/>
      <c r="Q854" s="14">
        <f ca="1">Tabela1[[#This Row],[QTDE/ Fabricação]]-Tabela1[[#This Row],[QTE]]</f>
        <v>-14</v>
      </c>
      <c r="R854" s="18">
        <f t="shared" ref="R854:R869" ca="1" si="173">IFERROR(H854*((AA854*0.25)+(AC854*0.25)+(AD854*0.225)+(AE854*0.225)+(AF854*0.05)),"")</f>
        <v>34.299999999999997</v>
      </c>
      <c r="S854" s="18">
        <f t="shared" ref="S854:S869" ca="1" si="174">IFERROR(H854*AG854,"")</f>
        <v>34.299999999999997</v>
      </c>
      <c r="T854" s="19">
        <f t="shared" ref="T854:T869" ca="1" si="175">IFERROR(S854-H854,"")</f>
        <v>-63.7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 ca="1">IFERROR(Tabela1[[#This Row],[QIANTIDADE EXPEDIDA]]*Tabela1[[#This Row],[PESO UNI]],"")</f>
        <v>0</v>
      </c>
      <c r="Y854" s="14">
        <f t="shared" ref="Y854:Y869" ca="1" si="176">U854-C854</f>
        <v>-14</v>
      </c>
      <c r="Z854" s="20">
        <f ca="1">Tabela1[[#This Row],[PESO TOTAL]]-Tabela1[[#This Row],[Peso Expedido]]</f>
        <v>98</v>
      </c>
      <c r="AA854" s="17">
        <v>0.35</v>
      </c>
      <c r="AB854" s="33"/>
      <c r="AC854" s="33">
        <v>0.35</v>
      </c>
      <c r="AD854" s="33">
        <v>0.35</v>
      </c>
      <c r="AE854" s="33">
        <v>0.35</v>
      </c>
      <c r="AF854" s="33">
        <v>0.35</v>
      </c>
      <c r="AG854" s="33">
        <v>0.35</v>
      </c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4993</v>
      </c>
      <c r="B855" s="21" t="s">
        <v>4994</v>
      </c>
      <c r="C855" s="1">
        <v>1</v>
      </c>
      <c r="D855" s="1" t="s">
        <v>4995</v>
      </c>
      <c r="E855" s="7">
        <v>4505</v>
      </c>
      <c r="F855" s="7">
        <v>49</v>
      </c>
      <c r="G855" s="1">
        <v>355.2</v>
      </c>
      <c r="H855" s="34">
        <f ca="1">Tabela1[[#This Row],[PESO UNI]]*Tabela1[[#This Row],[QTE]]</f>
        <v>355.2</v>
      </c>
      <c r="I855" s="7">
        <v>0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 ca="1">Tabela1[[#This Row],[QTDE/ Fabricação]]-Tabela1[[#This Row],[QTE]]</f>
        <v>-1</v>
      </c>
      <c r="R855" s="18">
        <f t="shared" ca="1" si="173"/>
        <v>159.84</v>
      </c>
      <c r="S855" s="18">
        <f t="shared" ca="1" si="174"/>
        <v>0</v>
      </c>
      <c r="T855" s="19">
        <f t="shared" ca="1" si="175"/>
        <v>-355.2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 ca="1">IFERROR(Tabela1[[#This Row],[QIANTIDADE EXPEDIDA]]*Tabela1[[#This Row],[PESO UNI]],"")</f>
        <v>0</v>
      </c>
      <c r="Y855" s="14">
        <f t="shared" ca="1" si="176"/>
        <v>-1</v>
      </c>
      <c r="Z855" s="20">
        <f ca="1">Tabela1[[#This Row],[PESO TOTAL]]-Tabela1[[#This Row],[Peso Expedido]]</f>
        <v>355.2</v>
      </c>
      <c r="AA855" s="17">
        <v>0.9</v>
      </c>
      <c r="AB855" s="33"/>
      <c r="AC855" s="33">
        <v>0.9</v>
      </c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hidden="1" customHeight="1" x14ac:dyDescent="0.25">
      <c r="A856" s="1" t="s">
        <v>4993</v>
      </c>
      <c r="B856" s="21" t="s">
        <v>4994</v>
      </c>
      <c r="C856" s="1">
        <v>2</v>
      </c>
      <c r="D856" s="1" t="s">
        <v>4996</v>
      </c>
      <c r="E856" s="7">
        <v>4506</v>
      </c>
      <c r="F856" s="7">
        <v>49</v>
      </c>
      <c r="G856" s="1">
        <v>40.6</v>
      </c>
      <c r="H856" s="34">
        <f ca="1">Tabela1[[#This Row],[PESO UNI]]*Tabela1[[#This Row],[QTE]]</f>
        <v>81.2</v>
      </c>
      <c r="I856" s="7">
        <v>0</v>
      </c>
      <c r="J856" s="8" t="s">
        <v>3093</v>
      </c>
      <c r="K856" s="8" t="s">
        <v>4320</v>
      </c>
      <c r="L856" s="9" t="s">
        <v>2984</v>
      </c>
      <c r="M856" s="10">
        <v>46240</v>
      </c>
      <c r="N856" s="8" t="s">
        <v>38</v>
      </c>
      <c r="O856" s="12"/>
      <c r="P856" s="13"/>
      <c r="Q856" s="14">
        <f ca="1">Tabela1[[#This Row],[QTDE/ Fabricação]]-Tabela1[[#This Row],[QTE]]</f>
        <v>-2</v>
      </c>
      <c r="R856" s="18">
        <f t="shared" ca="1" si="173"/>
        <v>36.54</v>
      </c>
      <c r="S856" s="18">
        <f t="shared" ca="1" si="174"/>
        <v>0</v>
      </c>
      <c r="T856" s="19">
        <f t="shared" ca="1" si="175"/>
        <v>-81.2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 ca="1">IFERROR(Tabela1[[#This Row],[QIANTIDADE EXPEDIDA]]*Tabela1[[#This Row],[PESO UNI]],"")</f>
        <v>0</v>
      </c>
      <c r="Y856" s="14">
        <f t="shared" ca="1" si="176"/>
        <v>-2</v>
      </c>
      <c r="Z856" s="20">
        <f ca="1">Tabela1[[#This Row],[PESO TOTAL]]-Tabela1[[#This Row],[Peso Expedido]]</f>
        <v>81.2</v>
      </c>
      <c r="AA856" s="17">
        <v>0.9</v>
      </c>
      <c r="AB856" s="33"/>
      <c r="AC856" s="33">
        <v>0.9</v>
      </c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hidden="1" customHeight="1" x14ac:dyDescent="0.25">
      <c r="A857" s="1" t="s">
        <v>4993</v>
      </c>
      <c r="B857" s="21" t="s">
        <v>4994</v>
      </c>
      <c r="C857" s="1">
        <v>2</v>
      </c>
      <c r="D857" s="1" t="s">
        <v>4997</v>
      </c>
      <c r="E857" s="7">
        <v>4507</v>
      </c>
      <c r="F857" s="7">
        <v>49</v>
      </c>
      <c r="G857" s="1">
        <v>106.4</v>
      </c>
      <c r="H857" s="34">
        <f ca="1">Tabela1[[#This Row],[PESO UNI]]*Tabela1[[#This Row],[QTE]]</f>
        <v>212.8</v>
      </c>
      <c r="I857" s="7">
        <v>0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 ca="1">Tabela1[[#This Row],[QTDE/ Fabricação]]-Tabela1[[#This Row],[QTE]]</f>
        <v>-2</v>
      </c>
      <c r="R857" s="18">
        <f t="shared" ca="1" si="173"/>
        <v>95.76</v>
      </c>
      <c r="S857" s="18">
        <f t="shared" ca="1" si="174"/>
        <v>0</v>
      </c>
      <c r="T857" s="19">
        <f t="shared" ca="1" si="175"/>
        <v>-212.8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 ca="1">IFERROR(Tabela1[[#This Row],[QIANTIDADE EXPEDIDA]]*Tabela1[[#This Row],[PESO UNI]],"")</f>
        <v>0</v>
      </c>
      <c r="Y857" s="14">
        <f t="shared" ca="1" si="176"/>
        <v>-2</v>
      </c>
      <c r="Z857" s="20">
        <f ca="1">Tabela1[[#This Row],[PESO TOTAL]]-Tabela1[[#This Row],[Peso Expedido]]</f>
        <v>212.8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hidden="1" customHeight="1" x14ac:dyDescent="0.25">
      <c r="A858" s="1" t="s">
        <v>4998</v>
      </c>
      <c r="B858" s="21" t="s">
        <v>4999</v>
      </c>
      <c r="C858" s="1">
        <v>1</v>
      </c>
      <c r="D858" s="1" t="s">
        <v>5000</v>
      </c>
      <c r="E858" s="7">
        <v>4508</v>
      </c>
      <c r="F858" s="7">
        <v>50</v>
      </c>
      <c r="G858" s="1">
        <v>435.1</v>
      </c>
      <c r="H858" s="34">
        <f ca="1">Tabela1[[#This Row],[PESO UNI]]*Tabela1[[#This Row],[QTE]]</f>
        <v>435.1</v>
      </c>
      <c r="I858" s="7" t="s">
        <v>5300</v>
      </c>
      <c r="J858" s="8" t="s">
        <v>3045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 ca="1">Tabela1[[#This Row],[QTDE/ Fabricação]]-Tabela1[[#This Row],[QTE]]</f>
        <v>-1</v>
      </c>
      <c r="R858" s="18">
        <f t="shared" ca="1" si="173"/>
        <v>108.77500000000001</v>
      </c>
      <c r="S858" s="18">
        <f t="shared" ca="1" si="174"/>
        <v>0</v>
      </c>
      <c r="T858" s="19">
        <f t="shared" ca="1" si="175"/>
        <v>-435.1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 ca="1">IFERROR(Tabela1[[#This Row],[QIANTIDADE EXPEDIDA]]*Tabela1[[#This Row],[PESO UNI]],"")</f>
        <v>0</v>
      </c>
      <c r="Y858" s="14">
        <f t="shared" ca="1" si="176"/>
        <v>-1</v>
      </c>
      <c r="Z858" s="20">
        <f ca="1">Tabela1[[#This Row],[PESO TOTAL]]-Tabela1[[#This Row],[Peso Expedido]]</f>
        <v>435.1</v>
      </c>
      <c r="AA858" s="17">
        <v>1</v>
      </c>
      <c r="AB858" s="33"/>
      <c r="AC858" s="33"/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hidden="1" customHeight="1" x14ac:dyDescent="0.25">
      <c r="A859" s="1" t="s">
        <v>5001</v>
      </c>
      <c r="B859" s="21" t="s">
        <v>5002</v>
      </c>
      <c r="C859" s="1">
        <v>2</v>
      </c>
      <c r="D859" s="1" t="s">
        <v>5003</v>
      </c>
      <c r="E859" s="7">
        <v>4509</v>
      </c>
      <c r="F859" s="7">
        <v>51</v>
      </c>
      <c r="G859" s="1">
        <v>43.6</v>
      </c>
      <c r="H859" s="34">
        <f ca="1">Tabela1[[#This Row],[PESO UNI]]*Tabela1[[#This Row],[QTE]]</f>
        <v>87.2</v>
      </c>
      <c r="I859" s="7" t="s">
        <v>5008</v>
      </c>
      <c r="J859" s="8" t="s">
        <v>3093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 ca="1">Tabela1[[#This Row],[QTDE/ Fabricação]]-Tabela1[[#This Row],[QTE]]</f>
        <v>-2</v>
      </c>
      <c r="R859" s="18">
        <f t="shared" ca="1" si="173"/>
        <v>39.24</v>
      </c>
      <c r="S859" s="18">
        <f t="shared" ca="1" si="174"/>
        <v>0</v>
      </c>
      <c r="T859" s="19">
        <f t="shared" ca="1" si="175"/>
        <v>-87.2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 ca="1">IFERROR(Tabela1[[#This Row],[QIANTIDADE EXPEDIDA]]*Tabela1[[#This Row],[PESO UNI]],"")</f>
        <v>0</v>
      </c>
      <c r="Y859" s="14">
        <f t="shared" ca="1" si="176"/>
        <v>-2</v>
      </c>
      <c r="Z859" s="20">
        <f ca="1">Tabela1[[#This Row],[PESO TOTAL]]-Tabela1[[#This Row],[Peso Expedido]]</f>
        <v>87.2</v>
      </c>
      <c r="AA859" s="17">
        <v>0.9</v>
      </c>
      <c r="AB859" s="33"/>
      <c r="AC859" s="33">
        <v>0.9</v>
      </c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5001</v>
      </c>
      <c r="B860" s="21" t="s">
        <v>5002</v>
      </c>
      <c r="C860" s="1">
        <v>1</v>
      </c>
      <c r="D860" s="1" t="s">
        <v>5004</v>
      </c>
      <c r="E860" s="7">
        <v>4510</v>
      </c>
      <c r="F860" s="7">
        <v>51</v>
      </c>
      <c r="G860" s="1">
        <v>72</v>
      </c>
      <c r="H860" s="34">
        <f ca="1">Tabela1[[#This Row],[PESO UNI]]*Tabela1[[#This Row],[QTE]]</f>
        <v>72</v>
      </c>
      <c r="I860" s="7" t="s">
        <v>5008</v>
      </c>
      <c r="J860" s="8" t="s">
        <v>3093</v>
      </c>
      <c r="K860" s="8" t="s">
        <v>4320</v>
      </c>
      <c r="L860" s="9" t="s">
        <v>2984</v>
      </c>
      <c r="M860" s="10">
        <v>46240</v>
      </c>
      <c r="N860" s="8" t="s">
        <v>38</v>
      </c>
      <c r="O860" s="12"/>
      <c r="P860" s="13"/>
      <c r="Q860" s="14">
        <f ca="1">Tabela1[[#This Row],[QTDE/ Fabricação]]-Tabela1[[#This Row],[QTE]]</f>
        <v>-1</v>
      </c>
      <c r="R860" s="18">
        <f t="shared" ca="1" si="173"/>
        <v>32.4</v>
      </c>
      <c r="S860" s="18">
        <f t="shared" ca="1" si="174"/>
        <v>0</v>
      </c>
      <c r="T860" s="19">
        <f t="shared" ca="1" si="175"/>
        <v>-72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 ca="1">IFERROR(Tabela1[[#This Row],[QIANTIDADE EXPEDIDA]]*Tabela1[[#This Row],[PESO UNI]],"")</f>
        <v>0</v>
      </c>
      <c r="Y860" s="14">
        <f t="shared" ca="1" si="176"/>
        <v>-1</v>
      </c>
      <c r="Z860" s="20">
        <f ca="1">Tabela1[[#This Row],[PESO TOTAL]]-Tabela1[[#This Row],[Peso Expedido]]</f>
        <v>72</v>
      </c>
      <c r="AA860" s="17">
        <v>0.9</v>
      </c>
      <c r="AB860" s="33"/>
      <c r="AC860" s="33">
        <v>0.9</v>
      </c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hidden="1" customHeight="1" x14ac:dyDescent="0.25">
      <c r="A861" s="1" t="s">
        <v>5001</v>
      </c>
      <c r="B861" s="21" t="s">
        <v>5002</v>
      </c>
      <c r="C861" s="1">
        <v>2</v>
      </c>
      <c r="D861" s="1" t="s">
        <v>5005</v>
      </c>
      <c r="E861" s="7">
        <v>4511</v>
      </c>
      <c r="F861" s="7">
        <v>51</v>
      </c>
      <c r="G861" s="1">
        <v>6.3</v>
      </c>
      <c r="H861" s="34">
        <f ca="1">Tabela1[[#This Row],[PESO UNI]]*Tabela1[[#This Row],[QTE]]</f>
        <v>12.6</v>
      </c>
      <c r="I861" s="7" t="s">
        <v>5008</v>
      </c>
      <c r="J861" s="8" t="s">
        <v>3093</v>
      </c>
      <c r="K861" s="8" t="s">
        <v>4320</v>
      </c>
      <c r="L861" s="9" t="s">
        <v>2984</v>
      </c>
      <c r="M861" s="10">
        <v>46240</v>
      </c>
      <c r="N861" s="8" t="s">
        <v>38</v>
      </c>
      <c r="O861" s="12"/>
      <c r="P861" s="13"/>
      <c r="Q861" s="14">
        <f ca="1">Tabela1[[#This Row],[QTDE/ Fabricação]]-Tabela1[[#This Row],[QTE]]</f>
        <v>-2</v>
      </c>
      <c r="R861" s="18">
        <f t="shared" ca="1" si="173"/>
        <v>5.67</v>
      </c>
      <c r="S861" s="18">
        <f t="shared" ca="1" si="174"/>
        <v>0</v>
      </c>
      <c r="T861" s="19">
        <f t="shared" ca="1" si="175"/>
        <v>-12.6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 ca="1">IFERROR(Tabela1[[#This Row],[QIANTIDADE EXPEDIDA]]*Tabela1[[#This Row],[PESO UNI]],"")</f>
        <v>0</v>
      </c>
      <c r="Y861" s="14">
        <f t="shared" ca="1" si="176"/>
        <v>-2</v>
      </c>
      <c r="Z861" s="20">
        <f ca="1">Tabela1[[#This Row],[PESO TOTAL]]-Tabela1[[#This Row],[Peso Expedido]]</f>
        <v>12.6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customHeight="1" x14ac:dyDescent="0.25">
      <c r="A862" s="7" t="s">
        <v>814</v>
      </c>
      <c r="B862" s="7"/>
      <c r="C862" s="7">
        <v>2</v>
      </c>
      <c r="D862" s="7" t="s">
        <v>5010</v>
      </c>
      <c r="E862" s="7">
        <v>4514</v>
      </c>
      <c r="F862" s="7">
        <v>1</v>
      </c>
      <c r="G862" s="7">
        <v>5.2</v>
      </c>
      <c r="H862" s="7">
        <f ca="1">Tabela1[[#This Row],[PESO UNI]]*Tabela1[[#This Row],[QTE]]</f>
        <v>10.4</v>
      </c>
      <c r="I862" s="7">
        <v>1</v>
      </c>
      <c r="J862" s="7" t="s">
        <v>5011</v>
      </c>
      <c r="K862" s="7" t="s">
        <v>23</v>
      </c>
      <c r="L862" s="7" t="s">
        <v>5012</v>
      </c>
      <c r="M862" s="7">
        <v>46241</v>
      </c>
      <c r="N862" s="7" t="s">
        <v>38</v>
      </c>
      <c r="O862" s="7"/>
      <c r="P862" s="7"/>
      <c r="Q862" s="7">
        <f ca="1">Tabela1[[#This Row],[QTDE/ Fabricação]]-Tabela1[[#This Row],[QTE]]</f>
        <v>-2</v>
      </c>
      <c r="R862" s="7">
        <f t="shared" ca="1" si="173"/>
        <v>10.4</v>
      </c>
      <c r="S862" s="7">
        <f t="shared" ca="1" si="174"/>
        <v>10.4</v>
      </c>
      <c r="T862" s="7">
        <f t="shared" ca="1" si="175"/>
        <v>0</v>
      </c>
      <c r="U862" s="7">
        <f>IFERROR(SUMIF('LISTA DE EMBARQUE'!B:B,MICRO!E:E,'LISTA DE EMBARQUE'!G:G),"")</f>
        <v>2</v>
      </c>
      <c r="V862" s="7">
        <f>IFERROR(VLOOKUP(Tabela1[[#This Row],[COD.MDE]],'LISTA DE EMBARQUE'!B:L,11,0),"")</f>
        <v>1</v>
      </c>
      <c r="W862" s="10">
        <f>IFERROR(VLOOKUP(Tabela1[[#This Row],[COD.MDE]],'LISTA DE EMBARQUE'!B:M,12,0),"")</f>
        <v>46273</v>
      </c>
      <c r="X862" s="7">
        <f ca="1">IFERROR(Tabela1[[#This Row],[QIANTIDADE EXPEDIDA]]*Tabela1[[#This Row],[PESO UNI]],"")</f>
        <v>10.4</v>
      </c>
      <c r="Y862" s="14">
        <f t="shared" ca="1" si="176"/>
        <v>0</v>
      </c>
      <c r="Z862" s="20">
        <f ca="1">Tabela1[[#This Row],[PESO TOTAL]]-Tabela1[[#This Row],[Peso Expedido]]</f>
        <v>0</v>
      </c>
      <c r="AA862" s="17">
        <v>1</v>
      </c>
      <c r="AB862" s="33">
        <v>1</v>
      </c>
      <c r="AC862" s="33">
        <v>1</v>
      </c>
      <c r="AD862" s="33">
        <v>1</v>
      </c>
      <c r="AE862" s="33">
        <v>1</v>
      </c>
      <c r="AF862" s="33">
        <v>1</v>
      </c>
      <c r="AG862" s="33">
        <v>1</v>
      </c>
      <c r="AH862" s="33">
        <v>1</v>
      </c>
      <c r="AI862" s="33" t="s">
        <v>4509</v>
      </c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1" t="s">
        <v>5013</v>
      </c>
      <c r="B863" s="21" t="s">
        <v>5014</v>
      </c>
      <c r="C863" s="1">
        <v>2</v>
      </c>
      <c r="D863" s="1" t="s">
        <v>5015</v>
      </c>
      <c r="E863" s="7">
        <v>4515</v>
      </c>
      <c r="F863" s="7">
        <v>52</v>
      </c>
      <c r="G863" s="1">
        <v>53.7</v>
      </c>
      <c r="H863" s="34">
        <f ca="1">Tabela1[[#This Row],[PESO UNI]]*Tabela1[[#This Row],[QTE]]</f>
        <v>107.4</v>
      </c>
      <c r="I863" s="7">
        <v>0</v>
      </c>
      <c r="J863" s="8" t="s">
        <v>3045</v>
      </c>
      <c r="K863" s="8" t="s">
        <v>4320</v>
      </c>
      <c r="L863" s="9" t="s">
        <v>2984</v>
      </c>
      <c r="M863" s="10">
        <v>46241</v>
      </c>
      <c r="N863" s="8" t="s">
        <v>38</v>
      </c>
      <c r="O863" s="12"/>
      <c r="P863" s="13"/>
      <c r="Q863" s="14">
        <f ca="1">Tabela1[[#This Row],[QTDE/ Fabricação]]-Tabela1[[#This Row],[QTE]]</f>
        <v>-2</v>
      </c>
      <c r="R863" s="18">
        <f t="shared" ca="1" si="173"/>
        <v>48.330000000000005</v>
      </c>
      <c r="S863" s="18">
        <f t="shared" ca="1" si="174"/>
        <v>0</v>
      </c>
      <c r="T863" s="19">
        <f t="shared" ca="1" si="175"/>
        <v>-107.4</v>
      </c>
      <c r="U863" s="16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IFERROR(VLOOKUP(Tabela1[[#This Row],[COD.MDE]],'LISTA DE EMBARQUE'!B:M,12,0),"")</f>
        <v/>
      </c>
      <c r="X863" s="14">
        <f ca="1">IFERROR(Tabela1[[#This Row],[QIANTIDADE EXPEDIDA]]*Tabela1[[#This Row],[PESO UNI]],"")</f>
        <v>0</v>
      </c>
      <c r="Y863" s="14">
        <f t="shared" ca="1" si="176"/>
        <v>-2</v>
      </c>
      <c r="Z863" s="20">
        <f ca="1">Tabela1[[#This Row],[PESO TOTAL]]-Tabela1[[#This Row],[Peso Expedido]]</f>
        <v>107.4</v>
      </c>
      <c r="AA863" s="17">
        <v>0.9</v>
      </c>
      <c r="AB863" s="33"/>
      <c r="AC863" s="33">
        <v>0.9</v>
      </c>
      <c r="AD863" s="33"/>
      <c r="AE863" s="33"/>
      <c r="AF863" s="33"/>
      <c r="AG863" s="33"/>
      <c r="AH863" s="33"/>
      <c r="AI863" s="33"/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hidden="1" customHeight="1" x14ac:dyDescent="0.25">
      <c r="A864" s="1" t="s">
        <v>5013</v>
      </c>
      <c r="B864" s="21" t="s">
        <v>5014</v>
      </c>
      <c r="C864" s="1">
        <v>1</v>
      </c>
      <c r="D864" s="1" t="s">
        <v>5016</v>
      </c>
      <c r="E864" s="7">
        <v>4516</v>
      </c>
      <c r="F864" s="7">
        <v>52</v>
      </c>
      <c r="G864" s="1">
        <v>170.2</v>
      </c>
      <c r="H864" s="34">
        <f ca="1">Tabela1[[#This Row],[PESO UNI]]*Tabela1[[#This Row],[QTE]]</f>
        <v>170.2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 ca="1">Tabela1[[#This Row],[QTDE/ Fabricação]]-Tabela1[[#This Row],[QTE]]</f>
        <v>-1</v>
      </c>
      <c r="R864" s="18">
        <f t="shared" ca="1" si="173"/>
        <v>76.59</v>
      </c>
      <c r="S864" s="18">
        <f t="shared" ca="1" si="174"/>
        <v>0</v>
      </c>
      <c r="T864" s="19">
        <f t="shared" ca="1" si="175"/>
        <v>-170.2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 ca="1">IFERROR(Tabela1[[#This Row],[QIANTIDADE EXPEDIDA]]*Tabela1[[#This Row],[PESO UNI]],"")</f>
        <v>0</v>
      </c>
      <c r="Y864" s="14">
        <f t="shared" ca="1" si="176"/>
        <v>-1</v>
      </c>
      <c r="Z864" s="20">
        <f ca="1">Tabela1[[#This Row],[PESO TOTAL]]-Tabela1[[#This Row],[Peso Expedido]]</f>
        <v>170.2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hidden="1" customHeight="1" x14ac:dyDescent="0.25">
      <c r="A865" s="1" t="s">
        <v>5013</v>
      </c>
      <c r="B865" s="21" t="s">
        <v>5014</v>
      </c>
      <c r="C865" s="1">
        <v>1</v>
      </c>
      <c r="D865" s="1" t="s">
        <v>5017</v>
      </c>
      <c r="E865" s="7">
        <v>4517</v>
      </c>
      <c r="F865" s="7">
        <v>52</v>
      </c>
      <c r="G865" s="1">
        <v>220.2</v>
      </c>
      <c r="H865" s="34">
        <f ca="1">Tabela1[[#This Row],[PESO UNI]]*Tabela1[[#This Row],[QTE]]</f>
        <v>220.2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 ca="1">Tabela1[[#This Row],[QTDE/ Fabricação]]-Tabela1[[#This Row],[QTE]]</f>
        <v>-1</v>
      </c>
      <c r="R865" s="18">
        <f t="shared" ca="1" si="173"/>
        <v>99.09</v>
      </c>
      <c r="S865" s="18">
        <f t="shared" ca="1" si="174"/>
        <v>0</v>
      </c>
      <c r="T865" s="19">
        <f t="shared" ca="1" si="175"/>
        <v>-220.2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 ca="1">IFERROR(Tabela1[[#This Row],[QIANTIDADE EXPEDIDA]]*Tabela1[[#This Row],[PESO UNI]],"")</f>
        <v>0</v>
      </c>
      <c r="Y865" s="14">
        <f t="shared" ca="1" si="176"/>
        <v>-1</v>
      </c>
      <c r="Z865" s="20">
        <f ca="1">Tabela1[[#This Row],[PESO TOTAL]]-Tabela1[[#This Row],[Peso Expedido]]</f>
        <v>220.2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hidden="1" customHeight="1" x14ac:dyDescent="0.25">
      <c r="A866" s="1" t="s">
        <v>5013</v>
      </c>
      <c r="B866" s="21" t="s">
        <v>5014</v>
      </c>
      <c r="C866" s="1">
        <v>1</v>
      </c>
      <c r="D866" s="1" t="s">
        <v>5018</v>
      </c>
      <c r="E866" s="7">
        <v>4518</v>
      </c>
      <c r="F866" s="7">
        <v>52</v>
      </c>
      <c r="G866" s="1">
        <v>220.2</v>
      </c>
      <c r="H866" s="34">
        <f ca="1">Tabela1[[#This Row],[PESO UNI]]*Tabela1[[#This Row],[QTE]]</f>
        <v>220.2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 ca="1">Tabela1[[#This Row],[QTDE/ Fabricação]]-Tabela1[[#This Row],[QTE]]</f>
        <v>-1</v>
      </c>
      <c r="R866" s="18">
        <f t="shared" ca="1" si="173"/>
        <v>99.09</v>
      </c>
      <c r="S866" s="18">
        <f t="shared" ca="1" si="174"/>
        <v>0</v>
      </c>
      <c r="T866" s="19">
        <f t="shared" ca="1" si="175"/>
        <v>-220.2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 ca="1">IFERROR(Tabela1[[#This Row],[QIANTIDADE EXPEDIDA]]*Tabela1[[#This Row],[PESO UNI]],"")</f>
        <v>0</v>
      </c>
      <c r="Y866" s="14">
        <f t="shared" ca="1" si="176"/>
        <v>-1</v>
      </c>
      <c r="Z866" s="20">
        <f ca="1">Tabela1[[#This Row],[PESO TOTAL]]-Tabela1[[#This Row],[Peso Expedido]]</f>
        <v>220.2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1" t="s">
        <v>5013</v>
      </c>
      <c r="B867" s="21" t="s">
        <v>5014</v>
      </c>
      <c r="C867" s="1">
        <v>2</v>
      </c>
      <c r="D867" s="1" t="s">
        <v>5019</v>
      </c>
      <c r="E867" s="7">
        <v>4519</v>
      </c>
      <c r="F867" s="7">
        <v>52</v>
      </c>
      <c r="G867" s="1">
        <v>55.1</v>
      </c>
      <c r="H867" s="34">
        <f ca="1">Tabela1[[#This Row],[PESO UNI]]*Tabela1[[#This Row],[QTE]]</f>
        <v>110.2</v>
      </c>
      <c r="I867" s="7">
        <v>0</v>
      </c>
      <c r="J867" s="8" t="s">
        <v>3045</v>
      </c>
      <c r="K867" s="8" t="s">
        <v>4320</v>
      </c>
      <c r="L867" s="9" t="s">
        <v>2984</v>
      </c>
      <c r="M867" s="10">
        <v>46241</v>
      </c>
      <c r="N867" s="8" t="s">
        <v>38</v>
      </c>
      <c r="O867" s="12"/>
      <c r="P867" s="13"/>
      <c r="Q867" s="14">
        <f ca="1">Tabela1[[#This Row],[QTDE/ Fabricação]]-Tabela1[[#This Row],[QTE]]</f>
        <v>-2</v>
      </c>
      <c r="R867" s="18">
        <f t="shared" ca="1" si="173"/>
        <v>49.59</v>
      </c>
      <c r="S867" s="18">
        <f t="shared" ca="1" si="174"/>
        <v>0</v>
      </c>
      <c r="T867" s="19">
        <f t="shared" ca="1" si="175"/>
        <v>-110.2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 ca="1">IFERROR(Tabela1[[#This Row],[QIANTIDADE EXPEDIDA]]*Tabela1[[#This Row],[PESO UNI]],"")</f>
        <v>0</v>
      </c>
      <c r="Y867" s="14">
        <f t="shared" ca="1" si="176"/>
        <v>-2</v>
      </c>
      <c r="Z867" s="20">
        <f ca="1">Tabela1[[#This Row],[PESO TOTAL]]-Tabela1[[#This Row],[Peso Expedido]]</f>
        <v>110.2</v>
      </c>
      <c r="AA867" s="17">
        <v>0.9</v>
      </c>
      <c r="AB867" s="33"/>
      <c r="AC867" s="33">
        <v>0.9</v>
      </c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hidden="1" customHeight="1" x14ac:dyDescent="0.25">
      <c r="A868" s="1" t="s">
        <v>5013</v>
      </c>
      <c r="B868" s="21" t="s">
        <v>5014</v>
      </c>
      <c r="C868" s="1">
        <v>2</v>
      </c>
      <c r="D868" s="1" t="s">
        <v>5020</v>
      </c>
      <c r="E868" s="7">
        <v>4521</v>
      </c>
      <c r="F868" s="7">
        <v>52</v>
      </c>
      <c r="G868" s="1">
        <v>69</v>
      </c>
      <c r="H868" s="34">
        <f ca="1">Tabela1[[#This Row],[PESO UNI]]*Tabela1[[#This Row],[QTE]]</f>
        <v>138</v>
      </c>
      <c r="I868" s="7">
        <v>0</v>
      </c>
      <c r="J868" s="8" t="s">
        <v>3045</v>
      </c>
      <c r="K868" s="8" t="s">
        <v>4320</v>
      </c>
      <c r="L868" s="9" t="s">
        <v>2984</v>
      </c>
      <c r="M868" s="10">
        <v>46241</v>
      </c>
      <c r="N868" s="8" t="s">
        <v>38</v>
      </c>
      <c r="O868" s="12"/>
      <c r="P868" s="13"/>
      <c r="Q868" s="14">
        <f ca="1">Tabela1[[#This Row],[QTDE/ Fabricação]]-Tabela1[[#This Row],[QTE]]</f>
        <v>-2</v>
      </c>
      <c r="R868" s="18">
        <f t="shared" ca="1" si="173"/>
        <v>62.1</v>
      </c>
      <c r="S868" s="18">
        <f t="shared" ca="1" si="174"/>
        <v>0</v>
      </c>
      <c r="T868" s="19">
        <f t="shared" ca="1" si="175"/>
        <v>-138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 ca="1">IFERROR(Tabela1[[#This Row],[QIANTIDADE EXPEDIDA]]*Tabela1[[#This Row],[PESO UNI]],"")</f>
        <v>0</v>
      </c>
      <c r="Y868" s="14">
        <f t="shared" ca="1" si="176"/>
        <v>-2</v>
      </c>
      <c r="Z868" s="20">
        <f ca="1">Tabela1[[#This Row],[PESO TOTAL]]-Tabela1[[#This Row],[Peso Expedido]]</f>
        <v>138</v>
      </c>
      <c r="AA868" s="17">
        <v>0.9</v>
      </c>
      <c r="AB868" s="33"/>
      <c r="AC868" s="33">
        <v>0.9</v>
      </c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hidden="1" customHeight="1" x14ac:dyDescent="0.25">
      <c r="A869" s="1" t="s">
        <v>5023</v>
      </c>
      <c r="B869" s="21"/>
      <c r="C869" s="1">
        <v>6</v>
      </c>
      <c r="D869" s="1" t="s">
        <v>5024</v>
      </c>
      <c r="E869" s="7">
        <v>4522</v>
      </c>
      <c r="F869" s="7">
        <v>1</v>
      </c>
      <c r="G869" s="1">
        <v>15</v>
      </c>
      <c r="H869" s="34">
        <f ca="1">Tabela1[[#This Row],[PESO UNI]]*Tabela1[[#This Row],[QTE]]</f>
        <v>90</v>
      </c>
      <c r="I869" s="7" t="s">
        <v>43</v>
      </c>
      <c r="J869" s="8" t="s">
        <v>5025</v>
      </c>
      <c r="K869" s="8" t="s">
        <v>23</v>
      </c>
      <c r="L869" s="9" t="s">
        <v>5026</v>
      </c>
      <c r="M869" s="10">
        <v>46245</v>
      </c>
      <c r="N869" s="8" t="s">
        <v>38</v>
      </c>
      <c r="O869" s="12"/>
      <c r="P869" s="13"/>
      <c r="Q869" s="14">
        <f ca="1">Tabela1[[#This Row],[QTDE/ Fabricação]]-Tabela1[[#This Row],[QTE]]</f>
        <v>-6</v>
      </c>
      <c r="R869" s="18">
        <f t="shared" ca="1" si="173"/>
        <v>55.125000000000007</v>
      </c>
      <c r="S869" s="18">
        <f t="shared" ca="1" si="174"/>
        <v>0</v>
      </c>
      <c r="T869" s="19">
        <f t="shared" ca="1" si="175"/>
        <v>-90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 ca="1">IFERROR(Tabela1[[#This Row],[QIANTIDADE EXPEDIDA]]*Tabela1[[#This Row],[PESO UNI]],"")</f>
        <v>0</v>
      </c>
      <c r="Y869" s="14">
        <f t="shared" ca="1" si="176"/>
        <v>-6</v>
      </c>
      <c r="Z869" s="20">
        <f ca="1">Tabela1[[#This Row],[PESO TOTAL]]-Tabela1[[#This Row],[Peso Expedido]]</f>
        <v>90</v>
      </c>
      <c r="AA869" s="17">
        <v>1</v>
      </c>
      <c r="AB869" s="33"/>
      <c r="AC869" s="33">
        <v>1</v>
      </c>
      <c r="AD869" s="33">
        <v>0.5</v>
      </c>
      <c r="AE869" s="33"/>
      <c r="AF869" s="33"/>
      <c r="AG869" s="33"/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hidden="1" customHeight="1" x14ac:dyDescent="0.25">
      <c r="A870" s="1" t="s">
        <v>5027</v>
      </c>
      <c r="B870" s="21"/>
      <c r="C870" s="1">
        <v>10</v>
      </c>
      <c r="D870" s="1" t="s">
        <v>5028</v>
      </c>
      <c r="E870" s="7">
        <v>4523</v>
      </c>
      <c r="F870" s="7">
        <v>1</v>
      </c>
      <c r="G870" s="1">
        <v>10.5</v>
      </c>
      <c r="H870" s="34">
        <f ca="1">Tabela1[[#This Row],[PESO UNI]]*Tabela1[[#This Row],[QTE]]</f>
        <v>105</v>
      </c>
      <c r="I870" s="7" t="s">
        <v>43</v>
      </c>
      <c r="J870" s="8" t="s">
        <v>5025</v>
      </c>
      <c r="K870" s="8" t="s">
        <v>23</v>
      </c>
      <c r="L870" s="9" t="s">
        <v>5026</v>
      </c>
      <c r="M870" s="10">
        <v>46245</v>
      </c>
      <c r="N870" s="8" t="s">
        <v>38</v>
      </c>
      <c r="O870" s="12"/>
      <c r="P870" s="13"/>
      <c r="Q870" s="14">
        <f ca="1">Tabela1[[#This Row],[QTDE/ Fabricação]]-Tabela1[[#This Row],[QTE]]</f>
        <v>-10</v>
      </c>
      <c r="R870" s="18">
        <f t="shared" ref="R870" ca="1" si="177">IFERROR(H870*((AA870*0.25)+(AC870*0.25)+(AD870*0.225)+(AE870*0.225)+(AF870*0.05)),"")</f>
        <v>64.3125</v>
      </c>
      <c r="S870" s="18">
        <f t="shared" ref="S870" ca="1" si="178">IFERROR(H870*AG870,"")</f>
        <v>0</v>
      </c>
      <c r="T870" s="19">
        <f t="shared" ref="T870" ca="1" si="179">IFERROR(S870-H870,"")</f>
        <v>-105</v>
      </c>
      <c r="U870" s="16">
        <f>IFERROR(SUMIF('LISTA DE EMBARQUE'!B:B,MICRO!E:E,'LISTA DE EMBARQUE'!G:G),"")</f>
        <v>0</v>
      </c>
      <c r="V870" s="12" t="str">
        <f>IFERROR(VLOOKUP(Tabela1[[#This Row],[COD.MDE]],'LISTA DE EMBARQUE'!B:L,11,0),"")</f>
        <v/>
      </c>
      <c r="W870" s="13" t="str">
        <f>IFERROR(VLOOKUP(Tabela1[[#This Row],[COD.MDE]],'LISTA DE EMBARQUE'!B:M,12,0),"")</f>
        <v/>
      </c>
      <c r="X870" s="14">
        <f ca="1">IFERROR(Tabela1[[#This Row],[QIANTIDADE EXPEDIDA]]*Tabela1[[#This Row],[PESO UNI]],"")</f>
        <v>0</v>
      </c>
      <c r="Y870" s="14">
        <f t="shared" ref="Y870" ca="1" si="180">U870-C870</f>
        <v>-10</v>
      </c>
      <c r="Z870" s="20">
        <f ca="1">Tabela1[[#This Row],[PESO TOTAL]]-Tabela1[[#This Row],[Peso Expedido]]</f>
        <v>105</v>
      </c>
      <c r="AA870" s="17">
        <v>1</v>
      </c>
      <c r="AB870" s="33"/>
      <c r="AC870" s="33">
        <v>1</v>
      </c>
      <c r="AD870" s="33">
        <v>0.5</v>
      </c>
      <c r="AE870" s="33"/>
      <c r="AF870" s="33"/>
      <c r="AG870" s="33"/>
      <c r="AH870" s="33"/>
      <c r="AI870" s="33"/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1" t="s">
        <v>5029</v>
      </c>
      <c r="B871" s="21"/>
      <c r="C871" s="1">
        <v>5</v>
      </c>
      <c r="D871" s="1" t="s">
        <v>5030</v>
      </c>
      <c r="E871" s="7">
        <v>4524</v>
      </c>
      <c r="F871" s="7">
        <v>1</v>
      </c>
      <c r="G871" s="1">
        <v>35</v>
      </c>
      <c r="H871" s="34">
        <f ca="1">Tabela1[[#This Row],[PESO UNI]]*Tabela1[[#This Row],[QTE]]</f>
        <v>175</v>
      </c>
      <c r="I871" s="7" t="s">
        <v>43</v>
      </c>
      <c r="J871" s="8" t="s">
        <v>5025</v>
      </c>
      <c r="K871" s="8" t="s">
        <v>23</v>
      </c>
      <c r="L871" s="9" t="s">
        <v>5026</v>
      </c>
      <c r="M871" s="10">
        <v>46245</v>
      </c>
      <c r="N871" s="8" t="s">
        <v>38</v>
      </c>
      <c r="O871" s="12"/>
      <c r="P871" s="13"/>
      <c r="Q871" s="14">
        <f ca="1">Tabela1[[#This Row],[QTDE/ Fabricação]]-Tabela1[[#This Row],[QTE]]</f>
        <v>-5</v>
      </c>
      <c r="R871" s="18">
        <f t="shared" ref="R871:R928" ca="1" si="181">IFERROR(H871*((AA871*0.25)+(AC871*0.25)+(AD871*0.225)+(AE871*0.225)+(AF871*0.05)),"")</f>
        <v>107.18750000000001</v>
      </c>
      <c r="S871" s="18">
        <f t="shared" ref="S871:S928" ca="1" si="182">IFERROR(H871*AG871,"")</f>
        <v>0</v>
      </c>
      <c r="T871" s="19">
        <f t="shared" ref="T871:T928" ca="1" si="183">IFERROR(S871-H871,"")</f>
        <v>-175</v>
      </c>
      <c r="U871" s="16">
        <f>IFERROR(SUMIF('LISTA DE EMBARQUE'!B:B,MICRO!E:E,'LISTA DE EMBARQUE'!G:G),"")</f>
        <v>0</v>
      </c>
      <c r="V871" s="12" t="str">
        <f>IFERROR(VLOOKUP(Tabela1[[#This Row],[COD.MDE]],'LISTA DE EMBARQUE'!B:L,11,0),"")</f>
        <v/>
      </c>
      <c r="W871" s="13" t="str">
        <f>IFERROR(VLOOKUP(Tabela1[[#This Row],[COD.MDE]],'LISTA DE EMBARQUE'!B:M,12,0),"")</f>
        <v/>
      </c>
      <c r="X871" s="14">
        <f ca="1">IFERROR(Tabela1[[#This Row],[QIANTIDADE EXPEDIDA]]*Tabela1[[#This Row],[PESO UNI]],"")</f>
        <v>0</v>
      </c>
      <c r="Y871" s="14">
        <f t="shared" ref="Y871:Y928" ca="1" si="184">U871-C871</f>
        <v>-5</v>
      </c>
      <c r="Z871" s="20">
        <f ca="1">Tabela1[[#This Row],[PESO TOTAL]]-Tabela1[[#This Row],[Peso Expedido]]</f>
        <v>175</v>
      </c>
      <c r="AA871" s="17">
        <v>1</v>
      </c>
      <c r="AB871" s="33"/>
      <c r="AC871" s="33">
        <v>1</v>
      </c>
      <c r="AD871" s="33">
        <v>0.5</v>
      </c>
      <c r="AE871" s="33"/>
      <c r="AF871" s="33"/>
      <c r="AG871" s="33"/>
      <c r="AH871" s="33"/>
      <c r="AI871" s="33"/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hidden="1" customHeight="1" x14ac:dyDescent="0.25">
      <c r="A872" s="1" t="s">
        <v>5033</v>
      </c>
      <c r="B872" s="21"/>
      <c r="C872" s="1">
        <v>710</v>
      </c>
      <c r="D872" s="1" t="s">
        <v>5034</v>
      </c>
      <c r="E872" s="7">
        <v>4525</v>
      </c>
      <c r="F872" s="7">
        <v>13</v>
      </c>
      <c r="G872" s="1">
        <v>0.85</v>
      </c>
      <c r="H872" s="34">
        <f ca="1">Tabela1[[#This Row],[PESO UNI]]*Tabela1[[#This Row],[QTE]]</f>
        <v>603.5</v>
      </c>
      <c r="I872" s="7">
        <v>0</v>
      </c>
      <c r="J872" s="8" t="s">
        <v>4834</v>
      </c>
      <c r="K872" s="8" t="s">
        <v>4320</v>
      </c>
      <c r="L872" s="9" t="s">
        <v>3291</v>
      </c>
      <c r="M872" s="10">
        <v>46246</v>
      </c>
      <c r="N872" s="8" t="s">
        <v>38</v>
      </c>
      <c r="O872" s="12"/>
      <c r="P872" s="13"/>
      <c r="Q872" s="14">
        <f ca="1">Tabela1[[#This Row],[QTDE/ Fabricação]]-Tabela1[[#This Row],[QTE]]</f>
        <v>-710</v>
      </c>
      <c r="R872" s="18">
        <f t="shared" ca="1" si="181"/>
        <v>0</v>
      </c>
      <c r="S872" s="18">
        <f t="shared" ca="1" si="182"/>
        <v>0</v>
      </c>
      <c r="T872" s="19">
        <f t="shared" ca="1" si="183"/>
        <v>-603.5</v>
      </c>
      <c r="U872" s="16">
        <f>IFERROR(SUMIF('LISTA DE EMBARQUE'!B:B,MICRO!E:E,'LISTA DE EMBARQUE'!G:G),"")</f>
        <v>0</v>
      </c>
      <c r="V872" s="12" t="str">
        <f>IFERROR(VLOOKUP(Tabela1[[#This Row],[COD.MDE]],'LISTA DE EMBARQUE'!B:L,11,0),"")</f>
        <v/>
      </c>
      <c r="W872" s="13" t="str">
        <f>IFERROR(VLOOKUP(Tabela1[[#This Row],[COD.MDE]],'LISTA DE EMBARQUE'!B:M,12,0),"")</f>
        <v/>
      </c>
      <c r="X872" s="14">
        <f ca="1">IFERROR(Tabela1[[#This Row],[QIANTIDADE EXPEDIDA]]*Tabela1[[#This Row],[PESO UNI]],"")</f>
        <v>0</v>
      </c>
      <c r="Y872" s="14">
        <f t="shared" ca="1" si="184"/>
        <v>-710</v>
      </c>
      <c r="Z872" s="20">
        <f ca="1">Tabela1[[#This Row],[PESO TOTAL]]-Tabela1[[#This Row],[Peso Expedido]]</f>
        <v>603.5</v>
      </c>
      <c r="AA872" s="17"/>
      <c r="AB872" s="33"/>
      <c r="AC872" s="33"/>
      <c r="AD872" s="33"/>
      <c r="AE872" s="33"/>
      <c r="AF872" s="33"/>
      <c r="AG872" s="33"/>
      <c r="AH872" s="33"/>
      <c r="AI872" s="33"/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hidden="1" customHeight="1" x14ac:dyDescent="0.25">
      <c r="A873" s="19" t="s">
        <v>414</v>
      </c>
      <c r="B873" s="19"/>
      <c r="C873" s="322">
        <v>10</v>
      </c>
      <c r="D873" s="19" t="s">
        <v>5035</v>
      </c>
      <c r="E873" s="19">
        <v>4526</v>
      </c>
      <c r="F873" s="19">
        <v>1</v>
      </c>
      <c r="G873" s="19">
        <v>5</v>
      </c>
      <c r="H873" s="19">
        <f ca="1">Tabela1[[#This Row],[PESO UNI]]*Tabela1[[#This Row],[QTE]]</f>
        <v>50</v>
      </c>
      <c r="I873" s="19">
        <v>0</v>
      </c>
      <c r="J873" s="19" t="s">
        <v>5036</v>
      </c>
      <c r="K873" s="19" t="s">
        <v>23</v>
      </c>
      <c r="L873" s="19" t="s">
        <v>5037</v>
      </c>
      <c r="M873" s="19">
        <v>46246</v>
      </c>
      <c r="N873" s="19" t="s">
        <v>38</v>
      </c>
      <c r="O873" s="19"/>
      <c r="P873" s="19"/>
      <c r="Q873" s="19">
        <f ca="1">Tabela1[[#This Row],[QTDE/ Fabricação]]-Tabela1[[#This Row],[QTE]]</f>
        <v>-10</v>
      </c>
      <c r="R873" s="19">
        <f t="shared" ca="1" si="181"/>
        <v>50</v>
      </c>
      <c r="S873" s="19">
        <f t="shared" ca="1" si="182"/>
        <v>50</v>
      </c>
      <c r="T873" s="19">
        <f t="shared" ca="1" si="183"/>
        <v>0</v>
      </c>
      <c r="U873" s="19">
        <f>IFERROR(SUMIF('LISTA DE EMBARQUE'!B:B,MICRO!E:E,'LISTA DE EMBARQUE'!G:G),"")</f>
        <v>10</v>
      </c>
      <c r="V873" s="19">
        <f>IFERROR(VLOOKUP(Tabela1[[#This Row],[COD.MDE]],'LISTA DE EMBARQUE'!B:L,11,0),"")</f>
        <v>1</v>
      </c>
      <c r="W873" s="321">
        <f>IFERROR(VLOOKUP(Tabela1[[#This Row],[COD.MDE]],'LISTA DE EMBARQUE'!B:M,12,0),"")</f>
        <v>46273</v>
      </c>
      <c r="X873" s="19">
        <f ca="1">IFERROR(Tabela1[[#This Row],[QIANTIDADE EXPEDIDA]]*Tabela1[[#This Row],[PESO UNI]],"")</f>
        <v>50</v>
      </c>
      <c r="Y873" s="14">
        <f t="shared" ca="1" si="184"/>
        <v>0</v>
      </c>
      <c r="Z873" s="20">
        <f ca="1">Tabela1[[#This Row],[PESO TOTAL]]-Tabela1[[#This Row],[Peso Expedido]]</f>
        <v>0</v>
      </c>
      <c r="AA873" s="17">
        <v>1</v>
      </c>
      <c r="AB873" s="33">
        <v>1</v>
      </c>
      <c r="AC873" s="33">
        <v>1</v>
      </c>
      <c r="AD873" s="33">
        <v>1</v>
      </c>
      <c r="AE873" s="33">
        <v>1</v>
      </c>
      <c r="AF873" s="33">
        <v>1</v>
      </c>
      <c r="AG873" s="33">
        <v>1</v>
      </c>
      <c r="AH873" s="33">
        <v>1</v>
      </c>
      <c r="AI873" s="33" t="s">
        <v>4509</v>
      </c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hidden="1" customHeight="1" x14ac:dyDescent="0.25">
      <c r="A874" s="1" t="s">
        <v>5041</v>
      </c>
      <c r="B874" s="21" t="s">
        <v>5042</v>
      </c>
      <c r="C874" s="1">
        <v>1</v>
      </c>
      <c r="D874" s="1" t="s">
        <v>5043</v>
      </c>
      <c r="E874" s="7">
        <v>4527</v>
      </c>
      <c r="F874" s="7">
        <v>56</v>
      </c>
      <c r="G874" s="1">
        <v>297.8</v>
      </c>
      <c r="H874" s="34">
        <f ca="1">Tabela1[[#This Row],[PESO UNI]]*Tabela1[[#This Row],[QTE]]</f>
        <v>297.8</v>
      </c>
      <c r="I874" s="7">
        <v>0</v>
      </c>
      <c r="J874" s="8" t="s">
        <v>3140</v>
      </c>
      <c r="K874" s="8" t="s">
        <v>4320</v>
      </c>
      <c r="L874" s="9" t="s">
        <v>2984</v>
      </c>
      <c r="M874" s="10">
        <v>46251</v>
      </c>
      <c r="N874" s="8" t="s">
        <v>5105</v>
      </c>
      <c r="O874" s="12"/>
      <c r="P874" s="13"/>
      <c r="Q874" s="14">
        <f ca="1">Tabela1[[#This Row],[QTDE/ Fabricação]]-Tabela1[[#This Row],[QTE]]</f>
        <v>-1</v>
      </c>
      <c r="R874" s="18">
        <f t="shared" ca="1" si="181"/>
        <v>248.66300000000001</v>
      </c>
      <c r="S874" s="18">
        <f t="shared" ca="1" si="182"/>
        <v>104.23</v>
      </c>
      <c r="T874" s="19">
        <f t="shared" ca="1" si="183"/>
        <v>-193.57</v>
      </c>
      <c r="U874" s="16">
        <f>IFERROR(SUMIF('LISTA DE EMBARQUE'!B:B,MICRO!E:E,'LISTA DE EMBARQUE'!G:G),"")</f>
        <v>0</v>
      </c>
      <c r="V874" s="12" t="str">
        <f>IFERROR(VLOOKUP(Tabela1[[#This Row],[COD.MDE]],'LISTA DE EMBARQUE'!B:L,11,0),"")</f>
        <v/>
      </c>
      <c r="W874" s="13" t="str">
        <f>IFERROR(VLOOKUP(Tabela1[[#This Row],[COD.MDE]],'LISTA DE EMBARQUE'!B:M,12,0),"")</f>
        <v/>
      </c>
      <c r="X874" s="14">
        <f ca="1">IFERROR(Tabela1[[#This Row],[QIANTIDADE EXPEDIDA]]*Tabela1[[#This Row],[PESO UNI]],"")</f>
        <v>0</v>
      </c>
      <c r="Y874" s="14">
        <f t="shared" ca="1" si="184"/>
        <v>-1</v>
      </c>
      <c r="Z874" s="20">
        <f ca="1">Tabela1[[#This Row],[PESO TOTAL]]-Tabela1[[#This Row],[Peso Expedido]]</f>
        <v>297.8</v>
      </c>
      <c r="AA874" s="17">
        <v>1</v>
      </c>
      <c r="AB874" s="33"/>
      <c r="AC874" s="33">
        <v>1</v>
      </c>
      <c r="AD874" s="33">
        <v>0.7</v>
      </c>
      <c r="AE874" s="33">
        <v>0.7</v>
      </c>
      <c r="AF874" s="33">
        <v>0.4</v>
      </c>
      <c r="AG874" s="33">
        <v>0.35</v>
      </c>
      <c r="AH874" s="33"/>
      <c r="AI874" s="33"/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hidden="1" customHeight="1" x14ac:dyDescent="0.25">
      <c r="A875" s="1" t="s">
        <v>5041</v>
      </c>
      <c r="B875" s="21" t="s">
        <v>5042</v>
      </c>
      <c r="C875" s="1">
        <v>1</v>
      </c>
      <c r="D875" s="1" t="s">
        <v>5044</v>
      </c>
      <c r="E875" s="7">
        <v>4528</v>
      </c>
      <c r="F875" s="7">
        <v>56</v>
      </c>
      <c r="G875" s="1">
        <v>297.8</v>
      </c>
      <c r="H875" s="34">
        <f ca="1">Tabela1[[#This Row],[PESO UNI]]*Tabela1[[#This Row],[QTE]]</f>
        <v>297.8</v>
      </c>
      <c r="I875" s="7">
        <v>0</v>
      </c>
      <c r="J875" s="8" t="s">
        <v>3140</v>
      </c>
      <c r="K875" s="8" t="s">
        <v>4320</v>
      </c>
      <c r="L875" s="9" t="s">
        <v>2984</v>
      </c>
      <c r="M875" s="10">
        <v>46251</v>
      </c>
      <c r="N875" s="8" t="s">
        <v>5105</v>
      </c>
      <c r="O875" s="12"/>
      <c r="P875" s="13"/>
      <c r="Q875" s="14">
        <f ca="1">Tabela1[[#This Row],[QTDE/ Fabricação]]-Tabela1[[#This Row],[QTE]]</f>
        <v>-1</v>
      </c>
      <c r="R875" s="18">
        <f t="shared" ca="1" si="181"/>
        <v>248.66300000000001</v>
      </c>
      <c r="S875" s="18">
        <f t="shared" ca="1" si="182"/>
        <v>104.23</v>
      </c>
      <c r="T875" s="19">
        <f t="shared" ca="1" si="183"/>
        <v>-193.57</v>
      </c>
      <c r="U875" s="16">
        <f>IFERROR(SUMIF('LISTA DE EMBARQUE'!B:B,MICRO!E:E,'LISTA DE EMBARQUE'!G:G),"")</f>
        <v>0</v>
      </c>
      <c r="V875" s="12" t="str">
        <f>IFERROR(VLOOKUP(Tabela1[[#This Row],[COD.MDE]],'LISTA DE EMBARQUE'!B:L,11,0),"")</f>
        <v/>
      </c>
      <c r="W875" s="13" t="str">
        <f>IFERROR(VLOOKUP(Tabela1[[#This Row],[COD.MDE]],'LISTA DE EMBARQUE'!B:M,12,0),"")</f>
        <v/>
      </c>
      <c r="X875" s="14">
        <f ca="1">IFERROR(Tabela1[[#This Row],[QIANTIDADE EXPEDIDA]]*Tabela1[[#This Row],[PESO UNI]],"")</f>
        <v>0</v>
      </c>
      <c r="Y875" s="14">
        <f t="shared" ca="1" si="184"/>
        <v>-1</v>
      </c>
      <c r="Z875" s="20">
        <f ca="1">Tabela1[[#This Row],[PESO TOTAL]]-Tabela1[[#This Row],[Peso Expedido]]</f>
        <v>297.8</v>
      </c>
      <c r="AA875" s="17">
        <v>1</v>
      </c>
      <c r="AB875" s="33"/>
      <c r="AC875" s="33">
        <v>1</v>
      </c>
      <c r="AD875" s="33">
        <v>0.7</v>
      </c>
      <c r="AE875" s="33">
        <v>0.7</v>
      </c>
      <c r="AF875" s="33">
        <v>0.4</v>
      </c>
      <c r="AG875" s="33">
        <v>0.35</v>
      </c>
      <c r="AH875" s="33"/>
      <c r="AI875" s="33"/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hidden="1" customHeight="1" x14ac:dyDescent="0.25">
      <c r="A876" s="1" t="s">
        <v>5045</v>
      </c>
      <c r="B876" s="21" t="s">
        <v>5046</v>
      </c>
      <c r="C876" s="1">
        <v>1</v>
      </c>
      <c r="D876" s="1" t="s">
        <v>5047</v>
      </c>
      <c r="E876" s="7">
        <v>4529</v>
      </c>
      <c r="F876" s="7">
        <v>56</v>
      </c>
      <c r="G876" s="1">
        <v>886.6</v>
      </c>
      <c r="H876" s="34">
        <f ca="1">Tabela1[[#This Row],[PESO UNI]]*Tabela1[[#This Row],[QTE]]</f>
        <v>886.6</v>
      </c>
      <c r="I876" s="7">
        <v>0</v>
      </c>
      <c r="J876" s="8" t="s">
        <v>3140</v>
      </c>
      <c r="K876" s="8" t="s">
        <v>4320</v>
      </c>
      <c r="L876" s="9" t="s">
        <v>2984</v>
      </c>
      <c r="M876" s="10">
        <v>46251</v>
      </c>
      <c r="N876" s="8" t="s">
        <v>5105</v>
      </c>
      <c r="O876" s="12"/>
      <c r="P876" s="13"/>
      <c r="Q876" s="14">
        <f ca="1">Tabela1[[#This Row],[QTDE/ Fabricação]]-Tabela1[[#This Row],[QTE]]</f>
        <v>-1</v>
      </c>
      <c r="R876" s="18">
        <f t="shared" ca="1" si="181"/>
        <v>740.31100000000004</v>
      </c>
      <c r="S876" s="18">
        <f t="shared" ca="1" si="182"/>
        <v>310.31</v>
      </c>
      <c r="T876" s="19">
        <f t="shared" ca="1" si="183"/>
        <v>-576.29</v>
      </c>
      <c r="U876" s="16">
        <f>IFERROR(SUMIF('LISTA DE EMBARQUE'!B:B,MICRO!E:E,'LISTA DE EMBARQUE'!G:G),"")</f>
        <v>0</v>
      </c>
      <c r="V876" s="12" t="str">
        <f>IFERROR(VLOOKUP(Tabela1[[#This Row],[COD.MDE]],'LISTA DE EMBARQUE'!B:L,11,0),"")</f>
        <v/>
      </c>
      <c r="W876" s="13" t="str">
        <f>IFERROR(VLOOKUP(Tabela1[[#This Row],[COD.MDE]],'LISTA DE EMBARQUE'!B:M,12,0),"")</f>
        <v/>
      </c>
      <c r="X876" s="14">
        <f ca="1">IFERROR(Tabela1[[#This Row],[QIANTIDADE EXPEDIDA]]*Tabela1[[#This Row],[PESO UNI]],"")</f>
        <v>0</v>
      </c>
      <c r="Y876" s="14">
        <f t="shared" ca="1" si="184"/>
        <v>-1</v>
      </c>
      <c r="Z876" s="20">
        <f ca="1">Tabela1[[#This Row],[PESO TOTAL]]-Tabela1[[#This Row],[Peso Expedido]]</f>
        <v>886.6</v>
      </c>
      <c r="AA876" s="17">
        <v>1</v>
      </c>
      <c r="AB876" s="33"/>
      <c r="AC876" s="33">
        <v>1</v>
      </c>
      <c r="AD876" s="33">
        <v>0.7</v>
      </c>
      <c r="AE876" s="33">
        <v>0.7</v>
      </c>
      <c r="AF876" s="33">
        <v>0.4</v>
      </c>
      <c r="AG876" s="33">
        <v>0.35</v>
      </c>
      <c r="AH876" s="33"/>
      <c r="AI876" s="33"/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hidden="1" customHeight="1" x14ac:dyDescent="0.25">
      <c r="A877" s="1" t="s">
        <v>5048</v>
      </c>
      <c r="B877" s="21" t="s">
        <v>5049</v>
      </c>
      <c r="C877" s="1">
        <v>1</v>
      </c>
      <c r="D877" s="1" t="s">
        <v>5050</v>
      </c>
      <c r="E877" s="7">
        <v>4530</v>
      </c>
      <c r="F877" s="7">
        <v>56</v>
      </c>
      <c r="G877" s="1">
        <v>643.4</v>
      </c>
      <c r="H877" s="34">
        <f ca="1">Tabela1[[#This Row],[PESO UNI]]*Tabela1[[#This Row],[QTE]]</f>
        <v>643.4</v>
      </c>
      <c r="I877" s="7">
        <v>0</v>
      </c>
      <c r="J877" s="8" t="s">
        <v>3140</v>
      </c>
      <c r="K877" s="8" t="s">
        <v>4320</v>
      </c>
      <c r="L877" s="9" t="s">
        <v>2984</v>
      </c>
      <c r="M877" s="10">
        <v>46251</v>
      </c>
      <c r="N877" s="8" t="s">
        <v>5105</v>
      </c>
      <c r="O877" s="12"/>
      <c r="P877" s="13"/>
      <c r="Q877" s="14">
        <f ca="1">Tabela1[[#This Row],[QTDE/ Fabricação]]-Tabela1[[#This Row],[QTE]]</f>
        <v>-1</v>
      </c>
      <c r="R877" s="18">
        <f t="shared" ca="1" si="181"/>
        <v>537.23899999999992</v>
      </c>
      <c r="S877" s="18">
        <f t="shared" ca="1" si="182"/>
        <v>225.18999999999997</v>
      </c>
      <c r="T877" s="19">
        <f t="shared" ca="1" si="183"/>
        <v>-418.21000000000004</v>
      </c>
      <c r="U877" s="16">
        <f>IFERROR(SUMIF('LISTA DE EMBARQUE'!B:B,MICRO!E:E,'LISTA DE EMBARQUE'!G:G),"")</f>
        <v>0</v>
      </c>
      <c r="V877" s="12" t="str">
        <f>IFERROR(VLOOKUP(Tabela1[[#This Row],[COD.MDE]],'LISTA DE EMBARQUE'!B:L,11,0),"")</f>
        <v/>
      </c>
      <c r="W877" s="13" t="str">
        <f>IFERROR(VLOOKUP(Tabela1[[#This Row],[COD.MDE]],'LISTA DE EMBARQUE'!B:M,12,0),"")</f>
        <v/>
      </c>
      <c r="X877" s="14">
        <f ca="1">IFERROR(Tabela1[[#This Row],[QIANTIDADE EXPEDIDA]]*Tabela1[[#This Row],[PESO UNI]],"")</f>
        <v>0</v>
      </c>
      <c r="Y877" s="14">
        <f t="shared" ca="1" si="184"/>
        <v>-1</v>
      </c>
      <c r="Z877" s="20">
        <f ca="1">Tabela1[[#This Row],[PESO TOTAL]]-Tabela1[[#This Row],[Peso Expedido]]</f>
        <v>643.4</v>
      </c>
      <c r="AA877" s="17">
        <v>1</v>
      </c>
      <c r="AB877" s="33"/>
      <c r="AC877" s="33">
        <v>1</v>
      </c>
      <c r="AD877" s="33">
        <v>0.7</v>
      </c>
      <c r="AE877" s="33">
        <v>0.7</v>
      </c>
      <c r="AF877" s="33">
        <v>0.4</v>
      </c>
      <c r="AG877" s="33">
        <v>0.35</v>
      </c>
      <c r="AH877" s="33"/>
      <c r="AI877" s="33"/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hidden="1" customHeight="1" x14ac:dyDescent="0.25">
      <c r="A878" s="1" t="s">
        <v>5051</v>
      </c>
      <c r="B878" s="21" t="s">
        <v>5052</v>
      </c>
      <c r="C878" s="1">
        <v>1</v>
      </c>
      <c r="D878" s="1" t="s">
        <v>5053</v>
      </c>
      <c r="E878" s="7">
        <v>4531</v>
      </c>
      <c r="F878" s="7">
        <v>56</v>
      </c>
      <c r="G878" s="1">
        <v>368.4</v>
      </c>
      <c r="H878" s="34">
        <f ca="1">Tabela1[[#This Row],[PESO UNI]]*Tabela1[[#This Row],[QTE]]</f>
        <v>368.4</v>
      </c>
      <c r="I878" s="7">
        <v>0</v>
      </c>
      <c r="J878" s="8" t="s">
        <v>3140</v>
      </c>
      <c r="K878" s="8" t="s">
        <v>4320</v>
      </c>
      <c r="L878" s="9" t="s">
        <v>2984</v>
      </c>
      <c r="M878" s="10">
        <v>46251</v>
      </c>
      <c r="N878" s="8" t="s">
        <v>5105</v>
      </c>
      <c r="O878" s="12"/>
      <c r="P878" s="13"/>
      <c r="Q878" s="14">
        <f ca="1">Tabela1[[#This Row],[QTDE/ Fabricação]]-Tabela1[[#This Row],[QTE]]</f>
        <v>-1</v>
      </c>
      <c r="R878" s="18">
        <f t="shared" ca="1" si="181"/>
        <v>307.61399999999998</v>
      </c>
      <c r="S878" s="18">
        <f t="shared" ca="1" si="182"/>
        <v>128.94</v>
      </c>
      <c r="T878" s="19">
        <f t="shared" ca="1" si="183"/>
        <v>-239.45999999999998</v>
      </c>
      <c r="U878" s="16">
        <f>IFERROR(SUMIF('LISTA DE EMBARQUE'!B:B,MICRO!E:E,'LISTA DE EMBARQUE'!G:G),"")</f>
        <v>0</v>
      </c>
      <c r="V878" s="12" t="str">
        <f>IFERROR(VLOOKUP(Tabela1[[#This Row],[COD.MDE]],'LISTA DE EMBARQUE'!B:L,11,0),"")</f>
        <v/>
      </c>
      <c r="W878" s="13" t="str">
        <f>IFERROR(VLOOKUP(Tabela1[[#This Row],[COD.MDE]],'LISTA DE EMBARQUE'!B:M,12,0),"")</f>
        <v/>
      </c>
      <c r="X878" s="14">
        <f ca="1">IFERROR(Tabela1[[#This Row],[QIANTIDADE EXPEDIDA]]*Tabela1[[#This Row],[PESO UNI]],"")</f>
        <v>0</v>
      </c>
      <c r="Y878" s="14">
        <f t="shared" ca="1" si="184"/>
        <v>-1</v>
      </c>
      <c r="Z878" s="20">
        <f ca="1">Tabela1[[#This Row],[PESO TOTAL]]-Tabela1[[#This Row],[Peso Expedido]]</f>
        <v>368.4</v>
      </c>
      <c r="AA878" s="17">
        <v>1</v>
      </c>
      <c r="AB878" s="33"/>
      <c r="AC878" s="33">
        <v>1</v>
      </c>
      <c r="AD878" s="33">
        <v>0.7</v>
      </c>
      <c r="AE878" s="33">
        <v>0.7</v>
      </c>
      <c r="AF878" s="33">
        <v>0.4</v>
      </c>
      <c r="AG878" s="33">
        <v>0.35</v>
      </c>
      <c r="AH878" s="33"/>
      <c r="AI878" s="33"/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hidden="1" customHeight="1" x14ac:dyDescent="0.25">
      <c r="A879" s="1" t="s">
        <v>5051</v>
      </c>
      <c r="B879" s="21" t="s">
        <v>5052</v>
      </c>
      <c r="C879" s="1">
        <v>1</v>
      </c>
      <c r="D879" s="1" t="s">
        <v>5054</v>
      </c>
      <c r="E879" s="7">
        <v>4532</v>
      </c>
      <c r="F879" s="7">
        <v>56</v>
      </c>
      <c r="G879" s="1">
        <v>340.7</v>
      </c>
      <c r="H879" s="34">
        <f ca="1">Tabela1[[#This Row],[PESO UNI]]*Tabela1[[#This Row],[QTE]]</f>
        <v>340.7</v>
      </c>
      <c r="I879" s="7">
        <v>0</v>
      </c>
      <c r="J879" s="8" t="s">
        <v>3140</v>
      </c>
      <c r="K879" s="8" t="s">
        <v>4320</v>
      </c>
      <c r="L879" s="9" t="s">
        <v>2984</v>
      </c>
      <c r="M879" s="10">
        <v>46251</v>
      </c>
      <c r="N879" s="8" t="s">
        <v>5105</v>
      </c>
      <c r="O879" s="12"/>
      <c r="P879" s="13"/>
      <c r="Q879" s="14">
        <f ca="1">Tabela1[[#This Row],[QTDE/ Fabricação]]-Tabela1[[#This Row],[QTE]]</f>
        <v>-1</v>
      </c>
      <c r="R879" s="18">
        <f t="shared" ca="1" si="181"/>
        <v>284.48449999999997</v>
      </c>
      <c r="S879" s="18">
        <f t="shared" ca="1" si="182"/>
        <v>119.24499999999999</v>
      </c>
      <c r="T879" s="19">
        <f t="shared" ca="1" si="183"/>
        <v>-221.45499999999998</v>
      </c>
      <c r="U879" s="16">
        <f>IFERROR(SUMIF('LISTA DE EMBARQUE'!B:B,MICRO!E:E,'LISTA DE EMBARQUE'!G:G),"")</f>
        <v>0</v>
      </c>
      <c r="V879" s="12" t="str">
        <f>IFERROR(VLOOKUP(Tabela1[[#This Row],[COD.MDE]],'LISTA DE EMBARQUE'!B:L,11,0),"")</f>
        <v/>
      </c>
      <c r="W879" s="13" t="str">
        <f>IFERROR(VLOOKUP(Tabela1[[#This Row],[COD.MDE]],'LISTA DE EMBARQUE'!B:M,12,0),"")</f>
        <v/>
      </c>
      <c r="X879" s="14">
        <f ca="1">IFERROR(Tabela1[[#This Row],[QIANTIDADE EXPEDIDA]]*Tabela1[[#This Row],[PESO UNI]],"")</f>
        <v>0</v>
      </c>
      <c r="Y879" s="14">
        <f t="shared" ca="1" si="184"/>
        <v>-1</v>
      </c>
      <c r="Z879" s="20">
        <f ca="1">Tabela1[[#This Row],[PESO TOTAL]]-Tabela1[[#This Row],[Peso Expedido]]</f>
        <v>340.7</v>
      </c>
      <c r="AA879" s="17">
        <v>1</v>
      </c>
      <c r="AB879" s="33"/>
      <c r="AC879" s="33">
        <v>1</v>
      </c>
      <c r="AD879" s="33">
        <v>0.7</v>
      </c>
      <c r="AE879" s="33">
        <v>0.7</v>
      </c>
      <c r="AF879" s="33">
        <v>0.4</v>
      </c>
      <c r="AG879" s="33">
        <v>0.35</v>
      </c>
      <c r="AH879" s="33"/>
      <c r="AI879" s="33"/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hidden="1" customHeight="1" x14ac:dyDescent="0.25">
      <c r="A880" s="1" t="s">
        <v>5055</v>
      </c>
      <c r="B880" s="21" t="s">
        <v>5056</v>
      </c>
      <c r="C880" s="1">
        <v>4</v>
      </c>
      <c r="D880" s="1" t="s">
        <v>5057</v>
      </c>
      <c r="E880" s="7">
        <v>4533</v>
      </c>
      <c r="F880" s="7">
        <v>53</v>
      </c>
      <c r="G880" s="1">
        <v>6.2</v>
      </c>
      <c r="H880" s="34">
        <f ca="1">Tabela1[[#This Row],[PESO UNI]]*Tabela1[[#This Row],[QTE]]</f>
        <v>24.8</v>
      </c>
      <c r="I880" s="7">
        <v>0</v>
      </c>
      <c r="J880" s="8" t="s">
        <v>3045</v>
      </c>
      <c r="K880" s="8" t="s">
        <v>4320</v>
      </c>
      <c r="L880" s="9" t="s">
        <v>2984</v>
      </c>
      <c r="M880" s="10">
        <v>46251</v>
      </c>
      <c r="N880" s="8" t="s">
        <v>5105</v>
      </c>
      <c r="O880" s="12"/>
      <c r="P880" s="13"/>
      <c r="Q880" s="14">
        <f ca="1">Tabela1[[#This Row],[QTDE/ Fabricação]]-Tabela1[[#This Row],[QTE]]</f>
        <v>-4</v>
      </c>
      <c r="R880" s="18">
        <f t="shared" ca="1" si="181"/>
        <v>20.707999999999998</v>
      </c>
      <c r="S880" s="18">
        <f t="shared" ca="1" si="182"/>
        <v>8.68</v>
      </c>
      <c r="T880" s="19">
        <f t="shared" ca="1" si="183"/>
        <v>-16.12</v>
      </c>
      <c r="U880" s="16">
        <f>IFERROR(SUMIF('LISTA DE EMBARQUE'!B:B,MICRO!E:E,'LISTA DE EMBARQUE'!G:G),"")</f>
        <v>0</v>
      </c>
      <c r="V880" s="12" t="str">
        <f>IFERROR(VLOOKUP(Tabela1[[#This Row],[COD.MDE]],'LISTA DE EMBARQUE'!B:L,11,0),"")</f>
        <v/>
      </c>
      <c r="W880" s="13" t="str">
        <f>IFERROR(VLOOKUP(Tabela1[[#This Row],[COD.MDE]],'LISTA DE EMBARQUE'!B:M,12,0),"")</f>
        <v/>
      </c>
      <c r="X880" s="14">
        <f ca="1">IFERROR(Tabela1[[#This Row],[QIANTIDADE EXPEDIDA]]*Tabela1[[#This Row],[PESO UNI]],"")</f>
        <v>0</v>
      </c>
      <c r="Y880" s="14">
        <f t="shared" ca="1" si="184"/>
        <v>-4</v>
      </c>
      <c r="Z880" s="20">
        <f ca="1">Tabela1[[#This Row],[PESO TOTAL]]-Tabela1[[#This Row],[Peso Expedido]]</f>
        <v>24.8</v>
      </c>
      <c r="AA880" s="17">
        <v>1</v>
      </c>
      <c r="AB880" s="33"/>
      <c r="AC880" s="33">
        <v>1</v>
      </c>
      <c r="AD880" s="33">
        <v>0.7</v>
      </c>
      <c r="AE880" s="33">
        <v>0.7</v>
      </c>
      <c r="AF880" s="33">
        <v>0.4</v>
      </c>
      <c r="AG880" s="33">
        <v>0.35</v>
      </c>
      <c r="AH880" s="33"/>
      <c r="AI880" s="33"/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hidden="1" customHeight="1" x14ac:dyDescent="0.25">
      <c r="A881" s="1" t="s">
        <v>5055</v>
      </c>
      <c r="B881" s="21" t="s">
        <v>5056</v>
      </c>
      <c r="C881" s="1">
        <v>1</v>
      </c>
      <c r="D881" s="1" t="s">
        <v>5060</v>
      </c>
      <c r="E881" s="7">
        <v>4534</v>
      </c>
      <c r="F881" s="7">
        <v>53</v>
      </c>
      <c r="G881" s="1">
        <v>312.39999999999998</v>
      </c>
      <c r="H881" s="34">
        <f ca="1">Tabela1[[#This Row],[PESO UNI]]*Tabela1[[#This Row],[QTE]]</f>
        <v>312.39999999999998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5105</v>
      </c>
      <c r="O881" s="12"/>
      <c r="P881" s="13"/>
      <c r="Q881" s="14">
        <f ca="1">Tabela1[[#This Row],[QTDE/ Fabricação]]-Tabela1[[#This Row],[QTE]]</f>
        <v>-1</v>
      </c>
      <c r="R881" s="18">
        <f t="shared" ca="1" si="181"/>
        <v>260.85399999999998</v>
      </c>
      <c r="S881" s="18">
        <f t="shared" ca="1" si="182"/>
        <v>109.33999999999999</v>
      </c>
      <c r="T881" s="19">
        <f t="shared" ca="1" si="183"/>
        <v>-203.06</v>
      </c>
      <c r="U881" s="16">
        <f>IFERROR(SUMIF('LISTA DE EMBARQUE'!B:B,MICRO!E:E,'LISTA DE EMBARQUE'!G:G),"")</f>
        <v>0</v>
      </c>
      <c r="V881" s="12" t="str">
        <f>IFERROR(VLOOKUP(Tabela1[[#This Row],[COD.MDE]],'LISTA DE EMBARQUE'!B:L,11,0),"")</f>
        <v/>
      </c>
      <c r="W881" s="13" t="str">
        <f>IFERROR(VLOOKUP(Tabela1[[#This Row],[COD.MDE]],'LISTA DE EMBARQUE'!B:M,12,0),"")</f>
        <v/>
      </c>
      <c r="X881" s="14">
        <f ca="1">IFERROR(Tabela1[[#This Row],[QIANTIDADE EXPEDIDA]]*Tabela1[[#This Row],[PESO UNI]],"")</f>
        <v>0</v>
      </c>
      <c r="Y881" s="14">
        <f t="shared" ca="1" si="184"/>
        <v>-1</v>
      </c>
      <c r="Z881" s="20">
        <f ca="1">Tabela1[[#This Row],[PESO TOTAL]]-Tabela1[[#This Row],[Peso Expedido]]</f>
        <v>312.39999999999998</v>
      </c>
      <c r="AA881" s="17">
        <v>1</v>
      </c>
      <c r="AB881" s="33"/>
      <c r="AC881" s="33">
        <v>1</v>
      </c>
      <c r="AD881" s="33">
        <v>0.7</v>
      </c>
      <c r="AE881" s="33">
        <v>0.7</v>
      </c>
      <c r="AF881" s="33">
        <v>0.4</v>
      </c>
      <c r="AG881" s="33">
        <v>0.35</v>
      </c>
      <c r="AH881" s="33"/>
      <c r="AI881" s="33"/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hidden="1" customHeight="1" x14ac:dyDescent="0.25">
      <c r="A882" s="1" t="s">
        <v>5058</v>
      </c>
      <c r="B882" s="21" t="s">
        <v>5059</v>
      </c>
      <c r="C882" s="1">
        <v>2</v>
      </c>
      <c r="D882" s="1" t="s">
        <v>5061</v>
      </c>
      <c r="E882" s="7">
        <v>4535</v>
      </c>
      <c r="F882" s="7">
        <v>54</v>
      </c>
      <c r="G882" s="1">
        <v>5.4</v>
      </c>
      <c r="H882" s="34">
        <f ca="1">Tabela1[[#This Row],[PESO UNI]]*Tabela1[[#This Row],[QTE]]</f>
        <v>10.8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5105</v>
      </c>
      <c r="O882" s="12"/>
      <c r="P882" s="13"/>
      <c r="Q882" s="14">
        <f ca="1">Tabela1[[#This Row],[QTDE/ Fabricação]]-Tabela1[[#This Row],[QTE]]</f>
        <v>-2</v>
      </c>
      <c r="R882" s="18">
        <f t="shared" ca="1" si="181"/>
        <v>9.0180000000000007</v>
      </c>
      <c r="S882" s="18">
        <f t="shared" ca="1" si="182"/>
        <v>3.78</v>
      </c>
      <c r="T882" s="19">
        <f t="shared" ca="1" si="183"/>
        <v>-7.0200000000000014</v>
      </c>
      <c r="U882" s="16">
        <f>IFERROR(SUMIF('LISTA DE EMBARQUE'!B:B,MICRO!E:E,'LISTA DE EMBARQUE'!G:G),"")</f>
        <v>0</v>
      </c>
      <c r="V882" s="12" t="str">
        <f>IFERROR(VLOOKUP(Tabela1[[#This Row],[COD.MDE]],'LISTA DE EMBARQUE'!B:L,11,0),"")</f>
        <v/>
      </c>
      <c r="W882" s="13" t="str">
        <f>IFERROR(VLOOKUP(Tabela1[[#This Row],[COD.MDE]],'LISTA DE EMBARQUE'!B:M,12,0),"")</f>
        <v/>
      </c>
      <c r="X882" s="14">
        <f ca="1">IFERROR(Tabela1[[#This Row],[QIANTIDADE EXPEDIDA]]*Tabela1[[#This Row],[PESO UNI]],"")</f>
        <v>0</v>
      </c>
      <c r="Y882" s="14">
        <f t="shared" ca="1" si="184"/>
        <v>-2</v>
      </c>
      <c r="Z882" s="20">
        <f ca="1">Tabela1[[#This Row],[PESO TOTAL]]-Tabela1[[#This Row],[Peso Expedido]]</f>
        <v>10.8</v>
      </c>
      <c r="AA882" s="17">
        <v>1</v>
      </c>
      <c r="AB882" s="33"/>
      <c r="AC882" s="33">
        <v>1</v>
      </c>
      <c r="AD882" s="33">
        <v>0.7</v>
      </c>
      <c r="AE882" s="33">
        <v>0.7</v>
      </c>
      <c r="AF882" s="33">
        <v>0.4</v>
      </c>
      <c r="AG882" s="33">
        <v>0.35</v>
      </c>
      <c r="AH882" s="33"/>
      <c r="AI882" s="33"/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hidden="1" customHeight="1" x14ac:dyDescent="0.25">
      <c r="A883" s="1" t="s">
        <v>5058</v>
      </c>
      <c r="B883" s="21" t="s">
        <v>5059</v>
      </c>
      <c r="C883" s="1">
        <v>2</v>
      </c>
      <c r="D883" s="1" t="s">
        <v>5062</v>
      </c>
      <c r="E883" s="7">
        <v>4536</v>
      </c>
      <c r="F883" s="7">
        <v>54</v>
      </c>
      <c r="G883" s="1">
        <v>4.7</v>
      </c>
      <c r="H883" s="34">
        <f ca="1">Tabela1[[#This Row],[PESO UNI]]*Tabela1[[#This Row],[QTE]]</f>
        <v>9.4</v>
      </c>
      <c r="I883" s="7">
        <v>0</v>
      </c>
      <c r="J883" s="8" t="s">
        <v>3045</v>
      </c>
      <c r="K883" s="8" t="s">
        <v>4320</v>
      </c>
      <c r="L883" s="9" t="s">
        <v>2984</v>
      </c>
      <c r="M883" s="10">
        <v>46251</v>
      </c>
      <c r="N883" s="8" t="s">
        <v>5105</v>
      </c>
      <c r="O883" s="12"/>
      <c r="P883" s="13"/>
      <c r="Q883" s="14">
        <f ca="1">Tabela1[[#This Row],[QTDE/ Fabricação]]-Tabela1[[#This Row],[QTE]]</f>
        <v>-2</v>
      </c>
      <c r="R883" s="18">
        <f t="shared" ca="1" si="181"/>
        <v>7.8490000000000002</v>
      </c>
      <c r="S883" s="18">
        <f t="shared" ca="1" si="182"/>
        <v>3.29</v>
      </c>
      <c r="T883" s="19">
        <f t="shared" ca="1" si="183"/>
        <v>-6.11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 ca="1">IFERROR(Tabela1[[#This Row],[QIANTIDADE EXPEDIDA]]*Tabela1[[#This Row],[PESO UNI]],"")</f>
        <v>0</v>
      </c>
      <c r="Y883" s="14">
        <f t="shared" ca="1" si="184"/>
        <v>-2</v>
      </c>
      <c r="Z883" s="20">
        <f ca="1">Tabela1[[#This Row],[PESO TOTAL]]-Tabela1[[#This Row],[Peso Expedido]]</f>
        <v>9.4</v>
      </c>
      <c r="AA883" s="17">
        <v>1</v>
      </c>
      <c r="AB883" s="33"/>
      <c r="AC883" s="33">
        <v>1</v>
      </c>
      <c r="AD883" s="33">
        <v>0.7</v>
      </c>
      <c r="AE883" s="33">
        <v>0.7</v>
      </c>
      <c r="AF883" s="33">
        <v>0.4</v>
      </c>
      <c r="AG883" s="33">
        <v>0.35</v>
      </c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hidden="1" customHeight="1" x14ac:dyDescent="0.25">
      <c r="A884" s="1" t="s">
        <v>5058</v>
      </c>
      <c r="B884" s="21" t="s">
        <v>5059</v>
      </c>
      <c r="C884" s="1">
        <v>1</v>
      </c>
      <c r="D884" s="1" t="s">
        <v>5063</v>
      </c>
      <c r="E884" s="7">
        <v>4537</v>
      </c>
      <c r="F884" s="7">
        <v>54</v>
      </c>
      <c r="G884" s="1">
        <v>211.4</v>
      </c>
      <c r="H884" s="34">
        <f ca="1">Tabela1[[#This Row],[PESO UNI]]*Tabela1[[#This Row],[QTE]]</f>
        <v>211.4</v>
      </c>
      <c r="I884" s="7">
        <v>0</v>
      </c>
      <c r="J884" s="8" t="s">
        <v>3045</v>
      </c>
      <c r="K884" s="8" t="s">
        <v>4320</v>
      </c>
      <c r="L884" s="9" t="s">
        <v>2984</v>
      </c>
      <c r="M884" s="10">
        <v>46251</v>
      </c>
      <c r="N884" s="8" t="s">
        <v>5105</v>
      </c>
      <c r="O884" s="12"/>
      <c r="P884" s="13"/>
      <c r="Q884" s="14">
        <f ca="1">Tabela1[[#This Row],[QTDE/ Fabricação]]-Tabela1[[#This Row],[QTE]]</f>
        <v>-1</v>
      </c>
      <c r="R884" s="18">
        <f t="shared" ca="1" si="181"/>
        <v>176.51900000000001</v>
      </c>
      <c r="S884" s="18">
        <f t="shared" ca="1" si="182"/>
        <v>73.989999999999995</v>
      </c>
      <c r="T884" s="19">
        <f t="shared" ca="1" si="183"/>
        <v>-137.41000000000003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 ca="1">IFERROR(Tabela1[[#This Row],[QIANTIDADE EXPEDIDA]]*Tabela1[[#This Row],[PESO UNI]],"")</f>
        <v>0</v>
      </c>
      <c r="Y884" s="14">
        <f t="shared" ca="1" si="184"/>
        <v>-1</v>
      </c>
      <c r="Z884" s="20">
        <f ca="1">Tabela1[[#This Row],[PESO TOTAL]]-Tabela1[[#This Row],[Peso Expedido]]</f>
        <v>211.4</v>
      </c>
      <c r="AA884" s="17">
        <v>1</v>
      </c>
      <c r="AB884" s="33"/>
      <c r="AC884" s="33">
        <v>1</v>
      </c>
      <c r="AD884" s="33">
        <v>0.7</v>
      </c>
      <c r="AE884" s="33">
        <v>0.7</v>
      </c>
      <c r="AF884" s="33">
        <v>0.4</v>
      </c>
      <c r="AG884" s="33">
        <v>0.35</v>
      </c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hidden="1" customHeight="1" x14ac:dyDescent="0.25">
      <c r="A885" s="1" t="s">
        <v>5064</v>
      </c>
      <c r="B885" s="21" t="s">
        <v>5065</v>
      </c>
      <c r="C885" s="1">
        <v>1</v>
      </c>
      <c r="D885" s="1" t="s">
        <v>5066</v>
      </c>
      <c r="E885" s="7">
        <v>4538</v>
      </c>
      <c r="F885" s="7">
        <v>19</v>
      </c>
      <c r="G885" s="1">
        <v>593.20000000000005</v>
      </c>
      <c r="H885" s="34">
        <f ca="1">Tabela1[[#This Row],[PESO UNI]]*Tabela1[[#This Row],[QTE]]</f>
        <v>593.20000000000005</v>
      </c>
      <c r="I885" s="7" t="s">
        <v>5586</v>
      </c>
      <c r="J885" s="8" t="s">
        <v>4834</v>
      </c>
      <c r="K885" s="8" t="s">
        <v>4320</v>
      </c>
      <c r="L885" s="9" t="s">
        <v>3291</v>
      </c>
      <c r="M885" s="10">
        <v>46252</v>
      </c>
      <c r="N885" s="8" t="s">
        <v>38</v>
      </c>
      <c r="O885" s="12"/>
      <c r="P885" s="13"/>
      <c r="Q885" s="14">
        <f ca="1">Tabela1[[#This Row],[QTDE/ Fabricação]]-Tabela1[[#This Row],[QTE]]</f>
        <v>-1</v>
      </c>
      <c r="R885" s="18">
        <f t="shared" ca="1" si="181"/>
        <v>593.20000000000005</v>
      </c>
      <c r="S885" s="18">
        <f t="shared" ca="1" si="182"/>
        <v>593.20000000000005</v>
      </c>
      <c r="T885" s="19">
        <f t="shared" ca="1" si="183"/>
        <v>0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 ca="1">IFERROR(Tabela1[[#This Row],[QIANTIDADE EXPEDIDA]]*Tabela1[[#This Row],[PESO UNI]],"")</f>
        <v>0</v>
      </c>
      <c r="Y885" s="14">
        <f t="shared" ca="1" si="184"/>
        <v>-1</v>
      </c>
      <c r="Z885" s="20">
        <f ca="1">Tabela1[[#This Row],[PESO TOTAL]]-Tabela1[[#This Row],[Peso Expedido]]</f>
        <v>593.20000000000005</v>
      </c>
      <c r="AA885" s="17">
        <v>1</v>
      </c>
      <c r="AB885" s="33"/>
      <c r="AC885" s="17">
        <v>1</v>
      </c>
      <c r="AD885" s="33">
        <v>1</v>
      </c>
      <c r="AE885" s="33">
        <v>1</v>
      </c>
      <c r="AF885" s="33">
        <v>1</v>
      </c>
      <c r="AG885" s="33">
        <v>1</v>
      </c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hidden="1" customHeight="1" x14ac:dyDescent="0.25">
      <c r="A886" s="1" t="s">
        <v>5067</v>
      </c>
      <c r="B886" s="21" t="s">
        <v>5068</v>
      </c>
      <c r="C886" s="1">
        <v>1</v>
      </c>
      <c r="D886" s="1" t="s">
        <v>5069</v>
      </c>
      <c r="E886" s="7">
        <v>4539</v>
      </c>
      <c r="F886" s="7">
        <v>19</v>
      </c>
      <c r="G886" s="1">
        <v>713.6</v>
      </c>
      <c r="H886" s="34">
        <f ca="1">Tabela1[[#This Row],[PESO UNI]]*Tabela1[[#This Row],[QTE]]</f>
        <v>713.6</v>
      </c>
      <c r="I886" s="7" t="s">
        <v>5586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 ca="1">Tabela1[[#This Row],[QTDE/ Fabricação]]-Tabela1[[#This Row],[QTE]]</f>
        <v>-1</v>
      </c>
      <c r="R886" s="18">
        <f t="shared" ca="1" si="181"/>
        <v>693.976</v>
      </c>
      <c r="S886" s="18">
        <f t="shared" ca="1" si="182"/>
        <v>0</v>
      </c>
      <c r="T886" s="19">
        <f t="shared" ca="1" si="183"/>
        <v>-713.6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 ca="1">IFERROR(Tabela1[[#This Row],[QIANTIDADE EXPEDIDA]]*Tabela1[[#This Row],[PESO UNI]],"")</f>
        <v>0</v>
      </c>
      <c r="Y886" s="14">
        <f t="shared" ca="1" si="184"/>
        <v>-1</v>
      </c>
      <c r="Z886" s="20">
        <f ca="1">Tabela1[[#This Row],[PESO TOTAL]]-Tabela1[[#This Row],[Peso Expedido]]</f>
        <v>713.6</v>
      </c>
      <c r="AA886" s="17">
        <v>1</v>
      </c>
      <c r="AB886" s="33"/>
      <c r="AC886" s="17">
        <v>1</v>
      </c>
      <c r="AD886" s="33">
        <v>1</v>
      </c>
      <c r="AE886" s="33">
        <v>0.9</v>
      </c>
      <c r="AF886" s="33">
        <v>0.9</v>
      </c>
      <c r="AG886" s="33"/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hidden="1" customHeight="1" x14ac:dyDescent="0.25">
      <c r="A887" s="1" t="s">
        <v>5070</v>
      </c>
      <c r="B887" s="21" t="s">
        <v>5071</v>
      </c>
      <c r="C887" s="1">
        <v>1</v>
      </c>
      <c r="D887" s="1" t="s">
        <v>5072</v>
      </c>
      <c r="E887" s="7">
        <v>4540</v>
      </c>
      <c r="F887" s="7">
        <v>19</v>
      </c>
      <c r="G887" s="1">
        <v>355.4</v>
      </c>
      <c r="H887" s="34">
        <f ca="1">Tabela1[[#This Row],[PESO UNI]]*Tabela1[[#This Row],[QTE]]</f>
        <v>355.4</v>
      </c>
      <c r="I887" s="7" t="s">
        <v>5586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 ca="1">Tabela1[[#This Row],[QTDE/ Fabricação]]-Tabela1[[#This Row],[QTE]]</f>
        <v>-1</v>
      </c>
      <c r="R887" s="18">
        <f t="shared" ca="1" si="181"/>
        <v>306.53249999999997</v>
      </c>
      <c r="S887" s="18">
        <f t="shared" ca="1" si="182"/>
        <v>0</v>
      </c>
      <c r="T887" s="19">
        <f t="shared" ca="1" si="183"/>
        <v>-355.4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 ca="1">IFERROR(Tabela1[[#This Row],[QIANTIDADE EXPEDIDA]]*Tabela1[[#This Row],[PESO UNI]],"")</f>
        <v>0</v>
      </c>
      <c r="Y887" s="14">
        <f t="shared" ca="1" si="184"/>
        <v>-1</v>
      </c>
      <c r="Z887" s="20">
        <f ca="1">Tabela1[[#This Row],[PESO TOTAL]]-Tabela1[[#This Row],[Peso Expedido]]</f>
        <v>355.4</v>
      </c>
      <c r="AA887" s="17">
        <v>1</v>
      </c>
      <c r="AB887" s="33"/>
      <c r="AC887" s="17">
        <v>1</v>
      </c>
      <c r="AD887" s="33">
        <v>1</v>
      </c>
      <c r="AE887" s="33">
        <v>0.5</v>
      </c>
      <c r="AF887" s="33">
        <v>0.5</v>
      </c>
      <c r="AG887" s="33"/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hidden="1" customHeight="1" x14ac:dyDescent="0.25">
      <c r="A888" s="1" t="s">
        <v>5073</v>
      </c>
      <c r="B888" s="21" t="s">
        <v>5074</v>
      </c>
      <c r="C888" s="1">
        <v>1</v>
      </c>
      <c r="D888" s="1" t="s">
        <v>5075</v>
      </c>
      <c r="E888" s="7">
        <v>4541</v>
      </c>
      <c r="F888" s="7">
        <v>19</v>
      </c>
      <c r="G888" s="1">
        <v>604.79999999999995</v>
      </c>
      <c r="H888" s="34">
        <f ca="1">Tabela1[[#This Row],[PESO UNI]]*Tabela1[[#This Row],[QTE]]</f>
        <v>604.79999999999995</v>
      </c>
      <c r="I888" s="7" t="s">
        <v>5586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 ca="1">Tabela1[[#This Row],[QTDE/ Fabricação]]-Tabela1[[#This Row],[QTE]]</f>
        <v>-1</v>
      </c>
      <c r="R888" s="18">
        <f t="shared" ca="1" si="181"/>
        <v>604.79999999999995</v>
      </c>
      <c r="S888" s="18">
        <f t="shared" ca="1" si="182"/>
        <v>604.79999999999995</v>
      </c>
      <c r="T888" s="19">
        <f t="shared" ca="1" si="183"/>
        <v>0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 ca="1">IFERROR(Tabela1[[#This Row],[QIANTIDADE EXPEDIDA]]*Tabela1[[#This Row],[PESO UNI]],"")</f>
        <v>0</v>
      </c>
      <c r="Y888" s="14">
        <f t="shared" ca="1" si="184"/>
        <v>-1</v>
      </c>
      <c r="Z888" s="20">
        <f ca="1">Tabela1[[#This Row],[PESO TOTAL]]-Tabela1[[#This Row],[Peso Expedido]]</f>
        <v>604.79999999999995</v>
      </c>
      <c r="AA888" s="17">
        <v>1</v>
      </c>
      <c r="AB888" s="33"/>
      <c r="AC888" s="17">
        <v>1</v>
      </c>
      <c r="AD888" s="33">
        <v>1</v>
      </c>
      <c r="AE888" s="33">
        <v>1</v>
      </c>
      <c r="AF888" s="33">
        <v>1</v>
      </c>
      <c r="AG888" s="33">
        <v>1</v>
      </c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hidden="1" customHeight="1" x14ac:dyDescent="0.25">
      <c r="A889" s="1" t="s">
        <v>5076</v>
      </c>
      <c r="B889" s="21" t="s">
        <v>5077</v>
      </c>
      <c r="C889" s="1">
        <v>1</v>
      </c>
      <c r="D889" s="1" t="s">
        <v>5078</v>
      </c>
      <c r="E889" s="7">
        <v>4542</v>
      </c>
      <c r="F889" s="7">
        <v>19</v>
      </c>
      <c r="G889" s="1">
        <v>484.8</v>
      </c>
      <c r="H889" s="34">
        <f ca="1">Tabela1[[#This Row],[PESO UNI]]*Tabela1[[#This Row],[QTE]]</f>
        <v>484.8</v>
      </c>
      <c r="I889" s="7" t="s">
        <v>5586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 ca="1">Tabela1[[#This Row],[QTDE/ Fabricação]]-Tabela1[[#This Row],[QTE]]</f>
        <v>-1</v>
      </c>
      <c r="R889" s="18">
        <f t="shared" ca="1" si="181"/>
        <v>484.8</v>
      </c>
      <c r="S889" s="18">
        <f t="shared" ca="1" si="182"/>
        <v>484.8</v>
      </c>
      <c r="T889" s="19">
        <f t="shared" ca="1" si="183"/>
        <v>0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 ca="1">IFERROR(Tabela1[[#This Row],[QIANTIDADE EXPEDIDA]]*Tabela1[[#This Row],[PESO UNI]],"")</f>
        <v>0</v>
      </c>
      <c r="Y889" s="14">
        <f t="shared" ca="1" si="184"/>
        <v>-1</v>
      </c>
      <c r="Z889" s="20">
        <f ca="1">Tabela1[[#This Row],[PESO TOTAL]]-Tabela1[[#This Row],[Peso Expedido]]</f>
        <v>484.8</v>
      </c>
      <c r="AA889" s="17">
        <v>1</v>
      </c>
      <c r="AB889" s="33"/>
      <c r="AC889" s="17">
        <v>1</v>
      </c>
      <c r="AD889" s="33">
        <v>1</v>
      </c>
      <c r="AE889" s="33">
        <v>1</v>
      </c>
      <c r="AF889" s="33">
        <v>1</v>
      </c>
      <c r="AG889" s="33">
        <v>1</v>
      </c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hidden="1" customHeight="1" x14ac:dyDescent="0.25">
      <c r="A890" s="1" t="s">
        <v>5079</v>
      </c>
      <c r="B890" s="21" t="s">
        <v>5080</v>
      </c>
      <c r="C890" s="1">
        <v>1</v>
      </c>
      <c r="D890" s="1" t="s">
        <v>5081</v>
      </c>
      <c r="E890" s="7">
        <v>4543</v>
      </c>
      <c r="F890" s="7">
        <v>19</v>
      </c>
      <c r="G890" s="1">
        <v>1096.4000000000001</v>
      </c>
      <c r="H890" s="34">
        <f ca="1">Tabela1[[#This Row],[PESO UNI]]*Tabela1[[#This Row],[QTE]]</f>
        <v>1096.4000000000001</v>
      </c>
      <c r="I890" s="7" t="s">
        <v>5586</v>
      </c>
      <c r="J890" s="8" t="s">
        <v>4834</v>
      </c>
      <c r="K890" s="8" t="s">
        <v>4320</v>
      </c>
      <c r="L890" s="9" t="s">
        <v>3291</v>
      </c>
      <c r="M890" s="10">
        <v>46252</v>
      </c>
      <c r="N890" s="8" t="s">
        <v>38</v>
      </c>
      <c r="O890" s="12"/>
      <c r="P890" s="13"/>
      <c r="Q890" s="14">
        <f ca="1">Tabela1[[#This Row],[QTDE/ Fabricação]]-Tabela1[[#This Row],[QTE]]</f>
        <v>-1</v>
      </c>
      <c r="R890" s="18">
        <f t="shared" ca="1" si="181"/>
        <v>945.6450000000001</v>
      </c>
      <c r="S890" s="18">
        <f t="shared" ca="1" si="182"/>
        <v>0</v>
      </c>
      <c r="T890" s="19">
        <f t="shared" ca="1" si="183"/>
        <v>-1096.4000000000001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 ca="1">IFERROR(Tabela1[[#This Row],[QIANTIDADE EXPEDIDA]]*Tabela1[[#This Row],[PESO UNI]],"")</f>
        <v>0</v>
      </c>
      <c r="Y890" s="14">
        <f t="shared" ca="1" si="184"/>
        <v>-1</v>
      </c>
      <c r="Z890" s="20">
        <f ca="1">Tabela1[[#This Row],[PESO TOTAL]]-Tabela1[[#This Row],[Peso Expedido]]</f>
        <v>1096.4000000000001</v>
      </c>
      <c r="AA890" s="17">
        <v>1</v>
      </c>
      <c r="AB890" s="33"/>
      <c r="AC890" s="17">
        <v>1</v>
      </c>
      <c r="AD890" s="33">
        <v>1</v>
      </c>
      <c r="AE890" s="33">
        <v>0.5</v>
      </c>
      <c r="AF890" s="33">
        <v>0.5</v>
      </c>
      <c r="AG890" s="33"/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hidden="1" customHeight="1" x14ac:dyDescent="0.25">
      <c r="A891" s="1" t="s">
        <v>5082</v>
      </c>
      <c r="B891" s="21" t="s">
        <v>5083</v>
      </c>
      <c r="C891" s="1">
        <v>1</v>
      </c>
      <c r="D891" s="1" t="s">
        <v>5084</v>
      </c>
      <c r="E891" s="7">
        <v>4544</v>
      </c>
      <c r="F891" s="7">
        <v>19</v>
      </c>
      <c r="G891" s="1">
        <v>289.5</v>
      </c>
      <c r="H891" s="34">
        <f ca="1">Tabela1[[#This Row],[PESO UNI]]*Tabela1[[#This Row],[QTE]]</f>
        <v>289.5</v>
      </c>
      <c r="I891" s="7" t="s">
        <v>5586</v>
      </c>
      <c r="J891" s="8" t="s">
        <v>4834</v>
      </c>
      <c r="K891" s="8" t="s">
        <v>4320</v>
      </c>
      <c r="L891" s="9" t="s">
        <v>3291</v>
      </c>
      <c r="M891" s="10">
        <v>46252</v>
      </c>
      <c r="N891" s="8" t="s">
        <v>38</v>
      </c>
      <c r="O891" s="12"/>
      <c r="P891" s="13"/>
      <c r="Q891" s="14">
        <f ca="1">Tabela1[[#This Row],[QTDE/ Fabricação]]-Tabela1[[#This Row],[QTE]]</f>
        <v>-1</v>
      </c>
      <c r="R891" s="18">
        <f t="shared" ca="1" si="181"/>
        <v>249.69375000000002</v>
      </c>
      <c r="S891" s="18">
        <f t="shared" ca="1" si="182"/>
        <v>0</v>
      </c>
      <c r="T891" s="19">
        <f t="shared" ca="1" si="183"/>
        <v>-289.5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 ca="1">IFERROR(Tabela1[[#This Row],[QIANTIDADE EXPEDIDA]]*Tabela1[[#This Row],[PESO UNI]],"")</f>
        <v>0</v>
      </c>
      <c r="Y891" s="14">
        <f t="shared" ca="1" si="184"/>
        <v>-1</v>
      </c>
      <c r="Z891" s="20">
        <f ca="1">Tabela1[[#This Row],[PESO TOTAL]]-Tabela1[[#This Row],[Peso Expedido]]</f>
        <v>289.5</v>
      </c>
      <c r="AA891" s="17">
        <v>1</v>
      </c>
      <c r="AB891" s="33"/>
      <c r="AC891" s="17">
        <v>1</v>
      </c>
      <c r="AD891" s="33">
        <v>1</v>
      </c>
      <c r="AE891" s="33">
        <v>0.5</v>
      </c>
      <c r="AF891" s="33">
        <v>0.5</v>
      </c>
      <c r="AG891" s="33"/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hidden="1" customHeight="1" x14ac:dyDescent="0.25">
      <c r="A892" s="1" t="s">
        <v>5085</v>
      </c>
      <c r="B892" s="21" t="s">
        <v>5086</v>
      </c>
      <c r="C892" s="1">
        <v>1</v>
      </c>
      <c r="D892" s="1" t="s">
        <v>5087</v>
      </c>
      <c r="E892" s="7">
        <v>4545</v>
      </c>
      <c r="F892" s="7">
        <v>57</v>
      </c>
      <c r="G892" s="1">
        <v>763.4</v>
      </c>
      <c r="H892" s="34">
        <f ca="1">Tabela1[[#This Row],[PESO UNI]]*Tabela1[[#This Row],[QTE]]</f>
        <v>763.4</v>
      </c>
      <c r="I892" s="7">
        <v>0</v>
      </c>
      <c r="J892" s="8" t="s">
        <v>3045</v>
      </c>
      <c r="K892" s="8" t="s">
        <v>4320</v>
      </c>
      <c r="L892" s="9" t="s">
        <v>2984</v>
      </c>
      <c r="M892" s="10">
        <v>46251</v>
      </c>
      <c r="N892" s="8" t="s">
        <v>5105</v>
      </c>
      <c r="O892" s="12"/>
      <c r="P892" s="13"/>
      <c r="Q892" s="14">
        <f ca="1">Tabela1[[#This Row],[QTDE/ Fabricação]]-Tabela1[[#This Row],[QTE]]</f>
        <v>-1</v>
      </c>
      <c r="R892" s="18">
        <f t="shared" ca="1" si="181"/>
        <v>637.43899999999996</v>
      </c>
      <c r="S892" s="18">
        <f t="shared" ca="1" si="182"/>
        <v>267.19</v>
      </c>
      <c r="T892" s="19">
        <f t="shared" ca="1" si="183"/>
        <v>-496.21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 ca="1">IFERROR(Tabela1[[#This Row],[QIANTIDADE EXPEDIDA]]*Tabela1[[#This Row],[PESO UNI]],"")</f>
        <v>0</v>
      </c>
      <c r="Y892" s="14">
        <f t="shared" ca="1" si="184"/>
        <v>-1</v>
      </c>
      <c r="Z892" s="20">
        <f ca="1">Tabela1[[#This Row],[PESO TOTAL]]-Tabela1[[#This Row],[Peso Expedido]]</f>
        <v>763.4</v>
      </c>
      <c r="AA892" s="17">
        <v>1</v>
      </c>
      <c r="AB892" s="33"/>
      <c r="AC892" s="33">
        <v>1</v>
      </c>
      <c r="AD892" s="33">
        <v>0.7</v>
      </c>
      <c r="AE892" s="33">
        <v>0.7</v>
      </c>
      <c r="AF892" s="33">
        <v>0.4</v>
      </c>
      <c r="AG892" s="33">
        <v>0.35</v>
      </c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hidden="1" customHeight="1" x14ac:dyDescent="0.25">
      <c r="A893" s="1" t="s">
        <v>5088</v>
      </c>
      <c r="B893" s="21" t="s">
        <v>5089</v>
      </c>
      <c r="C893" s="1">
        <v>1</v>
      </c>
      <c r="D893" s="1" t="s">
        <v>5090</v>
      </c>
      <c r="E893" s="7">
        <v>4546</v>
      </c>
      <c r="F893" s="7">
        <v>57</v>
      </c>
      <c r="G893" s="1">
        <v>508.5</v>
      </c>
      <c r="H893" s="34">
        <f ca="1">Tabela1[[#This Row],[PESO UNI]]*Tabela1[[#This Row],[QTE]]</f>
        <v>508.5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5105</v>
      </c>
      <c r="O893" s="12"/>
      <c r="P893" s="13"/>
      <c r="Q893" s="14">
        <f ca="1">Tabela1[[#This Row],[QTDE/ Fabricação]]-Tabela1[[#This Row],[QTE]]</f>
        <v>-1</v>
      </c>
      <c r="R893" s="18">
        <f t="shared" ca="1" si="181"/>
        <v>424.59749999999997</v>
      </c>
      <c r="S893" s="18">
        <f t="shared" ca="1" si="182"/>
        <v>177.97499999999999</v>
      </c>
      <c r="T893" s="19">
        <f t="shared" ca="1" si="183"/>
        <v>-330.52499999999998</v>
      </c>
      <c r="U893" s="16">
        <f>IFERROR(SUMIF('LISTA DE EMBARQUE'!B:B,MICRO!E:E,'LISTA DE EMBARQUE'!G:G),"")</f>
        <v>0</v>
      </c>
      <c r="V893" s="12" t="str">
        <f>IFERROR(VLOOKUP(Tabela1[[#This Row],[COD.MDE]],'LISTA DE EMBARQUE'!B:L,11,0),"")</f>
        <v/>
      </c>
      <c r="W893" s="13" t="str">
        <f>IFERROR(VLOOKUP(Tabela1[[#This Row],[COD.MDE]],'LISTA DE EMBARQUE'!B:M,12,0),"")</f>
        <v/>
      </c>
      <c r="X893" s="14">
        <f ca="1">IFERROR(Tabela1[[#This Row],[QIANTIDADE EXPEDIDA]]*Tabela1[[#This Row],[PESO UNI]],"")</f>
        <v>0</v>
      </c>
      <c r="Y893" s="14">
        <f t="shared" ca="1" si="184"/>
        <v>-1</v>
      </c>
      <c r="Z893" s="20">
        <f ca="1">Tabela1[[#This Row],[PESO TOTAL]]-Tabela1[[#This Row],[Peso Expedido]]</f>
        <v>508.5</v>
      </c>
      <c r="AA893" s="17">
        <v>1</v>
      </c>
      <c r="AB893" s="33"/>
      <c r="AC893" s="33">
        <v>1</v>
      </c>
      <c r="AD893" s="33">
        <v>0.7</v>
      </c>
      <c r="AE893" s="33">
        <v>0.7</v>
      </c>
      <c r="AF893" s="33">
        <v>0.4</v>
      </c>
      <c r="AG893" s="33">
        <v>0.35</v>
      </c>
      <c r="AH893" s="33"/>
      <c r="AI893" s="33"/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hidden="1" customHeight="1" x14ac:dyDescent="0.25">
      <c r="A894" s="1" t="s">
        <v>5091</v>
      </c>
      <c r="B894" s="21" t="s">
        <v>5092</v>
      </c>
      <c r="C894" s="1">
        <v>1</v>
      </c>
      <c r="D894" s="1" t="s">
        <v>5093</v>
      </c>
      <c r="E894" s="7">
        <v>4547</v>
      </c>
      <c r="F894" s="7">
        <v>57</v>
      </c>
      <c r="G894" s="1">
        <v>441.2</v>
      </c>
      <c r="H894" s="34">
        <f ca="1">Tabela1[[#This Row],[PESO UNI]]*Tabela1[[#This Row],[QTE]]</f>
        <v>441.2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5105</v>
      </c>
      <c r="O894" s="12"/>
      <c r="P894" s="13"/>
      <c r="Q894" s="14">
        <f ca="1">Tabela1[[#This Row],[QTDE/ Fabricação]]-Tabela1[[#This Row],[QTE]]</f>
        <v>-1</v>
      </c>
      <c r="R894" s="18">
        <f t="shared" ca="1" si="181"/>
        <v>368.40199999999999</v>
      </c>
      <c r="S894" s="18">
        <f t="shared" ca="1" si="182"/>
        <v>154.41999999999999</v>
      </c>
      <c r="T894" s="19">
        <f t="shared" ca="1" si="183"/>
        <v>-286.77999999999997</v>
      </c>
      <c r="U894" s="16">
        <f>IFERROR(SUMIF('LISTA DE EMBARQUE'!B:B,MICRO!E:E,'LISTA DE EMBARQUE'!G:G),"")</f>
        <v>0</v>
      </c>
      <c r="V894" s="12" t="str">
        <f>IFERROR(VLOOKUP(Tabela1[[#This Row],[COD.MDE]],'LISTA DE EMBARQUE'!B:L,11,0),"")</f>
        <v/>
      </c>
      <c r="W894" s="13" t="str">
        <f>IFERROR(VLOOKUP(Tabela1[[#This Row],[COD.MDE]],'LISTA DE EMBARQUE'!B:M,12,0),"")</f>
        <v/>
      </c>
      <c r="X894" s="14">
        <f ca="1">IFERROR(Tabela1[[#This Row],[QIANTIDADE EXPEDIDA]]*Tabela1[[#This Row],[PESO UNI]],"")</f>
        <v>0</v>
      </c>
      <c r="Y894" s="14">
        <f t="shared" ca="1" si="184"/>
        <v>-1</v>
      </c>
      <c r="Z894" s="20">
        <f ca="1">Tabela1[[#This Row],[PESO TOTAL]]-Tabela1[[#This Row],[Peso Expedido]]</f>
        <v>441.2</v>
      </c>
      <c r="AA894" s="17">
        <v>1</v>
      </c>
      <c r="AB894" s="33"/>
      <c r="AC894" s="33">
        <v>1</v>
      </c>
      <c r="AD894" s="33">
        <v>0.7</v>
      </c>
      <c r="AE894" s="33">
        <v>0.7</v>
      </c>
      <c r="AF894" s="33">
        <v>0.4</v>
      </c>
      <c r="AG894" s="33">
        <v>0.35</v>
      </c>
      <c r="AH894" s="33"/>
      <c r="AI894" s="33"/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hidden="1" customHeight="1" x14ac:dyDescent="0.25">
      <c r="A895" s="1" t="s">
        <v>5094</v>
      </c>
      <c r="B895" s="21" t="s">
        <v>5095</v>
      </c>
      <c r="C895" s="1">
        <v>1</v>
      </c>
      <c r="D895" s="1" t="s">
        <v>5096</v>
      </c>
      <c r="E895" s="7">
        <v>4548</v>
      </c>
      <c r="F895" s="7">
        <v>57</v>
      </c>
      <c r="G895" s="1">
        <v>725.7</v>
      </c>
      <c r="H895" s="34">
        <f ca="1">Tabela1[[#This Row],[PESO UNI]]*Tabela1[[#This Row],[QTE]]</f>
        <v>725.7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5105</v>
      </c>
      <c r="O895" s="12"/>
      <c r="P895" s="13"/>
      <c r="Q895" s="14">
        <f ca="1">Tabela1[[#This Row],[QTDE/ Fabricação]]-Tabela1[[#This Row],[QTE]]</f>
        <v>-1</v>
      </c>
      <c r="R895" s="18">
        <f t="shared" ca="1" si="181"/>
        <v>605.95950000000005</v>
      </c>
      <c r="S895" s="18">
        <f t="shared" ca="1" si="182"/>
        <v>253.995</v>
      </c>
      <c r="T895" s="19">
        <f t="shared" ca="1" si="183"/>
        <v>-471.70500000000004</v>
      </c>
      <c r="U895" s="16">
        <f>IFERROR(SUMIF('LISTA DE EMBARQUE'!B:B,MICRO!E:E,'LISTA DE EMBARQUE'!G:G),"")</f>
        <v>0</v>
      </c>
      <c r="V895" s="12" t="str">
        <f>IFERROR(VLOOKUP(Tabela1[[#This Row],[COD.MDE]],'LISTA DE EMBARQUE'!B:L,11,0),"")</f>
        <v/>
      </c>
      <c r="W895" s="13" t="str">
        <f>IFERROR(VLOOKUP(Tabela1[[#This Row],[COD.MDE]],'LISTA DE EMBARQUE'!B:M,12,0),"")</f>
        <v/>
      </c>
      <c r="X895" s="14">
        <f ca="1">IFERROR(Tabela1[[#This Row],[QIANTIDADE EXPEDIDA]]*Tabela1[[#This Row],[PESO UNI]],"")</f>
        <v>0</v>
      </c>
      <c r="Y895" s="14">
        <f t="shared" ca="1" si="184"/>
        <v>-1</v>
      </c>
      <c r="Z895" s="20">
        <f ca="1">Tabela1[[#This Row],[PESO TOTAL]]-Tabela1[[#This Row],[Peso Expedido]]</f>
        <v>725.7</v>
      </c>
      <c r="AA895" s="17">
        <v>1</v>
      </c>
      <c r="AB895" s="33"/>
      <c r="AC895" s="33">
        <v>1</v>
      </c>
      <c r="AD895" s="33">
        <v>0.7</v>
      </c>
      <c r="AE895" s="33">
        <v>0.7</v>
      </c>
      <c r="AF895" s="33">
        <v>0.4</v>
      </c>
      <c r="AG895" s="33">
        <v>0.35</v>
      </c>
      <c r="AH895" s="33"/>
      <c r="AI895" s="33"/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hidden="1" customHeight="1" x14ac:dyDescent="0.25">
      <c r="A896" s="1" t="s">
        <v>5097</v>
      </c>
      <c r="B896" s="21" t="s">
        <v>5098</v>
      </c>
      <c r="C896" s="1">
        <v>1</v>
      </c>
      <c r="D896" s="1" t="s">
        <v>5099</v>
      </c>
      <c r="E896" s="7">
        <v>4549</v>
      </c>
      <c r="F896" s="7">
        <v>57</v>
      </c>
      <c r="G896" s="1">
        <v>350.2</v>
      </c>
      <c r="H896" s="34">
        <f ca="1">Tabela1[[#This Row],[PESO UNI]]*Tabela1[[#This Row],[QTE]]</f>
        <v>350.2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5105</v>
      </c>
      <c r="O896" s="12"/>
      <c r="P896" s="13"/>
      <c r="Q896" s="14">
        <f ca="1">Tabela1[[#This Row],[QTDE/ Fabricação]]-Tabela1[[#This Row],[QTE]]</f>
        <v>-1</v>
      </c>
      <c r="R896" s="18">
        <f t="shared" ca="1" si="181"/>
        <v>292.41699999999997</v>
      </c>
      <c r="S896" s="18">
        <f t="shared" ca="1" si="182"/>
        <v>122.57</v>
      </c>
      <c r="T896" s="19">
        <f t="shared" ca="1" si="183"/>
        <v>-227.63</v>
      </c>
      <c r="U896" s="16">
        <f>IFERROR(SUMIF('LISTA DE EMBARQUE'!B:B,MICRO!E:E,'LISTA DE EMBARQUE'!G:G),"")</f>
        <v>0</v>
      </c>
      <c r="V896" s="12" t="str">
        <f>IFERROR(VLOOKUP(Tabela1[[#This Row],[COD.MDE]],'LISTA DE EMBARQUE'!B:L,11,0),"")</f>
        <v/>
      </c>
      <c r="W896" s="13" t="str">
        <f>IFERROR(VLOOKUP(Tabela1[[#This Row],[COD.MDE]],'LISTA DE EMBARQUE'!B:M,12,0),"")</f>
        <v/>
      </c>
      <c r="X896" s="14">
        <f ca="1">IFERROR(Tabela1[[#This Row],[QIANTIDADE EXPEDIDA]]*Tabela1[[#This Row],[PESO UNI]],"")</f>
        <v>0</v>
      </c>
      <c r="Y896" s="14">
        <f t="shared" ca="1" si="184"/>
        <v>-1</v>
      </c>
      <c r="Z896" s="20">
        <f ca="1">Tabela1[[#This Row],[PESO TOTAL]]-Tabela1[[#This Row],[Peso Expedido]]</f>
        <v>350.2</v>
      </c>
      <c r="AA896" s="17">
        <v>1</v>
      </c>
      <c r="AB896" s="33"/>
      <c r="AC896" s="33">
        <v>1</v>
      </c>
      <c r="AD896" s="33">
        <v>0.7</v>
      </c>
      <c r="AE896" s="33">
        <v>0.7</v>
      </c>
      <c r="AF896" s="33">
        <v>0.4</v>
      </c>
      <c r="AG896" s="33">
        <v>0.35</v>
      </c>
      <c r="AH896" s="33"/>
      <c r="AI896" s="33"/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hidden="1" customHeight="1" x14ac:dyDescent="0.25">
      <c r="A897" s="1" t="s">
        <v>5097</v>
      </c>
      <c r="B897" s="21" t="s">
        <v>5098</v>
      </c>
      <c r="C897" s="1">
        <v>3</v>
      </c>
      <c r="D897" s="1" t="s">
        <v>5100</v>
      </c>
      <c r="E897" s="7">
        <v>4550</v>
      </c>
      <c r="F897" s="7">
        <v>57</v>
      </c>
      <c r="G897" s="1">
        <v>3.1</v>
      </c>
      <c r="H897" s="34">
        <f ca="1">Tabela1[[#This Row],[PESO UNI]]*Tabela1[[#This Row],[QTE]]</f>
        <v>9.3000000000000007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5105</v>
      </c>
      <c r="O897" s="12"/>
      <c r="P897" s="13"/>
      <c r="Q897" s="14">
        <f ca="1">Tabela1[[#This Row],[QTDE/ Fabricação]]-Tabela1[[#This Row],[QTE]]</f>
        <v>-3</v>
      </c>
      <c r="R897" s="18">
        <f t="shared" ca="1" si="181"/>
        <v>7.7655000000000003</v>
      </c>
      <c r="S897" s="18">
        <f t="shared" ca="1" si="182"/>
        <v>3.2549999999999999</v>
      </c>
      <c r="T897" s="19">
        <f t="shared" ca="1" si="183"/>
        <v>-6.0450000000000008</v>
      </c>
      <c r="U897" s="16">
        <f>IFERROR(SUMIF('LISTA DE EMBARQUE'!B:B,MICRO!E:E,'LISTA DE EMBARQUE'!G:G),"")</f>
        <v>0</v>
      </c>
      <c r="V897" s="12" t="str">
        <f>IFERROR(VLOOKUP(Tabela1[[#This Row],[COD.MDE]],'LISTA DE EMBARQUE'!B:L,11,0),"")</f>
        <v/>
      </c>
      <c r="W897" s="13" t="str">
        <f>IFERROR(VLOOKUP(Tabela1[[#This Row],[COD.MDE]],'LISTA DE EMBARQUE'!B:M,12,0),"")</f>
        <v/>
      </c>
      <c r="X897" s="14">
        <f ca="1">IFERROR(Tabela1[[#This Row],[QIANTIDADE EXPEDIDA]]*Tabela1[[#This Row],[PESO UNI]],"")</f>
        <v>0</v>
      </c>
      <c r="Y897" s="14">
        <f t="shared" ca="1" si="184"/>
        <v>-3</v>
      </c>
      <c r="Z897" s="20">
        <f ca="1">Tabela1[[#This Row],[PESO TOTAL]]-Tabela1[[#This Row],[Peso Expedido]]</f>
        <v>9.3000000000000007</v>
      </c>
      <c r="AA897" s="17">
        <v>1</v>
      </c>
      <c r="AB897" s="33"/>
      <c r="AC897" s="33">
        <v>1</v>
      </c>
      <c r="AD897" s="33">
        <v>0.7</v>
      </c>
      <c r="AE897" s="33">
        <v>0.7</v>
      </c>
      <c r="AF897" s="33">
        <v>0.4</v>
      </c>
      <c r="AG897" s="33">
        <v>0.35</v>
      </c>
      <c r="AH897" s="33"/>
      <c r="AI897" s="33"/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hidden="1" customHeight="1" x14ac:dyDescent="0.25">
      <c r="A898" s="1" t="s">
        <v>5101</v>
      </c>
      <c r="B898" s="21" t="s">
        <v>5102</v>
      </c>
      <c r="C898" s="1">
        <v>1</v>
      </c>
      <c r="D898" s="1" t="s">
        <v>5103</v>
      </c>
      <c r="E898" s="7">
        <v>4551</v>
      </c>
      <c r="F898" s="7">
        <v>57</v>
      </c>
      <c r="G898" s="1">
        <v>33</v>
      </c>
      <c r="H898" s="34">
        <f ca="1">Tabela1[[#This Row],[PESO UNI]]*Tabela1[[#This Row],[QTE]]</f>
        <v>33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5105</v>
      </c>
      <c r="O898" s="12"/>
      <c r="P898" s="13"/>
      <c r="Q898" s="14">
        <f ca="1">Tabela1[[#This Row],[QTDE/ Fabricação]]-Tabela1[[#This Row],[QTE]]</f>
        <v>-1</v>
      </c>
      <c r="R898" s="18">
        <f t="shared" ca="1" si="181"/>
        <v>27.555</v>
      </c>
      <c r="S898" s="18">
        <f t="shared" ca="1" si="182"/>
        <v>11.549999999999999</v>
      </c>
      <c r="T898" s="19">
        <f t="shared" ca="1" si="183"/>
        <v>-21.450000000000003</v>
      </c>
      <c r="U898" s="16">
        <f>IFERROR(SUMIF('LISTA DE EMBARQUE'!B:B,MICRO!E:E,'LISTA DE EMBARQUE'!G:G),"")</f>
        <v>0</v>
      </c>
      <c r="V898" s="12" t="str">
        <f>IFERROR(VLOOKUP(Tabela1[[#This Row],[COD.MDE]],'LISTA DE EMBARQUE'!B:L,11,0),"")</f>
        <v/>
      </c>
      <c r="W898" s="13" t="str">
        <f>IFERROR(VLOOKUP(Tabela1[[#This Row],[COD.MDE]],'LISTA DE EMBARQUE'!B:M,12,0),"")</f>
        <v/>
      </c>
      <c r="X898" s="14">
        <f ca="1">IFERROR(Tabela1[[#This Row],[QIANTIDADE EXPEDIDA]]*Tabela1[[#This Row],[PESO UNI]],"")</f>
        <v>0</v>
      </c>
      <c r="Y898" s="14">
        <f t="shared" ca="1" si="184"/>
        <v>-1</v>
      </c>
      <c r="Z898" s="20">
        <f ca="1">Tabela1[[#This Row],[PESO TOTAL]]-Tabela1[[#This Row],[Peso Expedido]]</f>
        <v>33</v>
      </c>
      <c r="AA898" s="17">
        <v>1</v>
      </c>
      <c r="AB898" s="33"/>
      <c r="AC898" s="33">
        <v>1</v>
      </c>
      <c r="AD898" s="33">
        <v>0.7</v>
      </c>
      <c r="AE898" s="33">
        <v>0.7</v>
      </c>
      <c r="AF898" s="33">
        <v>0.4</v>
      </c>
      <c r="AG898" s="33">
        <v>0.35</v>
      </c>
      <c r="AH898" s="33"/>
      <c r="AI898" s="33"/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hidden="1" customHeight="1" x14ac:dyDescent="0.25">
      <c r="A899" s="1" t="s">
        <v>5590</v>
      </c>
      <c r="B899" s="21" t="s">
        <v>5104</v>
      </c>
      <c r="C899" s="1">
        <v>67</v>
      </c>
      <c r="D899" s="1" t="s">
        <v>5591</v>
      </c>
      <c r="E899" s="7">
        <v>4552</v>
      </c>
      <c r="F899" s="7">
        <v>57</v>
      </c>
      <c r="G899" s="1">
        <v>8.1</v>
      </c>
      <c r="H899" s="34">
        <f ca="1">Tabela1[[#This Row],[PESO UNI]]*Tabela1[[#This Row],[QTE]]</f>
        <v>542.69999999999993</v>
      </c>
      <c r="I899" s="7">
        <v>0</v>
      </c>
      <c r="J899" s="8" t="s">
        <v>3045</v>
      </c>
      <c r="K899" s="8" t="s">
        <v>44</v>
      </c>
      <c r="L899" s="9" t="s">
        <v>2984</v>
      </c>
      <c r="M899" s="10">
        <v>46251</v>
      </c>
      <c r="N899" s="8" t="s">
        <v>38</v>
      </c>
      <c r="O899" s="12"/>
      <c r="P899" s="13"/>
      <c r="Q899" s="14">
        <f ca="1">Tabela1[[#This Row],[QTDE/ Fabricação]]-Tabela1[[#This Row],[QTE]]</f>
        <v>-67</v>
      </c>
      <c r="R899" s="18">
        <f t="shared" ref="R899:R927" ca="1" si="185">IFERROR(H899*((AA899*0.25)+(AC899*0.25)+(AD899*0.225)+(AE899*0.225)+(AF899*0.05)),"")</f>
        <v>135.67499999999998</v>
      </c>
      <c r="S899" s="18">
        <f t="shared" ref="S899:S927" ca="1" si="186">IFERROR(H899*AG899,"")</f>
        <v>0</v>
      </c>
      <c r="T899" s="19">
        <f t="shared" ref="T899:T927" ca="1" si="187">IFERROR(S899-H899,"")</f>
        <v>-542.69999999999993</v>
      </c>
      <c r="U899" s="16">
        <f>IFERROR(SUMIF('LISTA DE EMBARQUE'!B:B,MICRO!E:E,'LISTA DE EMBARQUE'!G:G),"")</f>
        <v>0</v>
      </c>
      <c r="V899" s="12" t="str">
        <f>IFERROR(VLOOKUP(Tabela1[[#This Row],[COD.MDE]],'LISTA DE EMBARQUE'!B:L,11,0),"")</f>
        <v/>
      </c>
      <c r="W899" s="13" t="str">
        <f>IFERROR(VLOOKUP(Tabela1[[#This Row],[COD.MDE]],'LISTA DE EMBARQUE'!B:M,12,0),"")</f>
        <v/>
      </c>
      <c r="X899" s="14">
        <f ca="1">IFERROR(Tabela1[[#This Row],[QIANTIDADE EXPEDIDA]]*Tabela1[[#This Row],[PESO UNI]],"")</f>
        <v>0</v>
      </c>
      <c r="Y899" s="14">
        <f t="shared" ref="Y899:Y927" ca="1" si="188">U899-C899</f>
        <v>-67</v>
      </c>
      <c r="Z899" s="20">
        <f ca="1">Tabela1[[#This Row],[PESO TOTAL]]-Tabela1[[#This Row],[Peso Expedido]]</f>
        <v>542.69999999999993</v>
      </c>
      <c r="AA899" s="17">
        <v>1</v>
      </c>
      <c r="AB899" s="33"/>
      <c r="AC899" s="33"/>
      <c r="AD899" s="33"/>
      <c r="AE899" s="33"/>
      <c r="AF899" s="33"/>
      <c r="AG899" s="33"/>
      <c r="AH899" s="33"/>
      <c r="AI899" s="33"/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hidden="1" customHeight="1" x14ac:dyDescent="0.25">
      <c r="A900" s="1" t="s">
        <v>5590</v>
      </c>
      <c r="B900" s="21" t="s">
        <v>5104</v>
      </c>
      <c r="C900" s="1">
        <v>3</v>
      </c>
      <c r="D900" s="1" t="s">
        <v>5592</v>
      </c>
      <c r="E900" s="7">
        <v>4553</v>
      </c>
      <c r="F900" s="7">
        <v>57</v>
      </c>
      <c r="G900" s="1">
        <v>9.4</v>
      </c>
      <c r="H900" s="34">
        <f ca="1">Tabela1[[#This Row],[PESO UNI]]*Tabela1[[#This Row],[QTE]]</f>
        <v>28.200000000000003</v>
      </c>
      <c r="I900" s="7">
        <v>0</v>
      </c>
      <c r="J900" s="8" t="s">
        <v>3045</v>
      </c>
      <c r="K900" s="8" t="s">
        <v>44</v>
      </c>
      <c r="L900" s="9" t="s">
        <v>2984</v>
      </c>
      <c r="M900" s="10">
        <v>46251</v>
      </c>
      <c r="N900" s="8" t="s">
        <v>38</v>
      </c>
      <c r="O900" s="12"/>
      <c r="P900" s="13"/>
      <c r="Q900" s="14">
        <f ca="1">Tabela1[[#This Row],[QTDE/ Fabricação]]-Tabela1[[#This Row],[QTE]]</f>
        <v>-3</v>
      </c>
      <c r="R900" s="18">
        <f t="shared" ca="1" si="185"/>
        <v>7.0500000000000007</v>
      </c>
      <c r="S900" s="18">
        <f t="shared" ca="1" si="186"/>
        <v>0</v>
      </c>
      <c r="T900" s="19">
        <f t="shared" ca="1" si="187"/>
        <v>-28.200000000000003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 ca="1">IFERROR(Tabela1[[#This Row],[QIANTIDADE EXPEDIDA]]*Tabela1[[#This Row],[PESO UNI]],"")</f>
        <v>0</v>
      </c>
      <c r="Y900" s="14">
        <f t="shared" ca="1" si="188"/>
        <v>-3</v>
      </c>
      <c r="Z900" s="20">
        <f ca="1">Tabela1[[#This Row],[PESO TOTAL]]-Tabela1[[#This Row],[Peso Expedido]]</f>
        <v>28.200000000000003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hidden="1" customHeight="1" x14ac:dyDescent="0.25">
      <c r="A901" s="1" t="s">
        <v>5590</v>
      </c>
      <c r="B901" s="21" t="s">
        <v>5104</v>
      </c>
      <c r="C901" s="1">
        <v>1</v>
      </c>
      <c r="D901" s="1" t="s">
        <v>5593</v>
      </c>
      <c r="E901" s="7">
        <v>4554</v>
      </c>
      <c r="F901" s="7">
        <v>57</v>
      </c>
      <c r="G901" s="1">
        <v>5.4</v>
      </c>
      <c r="H901" s="34">
        <f ca="1">Tabela1[[#This Row],[PESO UNI]]*Tabela1[[#This Row],[QTE]]</f>
        <v>5.4</v>
      </c>
      <c r="I901" s="7">
        <v>0</v>
      </c>
      <c r="J901" s="8" t="s">
        <v>3045</v>
      </c>
      <c r="K901" s="8" t="s">
        <v>44</v>
      </c>
      <c r="L901" s="9" t="s">
        <v>2984</v>
      </c>
      <c r="M901" s="10">
        <v>46251</v>
      </c>
      <c r="N901" s="8" t="s">
        <v>38</v>
      </c>
      <c r="O901" s="12"/>
      <c r="P901" s="13"/>
      <c r="Q901" s="14">
        <f ca="1">Tabela1[[#This Row],[QTDE/ Fabricação]]-Tabela1[[#This Row],[QTE]]</f>
        <v>-1</v>
      </c>
      <c r="R901" s="18">
        <f t="shared" ca="1" si="185"/>
        <v>1.35</v>
      </c>
      <c r="S901" s="18">
        <f t="shared" ca="1" si="186"/>
        <v>0</v>
      </c>
      <c r="T901" s="19">
        <f t="shared" ca="1" si="187"/>
        <v>-5.4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 ca="1">IFERROR(Tabela1[[#This Row],[QIANTIDADE EXPEDIDA]]*Tabela1[[#This Row],[PESO UNI]],"")</f>
        <v>0</v>
      </c>
      <c r="Y901" s="14">
        <f t="shared" ca="1" si="188"/>
        <v>-1</v>
      </c>
      <c r="Z901" s="20">
        <f ca="1">Tabela1[[#This Row],[PESO TOTAL]]-Tabela1[[#This Row],[Peso Expedido]]</f>
        <v>5.4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hidden="1" customHeight="1" x14ac:dyDescent="0.25">
      <c r="A902" s="1" t="s">
        <v>5590</v>
      </c>
      <c r="B902" s="21" t="s">
        <v>5104</v>
      </c>
      <c r="C902" s="1">
        <v>6</v>
      </c>
      <c r="D902" s="1" t="s">
        <v>5594</v>
      </c>
      <c r="E902" s="7">
        <v>4800</v>
      </c>
      <c r="F902" s="7">
        <v>57</v>
      </c>
      <c r="G902" s="1">
        <v>3.9</v>
      </c>
      <c r="H902" s="34">
        <f ca="1">Tabela1[[#This Row],[PESO UNI]]*Tabela1[[#This Row],[QTE]]</f>
        <v>23.4</v>
      </c>
      <c r="I902" s="7">
        <v>0</v>
      </c>
      <c r="J902" s="8" t="s">
        <v>3045</v>
      </c>
      <c r="K902" s="8" t="s">
        <v>44</v>
      </c>
      <c r="L902" s="9" t="s">
        <v>2984</v>
      </c>
      <c r="M902" s="10">
        <v>46251</v>
      </c>
      <c r="N902" s="8" t="s">
        <v>38</v>
      </c>
      <c r="O902" s="12"/>
      <c r="P902" s="13"/>
      <c r="Q902" s="14">
        <f>Tabela1[[#This Row],[QTDE/ Fabricação]]-Tabela1[[#This Row],[QTE]]</f>
        <v>-6</v>
      </c>
      <c r="R902" s="18">
        <f t="shared" ca="1" si="185"/>
        <v>5.85</v>
      </c>
      <c r="S902" s="18">
        <f t="shared" ca="1" si="186"/>
        <v>0</v>
      </c>
      <c r="T902" s="19">
        <f t="shared" ca="1" si="187"/>
        <v>-23.4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 ca="1">IFERROR(Tabela1[[#This Row],[QIANTIDADE EXPEDIDA]]*Tabela1[[#This Row],[PESO UNI]],"")</f>
        <v>0</v>
      </c>
      <c r="Y902" s="14">
        <f t="shared" ca="1" si="188"/>
        <v>-6</v>
      </c>
      <c r="Z902" s="20">
        <f ca="1">Tabela1[[#This Row],[PESO TOTAL]]-Tabela1[[#This Row],[Peso Expedido]]</f>
        <v>23.4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hidden="1" customHeight="1" x14ac:dyDescent="0.25">
      <c r="A903" s="1" t="s">
        <v>5590</v>
      </c>
      <c r="B903" s="21" t="s">
        <v>5104</v>
      </c>
      <c r="C903" s="1">
        <v>4</v>
      </c>
      <c r="D903" s="1" t="s">
        <v>5595</v>
      </c>
      <c r="E903" s="7">
        <v>4801</v>
      </c>
      <c r="F903" s="7">
        <v>57</v>
      </c>
      <c r="G903" s="1">
        <v>2.8</v>
      </c>
      <c r="H903" s="34">
        <f>Tabela1[[#This Row],[PESO UNI]]*Tabela1[[#This Row],[QTE]]</f>
        <v>11.2</v>
      </c>
      <c r="I903" s="7">
        <v>0</v>
      </c>
      <c r="J903" s="8" t="s">
        <v>3045</v>
      </c>
      <c r="K903" s="8" t="s">
        <v>44</v>
      </c>
      <c r="L903" s="9" t="s">
        <v>2984</v>
      </c>
      <c r="M903" s="10">
        <v>46251</v>
      </c>
      <c r="N903" s="8" t="s">
        <v>38</v>
      </c>
      <c r="O903" s="12"/>
      <c r="P903" s="13"/>
      <c r="Q903" s="14">
        <f>Tabela1[[#This Row],[QTDE/ Fabricação]]-Tabela1[[#This Row],[QTE]]</f>
        <v>-4</v>
      </c>
      <c r="R903" s="18">
        <f t="shared" ca="1" si="185"/>
        <v>2.8</v>
      </c>
      <c r="S903" s="18">
        <f t="shared" ca="1" si="186"/>
        <v>0</v>
      </c>
      <c r="T903" s="19">
        <f t="shared" ca="1" si="187"/>
        <v>-11.2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 ca="1">IFERROR(Tabela1[[#This Row],[QIANTIDADE EXPEDIDA]]*Tabela1[[#This Row],[PESO UNI]],"")</f>
        <v>0</v>
      </c>
      <c r="Y903" s="14">
        <f t="shared" ca="1" si="188"/>
        <v>-4</v>
      </c>
      <c r="Z903" s="20">
        <f ca="1">Tabela1[[#This Row],[PESO TOTAL]]-Tabela1[[#This Row],[Peso Expedido]]</f>
        <v>11.2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hidden="1" customHeight="1" x14ac:dyDescent="0.25">
      <c r="A904" s="1" t="s">
        <v>5590</v>
      </c>
      <c r="B904" s="21" t="s">
        <v>5104</v>
      </c>
      <c r="C904" s="1">
        <v>2</v>
      </c>
      <c r="D904" s="1" t="s">
        <v>5596</v>
      </c>
      <c r="E904" s="7">
        <v>4802</v>
      </c>
      <c r="F904" s="7">
        <v>57</v>
      </c>
      <c r="G904" s="1">
        <v>4.7</v>
      </c>
      <c r="H904" s="34">
        <f>Tabela1[[#This Row],[PESO UNI]]*Tabela1[[#This Row],[QTE]]</f>
        <v>9.4</v>
      </c>
      <c r="I904" s="7">
        <v>0</v>
      </c>
      <c r="J904" s="8" t="s">
        <v>3045</v>
      </c>
      <c r="K904" s="8" t="s">
        <v>44</v>
      </c>
      <c r="L904" s="9" t="s">
        <v>2984</v>
      </c>
      <c r="M904" s="10">
        <v>46251</v>
      </c>
      <c r="N904" s="8" t="s">
        <v>38</v>
      </c>
      <c r="O904" s="12"/>
      <c r="P904" s="13"/>
      <c r="Q904" s="14">
        <f>Tabela1[[#This Row],[QTDE/ Fabricação]]-Tabela1[[#This Row],[QTE]]</f>
        <v>-2</v>
      </c>
      <c r="R904" s="18">
        <f t="shared" ca="1" si="185"/>
        <v>2.35</v>
      </c>
      <c r="S904" s="18">
        <f t="shared" ca="1" si="186"/>
        <v>0</v>
      </c>
      <c r="T904" s="19">
        <f t="shared" ca="1" si="187"/>
        <v>-9.4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 ca="1">IFERROR(Tabela1[[#This Row],[QIANTIDADE EXPEDIDA]]*Tabela1[[#This Row],[PESO UNI]],"")</f>
        <v>0</v>
      </c>
      <c r="Y904" s="14">
        <f t="shared" ca="1" si="188"/>
        <v>-2</v>
      </c>
      <c r="Z904" s="20">
        <f ca="1">Tabela1[[#This Row],[PESO TOTAL]]-Tabela1[[#This Row],[Peso Expedido]]</f>
        <v>9.4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hidden="1" customHeight="1" x14ac:dyDescent="0.25">
      <c r="A905" s="1" t="s">
        <v>5590</v>
      </c>
      <c r="B905" s="21" t="s">
        <v>5104</v>
      </c>
      <c r="C905" s="1">
        <v>1</v>
      </c>
      <c r="D905" s="1" t="s">
        <v>5597</v>
      </c>
      <c r="E905" s="7">
        <v>4803</v>
      </c>
      <c r="F905" s="7">
        <v>57</v>
      </c>
      <c r="G905" s="1">
        <v>11.4</v>
      </c>
      <c r="H905" s="34">
        <f>Tabela1[[#This Row],[PESO UNI]]*Tabela1[[#This Row],[QTE]]</f>
        <v>11.4</v>
      </c>
      <c r="I905" s="7">
        <v>0</v>
      </c>
      <c r="J905" s="8" t="s">
        <v>3045</v>
      </c>
      <c r="K905" s="8" t="s">
        <v>44</v>
      </c>
      <c r="L905" s="9" t="s">
        <v>2984</v>
      </c>
      <c r="M905" s="10">
        <v>46251</v>
      </c>
      <c r="N905" s="8" t="s">
        <v>38</v>
      </c>
      <c r="O905" s="12"/>
      <c r="P905" s="13"/>
      <c r="Q905" s="14">
        <f ca="1">Tabela1[[#This Row],[QTDE/ Fabricação]]-Tabela1[[#This Row],[QTE]]</f>
        <v>-1</v>
      </c>
      <c r="R905" s="18">
        <f t="shared" ca="1" si="185"/>
        <v>2.85</v>
      </c>
      <c r="S905" s="18">
        <f t="shared" ca="1" si="186"/>
        <v>0</v>
      </c>
      <c r="T905" s="19">
        <f t="shared" ca="1" si="187"/>
        <v>-11.4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 ca="1">IFERROR(Tabela1[[#This Row],[QIANTIDADE EXPEDIDA]]*Tabela1[[#This Row],[PESO UNI]],"")</f>
        <v>0</v>
      </c>
      <c r="Y905" s="14">
        <f t="shared" ca="1" si="188"/>
        <v>-1</v>
      </c>
      <c r="Z905" s="20">
        <f ca="1">Tabela1[[#This Row],[PESO TOTAL]]-Tabela1[[#This Row],[Peso Expedido]]</f>
        <v>11.4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hidden="1" customHeight="1" x14ac:dyDescent="0.25">
      <c r="A906" s="1" t="s">
        <v>5590</v>
      </c>
      <c r="B906" s="21" t="s">
        <v>5104</v>
      </c>
      <c r="C906" s="1">
        <v>1</v>
      </c>
      <c r="D906" s="1" t="s">
        <v>5598</v>
      </c>
      <c r="E906" s="7">
        <v>4804</v>
      </c>
      <c r="F906" s="7">
        <v>57</v>
      </c>
      <c r="G906" s="1">
        <v>4.3</v>
      </c>
      <c r="H906" s="34">
        <f ca="1">Tabela1[[#This Row],[PESO UNI]]*Tabela1[[#This Row],[QTE]]</f>
        <v>4.3</v>
      </c>
      <c r="I906" s="7">
        <v>0</v>
      </c>
      <c r="J906" s="8" t="s">
        <v>3045</v>
      </c>
      <c r="K906" s="8" t="s">
        <v>44</v>
      </c>
      <c r="L906" s="9" t="s">
        <v>2984</v>
      </c>
      <c r="M906" s="10">
        <v>46251</v>
      </c>
      <c r="N906" s="8" t="s">
        <v>38</v>
      </c>
      <c r="O906" s="12"/>
      <c r="P906" s="13"/>
      <c r="Q906" s="14">
        <f>Tabela1[[#This Row],[QTDE/ Fabricação]]-Tabela1[[#This Row],[QTE]]</f>
        <v>-1</v>
      </c>
      <c r="R906" s="18">
        <f t="shared" ca="1" si="185"/>
        <v>1.075</v>
      </c>
      <c r="S906" s="18">
        <f t="shared" ca="1" si="186"/>
        <v>0</v>
      </c>
      <c r="T906" s="19">
        <f t="shared" ca="1" si="187"/>
        <v>-4.3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 ca="1">IFERROR(Tabela1[[#This Row],[QIANTIDADE EXPEDIDA]]*Tabela1[[#This Row],[PESO UNI]],"")</f>
        <v>0</v>
      </c>
      <c r="Y906" s="14">
        <f t="shared" ca="1" si="188"/>
        <v>-1</v>
      </c>
      <c r="Z906" s="20">
        <f ca="1">Tabela1[[#This Row],[PESO TOTAL]]-Tabela1[[#This Row],[Peso Expedido]]</f>
        <v>4.3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hidden="1" customHeight="1" x14ac:dyDescent="0.25">
      <c r="A907" s="1" t="s">
        <v>5590</v>
      </c>
      <c r="B907" s="21" t="s">
        <v>5104</v>
      </c>
      <c r="C907" s="1">
        <v>1</v>
      </c>
      <c r="D907" s="1" t="s">
        <v>5599</v>
      </c>
      <c r="E907" s="7">
        <v>4805</v>
      </c>
      <c r="F907" s="7">
        <v>57</v>
      </c>
      <c r="G907" s="1">
        <v>5.2</v>
      </c>
      <c r="H907" s="34">
        <f>Tabela1[[#This Row],[PESO UNI]]*Tabela1[[#This Row],[QTE]]</f>
        <v>5.2</v>
      </c>
      <c r="I907" s="7">
        <v>0</v>
      </c>
      <c r="J907" s="8" t="s">
        <v>3045</v>
      </c>
      <c r="K907" s="8" t="s">
        <v>44</v>
      </c>
      <c r="L907" s="9" t="s">
        <v>2984</v>
      </c>
      <c r="M907" s="10">
        <v>46251</v>
      </c>
      <c r="N907" s="8" t="s">
        <v>38</v>
      </c>
      <c r="O907" s="12"/>
      <c r="P907" s="13"/>
      <c r="Q907" s="14">
        <f>Tabela1[[#This Row],[QTDE/ Fabricação]]-Tabela1[[#This Row],[QTE]]</f>
        <v>-1</v>
      </c>
      <c r="R907" s="18">
        <f t="shared" ca="1" si="185"/>
        <v>1.3</v>
      </c>
      <c r="S907" s="18">
        <f t="shared" ca="1" si="186"/>
        <v>0</v>
      </c>
      <c r="T907" s="19">
        <f t="shared" ca="1" si="187"/>
        <v>-5.2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 ca="1">IFERROR(Tabela1[[#This Row],[QIANTIDADE EXPEDIDA]]*Tabela1[[#This Row],[PESO UNI]],"")</f>
        <v>0</v>
      </c>
      <c r="Y907" s="14">
        <f t="shared" ca="1" si="188"/>
        <v>-1</v>
      </c>
      <c r="Z907" s="20">
        <f ca="1">Tabela1[[#This Row],[PESO TOTAL]]-Tabela1[[#This Row],[Peso Expedido]]</f>
        <v>5.2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hidden="1" customHeight="1" x14ac:dyDescent="0.25">
      <c r="A908" s="1" t="s">
        <v>5590</v>
      </c>
      <c r="B908" s="21" t="s">
        <v>5104</v>
      </c>
      <c r="C908" s="1">
        <v>1</v>
      </c>
      <c r="D908" s="1" t="s">
        <v>5600</v>
      </c>
      <c r="E908" s="7">
        <v>4806</v>
      </c>
      <c r="F908" s="7">
        <v>57</v>
      </c>
      <c r="G908" s="1">
        <v>6.2</v>
      </c>
      <c r="H908" s="34">
        <f>Tabela1[[#This Row],[PESO UNI]]*Tabela1[[#This Row],[QTE]]</f>
        <v>6.2</v>
      </c>
      <c r="I908" s="7">
        <v>0</v>
      </c>
      <c r="J908" s="8" t="s">
        <v>3045</v>
      </c>
      <c r="K908" s="8" t="s">
        <v>44</v>
      </c>
      <c r="L908" s="9" t="s">
        <v>2984</v>
      </c>
      <c r="M908" s="10">
        <v>46251</v>
      </c>
      <c r="N908" s="8" t="s">
        <v>38</v>
      </c>
      <c r="O908" s="12"/>
      <c r="P908" s="13"/>
      <c r="Q908" s="14">
        <f>Tabela1[[#This Row],[QTDE/ Fabricação]]-Tabela1[[#This Row],[QTE]]</f>
        <v>-1</v>
      </c>
      <c r="R908" s="18">
        <f t="shared" ca="1" si="185"/>
        <v>1.55</v>
      </c>
      <c r="S908" s="18">
        <f t="shared" ca="1" si="186"/>
        <v>0</v>
      </c>
      <c r="T908" s="19">
        <f t="shared" ca="1" si="187"/>
        <v>-6.2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 ca="1">IFERROR(Tabela1[[#This Row],[QIANTIDADE EXPEDIDA]]*Tabela1[[#This Row],[PESO UNI]],"")</f>
        <v>0</v>
      </c>
      <c r="Y908" s="14">
        <f t="shared" ca="1" si="188"/>
        <v>-1</v>
      </c>
      <c r="Z908" s="20">
        <f ca="1">Tabela1[[#This Row],[PESO TOTAL]]-Tabela1[[#This Row],[Peso Expedido]]</f>
        <v>6.2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hidden="1" customHeight="1" x14ac:dyDescent="0.25">
      <c r="A909" s="1" t="s">
        <v>5590</v>
      </c>
      <c r="B909" s="21" t="s">
        <v>5104</v>
      </c>
      <c r="C909" s="1">
        <v>1</v>
      </c>
      <c r="D909" s="1" t="s">
        <v>5601</v>
      </c>
      <c r="E909" s="7">
        <v>4807</v>
      </c>
      <c r="F909" s="7">
        <v>57</v>
      </c>
      <c r="G909" s="1">
        <v>7.1</v>
      </c>
      <c r="H909" s="34">
        <f>Tabela1[[#This Row],[PESO UNI]]*Tabela1[[#This Row],[QTE]]</f>
        <v>7.1</v>
      </c>
      <c r="I909" s="7">
        <v>0</v>
      </c>
      <c r="J909" s="8" t="s">
        <v>3045</v>
      </c>
      <c r="K909" s="8" t="s">
        <v>44</v>
      </c>
      <c r="L909" s="9" t="s">
        <v>2984</v>
      </c>
      <c r="M909" s="10">
        <v>46251</v>
      </c>
      <c r="N909" s="8" t="s">
        <v>38</v>
      </c>
      <c r="O909" s="12"/>
      <c r="P909" s="13"/>
      <c r="Q909" s="14">
        <f ca="1">Tabela1[[#This Row],[QTDE/ Fabricação]]-Tabela1[[#This Row],[QTE]]</f>
        <v>-1</v>
      </c>
      <c r="R909" s="18">
        <f t="shared" ca="1" si="185"/>
        <v>1.7749999999999999</v>
      </c>
      <c r="S909" s="18">
        <f t="shared" ca="1" si="186"/>
        <v>0</v>
      </c>
      <c r="T909" s="19">
        <f t="shared" ca="1" si="187"/>
        <v>-7.1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 ca="1">IFERROR(Tabela1[[#This Row],[QIANTIDADE EXPEDIDA]]*Tabela1[[#This Row],[PESO UNI]],"")</f>
        <v>0</v>
      </c>
      <c r="Y909" s="14">
        <f t="shared" ca="1" si="188"/>
        <v>-1</v>
      </c>
      <c r="Z909" s="20">
        <f ca="1">Tabela1[[#This Row],[PESO TOTAL]]-Tabela1[[#This Row],[Peso Expedido]]</f>
        <v>7.1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hidden="1" customHeight="1" x14ac:dyDescent="0.25">
      <c r="A910" s="1" t="s">
        <v>5590</v>
      </c>
      <c r="B910" s="21" t="s">
        <v>5104</v>
      </c>
      <c r="C910" s="1">
        <v>1</v>
      </c>
      <c r="D910" s="1" t="s">
        <v>5602</v>
      </c>
      <c r="E910" s="7">
        <v>4808</v>
      </c>
      <c r="F910" s="7">
        <v>57</v>
      </c>
      <c r="G910" s="1">
        <v>13.5</v>
      </c>
      <c r="H910" s="34">
        <f ca="1">Tabela1[[#This Row],[PESO UNI]]*Tabela1[[#This Row],[QTE]]</f>
        <v>13.5</v>
      </c>
      <c r="I910" s="7">
        <v>0</v>
      </c>
      <c r="J910" s="8" t="s">
        <v>3045</v>
      </c>
      <c r="K910" s="8" t="s">
        <v>44</v>
      </c>
      <c r="L910" s="9" t="s">
        <v>2984</v>
      </c>
      <c r="M910" s="10">
        <v>46251</v>
      </c>
      <c r="N910" s="8" t="s">
        <v>38</v>
      </c>
      <c r="O910" s="12"/>
      <c r="P910" s="13"/>
      <c r="Q910" s="14">
        <f>Tabela1[[#This Row],[QTDE/ Fabricação]]-Tabela1[[#This Row],[QTE]]</f>
        <v>-1</v>
      </c>
      <c r="R910" s="18">
        <f t="shared" ca="1" si="185"/>
        <v>3.375</v>
      </c>
      <c r="S910" s="18">
        <f t="shared" ca="1" si="186"/>
        <v>0</v>
      </c>
      <c r="T910" s="19">
        <f t="shared" ca="1" si="187"/>
        <v>-13.5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 ca="1">IFERROR(Tabela1[[#This Row],[QIANTIDADE EXPEDIDA]]*Tabela1[[#This Row],[PESO UNI]],"")</f>
        <v>0</v>
      </c>
      <c r="Y910" s="14">
        <f t="shared" ca="1" si="188"/>
        <v>-1</v>
      </c>
      <c r="Z910" s="20">
        <f ca="1">Tabela1[[#This Row],[PESO TOTAL]]-Tabela1[[#This Row],[Peso Expedido]]</f>
        <v>13.5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hidden="1" customHeight="1" x14ac:dyDescent="0.25">
      <c r="A911" s="1" t="s">
        <v>5590</v>
      </c>
      <c r="B911" s="21" t="s">
        <v>5104</v>
      </c>
      <c r="C911" s="1">
        <v>1</v>
      </c>
      <c r="D911" s="1" t="s">
        <v>5603</v>
      </c>
      <c r="E911" s="7">
        <v>4809</v>
      </c>
      <c r="F911" s="7">
        <v>57</v>
      </c>
      <c r="G911" s="1">
        <v>6.5</v>
      </c>
      <c r="H911" s="34">
        <f>Tabela1[[#This Row],[PESO UNI]]*Tabela1[[#This Row],[QTE]]</f>
        <v>6.5</v>
      </c>
      <c r="I911" s="7">
        <v>0</v>
      </c>
      <c r="J911" s="8" t="s">
        <v>3045</v>
      </c>
      <c r="K911" s="8" t="s">
        <v>44</v>
      </c>
      <c r="L911" s="9" t="s">
        <v>2984</v>
      </c>
      <c r="M911" s="10">
        <v>46251</v>
      </c>
      <c r="N911" s="8" t="s">
        <v>38</v>
      </c>
      <c r="O911" s="12"/>
      <c r="P911" s="13"/>
      <c r="Q911" s="14">
        <f>Tabela1[[#This Row],[QTDE/ Fabricação]]-Tabela1[[#This Row],[QTE]]</f>
        <v>-1</v>
      </c>
      <c r="R911" s="18">
        <f t="shared" ca="1" si="185"/>
        <v>1.625</v>
      </c>
      <c r="S911" s="18">
        <f t="shared" ca="1" si="186"/>
        <v>0</v>
      </c>
      <c r="T911" s="19">
        <f t="shared" ca="1" si="187"/>
        <v>-6.5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 ca="1">IFERROR(Tabela1[[#This Row],[QIANTIDADE EXPEDIDA]]*Tabela1[[#This Row],[PESO UNI]],"")</f>
        <v>0</v>
      </c>
      <c r="Y911" s="14">
        <f t="shared" ca="1" si="188"/>
        <v>-1</v>
      </c>
      <c r="Z911" s="20">
        <f ca="1">Tabela1[[#This Row],[PESO TOTAL]]-Tabela1[[#This Row],[Peso Expedido]]</f>
        <v>6.5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hidden="1" customHeight="1" x14ac:dyDescent="0.25">
      <c r="A912" s="1" t="s">
        <v>5590</v>
      </c>
      <c r="B912" s="21" t="s">
        <v>5104</v>
      </c>
      <c r="C912" s="1">
        <v>1</v>
      </c>
      <c r="D912" s="1" t="s">
        <v>5604</v>
      </c>
      <c r="E912" s="7">
        <v>4810</v>
      </c>
      <c r="F912" s="7">
        <v>57</v>
      </c>
      <c r="G912" s="1">
        <v>7.3</v>
      </c>
      <c r="H912" s="34">
        <f>Tabela1[[#This Row],[PESO UNI]]*Tabela1[[#This Row],[QTE]]</f>
        <v>7.3</v>
      </c>
      <c r="I912" s="7">
        <v>0</v>
      </c>
      <c r="J912" s="8" t="s">
        <v>3045</v>
      </c>
      <c r="K912" s="8" t="s">
        <v>44</v>
      </c>
      <c r="L912" s="9" t="s">
        <v>2984</v>
      </c>
      <c r="M912" s="10">
        <v>46251</v>
      </c>
      <c r="N912" s="8" t="s">
        <v>38</v>
      </c>
      <c r="O912" s="12"/>
      <c r="P912" s="13"/>
      <c r="Q912" s="14">
        <f>Tabela1[[#This Row],[QTDE/ Fabricação]]-Tabela1[[#This Row],[QTE]]</f>
        <v>-1</v>
      </c>
      <c r="R912" s="18">
        <f t="shared" ca="1" si="185"/>
        <v>1.825</v>
      </c>
      <c r="S912" s="18">
        <f t="shared" ca="1" si="186"/>
        <v>0</v>
      </c>
      <c r="T912" s="19">
        <f t="shared" ca="1" si="187"/>
        <v>-7.3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 ca="1">IFERROR(Tabela1[[#This Row],[QIANTIDADE EXPEDIDA]]*Tabela1[[#This Row],[PESO UNI]],"")</f>
        <v>0</v>
      </c>
      <c r="Y912" s="14">
        <f t="shared" ca="1" si="188"/>
        <v>-1</v>
      </c>
      <c r="Z912" s="20">
        <f ca="1">Tabela1[[#This Row],[PESO TOTAL]]-Tabela1[[#This Row],[Peso Expedido]]</f>
        <v>7.3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hidden="1" customHeight="1" x14ac:dyDescent="0.25">
      <c r="A913" s="1" t="s">
        <v>5590</v>
      </c>
      <c r="B913" s="21" t="s">
        <v>5104</v>
      </c>
      <c r="C913" s="1">
        <v>1</v>
      </c>
      <c r="D913" s="1" t="s">
        <v>5605</v>
      </c>
      <c r="E913" s="7">
        <v>4811</v>
      </c>
      <c r="F913" s="7">
        <v>57</v>
      </c>
      <c r="G913" s="1">
        <v>5.3</v>
      </c>
      <c r="H913" s="34">
        <f>Tabela1[[#This Row],[PESO UNI]]*Tabela1[[#This Row],[QTE]]</f>
        <v>5.3</v>
      </c>
      <c r="I913" s="7">
        <v>0</v>
      </c>
      <c r="J913" s="8" t="s">
        <v>3045</v>
      </c>
      <c r="K913" s="8" t="s">
        <v>44</v>
      </c>
      <c r="L913" s="9" t="s">
        <v>2984</v>
      </c>
      <c r="M913" s="10">
        <v>46251</v>
      </c>
      <c r="N913" s="8" t="s">
        <v>38</v>
      </c>
      <c r="O913" s="12"/>
      <c r="P913" s="13"/>
      <c r="Q913" s="14">
        <f ca="1">Tabela1[[#This Row],[QTDE/ Fabricação]]-Tabela1[[#This Row],[QTE]]</f>
        <v>-1</v>
      </c>
      <c r="R913" s="18">
        <f t="shared" ca="1" si="185"/>
        <v>1.325</v>
      </c>
      <c r="S913" s="18">
        <f t="shared" ca="1" si="186"/>
        <v>0</v>
      </c>
      <c r="T913" s="19">
        <f t="shared" ca="1" si="187"/>
        <v>-5.3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 ca="1">IFERROR(Tabela1[[#This Row],[QIANTIDADE EXPEDIDA]]*Tabela1[[#This Row],[PESO UNI]],"")</f>
        <v>0</v>
      </c>
      <c r="Y913" s="14">
        <f t="shared" ca="1" si="188"/>
        <v>-1</v>
      </c>
      <c r="Z913" s="20">
        <f ca="1">Tabela1[[#This Row],[PESO TOTAL]]-Tabela1[[#This Row],[Peso Expedido]]</f>
        <v>5.3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hidden="1" customHeight="1" x14ac:dyDescent="0.25">
      <c r="A914" s="1" t="s">
        <v>5590</v>
      </c>
      <c r="B914" s="21" t="s">
        <v>5104</v>
      </c>
      <c r="C914" s="1">
        <v>2</v>
      </c>
      <c r="D914" s="1" t="s">
        <v>5606</v>
      </c>
      <c r="E914" s="7">
        <v>4812</v>
      </c>
      <c r="F914" s="7">
        <v>57</v>
      </c>
      <c r="G914" s="1">
        <v>12.2</v>
      </c>
      <c r="H914" s="34">
        <f ca="1">Tabela1[[#This Row],[PESO UNI]]*Tabela1[[#This Row],[QTE]]</f>
        <v>24.4</v>
      </c>
      <c r="I914" s="7">
        <v>0</v>
      </c>
      <c r="J914" s="8" t="s">
        <v>3045</v>
      </c>
      <c r="K914" s="8" t="s">
        <v>44</v>
      </c>
      <c r="L914" s="9" t="s">
        <v>2984</v>
      </c>
      <c r="M914" s="10">
        <v>46251</v>
      </c>
      <c r="N914" s="8" t="s">
        <v>38</v>
      </c>
      <c r="O914" s="12"/>
      <c r="P914" s="13"/>
      <c r="Q914" s="14">
        <f>Tabela1[[#This Row],[QTDE/ Fabricação]]-Tabela1[[#This Row],[QTE]]</f>
        <v>-2</v>
      </c>
      <c r="R914" s="18">
        <f t="shared" ca="1" si="185"/>
        <v>6.1</v>
      </c>
      <c r="S914" s="18">
        <f t="shared" ca="1" si="186"/>
        <v>0</v>
      </c>
      <c r="T914" s="19">
        <f t="shared" ca="1" si="187"/>
        <v>-24.4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 ca="1">IFERROR(Tabela1[[#This Row],[QIANTIDADE EXPEDIDA]]*Tabela1[[#This Row],[PESO UNI]],"")</f>
        <v>0</v>
      </c>
      <c r="Y914" s="14">
        <f t="shared" ca="1" si="188"/>
        <v>-2</v>
      </c>
      <c r="Z914" s="20">
        <f ca="1">Tabela1[[#This Row],[PESO TOTAL]]-Tabela1[[#This Row],[Peso Expedido]]</f>
        <v>24.4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hidden="1" customHeight="1" x14ac:dyDescent="0.25">
      <c r="A915" s="1" t="s">
        <v>5590</v>
      </c>
      <c r="B915" s="21" t="s">
        <v>5104</v>
      </c>
      <c r="C915" s="1">
        <v>2</v>
      </c>
      <c r="D915" s="1" t="s">
        <v>5607</v>
      </c>
      <c r="E915" s="7">
        <v>4813</v>
      </c>
      <c r="F915" s="7">
        <v>57</v>
      </c>
      <c r="G915" s="1">
        <v>11.4</v>
      </c>
      <c r="H915" s="34">
        <f>Tabela1[[#This Row],[PESO UNI]]*Tabela1[[#This Row],[QTE]]</f>
        <v>22.8</v>
      </c>
      <c r="I915" s="7">
        <v>0</v>
      </c>
      <c r="J915" s="8" t="s">
        <v>3045</v>
      </c>
      <c r="K915" s="8" t="s">
        <v>44</v>
      </c>
      <c r="L915" s="9" t="s">
        <v>2984</v>
      </c>
      <c r="M915" s="10">
        <v>46251</v>
      </c>
      <c r="N915" s="8" t="s">
        <v>38</v>
      </c>
      <c r="O915" s="12"/>
      <c r="P915" s="13"/>
      <c r="Q915" s="14">
        <f>Tabela1[[#This Row],[QTDE/ Fabricação]]-Tabela1[[#This Row],[QTE]]</f>
        <v>-2</v>
      </c>
      <c r="R915" s="18">
        <f t="shared" ca="1" si="185"/>
        <v>5.7</v>
      </c>
      <c r="S915" s="18">
        <f t="shared" ca="1" si="186"/>
        <v>0</v>
      </c>
      <c r="T915" s="19">
        <f t="shared" ca="1" si="187"/>
        <v>-22.8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 ca="1">IFERROR(Tabela1[[#This Row],[QIANTIDADE EXPEDIDA]]*Tabela1[[#This Row],[PESO UNI]],"")</f>
        <v>0</v>
      </c>
      <c r="Y915" s="14">
        <f t="shared" ca="1" si="188"/>
        <v>-2</v>
      </c>
      <c r="Z915" s="20">
        <f ca="1">Tabela1[[#This Row],[PESO TOTAL]]-Tabela1[[#This Row],[Peso Expedido]]</f>
        <v>22.8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hidden="1" customHeight="1" x14ac:dyDescent="0.25">
      <c r="A916" s="1" t="s">
        <v>5590</v>
      </c>
      <c r="B916" s="21" t="s">
        <v>5104</v>
      </c>
      <c r="C916" s="1">
        <v>2</v>
      </c>
      <c r="D916" s="1" t="s">
        <v>5608</v>
      </c>
      <c r="E916" s="7">
        <v>4814</v>
      </c>
      <c r="F916" s="7">
        <v>57</v>
      </c>
      <c r="G916" s="1">
        <v>10.5</v>
      </c>
      <c r="H916" s="34">
        <f>Tabela1[[#This Row],[PESO UNI]]*Tabela1[[#This Row],[QTE]]</f>
        <v>21</v>
      </c>
      <c r="I916" s="7">
        <v>0</v>
      </c>
      <c r="J916" s="8" t="s">
        <v>3045</v>
      </c>
      <c r="K916" s="8" t="s">
        <v>44</v>
      </c>
      <c r="L916" s="9" t="s">
        <v>2984</v>
      </c>
      <c r="M916" s="10">
        <v>46251</v>
      </c>
      <c r="N916" s="8" t="s">
        <v>38</v>
      </c>
      <c r="O916" s="12"/>
      <c r="P916" s="13"/>
      <c r="Q916" s="14">
        <f>Tabela1[[#This Row],[QTDE/ Fabricação]]-Tabela1[[#This Row],[QTE]]</f>
        <v>-2</v>
      </c>
      <c r="R916" s="18">
        <f t="shared" ca="1" si="185"/>
        <v>5.25</v>
      </c>
      <c r="S916" s="18">
        <f t="shared" ca="1" si="186"/>
        <v>0</v>
      </c>
      <c r="T916" s="19">
        <f t="shared" ca="1" si="187"/>
        <v>-21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 ca="1">IFERROR(Tabela1[[#This Row],[QIANTIDADE EXPEDIDA]]*Tabela1[[#This Row],[PESO UNI]],"")</f>
        <v>0</v>
      </c>
      <c r="Y916" s="14">
        <f t="shared" ca="1" si="188"/>
        <v>-2</v>
      </c>
      <c r="Z916" s="20">
        <f ca="1">Tabela1[[#This Row],[PESO TOTAL]]-Tabela1[[#This Row],[Peso Expedido]]</f>
        <v>21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hidden="1" customHeight="1" x14ac:dyDescent="0.25">
      <c r="A917" s="1" t="s">
        <v>5590</v>
      </c>
      <c r="B917" s="21" t="s">
        <v>5104</v>
      </c>
      <c r="C917" s="1">
        <v>2</v>
      </c>
      <c r="D917" s="1" t="s">
        <v>5609</v>
      </c>
      <c r="E917" s="7">
        <v>4815</v>
      </c>
      <c r="F917" s="7">
        <v>57</v>
      </c>
      <c r="G917" s="1">
        <v>12.9</v>
      </c>
      <c r="H917" s="34">
        <f>Tabela1[[#This Row],[PESO UNI]]*Tabela1[[#This Row],[QTE]]</f>
        <v>25.8</v>
      </c>
      <c r="I917" s="7">
        <v>0</v>
      </c>
      <c r="J917" s="8" t="s">
        <v>3045</v>
      </c>
      <c r="K917" s="8" t="s">
        <v>44</v>
      </c>
      <c r="L917" s="9" t="s">
        <v>2984</v>
      </c>
      <c r="M917" s="10">
        <v>46251</v>
      </c>
      <c r="N917" s="8" t="s">
        <v>38</v>
      </c>
      <c r="O917" s="12"/>
      <c r="P917" s="13"/>
      <c r="Q917" s="14">
        <f ca="1">Tabela1[[#This Row],[QTDE/ Fabricação]]-Tabela1[[#This Row],[QTE]]</f>
        <v>-2</v>
      </c>
      <c r="R917" s="18">
        <f t="shared" ca="1" si="185"/>
        <v>6.45</v>
      </c>
      <c r="S917" s="18">
        <f t="shared" ca="1" si="186"/>
        <v>0</v>
      </c>
      <c r="T917" s="19">
        <f t="shared" ca="1" si="187"/>
        <v>-25.8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 ca="1">IFERROR(Tabela1[[#This Row],[QIANTIDADE EXPEDIDA]]*Tabela1[[#This Row],[PESO UNI]],"")</f>
        <v>0</v>
      </c>
      <c r="Y917" s="14">
        <f t="shared" ca="1" si="188"/>
        <v>-2</v>
      </c>
      <c r="Z917" s="20">
        <f ca="1">Tabela1[[#This Row],[PESO TOTAL]]-Tabela1[[#This Row],[Peso Expedido]]</f>
        <v>25.8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hidden="1" customHeight="1" x14ac:dyDescent="0.25">
      <c r="A918" s="1" t="s">
        <v>5590</v>
      </c>
      <c r="B918" s="21" t="s">
        <v>5104</v>
      </c>
      <c r="C918" s="1">
        <v>2</v>
      </c>
      <c r="D918" s="1" t="s">
        <v>5610</v>
      </c>
      <c r="E918" s="7">
        <v>4816</v>
      </c>
      <c r="F918" s="7">
        <v>57</v>
      </c>
      <c r="G918" s="1">
        <v>11.4</v>
      </c>
      <c r="H918" s="34">
        <f ca="1">Tabela1[[#This Row],[PESO UNI]]*Tabela1[[#This Row],[QTE]]</f>
        <v>22.8</v>
      </c>
      <c r="I918" s="7">
        <v>0</v>
      </c>
      <c r="J918" s="8" t="s">
        <v>3045</v>
      </c>
      <c r="K918" s="8" t="s">
        <v>44</v>
      </c>
      <c r="L918" s="9" t="s">
        <v>2984</v>
      </c>
      <c r="M918" s="10">
        <v>46251</v>
      </c>
      <c r="N918" s="8" t="s">
        <v>38</v>
      </c>
      <c r="O918" s="12"/>
      <c r="P918" s="13"/>
      <c r="Q918" s="14">
        <f>Tabela1[[#This Row],[QTDE/ Fabricação]]-Tabela1[[#This Row],[QTE]]</f>
        <v>-2</v>
      </c>
      <c r="R918" s="18">
        <f t="shared" ca="1" si="185"/>
        <v>5.7</v>
      </c>
      <c r="S918" s="18">
        <f t="shared" ca="1" si="186"/>
        <v>0</v>
      </c>
      <c r="T918" s="19">
        <f t="shared" ca="1" si="187"/>
        <v>-22.8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 ca="1">IFERROR(Tabela1[[#This Row],[QIANTIDADE EXPEDIDA]]*Tabela1[[#This Row],[PESO UNI]],"")</f>
        <v>0</v>
      </c>
      <c r="Y918" s="14">
        <f t="shared" ca="1" si="188"/>
        <v>-2</v>
      </c>
      <c r="Z918" s="20">
        <f ca="1">Tabela1[[#This Row],[PESO TOTAL]]-Tabela1[[#This Row],[Peso Expedido]]</f>
        <v>22.8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hidden="1" customHeight="1" x14ac:dyDescent="0.25">
      <c r="A919" s="1" t="s">
        <v>5590</v>
      </c>
      <c r="B919" s="21" t="s">
        <v>5104</v>
      </c>
      <c r="C919" s="1">
        <v>2</v>
      </c>
      <c r="D919" s="1" t="s">
        <v>5611</v>
      </c>
      <c r="E919" s="7">
        <v>4817</v>
      </c>
      <c r="F919" s="7">
        <v>57</v>
      </c>
      <c r="G919" s="1">
        <v>4.7</v>
      </c>
      <c r="H919" s="34">
        <f>Tabela1[[#This Row],[PESO UNI]]*Tabela1[[#This Row],[QTE]]</f>
        <v>9.4</v>
      </c>
      <c r="I919" s="7">
        <v>0</v>
      </c>
      <c r="J919" s="8" t="s">
        <v>3045</v>
      </c>
      <c r="K919" s="8" t="s">
        <v>44</v>
      </c>
      <c r="L919" s="9" t="s">
        <v>2984</v>
      </c>
      <c r="M919" s="10">
        <v>46251</v>
      </c>
      <c r="N919" s="8" t="s">
        <v>38</v>
      </c>
      <c r="O919" s="12"/>
      <c r="P919" s="13"/>
      <c r="Q919" s="14">
        <f>Tabela1[[#This Row],[QTDE/ Fabricação]]-Tabela1[[#This Row],[QTE]]</f>
        <v>-2</v>
      </c>
      <c r="R919" s="18">
        <f t="shared" ca="1" si="185"/>
        <v>2.35</v>
      </c>
      <c r="S919" s="18">
        <f t="shared" ca="1" si="186"/>
        <v>0</v>
      </c>
      <c r="T919" s="19">
        <f t="shared" ca="1" si="187"/>
        <v>-9.4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 ca="1">IFERROR(Tabela1[[#This Row],[QIANTIDADE EXPEDIDA]]*Tabela1[[#This Row],[PESO UNI]],"")</f>
        <v>0</v>
      </c>
      <c r="Y919" s="14">
        <f t="shared" ca="1" si="188"/>
        <v>-2</v>
      </c>
      <c r="Z919" s="20">
        <f ca="1">Tabela1[[#This Row],[PESO TOTAL]]-Tabela1[[#This Row],[Peso Expedido]]</f>
        <v>9.4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hidden="1" customHeight="1" x14ac:dyDescent="0.25">
      <c r="A920" s="1" t="s">
        <v>5590</v>
      </c>
      <c r="B920" s="21" t="s">
        <v>5104</v>
      </c>
      <c r="C920" s="1">
        <v>2</v>
      </c>
      <c r="D920" s="1" t="s">
        <v>5612</v>
      </c>
      <c r="E920" s="7">
        <v>4818</v>
      </c>
      <c r="F920" s="7">
        <v>57</v>
      </c>
      <c r="G920" s="1">
        <v>14.8</v>
      </c>
      <c r="H920" s="34">
        <f>Tabela1[[#This Row],[PESO UNI]]*Tabela1[[#This Row],[QTE]]</f>
        <v>29.6</v>
      </c>
      <c r="I920" s="7">
        <v>0</v>
      </c>
      <c r="J920" s="8" t="s">
        <v>3045</v>
      </c>
      <c r="K920" s="8" t="s">
        <v>44</v>
      </c>
      <c r="L920" s="9" t="s">
        <v>2984</v>
      </c>
      <c r="M920" s="10">
        <v>46251</v>
      </c>
      <c r="N920" s="8" t="s">
        <v>38</v>
      </c>
      <c r="O920" s="12"/>
      <c r="P920" s="13"/>
      <c r="Q920" s="14">
        <f>Tabela1[[#This Row],[QTDE/ Fabricação]]-Tabela1[[#This Row],[QTE]]</f>
        <v>-2</v>
      </c>
      <c r="R920" s="18">
        <f t="shared" ca="1" si="185"/>
        <v>7.4</v>
      </c>
      <c r="S920" s="18">
        <f t="shared" ca="1" si="186"/>
        <v>0</v>
      </c>
      <c r="T920" s="19">
        <f t="shared" ca="1" si="187"/>
        <v>-29.6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 ca="1">IFERROR(Tabela1[[#This Row],[QIANTIDADE EXPEDIDA]]*Tabela1[[#This Row],[PESO UNI]],"")</f>
        <v>0</v>
      </c>
      <c r="Y920" s="14">
        <f t="shared" ca="1" si="188"/>
        <v>-2</v>
      </c>
      <c r="Z920" s="20">
        <f ca="1">Tabela1[[#This Row],[PESO TOTAL]]-Tabela1[[#This Row],[Peso Expedido]]</f>
        <v>29.6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hidden="1" customHeight="1" x14ac:dyDescent="0.25">
      <c r="A921" s="1" t="s">
        <v>5590</v>
      </c>
      <c r="B921" s="21" t="s">
        <v>5104</v>
      </c>
      <c r="C921" s="1">
        <v>2</v>
      </c>
      <c r="D921" s="1" t="s">
        <v>5613</v>
      </c>
      <c r="E921" s="7">
        <v>4819</v>
      </c>
      <c r="F921" s="7">
        <v>57</v>
      </c>
      <c r="G921" s="1">
        <v>10.9</v>
      </c>
      <c r="H921" s="34">
        <f>Tabela1[[#This Row],[PESO UNI]]*Tabela1[[#This Row],[QTE]]</f>
        <v>21.8</v>
      </c>
      <c r="I921" s="7">
        <v>0</v>
      </c>
      <c r="J921" s="8" t="s">
        <v>3045</v>
      </c>
      <c r="K921" s="8" t="s">
        <v>44</v>
      </c>
      <c r="L921" s="9" t="s">
        <v>2984</v>
      </c>
      <c r="M921" s="10">
        <v>46251</v>
      </c>
      <c r="N921" s="8" t="s">
        <v>38</v>
      </c>
      <c r="O921" s="12"/>
      <c r="P921" s="13"/>
      <c r="Q921" s="14">
        <f ca="1">Tabela1[[#This Row],[QTDE/ Fabricação]]-Tabela1[[#This Row],[QTE]]</f>
        <v>-2</v>
      </c>
      <c r="R921" s="18">
        <f t="shared" ca="1" si="185"/>
        <v>5.45</v>
      </c>
      <c r="S921" s="18">
        <f t="shared" ca="1" si="186"/>
        <v>0</v>
      </c>
      <c r="T921" s="19">
        <f t="shared" ca="1" si="187"/>
        <v>-21.8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 ca="1">IFERROR(Tabela1[[#This Row],[QIANTIDADE EXPEDIDA]]*Tabela1[[#This Row],[PESO UNI]],"")</f>
        <v>0</v>
      </c>
      <c r="Y921" s="14">
        <f t="shared" ca="1" si="188"/>
        <v>-2</v>
      </c>
      <c r="Z921" s="20">
        <f ca="1">Tabela1[[#This Row],[PESO TOTAL]]-Tabela1[[#This Row],[Peso Expedido]]</f>
        <v>21.8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hidden="1" customHeight="1" x14ac:dyDescent="0.25">
      <c r="A922" s="1" t="s">
        <v>5590</v>
      </c>
      <c r="B922" s="21" t="s">
        <v>5104</v>
      </c>
      <c r="C922" s="1">
        <v>2</v>
      </c>
      <c r="D922" s="1" t="s">
        <v>5614</v>
      </c>
      <c r="E922" s="7">
        <v>4820</v>
      </c>
      <c r="F922" s="7">
        <v>57</v>
      </c>
      <c r="G922" s="1">
        <v>12</v>
      </c>
      <c r="H922" s="34">
        <f ca="1">Tabela1[[#This Row],[PESO UNI]]*Tabela1[[#This Row],[QTE]]</f>
        <v>24</v>
      </c>
      <c r="I922" s="7">
        <v>0</v>
      </c>
      <c r="J922" s="8" t="s">
        <v>3045</v>
      </c>
      <c r="K922" s="8" t="s">
        <v>44</v>
      </c>
      <c r="L922" s="9" t="s">
        <v>2984</v>
      </c>
      <c r="M922" s="10">
        <v>46251</v>
      </c>
      <c r="N922" s="8" t="s">
        <v>38</v>
      </c>
      <c r="O922" s="12"/>
      <c r="P922" s="13"/>
      <c r="Q922" s="14">
        <f>Tabela1[[#This Row],[QTDE/ Fabricação]]-Tabela1[[#This Row],[QTE]]</f>
        <v>-2</v>
      </c>
      <c r="R922" s="18">
        <f t="shared" ca="1" si="185"/>
        <v>6</v>
      </c>
      <c r="S922" s="18">
        <f t="shared" ca="1" si="186"/>
        <v>0</v>
      </c>
      <c r="T922" s="19">
        <f t="shared" ca="1" si="187"/>
        <v>-24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 ca="1">IFERROR(Tabela1[[#This Row],[QIANTIDADE EXPEDIDA]]*Tabela1[[#This Row],[PESO UNI]],"")</f>
        <v>0</v>
      </c>
      <c r="Y922" s="14">
        <f t="shared" ca="1" si="188"/>
        <v>-2</v>
      </c>
      <c r="Z922" s="20">
        <f ca="1">Tabela1[[#This Row],[PESO TOTAL]]-Tabela1[[#This Row],[Peso Expedido]]</f>
        <v>24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hidden="1" customHeight="1" x14ac:dyDescent="0.25">
      <c r="A923" s="1" t="s">
        <v>5590</v>
      </c>
      <c r="B923" s="21" t="s">
        <v>5104</v>
      </c>
      <c r="C923" s="1">
        <v>2</v>
      </c>
      <c r="D923" s="1" t="s">
        <v>5615</v>
      </c>
      <c r="E923" s="7">
        <v>4821</v>
      </c>
      <c r="F923" s="7">
        <v>57</v>
      </c>
      <c r="G923" s="1">
        <v>12.2</v>
      </c>
      <c r="H923" s="34">
        <f>Tabela1[[#This Row],[PESO UNI]]*Tabela1[[#This Row],[QTE]]</f>
        <v>24.4</v>
      </c>
      <c r="I923" s="7">
        <v>0</v>
      </c>
      <c r="J923" s="8" t="s">
        <v>3045</v>
      </c>
      <c r="K923" s="8" t="s">
        <v>44</v>
      </c>
      <c r="L923" s="9" t="s">
        <v>2984</v>
      </c>
      <c r="M923" s="10">
        <v>46251</v>
      </c>
      <c r="N923" s="8" t="s">
        <v>38</v>
      </c>
      <c r="O923" s="12"/>
      <c r="P923" s="13"/>
      <c r="Q923" s="14">
        <f>Tabela1[[#This Row],[QTDE/ Fabricação]]-Tabela1[[#This Row],[QTE]]</f>
        <v>-2</v>
      </c>
      <c r="R923" s="18">
        <f t="shared" ca="1" si="185"/>
        <v>6.1</v>
      </c>
      <c r="S923" s="18">
        <f t="shared" ca="1" si="186"/>
        <v>0</v>
      </c>
      <c r="T923" s="19">
        <f t="shared" ca="1" si="187"/>
        <v>-24.4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 ca="1">IFERROR(Tabela1[[#This Row],[QIANTIDADE EXPEDIDA]]*Tabela1[[#This Row],[PESO UNI]],"")</f>
        <v>0</v>
      </c>
      <c r="Y923" s="14">
        <f t="shared" ca="1" si="188"/>
        <v>-2</v>
      </c>
      <c r="Z923" s="20">
        <f ca="1">Tabela1[[#This Row],[PESO TOTAL]]-Tabela1[[#This Row],[Peso Expedido]]</f>
        <v>24.4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hidden="1" customHeight="1" x14ac:dyDescent="0.25">
      <c r="A924" s="1" t="s">
        <v>5590</v>
      </c>
      <c r="B924" s="21" t="s">
        <v>5104</v>
      </c>
      <c r="C924" s="1">
        <v>2</v>
      </c>
      <c r="D924" s="1" t="s">
        <v>5616</v>
      </c>
      <c r="E924" s="7">
        <v>4822</v>
      </c>
      <c r="F924" s="7">
        <v>57</v>
      </c>
      <c r="G924" s="1">
        <v>16.649999999999999</v>
      </c>
      <c r="H924" s="34">
        <f>Tabela1[[#This Row],[PESO UNI]]*Tabela1[[#This Row],[QTE]]</f>
        <v>33.299999999999997</v>
      </c>
      <c r="I924" s="7">
        <v>0</v>
      </c>
      <c r="J924" s="8" t="s">
        <v>3045</v>
      </c>
      <c r="K924" s="8" t="s">
        <v>44</v>
      </c>
      <c r="L924" s="9" t="s">
        <v>2984</v>
      </c>
      <c r="M924" s="10">
        <v>46251</v>
      </c>
      <c r="N924" s="8" t="s">
        <v>38</v>
      </c>
      <c r="O924" s="12"/>
      <c r="P924" s="13"/>
      <c r="Q924" s="14">
        <f>Tabela1[[#This Row],[QTDE/ Fabricação]]-Tabela1[[#This Row],[QTE]]</f>
        <v>-2</v>
      </c>
      <c r="R924" s="18">
        <f t="shared" ca="1" si="185"/>
        <v>8.3249999999999993</v>
      </c>
      <c r="S924" s="18">
        <f t="shared" ca="1" si="186"/>
        <v>0</v>
      </c>
      <c r="T924" s="19">
        <f t="shared" ca="1" si="187"/>
        <v>-33.299999999999997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 ca="1">IFERROR(Tabela1[[#This Row],[QIANTIDADE EXPEDIDA]]*Tabela1[[#This Row],[PESO UNI]],"")</f>
        <v>0</v>
      </c>
      <c r="Y924" s="14">
        <f t="shared" ca="1" si="188"/>
        <v>-2</v>
      </c>
      <c r="Z924" s="20">
        <f ca="1">Tabela1[[#This Row],[PESO TOTAL]]-Tabela1[[#This Row],[Peso Expedido]]</f>
        <v>33.299999999999997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hidden="1" customHeight="1" x14ac:dyDescent="0.25">
      <c r="A925" s="1" t="s">
        <v>5590</v>
      </c>
      <c r="B925" s="21" t="s">
        <v>5104</v>
      </c>
      <c r="C925" s="1">
        <v>2</v>
      </c>
      <c r="D925" s="1" t="s">
        <v>5617</v>
      </c>
      <c r="E925" s="7">
        <v>4823</v>
      </c>
      <c r="F925" s="7">
        <v>57</v>
      </c>
      <c r="G925" s="1">
        <v>7.5</v>
      </c>
      <c r="H925" s="34">
        <f>Tabela1[[#This Row],[PESO UNI]]*Tabela1[[#This Row],[QTE]]</f>
        <v>15</v>
      </c>
      <c r="I925" s="7">
        <v>0</v>
      </c>
      <c r="J925" s="8" t="s">
        <v>3045</v>
      </c>
      <c r="K925" s="8" t="s">
        <v>44</v>
      </c>
      <c r="L925" s="9" t="s">
        <v>2984</v>
      </c>
      <c r="M925" s="10">
        <v>46251</v>
      </c>
      <c r="N925" s="8" t="s">
        <v>38</v>
      </c>
      <c r="O925" s="12"/>
      <c r="P925" s="13"/>
      <c r="Q925" s="14">
        <f ca="1">Tabela1[[#This Row],[QTDE/ Fabricação]]-Tabela1[[#This Row],[QTE]]</f>
        <v>-2</v>
      </c>
      <c r="R925" s="18">
        <f t="shared" ca="1" si="185"/>
        <v>3.75</v>
      </c>
      <c r="S925" s="18">
        <f t="shared" ca="1" si="186"/>
        <v>0</v>
      </c>
      <c r="T925" s="19">
        <f t="shared" ca="1" si="187"/>
        <v>-15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 ca="1">IFERROR(Tabela1[[#This Row],[QIANTIDADE EXPEDIDA]]*Tabela1[[#This Row],[PESO UNI]],"")</f>
        <v>0</v>
      </c>
      <c r="Y925" s="14">
        <f t="shared" ca="1" si="188"/>
        <v>-2</v>
      </c>
      <c r="Z925" s="20">
        <f ca="1">Tabela1[[#This Row],[PESO TOTAL]]-Tabela1[[#This Row],[Peso Expedido]]</f>
        <v>15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hidden="1" customHeight="1" x14ac:dyDescent="0.25">
      <c r="A926" s="1" t="s">
        <v>5590</v>
      </c>
      <c r="B926" s="21" t="s">
        <v>5104</v>
      </c>
      <c r="C926" s="1">
        <v>1</v>
      </c>
      <c r="D926" s="1" t="s">
        <v>5618</v>
      </c>
      <c r="E926" s="7">
        <v>4824</v>
      </c>
      <c r="F926" s="7">
        <v>57</v>
      </c>
      <c r="G926" s="1">
        <v>5.5</v>
      </c>
      <c r="H926" s="34">
        <f ca="1">Tabela1[[#This Row],[PESO UNI]]*Tabela1[[#This Row],[QTE]]</f>
        <v>5.5</v>
      </c>
      <c r="I926" s="7">
        <v>0</v>
      </c>
      <c r="J926" s="8" t="s">
        <v>3045</v>
      </c>
      <c r="K926" s="8" t="s">
        <v>44</v>
      </c>
      <c r="L926" s="9" t="s">
        <v>2984</v>
      </c>
      <c r="M926" s="10">
        <v>46251</v>
      </c>
      <c r="N926" s="8" t="s">
        <v>38</v>
      </c>
      <c r="O926" s="12"/>
      <c r="P926" s="13"/>
      <c r="Q926" s="14">
        <f>Tabela1[[#This Row],[QTDE/ Fabricação]]-Tabela1[[#This Row],[QTE]]</f>
        <v>-1</v>
      </c>
      <c r="R926" s="18">
        <f t="shared" ca="1" si="185"/>
        <v>1.375</v>
      </c>
      <c r="S926" s="18">
        <f t="shared" ca="1" si="186"/>
        <v>0</v>
      </c>
      <c r="T926" s="19">
        <f t="shared" ca="1" si="187"/>
        <v>-5.5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 ca="1">IFERROR(Tabela1[[#This Row],[QIANTIDADE EXPEDIDA]]*Tabela1[[#This Row],[PESO UNI]],"")</f>
        <v>0</v>
      </c>
      <c r="Y926" s="14">
        <f t="shared" ca="1" si="188"/>
        <v>-1</v>
      </c>
      <c r="Z926" s="20">
        <f ca="1">Tabela1[[#This Row],[PESO TOTAL]]-Tabela1[[#This Row],[Peso Expedido]]</f>
        <v>5.5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hidden="1" customHeight="1" x14ac:dyDescent="0.25">
      <c r="A927" s="1" t="s">
        <v>5590</v>
      </c>
      <c r="B927" s="21" t="s">
        <v>5104</v>
      </c>
      <c r="C927" s="1">
        <v>1</v>
      </c>
      <c r="D927" s="1" t="s">
        <v>5619</v>
      </c>
      <c r="E927" s="7">
        <v>4825</v>
      </c>
      <c r="F927" s="7">
        <v>57</v>
      </c>
      <c r="G927" s="1">
        <v>5.5</v>
      </c>
      <c r="H927" s="34">
        <f>Tabela1[[#This Row],[PESO UNI]]*Tabela1[[#This Row],[QTE]]</f>
        <v>5.5</v>
      </c>
      <c r="I927" s="7">
        <v>0</v>
      </c>
      <c r="J927" s="8" t="s">
        <v>3045</v>
      </c>
      <c r="K927" s="8" t="s">
        <v>44</v>
      </c>
      <c r="L927" s="9" t="s">
        <v>2984</v>
      </c>
      <c r="M927" s="10">
        <v>46251</v>
      </c>
      <c r="N927" s="8" t="s">
        <v>38</v>
      </c>
      <c r="O927" s="12"/>
      <c r="P927" s="13"/>
      <c r="Q927" s="14">
        <f>Tabela1[[#This Row],[QTDE/ Fabricação]]-Tabela1[[#This Row],[QTE]]</f>
        <v>-1</v>
      </c>
      <c r="R927" s="18">
        <f t="shared" ca="1" si="185"/>
        <v>1.375</v>
      </c>
      <c r="S927" s="18">
        <f t="shared" ca="1" si="186"/>
        <v>0</v>
      </c>
      <c r="T927" s="19">
        <f t="shared" ca="1" si="187"/>
        <v>-5.5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 ca="1">IFERROR(Tabela1[[#This Row],[QIANTIDADE EXPEDIDA]]*Tabela1[[#This Row],[PESO UNI]],"")</f>
        <v>0</v>
      </c>
      <c r="Y927" s="14">
        <f t="shared" ca="1" si="188"/>
        <v>-1</v>
      </c>
      <c r="Z927" s="20">
        <f ca="1">Tabela1[[#This Row],[PESO TOTAL]]-Tabela1[[#This Row],[Peso Expedido]]</f>
        <v>5.5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hidden="1" customHeight="1" x14ac:dyDescent="0.25">
      <c r="A928" s="1" t="s">
        <v>5106</v>
      </c>
      <c r="B928" s="21" t="s">
        <v>5107</v>
      </c>
      <c r="C928" s="1">
        <v>1</v>
      </c>
      <c r="D928" s="1" t="s">
        <v>5108</v>
      </c>
      <c r="E928" s="7">
        <v>4555</v>
      </c>
      <c r="F928" s="7">
        <v>58</v>
      </c>
      <c r="G928" s="1">
        <v>84.46</v>
      </c>
      <c r="H928" s="34">
        <f ca="1">Tabela1[[#This Row],[PESO UNI]]*Tabela1[[#This Row],[QTE]]</f>
        <v>84.46</v>
      </c>
      <c r="I928" s="7">
        <v>0</v>
      </c>
      <c r="J928" s="8" t="s">
        <v>3045</v>
      </c>
      <c r="K928" s="8" t="s">
        <v>4320</v>
      </c>
      <c r="L928" s="9" t="s">
        <v>2984</v>
      </c>
      <c r="M928" s="10">
        <v>46251</v>
      </c>
      <c r="N928" s="8" t="s">
        <v>5105</v>
      </c>
      <c r="O928" s="12"/>
      <c r="P928" s="13"/>
      <c r="Q928" s="14">
        <f ca="1">Tabela1[[#This Row],[QTDE/ Fabricação]]-Tabela1[[#This Row],[QTE]]</f>
        <v>-1</v>
      </c>
      <c r="R928" s="18">
        <f t="shared" ca="1" si="181"/>
        <v>70.52409999999999</v>
      </c>
      <c r="S928" s="18">
        <f t="shared" ca="1" si="182"/>
        <v>29.560999999999996</v>
      </c>
      <c r="T928" s="19">
        <f t="shared" ca="1" si="183"/>
        <v>-54.899000000000001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 ca="1">IFERROR(Tabela1[[#This Row],[QIANTIDADE EXPEDIDA]]*Tabela1[[#This Row],[PESO UNI]],"")</f>
        <v>0</v>
      </c>
      <c r="Y928" s="14">
        <f t="shared" ca="1" si="184"/>
        <v>-1</v>
      </c>
      <c r="Z928" s="20">
        <f ca="1">Tabela1[[#This Row],[PESO TOTAL]]-Tabela1[[#This Row],[Peso Expedido]]</f>
        <v>84.46</v>
      </c>
      <c r="AA928" s="17">
        <v>1</v>
      </c>
      <c r="AB928" s="33"/>
      <c r="AC928" s="33">
        <v>1</v>
      </c>
      <c r="AD928" s="33">
        <v>0.7</v>
      </c>
      <c r="AE928" s="33">
        <v>0.7</v>
      </c>
      <c r="AF928" s="33">
        <v>0.4</v>
      </c>
      <c r="AG928" s="33">
        <v>0.35</v>
      </c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hidden="1" customHeight="1" x14ac:dyDescent="0.25">
      <c r="A929" s="1" t="s">
        <v>5106</v>
      </c>
      <c r="B929" s="21" t="s">
        <v>5107</v>
      </c>
      <c r="C929" s="1">
        <v>2</v>
      </c>
      <c r="D929" s="1" t="s">
        <v>5109</v>
      </c>
      <c r="E929" s="7">
        <v>4556</v>
      </c>
      <c r="F929" s="7">
        <v>58</v>
      </c>
      <c r="G929" s="1">
        <v>69.61</v>
      </c>
      <c r="H929" s="34">
        <f ca="1">Tabela1[[#This Row],[PESO UNI]]*Tabela1[[#This Row],[QTE]]</f>
        <v>139.22</v>
      </c>
      <c r="I929" s="7">
        <v>0</v>
      </c>
      <c r="J929" s="8" t="s">
        <v>3045</v>
      </c>
      <c r="K929" s="8" t="s">
        <v>4320</v>
      </c>
      <c r="L929" s="9" t="s">
        <v>2984</v>
      </c>
      <c r="M929" s="10">
        <v>46251</v>
      </c>
      <c r="N929" s="8" t="s">
        <v>5105</v>
      </c>
      <c r="O929" s="12"/>
      <c r="P929" s="13"/>
      <c r="Q929" s="14">
        <f ca="1">Tabela1[[#This Row],[QTDE/ Fabricação]]-Tabela1[[#This Row],[QTE]]</f>
        <v>-2</v>
      </c>
      <c r="R929" s="18">
        <f t="shared" ref="R929:R960" ca="1" si="189">IFERROR(H929*((AA929*0.25)+(AC929*0.25)+(AD929*0.225)+(AE929*0.225)+(AF929*0.05)),"")</f>
        <v>116.2487</v>
      </c>
      <c r="S929" s="18">
        <f t="shared" ref="S929:S960" ca="1" si="190">IFERROR(H929*AG929,"")</f>
        <v>48.726999999999997</v>
      </c>
      <c r="T929" s="19">
        <f t="shared" ref="T929:T960" ca="1" si="191">IFERROR(S929-H929,"")</f>
        <v>-90.492999999999995</v>
      </c>
      <c r="U929" s="16">
        <f>IFERROR(SUMIF('LISTA DE EMBARQUE'!B:B,MICRO!E:E,'LISTA DE EMBARQUE'!G:G),"")</f>
        <v>0</v>
      </c>
      <c r="V929" s="12" t="str">
        <f>IFERROR(VLOOKUP(Tabela1[[#This Row],[COD.MDE]],'LISTA DE EMBARQUE'!B:L,11,0),"")</f>
        <v/>
      </c>
      <c r="W929" s="13" t="str">
        <f>IFERROR(VLOOKUP(Tabela1[[#This Row],[COD.MDE]],'LISTA DE EMBARQUE'!B:M,12,0),"")</f>
        <v/>
      </c>
      <c r="X929" s="14">
        <f ca="1">IFERROR(Tabela1[[#This Row],[QIANTIDADE EXPEDIDA]]*Tabela1[[#This Row],[PESO UNI]],"")</f>
        <v>0</v>
      </c>
      <c r="Y929" s="14">
        <f t="shared" ref="Y929:Y960" ca="1" si="192">U929-C929</f>
        <v>-2</v>
      </c>
      <c r="Z929" s="20">
        <f ca="1">Tabela1[[#This Row],[PESO TOTAL]]-Tabela1[[#This Row],[Peso Expedido]]</f>
        <v>139.22</v>
      </c>
      <c r="AA929" s="17">
        <v>1</v>
      </c>
      <c r="AB929" s="33"/>
      <c r="AC929" s="33">
        <v>1</v>
      </c>
      <c r="AD929" s="33">
        <v>0.7</v>
      </c>
      <c r="AE929" s="33">
        <v>0.7</v>
      </c>
      <c r="AF929" s="33">
        <v>0.4</v>
      </c>
      <c r="AG929" s="33">
        <v>0.35</v>
      </c>
      <c r="AH929" s="33"/>
      <c r="AI929" s="33"/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hidden="1" customHeight="1" x14ac:dyDescent="0.25">
      <c r="A930" s="1" t="s">
        <v>5106</v>
      </c>
      <c r="B930" s="21" t="s">
        <v>5107</v>
      </c>
      <c r="C930" s="1">
        <v>2</v>
      </c>
      <c r="D930" s="1" t="s">
        <v>5110</v>
      </c>
      <c r="E930" s="7">
        <v>4557</v>
      </c>
      <c r="F930" s="7">
        <v>58</v>
      </c>
      <c r="G930" s="1">
        <v>30.38</v>
      </c>
      <c r="H930" s="34">
        <f ca="1">Tabela1[[#This Row],[PESO UNI]]*Tabela1[[#This Row],[QTE]]</f>
        <v>60.76</v>
      </c>
      <c r="I930" s="7">
        <v>0</v>
      </c>
      <c r="J930" s="8" t="s">
        <v>3045</v>
      </c>
      <c r="K930" s="8" t="s">
        <v>4320</v>
      </c>
      <c r="L930" s="9" t="s">
        <v>2984</v>
      </c>
      <c r="M930" s="10">
        <v>46251</v>
      </c>
      <c r="N930" s="8" t="s">
        <v>5105</v>
      </c>
      <c r="O930" s="12"/>
      <c r="P930" s="13"/>
      <c r="Q930" s="14">
        <f ca="1">Tabela1[[#This Row],[QTDE/ Fabricação]]-Tabela1[[#This Row],[QTE]]</f>
        <v>-2</v>
      </c>
      <c r="R930" s="18">
        <f t="shared" ca="1" si="189"/>
        <v>50.734599999999993</v>
      </c>
      <c r="S930" s="18">
        <f t="shared" ca="1" si="190"/>
        <v>21.265999999999998</v>
      </c>
      <c r="T930" s="19">
        <f t="shared" ca="1" si="191"/>
        <v>-39.494</v>
      </c>
      <c r="U930" s="16">
        <f>IFERROR(SUMIF('LISTA DE EMBARQUE'!B:B,MICRO!E:E,'LISTA DE EMBARQUE'!G:G),"")</f>
        <v>0</v>
      </c>
      <c r="V930" s="12" t="str">
        <f>IFERROR(VLOOKUP(Tabela1[[#This Row],[COD.MDE]],'LISTA DE EMBARQUE'!B:L,11,0),"")</f>
        <v/>
      </c>
      <c r="W930" s="13" t="str">
        <f>IFERROR(VLOOKUP(Tabela1[[#This Row],[COD.MDE]],'LISTA DE EMBARQUE'!B:M,12,0),"")</f>
        <v/>
      </c>
      <c r="X930" s="14">
        <f ca="1">IFERROR(Tabela1[[#This Row],[QIANTIDADE EXPEDIDA]]*Tabela1[[#This Row],[PESO UNI]],"")</f>
        <v>0</v>
      </c>
      <c r="Y930" s="14">
        <f t="shared" ca="1" si="192"/>
        <v>-2</v>
      </c>
      <c r="Z930" s="20">
        <f ca="1">Tabela1[[#This Row],[PESO TOTAL]]-Tabela1[[#This Row],[Peso Expedido]]</f>
        <v>60.76</v>
      </c>
      <c r="AA930" s="17">
        <v>1</v>
      </c>
      <c r="AB930" s="33"/>
      <c r="AC930" s="33">
        <v>1</v>
      </c>
      <c r="AD930" s="33">
        <v>0.7</v>
      </c>
      <c r="AE930" s="33">
        <v>0.7</v>
      </c>
      <c r="AF930" s="33">
        <v>0.4</v>
      </c>
      <c r="AG930" s="33">
        <v>0.35</v>
      </c>
      <c r="AH930" s="33"/>
      <c r="AI930" s="33"/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hidden="1" customHeight="1" x14ac:dyDescent="0.25">
      <c r="A931" s="1" t="s">
        <v>5106</v>
      </c>
      <c r="B931" s="21" t="s">
        <v>5107</v>
      </c>
      <c r="C931" s="1">
        <v>6</v>
      </c>
      <c r="D931" s="1" t="s">
        <v>5111</v>
      </c>
      <c r="E931" s="7">
        <v>4558</v>
      </c>
      <c r="F931" s="7">
        <v>58</v>
      </c>
      <c r="G931" s="1">
        <v>6.07</v>
      </c>
      <c r="H931" s="34">
        <f ca="1">Tabela1[[#This Row],[PESO UNI]]*Tabela1[[#This Row],[QTE]]</f>
        <v>36.42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5105</v>
      </c>
      <c r="O931" s="12"/>
      <c r="P931" s="13"/>
      <c r="Q931" s="14">
        <f ca="1">Tabela1[[#This Row],[QTDE/ Fabricação]]-Tabela1[[#This Row],[QTE]]</f>
        <v>-6</v>
      </c>
      <c r="R931" s="18">
        <f t="shared" ca="1" si="189"/>
        <v>30.410699999999999</v>
      </c>
      <c r="S931" s="18">
        <f t="shared" ca="1" si="190"/>
        <v>12.747</v>
      </c>
      <c r="T931" s="19">
        <f t="shared" ca="1" si="191"/>
        <v>-23.673000000000002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 ca="1">IFERROR(Tabela1[[#This Row],[QIANTIDADE EXPEDIDA]]*Tabela1[[#This Row],[PESO UNI]],"")</f>
        <v>0</v>
      </c>
      <c r="Y931" s="14">
        <f t="shared" ca="1" si="192"/>
        <v>-6</v>
      </c>
      <c r="Z931" s="20">
        <f ca="1">Tabela1[[#This Row],[PESO TOTAL]]-Tabela1[[#This Row],[Peso Expedido]]</f>
        <v>36.42</v>
      </c>
      <c r="AA931" s="17">
        <v>1</v>
      </c>
      <c r="AB931" s="33"/>
      <c r="AC931" s="33">
        <v>1</v>
      </c>
      <c r="AD931" s="33">
        <v>0.7</v>
      </c>
      <c r="AE931" s="33">
        <v>0.7</v>
      </c>
      <c r="AF931" s="33">
        <v>0.4</v>
      </c>
      <c r="AG931" s="33">
        <v>0.35</v>
      </c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hidden="1" customHeight="1" x14ac:dyDescent="0.25">
      <c r="A932" s="1" t="s">
        <v>5106</v>
      </c>
      <c r="B932" s="21" t="s">
        <v>5107</v>
      </c>
      <c r="C932" s="1">
        <v>1</v>
      </c>
      <c r="D932" s="1" t="s">
        <v>5112</v>
      </c>
      <c r="E932" s="7">
        <v>4559</v>
      </c>
      <c r="F932" s="7">
        <v>58</v>
      </c>
      <c r="G932" s="1">
        <v>22.07</v>
      </c>
      <c r="H932" s="34">
        <f ca="1">Tabela1[[#This Row],[PESO UNI]]*Tabela1[[#This Row],[QTE]]</f>
        <v>22.07</v>
      </c>
      <c r="I932" s="7">
        <v>0</v>
      </c>
      <c r="J932" s="8" t="s">
        <v>3045</v>
      </c>
      <c r="K932" s="8" t="s">
        <v>4320</v>
      </c>
      <c r="L932" s="9" t="s">
        <v>2984</v>
      </c>
      <c r="M932" s="10">
        <v>46251</v>
      </c>
      <c r="N932" s="8" t="s">
        <v>5105</v>
      </c>
      <c r="O932" s="12"/>
      <c r="P932" s="13"/>
      <c r="Q932" s="14">
        <f ca="1">Tabela1[[#This Row],[QTDE/ Fabricação]]-Tabela1[[#This Row],[QTE]]</f>
        <v>-1</v>
      </c>
      <c r="R932" s="18">
        <f ca="1">IFERROR(H932*((AA932*0.25)+(AC932*0.25)+(AD932*0.225)+(AE932*0.225)+(AF932*0.05)),"")</f>
        <v>18.428449999999998</v>
      </c>
      <c r="S932" s="18">
        <f t="shared" ca="1" si="190"/>
        <v>7.7244999999999999</v>
      </c>
      <c r="T932" s="19">
        <f t="shared" ca="1" si="191"/>
        <v>-14.345500000000001</v>
      </c>
      <c r="U932" s="16">
        <f>IFERROR(SUMIF('LISTA DE EMBARQUE'!B:B,MICRO!E:E,'LISTA DE EMBARQUE'!G:G),"")</f>
        <v>0</v>
      </c>
      <c r="V932" s="12" t="str">
        <f>IFERROR(VLOOKUP(Tabela1[[#This Row],[COD.MDE]],'LISTA DE EMBARQUE'!B:L,11,0),"")</f>
        <v/>
      </c>
      <c r="W932" s="13" t="str">
        <f>IFERROR(VLOOKUP(Tabela1[[#This Row],[COD.MDE]],'LISTA DE EMBARQUE'!B:M,12,0),"")</f>
        <v/>
      </c>
      <c r="X932" s="14">
        <f ca="1">IFERROR(Tabela1[[#This Row],[QIANTIDADE EXPEDIDA]]*Tabela1[[#This Row],[PESO UNI]],"")</f>
        <v>0</v>
      </c>
      <c r="Y932" s="14">
        <f t="shared" ca="1" si="192"/>
        <v>-1</v>
      </c>
      <c r="Z932" s="20">
        <f ca="1">Tabela1[[#This Row],[PESO TOTAL]]-Tabela1[[#This Row],[Peso Expedido]]</f>
        <v>22.07</v>
      </c>
      <c r="AA932" s="17">
        <v>1</v>
      </c>
      <c r="AB932" s="33"/>
      <c r="AC932" s="33">
        <v>1</v>
      </c>
      <c r="AD932" s="33">
        <v>0.7</v>
      </c>
      <c r="AE932" s="33">
        <v>0.7</v>
      </c>
      <c r="AF932" s="33">
        <v>0.4</v>
      </c>
      <c r="AG932" s="33">
        <v>0.35</v>
      </c>
      <c r="AH932" s="33"/>
      <c r="AI932" s="33"/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hidden="1" customHeight="1" x14ac:dyDescent="0.25">
      <c r="A933" s="1" t="s">
        <v>5106</v>
      </c>
      <c r="B933" s="21" t="s">
        <v>5107</v>
      </c>
      <c r="C933" s="1">
        <v>1</v>
      </c>
      <c r="D933" s="1" t="s">
        <v>5113</v>
      </c>
      <c r="E933" s="7">
        <v>4560</v>
      </c>
      <c r="F933" s="7">
        <v>58</v>
      </c>
      <c r="G933" s="1">
        <v>33.590000000000003</v>
      </c>
      <c r="H933" s="34">
        <f ca="1">Tabela1[[#This Row],[PESO UNI]]*Tabela1[[#This Row],[QTE]]</f>
        <v>33.590000000000003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5105</v>
      </c>
      <c r="O933" s="12"/>
      <c r="P933" s="13"/>
      <c r="Q933" s="14">
        <f ca="1">Tabela1[[#This Row],[QTDE/ Fabricação]]-Tabela1[[#This Row],[QTE]]</f>
        <v>-1</v>
      </c>
      <c r="R933" s="18">
        <f ca="1">IFERROR(H933*((AA933*0.25)+(AC933*0.25)+(AD933*0.225)+(AE933*0.225)+(AF933*0.05)),"")</f>
        <v>28.047650000000001</v>
      </c>
      <c r="S933" s="18">
        <f t="shared" ca="1" si="190"/>
        <v>11.756500000000001</v>
      </c>
      <c r="T933" s="19">
        <f t="shared" ca="1" si="191"/>
        <v>-21.833500000000001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 ca="1">IFERROR(Tabela1[[#This Row],[QIANTIDADE EXPEDIDA]]*Tabela1[[#This Row],[PESO UNI]],"")</f>
        <v>0</v>
      </c>
      <c r="Y933" s="14">
        <f t="shared" ca="1" si="192"/>
        <v>-1</v>
      </c>
      <c r="Z933" s="20">
        <f ca="1">Tabela1[[#This Row],[PESO TOTAL]]-Tabela1[[#This Row],[Peso Expedido]]</f>
        <v>33.590000000000003</v>
      </c>
      <c r="AA933" s="17">
        <v>1</v>
      </c>
      <c r="AB933" s="33"/>
      <c r="AC933" s="33">
        <v>1</v>
      </c>
      <c r="AD933" s="33">
        <v>0.7</v>
      </c>
      <c r="AE933" s="33">
        <v>0.7</v>
      </c>
      <c r="AF933" s="33">
        <v>0.4</v>
      </c>
      <c r="AG933" s="33">
        <v>0.35</v>
      </c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hidden="1" customHeight="1" x14ac:dyDescent="0.25">
      <c r="A934" s="1" t="s">
        <v>5106</v>
      </c>
      <c r="B934" s="21" t="s">
        <v>5107</v>
      </c>
      <c r="C934" s="1">
        <v>1</v>
      </c>
      <c r="D934" s="1" t="s">
        <v>5114</v>
      </c>
      <c r="E934" s="7">
        <v>4561</v>
      </c>
      <c r="F934" s="7">
        <v>58</v>
      </c>
      <c r="G934" s="1">
        <v>20.48</v>
      </c>
      <c r="H934" s="34">
        <f ca="1">Tabela1[[#This Row],[PESO UNI]]*Tabela1[[#This Row],[QTE]]</f>
        <v>20.48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5105</v>
      </c>
      <c r="O934" s="12"/>
      <c r="P934" s="13"/>
      <c r="Q934" s="14">
        <f ca="1">Tabela1[[#This Row],[QTDE/ Fabricação]]-Tabela1[[#This Row],[QTE]]</f>
        <v>-1</v>
      </c>
      <c r="R934" s="18">
        <f t="shared" ca="1" si="189"/>
        <v>17.1008</v>
      </c>
      <c r="S934" s="18">
        <f t="shared" ca="1" si="190"/>
        <v>7.1679999999999993</v>
      </c>
      <c r="T934" s="19">
        <f t="shared" ca="1" si="191"/>
        <v>-13.312000000000001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 ca="1">IFERROR(Tabela1[[#This Row],[QIANTIDADE EXPEDIDA]]*Tabela1[[#This Row],[PESO UNI]],"")</f>
        <v>0</v>
      </c>
      <c r="Y934" s="14">
        <f t="shared" ca="1" si="192"/>
        <v>-1</v>
      </c>
      <c r="Z934" s="20">
        <f ca="1">Tabela1[[#This Row],[PESO TOTAL]]-Tabela1[[#This Row],[Peso Expedido]]</f>
        <v>20.48</v>
      </c>
      <c r="AA934" s="17">
        <v>1</v>
      </c>
      <c r="AB934" s="33"/>
      <c r="AC934" s="33">
        <v>1</v>
      </c>
      <c r="AD934" s="33">
        <v>0.7</v>
      </c>
      <c r="AE934" s="33">
        <v>0.7</v>
      </c>
      <c r="AF934" s="33">
        <v>0.4</v>
      </c>
      <c r="AG934" s="33">
        <v>0.35</v>
      </c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hidden="1" customHeight="1" x14ac:dyDescent="0.25">
      <c r="A935" s="1" t="s">
        <v>5106</v>
      </c>
      <c r="B935" s="21" t="s">
        <v>5107</v>
      </c>
      <c r="C935" s="1">
        <v>2</v>
      </c>
      <c r="D935" s="1" t="s">
        <v>5115</v>
      </c>
      <c r="E935" s="7">
        <v>4562</v>
      </c>
      <c r="F935" s="7">
        <v>58</v>
      </c>
      <c r="G935" s="1">
        <v>18.54</v>
      </c>
      <c r="H935" s="34">
        <f ca="1">Tabela1[[#This Row],[PESO UNI]]*Tabela1[[#This Row],[QTE]]</f>
        <v>37.08</v>
      </c>
      <c r="I935" s="7">
        <v>0</v>
      </c>
      <c r="J935" s="8" t="s">
        <v>3045</v>
      </c>
      <c r="K935" s="8" t="s">
        <v>4320</v>
      </c>
      <c r="L935" s="9" t="s">
        <v>2984</v>
      </c>
      <c r="M935" s="10">
        <v>46251</v>
      </c>
      <c r="N935" s="8" t="s">
        <v>5105</v>
      </c>
      <c r="O935" s="12"/>
      <c r="P935" s="13"/>
      <c r="Q935" s="14">
        <f ca="1">Tabela1[[#This Row],[QTDE/ Fabricação]]-Tabela1[[#This Row],[QTE]]</f>
        <v>-2</v>
      </c>
      <c r="R935" s="18">
        <f t="shared" ca="1" si="189"/>
        <v>30.961799999999997</v>
      </c>
      <c r="S935" s="18">
        <f t="shared" ca="1" si="190"/>
        <v>12.977999999999998</v>
      </c>
      <c r="T935" s="19">
        <f t="shared" ca="1" si="191"/>
        <v>-24.102</v>
      </c>
      <c r="U935" s="16">
        <f>IFERROR(SUMIF('LISTA DE EMBARQUE'!B:B,MICRO!E:E,'LISTA DE EMBARQUE'!G:G),"")</f>
        <v>0</v>
      </c>
      <c r="V935" s="12" t="str">
        <f>IFERROR(VLOOKUP(Tabela1[[#This Row],[COD.MDE]],'LISTA DE EMBARQUE'!B:L,11,0),"")</f>
        <v/>
      </c>
      <c r="W935" s="13" t="str">
        <f>IFERROR(VLOOKUP(Tabela1[[#This Row],[COD.MDE]],'LISTA DE EMBARQUE'!B:M,12,0),"")</f>
        <v/>
      </c>
      <c r="X935" s="14">
        <f ca="1">IFERROR(Tabela1[[#This Row],[QIANTIDADE EXPEDIDA]]*Tabela1[[#This Row],[PESO UNI]],"")</f>
        <v>0</v>
      </c>
      <c r="Y935" s="14">
        <f t="shared" ca="1" si="192"/>
        <v>-2</v>
      </c>
      <c r="Z935" s="20">
        <f ca="1">Tabela1[[#This Row],[PESO TOTAL]]-Tabela1[[#This Row],[Peso Expedido]]</f>
        <v>37.08</v>
      </c>
      <c r="AA935" s="17">
        <v>1</v>
      </c>
      <c r="AB935" s="33"/>
      <c r="AC935" s="33">
        <v>1</v>
      </c>
      <c r="AD935" s="33">
        <v>0.7</v>
      </c>
      <c r="AE935" s="33">
        <v>0.7</v>
      </c>
      <c r="AF935" s="33">
        <v>0.4</v>
      </c>
      <c r="AG935" s="33">
        <v>0.35</v>
      </c>
      <c r="AH935" s="33"/>
      <c r="AI935" s="33"/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hidden="1" customHeight="1" x14ac:dyDescent="0.25">
      <c r="A936" s="1" t="s">
        <v>5116</v>
      </c>
      <c r="B936" s="21" t="s">
        <v>5117</v>
      </c>
      <c r="C936" s="1">
        <v>1</v>
      </c>
      <c r="D936" s="1" t="s">
        <v>5118</v>
      </c>
      <c r="E936" s="7">
        <v>4563</v>
      </c>
      <c r="F936" s="7">
        <v>58</v>
      </c>
      <c r="G936" s="1">
        <v>82.5</v>
      </c>
      <c r="H936" s="34">
        <f ca="1">Tabela1[[#This Row],[PESO UNI]]*Tabela1[[#This Row],[QTE]]</f>
        <v>82.5</v>
      </c>
      <c r="I936" s="7">
        <v>0</v>
      </c>
      <c r="J936" s="8" t="s">
        <v>3045</v>
      </c>
      <c r="K936" s="8" t="s">
        <v>4320</v>
      </c>
      <c r="L936" s="9" t="s">
        <v>2984</v>
      </c>
      <c r="M936" s="10">
        <v>46251</v>
      </c>
      <c r="N936" s="8" t="s">
        <v>5105</v>
      </c>
      <c r="O936" s="12"/>
      <c r="P936" s="13"/>
      <c r="Q936" s="14">
        <f ca="1">Tabela1[[#This Row],[QTDE/ Fabricação]]-Tabela1[[#This Row],[QTE]]</f>
        <v>-1</v>
      </c>
      <c r="R936" s="18">
        <f t="shared" ca="1" si="189"/>
        <v>68.887500000000003</v>
      </c>
      <c r="S936" s="18">
        <f t="shared" ca="1" si="190"/>
        <v>28.874999999999996</v>
      </c>
      <c r="T936" s="19">
        <f t="shared" ca="1" si="191"/>
        <v>-53.625</v>
      </c>
      <c r="U936" s="16">
        <f>IFERROR(SUMIF('LISTA DE EMBARQUE'!B:B,MICRO!E:E,'LISTA DE EMBARQUE'!G:G),"")</f>
        <v>0</v>
      </c>
      <c r="V936" s="12" t="str">
        <f>IFERROR(VLOOKUP(Tabela1[[#This Row],[COD.MDE]],'LISTA DE EMBARQUE'!B:L,11,0),"")</f>
        <v/>
      </c>
      <c r="W936" s="13" t="str">
        <f>IFERROR(VLOOKUP(Tabela1[[#This Row],[COD.MDE]],'LISTA DE EMBARQUE'!B:M,12,0),"")</f>
        <v/>
      </c>
      <c r="X936" s="14">
        <f ca="1">IFERROR(Tabela1[[#This Row],[QIANTIDADE EXPEDIDA]]*Tabela1[[#This Row],[PESO UNI]],"")</f>
        <v>0</v>
      </c>
      <c r="Y936" s="14">
        <f t="shared" ca="1" si="192"/>
        <v>-1</v>
      </c>
      <c r="Z936" s="20">
        <f ca="1">Tabela1[[#This Row],[PESO TOTAL]]-Tabela1[[#This Row],[Peso Expedido]]</f>
        <v>82.5</v>
      </c>
      <c r="AA936" s="17">
        <v>1</v>
      </c>
      <c r="AB936" s="33"/>
      <c r="AC936" s="33">
        <v>1</v>
      </c>
      <c r="AD936" s="33">
        <v>0.7</v>
      </c>
      <c r="AE936" s="33">
        <v>0.7</v>
      </c>
      <c r="AF936" s="33">
        <v>0.4</v>
      </c>
      <c r="AG936" s="33">
        <v>0.35</v>
      </c>
      <c r="AH936" s="33"/>
      <c r="AI936" s="33"/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hidden="1" customHeight="1" x14ac:dyDescent="0.25">
      <c r="A937" s="1" t="s">
        <v>5116</v>
      </c>
      <c r="B937" s="21" t="s">
        <v>5117</v>
      </c>
      <c r="C937" s="1">
        <v>1</v>
      </c>
      <c r="D937" s="1" t="s">
        <v>5119</v>
      </c>
      <c r="E937" s="7">
        <v>4564</v>
      </c>
      <c r="F937" s="7">
        <v>58</v>
      </c>
      <c r="G937" s="1">
        <v>81.86</v>
      </c>
      <c r="H937" s="34">
        <f ca="1">Tabela1[[#This Row],[PESO UNI]]*Tabela1[[#This Row],[QTE]]</f>
        <v>81.86</v>
      </c>
      <c r="I937" s="7">
        <v>0</v>
      </c>
      <c r="J937" s="8" t="s">
        <v>3045</v>
      </c>
      <c r="K937" s="8" t="s">
        <v>4320</v>
      </c>
      <c r="L937" s="9" t="s">
        <v>2984</v>
      </c>
      <c r="M937" s="10">
        <v>46251</v>
      </c>
      <c r="N937" s="8" t="s">
        <v>5105</v>
      </c>
      <c r="O937" s="12"/>
      <c r="P937" s="13"/>
      <c r="Q937" s="14">
        <f ca="1">Tabela1[[#This Row],[QTDE/ Fabricação]]-Tabela1[[#This Row],[QTE]]</f>
        <v>-1</v>
      </c>
      <c r="R937" s="18">
        <f t="shared" ca="1" si="189"/>
        <v>68.353099999999998</v>
      </c>
      <c r="S937" s="18">
        <f t="shared" ca="1" si="190"/>
        <v>28.650999999999996</v>
      </c>
      <c r="T937" s="19">
        <f t="shared" ca="1" si="191"/>
        <v>-53.209000000000003</v>
      </c>
      <c r="U937" s="16">
        <f>IFERROR(SUMIF('LISTA DE EMBARQUE'!B:B,MICRO!E:E,'LISTA DE EMBARQUE'!G:G),"")</f>
        <v>0</v>
      </c>
      <c r="V937" s="12" t="str">
        <f>IFERROR(VLOOKUP(Tabela1[[#This Row],[COD.MDE]],'LISTA DE EMBARQUE'!B:L,11,0),"")</f>
        <v/>
      </c>
      <c r="W937" s="13" t="str">
        <f>IFERROR(VLOOKUP(Tabela1[[#This Row],[COD.MDE]],'LISTA DE EMBARQUE'!B:M,12,0),"")</f>
        <v/>
      </c>
      <c r="X937" s="14">
        <f ca="1">IFERROR(Tabela1[[#This Row],[QIANTIDADE EXPEDIDA]]*Tabela1[[#This Row],[PESO UNI]],"")</f>
        <v>0</v>
      </c>
      <c r="Y937" s="14">
        <f t="shared" ca="1" si="192"/>
        <v>-1</v>
      </c>
      <c r="Z937" s="20">
        <f ca="1">Tabela1[[#This Row],[PESO TOTAL]]-Tabela1[[#This Row],[Peso Expedido]]</f>
        <v>81.86</v>
      </c>
      <c r="AA937" s="17">
        <v>1</v>
      </c>
      <c r="AB937" s="33"/>
      <c r="AC937" s="33">
        <v>1</v>
      </c>
      <c r="AD937" s="33">
        <v>0.7</v>
      </c>
      <c r="AE937" s="33">
        <v>0.7</v>
      </c>
      <c r="AF937" s="33">
        <v>0.4</v>
      </c>
      <c r="AG937" s="33">
        <v>0.35</v>
      </c>
      <c r="AH937" s="33"/>
      <c r="AI937" s="33"/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hidden="1" customHeight="1" x14ac:dyDescent="0.25">
      <c r="A938" s="1" t="s">
        <v>5120</v>
      </c>
      <c r="B938" s="21" t="s">
        <v>5121</v>
      </c>
      <c r="C938" s="1">
        <v>3</v>
      </c>
      <c r="D938" s="1" t="s">
        <v>5122</v>
      </c>
      <c r="E938" s="7">
        <v>4565</v>
      </c>
      <c r="F938" s="7">
        <v>58</v>
      </c>
      <c r="G938" s="1">
        <v>83.82</v>
      </c>
      <c r="H938" s="34">
        <f ca="1">Tabela1[[#This Row],[PESO UNI]]*Tabela1[[#This Row],[QTE]]</f>
        <v>251.45999999999998</v>
      </c>
      <c r="I938" s="7">
        <v>0</v>
      </c>
      <c r="J938" s="8" t="s">
        <v>3045</v>
      </c>
      <c r="K938" s="8" t="s">
        <v>4320</v>
      </c>
      <c r="L938" s="9" t="s">
        <v>2984</v>
      </c>
      <c r="M938" s="10">
        <v>46251</v>
      </c>
      <c r="N938" s="8" t="s">
        <v>5105</v>
      </c>
      <c r="O938" s="12"/>
      <c r="P938" s="13"/>
      <c r="Q938" s="14">
        <f ca="1">Tabela1[[#This Row],[QTDE/ Fabricação]]-Tabela1[[#This Row],[QTE]]</f>
        <v>-3</v>
      </c>
      <c r="R938" s="18">
        <f t="shared" ca="1" si="189"/>
        <v>209.96909999999997</v>
      </c>
      <c r="S938" s="18">
        <f t="shared" ca="1" si="190"/>
        <v>88.010999999999981</v>
      </c>
      <c r="T938" s="19">
        <f t="shared" ca="1" si="191"/>
        <v>-163.44900000000001</v>
      </c>
      <c r="U938" s="16">
        <f>IFERROR(SUMIF('LISTA DE EMBARQUE'!B:B,MICRO!E:E,'LISTA DE EMBARQUE'!G:G),"")</f>
        <v>0</v>
      </c>
      <c r="V938" s="12" t="str">
        <f>IFERROR(VLOOKUP(Tabela1[[#This Row],[COD.MDE]],'LISTA DE EMBARQUE'!B:L,11,0),"")</f>
        <v/>
      </c>
      <c r="W938" s="13" t="str">
        <f>IFERROR(VLOOKUP(Tabela1[[#This Row],[COD.MDE]],'LISTA DE EMBARQUE'!B:M,12,0),"")</f>
        <v/>
      </c>
      <c r="X938" s="14">
        <f ca="1">IFERROR(Tabela1[[#This Row],[QIANTIDADE EXPEDIDA]]*Tabela1[[#This Row],[PESO UNI]],"")</f>
        <v>0</v>
      </c>
      <c r="Y938" s="14">
        <f t="shared" ca="1" si="192"/>
        <v>-3</v>
      </c>
      <c r="Z938" s="20">
        <f ca="1">Tabela1[[#This Row],[PESO TOTAL]]-Tabela1[[#This Row],[Peso Expedido]]</f>
        <v>251.45999999999998</v>
      </c>
      <c r="AA938" s="17">
        <v>1</v>
      </c>
      <c r="AB938" s="33"/>
      <c r="AC938" s="33">
        <v>1</v>
      </c>
      <c r="AD938" s="33">
        <v>0.7</v>
      </c>
      <c r="AE938" s="33">
        <v>0.7</v>
      </c>
      <c r="AF938" s="33">
        <v>0.4</v>
      </c>
      <c r="AG938" s="33">
        <v>0.35</v>
      </c>
      <c r="AH938" s="33"/>
      <c r="AI938" s="33"/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hidden="1" customHeight="1" x14ac:dyDescent="0.25">
      <c r="A939" s="1" t="s">
        <v>5120</v>
      </c>
      <c r="B939" s="21" t="s">
        <v>5121</v>
      </c>
      <c r="C939" s="1">
        <v>2</v>
      </c>
      <c r="D939" s="1" t="s">
        <v>5123</v>
      </c>
      <c r="E939" s="7">
        <v>4566</v>
      </c>
      <c r="F939" s="7">
        <v>58</v>
      </c>
      <c r="G939" s="1">
        <v>85.1</v>
      </c>
      <c r="H939" s="34">
        <f ca="1">Tabela1[[#This Row],[PESO UNI]]*Tabela1[[#This Row],[QTE]]</f>
        <v>170.2</v>
      </c>
      <c r="I939" s="7">
        <v>0</v>
      </c>
      <c r="J939" s="8" t="s">
        <v>3045</v>
      </c>
      <c r="K939" s="8" t="s">
        <v>4320</v>
      </c>
      <c r="L939" s="9" t="s">
        <v>2984</v>
      </c>
      <c r="M939" s="10">
        <v>46251</v>
      </c>
      <c r="N939" s="8" t="s">
        <v>5105</v>
      </c>
      <c r="O939" s="12"/>
      <c r="P939" s="13"/>
      <c r="Q939" s="14">
        <f ca="1">Tabela1[[#This Row],[QTDE/ Fabricação]]-Tabela1[[#This Row],[QTE]]</f>
        <v>-2</v>
      </c>
      <c r="R939" s="18">
        <f t="shared" ca="1" si="189"/>
        <v>142.11699999999999</v>
      </c>
      <c r="S939" s="18">
        <f t="shared" ca="1" si="190"/>
        <v>59.569999999999993</v>
      </c>
      <c r="T939" s="19">
        <f t="shared" ca="1" si="191"/>
        <v>-110.63</v>
      </c>
      <c r="U939" s="16">
        <f>IFERROR(SUMIF('LISTA DE EMBARQUE'!B:B,MICRO!E:E,'LISTA DE EMBARQUE'!G:G),"")</f>
        <v>0</v>
      </c>
      <c r="V939" s="12" t="str">
        <f>IFERROR(VLOOKUP(Tabela1[[#This Row],[COD.MDE]],'LISTA DE EMBARQUE'!B:L,11,0),"")</f>
        <v/>
      </c>
      <c r="W939" s="13" t="str">
        <f>IFERROR(VLOOKUP(Tabela1[[#This Row],[COD.MDE]],'LISTA DE EMBARQUE'!B:M,12,0),"")</f>
        <v/>
      </c>
      <c r="X939" s="14">
        <f ca="1">IFERROR(Tabela1[[#This Row],[QIANTIDADE EXPEDIDA]]*Tabela1[[#This Row],[PESO UNI]],"")</f>
        <v>0</v>
      </c>
      <c r="Y939" s="14">
        <f t="shared" ca="1" si="192"/>
        <v>-2</v>
      </c>
      <c r="Z939" s="20">
        <f ca="1">Tabela1[[#This Row],[PESO TOTAL]]-Tabela1[[#This Row],[Peso Expedido]]</f>
        <v>170.2</v>
      </c>
      <c r="AA939" s="17">
        <v>1</v>
      </c>
      <c r="AB939" s="33"/>
      <c r="AC939" s="33">
        <v>1</v>
      </c>
      <c r="AD939" s="33">
        <v>0.7</v>
      </c>
      <c r="AE939" s="33">
        <v>0.7</v>
      </c>
      <c r="AF939" s="33">
        <v>0.4</v>
      </c>
      <c r="AG939" s="33">
        <v>0.35</v>
      </c>
      <c r="AH939" s="33"/>
      <c r="AI939" s="33"/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hidden="1" customHeight="1" x14ac:dyDescent="0.25">
      <c r="A940" s="1" t="s">
        <v>5124</v>
      </c>
      <c r="B940" s="21" t="s">
        <v>5125</v>
      </c>
      <c r="C940" s="1">
        <v>1</v>
      </c>
      <c r="D940" s="1" t="s">
        <v>5126</v>
      </c>
      <c r="E940" s="7">
        <v>4567</v>
      </c>
      <c r="F940" s="7">
        <v>58</v>
      </c>
      <c r="G940" s="1">
        <v>86.97</v>
      </c>
      <c r="H940" s="34">
        <f ca="1">Tabela1[[#This Row],[PESO UNI]]*Tabela1[[#This Row],[QTE]]</f>
        <v>86.97</v>
      </c>
      <c r="I940" s="7">
        <v>0</v>
      </c>
      <c r="J940" s="8" t="s">
        <v>3045</v>
      </c>
      <c r="K940" s="8" t="s">
        <v>4320</v>
      </c>
      <c r="L940" s="9" t="s">
        <v>2984</v>
      </c>
      <c r="M940" s="10">
        <v>46251</v>
      </c>
      <c r="N940" s="8" t="s">
        <v>5105</v>
      </c>
      <c r="O940" s="12"/>
      <c r="P940" s="13"/>
      <c r="Q940" s="14">
        <f ca="1">Tabela1[[#This Row],[QTDE/ Fabricação]]-Tabela1[[#This Row],[QTE]]</f>
        <v>-1</v>
      </c>
      <c r="R940" s="18">
        <f t="shared" ca="1" si="189"/>
        <v>72.619950000000003</v>
      </c>
      <c r="S940" s="18">
        <f t="shared" ca="1" si="190"/>
        <v>30.439499999999999</v>
      </c>
      <c r="T940" s="19">
        <f t="shared" ca="1" si="191"/>
        <v>-56.530500000000004</v>
      </c>
      <c r="U940" s="16">
        <f>IFERROR(SUMIF('LISTA DE EMBARQUE'!B:B,MICRO!E:E,'LISTA DE EMBARQUE'!G:G),"")</f>
        <v>0</v>
      </c>
      <c r="V940" s="12" t="str">
        <f>IFERROR(VLOOKUP(Tabela1[[#This Row],[COD.MDE]],'LISTA DE EMBARQUE'!B:L,11,0),"")</f>
        <v/>
      </c>
      <c r="W940" s="13" t="str">
        <f>IFERROR(VLOOKUP(Tabela1[[#This Row],[COD.MDE]],'LISTA DE EMBARQUE'!B:M,12,0),"")</f>
        <v/>
      </c>
      <c r="X940" s="14">
        <f ca="1">IFERROR(Tabela1[[#This Row],[QIANTIDADE EXPEDIDA]]*Tabela1[[#This Row],[PESO UNI]],"")</f>
        <v>0</v>
      </c>
      <c r="Y940" s="14">
        <f t="shared" ca="1" si="192"/>
        <v>-1</v>
      </c>
      <c r="Z940" s="20">
        <f ca="1">Tabela1[[#This Row],[PESO TOTAL]]-Tabela1[[#This Row],[Peso Expedido]]</f>
        <v>86.97</v>
      </c>
      <c r="AA940" s="17">
        <v>1</v>
      </c>
      <c r="AB940" s="33"/>
      <c r="AC940" s="33">
        <v>1</v>
      </c>
      <c r="AD940" s="33">
        <v>0.7</v>
      </c>
      <c r="AE940" s="33">
        <v>0.7</v>
      </c>
      <c r="AF940" s="33">
        <v>0.4</v>
      </c>
      <c r="AG940" s="33">
        <v>0.35</v>
      </c>
      <c r="AH940" s="33"/>
      <c r="AI940" s="33"/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hidden="1" customHeight="1" x14ac:dyDescent="0.25">
      <c r="A941" s="1" t="s">
        <v>5124</v>
      </c>
      <c r="B941" s="21" t="s">
        <v>5125</v>
      </c>
      <c r="C941" s="1">
        <v>1</v>
      </c>
      <c r="D941" s="1" t="s">
        <v>5127</v>
      </c>
      <c r="E941" s="7">
        <v>4568</v>
      </c>
      <c r="F941" s="7">
        <v>58</v>
      </c>
      <c r="G941" s="1">
        <v>87.61</v>
      </c>
      <c r="H941" s="34">
        <f ca="1">Tabela1[[#This Row],[PESO UNI]]*Tabela1[[#This Row],[QTE]]</f>
        <v>87.61</v>
      </c>
      <c r="I941" s="7">
        <v>0</v>
      </c>
      <c r="J941" s="8" t="s">
        <v>3045</v>
      </c>
      <c r="K941" s="8" t="s">
        <v>4320</v>
      </c>
      <c r="L941" s="9" t="s">
        <v>2984</v>
      </c>
      <c r="M941" s="10">
        <v>46251</v>
      </c>
      <c r="N941" s="8" t="s">
        <v>5105</v>
      </c>
      <c r="O941" s="12"/>
      <c r="P941" s="13"/>
      <c r="Q941" s="14">
        <f ca="1">Tabela1[[#This Row],[QTDE/ Fabricação]]-Tabela1[[#This Row],[QTE]]</f>
        <v>-1</v>
      </c>
      <c r="R941" s="18">
        <f t="shared" ca="1" si="189"/>
        <v>73.154349999999994</v>
      </c>
      <c r="S941" s="18">
        <f t="shared" ca="1" si="190"/>
        <v>30.663499999999999</v>
      </c>
      <c r="T941" s="19">
        <f t="shared" ca="1" si="191"/>
        <v>-56.9465</v>
      </c>
      <c r="U941" s="16">
        <f>IFERROR(SUMIF('LISTA DE EMBARQUE'!B:B,MICRO!E:E,'LISTA DE EMBARQUE'!G:G),"")</f>
        <v>0</v>
      </c>
      <c r="V941" s="12" t="str">
        <f>IFERROR(VLOOKUP(Tabela1[[#This Row],[COD.MDE]],'LISTA DE EMBARQUE'!B:L,11,0),"")</f>
        <v/>
      </c>
      <c r="W941" s="13" t="str">
        <f>IFERROR(VLOOKUP(Tabela1[[#This Row],[COD.MDE]],'LISTA DE EMBARQUE'!B:M,12,0),"")</f>
        <v/>
      </c>
      <c r="X941" s="14">
        <f ca="1">IFERROR(Tabela1[[#This Row],[QIANTIDADE EXPEDIDA]]*Tabela1[[#This Row],[PESO UNI]],"")</f>
        <v>0</v>
      </c>
      <c r="Y941" s="14">
        <f t="shared" ca="1" si="192"/>
        <v>-1</v>
      </c>
      <c r="Z941" s="20">
        <f ca="1">Tabela1[[#This Row],[PESO TOTAL]]-Tabela1[[#This Row],[Peso Expedido]]</f>
        <v>87.61</v>
      </c>
      <c r="AA941" s="17">
        <v>1</v>
      </c>
      <c r="AB941" s="33"/>
      <c r="AC941" s="33">
        <v>1</v>
      </c>
      <c r="AD941" s="33">
        <v>0.7</v>
      </c>
      <c r="AE941" s="33">
        <v>0.7</v>
      </c>
      <c r="AF941" s="33">
        <v>0.4</v>
      </c>
      <c r="AG941" s="33">
        <v>0.35</v>
      </c>
      <c r="AH941" s="33"/>
      <c r="AI941" s="33"/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hidden="1" customHeight="1" x14ac:dyDescent="0.25">
      <c r="A942" s="1" t="s">
        <v>5128</v>
      </c>
      <c r="B942" s="21" t="s">
        <v>5129</v>
      </c>
      <c r="C942" s="1">
        <v>4</v>
      </c>
      <c r="D942" s="1" t="s">
        <v>5130</v>
      </c>
      <c r="E942" s="7">
        <v>4569</v>
      </c>
      <c r="F942" s="7">
        <v>58</v>
      </c>
      <c r="G942" s="1">
        <v>26.26</v>
      </c>
      <c r="H942" s="34">
        <f ca="1">Tabela1[[#This Row],[PESO UNI]]*Tabela1[[#This Row],[QTE]]</f>
        <v>105.04</v>
      </c>
      <c r="I942" s="7">
        <v>0</v>
      </c>
      <c r="J942" s="8" t="s">
        <v>3045</v>
      </c>
      <c r="K942" s="8" t="s">
        <v>4320</v>
      </c>
      <c r="L942" s="9" t="s">
        <v>2984</v>
      </c>
      <c r="M942" s="10">
        <v>46251</v>
      </c>
      <c r="N942" s="8" t="s">
        <v>5105</v>
      </c>
      <c r="O942" s="12"/>
      <c r="P942" s="13"/>
      <c r="Q942" s="14">
        <f ca="1">Tabela1[[#This Row],[QTDE/ Fabricação]]-Tabela1[[#This Row],[QTE]]</f>
        <v>-4</v>
      </c>
      <c r="R942" s="18">
        <f t="shared" ca="1" si="189"/>
        <v>87.708399999999997</v>
      </c>
      <c r="S942" s="18">
        <f t="shared" ca="1" si="190"/>
        <v>36.764000000000003</v>
      </c>
      <c r="T942" s="19">
        <f t="shared" ca="1" si="191"/>
        <v>-68.27600000000001</v>
      </c>
      <c r="U942" s="16">
        <f>IFERROR(SUMIF('LISTA DE EMBARQUE'!B:B,MICRO!E:E,'LISTA DE EMBARQUE'!G:G),"")</f>
        <v>0</v>
      </c>
      <c r="V942" s="12" t="str">
        <f>IFERROR(VLOOKUP(Tabela1[[#This Row],[COD.MDE]],'LISTA DE EMBARQUE'!B:L,11,0),"")</f>
        <v/>
      </c>
      <c r="W942" s="13" t="str">
        <f>IFERROR(VLOOKUP(Tabela1[[#This Row],[COD.MDE]],'LISTA DE EMBARQUE'!B:M,12,0),"")</f>
        <v/>
      </c>
      <c r="X942" s="14">
        <f ca="1">IFERROR(Tabela1[[#This Row],[QIANTIDADE EXPEDIDA]]*Tabela1[[#This Row],[PESO UNI]],"")</f>
        <v>0</v>
      </c>
      <c r="Y942" s="14">
        <f t="shared" ca="1" si="192"/>
        <v>-4</v>
      </c>
      <c r="Z942" s="20">
        <f ca="1">Tabela1[[#This Row],[PESO TOTAL]]-Tabela1[[#This Row],[Peso Expedido]]</f>
        <v>105.04</v>
      </c>
      <c r="AA942" s="17">
        <v>1</v>
      </c>
      <c r="AB942" s="33"/>
      <c r="AC942" s="33">
        <v>1</v>
      </c>
      <c r="AD942" s="33">
        <v>0.7</v>
      </c>
      <c r="AE942" s="33">
        <v>0.7</v>
      </c>
      <c r="AF942" s="33">
        <v>0.4</v>
      </c>
      <c r="AG942" s="33">
        <v>0.35</v>
      </c>
      <c r="AH942" s="33"/>
      <c r="AI942" s="33"/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hidden="1" customHeight="1" x14ac:dyDescent="0.25">
      <c r="A943" s="1" t="s">
        <v>5128</v>
      </c>
      <c r="B943" s="21" t="s">
        <v>5129</v>
      </c>
      <c r="C943" s="1">
        <v>4</v>
      </c>
      <c r="D943" s="1" t="s">
        <v>5131</v>
      </c>
      <c r="E943" s="7">
        <v>4570</v>
      </c>
      <c r="F943" s="7">
        <v>58</v>
      </c>
      <c r="G943" s="1">
        <v>31.82</v>
      </c>
      <c r="H943" s="34">
        <f ca="1">Tabela1[[#This Row],[PESO UNI]]*Tabela1[[#This Row],[QTE]]</f>
        <v>127.28</v>
      </c>
      <c r="I943" s="7">
        <v>0</v>
      </c>
      <c r="J943" s="8" t="s">
        <v>3045</v>
      </c>
      <c r="K943" s="8" t="s">
        <v>4320</v>
      </c>
      <c r="L943" s="9" t="s">
        <v>2984</v>
      </c>
      <c r="M943" s="10">
        <v>46251</v>
      </c>
      <c r="N943" s="8" t="s">
        <v>5105</v>
      </c>
      <c r="O943" s="12"/>
      <c r="P943" s="13"/>
      <c r="Q943" s="14">
        <f ca="1">Tabela1[[#This Row],[QTDE/ Fabricação]]-Tabela1[[#This Row],[QTE]]</f>
        <v>-4</v>
      </c>
      <c r="R943" s="18">
        <f t="shared" ca="1" si="189"/>
        <v>106.27879999999999</v>
      </c>
      <c r="S943" s="18">
        <f t="shared" ca="1" si="190"/>
        <v>44.547999999999995</v>
      </c>
      <c r="T943" s="19">
        <f t="shared" ca="1" si="191"/>
        <v>-82.731999999999999</v>
      </c>
      <c r="U943" s="16">
        <f>IFERROR(SUMIF('LISTA DE EMBARQUE'!B:B,MICRO!E:E,'LISTA DE EMBARQUE'!G:G),"")</f>
        <v>0</v>
      </c>
      <c r="V943" s="12" t="str">
        <f>IFERROR(VLOOKUP(Tabela1[[#This Row],[COD.MDE]],'LISTA DE EMBARQUE'!B:L,11,0),"")</f>
        <v/>
      </c>
      <c r="W943" s="13" t="str">
        <f>IFERROR(VLOOKUP(Tabela1[[#This Row],[COD.MDE]],'LISTA DE EMBARQUE'!B:M,12,0),"")</f>
        <v/>
      </c>
      <c r="X943" s="14">
        <f ca="1">IFERROR(Tabela1[[#This Row],[QIANTIDADE EXPEDIDA]]*Tabela1[[#This Row],[PESO UNI]],"")</f>
        <v>0</v>
      </c>
      <c r="Y943" s="14">
        <f t="shared" ca="1" si="192"/>
        <v>-4</v>
      </c>
      <c r="Z943" s="20">
        <f ca="1">Tabela1[[#This Row],[PESO TOTAL]]-Tabela1[[#This Row],[Peso Expedido]]</f>
        <v>127.28</v>
      </c>
      <c r="AA943" s="17">
        <v>1</v>
      </c>
      <c r="AB943" s="33"/>
      <c r="AC943" s="33">
        <v>1</v>
      </c>
      <c r="AD943" s="33">
        <v>0.7</v>
      </c>
      <c r="AE943" s="33">
        <v>0.7</v>
      </c>
      <c r="AF943" s="33">
        <v>0.4</v>
      </c>
      <c r="AG943" s="33">
        <v>0.35</v>
      </c>
      <c r="AH943" s="33"/>
      <c r="AI943" s="33"/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hidden="1" customHeight="1" x14ac:dyDescent="0.25">
      <c r="A944" s="1" t="s">
        <v>5128</v>
      </c>
      <c r="B944" s="21" t="s">
        <v>5129</v>
      </c>
      <c r="C944" s="1">
        <v>4</v>
      </c>
      <c r="D944" s="1" t="s">
        <v>5132</v>
      </c>
      <c r="E944" s="7">
        <v>4571</v>
      </c>
      <c r="F944" s="7">
        <v>58</v>
      </c>
      <c r="G944" s="1">
        <v>30.1</v>
      </c>
      <c r="H944" s="34">
        <f ca="1">Tabela1[[#This Row],[PESO UNI]]*Tabela1[[#This Row],[QTE]]</f>
        <v>120.4</v>
      </c>
      <c r="I944" s="7">
        <v>0</v>
      </c>
      <c r="J944" s="8" t="s">
        <v>3045</v>
      </c>
      <c r="K944" s="8" t="s">
        <v>4320</v>
      </c>
      <c r="L944" s="9" t="s">
        <v>2984</v>
      </c>
      <c r="M944" s="10">
        <v>46251</v>
      </c>
      <c r="N944" s="8" t="s">
        <v>5105</v>
      </c>
      <c r="O944" s="12"/>
      <c r="P944" s="13"/>
      <c r="Q944" s="14">
        <f ca="1">Tabela1[[#This Row],[QTDE/ Fabricação]]-Tabela1[[#This Row],[QTE]]</f>
        <v>-4</v>
      </c>
      <c r="R944" s="18">
        <f t="shared" ca="1" si="189"/>
        <v>100.53400000000001</v>
      </c>
      <c r="S944" s="18">
        <f t="shared" ca="1" si="190"/>
        <v>42.14</v>
      </c>
      <c r="T944" s="19">
        <f t="shared" ca="1" si="191"/>
        <v>-78.260000000000005</v>
      </c>
      <c r="U944" s="16">
        <f>IFERROR(SUMIF('LISTA DE EMBARQUE'!B:B,MICRO!E:E,'LISTA DE EMBARQUE'!G:G),"")</f>
        <v>0</v>
      </c>
      <c r="V944" s="12" t="str">
        <f>IFERROR(VLOOKUP(Tabela1[[#This Row],[COD.MDE]],'LISTA DE EMBARQUE'!B:L,11,0),"")</f>
        <v/>
      </c>
      <c r="W944" s="13" t="str">
        <f>IFERROR(VLOOKUP(Tabela1[[#This Row],[COD.MDE]],'LISTA DE EMBARQUE'!B:M,12,0),"")</f>
        <v/>
      </c>
      <c r="X944" s="14">
        <f ca="1">IFERROR(Tabela1[[#This Row],[QIANTIDADE EXPEDIDA]]*Tabela1[[#This Row],[PESO UNI]],"")</f>
        <v>0</v>
      </c>
      <c r="Y944" s="14">
        <f t="shared" ca="1" si="192"/>
        <v>-4</v>
      </c>
      <c r="Z944" s="20">
        <f ca="1">Tabela1[[#This Row],[PESO TOTAL]]-Tabela1[[#This Row],[Peso Expedido]]</f>
        <v>120.4</v>
      </c>
      <c r="AA944" s="17">
        <v>1</v>
      </c>
      <c r="AB944" s="33"/>
      <c r="AC944" s="33">
        <v>1</v>
      </c>
      <c r="AD944" s="33">
        <v>0.7</v>
      </c>
      <c r="AE944" s="33">
        <v>0.7</v>
      </c>
      <c r="AF944" s="33">
        <v>0.4</v>
      </c>
      <c r="AG944" s="33">
        <v>0.35</v>
      </c>
      <c r="AH944" s="33"/>
      <c r="AI944" s="33"/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hidden="1" customHeight="1" x14ac:dyDescent="0.25">
      <c r="A945" s="1" t="s">
        <v>5128</v>
      </c>
      <c r="B945" s="21" t="s">
        <v>5129</v>
      </c>
      <c r="C945" s="1">
        <v>4</v>
      </c>
      <c r="D945" s="1" t="s">
        <v>5133</v>
      </c>
      <c r="E945" s="7">
        <v>4572</v>
      </c>
      <c r="F945" s="7">
        <v>58</v>
      </c>
      <c r="G945" s="1">
        <v>34.200000000000003</v>
      </c>
      <c r="H945" s="34">
        <f ca="1">Tabela1[[#This Row],[PESO UNI]]*Tabela1[[#This Row],[QTE]]</f>
        <v>136.80000000000001</v>
      </c>
      <c r="I945" s="7">
        <v>0</v>
      </c>
      <c r="J945" s="8" t="s">
        <v>3045</v>
      </c>
      <c r="K945" s="8" t="s">
        <v>4320</v>
      </c>
      <c r="L945" s="9" t="s">
        <v>2984</v>
      </c>
      <c r="M945" s="10">
        <v>46251</v>
      </c>
      <c r="N945" s="8" t="s">
        <v>5105</v>
      </c>
      <c r="O945" s="12"/>
      <c r="P945" s="13"/>
      <c r="Q945" s="14">
        <f ca="1">Tabela1[[#This Row],[QTDE/ Fabricação]]-Tabela1[[#This Row],[QTE]]</f>
        <v>-4</v>
      </c>
      <c r="R945" s="18">
        <f t="shared" ca="1" si="189"/>
        <v>114.22800000000001</v>
      </c>
      <c r="S945" s="18">
        <f t="shared" ca="1" si="190"/>
        <v>47.88</v>
      </c>
      <c r="T945" s="19">
        <f t="shared" ca="1" si="191"/>
        <v>-88.920000000000016</v>
      </c>
      <c r="U945" s="16">
        <f>IFERROR(SUMIF('LISTA DE EMBARQUE'!B:B,MICRO!E:E,'LISTA DE EMBARQUE'!G:G),"")</f>
        <v>0</v>
      </c>
      <c r="V945" s="12" t="str">
        <f>IFERROR(VLOOKUP(Tabela1[[#This Row],[COD.MDE]],'LISTA DE EMBARQUE'!B:L,11,0),"")</f>
        <v/>
      </c>
      <c r="W945" s="13" t="str">
        <f>IFERROR(VLOOKUP(Tabela1[[#This Row],[COD.MDE]],'LISTA DE EMBARQUE'!B:M,12,0),"")</f>
        <v/>
      </c>
      <c r="X945" s="14">
        <f ca="1">IFERROR(Tabela1[[#This Row],[QIANTIDADE EXPEDIDA]]*Tabela1[[#This Row],[PESO UNI]],"")</f>
        <v>0</v>
      </c>
      <c r="Y945" s="14">
        <f t="shared" ca="1" si="192"/>
        <v>-4</v>
      </c>
      <c r="Z945" s="20">
        <f ca="1">Tabela1[[#This Row],[PESO TOTAL]]-Tabela1[[#This Row],[Peso Expedido]]</f>
        <v>136.80000000000001</v>
      </c>
      <c r="AA945" s="17">
        <v>1</v>
      </c>
      <c r="AB945" s="33"/>
      <c r="AC945" s="33">
        <v>1</v>
      </c>
      <c r="AD945" s="33">
        <v>0.7</v>
      </c>
      <c r="AE945" s="33">
        <v>0.7</v>
      </c>
      <c r="AF945" s="33">
        <v>0.4</v>
      </c>
      <c r="AG945" s="33">
        <v>0.35</v>
      </c>
      <c r="AH945" s="33"/>
      <c r="AI945" s="33"/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hidden="1" customHeight="1" x14ac:dyDescent="0.25">
      <c r="A946" s="1" t="s">
        <v>5128</v>
      </c>
      <c r="B946" s="21" t="s">
        <v>5129</v>
      </c>
      <c r="C946" s="1">
        <v>2</v>
      </c>
      <c r="D946" s="1" t="s">
        <v>5134</v>
      </c>
      <c r="E946" s="7">
        <v>4573</v>
      </c>
      <c r="F946" s="7">
        <v>58</v>
      </c>
      <c r="G946" s="1">
        <v>29.36</v>
      </c>
      <c r="H946" s="34">
        <f ca="1">Tabela1[[#This Row],[PESO UNI]]*Tabela1[[#This Row],[QTE]]</f>
        <v>58.72</v>
      </c>
      <c r="I946" s="7">
        <v>0</v>
      </c>
      <c r="J946" s="8" t="s">
        <v>3045</v>
      </c>
      <c r="K946" s="8" t="s">
        <v>4320</v>
      </c>
      <c r="L946" s="9" t="s">
        <v>2984</v>
      </c>
      <c r="M946" s="10">
        <v>46251</v>
      </c>
      <c r="N946" s="8" t="s">
        <v>5105</v>
      </c>
      <c r="O946" s="12"/>
      <c r="P946" s="13"/>
      <c r="Q946" s="14">
        <f ca="1">Tabela1[[#This Row],[QTDE/ Fabricação]]-Tabela1[[#This Row],[QTE]]</f>
        <v>-2</v>
      </c>
      <c r="R946" s="18">
        <f t="shared" ca="1" si="189"/>
        <v>49.031199999999998</v>
      </c>
      <c r="S946" s="18">
        <f t="shared" ca="1" si="190"/>
        <v>20.552</v>
      </c>
      <c r="T946" s="19">
        <f t="shared" ca="1" si="191"/>
        <v>-38.167999999999999</v>
      </c>
      <c r="U946" s="16">
        <f>IFERROR(SUMIF('LISTA DE EMBARQUE'!B:B,MICRO!E:E,'LISTA DE EMBARQUE'!G:G),"")</f>
        <v>0</v>
      </c>
      <c r="V946" s="12" t="str">
        <f>IFERROR(VLOOKUP(Tabela1[[#This Row],[COD.MDE]],'LISTA DE EMBARQUE'!B:L,11,0),"")</f>
        <v/>
      </c>
      <c r="W946" s="13" t="str">
        <f>IFERROR(VLOOKUP(Tabela1[[#This Row],[COD.MDE]],'LISTA DE EMBARQUE'!B:M,12,0),"")</f>
        <v/>
      </c>
      <c r="X946" s="14">
        <f ca="1">IFERROR(Tabela1[[#This Row],[QIANTIDADE EXPEDIDA]]*Tabela1[[#This Row],[PESO UNI]],"")</f>
        <v>0</v>
      </c>
      <c r="Y946" s="14">
        <f t="shared" ca="1" si="192"/>
        <v>-2</v>
      </c>
      <c r="Z946" s="20">
        <f ca="1">Tabela1[[#This Row],[PESO TOTAL]]-Tabela1[[#This Row],[Peso Expedido]]</f>
        <v>58.72</v>
      </c>
      <c r="AA946" s="17">
        <v>1</v>
      </c>
      <c r="AB946" s="33"/>
      <c r="AC946" s="33">
        <v>1</v>
      </c>
      <c r="AD946" s="33">
        <v>0.7</v>
      </c>
      <c r="AE946" s="33">
        <v>0.7</v>
      </c>
      <c r="AF946" s="33">
        <v>0.4</v>
      </c>
      <c r="AG946" s="33">
        <v>0.35</v>
      </c>
      <c r="AH946" s="33"/>
      <c r="AI946" s="33"/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hidden="1" customHeight="1" x14ac:dyDescent="0.25">
      <c r="A947" s="1" t="s">
        <v>5128</v>
      </c>
      <c r="B947" s="21" t="s">
        <v>5129</v>
      </c>
      <c r="C947" s="1">
        <v>2</v>
      </c>
      <c r="D947" s="1" t="s">
        <v>5135</v>
      </c>
      <c r="E947" s="7">
        <v>4574</v>
      </c>
      <c r="F947" s="7">
        <v>58</v>
      </c>
      <c r="G947" s="1">
        <v>27.46</v>
      </c>
      <c r="H947" s="34">
        <f ca="1">Tabela1[[#This Row],[PESO UNI]]*Tabela1[[#This Row],[QTE]]</f>
        <v>54.92</v>
      </c>
      <c r="I947" s="7">
        <v>0</v>
      </c>
      <c r="J947" s="8" t="s">
        <v>3045</v>
      </c>
      <c r="K947" s="8" t="s">
        <v>4320</v>
      </c>
      <c r="L947" s="9" t="s">
        <v>2984</v>
      </c>
      <c r="M947" s="10">
        <v>46251</v>
      </c>
      <c r="N947" s="8" t="s">
        <v>5105</v>
      </c>
      <c r="O947" s="12"/>
      <c r="P947" s="13"/>
      <c r="Q947" s="14">
        <f ca="1">Tabela1[[#This Row],[QTDE/ Fabricação]]-Tabela1[[#This Row],[QTE]]</f>
        <v>-2</v>
      </c>
      <c r="R947" s="18">
        <f t="shared" ca="1" si="189"/>
        <v>45.858199999999997</v>
      </c>
      <c r="S947" s="18">
        <f t="shared" ca="1" si="190"/>
        <v>19.221999999999998</v>
      </c>
      <c r="T947" s="19">
        <f t="shared" ca="1" si="191"/>
        <v>-35.698000000000008</v>
      </c>
      <c r="U947" s="16">
        <f>IFERROR(SUMIF('LISTA DE EMBARQUE'!B:B,MICRO!E:E,'LISTA DE EMBARQUE'!G:G),"")</f>
        <v>0</v>
      </c>
      <c r="V947" s="12" t="str">
        <f>IFERROR(VLOOKUP(Tabela1[[#This Row],[COD.MDE]],'LISTA DE EMBARQUE'!B:L,11,0),"")</f>
        <v/>
      </c>
      <c r="W947" s="13" t="str">
        <f>IFERROR(VLOOKUP(Tabela1[[#This Row],[COD.MDE]],'LISTA DE EMBARQUE'!B:M,12,0),"")</f>
        <v/>
      </c>
      <c r="X947" s="14">
        <f ca="1">IFERROR(Tabela1[[#This Row],[QIANTIDADE EXPEDIDA]]*Tabela1[[#This Row],[PESO UNI]],"")</f>
        <v>0</v>
      </c>
      <c r="Y947" s="14">
        <f t="shared" ca="1" si="192"/>
        <v>-2</v>
      </c>
      <c r="Z947" s="20">
        <f ca="1">Tabela1[[#This Row],[PESO TOTAL]]-Tabela1[[#This Row],[Peso Expedido]]</f>
        <v>54.92</v>
      </c>
      <c r="AA947" s="17">
        <v>1</v>
      </c>
      <c r="AB947" s="33"/>
      <c r="AC947" s="33">
        <v>1</v>
      </c>
      <c r="AD947" s="33">
        <v>0.7</v>
      </c>
      <c r="AE947" s="33">
        <v>0.7</v>
      </c>
      <c r="AF947" s="33">
        <v>0.4</v>
      </c>
      <c r="AG947" s="33">
        <v>0.35</v>
      </c>
      <c r="AH947" s="33"/>
      <c r="AI947" s="33"/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hidden="1" customHeight="1" x14ac:dyDescent="0.25">
      <c r="A948" s="1" t="s">
        <v>5128</v>
      </c>
      <c r="B948" s="21" t="s">
        <v>5129</v>
      </c>
      <c r="C948" s="1">
        <v>2</v>
      </c>
      <c r="D948" s="1" t="s">
        <v>5137</v>
      </c>
      <c r="E948" s="7">
        <v>4575</v>
      </c>
      <c r="F948" s="7">
        <v>58</v>
      </c>
      <c r="G948" s="1">
        <v>71.62</v>
      </c>
      <c r="H948" s="34">
        <f ca="1">Tabela1[[#This Row],[PESO UNI]]*Tabela1[[#This Row],[QTE]]</f>
        <v>143.24</v>
      </c>
      <c r="I948" s="7">
        <v>0</v>
      </c>
      <c r="J948" s="8" t="s">
        <v>3045</v>
      </c>
      <c r="K948" s="8" t="s">
        <v>4320</v>
      </c>
      <c r="L948" s="9" t="s">
        <v>2984</v>
      </c>
      <c r="M948" s="10">
        <v>46251</v>
      </c>
      <c r="N948" s="8" t="s">
        <v>5105</v>
      </c>
      <c r="O948" s="12"/>
      <c r="P948" s="13"/>
      <c r="Q948" s="14">
        <f ca="1">Tabela1[[#This Row],[QTDE/ Fabricação]]-Tabela1[[#This Row],[QTE]]</f>
        <v>-2</v>
      </c>
      <c r="R948" s="18">
        <f t="shared" ca="1" si="189"/>
        <v>119.6054</v>
      </c>
      <c r="S948" s="18">
        <f t="shared" ca="1" si="190"/>
        <v>50.134</v>
      </c>
      <c r="T948" s="19">
        <f t="shared" ca="1" si="191"/>
        <v>-93.106000000000009</v>
      </c>
      <c r="U948" s="16">
        <f>IFERROR(SUMIF('LISTA DE EMBARQUE'!B:B,MICRO!E:E,'LISTA DE EMBARQUE'!G:G),"")</f>
        <v>0</v>
      </c>
      <c r="V948" s="12" t="str">
        <f>IFERROR(VLOOKUP(Tabela1[[#This Row],[COD.MDE]],'LISTA DE EMBARQUE'!B:L,11,0),"")</f>
        <v/>
      </c>
      <c r="W948" s="13" t="str">
        <f>IFERROR(VLOOKUP(Tabela1[[#This Row],[COD.MDE]],'LISTA DE EMBARQUE'!B:M,12,0),"")</f>
        <v/>
      </c>
      <c r="X948" s="14">
        <f ca="1">IFERROR(Tabela1[[#This Row],[QIANTIDADE EXPEDIDA]]*Tabela1[[#This Row],[PESO UNI]],"")</f>
        <v>0</v>
      </c>
      <c r="Y948" s="14">
        <f t="shared" ca="1" si="192"/>
        <v>-2</v>
      </c>
      <c r="Z948" s="20">
        <f ca="1">Tabela1[[#This Row],[PESO TOTAL]]-Tabela1[[#This Row],[Peso Expedido]]</f>
        <v>143.24</v>
      </c>
      <c r="AA948" s="17">
        <v>1</v>
      </c>
      <c r="AB948" s="33"/>
      <c r="AC948" s="33">
        <v>1</v>
      </c>
      <c r="AD948" s="33">
        <v>0.7</v>
      </c>
      <c r="AE948" s="33">
        <v>0.7</v>
      </c>
      <c r="AF948" s="33">
        <v>0.4</v>
      </c>
      <c r="AG948" s="33">
        <v>0.35</v>
      </c>
      <c r="AH948" s="33"/>
      <c r="AI948" s="33"/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hidden="1" customHeight="1" x14ac:dyDescent="0.25">
      <c r="A949" s="1" t="s">
        <v>5128</v>
      </c>
      <c r="B949" s="21" t="s">
        <v>5129</v>
      </c>
      <c r="C949" s="1">
        <v>2</v>
      </c>
      <c r="D949" s="1" t="s">
        <v>5136</v>
      </c>
      <c r="E949" s="7">
        <v>4576</v>
      </c>
      <c r="F949" s="7">
        <v>58</v>
      </c>
      <c r="G949" s="1">
        <v>82.73</v>
      </c>
      <c r="H949" s="34">
        <f ca="1">Tabela1[[#This Row],[PESO UNI]]*Tabela1[[#This Row],[QTE]]</f>
        <v>165.46</v>
      </c>
      <c r="I949" s="7">
        <v>0</v>
      </c>
      <c r="J949" s="8" t="s">
        <v>3045</v>
      </c>
      <c r="K949" s="8" t="s">
        <v>4320</v>
      </c>
      <c r="L949" s="9" t="s">
        <v>2984</v>
      </c>
      <c r="M949" s="10">
        <v>46251</v>
      </c>
      <c r="N949" s="8" t="s">
        <v>5105</v>
      </c>
      <c r="O949" s="12"/>
      <c r="P949" s="13"/>
      <c r="Q949" s="14">
        <f ca="1">Tabela1[[#This Row],[QTDE/ Fabricação]]-Tabela1[[#This Row],[QTE]]</f>
        <v>-2</v>
      </c>
      <c r="R949" s="18">
        <f t="shared" ca="1" si="189"/>
        <v>138.1591</v>
      </c>
      <c r="S949" s="18">
        <f t="shared" ca="1" si="190"/>
        <v>57.911000000000001</v>
      </c>
      <c r="T949" s="19">
        <f t="shared" ca="1" si="191"/>
        <v>-107.54900000000001</v>
      </c>
      <c r="U949" s="16">
        <f>IFERROR(SUMIF('LISTA DE EMBARQUE'!B:B,MICRO!E:E,'LISTA DE EMBARQUE'!G:G),"")</f>
        <v>0</v>
      </c>
      <c r="V949" s="12" t="str">
        <f>IFERROR(VLOOKUP(Tabela1[[#This Row],[COD.MDE]],'LISTA DE EMBARQUE'!B:L,11,0),"")</f>
        <v/>
      </c>
      <c r="W949" s="13" t="str">
        <f>IFERROR(VLOOKUP(Tabela1[[#This Row],[COD.MDE]],'LISTA DE EMBARQUE'!B:M,12,0),"")</f>
        <v/>
      </c>
      <c r="X949" s="14">
        <f ca="1">IFERROR(Tabela1[[#This Row],[QIANTIDADE EXPEDIDA]]*Tabela1[[#This Row],[PESO UNI]],"")</f>
        <v>0</v>
      </c>
      <c r="Y949" s="14">
        <f t="shared" ca="1" si="192"/>
        <v>-2</v>
      </c>
      <c r="Z949" s="20">
        <f ca="1">Tabela1[[#This Row],[PESO TOTAL]]-Tabela1[[#This Row],[Peso Expedido]]</f>
        <v>165.46</v>
      </c>
      <c r="AA949" s="17">
        <v>1</v>
      </c>
      <c r="AB949" s="33"/>
      <c r="AC949" s="33">
        <v>1</v>
      </c>
      <c r="AD949" s="33">
        <v>0.7</v>
      </c>
      <c r="AE949" s="33">
        <v>0.7</v>
      </c>
      <c r="AF949" s="33">
        <v>0.4</v>
      </c>
      <c r="AG949" s="33">
        <v>0.35</v>
      </c>
      <c r="AH949" s="33"/>
      <c r="AI949" s="33"/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hidden="1" customHeight="1" x14ac:dyDescent="0.25">
      <c r="A950" s="1" t="s">
        <v>5138</v>
      </c>
      <c r="B950" s="21" t="s">
        <v>5139</v>
      </c>
      <c r="C950" s="1">
        <v>1</v>
      </c>
      <c r="D950" s="1" t="s">
        <v>5140</v>
      </c>
      <c r="E950" s="7">
        <v>4577</v>
      </c>
      <c r="F950" s="7">
        <v>58</v>
      </c>
      <c r="G950" s="1">
        <v>92.27</v>
      </c>
      <c r="H950" s="34">
        <f ca="1">Tabela1[[#This Row],[PESO UNI]]*Tabela1[[#This Row],[QTE]]</f>
        <v>92.27</v>
      </c>
      <c r="I950" s="7">
        <v>0</v>
      </c>
      <c r="J950" s="8" t="s">
        <v>3045</v>
      </c>
      <c r="K950" s="8" t="s">
        <v>4320</v>
      </c>
      <c r="L950" s="9" t="s">
        <v>2984</v>
      </c>
      <c r="M950" s="10">
        <v>46251</v>
      </c>
      <c r="N950" s="8" t="s">
        <v>5105</v>
      </c>
      <c r="O950" s="12"/>
      <c r="P950" s="13"/>
      <c r="Q950" s="14">
        <f ca="1">Tabela1[[#This Row],[QTDE/ Fabricação]]-Tabela1[[#This Row],[QTE]]</f>
        <v>-1</v>
      </c>
      <c r="R950" s="18">
        <f t="shared" ca="1" si="189"/>
        <v>77.045449999999988</v>
      </c>
      <c r="S950" s="18">
        <f t="shared" ca="1" si="190"/>
        <v>32.294499999999999</v>
      </c>
      <c r="T950" s="19">
        <f t="shared" ca="1" si="191"/>
        <v>-59.975499999999997</v>
      </c>
      <c r="U950" s="16">
        <f>IFERROR(SUMIF('LISTA DE EMBARQUE'!B:B,MICRO!E:E,'LISTA DE EMBARQUE'!G:G),"")</f>
        <v>0</v>
      </c>
      <c r="V950" s="12" t="str">
        <f>IFERROR(VLOOKUP(Tabela1[[#This Row],[COD.MDE]],'LISTA DE EMBARQUE'!B:L,11,0),"")</f>
        <v/>
      </c>
      <c r="W950" s="13" t="str">
        <f>IFERROR(VLOOKUP(Tabela1[[#This Row],[COD.MDE]],'LISTA DE EMBARQUE'!B:M,12,0),"")</f>
        <v/>
      </c>
      <c r="X950" s="14">
        <f ca="1">IFERROR(Tabela1[[#This Row],[QIANTIDADE EXPEDIDA]]*Tabela1[[#This Row],[PESO UNI]],"")</f>
        <v>0</v>
      </c>
      <c r="Y950" s="14">
        <f t="shared" ca="1" si="192"/>
        <v>-1</v>
      </c>
      <c r="Z950" s="20">
        <f ca="1">Tabela1[[#This Row],[PESO TOTAL]]-Tabela1[[#This Row],[Peso Expedido]]</f>
        <v>92.27</v>
      </c>
      <c r="AA950" s="17">
        <v>1</v>
      </c>
      <c r="AB950" s="33"/>
      <c r="AC950" s="33">
        <v>1</v>
      </c>
      <c r="AD950" s="33">
        <v>0.7</v>
      </c>
      <c r="AE950" s="33">
        <v>0.7</v>
      </c>
      <c r="AF950" s="33">
        <v>0.4</v>
      </c>
      <c r="AG950" s="33">
        <v>0.35</v>
      </c>
      <c r="AH950" s="33"/>
      <c r="AI950" s="33"/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hidden="1" customHeight="1" x14ac:dyDescent="0.25">
      <c r="A951" s="1" t="s">
        <v>5138</v>
      </c>
      <c r="B951" s="21" t="s">
        <v>5139</v>
      </c>
      <c r="C951" s="1">
        <v>1</v>
      </c>
      <c r="D951" s="1" t="s">
        <v>5141</v>
      </c>
      <c r="E951" s="7">
        <v>4578</v>
      </c>
      <c r="F951" s="7">
        <v>58</v>
      </c>
      <c r="G951" s="1">
        <v>93.32</v>
      </c>
      <c r="H951" s="34">
        <f ca="1">Tabela1[[#This Row],[PESO UNI]]*Tabela1[[#This Row],[QTE]]</f>
        <v>93.32</v>
      </c>
      <c r="I951" s="7">
        <v>0</v>
      </c>
      <c r="J951" s="8" t="s">
        <v>3045</v>
      </c>
      <c r="K951" s="8" t="s">
        <v>4320</v>
      </c>
      <c r="L951" s="9" t="s">
        <v>2984</v>
      </c>
      <c r="M951" s="10">
        <v>46251</v>
      </c>
      <c r="N951" s="8" t="s">
        <v>5105</v>
      </c>
      <c r="O951" s="12"/>
      <c r="P951" s="13"/>
      <c r="Q951" s="14">
        <f ca="1">Tabela1[[#This Row],[QTDE/ Fabricação]]-Tabela1[[#This Row],[QTE]]</f>
        <v>-1</v>
      </c>
      <c r="R951" s="18">
        <f t="shared" ca="1" si="189"/>
        <v>77.922199999999989</v>
      </c>
      <c r="S951" s="18">
        <f t="shared" ca="1" si="190"/>
        <v>32.661999999999999</v>
      </c>
      <c r="T951" s="19">
        <f t="shared" ca="1" si="191"/>
        <v>-60.657999999999994</v>
      </c>
      <c r="U951" s="16">
        <f>IFERROR(SUMIF('LISTA DE EMBARQUE'!B:B,MICRO!E:E,'LISTA DE EMBARQUE'!G:G),"")</f>
        <v>0</v>
      </c>
      <c r="V951" s="12" t="str">
        <f>IFERROR(VLOOKUP(Tabela1[[#This Row],[COD.MDE]],'LISTA DE EMBARQUE'!B:L,11,0),"")</f>
        <v/>
      </c>
      <c r="W951" s="13" t="str">
        <f>IFERROR(VLOOKUP(Tabela1[[#This Row],[COD.MDE]],'LISTA DE EMBARQUE'!B:M,12,0),"")</f>
        <v/>
      </c>
      <c r="X951" s="14">
        <f ca="1">IFERROR(Tabela1[[#This Row],[QIANTIDADE EXPEDIDA]]*Tabela1[[#This Row],[PESO UNI]],"")</f>
        <v>0</v>
      </c>
      <c r="Y951" s="14">
        <f t="shared" ca="1" si="192"/>
        <v>-1</v>
      </c>
      <c r="Z951" s="20">
        <f ca="1">Tabela1[[#This Row],[PESO TOTAL]]-Tabela1[[#This Row],[Peso Expedido]]</f>
        <v>93.32</v>
      </c>
      <c r="AA951" s="17">
        <v>1</v>
      </c>
      <c r="AB951" s="33"/>
      <c r="AC951" s="33">
        <v>1</v>
      </c>
      <c r="AD951" s="33">
        <v>0.7</v>
      </c>
      <c r="AE951" s="33">
        <v>0.7</v>
      </c>
      <c r="AF951" s="33">
        <v>0.4</v>
      </c>
      <c r="AG951" s="33">
        <v>0.35</v>
      </c>
      <c r="AH951" s="33"/>
      <c r="AI951" s="33"/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hidden="1" customHeight="1" x14ac:dyDescent="0.25">
      <c r="A952" s="1" t="s">
        <v>5138</v>
      </c>
      <c r="B952" s="21" t="s">
        <v>5139</v>
      </c>
      <c r="C952" s="1">
        <v>1</v>
      </c>
      <c r="D952" s="1" t="s">
        <v>5142</v>
      </c>
      <c r="E952" s="7">
        <v>4579</v>
      </c>
      <c r="F952" s="7">
        <v>58</v>
      </c>
      <c r="G952" s="1">
        <v>60.64</v>
      </c>
      <c r="H952" s="34">
        <f ca="1">Tabela1[[#This Row],[PESO UNI]]*Tabela1[[#This Row],[QTE]]</f>
        <v>60.64</v>
      </c>
      <c r="I952" s="7">
        <v>0</v>
      </c>
      <c r="J952" s="8" t="s">
        <v>3045</v>
      </c>
      <c r="K952" s="8" t="s">
        <v>4320</v>
      </c>
      <c r="L952" s="9" t="s">
        <v>2984</v>
      </c>
      <c r="M952" s="10">
        <v>46251</v>
      </c>
      <c r="N952" s="8" t="s">
        <v>5105</v>
      </c>
      <c r="O952" s="12"/>
      <c r="P952" s="13"/>
      <c r="Q952" s="14">
        <f ca="1">Tabela1[[#This Row],[QTDE/ Fabricação]]-Tabela1[[#This Row],[QTE]]</f>
        <v>-1</v>
      </c>
      <c r="R952" s="18">
        <f t="shared" ca="1" si="189"/>
        <v>50.634399999999999</v>
      </c>
      <c r="S952" s="18">
        <f t="shared" ca="1" si="190"/>
        <v>21.224</v>
      </c>
      <c r="T952" s="19">
        <f t="shared" ca="1" si="191"/>
        <v>-39.415999999999997</v>
      </c>
      <c r="U952" s="16">
        <f>IFERROR(SUMIF('LISTA DE EMBARQUE'!B:B,MICRO!E:E,'LISTA DE EMBARQUE'!G:G),"")</f>
        <v>0</v>
      </c>
      <c r="V952" s="12" t="str">
        <f>IFERROR(VLOOKUP(Tabela1[[#This Row],[COD.MDE]],'LISTA DE EMBARQUE'!B:L,11,0),"")</f>
        <v/>
      </c>
      <c r="W952" s="13" t="str">
        <f>IFERROR(VLOOKUP(Tabela1[[#This Row],[COD.MDE]],'LISTA DE EMBARQUE'!B:M,12,0),"")</f>
        <v/>
      </c>
      <c r="X952" s="14">
        <f ca="1">IFERROR(Tabela1[[#This Row],[QIANTIDADE EXPEDIDA]]*Tabela1[[#This Row],[PESO UNI]],"")</f>
        <v>0</v>
      </c>
      <c r="Y952" s="14">
        <f t="shared" ca="1" si="192"/>
        <v>-1</v>
      </c>
      <c r="Z952" s="20">
        <f ca="1">Tabela1[[#This Row],[PESO TOTAL]]-Tabela1[[#This Row],[Peso Expedido]]</f>
        <v>60.64</v>
      </c>
      <c r="AA952" s="17">
        <v>1</v>
      </c>
      <c r="AB952" s="33"/>
      <c r="AC952" s="33">
        <v>1</v>
      </c>
      <c r="AD952" s="33">
        <v>0.7</v>
      </c>
      <c r="AE952" s="33">
        <v>0.7</v>
      </c>
      <c r="AF952" s="33">
        <v>0.4</v>
      </c>
      <c r="AG952" s="33">
        <v>0.35</v>
      </c>
      <c r="AH952" s="33"/>
      <c r="AI952" s="33"/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hidden="1" customHeight="1" x14ac:dyDescent="0.25">
      <c r="A953" s="1" t="s">
        <v>5138</v>
      </c>
      <c r="B953" s="21" t="s">
        <v>5139</v>
      </c>
      <c r="C953" s="1">
        <v>2</v>
      </c>
      <c r="D953" s="1" t="s">
        <v>5143</v>
      </c>
      <c r="E953" s="7">
        <v>4580</v>
      </c>
      <c r="F953" s="7">
        <v>58</v>
      </c>
      <c r="G953" s="1">
        <v>91.98</v>
      </c>
      <c r="H953" s="34">
        <f ca="1">Tabela1[[#This Row],[PESO UNI]]*Tabela1[[#This Row],[QTE]]</f>
        <v>183.96</v>
      </c>
      <c r="I953" s="7">
        <v>0</v>
      </c>
      <c r="J953" s="8" t="s">
        <v>3045</v>
      </c>
      <c r="K953" s="8" t="s">
        <v>4320</v>
      </c>
      <c r="L953" s="9" t="s">
        <v>2984</v>
      </c>
      <c r="M953" s="10">
        <v>46251</v>
      </c>
      <c r="N953" s="8" t="s">
        <v>5105</v>
      </c>
      <c r="O953" s="12"/>
      <c r="P953" s="13"/>
      <c r="Q953" s="14">
        <f ca="1">Tabela1[[#This Row],[QTDE/ Fabricação]]-Tabela1[[#This Row],[QTE]]</f>
        <v>-2</v>
      </c>
      <c r="R953" s="18" t="str">
        <f ca="1">IFERROR(H953*((AA953*0.25)+(#REF!*0.25)+(#REF!*0.225)+(#REF!*0.225)+(#REF!*0.05)),"")</f>
        <v/>
      </c>
      <c r="S953" s="18" t="str">
        <f ca="1">IFERROR(H953*#REF!,"")</f>
        <v/>
      </c>
      <c r="T953" s="19" t="str">
        <f t="shared" ca="1" si="191"/>
        <v/>
      </c>
      <c r="U953" s="16">
        <f>IFERROR(SUMIF('LISTA DE EMBARQUE'!B:B,MICRO!E:E,'LISTA DE EMBARQUE'!G:G),"")</f>
        <v>0</v>
      </c>
      <c r="V953" s="12" t="str">
        <f>IFERROR(VLOOKUP(Tabela1[[#This Row],[COD.MDE]],'LISTA DE EMBARQUE'!B:L,11,0),"")</f>
        <v/>
      </c>
      <c r="W953" s="13" t="str">
        <f>IFERROR(VLOOKUP(Tabela1[[#This Row],[COD.MDE]],'LISTA DE EMBARQUE'!B:M,12,0),"")</f>
        <v/>
      </c>
      <c r="X953" s="14">
        <f ca="1">IFERROR(Tabela1[[#This Row],[QIANTIDADE EXPEDIDA]]*Tabela1[[#This Row],[PESO UNI]],"")</f>
        <v>0</v>
      </c>
      <c r="Y953" s="14">
        <f t="shared" ca="1" si="192"/>
        <v>-2</v>
      </c>
      <c r="Z953" s="20">
        <f ca="1">Tabela1[[#This Row],[PESO TOTAL]]-Tabela1[[#This Row],[Peso Expedido]]</f>
        <v>183.96</v>
      </c>
      <c r="AA953" s="17">
        <v>1</v>
      </c>
      <c r="AB953" s="33"/>
      <c r="AC953" s="33">
        <v>1</v>
      </c>
      <c r="AD953" s="33">
        <v>0.7</v>
      </c>
      <c r="AE953" s="33">
        <v>0.7</v>
      </c>
      <c r="AF953" s="33">
        <v>0.4</v>
      </c>
      <c r="AG953" s="33">
        <v>0.35</v>
      </c>
      <c r="AH953" s="33"/>
      <c r="AI953" s="33"/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hidden="1" customHeight="1" x14ac:dyDescent="0.25">
      <c r="A954" s="1" t="s">
        <v>5138</v>
      </c>
      <c r="B954" s="21" t="s">
        <v>5139</v>
      </c>
      <c r="C954" s="1">
        <v>1</v>
      </c>
      <c r="D954" s="1" t="s">
        <v>5144</v>
      </c>
      <c r="E954" s="7">
        <v>4581</v>
      </c>
      <c r="F954" s="7">
        <v>58</v>
      </c>
      <c r="G954" s="1">
        <v>26.04</v>
      </c>
      <c r="H954" s="34">
        <f ca="1">Tabela1[[#This Row],[PESO UNI]]*Tabela1[[#This Row],[QTE]]</f>
        <v>26.04</v>
      </c>
      <c r="I954" s="7">
        <v>0</v>
      </c>
      <c r="J954" s="8" t="s">
        <v>3045</v>
      </c>
      <c r="K954" s="8" t="s">
        <v>4320</v>
      </c>
      <c r="L954" s="9" t="s">
        <v>2984</v>
      </c>
      <c r="M954" s="10">
        <v>46251</v>
      </c>
      <c r="N954" s="8" t="s">
        <v>5105</v>
      </c>
      <c r="O954" s="12"/>
      <c r="P954" s="13"/>
      <c r="Q954" s="14">
        <f ca="1">Tabela1[[#This Row],[QTDE/ Fabricação]]-Tabela1[[#This Row],[QTE]]</f>
        <v>-1</v>
      </c>
      <c r="R954" s="18">
        <f ca="1">IFERROR(H954*((AA954*0.25)+(AC953*0.25)+(AD953*0.225)+(AE953*0.225)+(AF953*0.05)),"")</f>
        <v>21.743399999999998</v>
      </c>
      <c r="S954" s="18">
        <f ca="1">IFERROR(H954*AG953,"")</f>
        <v>9.113999999999999</v>
      </c>
      <c r="T954" s="19">
        <f t="shared" ca="1" si="191"/>
        <v>-16.926000000000002</v>
      </c>
      <c r="U954" s="16">
        <f>IFERROR(SUMIF('LISTA DE EMBARQUE'!B:B,MICRO!E:E,'LISTA DE EMBARQUE'!G:G),"")</f>
        <v>0</v>
      </c>
      <c r="V954" s="12" t="str">
        <f>IFERROR(VLOOKUP(Tabela1[[#This Row],[COD.MDE]],'LISTA DE EMBARQUE'!B:L,11,0),"")</f>
        <v/>
      </c>
      <c r="W954" s="13" t="str">
        <f>IFERROR(VLOOKUP(Tabela1[[#This Row],[COD.MDE]],'LISTA DE EMBARQUE'!B:M,12,0),"")</f>
        <v/>
      </c>
      <c r="X954" s="14">
        <f ca="1">IFERROR(Tabela1[[#This Row],[QIANTIDADE EXPEDIDA]]*Tabela1[[#This Row],[PESO UNI]],"")</f>
        <v>0</v>
      </c>
      <c r="Y954" s="14">
        <f t="shared" ca="1" si="192"/>
        <v>-1</v>
      </c>
      <c r="Z954" s="20">
        <f ca="1">Tabela1[[#This Row],[PESO TOTAL]]-Tabela1[[#This Row],[Peso Expedido]]</f>
        <v>26.04</v>
      </c>
      <c r="AA954" s="17">
        <v>1</v>
      </c>
      <c r="AB954" s="33"/>
      <c r="AC954" s="33">
        <v>1</v>
      </c>
      <c r="AD954" s="33">
        <v>0.7</v>
      </c>
      <c r="AE954" s="33">
        <v>0.7</v>
      </c>
      <c r="AF954" s="33">
        <v>0.4</v>
      </c>
      <c r="AG954" s="33">
        <v>0.35</v>
      </c>
      <c r="AH954" s="33"/>
      <c r="AI954" s="33"/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hidden="1" customHeight="1" x14ac:dyDescent="0.25">
      <c r="A955" s="1" t="s">
        <v>5138</v>
      </c>
      <c r="B955" s="21" t="s">
        <v>5139</v>
      </c>
      <c r="C955" s="1">
        <v>1</v>
      </c>
      <c r="D955" s="1" t="s">
        <v>5145</v>
      </c>
      <c r="E955" s="7">
        <v>4582</v>
      </c>
      <c r="F955" s="7">
        <v>58</v>
      </c>
      <c r="G955" s="1">
        <v>26.04</v>
      </c>
      <c r="H955" s="34">
        <f ca="1">Tabela1[[#This Row],[PESO UNI]]*Tabela1[[#This Row],[QTE]]</f>
        <v>26.04</v>
      </c>
      <c r="I955" s="7">
        <v>0</v>
      </c>
      <c r="J955" s="8" t="s">
        <v>3045</v>
      </c>
      <c r="K955" s="8" t="s">
        <v>4320</v>
      </c>
      <c r="L955" s="9" t="s">
        <v>2984</v>
      </c>
      <c r="M955" s="10">
        <v>46251</v>
      </c>
      <c r="N955" s="8" t="s">
        <v>5105</v>
      </c>
      <c r="O955" s="12"/>
      <c r="P955" s="13"/>
      <c r="Q955" s="14">
        <f ca="1">Tabela1[[#This Row],[QTDE/ Fabricação]]-Tabela1[[#This Row],[QTE]]</f>
        <v>-1</v>
      </c>
      <c r="R955" s="18">
        <f t="shared" ca="1" si="189"/>
        <v>21.743399999999998</v>
      </c>
      <c r="S955" s="18">
        <f t="shared" ca="1" si="190"/>
        <v>9.113999999999999</v>
      </c>
      <c r="T955" s="19">
        <f t="shared" ca="1" si="191"/>
        <v>-16.926000000000002</v>
      </c>
      <c r="U955" s="16">
        <f>IFERROR(SUMIF('LISTA DE EMBARQUE'!B:B,MICRO!E:E,'LISTA DE EMBARQUE'!G:G),"")</f>
        <v>0</v>
      </c>
      <c r="V955" s="12" t="str">
        <f>IFERROR(VLOOKUP(Tabela1[[#This Row],[COD.MDE]],'LISTA DE EMBARQUE'!B:L,11,0),"")</f>
        <v/>
      </c>
      <c r="W955" s="13" t="str">
        <f>IFERROR(VLOOKUP(Tabela1[[#This Row],[COD.MDE]],'LISTA DE EMBARQUE'!B:M,12,0),"")</f>
        <v/>
      </c>
      <c r="X955" s="14">
        <f ca="1">IFERROR(Tabela1[[#This Row],[QIANTIDADE EXPEDIDA]]*Tabela1[[#This Row],[PESO UNI]],"")</f>
        <v>0</v>
      </c>
      <c r="Y955" s="14">
        <f t="shared" ca="1" si="192"/>
        <v>-1</v>
      </c>
      <c r="Z955" s="20">
        <f ca="1">Tabela1[[#This Row],[PESO TOTAL]]-Tabela1[[#This Row],[Peso Expedido]]</f>
        <v>26.04</v>
      </c>
      <c r="AA955" s="17">
        <v>1</v>
      </c>
      <c r="AB955" s="33"/>
      <c r="AC955" s="33">
        <v>1</v>
      </c>
      <c r="AD955" s="33">
        <v>0.7</v>
      </c>
      <c r="AE955" s="33">
        <v>0.7</v>
      </c>
      <c r="AF955" s="33">
        <v>0.4</v>
      </c>
      <c r="AG955" s="33">
        <v>0.35</v>
      </c>
      <c r="AH955" s="33"/>
      <c r="AI955" s="33"/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hidden="1" customHeight="1" x14ac:dyDescent="0.25">
      <c r="A956" s="1" t="s">
        <v>5138</v>
      </c>
      <c r="B956" s="21" t="s">
        <v>5139</v>
      </c>
      <c r="C956" s="1">
        <v>1</v>
      </c>
      <c r="D956" s="1" t="s">
        <v>5146</v>
      </c>
      <c r="E956" s="7">
        <v>4583</v>
      </c>
      <c r="F956" s="7">
        <v>58</v>
      </c>
      <c r="G956" s="1">
        <v>177.93</v>
      </c>
      <c r="H956" s="34">
        <f ca="1">Tabela1[[#This Row],[PESO UNI]]*Tabela1[[#This Row],[QTE]]</f>
        <v>177.93</v>
      </c>
      <c r="I956" s="7">
        <v>0</v>
      </c>
      <c r="J956" s="8" t="s">
        <v>3045</v>
      </c>
      <c r="K956" s="8" t="s">
        <v>4320</v>
      </c>
      <c r="L956" s="9" t="s">
        <v>2984</v>
      </c>
      <c r="M956" s="10">
        <v>46251</v>
      </c>
      <c r="N956" s="8" t="s">
        <v>5105</v>
      </c>
      <c r="O956" s="12"/>
      <c r="P956" s="13"/>
      <c r="Q956" s="14">
        <f ca="1">Tabela1[[#This Row],[QTDE/ Fabricação]]-Tabela1[[#This Row],[QTE]]</f>
        <v>-1</v>
      </c>
      <c r="R956" s="18">
        <f t="shared" ca="1" si="189"/>
        <v>148.57155</v>
      </c>
      <c r="S956" s="18">
        <f t="shared" ca="1" si="190"/>
        <v>62.275500000000001</v>
      </c>
      <c r="T956" s="19">
        <f t="shared" ca="1" si="191"/>
        <v>-115.65450000000001</v>
      </c>
      <c r="U956" s="16">
        <f>IFERROR(SUMIF('LISTA DE EMBARQUE'!B:B,MICRO!E:E,'LISTA DE EMBARQUE'!G:G),"")</f>
        <v>0</v>
      </c>
      <c r="V956" s="12" t="str">
        <f>IFERROR(VLOOKUP(Tabela1[[#This Row],[COD.MDE]],'LISTA DE EMBARQUE'!B:L,11,0),"")</f>
        <v/>
      </c>
      <c r="W956" s="13" t="str">
        <f>IFERROR(VLOOKUP(Tabela1[[#This Row],[COD.MDE]],'LISTA DE EMBARQUE'!B:M,12,0),"")</f>
        <v/>
      </c>
      <c r="X956" s="14">
        <f ca="1">IFERROR(Tabela1[[#This Row],[QIANTIDADE EXPEDIDA]]*Tabela1[[#This Row],[PESO UNI]],"")</f>
        <v>0</v>
      </c>
      <c r="Y956" s="14">
        <f t="shared" ca="1" si="192"/>
        <v>-1</v>
      </c>
      <c r="Z956" s="20">
        <f ca="1">Tabela1[[#This Row],[PESO TOTAL]]-Tabela1[[#This Row],[Peso Expedido]]</f>
        <v>177.93</v>
      </c>
      <c r="AA956" s="17">
        <v>1</v>
      </c>
      <c r="AB956" s="33"/>
      <c r="AC956" s="33">
        <v>1</v>
      </c>
      <c r="AD956" s="33">
        <v>0.7</v>
      </c>
      <c r="AE956" s="33">
        <v>0.7</v>
      </c>
      <c r="AF956" s="33">
        <v>0.4</v>
      </c>
      <c r="AG956" s="33">
        <v>0.35</v>
      </c>
      <c r="AH956" s="33"/>
      <c r="AI956" s="33"/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hidden="1" customHeight="1" x14ac:dyDescent="0.25">
      <c r="A957" s="1" t="s">
        <v>5138</v>
      </c>
      <c r="B957" s="21" t="s">
        <v>5139</v>
      </c>
      <c r="C957" s="1">
        <v>1</v>
      </c>
      <c r="D957" s="1" t="s">
        <v>5147</v>
      </c>
      <c r="E957" s="7">
        <v>4584</v>
      </c>
      <c r="F957" s="7">
        <v>58</v>
      </c>
      <c r="G957" s="1">
        <v>177.93</v>
      </c>
      <c r="H957" s="34">
        <f ca="1">Tabela1[[#This Row],[PESO UNI]]*Tabela1[[#This Row],[QTE]]</f>
        <v>177.93</v>
      </c>
      <c r="I957" s="7">
        <v>0</v>
      </c>
      <c r="J957" s="8" t="s">
        <v>3045</v>
      </c>
      <c r="K957" s="8" t="s">
        <v>4320</v>
      </c>
      <c r="L957" s="9" t="s">
        <v>2984</v>
      </c>
      <c r="M957" s="10">
        <v>46251</v>
      </c>
      <c r="N957" s="8" t="s">
        <v>5105</v>
      </c>
      <c r="O957" s="12"/>
      <c r="P957" s="13"/>
      <c r="Q957" s="14">
        <f ca="1">Tabela1[[#This Row],[QTDE/ Fabricação]]-Tabela1[[#This Row],[QTE]]</f>
        <v>-1</v>
      </c>
      <c r="R957" s="18">
        <f t="shared" ca="1" si="189"/>
        <v>148.57155</v>
      </c>
      <c r="S957" s="18">
        <f t="shared" ca="1" si="190"/>
        <v>62.275500000000001</v>
      </c>
      <c r="T957" s="19">
        <f t="shared" ca="1" si="191"/>
        <v>-115.65450000000001</v>
      </c>
      <c r="U957" s="16">
        <f>IFERROR(SUMIF('LISTA DE EMBARQUE'!B:B,MICRO!E:E,'LISTA DE EMBARQUE'!G:G),"")</f>
        <v>0</v>
      </c>
      <c r="V957" s="12" t="str">
        <f>IFERROR(VLOOKUP(Tabela1[[#This Row],[COD.MDE]],'LISTA DE EMBARQUE'!B:L,11,0),"")</f>
        <v/>
      </c>
      <c r="W957" s="13" t="str">
        <f>IFERROR(VLOOKUP(Tabela1[[#This Row],[COD.MDE]],'LISTA DE EMBARQUE'!B:M,12,0),"")</f>
        <v/>
      </c>
      <c r="X957" s="14">
        <f ca="1">IFERROR(Tabela1[[#This Row],[QIANTIDADE EXPEDIDA]]*Tabela1[[#This Row],[PESO UNI]],"")</f>
        <v>0</v>
      </c>
      <c r="Y957" s="14">
        <f t="shared" ca="1" si="192"/>
        <v>-1</v>
      </c>
      <c r="Z957" s="20">
        <f ca="1">Tabela1[[#This Row],[PESO TOTAL]]-Tabela1[[#This Row],[Peso Expedido]]</f>
        <v>177.93</v>
      </c>
      <c r="AA957" s="17">
        <v>1</v>
      </c>
      <c r="AB957" s="33"/>
      <c r="AC957" s="33">
        <v>1</v>
      </c>
      <c r="AD957" s="33">
        <v>0.7</v>
      </c>
      <c r="AE957" s="33">
        <v>0.7</v>
      </c>
      <c r="AF957" s="33">
        <v>0.4</v>
      </c>
      <c r="AG957" s="33">
        <v>0.35</v>
      </c>
      <c r="AH957" s="33"/>
      <c r="AI957" s="33"/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hidden="1" customHeight="1" x14ac:dyDescent="0.25">
      <c r="A958" s="1" t="s">
        <v>5148</v>
      </c>
      <c r="B958" s="21" t="s">
        <v>5149</v>
      </c>
      <c r="C958" s="1">
        <v>2</v>
      </c>
      <c r="D958" s="1" t="s">
        <v>5150</v>
      </c>
      <c r="E958" s="7">
        <v>4585</v>
      </c>
      <c r="F958" s="7">
        <v>58</v>
      </c>
      <c r="G958" s="1">
        <v>108.4</v>
      </c>
      <c r="H958" s="34">
        <f ca="1">Tabela1[[#This Row],[PESO UNI]]*Tabela1[[#This Row],[QTE]]</f>
        <v>216.8</v>
      </c>
      <c r="I958" s="7">
        <v>0</v>
      </c>
      <c r="J958" s="8" t="s">
        <v>3045</v>
      </c>
      <c r="K958" s="8" t="s">
        <v>4320</v>
      </c>
      <c r="L958" s="9" t="s">
        <v>2984</v>
      </c>
      <c r="M958" s="10">
        <v>46251</v>
      </c>
      <c r="N958" s="8" t="s">
        <v>5105</v>
      </c>
      <c r="O958" s="12"/>
      <c r="P958" s="13"/>
      <c r="Q958" s="14">
        <f ca="1">Tabela1[[#This Row],[QTDE/ Fabricação]]-Tabela1[[#This Row],[QTE]]</f>
        <v>-2</v>
      </c>
      <c r="R958" s="18">
        <f t="shared" ca="1" si="189"/>
        <v>181.02799999999999</v>
      </c>
      <c r="S958" s="18">
        <f t="shared" ca="1" si="190"/>
        <v>75.88</v>
      </c>
      <c r="T958" s="19">
        <f t="shared" ca="1" si="191"/>
        <v>-140.92000000000002</v>
      </c>
      <c r="U958" s="16">
        <f>IFERROR(SUMIF('LISTA DE EMBARQUE'!B:B,MICRO!E:E,'LISTA DE EMBARQUE'!G:G),"")</f>
        <v>0</v>
      </c>
      <c r="V958" s="12" t="str">
        <f>IFERROR(VLOOKUP(Tabela1[[#This Row],[COD.MDE]],'LISTA DE EMBARQUE'!B:L,11,0),"")</f>
        <v/>
      </c>
      <c r="W958" s="13" t="str">
        <f>IFERROR(VLOOKUP(Tabela1[[#This Row],[COD.MDE]],'LISTA DE EMBARQUE'!B:M,12,0),"")</f>
        <v/>
      </c>
      <c r="X958" s="14">
        <f ca="1">IFERROR(Tabela1[[#This Row],[QIANTIDADE EXPEDIDA]]*Tabela1[[#This Row],[PESO UNI]],"")</f>
        <v>0</v>
      </c>
      <c r="Y958" s="14">
        <f t="shared" ca="1" si="192"/>
        <v>-2</v>
      </c>
      <c r="Z958" s="20">
        <f ca="1">Tabela1[[#This Row],[PESO TOTAL]]-Tabela1[[#This Row],[Peso Expedido]]</f>
        <v>216.8</v>
      </c>
      <c r="AA958" s="17">
        <v>1</v>
      </c>
      <c r="AB958" s="33"/>
      <c r="AC958" s="33">
        <v>1</v>
      </c>
      <c r="AD958" s="33">
        <v>0.7</v>
      </c>
      <c r="AE958" s="33">
        <v>0.7</v>
      </c>
      <c r="AF958" s="33">
        <v>0.4</v>
      </c>
      <c r="AG958" s="33">
        <v>0.35</v>
      </c>
      <c r="AH958" s="33"/>
      <c r="AI958" s="33"/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hidden="1" customHeight="1" x14ac:dyDescent="0.25">
      <c r="A959" s="1" t="s">
        <v>5148</v>
      </c>
      <c r="B959" s="21" t="s">
        <v>5149</v>
      </c>
      <c r="C959" s="1">
        <v>2</v>
      </c>
      <c r="D959" s="1" t="s">
        <v>5151</v>
      </c>
      <c r="E959" s="7">
        <v>4586</v>
      </c>
      <c r="F959" s="7">
        <v>58</v>
      </c>
      <c r="G959" s="1">
        <v>111.41</v>
      </c>
      <c r="H959" s="34">
        <f ca="1">Tabela1[[#This Row],[PESO UNI]]*Tabela1[[#This Row],[QTE]]</f>
        <v>222.82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5105</v>
      </c>
      <c r="O959" s="12"/>
      <c r="P959" s="13"/>
      <c r="Q959" s="14">
        <f ca="1">Tabela1[[#This Row],[QTDE/ Fabricação]]-Tabela1[[#This Row],[QTE]]</f>
        <v>-2</v>
      </c>
      <c r="R959" s="18">
        <f t="shared" ca="1" si="189"/>
        <v>186.0547</v>
      </c>
      <c r="S959" s="18">
        <f t="shared" ca="1" si="190"/>
        <v>77.986999999999995</v>
      </c>
      <c r="T959" s="19">
        <f t="shared" ca="1" si="191"/>
        <v>-144.833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 ca="1">IFERROR(Tabela1[[#This Row],[QIANTIDADE EXPEDIDA]]*Tabela1[[#This Row],[PESO UNI]],"")</f>
        <v>0</v>
      </c>
      <c r="Y959" s="14">
        <f t="shared" ca="1" si="192"/>
        <v>-2</v>
      </c>
      <c r="Z959" s="20">
        <f ca="1">Tabela1[[#This Row],[PESO TOTAL]]-Tabela1[[#This Row],[Peso Expedido]]</f>
        <v>222.82</v>
      </c>
      <c r="AA959" s="17">
        <v>1</v>
      </c>
      <c r="AB959" s="33"/>
      <c r="AC959" s="33">
        <v>1</v>
      </c>
      <c r="AD959" s="33">
        <v>0.7</v>
      </c>
      <c r="AE959" s="33">
        <v>0.7</v>
      </c>
      <c r="AF959" s="33">
        <v>0.4</v>
      </c>
      <c r="AG959" s="33">
        <v>0.35</v>
      </c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hidden="1" customHeight="1" x14ac:dyDescent="0.25">
      <c r="A960" s="1" t="s">
        <v>5148</v>
      </c>
      <c r="B960" s="21" t="s">
        <v>5149</v>
      </c>
      <c r="C960" s="1">
        <v>1</v>
      </c>
      <c r="D960" s="1" t="s">
        <v>5152</v>
      </c>
      <c r="E960" s="7">
        <v>4587</v>
      </c>
      <c r="F960" s="7">
        <v>58</v>
      </c>
      <c r="G960" s="1">
        <v>107.64</v>
      </c>
      <c r="H960" s="34">
        <f ca="1">Tabela1[[#This Row],[PESO UNI]]*Tabela1[[#This Row],[QTE]]</f>
        <v>107.64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5105</v>
      </c>
      <c r="O960" s="12"/>
      <c r="P960" s="13"/>
      <c r="Q960" s="14">
        <f ca="1">Tabela1[[#This Row],[QTDE/ Fabricação]]-Tabela1[[#This Row],[QTE]]</f>
        <v>-1</v>
      </c>
      <c r="R960" s="18">
        <f t="shared" ca="1" si="189"/>
        <v>89.87939999999999</v>
      </c>
      <c r="S960" s="18">
        <f t="shared" ca="1" si="190"/>
        <v>37.673999999999999</v>
      </c>
      <c r="T960" s="19">
        <f t="shared" ca="1" si="191"/>
        <v>-69.966000000000008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 ca="1">IFERROR(Tabela1[[#This Row],[QIANTIDADE EXPEDIDA]]*Tabela1[[#This Row],[PESO UNI]],"")</f>
        <v>0</v>
      </c>
      <c r="Y960" s="14">
        <f t="shared" ca="1" si="192"/>
        <v>-1</v>
      </c>
      <c r="Z960" s="20">
        <f ca="1">Tabela1[[#This Row],[PESO TOTAL]]-Tabela1[[#This Row],[Peso Expedido]]</f>
        <v>107.64</v>
      </c>
      <c r="AA960" s="17">
        <v>1</v>
      </c>
      <c r="AB960" s="33"/>
      <c r="AC960" s="33">
        <v>1</v>
      </c>
      <c r="AD960" s="33">
        <v>0.7</v>
      </c>
      <c r="AE960" s="33">
        <v>0.7</v>
      </c>
      <c r="AF960" s="33">
        <v>0.4</v>
      </c>
      <c r="AG960" s="33">
        <v>0.35</v>
      </c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hidden="1" customHeight="1" x14ac:dyDescent="0.25">
      <c r="A961" s="1" t="s">
        <v>5148</v>
      </c>
      <c r="B961" s="21" t="s">
        <v>5149</v>
      </c>
      <c r="C961" s="1">
        <v>2</v>
      </c>
      <c r="D961" s="1" t="s">
        <v>5153</v>
      </c>
      <c r="E961" s="7">
        <v>4588</v>
      </c>
      <c r="F961" s="7">
        <v>58</v>
      </c>
      <c r="G961" s="1">
        <v>148.63999999999999</v>
      </c>
      <c r="H961" s="34">
        <f ca="1">Tabela1[[#This Row],[PESO UNI]]*Tabela1[[#This Row],[QTE]]</f>
        <v>297.27999999999997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5105</v>
      </c>
      <c r="O961" s="12"/>
      <c r="P961" s="13"/>
      <c r="Q961" s="14">
        <f ca="1">Tabela1[[#This Row],[QTDE/ Fabricação]]-Tabela1[[#This Row],[QTE]]</f>
        <v>-2</v>
      </c>
      <c r="R961" s="18">
        <f t="shared" ref="R961:R992" ca="1" si="193">IFERROR(H961*((AA961*0.25)+(AC961*0.25)+(AD961*0.225)+(AE961*0.225)+(AF961*0.05)),"")</f>
        <v>248.22879999999998</v>
      </c>
      <c r="S961" s="18">
        <f t="shared" ref="S961:S992" ca="1" si="194">IFERROR(H961*AG961,"")</f>
        <v>104.04799999999999</v>
      </c>
      <c r="T961" s="19">
        <f t="shared" ref="T961:T992" ca="1" si="195">IFERROR(S961-H961,"")</f>
        <v>-193.23199999999997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 ca="1">IFERROR(Tabela1[[#This Row],[QIANTIDADE EXPEDIDA]]*Tabela1[[#This Row],[PESO UNI]],"")</f>
        <v>0</v>
      </c>
      <c r="Y961" s="14">
        <f t="shared" ref="Y961:Y992" ca="1" si="196">U961-C961</f>
        <v>-2</v>
      </c>
      <c r="Z961" s="20">
        <f ca="1">Tabela1[[#This Row],[PESO TOTAL]]-Tabela1[[#This Row],[Peso Expedido]]</f>
        <v>297.27999999999997</v>
      </c>
      <c r="AA961" s="17">
        <v>1</v>
      </c>
      <c r="AB961" s="33"/>
      <c r="AC961" s="33">
        <v>1</v>
      </c>
      <c r="AD961" s="33">
        <v>0.7</v>
      </c>
      <c r="AE961" s="33">
        <v>0.7</v>
      </c>
      <c r="AF961" s="33">
        <v>0.4</v>
      </c>
      <c r="AG961" s="33">
        <v>0.35</v>
      </c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hidden="1" customHeight="1" x14ac:dyDescent="0.25">
      <c r="A962" s="1" t="s">
        <v>5148</v>
      </c>
      <c r="B962" s="21" t="s">
        <v>5149</v>
      </c>
      <c r="C962" s="1">
        <v>1</v>
      </c>
      <c r="D962" s="1" t="s">
        <v>5154</v>
      </c>
      <c r="E962" s="7">
        <v>4589</v>
      </c>
      <c r="F962" s="7">
        <v>58</v>
      </c>
      <c r="G962" s="1">
        <v>26.04</v>
      </c>
      <c r="H962" s="34">
        <f ca="1">Tabela1[[#This Row],[PESO UNI]]*Tabela1[[#This Row],[QTE]]</f>
        <v>26.04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5105</v>
      </c>
      <c r="O962" s="12"/>
      <c r="P962" s="13"/>
      <c r="Q962" s="14">
        <f ca="1">Tabela1[[#This Row],[QTDE/ Fabricação]]-Tabela1[[#This Row],[QTE]]</f>
        <v>-1</v>
      </c>
      <c r="R962" s="18">
        <f t="shared" ca="1" si="193"/>
        <v>21.743399999999998</v>
      </c>
      <c r="S962" s="18">
        <f t="shared" ca="1" si="194"/>
        <v>9.113999999999999</v>
      </c>
      <c r="T962" s="19">
        <f t="shared" ca="1" si="195"/>
        <v>-16.926000000000002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 ca="1">IFERROR(Tabela1[[#This Row],[QIANTIDADE EXPEDIDA]]*Tabela1[[#This Row],[PESO UNI]],"")</f>
        <v>0</v>
      </c>
      <c r="Y962" s="14">
        <f t="shared" ca="1" si="196"/>
        <v>-1</v>
      </c>
      <c r="Z962" s="20">
        <f ca="1">Tabela1[[#This Row],[PESO TOTAL]]-Tabela1[[#This Row],[Peso Expedido]]</f>
        <v>26.04</v>
      </c>
      <c r="AA962" s="17">
        <v>1</v>
      </c>
      <c r="AB962" s="33"/>
      <c r="AC962" s="33">
        <v>1</v>
      </c>
      <c r="AD962" s="33">
        <v>0.7</v>
      </c>
      <c r="AE962" s="33">
        <v>0.7</v>
      </c>
      <c r="AF962" s="33">
        <v>0.4</v>
      </c>
      <c r="AG962" s="33">
        <v>0.35</v>
      </c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hidden="1" customHeight="1" x14ac:dyDescent="0.25">
      <c r="A963" s="1" t="s">
        <v>5148</v>
      </c>
      <c r="B963" s="21" t="s">
        <v>5149</v>
      </c>
      <c r="C963" s="1">
        <v>1</v>
      </c>
      <c r="D963" s="1" t="s">
        <v>5155</v>
      </c>
      <c r="E963" s="7">
        <v>4590</v>
      </c>
      <c r="F963" s="7">
        <v>58</v>
      </c>
      <c r="G963" s="1">
        <v>26.04</v>
      </c>
      <c r="H963" s="34">
        <f ca="1">Tabela1[[#This Row],[PESO UNI]]*Tabela1[[#This Row],[QTE]]</f>
        <v>26.04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5105</v>
      </c>
      <c r="O963" s="12"/>
      <c r="P963" s="13"/>
      <c r="Q963" s="14">
        <f ca="1">Tabela1[[#This Row],[QTDE/ Fabricação]]-Tabela1[[#This Row],[QTE]]</f>
        <v>-1</v>
      </c>
      <c r="R963" s="18">
        <f t="shared" ca="1" si="193"/>
        <v>21.743399999999998</v>
      </c>
      <c r="S963" s="18">
        <f t="shared" ca="1" si="194"/>
        <v>9.113999999999999</v>
      </c>
      <c r="T963" s="19">
        <f t="shared" ca="1" si="195"/>
        <v>-16.926000000000002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 ca="1">IFERROR(Tabela1[[#This Row],[QIANTIDADE EXPEDIDA]]*Tabela1[[#This Row],[PESO UNI]],"")</f>
        <v>0</v>
      </c>
      <c r="Y963" s="14">
        <f t="shared" ca="1" si="196"/>
        <v>-1</v>
      </c>
      <c r="Z963" s="20">
        <f ca="1">Tabela1[[#This Row],[PESO TOTAL]]-Tabela1[[#This Row],[Peso Expedido]]</f>
        <v>26.04</v>
      </c>
      <c r="AA963" s="17">
        <v>1</v>
      </c>
      <c r="AB963" s="33"/>
      <c r="AC963" s="33">
        <v>1</v>
      </c>
      <c r="AD963" s="33">
        <v>0.7</v>
      </c>
      <c r="AE963" s="33">
        <v>0.7</v>
      </c>
      <c r="AF963" s="33">
        <v>0.4</v>
      </c>
      <c r="AG963" s="33">
        <v>0.35</v>
      </c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hidden="1" customHeight="1" x14ac:dyDescent="0.25">
      <c r="A964" s="1" t="s">
        <v>5148</v>
      </c>
      <c r="B964" s="21" t="s">
        <v>5149</v>
      </c>
      <c r="C964" s="1">
        <v>1</v>
      </c>
      <c r="D964" s="1" t="s">
        <v>5156</v>
      </c>
      <c r="E964" s="7">
        <v>4591</v>
      </c>
      <c r="F964" s="7">
        <v>58</v>
      </c>
      <c r="G964" s="1">
        <v>26.04</v>
      </c>
      <c r="H964" s="34">
        <f ca="1">Tabela1[[#This Row],[PESO UNI]]*Tabela1[[#This Row],[QTE]]</f>
        <v>26.04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5105</v>
      </c>
      <c r="O964" s="12"/>
      <c r="P964" s="13"/>
      <c r="Q964" s="14">
        <f ca="1">Tabela1[[#This Row],[QTDE/ Fabricação]]-Tabela1[[#This Row],[QTE]]</f>
        <v>-1</v>
      </c>
      <c r="R964" s="18">
        <f t="shared" ca="1" si="193"/>
        <v>21.743399999999998</v>
      </c>
      <c r="S964" s="18">
        <f t="shared" ca="1" si="194"/>
        <v>9.113999999999999</v>
      </c>
      <c r="T964" s="19">
        <f t="shared" ca="1" si="195"/>
        <v>-16.926000000000002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 ca="1">IFERROR(Tabela1[[#This Row],[QIANTIDADE EXPEDIDA]]*Tabela1[[#This Row],[PESO UNI]],"")</f>
        <v>0</v>
      </c>
      <c r="Y964" s="14">
        <f t="shared" ca="1" si="196"/>
        <v>-1</v>
      </c>
      <c r="Z964" s="20">
        <f ca="1">Tabela1[[#This Row],[PESO TOTAL]]-Tabela1[[#This Row],[Peso Expedido]]</f>
        <v>26.04</v>
      </c>
      <c r="AA964" s="17">
        <v>1</v>
      </c>
      <c r="AB964" s="33"/>
      <c r="AC964" s="33">
        <v>1</v>
      </c>
      <c r="AD964" s="33">
        <v>0.7</v>
      </c>
      <c r="AE964" s="33">
        <v>0.7</v>
      </c>
      <c r="AF964" s="33">
        <v>0.4</v>
      </c>
      <c r="AG964" s="33">
        <v>0.35</v>
      </c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hidden="1" customHeight="1" x14ac:dyDescent="0.25">
      <c r="A965" s="1" t="s">
        <v>5148</v>
      </c>
      <c r="B965" s="21" t="s">
        <v>5149</v>
      </c>
      <c r="C965" s="1">
        <v>1</v>
      </c>
      <c r="D965" s="1" t="s">
        <v>5157</v>
      </c>
      <c r="E965" s="7">
        <v>4592</v>
      </c>
      <c r="F965" s="7">
        <v>58</v>
      </c>
      <c r="G965" s="1">
        <v>26.04</v>
      </c>
      <c r="H965" s="34">
        <f ca="1">Tabela1[[#This Row],[PESO UNI]]*Tabela1[[#This Row],[QTE]]</f>
        <v>26.04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5105</v>
      </c>
      <c r="O965" s="12"/>
      <c r="P965" s="13"/>
      <c r="Q965" s="14">
        <f ca="1">Tabela1[[#This Row],[QTDE/ Fabricação]]-Tabela1[[#This Row],[QTE]]</f>
        <v>-1</v>
      </c>
      <c r="R965" s="18">
        <f t="shared" ca="1" si="193"/>
        <v>21.743399999999998</v>
      </c>
      <c r="S965" s="18">
        <f t="shared" ca="1" si="194"/>
        <v>9.113999999999999</v>
      </c>
      <c r="T965" s="19">
        <f t="shared" ca="1" si="195"/>
        <v>-16.926000000000002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 ca="1">IFERROR(Tabela1[[#This Row],[QIANTIDADE EXPEDIDA]]*Tabela1[[#This Row],[PESO UNI]],"")</f>
        <v>0</v>
      </c>
      <c r="Y965" s="14">
        <f t="shared" ca="1" si="196"/>
        <v>-1</v>
      </c>
      <c r="Z965" s="20">
        <f ca="1">Tabela1[[#This Row],[PESO TOTAL]]-Tabela1[[#This Row],[Peso Expedido]]</f>
        <v>26.04</v>
      </c>
      <c r="AA965" s="17">
        <v>1</v>
      </c>
      <c r="AB965" s="33"/>
      <c r="AC965" s="33">
        <v>1</v>
      </c>
      <c r="AD965" s="33">
        <v>0.7</v>
      </c>
      <c r="AE965" s="33">
        <v>0.7</v>
      </c>
      <c r="AF965" s="33">
        <v>0.4</v>
      </c>
      <c r="AG965" s="33">
        <v>0.35</v>
      </c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hidden="1" customHeight="1" x14ac:dyDescent="0.25">
      <c r="A966" s="1" t="s">
        <v>5148</v>
      </c>
      <c r="B966" s="21" t="s">
        <v>5149</v>
      </c>
      <c r="C966" s="1">
        <v>12</v>
      </c>
      <c r="D966" s="1" t="s">
        <v>5158</v>
      </c>
      <c r="E966" s="7">
        <v>4593</v>
      </c>
      <c r="F966" s="7">
        <v>58</v>
      </c>
      <c r="G966" s="1">
        <v>7.89</v>
      </c>
      <c r="H966" s="34">
        <f ca="1">Tabela1[[#This Row],[PESO UNI]]*Tabela1[[#This Row],[QTE]]</f>
        <v>94.679999999999993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5105</v>
      </c>
      <c r="O966" s="12"/>
      <c r="P966" s="13"/>
      <c r="Q966" s="14">
        <f ca="1">Tabela1[[#This Row],[QTDE/ Fabricação]]-Tabela1[[#This Row],[QTE]]</f>
        <v>-12</v>
      </c>
      <c r="R966" s="18">
        <f t="shared" ca="1" si="193"/>
        <v>79.057799999999986</v>
      </c>
      <c r="S966" s="18">
        <f t="shared" ca="1" si="194"/>
        <v>33.137999999999998</v>
      </c>
      <c r="T966" s="19">
        <f t="shared" ca="1" si="195"/>
        <v>-61.541999999999994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 ca="1">IFERROR(Tabela1[[#This Row],[QIANTIDADE EXPEDIDA]]*Tabela1[[#This Row],[PESO UNI]],"")</f>
        <v>0</v>
      </c>
      <c r="Y966" s="14">
        <f t="shared" ca="1" si="196"/>
        <v>-12</v>
      </c>
      <c r="Z966" s="20">
        <f ca="1">Tabela1[[#This Row],[PESO TOTAL]]-Tabela1[[#This Row],[Peso Expedido]]</f>
        <v>94.679999999999993</v>
      </c>
      <c r="AA966" s="17">
        <v>1</v>
      </c>
      <c r="AB966" s="33"/>
      <c r="AC966" s="33">
        <v>1</v>
      </c>
      <c r="AD966" s="33">
        <v>0.7</v>
      </c>
      <c r="AE966" s="33">
        <v>0.7</v>
      </c>
      <c r="AF966" s="33">
        <v>0.4</v>
      </c>
      <c r="AG966" s="33">
        <v>0.35</v>
      </c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hidden="1" customHeight="1" x14ac:dyDescent="0.25">
      <c r="A967" s="1" t="s">
        <v>5148</v>
      </c>
      <c r="B967" s="21" t="s">
        <v>5149</v>
      </c>
      <c r="C967" s="1">
        <v>3</v>
      </c>
      <c r="D967" s="1" t="s">
        <v>5159</v>
      </c>
      <c r="E967" s="7">
        <v>4594</v>
      </c>
      <c r="F967" s="7">
        <v>58</v>
      </c>
      <c r="G967" s="1">
        <v>10.33</v>
      </c>
      <c r="H967" s="34">
        <f ca="1">Tabela1[[#This Row],[PESO UNI]]*Tabela1[[#This Row],[QTE]]</f>
        <v>30.990000000000002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5105</v>
      </c>
      <c r="O967" s="12"/>
      <c r="P967" s="13"/>
      <c r="Q967" s="14">
        <f ca="1">Tabela1[[#This Row],[QTDE/ Fabricação]]-Tabela1[[#This Row],[QTE]]</f>
        <v>-3</v>
      </c>
      <c r="R967" s="18">
        <f t="shared" ca="1" si="193"/>
        <v>25.876650000000001</v>
      </c>
      <c r="S967" s="18">
        <f t="shared" ca="1" si="194"/>
        <v>10.846500000000001</v>
      </c>
      <c r="T967" s="19">
        <f t="shared" ca="1" si="195"/>
        <v>-20.143500000000003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 ca="1">IFERROR(Tabela1[[#This Row],[QIANTIDADE EXPEDIDA]]*Tabela1[[#This Row],[PESO UNI]],"")</f>
        <v>0</v>
      </c>
      <c r="Y967" s="14">
        <f t="shared" ca="1" si="196"/>
        <v>-3</v>
      </c>
      <c r="Z967" s="20">
        <f ca="1">Tabela1[[#This Row],[PESO TOTAL]]-Tabela1[[#This Row],[Peso Expedido]]</f>
        <v>30.990000000000002</v>
      </c>
      <c r="AA967" s="17">
        <v>1</v>
      </c>
      <c r="AB967" s="33"/>
      <c r="AC967" s="33">
        <v>1</v>
      </c>
      <c r="AD967" s="33">
        <v>0.7</v>
      </c>
      <c r="AE967" s="33">
        <v>0.7</v>
      </c>
      <c r="AF967" s="33">
        <v>0.4</v>
      </c>
      <c r="AG967" s="33">
        <v>0.35</v>
      </c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hidden="1" customHeight="1" x14ac:dyDescent="0.25">
      <c r="A968" s="1" t="s">
        <v>5148</v>
      </c>
      <c r="B968" s="21" t="s">
        <v>5149</v>
      </c>
      <c r="C968" s="1">
        <v>6</v>
      </c>
      <c r="D968" s="1" t="s">
        <v>5160</v>
      </c>
      <c r="E968" s="7">
        <v>4595</v>
      </c>
      <c r="F968" s="7">
        <v>58</v>
      </c>
      <c r="G968" s="1">
        <v>6.61</v>
      </c>
      <c r="H968" s="34">
        <f ca="1">Tabela1[[#This Row],[PESO UNI]]*Tabela1[[#This Row],[QTE]]</f>
        <v>39.660000000000004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5105</v>
      </c>
      <c r="O968" s="12"/>
      <c r="P968" s="13"/>
      <c r="Q968" s="14">
        <f ca="1">Tabela1[[#This Row],[QTDE/ Fabricação]]-Tabela1[[#This Row],[QTE]]</f>
        <v>-6</v>
      </c>
      <c r="R968" s="18">
        <f t="shared" ca="1" si="193"/>
        <v>33.116100000000003</v>
      </c>
      <c r="S968" s="18">
        <f t="shared" ca="1" si="194"/>
        <v>13.881</v>
      </c>
      <c r="T968" s="19">
        <f t="shared" ca="1" si="195"/>
        <v>-25.779000000000003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 ca="1">IFERROR(Tabela1[[#This Row],[QIANTIDADE EXPEDIDA]]*Tabela1[[#This Row],[PESO UNI]],"")</f>
        <v>0</v>
      </c>
      <c r="Y968" s="14">
        <f t="shared" ca="1" si="196"/>
        <v>-6</v>
      </c>
      <c r="Z968" s="20">
        <f ca="1">Tabela1[[#This Row],[PESO TOTAL]]-Tabela1[[#This Row],[Peso Expedido]]</f>
        <v>39.660000000000004</v>
      </c>
      <c r="AA968" s="17">
        <v>1</v>
      </c>
      <c r="AB968" s="33"/>
      <c r="AC968" s="33">
        <v>1</v>
      </c>
      <c r="AD968" s="33">
        <v>0.7</v>
      </c>
      <c r="AE968" s="33">
        <v>0.7</v>
      </c>
      <c r="AF968" s="33">
        <v>0.4</v>
      </c>
      <c r="AG968" s="33">
        <v>0.35</v>
      </c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hidden="1" customHeight="1" x14ac:dyDescent="0.25">
      <c r="A969" s="1" t="s">
        <v>5161</v>
      </c>
      <c r="B969" s="21" t="s">
        <v>5162</v>
      </c>
      <c r="C969" s="1">
        <v>2</v>
      </c>
      <c r="D969" s="1" t="s">
        <v>5163</v>
      </c>
      <c r="E969" s="7">
        <v>4596</v>
      </c>
      <c r="F969" s="7">
        <v>58</v>
      </c>
      <c r="G969" s="1">
        <v>96.54</v>
      </c>
      <c r="H969" s="34">
        <f ca="1">Tabela1[[#This Row],[PESO UNI]]*Tabela1[[#This Row],[QTE]]</f>
        <v>193.08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5105</v>
      </c>
      <c r="O969" s="12"/>
      <c r="P969" s="13"/>
      <c r="Q969" s="14">
        <f ca="1">Tabela1[[#This Row],[QTDE/ Fabricação]]-Tabela1[[#This Row],[QTE]]</f>
        <v>-2</v>
      </c>
      <c r="R969" s="18">
        <f t="shared" ca="1" si="193"/>
        <v>161.2218</v>
      </c>
      <c r="S969" s="18">
        <f t="shared" ca="1" si="194"/>
        <v>67.578000000000003</v>
      </c>
      <c r="T969" s="19">
        <f t="shared" ca="1" si="195"/>
        <v>-125.50200000000001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 ca="1">IFERROR(Tabela1[[#This Row],[QIANTIDADE EXPEDIDA]]*Tabela1[[#This Row],[PESO UNI]],"")</f>
        <v>0</v>
      </c>
      <c r="Y969" s="14">
        <f t="shared" ca="1" si="196"/>
        <v>-2</v>
      </c>
      <c r="Z969" s="20">
        <f ca="1">Tabela1[[#This Row],[PESO TOTAL]]-Tabela1[[#This Row],[Peso Expedido]]</f>
        <v>193.08</v>
      </c>
      <c r="AA969" s="17">
        <v>1</v>
      </c>
      <c r="AB969" s="33"/>
      <c r="AC969" s="33">
        <v>1</v>
      </c>
      <c r="AD969" s="33">
        <v>0.7</v>
      </c>
      <c r="AE969" s="33">
        <v>0.7</v>
      </c>
      <c r="AF969" s="33">
        <v>0.4</v>
      </c>
      <c r="AG969" s="33">
        <v>0.35</v>
      </c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hidden="1" customHeight="1" x14ac:dyDescent="0.25">
      <c r="A970" s="1" t="s">
        <v>5161</v>
      </c>
      <c r="B970" s="21" t="s">
        <v>5162</v>
      </c>
      <c r="C970" s="1">
        <v>2</v>
      </c>
      <c r="D970" s="1" t="s">
        <v>5164</v>
      </c>
      <c r="E970" s="7">
        <v>4597</v>
      </c>
      <c r="F970" s="7">
        <v>58</v>
      </c>
      <c r="G970" s="1">
        <v>112.63</v>
      </c>
      <c r="H970" s="34">
        <f ca="1">Tabela1[[#This Row],[PESO UNI]]*Tabela1[[#This Row],[QTE]]</f>
        <v>225.26</v>
      </c>
      <c r="I970" s="7">
        <v>0</v>
      </c>
      <c r="J970" s="8" t="s">
        <v>3045</v>
      </c>
      <c r="K970" s="8" t="s">
        <v>4320</v>
      </c>
      <c r="L970" s="9" t="s">
        <v>2984</v>
      </c>
      <c r="M970" s="10">
        <v>46251</v>
      </c>
      <c r="N970" s="8" t="s">
        <v>5105</v>
      </c>
      <c r="O970" s="12"/>
      <c r="P970" s="13"/>
      <c r="Q970" s="14">
        <f ca="1">Tabela1[[#This Row],[QTDE/ Fabricação]]-Tabela1[[#This Row],[QTE]]</f>
        <v>-2</v>
      </c>
      <c r="R970" s="18">
        <f t="shared" ca="1" si="193"/>
        <v>188.09209999999999</v>
      </c>
      <c r="S970" s="18">
        <f t="shared" ca="1" si="194"/>
        <v>78.840999999999994</v>
      </c>
      <c r="T970" s="19">
        <f t="shared" ca="1" si="195"/>
        <v>-146.41899999999998</v>
      </c>
      <c r="U970" s="16">
        <f>IFERROR(SUMIF('LISTA DE EMBARQUE'!B:B,MICRO!E:E,'LISTA DE EMBARQUE'!G:G),"")</f>
        <v>0</v>
      </c>
      <c r="V970" s="12" t="str">
        <f>IFERROR(VLOOKUP(Tabela1[[#This Row],[COD.MDE]],'LISTA DE EMBARQUE'!B:L,11,0),"")</f>
        <v/>
      </c>
      <c r="W970" s="13" t="str">
        <f>IFERROR(VLOOKUP(Tabela1[[#This Row],[COD.MDE]],'LISTA DE EMBARQUE'!B:M,12,0),"")</f>
        <v/>
      </c>
      <c r="X970" s="14">
        <f ca="1">IFERROR(Tabela1[[#This Row],[QIANTIDADE EXPEDIDA]]*Tabela1[[#This Row],[PESO UNI]],"")</f>
        <v>0</v>
      </c>
      <c r="Y970" s="14">
        <f t="shared" ca="1" si="196"/>
        <v>-2</v>
      </c>
      <c r="Z970" s="20">
        <f ca="1">Tabela1[[#This Row],[PESO TOTAL]]-Tabela1[[#This Row],[Peso Expedido]]</f>
        <v>225.26</v>
      </c>
      <c r="AA970" s="17">
        <v>1</v>
      </c>
      <c r="AB970" s="33"/>
      <c r="AC970" s="33">
        <v>1</v>
      </c>
      <c r="AD970" s="33">
        <v>0.7</v>
      </c>
      <c r="AE970" s="33">
        <v>0.7</v>
      </c>
      <c r="AF970" s="33">
        <v>0.4</v>
      </c>
      <c r="AG970" s="33">
        <v>0.35</v>
      </c>
      <c r="AH970" s="33"/>
      <c r="AI970" s="33"/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hidden="1" customHeight="1" x14ac:dyDescent="0.25">
      <c r="A971" s="1" t="s">
        <v>5161</v>
      </c>
      <c r="B971" s="21" t="s">
        <v>5162</v>
      </c>
      <c r="C971" s="1">
        <v>1</v>
      </c>
      <c r="D971" s="1" t="s">
        <v>5165</v>
      </c>
      <c r="E971" s="7">
        <v>4598</v>
      </c>
      <c r="F971" s="7">
        <v>58</v>
      </c>
      <c r="G971" s="1">
        <v>89.11</v>
      </c>
      <c r="H971" s="34">
        <f ca="1">Tabela1[[#This Row],[PESO UNI]]*Tabela1[[#This Row],[QTE]]</f>
        <v>89.11</v>
      </c>
      <c r="I971" s="7">
        <v>0</v>
      </c>
      <c r="J971" s="8" t="s">
        <v>3045</v>
      </c>
      <c r="K971" s="8" t="s">
        <v>4320</v>
      </c>
      <c r="L971" s="9" t="s">
        <v>2984</v>
      </c>
      <c r="M971" s="10">
        <v>46251</v>
      </c>
      <c r="N971" s="8" t="s">
        <v>5105</v>
      </c>
      <c r="O971" s="12"/>
      <c r="P971" s="13"/>
      <c r="Q971" s="14">
        <f ca="1">Tabela1[[#This Row],[QTDE/ Fabricação]]-Tabela1[[#This Row],[QTE]]</f>
        <v>-1</v>
      </c>
      <c r="R971" s="18">
        <f t="shared" ca="1" si="193"/>
        <v>74.406849999999991</v>
      </c>
      <c r="S971" s="18">
        <f t="shared" ca="1" si="194"/>
        <v>31.188499999999998</v>
      </c>
      <c r="T971" s="19">
        <f t="shared" ca="1" si="195"/>
        <v>-57.921500000000002</v>
      </c>
      <c r="U971" s="16">
        <f>IFERROR(SUMIF('LISTA DE EMBARQUE'!B:B,MICRO!E:E,'LISTA DE EMBARQUE'!G:G),"")</f>
        <v>0</v>
      </c>
      <c r="V971" s="12" t="str">
        <f>IFERROR(VLOOKUP(Tabela1[[#This Row],[COD.MDE]],'LISTA DE EMBARQUE'!B:L,11,0),"")</f>
        <v/>
      </c>
      <c r="W971" s="13" t="str">
        <f>IFERROR(VLOOKUP(Tabela1[[#This Row],[COD.MDE]],'LISTA DE EMBARQUE'!B:M,12,0),"")</f>
        <v/>
      </c>
      <c r="X971" s="14">
        <f ca="1">IFERROR(Tabela1[[#This Row],[QIANTIDADE EXPEDIDA]]*Tabela1[[#This Row],[PESO UNI]],"")</f>
        <v>0</v>
      </c>
      <c r="Y971" s="14">
        <f t="shared" ca="1" si="196"/>
        <v>-1</v>
      </c>
      <c r="Z971" s="20">
        <f ca="1">Tabela1[[#This Row],[PESO TOTAL]]-Tabela1[[#This Row],[Peso Expedido]]</f>
        <v>89.11</v>
      </c>
      <c r="AA971" s="17">
        <v>1</v>
      </c>
      <c r="AB971" s="33"/>
      <c r="AC971" s="33">
        <v>1</v>
      </c>
      <c r="AD971" s="33">
        <v>0.7</v>
      </c>
      <c r="AE971" s="33">
        <v>0.7</v>
      </c>
      <c r="AF971" s="33">
        <v>0.4</v>
      </c>
      <c r="AG971" s="33">
        <v>0.35</v>
      </c>
      <c r="AH971" s="33"/>
      <c r="AI971" s="33"/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hidden="1" customHeight="1" x14ac:dyDescent="0.25">
      <c r="A972" s="1" t="s">
        <v>5161</v>
      </c>
      <c r="B972" s="21" t="s">
        <v>5162</v>
      </c>
      <c r="C972" s="1">
        <v>1</v>
      </c>
      <c r="D972" s="1" t="s">
        <v>5166</v>
      </c>
      <c r="E972" s="7">
        <v>4599</v>
      </c>
      <c r="F972" s="7">
        <v>58</v>
      </c>
      <c r="G972" s="1">
        <v>88.34</v>
      </c>
      <c r="H972" s="34">
        <f ca="1">Tabela1[[#This Row],[PESO UNI]]*Tabela1[[#This Row],[QTE]]</f>
        <v>88.34</v>
      </c>
      <c r="I972" s="7">
        <v>0</v>
      </c>
      <c r="J972" s="8" t="s">
        <v>3045</v>
      </c>
      <c r="K972" s="8" t="s">
        <v>4320</v>
      </c>
      <c r="L972" s="9" t="s">
        <v>2984</v>
      </c>
      <c r="M972" s="10">
        <v>46251</v>
      </c>
      <c r="N972" s="8" t="s">
        <v>5105</v>
      </c>
      <c r="O972" s="12"/>
      <c r="P972" s="13"/>
      <c r="Q972" s="14">
        <f ca="1">Tabela1[[#This Row],[QTDE/ Fabricação]]-Tabela1[[#This Row],[QTE]]</f>
        <v>-1</v>
      </c>
      <c r="R972" s="18">
        <f t="shared" ca="1" si="193"/>
        <v>73.763900000000007</v>
      </c>
      <c r="S972" s="18">
        <f t="shared" ca="1" si="194"/>
        <v>30.919</v>
      </c>
      <c r="T972" s="19">
        <f t="shared" ca="1" si="195"/>
        <v>-57.421000000000006</v>
      </c>
      <c r="U972" s="16">
        <f>IFERROR(SUMIF('LISTA DE EMBARQUE'!B:B,MICRO!E:E,'LISTA DE EMBARQUE'!G:G),"")</f>
        <v>0</v>
      </c>
      <c r="V972" s="12" t="str">
        <f>IFERROR(VLOOKUP(Tabela1[[#This Row],[COD.MDE]],'LISTA DE EMBARQUE'!B:L,11,0),"")</f>
        <v/>
      </c>
      <c r="W972" s="13" t="str">
        <f>IFERROR(VLOOKUP(Tabela1[[#This Row],[COD.MDE]],'LISTA DE EMBARQUE'!B:M,12,0),"")</f>
        <v/>
      </c>
      <c r="X972" s="14">
        <f ca="1">IFERROR(Tabela1[[#This Row],[QIANTIDADE EXPEDIDA]]*Tabela1[[#This Row],[PESO UNI]],"")</f>
        <v>0</v>
      </c>
      <c r="Y972" s="14">
        <f t="shared" ca="1" si="196"/>
        <v>-1</v>
      </c>
      <c r="Z972" s="20">
        <f ca="1">Tabela1[[#This Row],[PESO TOTAL]]-Tabela1[[#This Row],[Peso Expedido]]</f>
        <v>88.34</v>
      </c>
      <c r="AA972" s="17">
        <v>1</v>
      </c>
      <c r="AB972" s="33"/>
      <c r="AC972" s="33">
        <v>1</v>
      </c>
      <c r="AD972" s="33">
        <v>0.7</v>
      </c>
      <c r="AE972" s="33">
        <v>0.7</v>
      </c>
      <c r="AF972" s="33">
        <v>0.4</v>
      </c>
      <c r="AG972" s="33">
        <v>0.35</v>
      </c>
      <c r="AH972" s="33"/>
      <c r="AI972" s="33"/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hidden="1" customHeight="1" x14ac:dyDescent="0.25">
      <c r="A973" s="1" t="s">
        <v>5161</v>
      </c>
      <c r="B973" s="21" t="s">
        <v>5162</v>
      </c>
      <c r="C973" s="1">
        <v>1</v>
      </c>
      <c r="D973" s="1" t="s">
        <v>5167</v>
      </c>
      <c r="E973" s="7">
        <v>4600</v>
      </c>
      <c r="F973" s="7">
        <v>58</v>
      </c>
      <c r="G973" s="1">
        <v>83.44</v>
      </c>
      <c r="H973" s="34">
        <f ca="1">Tabela1[[#This Row],[PESO UNI]]*Tabela1[[#This Row],[QTE]]</f>
        <v>83.44</v>
      </c>
      <c r="I973" s="7">
        <v>0</v>
      </c>
      <c r="J973" s="8" t="s">
        <v>3045</v>
      </c>
      <c r="K973" s="8" t="s">
        <v>4320</v>
      </c>
      <c r="L973" s="9" t="s">
        <v>2984</v>
      </c>
      <c r="M973" s="10">
        <v>46251</v>
      </c>
      <c r="N973" s="8" t="s">
        <v>5105</v>
      </c>
      <c r="O973" s="12"/>
      <c r="P973" s="13"/>
      <c r="Q973" s="14">
        <f ca="1">Tabela1[[#This Row],[QTDE/ Fabricação]]-Tabela1[[#This Row],[QTE]]</f>
        <v>-1</v>
      </c>
      <c r="R973" s="18">
        <f t="shared" ca="1" si="193"/>
        <v>69.672399999999996</v>
      </c>
      <c r="S973" s="18">
        <f t="shared" ca="1" si="194"/>
        <v>29.203999999999997</v>
      </c>
      <c r="T973" s="19">
        <f t="shared" ca="1" si="195"/>
        <v>-54.236000000000004</v>
      </c>
      <c r="U973" s="16">
        <f>IFERROR(SUMIF('LISTA DE EMBARQUE'!B:B,MICRO!E:E,'LISTA DE EMBARQUE'!G:G),"")</f>
        <v>0</v>
      </c>
      <c r="V973" s="12" t="str">
        <f>IFERROR(VLOOKUP(Tabela1[[#This Row],[COD.MDE]],'LISTA DE EMBARQUE'!B:L,11,0),"")</f>
        <v/>
      </c>
      <c r="W973" s="13" t="str">
        <f>IFERROR(VLOOKUP(Tabela1[[#This Row],[COD.MDE]],'LISTA DE EMBARQUE'!B:M,12,0),"")</f>
        <v/>
      </c>
      <c r="X973" s="14">
        <f ca="1">IFERROR(Tabela1[[#This Row],[QIANTIDADE EXPEDIDA]]*Tabela1[[#This Row],[PESO UNI]],"")</f>
        <v>0</v>
      </c>
      <c r="Y973" s="14">
        <f t="shared" ca="1" si="196"/>
        <v>-1</v>
      </c>
      <c r="Z973" s="20">
        <f ca="1">Tabela1[[#This Row],[PESO TOTAL]]-Tabela1[[#This Row],[Peso Expedido]]</f>
        <v>83.44</v>
      </c>
      <c r="AA973" s="17">
        <v>1</v>
      </c>
      <c r="AB973" s="33"/>
      <c r="AC973" s="33">
        <v>1</v>
      </c>
      <c r="AD973" s="33">
        <v>0.7</v>
      </c>
      <c r="AE973" s="33">
        <v>0.7</v>
      </c>
      <c r="AF973" s="33">
        <v>0.4</v>
      </c>
      <c r="AG973" s="33">
        <v>0.35</v>
      </c>
      <c r="AH973" s="33"/>
      <c r="AI973" s="33"/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hidden="1" customHeight="1" x14ac:dyDescent="0.25">
      <c r="A974" s="1" t="s">
        <v>5161</v>
      </c>
      <c r="B974" s="21" t="s">
        <v>5162</v>
      </c>
      <c r="C974" s="1">
        <v>1</v>
      </c>
      <c r="D974" s="1" t="s">
        <v>5168</v>
      </c>
      <c r="E974" s="7">
        <v>4601</v>
      </c>
      <c r="F974" s="7">
        <v>58</v>
      </c>
      <c r="G974" s="1">
        <v>105.14</v>
      </c>
      <c r="H974" s="34">
        <f ca="1">Tabela1[[#This Row],[PESO UNI]]*Tabela1[[#This Row],[QTE]]</f>
        <v>105.14</v>
      </c>
      <c r="I974" s="7">
        <v>0</v>
      </c>
      <c r="J974" s="8" t="s">
        <v>3045</v>
      </c>
      <c r="K974" s="8" t="s">
        <v>4320</v>
      </c>
      <c r="L974" s="9" t="s">
        <v>2984</v>
      </c>
      <c r="M974" s="10">
        <v>46251</v>
      </c>
      <c r="N974" s="8" t="s">
        <v>5105</v>
      </c>
      <c r="O974" s="12"/>
      <c r="P974" s="13"/>
      <c r="Q974" s="14">
        <f ca="1">Tabela1[[#This Row],[QTDE/ Fabricação]]-Tabela1[[#This Row],[QTE]]</f>
        <v>-1</v>
      </c>
      <c r="R974" s="18">
        <f t="shared" ca="1" si="193"/>
        <v>87.791899999999998</v>
      </c>
      <c r="S974" s="18">
        <f t="shared" ca="1" si="194"/>
        <v>36.798999999999999</v>
      </c>
      <c r="T974" s="19">
        <f t="shared" ca="1" si="195"/>
        <v>-68.341000000000008</v>
      </c>
      <c r="U974" s="16">
        <f>IFERROR(SUMIF('LISTA DE EMBARQUE'!B:B,MICRO!E:E,'LISTA DE EMBARQUE'!G:G),"")</f>
        <v>0</v>
      </c>
      <c r="V974" s="12" t="str">
        <f>IFERROR(VLOOKUP(Tabela1[[#This Row],[COD.MDE]],'LISTA DE EMBARQUE'!B:L,11,0),"")</f>
        <v/>
      </c>
      <c r="W974" s="13" t="str">
        <f>IFERROR(VLOOKUP(Tabela1[[#This Row],[COD.MDE]],'LISTA DE EMBARQUE'!B:M,12,0),"")</f>
        <v/>
      </c>
      <c r="X974" s="14">
        <f ca="1">IFERROR(Tabela1[[#This Row],[QIANTIDADE EXPEDIDA]]*Tabela1[[#This Row],[PESO UNI]],"")</f>
        <v>0</v>
      </c>
      <c r="Y974" s="14">
        <f t="shared" ca="1" si="196"/>
        <v>-1</v>
      </c>
      <c r="Z974" s="20">
        <f ca="1">Tabela1[[#This Row],[PESO TOTAL]]-Tabela1[[#This Row],[Peso Expedido]]</f>
        <v>105.14</v>
      </c>
      <c r="AA974" s="17">
        <v>1</v>
      </c>
      <c r="AB974" s="33"/>
      <c r="AC974" s="33">
        <v>1</v>
      </c>
      <c r="AD974" s="33">
        <v>0.7</v>
      </c>
      <c r="AE974" s="33">
        <v>0.7</v>
      </c>
      <c r="AF974" s="33">
        <v>0.4</v>
      </c>
      <c r="AG974" s="33">
        <v>0.35</v>
      </c>
      <c r="AH974" s="33"/>
      <c r="AI974" s="33"/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hidden="1" customHeight="1" x14ac:dyDescent="0.25">
      <c r="A975" s="1" t="s">
        <v>5161</v>
      </c>
      <c r="B975" s="21" t="s">
        <v>5162</v>
      </c>
      <c r="C975" s="1">
        <v>1</v>
      </c>
      <c r="D975" s="1" t="s">
        <v>5169</v>
      </c>
      <c r="E975" s="7">
        <v>4602</v>
      </c>
      <c r="F975" s="7">
        <v>58</v>
      </c>
      <c r="G975" s="1">
        <v>105.14</v>
      </c>
      <c r="H975" s="34">
        <f ca="1">Tabela1[[#This Row],[PESO UNI]]*Tabela1[[#This Row],[QTE]]</f>
        <v>105.14</v>
      </c>
      <c r="I975" s="7">
        <v>0</v>
      </c>
      <c r="J975" s="8" t="s">
        <v>3045</v>
      </c>
      <c r="K975" s="8" t="s">
        <v>4320</v>
      </c>
      <c r="L975" s="9" t="s">
        <v>2984</v>
      </c>
      <c r="M975" s="10">
        <v>46251</v>
      </c>
      <c r="N975" s="8" t="s">
        <v>5105</v>
      </c>
      <c r="O975" s="12"/>
      <c r="P975" s="13"/>
      <c r="Q975" s="14">
        <f ca="1">Tabela1[[#This Row],[QTDE/ Fabricação]]-Tabela1[[#This Row],[QTE]]</f>
        <v>-1</v>
      </c>
      <c r="R975" s="18">
        <f t="shared" ca="1" si="193"/>
        <v>87.791899999999998</v>
      </c>
      <c r="S975" s="18">
        <f t="shared" ca="1" si="194"/>
        <v>36.798999999999999</v>
      </c>
      <c r="T975" s="19">
        <f t="shared" ca="1" si="195"/>
        <v>-68.341000000000008</v>
      </c>
      <c r="U975" s="16">
        <f>IFERROR(SUMIF('LISTA DE EMBARQUE'!B:B,MICRO!E:E,'LISTA DE EMBARQUE'!G:G),"")</f>
        <v>0</v>
      </c>
      <c r="V975" s="12" t="str">
        <f>IFERROR(VLOOKUP(Tabela1[[#This Row],[COD.MDE]],'LISTA DE EMBARQUE'!B:L,11,0),"")</f>
        <v/>
      </c>
      <c r="W975" s="13" t="str">
        <f>IFERROR(VLOOKUP(Tabela1[[#This Row],[COD.MDE]],'LISTA DE EMBARQUE'!B:M,12,0),"")</f>
        <v/>
      </c>
      <c r="X975" s="14">
        <f ca="1">IFERROR(Tabela1[[#This Row],[QIANTIDADE EXPEDIDA]]*Tabela1[[#This Row],[PESO UNI]],"")</f>
        <v>0</v>
      </c>
      <c r="Y975" s="14">
        <f t="shared" ca="1" si="196"/>
        <v>-1</v>
      </c>
      <c r="Z975" s="20">
        <f ca="1">Tabela1[[#This Row],[PESO TOTAL]]-Tabela1[[#This Row],[Peso Expedido]]</f>
        <v>105.14</v>
      </c>
      <c r="AA975" s="17">
        <v>1</v>
      </c>
      <c r="AB975" s="33"/>
      <c r="AC975" s="33">
        <v>1</v>
      </c>
      <c r="AD975" s="33">
        <v>0.7</v>
      </c>
      <c r="AE975" s="33">
        <v>0.7</v>
      </c>
      <c r="AF975" s="33">
        <v>0.4</v>
      </c>
      <c r="AG975" s="33">
        <v>0.35</v>
      </c>
      <c r="AH975" s="33"/>
      <c r="AI975" s="33"/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hidden="1" customHeight="1" x14ac:dyDescent="0.25">
      <c r="A976" s="1" t="s">
        <v>5161</v>
      </c>
      <c r="B976" s="21" t="s">
        <v>5162</v>
      </c>
      <c r="C976" s="1">
        <v>1</v>
      </c>
      <c r="D976" s="1" t="s">
        <v>5170</v>
      </c>
      <c r="E976" s="7">
        <v>4603</v>
      </c>
      <c r="F976" s="7">
        <v>58</v>
      </c>
      <c r="G976" s="1">
        <v>107.64</v>
      </c>
      <c r="H976" s="34">
        <f ca="1">Tabela1[[#This Row],[PESO UNI]]*Tabela1[[#This Row],[QTE]]</f>
        <v>107.64</v>
      </c>
      <c r="I976" s="7">
        <v>0</v>
      </c>
      <c r="J976" s="8" t="s">
        <v>3045</v>
      </c>
      <c r="K976" s="8" t="s">
        <v>4320</v>
      </c>
      <c r="L976" s="9" t="s">
        <v>2984</v>
      </c>
      <c r="M976" s="10">
        <v>46251</v>
      </c>
      <c r="N976" s="8" t="s">
        <v>5105</v>
      </c>
      <c r="O976" s="12"/>
      <c r="P976" s="13"/>
      <c r="Q976" s="14">
        <f ca="1">Tabela1[[#This Row],[QTDE/ Fabricação]]-Tabela1[[#This Row],[QTE]]</f>
        <v>-1</v>
      </c>
      <c r="R976" s="18">
        <f t="shared" ca="1" si="193"/>
        <v>89.87939999999999</v>
      </c>
      <c r="S976" s="18">
        <f t="shared" ca="1" si="194"/>
        <v>37.673999999999999</v>
      </c>
      <c r="T976" s="19">
        <f t="shared" ca="1" si="195"/>
        <v>-69.966000000000008</v>
      </c>
      <c r="U976" s="16">
        <f>IFERROR(SUMIF('LISTA DE EMBARQUE'!B:B,MICRO!E:E,'LISTA DE EMBARQUE'!G:G),"")</f>
        <v>0</v>
      </c>
      <c r="V976" s="12" t="str">
        <f>IFERROR(VLOOKUP(Tabela1[[#This Row],[COD.MDE]],'LISTA DE EMBARQUE'!B:L,11,0),"")</f>
        <v/>
      </c>
      <c r="W976" s="13" t="str">
        <f>IFERROR(VLOOKUP(Tabela1[[#This Row],[COD.MDE]],'LISTA DE EMBARQUE'!B:M,12,0),"")</f>
        <v/>
      </c>
      <c r="X976" s="14">
        <f ca="1">IFERROR(Tabela1[[#This Row],[QIANTIDADE EXPEDIDA]]*Tabela1[[#This Row],[PESO UNI]],"")</f>
        <v>0</v>
      </c>
      <c r="Y976" s="14">
        <f t="shared" ca="1" si="196"/>
        <v>-1</v>
      </c>
      <c r="Z976" s="20">
        <f ca="1">Tabela1[[#This Row],[PESO TOTAL]]-Tabela1[[#This Row],[Peso Expedido]]</f>
        <v>107.64</v>
      </c>
      <c r="AA976" s="17">
        <v>1</v>
      </c>
      <c r="AB976" s="33"/>
      <c r="AC976" s="33">
        <v>1</v>
      </c>
      <c r="AD976" s="33">
        <v>0.7</v>
      </c>
      <c r="AE976" s="33">
        <v>0.7</v>
      </c>
      <c r="AF976" s="33">
        <v>0.4</v>
      </c>
      <c r="AG976" s="33">
        <v>0.35</v>
      </c>
      <c r="AH976" s="33"/>
      <c r="AI976" s="33"/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hidden="1" customHeight="1" x14ac:dyDescent="0.25">
      <c r="A977" s="1" t="s">
        <v>5173</v>
      </c>
      <c r="B977" s="21" t="s">
        <v>5171</v>
      </c>
      <c r="C977" s="1">
        <v>1</v>
      </c>
      <c r="D977" s="1" t="s">
        <v>5172</v>
      </c>
      <c r="E977" s="7">
        <v>4604</v>
      </c>
      <c r="F977" s="7">
        <v>58</v>
      </c>
      <c r="G977" s="1">
        <v>513.87</v>
      </c>
      <c r="H977" s="34">
        <f ca="1">Tabela1[[#This Row],[PESO UNI]]*Tabela1[[#This Row],[QTE]]</f>
        <v>513.87</v>
      </c>
      <c r="I977" s="7">
        <v>0</v>
      </c>
      <c r="J977" s="8" t="s">
        <v>3045</v>
      </c>
      <c r="K977" s="8" t="s">
        <v>4320</v>
      </c>
      <c r="L977" s="9" t="s">
        <v>2984</v>
      </c>
      <c r="M977" s="10">
        <v>46251</v>
      </c>
      <c r="N977" s="8" t="s">
        <v>5105</v>
      </c>
      <c r="O977" s="12"/>
      <c r="P977" s="13"/>
      <c r="Q977" s="14">
        <f ca="1">Tabela1[[#This Row],[QTDE/ Fabricação]]-Tabela1[[#This Row],[QTE]]</f>
        <v>-1</v>
      </c>
      <c r="R977" s="18">
        <f t="shared" ca="1" si="193"/>
        <v>429.08144999999996</v>
      </c>
      <c r="S977" s="18">
        <f t="shared" ca="1" si="194"/>
        <v>179.8545</v>
      </c>
      <c r="T977" s="19">
        <f t="shared" ca="1" si="195"/>
        <v>-334.01549999999997</v>
      </c>
      <c r="U977" s="16">
        <f>IFERROR(SUMIF('LISTA DE EMBARQUE'!B:B,MICRO!E:E,'LISTA DE EMBARQUE'!G:G),"")</f>
        <v>0</v>
      </c>
      <c r="V977" s="12" t="str">
        <f>IFERROR(VLOOKUP(Tabela1[[#This Row],[COD.MDE]],'LISTA DE EMBARQUE'!B:L,11,0),"")</f>
        <v/>
      </c>
      <c r="W977" s="13" t="str">
        <f>IFERROR(VLOOKUP(Tabela1[[#This Row],[COD.MDE]],'LISTA DE EMBARQUE'!B:M,12,0),"")</f>
        <v/>
      </c>
      <c r="X977" s="14">
        <f ca="1">IFERROR(Tabela1[[#This Row],[QIANTIDADE EXPEDIDA]]*Tabela1[[#This Row],[PESO UNI]],"")</f>
        <v>0</v>
      </c>
      <c r="Y977" s="14">
        <f t="shared" ca="1" si="196"/>
        <v>-1</v>
      </c>
      <c r="Z977" s="20">
        <f ca="1">Tabela1[[#This Row],[PESO TOTAL]]-Tabela1[[#This Row],[Peso Expedido]]</f>
        <v>513.87</v>
      </c>
      <c r="AA977" s="17">
        <v>1</v>
      </c>
      <c r="AB977" s="33"/>
      <c r="AC977" s="33">
        <v>1</v>
      </c>
      <c r="AD977" s="33">
        <v>0.7</v>
      </c>
      <c r="AE977" s="33">
        <v>0.7</v>
      </c>
      <c r="AF977" s="33">
        <v>0.4</v>
      </c>
      <c r="AG977" s="33">
        <v>0.35</v>
      </c>
      <c r="AH977" s="33"/>
      <c r="AI977" s="33"/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hidden="1" customHeight="1" x14ac:dyDescent="0.25">
      <c r="A978" s="1" t="s">
        <v>5174</v>
      </c>
      <c r="B978" s="21" t="s">
        <v>5175</v>
      </c>
      <c r="C978" s="1">
        <v>1</v>
      </c>
      <c r="D978" s="1" t="s">
        <v>5176</v>
      </c>
      <c r="E978" s="7">
        <v>4605</v>
      </c>
      <c r="F978" s="7">
        <v>58</v>
      </c>
      <c r="G978" s="1">
        <v>483.47</v>
      </c>
      <c r="H978" s="34">
        <f ca="1">Tabela1[[#This Row],[PESO UNI]]*Tabela1[[#This Row],[QTE]]</f>
        <v>483.47</v>
      </c>
      <c r="I978" s="7">
        <v>0</v>
      </c>
      <c r="J978" s="8" t="s">
        <v>3045</v>
      </c>
      <c r="K978" s="8" t="s">
        <v>4320</v>
      </c>
      <c r="L978" s="9" t="s">
        <v>2984</v>
      </c>
      <c r="M978" s="10">
        <v>46251</v>
      </c>
      <c r="N978" s="8" t="s">
        <v>5105</v>
      </c>
      <c r="O978" s="12"/>
      <c r="P978" s="13"/>
      <c r="Q978" s="14">
        <f ca="1">Tabela1[[#This Row],[QTDE/ Fabricação]]-Tabela1[[#This Row],[QTE]]</f>
        <v>-1</v>
      </c>
      <c r="R978" s="18">
        <f t="shared" ca="1" si="193"/>
        <v>403.69745</v>
      </c>
      <c r="S978" s="18">
        <f t="shared" ca="1" si="194"/>
        <v>169.21449999999999</v>
      </c>
      <c r="T978" s="19">
        <f t="shared" ca="1" si="195"/>
        <v>-314.25550000000004</v>
      </c>
      <c r="U978" s="16">
        <f>IFERROR(SUMIF('LISTA DE EMBARQUE'!B:B,MICRO!E:E,'LISTA DE EMBARQUE'!G:G),"")</f>
        <v>0</v>
      </c>
      <c r="V978" s="12" t="str">
        <f>IFERROR(VLOOKUP(Tabela1[[#This Row],[COD.MDE]],'LISTA DE EMBARQUE'!B:L,11,0),"")</f>
        <v/>
      </c>
      <c r="W978" s="13" t="str">
        <f>IFERROR(VLOOKUP(Tabela1[[#This Row],[COD.MDE]],'LISTA DE EMBARQUE'!B:M,12,0),"")</f>
        <v/>
      </c>
      <c r="X978" s="14">
        <f ca="1">IFERROR(Tabela1[[#This Row],[QIANTIDADE EXPEDIDA]]*Tabela1[[#This Row],[PESO UNI]],"")</f>
        <v>0</v>
      </c>
      <c r="Y978" s="14">
        <f t="shared" ca="1" si="196"/>
        <v>-1</v>
      </c>
      <c r="Z978" s="20">
        <f ca="1">Tabela1[[#This Row],[PESO TOTAL]]-Tabela1[[#This Row],[Peso Expedido]]</f>
        <v>483.47</v>
      </c>
      <c r="AA978" s="17">
        <v>1</v>
      </c>
      <c r="AB978" s="33"/>
      <c r="AC978" s="33">
        <v>1</v>
      </c>
      <c r="AD978" s="33">
        <v>0.7</v>
      </c>
      <c r="AE978" s="33">
        <v>0.7</v>
      </c>
      <c r="AF978" s="33">
        <v>0.4</v>
      </c>
      <c r="AG978" s="33">
        <v>0.35</v>
      </c>
      <c r="AH978" s="33"/>
      <c r="AI978" s="33"/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hidden="1" customHeight="1" x14ac:dyDescent="0.25">
      <c r="A979" s="1" t="s">
        <v>5177</v>
      </c>
      <c r="B979" s="21" t="s">
        <v>5178</v>
      </c>
      <c r="C979" s="1">
        <v>1</v>
      </c>
      <c r="D979" s="1" t="s">
        <v>5179</v>
      </c>
      <c r="E979" s="7">
        <v>4606</v>
      </c>
      <c r="F979" s="7">
        <v>58</v>
      </c>
      <c r="G979" s="1">
        <v>477.68</v>
      </c>
      <c r="H979" s="34">
        <f ca="1">Tabela1[[#This Row],[PESO UNI]]*Tabela1[[#This Row],[QTE]]</f>
        <v>477.68</v>
      </c>
      <c r="I979" s="7">
        <v>0</v>
      </c>
      <c r="J979" s="8" t="s">
        <v>3045</v>
      </c>
      <c r="K979" s="8" t="s">
        <v>4320</v>
      </c>
      <c r="L979" s="9" t="s">
        <v>2984</v>
      </c>
      <c r="M979" s="10">
        <v>46251</v>
      </c>
      <c r="N979" s="8" t="s">
        <v>5105</v>
      </c>
      <c r="O979" s="12"/>
      <c r="P979" s="13"/>
      <c r="Q979" s="14">
        <f ca="1">Tabela1[[#This Row],[QTDE/ Fabricação]]-Tabela1[[#This Row],[QTE]]</f>
        <v>-1</v>
      </c>
      <c r="R979" s="18">
        <f t="shared" ca="1" si="193"/>
        <v>398.86279999999999</v>
      </c>
      <c r="S979" s="18">
        <f t="shared" ca="1" si="194"/>
        <v>167.18799999999999</v>
      </c>
      <c r="T979" s="19">
        <f t="shared" ca="1" si="195"/>
        <v>-310.49200000000002</v>
      </c>
      <c r="U979" s="16">
        <f>IFERROR(SUMIF('LISTA DE EMBARQUE'!B:B,MICRO!E:E,'LISTA DE EMBARQUE'!G:G),"")</f>
        <v>0</v>
      </c>
      <c r="V979" s="12" t="str">
        <f>IFERROR(VLOOKUP(Tabela1[[#This Row],[COD.MDE]],'LISTA DE EMBARQUE'!B:L,11,0),"")</f>
        <v/>
      </c>
      <c r="W979" s="13" t="str">
        <f>IFERROR(VLOOKUP(Tabela1[[#This Row],[COD.MDE]],'LISTA DE EMBARQUE'!B:M,12,0),"")</f>
        <v/>
      </c>
      <c r="X979" s="14">
        <f ca="1">IFERROR(Tabela1[[#This Row],[QIANTIDADE EXPEDIDA]]*Tabela1[[#This Row],[PESO UNI]],"")</f>
        <v>0</v>
      </c>
      <c r="Y979" s="14">
        <f t="shared" ca="1" si="196"/>
        <v>-1</v>
      </c>
      <c r="Z979" s="20">
        <f ca="1">Tabela1[[#This Row],[PESO TOTAL]]-Tabela1[[#This Row],[Peso Expedido]]</f>
        <v>477.68</v>
      </c>
      <c r="AA979" s="17">
        <v>1</v>
      </c>
      <c r="AB979" s="33"/>
      <c r="AC979" s="33">
        <v>1</v>
      </c>
      <c r="AD979" s="33">
        <v>0.7</v>
      </c>
      <c r="AE979" s="33">
        <v>0.7</v>
      </c>
      <c r="AF979" s="33">
        <v>0.4</v>
      </c>
      <c r="AG979" s="33">
        <v>0.35</v>
      </c>
      <c r="AH979" s="33"/>
      <c r="AI979" s="33"/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hidden="1" customHeight="1" x14ac:dyDescent="0.25">
      <c r="A980" s="1" t="s">
        <v>5180</v>
      </c>
      <c r="B980" s="21" t="s">
        <v>5181</v>
      </c>
      <c r="C980" s="1">
        <v>1</v>
      </c>
      <c r="D980" s="1" t="s">
        <v>5182</v>
      </c>
      <c r="E980" s="7">
        <v>4607</v>
      </c>
      <c r="F980" s="7">
        <v>58</v>
      </c>
      <c r="G980" s="1">
        <v>499.5</v>
      </c>
      <c r="H980" s="34">
        <f ca="1">Tabela1[[#This Row],[PESO UNI]]*Tabela1[[#This Row],[QTE]]</f>
        <v>499.5</v>
      </c>
      <c r="I980" s="7">
        <v>0</v>
      </c>
      <c r="J980" s="8" t="s">
        <v>3045</v>
      </c>
      <c r="K980" s="8" t="s">
        <v>4320</v>
      </c>
      <c r="L980" s="9" t="s">
        <v>2984</v>
      </c>
      <c r="M980" s="10">
        <v>46251</v>
      </c>
      <c r="N980" s="8" t="s">
        <v>5105</v>
      </c>
      <c r="O980" s="12"/>
      <c r="P980" s="13"/>
      <c r="Q980" s="14">
        <f ca="1">Tabela1[[#This Row],[QTDE/ Fabricação]]-Tabela1[[#This Row],[QTE]]</f>
        <v>-1</v>
      </c>
      <c r="R980" s="18">
        <f t="shared" ca="1" si="193"/>
        <v>417.08249999999998</v>
      </c>
      <c r="S980" s="18">
        <f t="shared" ca="1" si="194"/>
        <v>174.82499999999999</v>
      </c>
      <c r="T980" s="19">
        <f t="shared" ca="1" si="195"/>
        <v>-324.67500000000001</v>
      </c>
      <c r="U980" s="16">
        <f>IFERROR(SUMIF('LISTA DE EMBARQUE'!B:B,MICRO!E:E,'LISTA DE EMBARQUE'!G:G),"")</f>
        <v>0</v>
      </c>
      <c r="V980" s="12" t="str">
        <f>IFERROR(VLOOKUP(Tabela1[[#This Row],[COD.MDE]],'LISTA DE EMBARQUE'!B:L,11,0),"")</f>
        <v/>
      </c>
      <c r="W980" s="13" t="str">
        <f>IFERROR(VLOOKUP(Tabela1[[#This Row],[COD.MDE]],'LISTA DE EMBARQUE'!B:M,12,0),"")</f>
        <v/>
      </c>
      <c r="X980" s="14">
        <f ca="1">IFERROR(Tabela1[[#This Row],[QIANTIDADE EXPEDIDA]]*Tabela1[[#This Row],[PESO UNI]],"")</f>
        <v>0</v>
      </c>
      <c r="Y980" s="14">
        <f t="shared" ca="1" si="196"/>
        <v>-1</v>
      </c>
      <c r="Z980" s="20">
        <f ca="1">Tabela1[[#This Row],[PESO TOTAL]]-Tabela1[[#This Row],[Peso Expedido]]</f>
        <v>499.5</v>
      </c>
      <c r="AA980" s="17">
        <v>1</v>
      </c>
      <c r="AB980" s="33"/>
      <c r="AC980" s="33">
        <v>1</v>
      </c>
      <c r="AD980" s="33">
        <v>0.7</v>
      </c>
      <c r="AE980" s="33">
        <v>0.7</v>
      </c>
      <c r="AF980" s="33">
        <v>0.4</v>
      </c>
      <c r="AG980" s="33">
        <v>0.35</v>
      </c>
      <c r="AH980" s="33"/>
      <c r="AI980" s="33"/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hidden="1" customHeight="1" x14ac:dyDescent="0.25">
      <c r="A981" s="1" t="s">
        <v>5183</v>
      </c>
      <c r="B981" s="21" t="s">
        <v>5184</v>
      </c>
      <c r="C981" s="1">
        <v>3</v>
      </c>
      <c r="D981" s="1" t="s">
        <v>5185</v>
      </c>
      <c r="E981" s="7">
        <v>4608</v>
      </c>
      <c r="F981" s="7">
        <v>59</v>
      </c>
      <c r="G981" s="1">
        <v>92.03</v>
      </c>
      <c r="H981" s="34">
        <f ca="1">Tabela1[[#This Row],[PESO UNI]]*Tabela1[[#This Row],[QTE]]</f>
        <v>276.09000000000003</v>
      </c>
      <c r="I981" s="7">
        <v>0</v>
      </c>
      <c r="J981" s="8" t="s">
        <v>3045</v>
      </c>
      <c r="K981" s="8" t="s">
        <v>4320</v>
      </c>
      <c r="L981" s="9" t="s">
        <v>2984</v>
      </c>
      <c r="M981" s="10">
        <v>46251</v>
      </c>
      <c r="N981" s="8" t="s">
        <v>5105</v>
      </c>
      <c r="O981" s="12"/>
      <c r="P981" s="13"/>
      <c r="Q981" s="14">
        <f ca="1">Tabela1[[#This Row],[QTDE/ Fabricação]]-Tabela1[[#This Row],[QTE]]</f>
        <v>-3</v>
      </c>
      <c r="R981" s="18">
        <f t="shared" ca="1" si="193"/>
        <v>230.53515000000002</v>
      </c>
      <c r="S981" s="18">
        <f t="shared" ca="1" si="194"/>
        <v>96.631500000000003</v>
      </c>
      <c r="T981" s="19">
        <f t="shared" ca="1" si="195"/>
        <v>-179.45850000000002</v>
      </c>
      <c r="U981" s="16">
        <f>IFERROR(SUMIF('LISTA DE EMBARQUE'!B:B,MICRO!E:E,'LISTA DE EMBARQUE'!G:G),"")</f>
        <v>0</v>
      </c>
      <c r="V981" s="12" t="str">
        <f>IFERROR(VLOOKUP(Tabela1[[#This Row],[COD.MDE]],'LISTA DE EMBARQUE'!B:L,11,0),"")</f>
        <v/>
      </c>
      <c r="W981" s="13" t="str">
        <f>IFERROR(VLOOKUP(Tabela1[[#This Row],[COD.MDE]],'LISTA DE EMBARQUE'!B:M,12,0),"")</f>
        <v/>
      </c>
      <c r="X981" s="14">
        <f ca="1">IFERROR(Tabela1[[#This Row],[QIANTIDADE EXPEDIDA]]*Tabela1[[#This Row],[PESO UNI]],"")</f>
        <v>0</v>
      </c>
      <c r="Y981" s="14">
        <f t="shared" ca="1" si="196"/>
        <v>-3</v>
      </c>
      <c r="Z981" s="20">
        <f ca="1">Tabela1[[#This Row],[PESO TOTAL]]-Tabela1[[#This Row],[Peso Expedido]]</f>
        <v>276.09000000000003</v>
      </c>
      <c r="AA981" s="17">
        <v>1</v>
      </c>
      <c r="AB981" s="33"/>
      <c r="AC981" s="33">
        <v>1</v>
      </c>
      <c r="AD981" s="33">
        <v>0.7</v>
      </c>
      <c r="AE981" s="33">
        <v>0.7</v>
      </c>
      <c r="AF981" s="33">
        <v>0.4</v>
      </c>
      <c r="AG981" s="33">
        <v>0.35</v>
      </c>
      <c r="AH981" s="33"/>
      <c r="AI981" s="33"/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hidden="1" customHeight="1" x14ac:dyDescent="0.25">
      <c r="A982" s="1" t="s">
        <v>5183</v>
      </c>
      <c r="B982" s="21" t="s">
        <v>5184</v>
      </c>
      <c r="C982" s="1">
        <v>1</v>
      </c>
      <c r="D982" s="1" t="s">
        <v>5186</v>
      </c>
      <c r="E982" s="7">
        <v>4609</v>
      </c>
      <c r="F982" s="7">
        <v>59</v>
      </c>
      <c r="G982" s="1">
        <v>114.46</v>
      </c>
      <c r="H982" s="34">
        <f ca="1">Tabela1[[#This Row],[PESO UNI]]*Tabela1[[#This Row],[QTE]]</f>
        <v>114.46</v>
      </c>
      <c r="I982" s="7">
        <v>0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5105</v>
      </c>
      <c r="O982" s="12"/>
      <c r="P982" s="13"/>
      <c r="Q982" s="14">
        <f ca="1">Tabela1[[#This Row],[QTDE/ Fabricação]]-Tabela1[[#This Row],[QTE]]</f>
        <v>-1</v>
      </c>
      <c r="R982" s="18">
        <f t="shared" ca="1" si="193"/>
        <v>95.574099999999987</v>
      </c>
      <c r="S982" s="18">
        <f t="shared" ca="1" si="194"/>
        <v>40.060999999999993</v>
      </c>
      <c r="T982" s="19">
        <f t="shared" ca="1" si="195"/>
        <v>-74.399000000000001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 ca="1">IFERROR(Tabela1[[#This Row],[QIANTIDADE EXPEDIDA]]*Tabela1[[#This Row],[PESO UNI]],"")</f>
        <v>0</v>
      </c>
      <c r="Y982" s="14">
        <f t="shared" ca="1" si="196"/>
        <v>-1</v>
      </c>
      <c r="Z982" s="20">
        <f ca="1">Tabela1[[#This Row],[PESO TOTAL]]-Tabela1[[#This Row],[Peso Expedido]]</f>
        <v>114.46</v>
      </c>
      <c r="AA982" s="17">
        <v>1</v>
      </c>
      <c r="AB982" s="33"/>
      <c r="AC982" s="33">
        <v>1</v>
      </c>
      <c r="AD982" s="33">
        <v>0.7</v>
      </c>
      <c r="AE982" s="33">
        <v>0.7</v>
      </c>
      <c r="AF982" s="33">
        <v>0.4</v>
      </c>
      <c r="AG982" s="33">
        <v>0.35</v>
      </c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hidden="1" customHeight="1" x14ac:dyDescent="0.25">
      <c r="A983" s="1" t="s">
        <v>5183</v>
      </c>
      <c r="B983" s="21" t="s">
        <v>5184</v>
      </c>
      <c r="C983" s="1">
        <v>1</v>
      </c>
      <c r="D983" s="1" t="s">
        <v>5187</v>
      </c>
      <c r="E983" s="7">
        <v>4610</v>
      </c>
      <c r="F983" s="7">
        <v>59</v>
      </c>
      <c r="G983" s="1">
        <v>80.17</v>
      </c>
      <c r="H983" s="34">
        <f ca="1">Tabela1[[#This Row],[PESO UNI]]*Tabela1[[#This Row],[QTE]]</f>
        <v>80.17</v>
      </c>
      <c r="I983" s="7">
        <v>0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5105</v>
      </c>
      <c r="O983" s="12"/>
      <c r="P983" s="13"/>
      <c r="Q983" s="14">
        <f ca="1">Tabela1[[#This Row],[QTDE/ Fabricação]]-Tabela1[[#This Row],[QTE]]</f>
        <v>-1</v>
      </c>
      <c r="R983" s="18">
        <f t="shared" ca="1" si="193"/>
        <v>66.941950000000006</v>
      </c>
      <c r="S983" s="18">
        <f t="shared" ca="1" si="194"/>
        <v>28.0595</v>
      </c>
      <c r="T983" s="19">
        <f t="shared" ca="1" si="195"/>
        <v>-52.110500000000002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 ca="1">IFERROR(Tabela1[[#This Row],[QIANTIDADE EXPEDIDA]]*Tabela1[[#This Row],[PESO UNI]],"")</f>
        <v>0</v>
      </c>
      <c r="Y983" s="14">
        <f t="shared" ca="1" si="196"/>
        <v>-1</v>
      </c>
      <c r="Z983" s="20">
        <f ca="1">Tabela1[[#This Row],[PESO TOTAL]]-Tabela1[[#This Row],[Peso Expedido]]</f>
        <v>80.17</v>
      </c>
      <c r="AA983" s="17">
        <v>1</v>
      </c>
      <c r="AB983" s="33"/>
      <c r="AC983" s="33">
        <v>1</v>
      </c>
      <c r="AD983" s="33">
        <v>0.7</v>
      </c>
      <c r="AE983" s="33">
        <v>0.7</v>
      </c>
      <c r="AF983" s="33">
        <v>0.4</v>
      </c>
      <c r="AG983" s="33">
        <v>0.35</v>
      </c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hidden="1" customHeight="1" x14ac:dyDescent="0.25">
      <c r="A984" s="1" t="s">
        <v>5183</v>
      </c>
      <c r="B984" s="21" t="s">
        <v>5184</v>
      </c>
      <c r="C984" s="1">
        <v>1</v>
      </c>
      <c r="D984" s="1" t="s">
        <v>5188</v>
      </c>
      <c r="E984" s="7">
        <v>4611</v>
      </c>
      <c r="F984" s="7">
        <v>59</v>
      </c>
      <c r="G984" s="1">
        <v>113.7</v>
      </c>
      <c r="H984" s="34">
        <f ca="1">Tabela1[[#This Row],[PESO UNI]]*Tabela1[[#This Row],[QTE]]</f>
        <v>113.7</v>
      </c>
      <c r="I984" s="7">
        <v>0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5105</v>
      </c>
      <c r="O984" s="12"/>
      <c r="P984" s="13"/>
      <c r="Q984" s="14">
        <f ca="1">Tabela1[[#This Row],[QTDE/ Fabricação]]-Tabela1[[#This Row],[QTE]]</f>
        <v>-1</v>
      </c>
      <c r="R984" s="18">
        <f t="shared" ca="1" si="193"/>
        <v>94.939499999999995</v>
      </c>
      <c r="S984" s="18">
        <f t="shared" ca="1" si="194"/>
        <v>39.795000000000002</v>
      </c>
      <c r="T984" s="19">
        <f t="shared" ca="1" si="195"/>
        <v>-73.905000000000001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 ca="1">IFERROR(Tabela1[[#This Row],[QIANTIDADE EXPEDIDA]]*Tabela1[[#This Row],[PESO UNI]],"")</f>
        <v>0</v>
      </c>
      <c r="Y984" s="14">
        <f t="shared" ca="1" si="196"/>
        <v>-1</v>
      </c>
      <c r="Z984" s="20">
        <f ca="1">Tabela1[[#This Row],[PESO TOTAL]]-Tabela1[[#This Row],[Peso Expedido]]</f>
        <v>113.7</v>
      </c>
      <c r="AA984" s="17">
        <v>1</v>
      </c>
      <c r="AB984" s="33"/>
      <c r="AC984" s="33">
        <v>1</v>
      </c>
      <c r="AD984" s="33">
        <v>0.7</v>
      </c>
      <c r="AE984" s="33">
        <v>0.7</v>
      </c>
      <c r="AF984" s="33">
        <v>0.4</v>
      </c>
      <c r="AG984" s="33">
        <v>0.35</v>
      </c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hidden="1" customHeight="1" x14ac:dyDescent="0.25">
      <c r="A985" s="1" t="s">
        <v>5183</v>
      </c>
      <c r="B985" s="21" t="s">
        <v>5184</v>
      </c>
      <c r="C985" s="1">
        <v>3</v>
      </c>
      <c r="D985" s="1" t="s">
        <v>5189</v>
      </c>
      <c r="E985" s="7">
        <v>4612</v>
      </c>
      <c r="F985" s="7">
        <v>59</v>
      </c>
      <c r="G985" s="1">
        <v>46.8</v>
      </c>
      <c r="H985" s="34">
        <f ca="1">Tabela1[[#This Row],[PESO UNI]]*Tabela1[[#This Row],[QTE]]</f>
        <v>140.39999999999998</v>
      </c>
      <c r="I985" s="7">
        <v>0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5105</v>
      </c>
      <c r="O985" s="12"/>
      <c r="P985" s="13"/>
      <c r="Q985" s="14">
        <f ca="1">Tabela1[[#This Row],[QTDE/ Fabricação]]-Tabela1[[#This Row],[QTE]]</f>
        <v>-3</v>
      </c>
      <c r="R985" s="18">
        <f t="shared" ca="1" si="193"/>
        <v>117.23399999999998</v>
      </c>
      <c r="S985" s="18">
        <f t="shared" ca="1" si="194"/>
        <v>49.139999999999986</v>
      </c>
      <c r="T985" s="19">
        <f t="shared" ca="1" si="195"/>
        <v>-91.259999999999991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 ca="1">IFERROR(Tabela1[[#This Row],[QIANTIDADE EXPEDIDA]]*Tabela1[[#This Row],[PESO UNI]],"")</f>
        <v>0</v>
      </c>
      <c r="Y985" s="14">
        <f t="shared" ca="1" si="196"/>
        <v>-3</v>
      </c>
      <c r="Z985" s="20">
        <f ca="1">Tabela1[[#This Row],[PESO TOTAL]]-Tabela1[[#This Row],[Peso Expedido]]</f>
        <v>140.39999999999998</v>
      </c>
      <c r="AA985" s="17">
        <v>1</v>
      </c>
      <c r="AB985" s="33"/>
      <c r="AC985" s="33">
        <v>1</v>
      </c>
      <c r="AD985" s="33">
        <v>0.7</v>
      </c>
      <c r="AE985" s="33">
        <v>0.7</v>
      </c>
      <c r="AF985" s="33">
        <v>0.4</v>
      </c>
      <c r="AG985" s="33">
        <v>0.35</v>
      </c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hidden="1" customHeight="1" x14ac:dyDescent="0.25">
      <c r="A986" s="1" t="s">
        <v>5190</v>
      </c>
      <c r="B986" s="21" t="s">
        <v>5191</v>
      </c>
      <c r="C986" s="1">
        <v>1</v>
      </c>
      <c r="D986" s="1" t="s">
        <v>5194</v>
      </c>
      <c r="E986" s="7">
        <v>4613</v>
      </c>
      <c r="F986" s="7">
        <v>59</v>
      </c>
      <c r="G986" s="1">
        <v>134.07</v>
      </c>
      <c r="H986" s="34">
        <f ca="1">Tabela1[[#This Row],[PESO UNI]]*Tabela1[[#This Row],[QTE]]</f>
        <v>134.07</v>
      </c>
      <c r="I986" s="7">
        <v>0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5105</v>
      </c>
      <c r="O986" s="12"/>
      <c r="P986" s="13"/>
      <c r="Q986" s="14">
        <f ca="1">Tabela1[[#This Row],[QTDE/ Fabricação]]-Tabela1[[#This Row],[QTE]]</f>
        <v>-1</v>
      </c>
      <c r="R986" s="18">
        <f t="shared" ca="1" si="193"/>
        <v>111.94844999999999</v>
      </c>
      <c r="S986" s="18">
        <f t="shared" ca="1" si="194"/>
        <v>46.924499999999995</v>
      </c>
      <c r="T986" s="19">
        <f t="shared" ca="1" si="195"/>
        <v>-87.145499999999998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 ca="1">IFERROR(Tabela1[[#This Row],[QIANTIDADE EXPEDIDA]]*Tabela1[[#This Row],[PESO UNI]],"")</f>
        <v>0</v>
      </c>
      <c r="Y986" s="14">
        <f t="shared" ca="1" si="196"/>
        <v>-1</v>
      </c>
      <c r="Z986" s="20">
        <f ca="1">Tabela1[[#This Row],[PESO TOTAL]]-Tabela1[[#This Row],[Peso Expedido]]</f>
        <v>134.07</v>
      </c>
      <c r="AA986" s="17">
        <v>1</v>
      </c>
      <c r="AB986" s="33"/>
      <c r="AC986" s="33">
        <v>1</v>
      </c>
      <c r="AD986" s="33">
        <v>0.7</v>
      </c>
      <c r="AE986" s="33">
        <v>0.7</v>
      </c>
      <c r="AF986" s="33">
        <v>0.4</v>
      </c>
      <c r="AG986" s="33">
        <v>0.35</v>
      </c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hidden="1" customHeight="1" x14ac:dyDescent="0.25">
      <c r="A987" s="1" t="s">
        <v>5192</v>
      </c>
      <c r="B987" s="21" t="s">
        <v>5193</v>
      </c>
      <c r="C987" s="1">
        <v>1</v>
      </c>
      <c r="D987" s="1" t="s">
        <v>5195</v>
      </c>
      <c r="E987" s="7">
        <v>4614</v>
      </c>
      <c r="F987" s="7">
        <v>59</v>
      </c>
      <c r="G987" s="1">
        <v>149.56</v>
      </c>
      <c r="H987" s="34">
        <f ca="1">Tabela1[[#This Row],[PESO UNI]]*Tabela1[[#This Row],[QTE]]</f>
        <v>149.56</v>
      </c>
      <c r="I987" s="7">
        <v>0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5105</v>
      </c>
      <c r="O987" s="12"/>
      <c r="P987" s="13"/>
      <c r="Q987" s="14">
        <f ca="1">Tabela1[[#This Row],[QTDE/ Fabricação]]-Tabela1[[#This Row],[QTE]]</f>
        <v>-1</v>
      </c>
      <c r="R987" s="18">
        <f ca="1">IFERROR(H987*((AA987*0.25)+(AC988*0.25)+(AD988*0.225)+(AE988*0.225)+(AF988*0.05)),"")</f>
        <v>124.8826</v>
      </c>
      <c r="S987" s="18">
        <f ca="1">IFERROR(H987*AG988,"")</f>
        <v>52.345999999999997</v>
      </c>
      <c r="T987" s="19">
        <f t="shared" ca="1" si="195"/>
        <v>-97.213999999999999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 ca="1">IFERROR(Tabela1[[#This Row],[QIANTIDADE EXPEDIDA]]*Tabela1[[#This Row],[PESO UNI]],"")</f>
        <v>0</v>
      </c>
      <c r="Y987" s="14">
        <f t="shared" ca="1" si="196"/>
        <v>-1</v>
      </c>
      <c r="Z987" s="20">
        <f ca="1">Tabela1[[#This Row],[PESO TOTAL]]-Tabela1[[#This Row],[Peso Expedido]]</f>
        <v>149.56</v>
      </c>
      <c r="AA987" s="17">
        <v>1</v>
      </c>
      <c r="AB987" s="33"/>
      <c r="AC987" s="33">
        <v>1</v>
      </c>
      <c r="AD987" s="33">
        <v>0.7</v>
      </c>
      <c r="AE987" s="33">
        <v>0.7</v>
      </c>
      <c r="AF987" s="33">
        <v>0.4</v>
      </c>
      <c r="AG987" s="33">
        <v>0.35</v>
      </c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hidden="1" customHeight="1" x14ac:dyDescent="0.25">
      <c r="A988" s="1" t="s">
        <v>5196</v>
      </c>
      <c r="B988" s="21" t="s">
        <v>5197</v>
      </c>
      <c r="C988" s="1">
        <v>1</v>
      </c>
      <c r="D988" s="1" t="s">
        <v>5198</v>
      </c>
      <c r="E988" s="7">
        <v>4615</v>
      </c>
      <c r="F988" s="7">
        <v>59</v>
      </c>
      <c r="G988" s="1">
        <v>151.88</v>
      </c>
      <c r="H988" s="34">
        <f ca="1">Tabela1[[#This Row],[PESO UNI]]*Tabela1[[#This Row],[QTE]]</f>
        <v>151.88</v>
      </c>
      <c r="I988" s="7">
        <v>0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5105</v>
      </c>
      <c r="O988" s="12"/>
      <c r="P988" s="13"/>
      <c r="Q988" s="14">
        <f ca="1">Tabela1[[#This Row],[QTDE/ Fabricação]]-Tabela1[[#This Row],[QTE]]</f>
        <v>-1</v>
      </c>
      <c r="R988" s="18" t="str">
        <f ca="1">IFERROR(H988*((AA988*0.25)+(#REF!*0.25)+(#REF!*0.225)+(#REF!*0.225)+(#REF!*0.05)),"")</f>
        <v/>
      </c>
      <c r="S988" s="18" t="str">
        <f ca="1">IFERROR(H988*#REF!,"")</f>
        <v/>
      </c>
      <c r="T988" s="19" t="str">
        <f t="shared" ca="1" si="195"/>
        <v/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 ca="1">IFERROR(Tabela1[[#This Row],[QIANTIDADE EXPEDIDA]]*Tabela1[[#This Row],[PESO UNI]],"")</f>
        <v>0</v>
      </c>
      <c r="Y988" s="14">
        <f t="shared" ca="1" si="196"/>
        <v>-1</v>
      </c>
      <c r="Z988" s="20">
        <f ca="1">Tabela1[[#This Row],[PESO TOTAL]]-Tabela1[[#This Row],[Peso Expedido]]</f>
        <v>151.88</v>
      </c>
      <c r="AA988" s="17">
        <v>1</v>
      </c>
      <c r="AB988" s="33"/>
      <c r="AC988" s="33">
        <v>1</v>
      </c>
      <c r="AD988" s="33">
        <v>0.7</v>
      </c>
      <c r="AE988" s="33">
        <v>0.7</v>
      </c>
      <c r="AF988" s="33">
        <v>0.4</v>
      </c>
      <c r="AG988" s="33">
        <v>0.35</v>
      </c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hidden="1" customHeight="1" x14ac:dyDescent="0.25">
      <c r="A989" s="1" t="s">
        <v>5199</v>
      </c>
      <c r="B989" s="21" t="s">
        <v>5200</v>
      </c>
      <c r="C989" s="1">
        <v>2</v>
      </c>
      <c r="D989" s="1" t="s">
        <v>5201</v>
      </c>
      <c r="E989" s="7">
        <v>4616</v>
      </c>
      <c r="F989" s="7">
        <v>59</v>
      </c>
      <c r="G989" s="1">
        <v>190.64</v>
      </c>
      <c r="H989" s="34">
        <f ca="1">Tabela1[[#This Row],[PESO UNI]]*Tabela1[[#This Row],[QTE]]</f>
        <v>381.28</v>
      </c>
      <c r="I989" s="7">
        <v>0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5105</v>
      </c>
      <c r="O989" s="12"/>
      <c r="P989" s="13"/>
      <c r="Q989" s="14">
        <f ca="1">Tabela1[[#This Row],[QTDE/ Fabricação]]-Tabela1[[#This Row],[QTE]]</f>
        <v>-2</v>
      </c>
      <c r="R989" s="18">
        <f t="shared" ca="1" si="193"/>
        <v>318.36879999999996</v>
      </c>
      <c r="S989" s="18">
        <f t="shared" ca="1" si="194"/>
        <v>133.44799999999998</v>
      </c>
      <c r="T989" s="19">
        <f t="shared" ca="1" si="195"/>
        <v>-247.83199999999999</v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 ca="1">IFERROR(Tabela1[[#This Row],[QIANTIDADE EXPEDIDA]]*Tabela1[[#This Row],[PESO UNI]],"")</f>
        <v>0</v>
      </c>
      <c r="Y989" s="14">
        <f t="shared" ca="1" si="196"/>
        <v>-2</v>
      </c>
      <c r="Z989" s="20">
        <f ca="1">Tabela1[[#This Row],[PESO TOTAL]]-Tabela1[[#This Row],[Peso Expedido]]</f>
        <v>381.28</v>
      </c>
      <c r="AA989" s="17">
        <v>1</v>
      </c>
      <c r="AB989" s="33"/>
      <c r="AC989" s="33">
        <v>1</v>
      </c>
      <c r="AD989" s="33">
        <v>0.7</v>
      </c>
      <c r="AE989" s="33">
        <v>0.7</v>
      </c>
      <c r="AF989" s="33">
        <v>0.4</v>
      </c>
      <c r="AG989" s="33">
        <v>0.35</v>
      </c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hidden="1" customHeight="1" x14ac:dyDescent="0.25">
      <c r="A990" s="1" t="s">
        <v>5202</v>
      </c>
      <c r="B990" s="21" t="s">
        <v>5203</v>
      </c>
      <c r="C990" s="1">
        <v>2</v>
      </c>
      <c r="D990" s="1" t="s">
        <v>5204</v>
      </c>
      <c r="E990" s="7">
        <v>4617</v>
      </c>
      <c r="F990" s="7">
        <v>59</v>
      </c>
      <c r="G990" s="1">
        <v>110.01</v>
      </c>
      <c r="H990" s="34">
        <f ca="1">Tabela1[[#This Row],[PESO UNI]]*Tabela1[[#This Row],[QTE]]</f>
        <v>220.02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5105</v>
      </c>
      <c r="O990" s="12"/>
      <c r="P990" s="13"/>
      <c r="Q990" s="14">
        <f ca="1">Tabela1[[#This Row],[QTDE/ Fabricação]]-Tabela1[[#This Row],[QTE]]</f>
        <v>-2</v>
      </c>
      <c r="R990" s="18">
        <f t="shared" ca="1" si="193"/>
        <v>183.7167</v>
      </c>
      <c r="S990" s="18">
        <f t="shared" ca="1" si="194"/>
        <v>77.007000000000005</v>
      </c>
      <c r="T990" s="19">
        <f t="shared" ca="1" si="195"/>
        <v>-143.01300000000001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 ca="1">IFERROR(Tabela1[[#This Row],[QIANTIDADE EXPEDIDA]]*Tabela1[[#This Row],[PESO UNI]],"")</f>
        <v>0</v>
      </c>
      <c r="Y990" s="14">
        <f t="shared" ca="1" si="196"/>
        <v>-2</v>
      </c>
      <c r="Z990" s="20">
        <f ca="1">Tabela1[[#This Row],[PESO TOTAL]]-Tabela1[[#This Row],[Peso Expedido]]</f>
        <v>220.02</v>
      </c>
      <c r="AA990" s="17">
        <v>1</v>
      </c>
      <c r="AB990" s="33"/>
      <c r="AC990" s="33">
        <v>1</v>
      </c>
      <c r="AD990" s="33">
        <v>0.7</v>
      </c>
      <c r="AE990" s="33">
        <v>0.7</v>
      </c>
      <c r="AF990" s="33">
        <v>0.4</v>
      </c>
      <c r="AG990" s="33">
        <v>0.35</v>
      </c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hidden="1" customHeight="1" x14ac:dyDescent="0.25">
      <c r="A991" s="1" t="s">
        <v>5202</v>
      </c>
      <c r="B991" s="21" t="s">
        <v>5203</v>
      </c>
      <c r="C991" s="1">
        <v>1</v>
      </c>
      <c r="D991" s="1" t="s">
        <v>5205</v>
      </c>
      <c r="E991" s="7">
        <v>4618</v>
      </c>
      <c r="F991" s="7">
        <v>59</v>
      </c>
      <c r="G991" s="1">
        <v>109.4</v>
      </c>
      <c r="H991" s="34">
        <f ca="1">Tabela1[[#This Row],[PESO UNI]]*Tabela1[[#This Row],[QTE]]</f>
        <v>109.4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5105</v>
      </c>
      <c r="O991" s="12"/>
      <c r="P991" s="13"/>
      <c r="Q991" s="14">
        <f ca="1">Tabela1[[#This Row],[QTDE/ Fabricação]]-Tabela1[[#This Row],[QTE]]</f>
        <v>-1</v>
      </c>
      <c r="R991" s="18">
        <f t="shared" ca="1" si="193"/>
        <v>91.349000000000004</v>
      </c>
      <c r="S991" s="18">
        <f t="shared" ca="1" si="194"/>
        <v>38.29</v>
      </c>
      <c r="T991" s="19">
        <f t="shared" ca="1" si="195"/>
        <v>-71.110000000000014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 ca="1">IFERROR(Tabela1[[#This Row],[QIANTIDADE EXPEDIDA]]*Tabela1[[#This Row],[PESO UNI]],"")</f>
        <v>0</v>
      </c>
      <c r="Y991" s="14">
        <f t="shared" ca="1" si="196"/>
        <v>-1</v>
      </c>
      <c r="Z991" s="20">
        <f ca="1">Tabela1[[#This Row],[PESO TOTAL]]-Tabela1[[#This Row],[Peso Expedido]]</f>
        <v>109.4</v>
      </c>
      <c r="AA991" s="17">
        <v>1</v>
      </c>
      <c r="AB991" s="33"/>
      <c r="AC991" s="33">
        <v>1</v>
      </c>
      <c r="AD991" s="33">
        <v>0.7</v>
      </c>
      <c r="AE991" s="33">
        <v>0.7</v>
      </c>
      <c r="AF991" s="33">
        <v>0.4</v>
      </c>
      <c r="AG991" s="33">
        <v>0.35</v>
      </c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hidden="1" customHeight="1" x14ac:dyDescent="0.25">
      <c r="A992" s="1" t="s">
        <v>5206</v>
      </c>
      <c r="B992" s="21" t="s">
        <v>5207</v>
      </c>
      <c r="C992" s="1">
        <v>1</v>
      </c>
      <c r="D992" s="1" t="s">
        <v>5208</v>
      </c>
      <c r="E992" s="7">
        <v>4619</v>
      </c>
      <c r="F992" s="7">
        <v>59</v>
      </c>
      <c r="G992" s="1">
        <v>186.84</v>
      </c>
      <c r="H992" s="34">
        <f ca="1">Tabela1[[#This Row],[PESO UNI]]*Tabela1[[#This Row],[QTE]]</f>
        <v>186.84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5105</v>
      </c>
      <c r="O992" s="12"/>
      <c r="P992" s="13"/>
      <c r="Q992" s="14">
        <f ca="1">Tabela1[[#This Row],[QTDE/ Fabricação]]-Tabela1[[#This Row],[QTE]]</f>
        <v>-1</v>
      </c>
      <c r="R992" s="18">
        <f t="shared" ca="1" si="193"/>
        <v>156.01140000000001</v>
      </c>
      <c r="S992" s="18">
        <f t="shared" ca="1" si="194"/>
        <v>65.393999999999991</v>
      </c>
      <c r="T992" s="19">
        <f t="shared" ca="1" si="195"/>
        <v>-121.44600000000001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 ca="1">IFERROR(Tabela1[[#This Row],[QIANTIDADE EXPEDIDA]]*Tabela1[[#This Row],[PESO UNI]],"")</f>
        <v>0</v>
      </c>
      <c r="Y992" s="14">
        <f t="shared" ca="1" si="196"/>
        <v>-1</v>
      </c>
      <c r="Z992" s="20">
        <f ca="1">Tabela1[[#This Row],[PESO TOTAL]]-Tabela1[[#This Row],[Peso Expedido]]</f>
        <v>186.84</v>
      </c>
      <c r="AA992" s="17">
        <v>1</v>
      </c>
      <c r="AB992" s="33"/>
      <c r="AC992" s="33">
        <v>1</v>
      </c>
      <c r="AD992" s="33">
        <v>0.7</v>
      </c>
      <c r="AE992" s="33">
        <v>0.7</v>
      </c>
      <c r="AF992" s="33">
        <v>0.4</v>
      </c>
      <c r="AG992" s="33">
        <v>0.35</v>
      </c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hidden="1" customHeight="1" x14ac:dyDescent="0.25">
      <c r="A993" s="1" t="s">
        <v>5209</v>
      </c>
      <c r="B993" s="21" t="s">
        <v>5210</v>
      </c>
      <c r="C993" s="1">
        <v>1</v>
      </c>
      <c r="D993" s="1" t="s">
        <v>5211</v>
      </c>
      <c r="E993" s="7">
        <v>4620</v>
      </c>
      <c r="F993" s="7">
        <v>59</v>
      </c>
      <c r="G993" s="1">
        <v>145.27000000000001</v>
      </c>
      <c r="H993" s="34">
        <f ca="1">Tabela1[[#This Row],[PESO UNI]]*Tabela1[[#This Row],[QTE]]</f>
        <v>145.27000000000001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5105</v>
      </c>
      <c r="O993" s="12"/>
      <c r="P993" s="13"/>
      <c r="Q993" s="14">
        <f ca="1">Tabela1[[#This Row],[QTDE/ Fabricação]]-Tabela1[[#This Row],[QTE]]</f>
        <v>-1</v>
      </c>
      <c r="R993" s="18">
        <f t="shared" ref="R993:R1025" ca="1" si="197">IFERROR(H993*((AA993*0.25)+(AC993*0.25)+(AD993*0.225)+(AE993*0.225)+(AF993*0.05)),"")</f>
        <v>121.30045</v>
      </c>
      <c r="S993" s="18">
        <f t="shared" ref="S993:S1025" ca="1" si="198">IFERROR(H993*AG993,"")</f>
        <v>50.844500000000004</v>
      </c>
      <c r="T993" s="19">
        <f t="shared" ref="T993:T1025" ca="1" si="199">IFERROR(S993-H993,"")</f>
        <v>-94.4255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 ca="1">IFERROR(Tabela1[[#This Row],[QIANTIDADE EXPEDIDA]]*Tabela1[[#This Row],[PESO UNI]],"")</f>
        <v>0</v>
      </c>
      <c r="Y993" s="14">
        <f t="shared" ref="Y993:Y1025" ca="1" si="200">U993-C993</f>
        <v>-1</v>
      </c>
      <c r="Z993" s="20">
        <f ca="1">Tabela1[[#This Row],[PESO TOTAL]]-Tabela1[[#This Row],[Peso Expedido]]</f>
        <v>145.27000000000001</v>
      </c>
      <c r="AA993" s="17">
        <v>1</v>
      </c>
      <c r="AB993" s="33"/>
      <c r="AC993" s="33">
        <v>1</v>
      </c>
      <c r="AD993" s="33">
        <v>0.7</v>
      </c>
      <c r="AE993" s="33">
        <v>0.7</v>
      </c>
      <c r="AF993" s="33">
        <v>0.4</v>
      </c>
      <c r="AG993" s="33">
        <v>0.35</v>
      </c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hidden="1" customHeight="1" x14ac:dyDescent="0.25">
      <c r="A994" s="1" t="s">
        <v>5209</v>
      </c>
      <c r="B994" s="21" t="s">
        <v>5210</v>
      </c>
      <c r="C994" s="1">
        <v>4</v>
      </c>
      <c r="D994" s="1" t="s">
        <v>5212</v>
      </c>
      <c r="E994" s="7">
        <v>4621</v>
      </c>
      <c r="F994" s="7">
        <v>59</v>
      </c>
      <c r="G994" s="1">
        <v>1.53</v>
      </c>
      <c r="H994" s="34">
        <f ca="1">Tabela1[[#This Row],[PESO UNI]]*Tabela1[[#This Row],[QTE]]</f>
        <v>6.12</v>
      </c>
      <c r="I994" s="7">
        <v>0</v>
      </c>
      <c r="J994" s="8" t="s">
        <v>3045</v>
      </c>
      <c r="K994" s="8" t="s">
        <v>4320</v>
      </c>
      <c r="L994" s="9" t="s">
        <v>2984</v>
      </c>
      <c r="M994" s="10">
        <v>46251</v>
      </c>
      <c r="N994" s="8" t="s">
        <v>5105</v>
      </c>
      <c r="O994" s="12"/>
      <c r="P994" s="13"/>
      <c r="Q994" s="14">
        <f ca="1">Tabela1[[#This Row],[QTDE/ Fabricação]]-Tabela1[[#This Row],[QTE]]</f>
        <v>-4</v>
      </c>
      <c r="R994" s="18">
        <f t="shared" ca="1" si="197"/>
        <v>5.1101999999999999</v>
      </c>
      <c r="S994" s="18">
        <f t="shared" ca="1" si="198"/>
        <v>2.1419999999999999</v>
      </c>
      <c r="T994" s="19">
        <f t="shared" ca="1" si="199"/>
        <v>-3.9780000000000002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 ca="1">IFERROR(Tabela1[[#This Row],[QIANTIDADE EXPEDIDA]]*Tabela1[[#This Row],[PESO UNI]],"")</f>
        <v>0</v>
      </c>
      <c r="Y994" s="14">
        <f t="shared" ca="1" si="200"/>
        <v>-4</v>
      </c>
      <c r="Z994" s="20">
        <f ca="1">Tabela1[[#This Row],[PESO TOTAL]]-Tabela1[[#This Row],[Peso Expedido]]</f>
        <v>6.12</v>
      </c>
      <c r="AA994" s="17">
        <v>1</v>
      </c>
      <c r="AB994" s="33"/>
      <c r="AC994" s="33">
        <v>1</v>
      </c>
      <c r="AD994" s="33">
        <v>0.7</v>
      </c>
      <c r="AE994" s="33">
        <v>0.7</v>
      </c>
      <c r="AF994" s="33">
        <v>0.4</v>
      </c>
      <c r="AG994" s="33">
        <v>0.35</v>
      </c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hidden="1" customHeight="1" x14ac:dyDescent="0.25">
      <c r="A995" s="1" t="s">
        <v>5209</v>
      </c>
      <c r="B995" s="21" t="s">
        <v>5210</v>
      </c>
      <c r="C995" s="1">
        <v>2</v>
      </c>
      <c r="D995" s="1" t="s">
        <v>5213</v>
      </c>
      <c r="E995" s="7">
        <v>4622</v>
      </c>
      <c r="F995" s="7">
        <v>59</v>
      </c>
      <c r="G995" s="1">
        <v>1.56</v>
      </c>
      <c r="H995" s="34">
        <f ca="1">Tabela1[[#This Row],[PESO UNI]]*Tabela1[[#This Row],[QTE]]</f>
        <v>3.12</v>
      </c>
      <c r="I995" s="7">
        <v>0</v>
      </c>
      <c r="J995" s="8" t="s">
        <v>3045</v>
      </c>
      <c r="K995" s="8" t="s">
        <v>4320</v>
      </c>
      <c r="L995" s="9" t="s">
        <v>2984</v>
      </c>
      <c r="M995" s="10">
        <v>46251</v>
      </c>
      <c r="N995" s="8" t="s">
        <v>5105</v>
      </c>
      <c r="O995" s="12"/>
      <c r="P995" s="13"/>
      <c r="Q995" s="14">
        <f ca="1">Tabela1[[#This Row],[QTDE/ Fabricação]]-Tabela1[[#This Row],[QTE]]</f>
        <v>-2</v>
      </c>
      <c r="R995" s="18">
        <f t="shared" ca="1" si="197"/>
        <v>2.6052</v>
      </c>
      <c r="S995" s="18">
        <f t="shared" ca="1" si="198"/>
        <v>1.0919999999999999</v>
      </c>
      <c r="T995" s="19">
        <f t="shared" ca="1" si="199"/>
        <v>-2.0280000000000005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 ca="1">IFERROR(Tabela1[[#This Row],[QIANTIDADE EXPEDIDA]]*Tabela1[[#This Row],[PESO UNI]],"")</f>
        <v>0</v>
      </c>
      <c r="Y995" s="14">
        <f t="shared" ca="1" si="200"/>
        <v>-2</v>
      </c>
      <c r="Z995" s="20">
        <f ca="1">Tabela1[[#This Row],[PESO TOTAL]]-Tabela1[[#This Row],[Peso Expedido]]</f>
        <v>3.12</v>
      </c>
      <c r="AA995" s="17">
        <v>1</v>
      </c>
      <c r="AB995" s="33"/>
      <c r="AC995" s="33">
        <v>1</v>
      </c>
      <c r="AD995" s="33">
        <v>0.7</v>
      </c>
      <c r="AE995" s="33">
        <v>0.7</v>
      </c>
      <c r="AF995" s="33">
        <v>0.4</v>
      </c>
      <c r="AG995" s="33">
        <v>0.35</v>
      </c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hidden="1" customHeight="1" x14ac:dyDescent="0.25">
      <c r="A996" s="1" t="s">
        <v>5214</v>
      </c>
      <c r="B996" s="21" t="s">
        <v>5215</v>
      </c>
      <c r="C996" s="1">
        <v>2</v>
      </c>
      <c r="D996" s="1" t="s">
        <v>5216</v>
      </c>
      <c r="E996" s="7">
        <v>4623</v>
      </c>
      <c r="F996" s="7">
        <v>59</v>
      </c>
      <c r="G996" s="1">
        <v>150.6</v>
      </c>
      <c r="H996" s="34">
        <f ca="1">Tabela1[[#This Row],[PESO UNI]]*Tabela1[[#This Row],[QTE]]</f>
        <v>301.2</v>
      </c>
      <c r="I996" s="7">
        <v>0</v>
      </c>
      <c r="J996" s="8" t="s">
        <v>3045</v>
      </c>
      <c r="K996" s="8" t="s">
        <v>4320</v>
      </c>
      <c r="L996" s="9" t="s">
        <v>2984</v>
      </c>
      <c r="M996" s="10">
        <v>46251</v>
      </c>
      <c r="N996" s="8" t="s">
        <v>5105</v>
      </c>
      <c r="O996" s="12"/>
      <c r="P996" s="13"/>
      <c r="Q996" s="14">
        <f ca="1">Tabela1[[#This Row],[QTDE/ Fabricação]]-Tabela1[[#This Row],[QTE]]</f>
        <v>-2</v>
      </c>
      <c r="R996" s="18" t="str">
        <f ca="1">IFERROR(H996*((AA996*0.25)+(#REF!*0.25)+(#REF!*0.225)+(#REF!*0.225)+(#REF!*0.05)),"")</f>
        <v/>
      </c>
      <c r="S996" s="18" t="str">
        <f ca="1">IFERROR(H996*#REF!,"")</f>
        <v/>
      </c>
      <c r="T996" s="19" t="str">
        <f t="shared" ca="1" si="199"/>
        <v/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 ca="1">IFERROR(Tabela1[[#This Row],[QIANTIDADE EXPEDIDA]]*Tabela1[[#This Row],[PESO UNI]],"")</f>
        <v>0</v>
      </c>
      <c r="Y996" s="14">
        <f t="shared" ca="1" si="200"/>
        <v>-2</v>
      </c>
      <c r="Z996" s="20">
        <f ca="1">Tabela1[[#This Row],[PESO TOTAL]]-Tabela1[[#This Row],[Peso Expedido]]</f>
        <v>301.2</v>
      </c>
      <c r="AA996" s="17">
        <v>1</v>
      </c>
      <c r="AB996" s="33"/>
      <c r="AC996" s="33">
        <v>1</v>
      </c>
      <c r="AD996" s="33">
        <v>0.7</v>
      </c>
      <c r="AE996" s="33">
        <v>0.7</v>
      </c>
      <c r="AF996" s="33">
        <v>0.4</v>
      </c>
      <c r="AG996" s="33">
        <v>0.35</v>
      </c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hidden="1" customHeight="1" x14ac:dyDescent="0.25">
      <c r="A997" s="1" t="s">
        <v>5214</v>
      </c>
      <c r="B997" s="21" t="s">
        <v>5215</v>
      </c>
      <c r="C997" s="1">
        <v>3</v>
      </c>
      <c r="D997" s="1" t="s">
        <v>5217</v>
      </c>
      <c r="E997" s="7">
        <v>4624</v>
      </c>
      <c r="F997" s="7">
        <v>59</v>
      </c>
      <c r="G997" s="1">
        <v>50.54</v>
      </c>
      <c r="H997" s="34">
        <f ca="1">Tabela1[[#This Row],[PESO UNI]]*Tabela1[[#This Row],[QTE]]</f>
        <v>151.62</v>
      </c>
      <c r="I997" s="7">
        <v>0</v>
      </c>
      <c r="J997" s="8" t="s">
        <v>3045</v>
      </c>
      <c r="K997" s="8" t="s">
        <v>4320</v>
      </c>
      <c r="L997" s="9" t="s">
        <v>2984</v>
      </c>
      <c r="M997" s="10">
        <v>46251</v>
      </c>
      <c r="N997" s="8" t="s">
        <v>5105</v>
      </c>
      <c r="O997" s="12"/>
      <c r="P997" s="13"/>
      <c r="Q997" s="14">
        <f ca="1">Tabela1[[#This Row],[QTDE/ Fabricação]]-Tabela1[[#This Row],[QTE]]</f>
        <v>-3</v>
      </c>
      <c r="R997" s="18">
        <f ca="1">IFERROR(H997*((AA997*0.25)+(AC996*0.25)+(AD996*0.225)+(AE996*0.225)+(AF996*0.05)),"")</f>
        <v>126.6027</v>
      </c>
      <c r="S997" s="18">
        <f ca="1">IFERROR(H997*AG996,"")</f>
        <v>53.067</v>
      </c>
      <c r="T997" s="19">
        <f t="shared" ca="1" si="199"/>
        <v>-98.552999999999997</v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 ca="1">IFERROR(Tabela1[[#This Row],[QIANTIDADE EXPEDIDA]]*Tabela1[[#This Row],[PESO UNI]],"")</f>
        <v>0</v>
      </c>
      <c r="Y997" s="14">
        <f t="shared" ca="1" si="200"/>
        <v>-3</v>
      </c>
      <c r="Z997" s="20">
        <f ca="1">Tabela1[[#This Row],[PESO TOTAL]]-Tabela1[[#This Row],[Peso Expedido]]</f>
        <v>151.62</v>
      </c>
      <c r="AA997" s="17">
        <v>1</v>
      </c>
      <c r="AB997" s="33"/>
      <c r="AC997" s="33">
        <v>1</v>
      </c>
      <c r="AD997" s="33">
        <v>0.7</v>
      </c>
      <c r="AE997" s="33">
        <v>0.7</v>
      </c>
      <c r="AF997" s="33">
        <v>0.4</v>
      </c>
      <c r="AG997" s="33">
        <v>0.35</v>
      </c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hidden="1" customHeight="1" x14ac:dyDescent="0.25">
      <c r="A998" s="1" t="s">
        <v>5214</v>
      </c>
      <c r="B998" s="21" t="s">
        <v>5215</v>
      </c>
      <c r="C998" s="1">
        <v>1</v>
      </c>
      <c r="D998" s="1" t="s">
        <v>5218</v>
      </c>
      <c r="E998" s="7">
        <v>4625</v>
      </c>
      <c r="F998" s="7">
        <v>59</v>
      </c>
      <c r="G998" s="1">
        <v>116.11</v>
      </c>
      <c r="H998" s="34">
        <f ca="1">Tabela1[[#This Row],[PESO UNI]]*Tabela1[[#This Row],[QTE]]</f>
        <v>116.11</v>
      </c>
      <c r="I998" s="7">
        <v>0</v>
      </c>
      <c r="J998" s="8" t="s">
        <v>3045</v>
      </c>
      <c r="K998" s="8" t="s">
        <v>4320</v>
      </c>
      <c r="L998" s="9" t="s">
        <v>2984</v>
      </c>
      <c r="M998" s="10">
        <v>46251</v>
      </c>
      <c r="N998" s="8" t="s">
        <v>5105</v>
      </c>
      <c r="O998" s="12"/>
      <c r="P998" s="13"/>
      <c r="Q998" s="14">
        <f ca="1">Tabela1[[#This Row],[QTDE/ Fabricação]]-Tabela1[[#This Row],[QTE]]</f>
        <v>-1</v>
      </c>
      <c r="R998" s="18">
        <f t="shared" ca="1" si="197"/>
        <v>96.951849999999993</v>
      </c>
      <c r="S998" s="18">
        <f t="shared" ca="1" si="198"/>
        <v>40.638500000000001</v>
      </c>
      <c r="T998" s="19">
        <f t="shared" ca="1" si="199"/>
        <v>-75.471499999999992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 ca="1">IFERROR(Tabela1[[#This Row],[QIANTIDADE EXPEDIDA]]*Tabela1[[#This Row],[PESO UNI]],"")</f>
        <v>0</v>
      </c>
      <c r="Y998" s="14">
        <f t="shared" ca="1" si="200"/>
        <v>-1</v>
      </c>
      <c r="Z998" s="20">
        <f ca="1">Tabela1[[#This Row],[PESO TOTAL]]-Tabela1[[#This Row],[Peso Expedido]]</f>
        <v>116.11</v>
      </c>
      <c r="AA998" s="17">
        <v>1</v>
      </c>
      <c r="AB998" s="33"/>
      <c r="AC998" s="33">
        <v>1</v>
      </c>
      <c r="AD998" s="33">
        <v>0.7</v>
      </c>
      <c r="AE998" s="33">
        <v>0.7</v>
      </c>
      <c r="AF998" s="33">
        <v>0.4</v>
      </c>
      <c r="AG998" s="33">
        <v>0.35</v>
      </c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hidden="1" customHeight="1" x14ac:dyDescent="0.25">
      <c r="A999" s="1" t="s">
        <v>5214</v>
      </c>
      <c r="B999" s="21" t="s">
        <v>5215</v>
      </c>
      <c r="C999" s="1">
        <v>1</v>
      </c>
      <c r="D999" s="1" t="s">
        <v>5219</v>
      </c>
      <c r="E999" s="7">
        <v>4626</v>
      </c>
      <c r="F999" s="7">
        <v>59</v>
      </c>
      <c r="G999" s="1">
        <v>112.71</v>
      </c>
      <c r="H999" s="34">
        <f ca="1">Tabela1[[#This Row],[PESO UNI]]*Tabela1[[#This Row],[QTE]]</f>
        <v>112.71</v>
      </c>
      <c r="I999" s="7">
        <v>0</v>
      </c>
      <c r="J999" s="8" t="s">
        <v>3045</v>
      </c>
      <c r="K999" s="8" t="s">
        <v>4320</v>
      </c>
      <c r="L999" s="9" t="s">
        <v>2984</v>
      </c>
      <c r="M999" s="10">
        <v>46251</v>
      </c>
      <c r="N999" s="8" t="s">
        <v>5105</v>
      </c>
      <c r="O999" s="12"/>
      <c r="P999" s="13"/>
      <c r="Q999" s="14">
        <f ca="1">Tabela1[[#This Row],[QTDE/ Fabricação]]-Tabela1[[#This Row],[QTE]]</f>
        <v>-1</v>
      </c>
      <c r="R999" s="18">
        <f t="shared" ca="1" si="197"/>
        <v>94.112849999999995</v>
      </c>
      <c r="S999" s="18">
        <f t="shared" ca="1" si="198"/>
        <v>39.448499999999996</v>
      </c>
      <c r="T999" s="19">
        <f t="shared" ca="1" si="199"/>
        <v>-73.261499999999998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 ca="1">IFERROR(Tabela1[[#This Row],[QIANTIDADE EXPEDIDA]]*Tabela1[[#This Row],[PESO UNI]],"")</f>
        <v>0</v>
      </c>
      <c r="Y999" s="14">
        <f t="shared" ca="1" si="200"/>
        <v>-1</v>
      </c>
      <c r="Z999" s="20">
        <f ca="1">Tabela1[[#This Row],[PESO TOTAL]]-Tabela1[[#This Row],[Peso Expedido]]</f>
        <v>112.71</v>
      </c>
      <c r="AA999" s="17">
        <v>1</v>
      </c>
      <c r="AB999" s="33"/>
      <c r="AC999" s="33">
        <v>1</v>
      </c>
      <c r="AD999" s="33">
        <v>0.7</v>
      </c>
      <c r="AE999" s="33">
        <v>0.7</v>
      </c>
      <c r="AF999" s="33">
        <v>0.4</v>
      </c>
      <c r="AG999" s="33">
        <v>0.35</v>
      </c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hidden="1" customHeight="1" x14ac:dyDescent="0.25">
      <c r="A1000" s="1" t="s">
        <v>5220</v>
      </c>
      <c r="B1000" s="21" t="s">
        <v>5221</v>
      </c>
      <c r="C1000" s="1">
        <v>1</v>
      </c>
      <c r="D1000" s="1" t="s">
        <v>5222</v>
      </c>
      <c r="E1000" s="7">
        <v>4627</v>
      </c>
      <c r="F1000" s="7">
        <v>61</v>
      </c>
      <c r="G1000" s="1">
        <v>372</v>
      </c>
      <c r="H1000" s="34">
        <f ca="1">Tabela1[[#This Row],[PESO UNI]]*Tabela1[[#This Row],[QTE]]</f>
        <v>372</v>
      </c>
      <c r="I1000" s="7" t="s">
        <v>5281</v>
      </c>
      <c r="J1000" s="8" t="s">
        <v>3045</v>
      </c>
      <c r="K1000" s="8" t="s">
        <v>4320</v>
      </c>
      <c r="L1000" s="9" t="s">
        <v>2984</v>
      </c>
      <c r="M1000" s="10">
        <v>46251</v>
      </c>
      <c r="N1000" s="8" t="s">
        <v>5105</v>
      </c>
      <c r="O1000" s="12"/>
      <c r="P1000" s="13"/>
      <c r="Q1000" s="14">
        <f ca="1">Tabela1[[#This Row],[QTDE/ Fabricação]]-Tabela1[[#This Row],[QTE]]</f>
        <v>-1</v>
      </c>
      <c r="R1000" s="18">
        <f t="shared" ca="1" si="197"/>
        <v>310.62</v>
      </c>
      <c r="S1000" s="18">
        <f t="shared" ca="1" si="198"/>
        <v>130.19999999999999</v>
      </c>
      <c r="T1000" s="19">
        <f t="shared" ca="1" si="199"/>
        <v>-241.8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 ca="1">IFERROR(Tabela1[[#This Row],[QIANTIDADE EXPEDIDA]]*Tabela1[[#This Row],[PESO UNI]],"")</f>
        <v>0</v>
      </c>
      <c r="Y1000" s="14">
        <f t="shared" ca="1" si="200"/>
        <v>-1</v>
      </c>
      <c r="Z1000" s="20">
        <f ca="1">Tabela1[[#This Row],[PESO TOTAL]]-Tabela1[[#This Row],[Peso Expedido]]</f>
        <v>372</v>
      </c>
      <c r="AA1000" s="17">
        <v>1</v>
      </c>
      <c r="AB1000" s="33"/>
      <c r="AC1000" s="33">
        <v>1</v>
      </c>
      <c r="AD1000" s="33">
        <v>0.7</v>
      </c>
      <c r="AE1000" s="33">
        <v>0.7</v>
      </c>
      <c r="AF1000" s="33">
        <v>0.4</v>
      </c>
      <c r="AG1000" s="33">
        <v>0.35</v>
      </c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hidden="1" customHeight="1" x14ac:dyDescent="0.25">
      <c r="A1001" s="1" t="s">
        <v>5220</v>
      </c>
      <c r="B1001" s="21" t="s">
        <v>5221</v>
      </c>
      <c r="C1001" s="1">
        <v>4</v>
      </c>
      <c r="D1001" s="1" t="s">
        <v>5223</v>
      </c>
      <c r="E1001" s="7">
        <v>4628</v>
      </c>
      <c r="F1001" s="7">
        <v>61</v>
      </c>
      <c r="G1001" s="1">
        <v>6.5</v>
      </c>
      <c r="H1001" s="34">
        <f ca="1">Tabela1[[#This Row],[PESO UNI]]*Tabela1[[#This Row],[QTE]]</f>
        <v>26</v>
      </c>
      <c r="I1001" s="7" t="s">
        <v>5281</v>
      </c>
      <c r="J1001" s="8" t="s">
        <v>3045</v>
      </c>
      <c r="K1001" s="8" t="s">
        <v>4320</v>
      </c>
      <c r="L1001" s="9" t="s">
        <v>2984</v>
      </c>
      <c r="M1001" s="10">
        <v>46251</v>
      </c>
      <c r="N1001" s="8" t="s">
        <v>5105</v>
      </c>
      <c r="O1001" s="12"/>
      <c r="P1001" s="13"/>
      <c r="Q1001" s="14">
        <f ca="1">Tabela1[[#This Row],[QTDE/ Fabricação]]-Tabela1[[#This Row],[QTE]]</f>
        <v>-4</v>
      </c>
      <c r="R1001" s="18">
        <f t="shared" ca="1" si="197"/>
        <v>21.71</v>
      </c>
      <c r="S1001" s="18">
        <f t="shared" ca="1" si="198"/>
        <v>9.1</v>
      </c>
      <c r="T1001" s="19">
        <f t="shared" ca="1" si="199"/>
        <v>-16.899999999999999</v>
      </c>
      <c r="U1001" s="16">
        <f>IFERROR(SUMIF('LISTA DE EMBARQUE'!B:B,MICRO!E:E,'LISTA DE EMBARQUE'!G:G),"")</f>
        <v>0</v>
      </c>
      <c r="V1001" s="12" t="str">
        <f>IFERROR(VLOOKUP(Tabela1[[#This Row],[COD.MDE]],'LISTA DE EMBARQUE'!B:L,11,0),"")</f>
        <v/>
      </c>
      <c r="W1001" s="13" t="str">
        <f>IFERROR(VLOOKUP(Tabela1[[#This Row],[COD.MDE]],'LISTA DE EMBARQUE'!B:M,12,0),"")</f>
        <v/>
      </c>
      <c r="X1001" s="14">
        <f ca="1">IFERROR(Tabela1[[#This Row],[QIANTIDADE EXPEDIDA]]*Tabela1[[#This Row],[PESO UNI]],"")</f>
        <v>0</v>
      </c>
      <c r="Y1001" s="14">
        <f t="shared" ca="1" si="200"/>
        <v>-4</v>
      </c>
      <c r="Z1001" s="20">
        <f ca="1">Tabela1[[#This Row],[PESO TOTAL]]-Tabela1[[#This Row],[Peso Expedido]]</f>
        <v>26</v>
      </c>
      <c r="AA1001" s="17">
        <v>1</v>
      </c>
      <c r="AB1001" s="33"/>
      <c r="AC1001" s="33">
        <v>1</v>
      </c>
      <c r="AD1001" s="33">
        <v>0.7</v>
      </c>
      <c r="AE1001" s="33">
        <v>0.7</v>
      </c>
      <c r="AF1001" s="33">
        <v>0.4</v>
      </c>
      <c r="AG1001" s="33">
        <v>0.35</v>
      </c>
      <c r="AH1001" s="33"/>
      <c r="AI1001" s="33"/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hidden="1" customHeight="1" x14ac:dyDescent="0.25">
      <c r="A1002" s="1" t="s">
        <v>5220</v>
      </c>
      <c r="B1002" s="21" t="s">
        <v>5221</v>
      </c>
      <c r="C1002" s="1">
        <v>8</v>
      </c>
      <c r="D1002" s="1" t="s">
        <v>5224</v>
      </c>
      <c r="E1002" s="7">
        <v>4629</v>
      </c>
      <c r="F1002" s="7">
        <v>61</v>
      </c>
      <c r="G1002" s="1">
        <v>2.1</v>
      </c>
      <c r="H1002" s="34">
        <f ca="1">Tabela1[[#This Row],[PESO UNI]]*Tabela1[[#This Row],[QTE]]</f>
        <v>16.8</v>
      </c>
      <c r="I1002" s="7" t="s">
        <v>5281</v>
      </c>
      <c r="J1002" s="8" t="s">
        <v>3045</v>
      </c>
      <c r="K1002" s="8" t="s">
        <v>4320</v>
      </c>
      <c r="L1002" s="9" t="s">
        <v>2984</v>
      </c>
      <c r="M1002" s="10">
        <v>46251</v>
      </c>
      <c r="N1002" s="8" t="s">
        <v>5105</v>
      </c>
      <c r="O1002" s="12"/>
      <c r="P1002" s="13"/>
      <c r="Q1002" s="14">
        <f ca="1">Tabela1[[#This Row],[QTDE/ Fabricação]]-Tabela1[[#This Row],[QTE]]</f>
        <v>-8</v>
      </c>
      <c r="R1002" s="18">
        <f t="shared" ca="1" si="197"/>
        <v>14.028</v>
      </c>
      <c r="S1002" s="18">
        <f t="shared" ca="1" si="198"/>
        <v>5.88</v>
      </c>
      <c r="T1002" s="19">
        <f t="shared" ca="1" si="199"/>
        <v>-10.920000000000002</v>
      </c>
      <c r="U1002" s="16">
        <f>IFERROR(SUMIF('LISTA DE EMBARQUE'!B:B,MICRO!E:E,'LISTA DE EMBARQUE'!G:G),"")</f>
        <v>0</v>
      </c>
      <c r="V1002" s="12" t="str">
        <f>IFERROR(VLOOKUP(Tabela1[[#This Row],[COD.MDE]],'LISTA DE EMBARQUE'!B:L,11,0),"")</f>
        <v/>
      </c>
      <c r="W1002" s="13" t="str">
        <f>IFERROR(VLOOKUP(Tabela1[[#This Row],[COD.MDE]],'LISTA DE EMBARQUE'!B:M,12,0),"")</f>
        <v/>
      </c>
      <c r="X1002" s="14">
        <f ca="1">IFERROR(Tabela1[[#This Row],[QIANTIDADE EXPEDIDA]]*Tabela1[[#This Row],[PESO UNI]],"")</f>
        <v>0</v>
      </c>
      <c r="Y1002" s="14">
        <f t="shared" ca="1" si="200"/>
        <v>-8</v>
      </c>
      <c r="Z1002" s="20">
        <f ca="1">Tabela1[[#This Row],[PESO TOTAL]]-Tabela1[[#This Row],[Peso Expedido]]</f>
        <v>16.8</v>
      </c>
      <c r="AA1002" s="17">
        <v>1</v>
      </c>
      <c r="AB1002" s="33"/>
      <c r="AC1002" s="33">
        <v>1</v>
      </c>
      <c r="AD1002" s="33">
        <v>0.7</v>
      </c>
      <c r="AE1002" s="33">
        <v>0.7</v>
      </c>
      <c r="AF1002" s="33">
        <v>0.4</v>
      </c>
      <c r="AG1002" s="33">
        <v>0.35</v>
      </c>
      <c r="AH1002" s="33"/>
      <c r="AI1002" s="33"/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hidden="1" customHeight="1" x14ac:dyDescent="0.25">
      <c r="A1003" s="1" t="s">
        <v>5220</v>
      </c>
      <c r="B1003" s="21" t="s">
        <v>5221</v>
      </c>
      <c r="C1003" s="1">
        <v>2</v>
      </c>
      <c r="D1003" s="1" t="s">
        <v>5225</v>
      </c>
      <c r="E1003" s="7">
        <v>4630</v>
      </c>
      <c r="F1003" s="7">
        <v>61</v>
      </c>
      <c r="G1003" s="1">
        <v>1.6</v>
      </c>
      <c r="H1003" s="34">
        <f ca="1">Tabela1[[#This Row],[PESO UNI]]*Tabela1[[#This Row],[QTE]]</f>
        <v>3.2</v>
      </c>
      <c r="I1003" s="7" t="s">
        <v>5281</v>
      </c>
      <c r="J1003" s="8" t="s">
        <v>3045</v>
      </c>
      <c r="K1003" s="8" t="s">
        <v>4320</v>
      </c>
      <c r="L1003" s="9" t="s">
        <v>2984</v>
      </c>
      <c r="M1003" s="10">
        <v>46251</v>
      </c>
      <c r="N1003" s="8" t="s">
        <v>5105</v>
      </c>
      <c r="O1003" s="12"/>
      <c r="P1003" s="13"/>
      <c r="Q1003" s="14">
        <f ca="1">Tabela1[[#This Row],[QTDE/ Fabricação]]-Tabela1[[#This Row],[QTE]]</f>
        <v>-2</v>
      </c>
      <c r="R1003" s="18">
        <f t="shared" ca="1" si="197"/>
        <v>2.6720000000000002</v>
      </c>
      <c r="S1003" s="18">
        <f t="shared" ca="1" si="198"/>
        <v>1.1199999999999999</v>
      </c>
      <c r="T1003" s="19">
        <f t="shared" ca="1" si="199"/>
        <v>-2.08</v>
      </c>
      <c r="U1003" s="16">
        <f>IFERROR(SUMIF('LISTA DE EMBARQUE'!B:B,MICRO!E:E,'LISTA DE EMBARQUE'!G:G),"")</f>
        <v>0</v>
      </c>
      <c r="V1003" s="12" t="str">
        <f>IFERROR(VLOOKUP(Tabela1[[#This Row],[COD.MDE]],'LISTA DE EMBARQUE'!B:L,11,0),"")</f>
        <v/>
      </c>
      <c r="W1003" s="13" t="str">
        <f>IFERROR(VLOOKUP(Tabela1[[#This Row],[COD.MDE]],'LISTA DE EMBARQUE'!B:M,12,0),"")</f>
        <v/>
      </c>
      <c r="X1003" s="14">
        <f ca="1">IFERROR(Tabela1[[#This Row],[QIANTIDADE EXPEDIDA]]*Tabela1[[#This Row],[PESO UNI]],"")</f>
        <v>0</v>
      </c>
      <c r="Y1003" s="14">
        <f t="shared" ca="1" si="200"/>
        <v>-2</v>
      </c>
      <c r="Z1003" s="20">
        <f ca="1">Tabela1[[#This Row],[PESO TOTAL]]-Tabela1[[#This Row],[Peso Expedido]]</f>
        <v>3.2</v>
      </c>
      <c r="AA1003" s="17">
        <v>1</v>
      </c>
      <c r="AB1003" s="33"/>
      <c r="AC1003" s="33">
        <v>1</v>
      </c>
      <c r="AD1003" s="33">
        <v>0.7</v>
      </c>
      <c r="AE1003" s="33">
        <v>0.7</v>
      </c>
      <c r="AF1003" s="33">
        <v>0.4</v>
      </c>
      <c r="AG1003" s="33">
        <v>0.35</v>
      </c>
      <c r="AH1003" s="33"/>
      <c r="AI1003" s="33"/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hidden="1" customHeight="1" x14ac:dyDescent="0.25">
      <c r="A1004" s="1" t="s">
        <v>5220</v>
      </c>
      <c r="B1004" s="21" t="s">
        <v>5221</v>
      </c>
      <c r="C1004" s="1">
        <v>4</v>
      </c>
      <c r="D1004" s="1" t="s">
        <v>5226</v>
      </c>
      <c r="E1004" s="7">
        <v>4631</v>
      </c>
      <c r="F1004" s="7">
        <v>61</v>
      </c>
      <c r="G1004" s="1">
        <v>0.3</v>
      </c>
      <c r="H1004" s="34">
        <f ca="1">Tabela1[[#This Row],[PESO UNI]]*Tabela1[[#This Row],[QTE]]</f>
        <v>1.2</v>
      </c>
      <c r="I1004" s="7" t="s">
        <v>5281</v>
      </c>
      <c r="J1004" s="8" t="s">
        <v>3045</v>
      </c>
      <c r="K1004" s="8" t="s">
        <v>4320</v>
      </c>
      <c r="L1004" s="9" t="s">
        <v>2984</v>
      </c>
      <c r="M1004" s="10">
        <v>46251</v>
      </c>
      <c r="N1004" s="8" t="s">
        <v>5105</v>
      </c>
      <c r="O1004" s="12"/>
      <c r="P1004" s="13"/>
      <c r="Q1004" s="14">
        <f ca="1">Tabela1[[#This Row],[QTDE/ Fabricação]]-Tabela1[[#This Row],[QTE]]</f>
        <v>-4</v>
      </c>
      <c r="R1004" s="18">
        <f t="shared" ca="1" si="197"/>
        <v>1.002</v>
      </c>
      <c r="S1004" s="18">
        <f t="shared" ca="1" si="198"/>
        <v>0.42</v>
      </c>
      <c r="T1004" s="19">
        <f t="shared" ca="1" si="199"/>
        <v>-0.78</v>
      </c>
      <c r="U1004" s="16">
        <f>IFERROR(SUMIF('LISTA DE EMBARQUE'!B:B,MICRO!E:E,'LISTA DE EMBARQUE'!G:G),"")</f>
        <v>0</v>
      </c>
      <c r="V1004" s="12" t="str">
        <f>IFERROR(VLOOKUP(Tabela1[[#This Row],[COD.MDE]],'LISTA DE EMBARQUE'!B:L,11,0),"")</f>
        <v/>
      </c>
      <c r="W1004" s="13" t="str">
        <f>IFERROR(VLOOKUP(Tabela1[[#This Row],[COD.MDE]],'LISTA DE EMBARQUE'!B:M,12,0),"")</f>
        <v/>
      </c>
      <c r="X1004" s="14">
        <f ca="1">IFERROR(Tabela1[[#This Row],[QIANTIDADE EXPEDIDA]]*Tabela1[[#This Row],[PESO UNI]],"")</f>
        <v>0</v>
      </c>
      <c r="Y1004" s="14">
        <f t="shared" ca="1" si="200"/>
        <v>-4</v>
      </c>
      <c r="Z1004" s="20">
        <f ca="1">Tabela1[[#This Row],[PESO TOTAL]]-Tabela1[[#This Row],[Peso Expedido]]</f>
        <v>1.2</v>
      </c>
      <c r="AA1004" s="17">
        <v>1</v>
      </c>
      <c r="AB1004" s="33"/>
      <c r="AC1004" s="33">
        <v>1</v>
      </c>
      <c r="AD1004" s="33">
        <v>0.7</v>
      </c>
      <c r="AE1004" s="33">
        <v>0.7</v>
      </c>
      <c r="AF1004" s="33">
        <v>0.4</v>
      </c>
      <c r="AG1004" s="33">
        <v>0.35</v>
      </c>
      <c r="AH1004" s="33"/>
      <c r="AI1004" s="33"/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hidden="1" customHeight="1" x14ac:dyDescent="0.25">
      <c r="A1005" s="1" t="s">
        <v>5220</v>
      </c>
      <c r="B1005" s="21" t="s">
        <v>5221</v>
      </c>
      <c r="C1005" s="1">
        <v>2</v>
      </c>
      <c r="D1005" s="1" t="s">
        <v>5227</v>
      </c>
      <c r="E1005" s="7">
        <v>4632</v>
      </c>
      <c r="F1005" s="7">
        <v>61</v>
      </c>
      <c r="G1005" s="1">
        <v>14.4</v>
      </c>
      <c r="H1005" s="34">
        <f ca="1">Tabela1[[#This Row],[PESO UNI]]*Tabela1[[#This Row],[QTE]]</f>
        <v>28.8</v>
      </c>
      <c r="I1005" s="7" t="s">
        <v>5281</v>
      </c>
      <c r="J1005" s="8" t="s">
        <v>3045</v>
      </c>
      <c r="K1005" s="8" t="s">
        <v>4320</v>
      </c>
      <c r="L1005" s="9" t="s">
        <v>2984</v>
      </c>
      <c r="M1005" s="10">
        <v>46251</v>
      </c>
      <c r="N1005" s="8" t="s">
        <v>5105</v>
      </c>
      <c r="O1005" s="12"/>
      <c r="P1005" s="13"/>
      <c r="Q1005" s="14">
        <f ca="1">Tabela1[[#This Row],[QTDE/ Fabricação]]-Tabela1[[#This Row],[QTE]]</f>
        <v>-2</v>
      </c>
      <c r="R1005" s="18">
        <f t="shared" ca="1" si="197"/>
        <v>24.047999999999998</v>
      </c>
      <c r="S1005" s="18">
        <f t="shared" ca="1" si="198"/>
        <v>10.08</v>
      </c>
      <c r="T1005" s="19">
        <f t="shared" ca="1" si="199"/>
        <v>-18.72</v>
      </c>
      <c r="U1005" s="16">
        <f>IFERROR(SUMIF('LISTA DE EMBARQUE'!B:B,MICRO!E:E,'LISTA DE EMBARQUE'!G:G),"")</f>
        <v>0</v>
      </c>
      <c r="V1005" s="12" t="str">
        <f>IFERROR(VLOOKUP(Tabela1[[#This Row],[COD.MDE]],'LISTA DE EMBARQUE'!B:L,11,0),"")</f>
        <v/>
      </c>
      <c r="W1005" s="13" t="str">
        <f>IFERROR(VLOOKUP(Tabela1[[#This Row],[COD.MDE]],'LISTA DE EMBARQUE'!B:M,12,0),"")</f>
        <v/>
      </c>
      <c r="X1005" s="14">
        <f ca="1">IFERROR(Tabela1[[#This Row],[QIANTIDADE EXPEDIDA]]*Tabela1[[#This Row],[PESO UNI]],"")</f>
        <v>0</v>
      </c>
      <c r="Y1005" s="14">
        <f t="shared" ca="1" si="200"/>
        <v>-2</v>
      </c>
      <c r="Z1005" s="20">
        <f ca="1">Tabela1[[#This Row],[PESO TOTAL]]-Tabela1[[#This Row],[Peso Expedido]]</f>
        <v>28.8</v>
      </c>
      <c r="AA1005" s="17">
        <v>1</v>
      </c>
      <c r="AB1005" s="33"/>
      <c r="AC1005" s="33">
        <v>1</v>
      </c>
      <c r="AD1005" s="33">
        <v>0.7</v>
      </c>
      <c r="AE1005" s="33">
        <v>0.7</v>
      </c>
      <c r="AF1005" s="33">
        <v>0.4</v>
      </c>
      <c r="AG1005" s="33">
        <v>0.35</v>
      </c>
      <c r="AH1005" s="33"/>
      <c r="AI1005" s="33"/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hidden="1" customHeight="1" x14ac:dyDescent="0.25">
      <c r="A1006" s="1" t="s">
        <v>5416</v>
      </c>
      <c r="B1006" s="21" t="s">
        <v>5229</v>
      </c>
      <c r="C1006" s="1">
        <v>1</v>
      </c>
      <c r="D1006" s="1" t="s">
        <v>5230</v>
      </c>
      <c r="E1006" s="7">
        <v>4633</v>
      </c>
      <c r="F1006" s="7">
        <v>61</v>
      </c>
      <c r="G1006" s="1">
        <v>408.6</v>
      </c>
      <c r="H1006" s="34">
        <f ca="1">Tabela1[[#This Row],[PESO UNI]]*Tabela1[[#This Row],[QTE]]</f>
        <v>408.6</v>
      </c>
      <c r="I1006" s="7" t="s">
        <v>5281</v>
      </c>
      <c r="J1006" s="8" t="s">
        <v>3045</v>
      </c>
      <c r="K1006" s="8" t="s">
        <v>4320</v>
      </c>
      <c r="L1006" s="9" t="s">
        <v>2984</v>
      </c>
      <c r="M1006" s="10">
        <v>46251</v>
      </c>
      <c r="N1006" s="8" t="s">
        <v>5105</v>
      </c>
      <c r="O1006" s="12"/>
      <c r="P1006" s="13"/>
      <c r="Q1006" s="14">
        <f ca="1">Tabela1[[#This Row],[QTDE/ Fabricação]]-Tabela1[[#This Row],[QTE]]</f>
        <v>-1</v>
      </c>
      <c r="R1006" s="18">
        <f t="shared" ca="1" si="197"/>
        <v>341.18099999999998</v>
      </c>
      <c r="S1006" s="18">
        <f t="shared" ca="1" si="198"/>
        <v>143.01</v>
      </c>
      <c r="T1006" s="19">
        <f t="shared" ca="1" si="199"/>
        <v>-265.59000000000003</v>
      </c>
      <c r="U1006" s="16">
        <f>IFERROR(SUMIF('LISTA DE EMBARQUE'!B:B,MICRO!E:E,'LISTA DE EMBARQUE'!G:G),"")</f>
        <v>0</v>
      </c>
      <c r="V1006" s="12" t="str">
        <f>IFERROR(VLOOKUP(Tabela1[[#This Row],[COD.MDE]],'LISTA DE EMBARQUE'!B:L,11,0),"")</f>
        <v/>
      </c>
      <c r="W1006" s="13" t="str">
        <f>IFERROR(VLOOKUP(Tabela1[[#This Row],[COD.MDE]],'LISTA DE EMBARQUE'!B:M,12,0),"")</f>
        <v/>
      </c>
      <c r="X1006" s="14">
        <f ca="1">IFERROR(Tabela1[[#This Row],[QIANTIDADE EXPEDIDA]]*Tabela1[[#This Row],[PESO UNI]],"")</f>
        <v>0</v>
      </c>
      <c r="Y1006" s="14">
        <f t="shared" ca="1" si="200"/>
        <v>-1</v>
      </c>
      <c r="Z1006" s="20">
        <f ca="1">Tabela1[[#This Row],[PESO TOTAL]]-Tabela1[[#This Row],[Peso Expedido]]</f>
        <v>408.6</v>
      </c>
      <c r="AA1006" s="17">
        <v>1</v>
      </c>
      <c r="AB1006" s="33"/>
      <c r="AC1006" s="33">
        <v>1</v>
      </c>
      <c r="AD1006" s="33">
        <v>0.7</v>
      </c>
      <c r="AE1006" s="33">
        <v>0.7</v>
      </c>
      <c r="AF1006" s="33">
        <v>0.4</v>
      </c>
      <c r="AG1006" s="33">
        <v>0.35</v>
      </c>
      <c r="AH1006" s="33"/>
      <c r="AI1006" s="33"/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hidden="1" customHeight="1" x14ac:dyDescent="0.25">
      <c r="A1007" s="1" t="s">
        <v>5283</v>
      </c>
      <c r="B1007" s="21" t="s">
        <v>5231</v>
      </c>
      <c r="C1007" s="1">
        <v>2</v>
      </c>
      <c r="D1007" s="1" t="s">
        <v>5232</v>
      </c>
      <c r="E1007" s="7">
        <v>4634</v>
      </c>
      <c r="F1007" s="7">
        <v>61</v>
      </c>
      <c r="G1007" s="1">
        <v>31.3</v>
      </c>
      <c r="H1007" s="34">
        <f ca="1">Tabela1[[#This Row],[PESO UNI]]*Tabela1[[#This Row],[QTE]]</f>
        <v>62.6</v>
      </c>
      <c r="I1007" s="7" t="s">
        <v>5281</v>
      </c>
      <c r="J1007" s="8" t="s">
        <v>3045</v>
      </c>
      <c r="K1007" s="8" t="s">
        <v>4320</v>
      </c>
      <c r="L1007" s="9" t="s">
        <v>2984</v>
      </c>
      <c r="M1007" s="10">
        <v>46251</v>
      </c>
      <c r="N1007" s="8" t="s">
        <v>5105</v>
      </c>
      <c r="O1007" s="12"/>
      <c r="P1007" s="13"/>
      <c r="Q1007" s="14">
        <f ca="1">Tabela1[[#This Row],[QTDE/ Fabricação]]-Tabela1[[#This Row],[QTE]]</f>
        <v>-2</v>
      </c>
      <c r="R1007" s="18">
        <f t="shared" ca="1" si="197"/>
        <v>52.271000000000001</v>
      </c>
      <c r="S1007" s="18">
        <f t="shared" ca="1" si="198"/>
        <v>21.91</v>
      </c>
      <c r="T1007" s="19">
        <f t="shared" ca="1" si="199"/>
        <v>-40.69</v>
      </c>
      <c r="U1007" s="16">
        <f>IFERROR(SUMIF('LISTA DE EMBARQUE'!B:B,MICRO!E:E,'LISTA DE EMBARQUE'!G:G),"")</f>
        <v>0</v>
      </c>
      <c r="V1007" s="12" t="str">
        <f>IFERROR(VLOOKUP(Tabela1[[#This Row],[COD.MDE]],'LISTA DE EMBARQUE'!B:L,11,0),"")</f>
        <v/>
      </c>
      <c r="W1007" s="13" t="str">
        <f>IFERROR(VLOOKUP(Tabela1[[#This Row],[COD.MDE]],'LISTA DE EMBARQUE'!B:M,12,0),"")</f>
        <v/>
      </c>
      <c r="X1007" s="14">
        <f ca="1">IFERROR(Tabela1[[#This Row],[QIANTIDADE EXPEDIDA]]*Tabela1[[#This Row],[PESO UNI]],"")</f>
        <v>0</v>
      </c>
      <c r="Y1007" s="14">
        <f t="shared" ca="1" si="200"/>
        <v>-2</v>
      </c>
      <c r="Z1007" s="20">
        <f ca="1">Tabela1[[#This Row],[PESO TOTAL]]-Tabela1[[#This Row],[Peso Expedido]]</f>
        <v>62.6</v>
      </c>
      <c r="AA1007" s="17">
        <v>1</v>
      </c>
      <c r="AB1007" s="33"/>
      <c r="AC1007" s="33">
        <v>1</v>
      </c>
      <c r="AD1007" s="33">
        <v>0.7</v>
      </c>
      <c r="AE1007" s="33">
        <v>0.7</v>
      </c>
      <c r="AF1007" s="33">
        <v>0.4</v>
      </c>
      <c r="AG1007" s="33">
        <v>0.35</v>
      </c>
      <c r="AH1007" s="33"/>
      <c r="AI1007" s="33"/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hidden="1" customHeight="1" x14ac:dyDescent="0.25">
      <c r="A1008" s="1" t="s">
        <v>5283</v>
      </c>
      <c r="B1008" s="21" t="s">
        <v>5231</v>
      </c>
      <c r="C1008" s="1">
        <v>1</v>
      </c>
      <c r="D1008" s="1" t="s">
        <v>5233</v>
      </c>
      <c r="E1008" s="7">
        <v>4635</v>
      </c>
      <c r="F1008" s="7">
        <v>61</v>
      </c>
      <c r="G1008" s="1">
        <v>37.200000000000003</v>
      </c>
      <c r="H1008" s="34">
        <f ca="1">Tabela1[[#This Row],[PESO UNI]]*Tabela1[[#This Row],[QTE]]</f>
        <v>37.200000000000003</v>
      </c>
      <c r="I1008" s="7" t="s">
        <v>5281</v>
      </c>
      <c r="J1008" s="8" t="s">
        <v>3045</v>
      </c>
      <c r="K1008" s="8" t="s">
        <v>4320</v>
      </c>
      <c r="L1008" s="9" t="s">
        <v>2984</v>
      </c>
      <c r="M1008" s="10">
        <v>46251</v>
      </c>
      <c r="N1008" s="8" t="s">
        <v>5105</v>
      </c>
      <c r="O1008" s="12"/>
      <c r="P1008" s="13"/>
      <c r="Q1008" s="14">
        <f ca="1">Tabela1[[#This Row],[QTDE/ Fabricação]]-Tabela1[[#This Row],[QTE]]</f>
        <v>-1</v>
      </c>
      <c r="R1008" s="18">
        <f t="shared" ca="1" si="197"/>
        <v>31.062000000000001</v>
      </c>
      <c r="S1008" s="18">
        <f t="shared" ca="1" si="198"/>
        <v>13.02</v>
      </c>
      <c r="T1008" s="19">
        <f t="shared" ca="1" si="199"/>
        <v>-24.180000000000003</v>
      </c>
      <c r="U1008" s="16">
        <f>IFERROR(SUMIF('LISTA DE EMBARQUE'!B:B,MICRO!E:E,'LISTA DE EMBARQUE'!G:G),"")</f>
        <v>0</v>
      </c>
      <c r="V1008" s="12" t="str">
        <f>IFERROR(VLOOKUP(Tabela1[[#This Row],[COD.MDE]],'LISTA DE EMBARQUE'!B:L,11,0),"")</f>
        <v/>
      </c>
      <c r="W1008" s="13" t="str">
        <f>IFERROR(VLOOKUP(Tabela1[[#This Row],[COD.MDE]],'LISTA DE EMBARQUE'!B:M,12,0),"")</f>
        <v/>
      </c>
      <c r="X1008" s="14">
        <f ca="1">IFERROR(Tabela1[[#This Row],[QIANTIDADE EXPEDIDA]]*Tabela1[[#This Row],[PESO UNI]],"")</f>
        <v>0</v>
      </c>
      <c r="Y1008" s="14">
        <f t="shared" ca="1" si="200"/>
        <v>-1</v>
      </c>
      <c r="Z1008" s="20">
        <f ca="1">Tabela1[[#This Row],[PESO TOTAL]]-Tabela1[[#This Row],[Peso Expedido]]</f>
        <v>37.200000000000003</v>
      </c>
      <c r="AA1008" s="17">
        <v>1</v>
      </c>
      <c r="AB1008" s="33"/>
      <c r="AC1008" s="33">
        <v>1</v>
      </c>
      <c r="AD1008" s="33">
        <v>0.7</v>
      </c>
      <c r="AE1008" s="33">
        <v>0.7</v>
      </c>
      <c r="AF1008" s="33">
        <v>0.4</v>
      </c>
      <c r="AG1008" s="33">
        <v>0.35</v>
      </c>
      <c r="AH1008" s="33"/>
      <c r="AI1008" s="33"/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hidden="1" customHeight="1" x14ac:dyDescent="0.25">
      <c r="A1009" s="1" t="s">
        <v>5283</v>
      </c>
      <c r="B1009" s="21" t="s">
        <v>5231</v>
      </c>
      <c r="C1009" s="1">
        <v>2</v>
      </c>
      <c r="D1009" s="1" t="s">
        <v>5234</v>
      </c>
      <c r="E1009" s="7">
        <v>4636</v>
      </c>
      <c r="F1009" s="7">
        <v>61</v>
      </c>
      <c r="G1009" s="1">
        <v>235.4</v>
      </c>
      <c r="H1009" s="34">
        <f ca="1">Tabela1[[#This Row],[PESO UNI]]*Tabela1[[#This Row],[QTE]]</f>
        <v>470.8</v>
      </c>
      <c r="I1009" s="7" t="s">
        <v>5281</v>
      </c>
      <c r="J1009" s="8" t="s">
        <v>3045</v>
      </c>
      <c r="K1009" s="8" t="s">
        <v>4320</v>
      </c>
      <c r="L1009" s="9" t="s">
        <v>2984</v>
      </c>
      <c r="M1009" s="10">
        <v>46251</v>
      </c>
      <c r="N1009" s="8" t="s">
        <v>5105</v>
      </c>
      <c r="O1009" s="12"/>
      <c r="P1009" s="13"/>
      <c r="Q1009" s="14">
        <f ca="1">Tabela1[[#This Row],[QTDE/ Fabricação]]-Tabela1[[#This Row],[QTE]]</f>
        <v>-2</v>
      </c>
      <c r="R1009" s="18">
        <f t="shared" ca="1" si="197"/>
        <v>393.11799999999999</v>
      </c>
      <c r="S1009" s="18">
        <f t="shared" ca="1" si="198"/>
        <v>164.78</v>
      </c>
      <c r="T1009" s="19">
        <f t="shared" ca="1" si="199"/>
        <v>-306.02</v>
      </c>
      <c r="U1009" s="16">
        <f>IFERROR(SUMIF('LISTA DE EMBARQUE'!B:B,MICRO!E:E,'LISTA DE EMBARQUE'!G:G),"")</f>
        <v>0</v>
      </c>
      <c r="V1009" s="12" t="str">
        <f>IFERROR(VLOOKUP(Tabela1[[#This Row],[COD.MDE]],'LISTA DE EMBARQUE'!B:L,11,0),"")</f>
        <v/>
      </c>
      <c r="W1009" s="13" t="str">
        <f>IFERROR(VLOOKUP(Tabela1[[#This Row],[COD.MDE]],'LISTA DE EMBARQUE'!B:M,12,0),"")</f>
        <v/>
      </c>
      <c r="X1009" s="14">
        <f ca="1">IFERROR(Tabela1[[#This Row],[QIANTIDADE EXPEDIDA]]*Tabela1[[#This Row],[PESO UNI]],"")</f>
        <v>0</v>
      </c>
      <c r="Y1009" s="14">
        <f t="shared" ca="1" si="200"/>
        <v>-2</v>
      </c>
      <c r="Z1009" s="20">
        <f ca="1">Tabela1[[#This Row],[PESO TOTAL]]-Tabela1[[#This Row],[Peso Expedido]]</f>
        <v>470.8</v>
      </c>
      <c r="AA1009" s="17">
        <v>1</v>
      </c>
      <c r="AB1009" s="33"/>
      <c r="AC1009" s="33">
        <v>1</v>
      </c>
      <c r="AD1009" s="33">
        <v>0.7</v>
      </c>
      <c r="AE1009" s="33">
        <v>0.7</v>
      </c>
      <c r="AF1009" s="33">
        <v>0.4</v>
      </c>
      <c r="AG1009" s="33">
        <v>0.35</v>
      </c>
      <c r="AH1009" s="33"/>
      <c r="AI1009" s="33"/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hidden="1" customHeight="1" x14ac:dyDescent="0.25">
      <c r="A1010" s="1" t="s">
        <v>5283</v>
      </c>
      <c r="B1010" s="21" t="s">
        <v>5231</v>
      </c>
      <c r="C1010" s="1">
        <v>2</v>
      </c>
      <c r="D1010" s="1" t="s">
        <v>5235</v>
      </c>
      <c r="E1010" s="7">
        <v>4637</v>
      </c>
      <c r="F1010" s="7">
        <v>61</v>
      </c>
      <c r="G1010" s="1">
        <v>8.9</v>
      </c>
      <c r="H1010" s="34">
        <f ca="1">Tabela1[[#This Row],[PESO UNI]]*Tabela1[[#This Row],[QTE]]</f>
        <v>17.8</v>
      </c>
      <c r="I1010" s="7" t="s">
        <v>5281</v>
      </c>
      <c r="J1010" s="8" t="s">
        <v>3045</v>
      </c>
      <c r="K1010" s="8" t="s">
        <v>4320</v>
      </c>
      <c r="L1010" s="9" t="s">
        <v>2984</v>
      </c>
      <c r="M1010" s="10">
        <v>46251</v>
      </c>
      <c r="N1010" s="8" t="s">
        <v>5105</v>
      </c>
      <c r="O1010" s="12"/>
      <c r="P1010" s="13"/>
      <c r="Q1010" s="14">
        <f ca="1">Tabela1[[#This Row],[QTDE/ Fabricação]]-Tabela1[[#This Row],[QTE]]</f>
        <v>-2</v>
      </c>
      <c r="R1010" s="18">
        <f t="shared" ca="1" si="197"/>
        <v>14.863</v>
      </c>
      <c r="S1010" s="18">
        <f t="shared" ca="1" si="198"/>
        <v>6.2299999999999995</v>
      </c>
      <c r="T1010" s="19">
        <f t="shared" ca="1" si="199"/>
        <v>-11.57</v>
      </c>
      <c r="U1010" s="16">
        <f>IFERROR(SUMIF('LISTA DE EMBARQUE'!B:B,MICRO!E:E,'LISTA DE EMBARQUE'!G:G),"")</f>
        <v>0</v>
      </c>
      <c r="V1010" s="12" t="str">
        <f>IFERROR(VLOOKUP(Tabela1[[#This Row],[COD.MDE]],'LISTA DE EMBARQUE'!B:L,11,0),"")</f>
        <v/>
      </c>
      <c r="W1010" s="13" t="str">
        <f>IFERROR(VLOOKUP(Tabela1[[#This Row],[COD.MDE]],'LISTA DE EMBARQUE'!B:M,12,0),"")</f>
        <v/>
      </c>
      <c r="X1010" s="14">
        <f ca="1">IFERROR(Tabela1[[#This Row],[QIANTIDADE EXPEDIDA]]*Tabela1[[#This Row],[PESO UNI]],"")</f>
        <v>0</v>
      </c>
      <c r="Y1010" s="14">
        <f t="shared" ca="1" si="200"/>
        <v>-2</v>
      </c>
      <c r="Z1010" s="20">
        <f ca="1">Tabela1[[#This Row],[PESO TOTAL]]-Tabela1[[#This Row],[Peso Expedido]]</f>
        <v>17.8</v>
      </c>
      <c r="AA1010" s="17">
        <v>1</v>
      </c>
      <c r="AB1010" s="33"/>
      <c r="AC1010" s="33">
        <v>1</v>
      </c>
      <c r="AD1010" s="33">
        <v>0.7</v>
      </c>
      <c r="AE1010" s="33">
        <v>0.7</v>
      </c>
      <c r="AF1010" s="33">
        <v>0.4</v>
      </c>
      <c r="AG1010" s="33">
        <v>0.35</v>
      </c>
      <c r="AH1010" s="33"/>
      <c r="AI1010" s="33"/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hidden="1" customHeight="1" x14ac:dyDescent="0.25">
      <c r="A1011" s="1" t="s">
        <v>5283</v>
      </c>
      <c r="B1011" s="21" t="s">
        <v>5231</v>
      </c>
      <c r="C1011" s="1">
        <v>2</v>
      </c>
      <c r="D1011" s="1" t="s">
        <v>5236</v>
      </c>
      <c r="E1011" s="7">
        <v>4638</v>
      </c>
      <c r="F1011" s="7">
        <v>61</v>
      </c>
      <c r="G1011" s="1">
        <v>1.6</v>
      </c>
      <c r="H1011" s="34">
        <f ca="1">Tabela1[[#This Row],[PESO UNI]]*Tabela1[[#This Row],[QTE]]</f>
        <v>3.2</v>
      </c>
      <c r="I1011" s="7" t="s">
        <v>5281</v>
      </c>
      <c r="J1011" s="8" t="s">
        <v>3045</v>
      </c>
      <c r="K1011" s="8" t="s">
        <v>4320</v>
      </c>
      <c r="L1011" s="9" t="s">
        <v>2984</v>
      </c>
      <c r="M1011" s="10">
        <v>46251</v>
      </c>
      <c r="N1011" s="8" t="s">
        <v>5105</v>
      </c>
      <c r="O1011" s="12"/>
      <c r="P1011" s="13"/>
      <c r="Q1011" s="14">
        <f ca="1">Tabela1[[#This Row],[QTDE/ Fabricação]]-Tabela1[[#This Row],[QTE]]</f>
        <v>-2</v>
      </c>
      <c r="R1011" s="18">
        <f t="shared" ca="1" si="197"/>
        <v>2.6720000000000002</v>
      </c>
      <c r="S1011" s="18">
        <f t="shared" ca="1" si="198"/>
        <v>1.1199999999999999</v>
      </c>
      <c r="T1011" s="19">
        <f t="shared" ca="1" si="199"/>
        <v>-2.08</v>
      </c>
      <c r="U1011" s="16">
        <f>IFERROR(SUMIF('LISTA DE EMBARQUE'!B:B,MICRO!E:E,'LISTA DE EMBARQUE'!G:G),"")</f>
        <v>0</v>
      </c>
      <c r="V1011" s="12" t="str">
        <f>IFERROR(VLOOKUP(Tabela1[[#This Row],[COD.MDE]],'LISTA DE EMBARQUE'!B:L,11,0),"")</f>
        <v/>
      </c>
      <c r="W1011" s="13" t="str">
        <f>IFERROR(VLOOKUP(Tabela1[[#This Row],[COD.MDE]],'LISTA DE EMBARQUE'!B:M,12,0),"")</f>
        <v/>
      </c>
      <c r="X1011" s="14">
        <f ca="1">IFERROR(Tabela1[[#This Row],[QIANTIDADE EXPEDIDA]]*Tabela1[[#This Row],[PESO UNI]],"")</f>
        <v>0</v>
      </c>
      <c r="Y1011" s="14">
        <f t="shared" ca="1" si="200"/>
        <v>-2</v>
      </c>
      <c r="Z1011" s="20">
        <f ca="1">Tabela1[[#This Row],[PESO TOTAL]]-Tabela1[[#This Row],[Peso Expedido]]</f>
        <v>3.2</v>
      </c>
      <c r="AA1011" s="17">
        <v>1</v>
      </c>
      <c r="AB1011" s="33"/>
      <c r="AC1011" s="33">
        <v>1</v>
      </c>
      <c r="AD1011" s="33">
        <v>0.7</v>
      </c>
      <c r="AE1011" s="33">
        <v>0.7</v>
      </c>
      <c r="AF1011" s="33">
        <v>0.4</v>
      </c>
      <c r="AG1011" s="33">
        <v>0.35</v>
      </c>
      <c r="AH1011" s="33"/>
      <c r="AI1011" s="33"/>
      <c r="AJ1011"/>
      <c r="AK1011"/>
      <c r="AL1011"/>
      <c r="AM1011"/>
      <c r="AN1011"/>
      <c r="AO1011"/>
      <c r="AP1011"/>
      <c r="AQ1011" s="22"/>
      <c r="AR1011" s="24"/>
      <c r="AS1011" s="37"/>
      <c r="AT1011" s="37"/>
      <c r="AU1011" s="37"/>
      <c r="AV1011" s="37"/>
      <c r="AW1011" s="37"/>
    </row>
    <row r="1012" spans="1:49" ht="15.75" hidden="1" customHeight="1" x14ac:dyDescent="0.25">
      <c r="A1012" s="1" t="s">
        <v>5283</v>
      </c>
      <c r="B1012" s="21" t="s">
        <v>5231</v>
      </c>
      <c r="C1012" s="1">
        <v>4</v>
      </c>
      <c r="D1012" s="1" t="s">
        <v>5237</v>
      </c>
      <c r="E1012" s="7">
        <v>4639</v>
      </c>
      <c r="F1012" s="7">
        <v>61</v>
      </c>
      <c r="G1012" s="1">
        <v>0.3</v>
      </c>
      <c r="H1012" s="34">
        <f ca="1">Tabela1[[#This Row],[PESO UNI]]*Tabela1[[#This Row],[QTE]]</f>
        <v>1.2</v>
      </c>
      <c r="I1012" s="7" t="s">
        <v>5281</v>
      </c>
      <c r="J1012" s="8" t="s">
        <v>3045</v>
      </c>
      <c r="K1012" s="8" t="s">
        <v>4320</v>
      </c>
      <c r="L1012" s="9" t="s">
        <v>2984</v>
      </c>
      <c r="M1012" s="10">
        <v>46251</v>
      </c>
      <c r="N1012" s="8" t="s">
        <v>5105</v>
      </c>
      <c r="O1012" s="12"/>
      <c r="P1012" s="13"/>
      <c r="Q1012" s="14">
        <f ca="1">Tabela1[[#This Row],[QTDE/ Fabricação]]-Tabela1[[#This Row],[QTE]]</f>
        <v>-4</v>
      </c>
      <c r="R1012" s="18">
        <f t="shared" ca="1" si="197"/>
        <v>1.002</v>
      </c>
      <c r="S1012" s="18">
        <f t="shared" ca="1" si="198"/>
        <v>0.42</v>
      </c>
      <c r="T1012" s="19">
        <f t="shared" ca="1" si="199"/>
        <v>-0.78</v>
      </c>
      <c r="U1012" s="16">
        <f>IFERROR(SUMIF('LISTA DE EMBARQUE'!B:B,MICRO!E:E,'LISTA DE EMBARQUE'!G:G),"")</f>
        <v>0</v>
      </c>
      <c r="V1012" s="12" t="str">
        <f>IFERROR(VLOOKUP(Tabela1[[#This Row],[COD.MDE]],'LISTA DE EMBARQUE'!B:L,11,0),"")</f>
        <v/>
      </c>
      <c r="W1012" s="13" t="str">
        <f>IFERROR(VLOOKUP(Tabela1[[#This Row],[COD.MDE]],'LISTA DE EMBARQUE'!B:M,12,0),"")</f>
        <v/>
      </c>
      <c r="X1012" s="14">
        <f ca="1">IFERROR(Tabela1[[#This Row],[QIANTIDADE EXPEDIDA]]*Tabela1[[#This Row],[PESO UNI]],"")</f>
        <v>0</v>
      </c>
      <c r="Y1012" s="14">
        <f t="shared" ca="1" si="200"/>
        <v>-4</v>
      </c>
      <c r="Z1012" s="20">
        <f ca="1">Tabela1[[#This Row],[PESO TOTAL]]-Tabela1[[#This Row],[Peso Expedido]]</f>
        <v>1.2</v>
      </c>
      <c r="AA1012" s="17">
        <v>1</v>
      </c>
      <c r="AB1012" s="33"/>
      <c r="AC1012" s="33">
        <v>1</v>
      </c>
      <c r="AD1012" s="33">
        <v>0.7</v>
      </c>
      <c r="AE1012" s="33">
        <v>0.7</v>
      </c>
      <c r="AF1012" s="33">
        <v>0.4</v>
      </c>
      <c r="AG1012" s="33">
        <v>0.35</v>
      </c>
      <c r="AH1012" s="33"/>
      <c r="AI1012" s="33"/>
      <c r="AJ1012"/>
      <c r="AK1012"/>
      <c r="AL1012"/>
      <c r="AM1012"/>
      <c r="AN1012"/>
      <c r="AO1012"/>
      <c r="AP1012"/>
      <c r="AQ1012" s="22"/>
      <c r="AR1012" s="24"/>
      <c r="AS1012" s="37"/>
      <c r="AT1012" s="37"/>
      <c r="AU1012" s="37"/>
      <c r="AV1012" s="37"/>
      <c r="AW1012" s="37"/>
    </row>
    <row r="1013" spans="1:49" ht="15.75" hidden="1" customHeight="1" x14ac:dyDescent="0.25">
      <c r="A1013" s="1" t="s">
        <v>5282</v>
      </c>
      <c r="B1013" s="21" t="s">
        <v>5238</v>
      </c>
      <c r="C1013" s="1">
        <v>1</v>
      </c>
      <c r="D1013" s="1" t="s">
        <v>5239</v>
      </c>
      <c r="E1013" s="7">
        <v>4640</v>
      </c>
      <c r="F1013" s="7">
        <v>61</v>
      </c>
      <c r="G1013" s="1">
        <v>204.2</v>
      </c>
      <c r="H1013" s="34">
        <f ca="1">Tabela1[[#This Row],[PESO UNI]]*Tabela1[[#This Row],[QTE]]</f>
        <v>204.2</v>
      </c>
      <c r="I1013" s="7" t="s">
        <v>5281</v>
      </c>
      <c r="J1013" s="8" t="s">
        <v>3045</v>
      </c>
      <c r="K1013" s="8" t="s">
        <v>4320</v>
      </c>
      <c r="L1013" s="9" t="s">
        <v>2984</v>
      </c>
      <c r="M1013" s="10">
        <v>46251</v>
      </c>
      <c r="N1013" s="8" t="s">
        <v>5105</v>
      </c>
      <c r="O1013" s="12"/>
      <c r="P1013" s="13"/>
      <c r="Q1013" s="14">
        <f ca="1">Tabela1[[#This Row],[QTDE/ Fabricação]]-Tabela1[[#This Row],[QTE]]</f>
        <v>-1</v>
      </c>
      <c r="R1013" s="18">
        <f t="shared" ca="1" si="197"/>
        <v>170.50699999999998</v>
      </c>
      <c r="S1013" s="18">
        <f t="shared" ca="1" si="198"/>
        <v>71.469999999999985</v>
      </c>
      <c r="T1013" s="19">
        <f t="shared" ca="1" si="199"/>
        <v>-132.73000000000002</v>
      </c>
      <c r="U1013" s="16">
        <f>IFERROR(SUMIF('LISTA DE EMBARQUE'!B:B,MICRO!E:E,'LISTA DE EMBARQUE'!G:G),"")</f>
        <v>0</v>
      </c>
      <c r="V1013" s="12" t="str">
        <f>IFERROR(VLOOKUP(Tabela1[[#This Row],[COD.MDE]],'LISTA DE EMBARQUE'!B:L,11,0),"")</f>
        <v/>
      </c>
      <c r="W1013" s="13" t="str">
        <f>IFERROR(VLOOKUP(Tabela1[[#This Row],[COD.MDE]],'LISTA DE EMBARQUE'!B:M,12,0),"")</f>
        <v/>
      </c>
      <c r="X1013" s="14">
        <f ca="1">IFERROR(Tabela1[[#This Row],[QIANTIDADE EXPEDIDA]]*Tabela1[[#This Row],[PESO UNI]],"")</f>
        <v>0</v>
      </c>
      <c r="Y1013" s="14">
        <f t="shared" ca="1" si="200"/>
        <v>-1</v>
      </c>
      <c r="Z1013" s="20">
        <f ca="1">Tabela1[[#This Row],[PESO TOTAL]]-Tabela1[[#This Row],[Peso Expedido]]</f>
        <v>204.2</v>
      </c>
      <c r="AA1013" s="17">
        <v>1</v>
      </c>
      <c r="AB1013" s="33"/>
      <c r="AC1013" s="33">
        <v>1</v>
      </c>
      <c r="AD1013" s="33">
        <v>0.7</v>
      </c>
      <c r="AE1013" s="33">
        <v>0.7</v>
      </c>
      <c r="AF1013" s="33">
        <v>0.4</v>
      </c>
      <c r="AG1013" s="33">
        <v>0.35</v>
      </c>
      <c r="AH1013" s="33"/>
      <c r="AI1013" s="33"/>
      <c r="AJ1013"/>
      <c r="AK1013"/>
      <c r="AL1013"/>
      <c r="AM1013"/>
      <c r="AN1013"/>
      <c r="AO1013"/>
      <c r="AP1013"/>
      <c r="AQ1013" s="22"/>
      <c r="AR1013" s="24"/>
      <c r="AS1013" s="37"/>
      <c r="AT1013" s="37"/>
      <c r="AU1013" s="37"/>
      <c r="AV1013" s="37"/>
      <c r="AW1013" s="37"/>
    </row>
    <row r="1014" spans="1:49" ht="15.75" hidden="1" customHeight="1" x14ac:dyDescent="0.25">
      <c r="A1014" s="1" t="s">
        <v>5282</v>
      </c>
      <c r="B1014" s="21" t="s">
        <v>5238</v>
      </c>
      <c r="C1014" s="1">
        <v>1</v>
      </c>
      <c r="D1014" s="1" t="s">
        <v>5240</v>
      </c>
      <c r="E1014" s="7">
        <v>4661</v>
      </c>
      <c r="F1014" s="7">
        <v>61</v>
      </c>
      <c r="G1014" s="1">
        <v>168.6</v>
      </c>
      <c r="H1014" s="34">
        <f ca="1">Tabela1[[#This Row],[PESO UNI]]*Tabela1[[#This Row],[QTE]]</f>
        <v>168.6</v>
      </c>
      <c r="I1014" s="7" t="s">
        <v>5281</v>
      </c>
      <c r="J1014" s="8" t="s">
        <v>3045</v>
      </c>
      <c r="K1014" s="8" t="s">
        <v>4320</v>
      </c>
      <c r="L1014" s="9" t="s">
        <v>2984</v>
      </c>
      <c r="M1014" s="10">
        <v>46251</v>
      </c>
      <c r="N1014" s="8" t="s">
        <v>5105</v>
      </c>
      <c r="O1014" s="12"/>
      <c r="P1014" s="13"/>
      <c r="Q1014" s="14">
        <f ca="1">Tabela1[[#This Row],[QTDE/ Fabricação]]-Tabela1[[#This Row],[QTE]]</f>
        <v>-1</v>
      </c>
      <c r="R1014" s="18">
        <f ca="1">IFERROR(H1014*((AA1014*0.25)+(AC1014*0.25)+(AD1014*0.225)+(AE1014*0.225)+(AF1014*0.05)),"")</f>
        <v>140.78099999999998</v>
      </c>
      <c r="S1014" s="18">
        <f ca="1">IFERROR(H1014*AG1014,"")</f>
        <v>59.009999999999991</v>
      </c>
      <c r="T1014" s="19">
        <f ca="1">IFERROR(S1014-H1014,"")</f>
        <v>-109.59</v>
      </c>
      <c r="U1014" s="16">
        <f>IFERROR(SUMIF('LISTA DE EMBARQUE'!B:B,MICRO!E:E,'LISTA DE EMBARQUE'!G:G),"")</f>
        <v>0</v>
      </c>
      <c r="V1014" s="12" t="str">
        <f>IFERROR(VLOOKUP(Tabela1[[#This Row],[COD.MDE]],'LISTA DE EMBARQUE'!B:L,11,0),"")</f>
        <v/>
      </c>
      <c r="W1014" s="13" t="str">
        <f>IFERROR(VLOOKUP(Tabela1[[#This Row],[COD.MDE]],'LISTA DE EMBARQUE'!B:M,12,0),"")</f>
        <v/>
      </c>
      <c r="X1014" s="14">
        <f ca="1">IFERROR(Tabela1[[#This Row],[QIANTIDADE EXPEDIDA]]*Tabela1[[#This Row],[PESO UNI]],"")</f>
        <v>0</v>
      </c>
      <c r="Y1014" s="14">
        <f ca="1">U1014-C1014</f>
        <v>-1</v>
      </c>
      <c r="Z1014" s="20">
        <f ca="1">Tabela1[[#This Row],[PESO TOTAL]]-Tabela1[[#This Row],[Peso Expedido]]</f>
        <v>168.6</v>
      </c>
      <c r="AA1014" s="17">
        <v>1</v>
      </c>
      <c r="AB1014" s="33"/>
      <c r="AC1014" s="33">
        <v>1</v>
      </c>
      <c r="AD1014" s="33">
        <v>0.7</v>
      </c>
      <c r="AE1014" s="33">
        <v>0.7</v>
      </c>
      <c r="AF1014" s="33">
        <v>0.4</v>
      </c>
      <c r="AG1014" s="33">
        <v>0.35</v>
      </c>
      <c r="AH1014" s="33"/>
      <c r="AI1014" s="33"/>
      <c r="AJ1014"/>
      <c r="AK1014"/>
      <c r="AL1014"/>
      <c r="AM1014"/>
      <c r="AN1014"/>
      <c r="AO1014"/>
      <c r="AP1014"/>
      <c r="AQ1014" s="22"/>
      <c r="AR1014" s="24"/>
      <c r="AS1014" s="37"/>
      <c r="AT1014" s="37"/>
      <c r="AU1014" s="37"/>
      <c r="AV1014" s="37"/>
      <c r="AW1014" s="37"/>
    </row>
    <row r="1015" spans="1:49" ht="15.75" hidden="1" customHeight="1" x14ac:dyDescent="0.25">
      <c r="A1015" s="1" t="s">
        <v>5282</v>
      </c>
      <c r="B1015" s="21" t="s">
        <v>5238</v>
      </c>
      <c r="C1015" s="1">
        <v>1</v>
      </c>
      <c r="D1015" s="1" t="s">
        <v>5417</v>
      </c>
      <c r="E1015" s="7">
        <v>4750</v>
      </c>
      <c r="F1015" s="7">
        <v>61</v>
      </c>
      <c r="G1015" s="1">
        <v>36.4</v>
      </c>
      <c r="H1015" s="34">
        <f ca="1">Tabela1[[#This Row],[PESO UNI]]*Tabela1[[#This Row],[QTE]]</f>
        <v>36.4</v>
      </c>
      <c r="I1015" s="7" t="s">
        <v>5281</v>
      </c>
      <c r="J1015" s="8" t="s">
        <v>3045</v>
      </c>
      <c r="K1015" s="8" t="s">
        <v>4320</v>
      </c>
      <c r="L1015" s="9" t="s">
        <v>2984</v>
      </c>
      <c r="M1015" s="10">
        <v>46251</v>
      </c>
      <c r="N1015" s="8" t="s">
        <v>5105</v>
      </c>
      <c r="O1015" s="12"/>
      <c r="P1015" s="13"/>
      <c r="Q1015" s="14">
        <f ca="1">Tabela1[[#This Row],[QTDE/ Fabricação]]-Tabela1[[#This Row],[QTE]]</f>
        <v>-1</v>
      </c>
      <c r="R1015" s="18">
        <f ca="1">IFERROR(H1015*((AA1015*0.25)+(AC1015*0.25)+(AD1015*0.225)+(AE1015*0.225)+(AF1015*0.05)),"")</f>
        <v>30.393999999999998</v>
      </c>
      <c r="S1015" s="18">
        <f ca="1">IFERROR(H1015*AG1015,"")</f>
        <v>12.739999999999998</v>
      </c>
      <c r="T1015" s="19">
        <f ca="1">IFERROR(S1015-H1015,"")</f>
        <v>-23.66</v>
      </c>
      <c r="U1015" s="16">
        <f>IFERROR(SUMIF('LISTA DE EMBARQUE'!B:B,MICRO!E:E,'LISTA DE EMBARQUE'!G:G),"")</f>
        <v>0</v>
      </c>
      <c r="V1015" s="12" t="str">
        <f>IFERROR(VLOOKUP(Tabela1[[#This Row],[COD.MDE]],'LISTA DE EMBARQUE'!B:L,11,0),"")</f>
        <v/>
      </c>
      <c r="W1015" s="13" t="str">
        <f>IFERROR(VLOOKUP(Tabela1[[#This Row],[COD.MDE]],'LISTA DE EMBARQUE'!B:M,12,0),"")</f>
        <v/>
      </c>
      <c r="X1015" s="14">
        <f ca="1">IFERROR(Tabela1[[#This Row],[QIANTIDADE EXPEDIDA]]*Tabela1[[#This Row],[PESO UNI]],"")</f>
        <v>0</v>
      </c>
      <c r="Y1015" s="14">
        <f ca="1">U1015-C1015</f>
        <v>-1</v>
      </c>
      <c r="Z1015" s="20">
        <f ca="1">Tabela1[[#This Row],[PESO TOTAL]]-Tabela1[[#This Row],[Peso Expedido]]</f>
        <v>36.4</v>
      </c>
      <c r="AA1015" s="17">
        <v>1</v>
      </c>
      <c r="AB1015" s="33"/>
      <c r="AC1015" s="33">
        <v>1</v>
      </c>
      <c r="AD1015" s="33">
        <v>0.7</v>
      </c>
      <c r="AE1015" s="33">
        <v>0.7</v>
      </c>
      <c r="AF1015" s="33">
        <v>0.4</v>
      </c>
      <c r="AG1015" s="33">
        <v>0.35</v>
      </c>
      <c r="AH1015" s="33"/>
      <c r="AI1015" s="33"/>
      <c r="AJ1015"/>
      <c r="AK1015"/>
      <c r="AL1015"/>
      <c r="AM1015"/>
      <c r="AN1015"/>
      <c r="AO1015"/>
      <c r="AP1015"/>
      <c r="AQ1015" s="22"/>
      <c r="AR1015" s="24"/>
      <c r="AS1015" s="37"/>
      <c r="AT1015" s="37"/>
      <c r="AU1015" s="37"/>
      <c r="AV1015" s="37"/>
      <c r="AW1015" s="37"/>
    </row>
    <row r="1016" spans="1:49" ht="15.75" hidden="1" customHeight="1" x14ac:dyDescent="0.25">
      <c r="A1016" s="1" t="s">
        <v>5228</v>
      </c>
      <c r="B1016" s="21" t="s">
        <v>5241</v>
      </c>
      <c r="C1016" s="1">
        <v>4</v>
      </c>
      <c r="D1016" s="1" t="s">
        <v>5242</v>
      </c>
      <c r="E1016" s="7">
        <v>4662</v>
      </c>
      <c r="F1016" s="7">
        <v>62</v>
      </c>
      <c r="G1016" s="1">
        <v>28.1</v>
      </c>
      <c r="H1016" s="34">
        <f ca="1">Tabela1[[#This Row],[PESO UNI]]*Tabela1[[#This Row],[QTE]]</f>
        <v>112.4</v>
      </c>
      <c r="I1016" s="7">
        <v>0</v>
      </c>
      <c r="J1016" s="8" t="s">
        <v>3045</v>
      </c>
      <c r="K1016" s="8" t="s">
        <v>4320</v>
      </c>
      <c r="L1016" s="9" t="s">
        <v>2984</v>
      </c>
      <c r="M1016" s="10">
        <v>46251</v>
      </c>
      <c r="N1016" s="8" t="s">
        <v>5105</v>
      </c>
      <c r="O1016" s="12"/>
      <c r="P1016" s="13"/>
      <c r="Q1016" s="14">
        <f ca="1">Tabela1[[#This Row],[QTDE/ Fabricação]]-Tabela1[[#This Row],[QTE]]</f>
        <v>-4</v>
      </c>
      <c r="R1016" s="18">
        <f t="shared" ca="1" si="197"/>
        <v>93.853999999999999</v>
      </c>
      <c r="S1016" s="18">
        <f t="shared" ca="1" si="198"/>
        <v>39.339999999999996</v>
      </c>
      <c r="T1016" s="19">
        <f t="shared" ca="1" si="199"/>
        <v>-73.06</v>
      </c>
      <c r="U1016" s="16">
        <f>IFERROR(SUMIF('LISTA DE EMBARQUE'!B:B,MICRO!E:E,'LISTA DE EMBARQUE'!G:G),"")</f>
        <v>0</v>
      </c>
      <c r="V1016" s="12" t="str">
        <f>IFERROR(VLOOKUP(Tabela1[[#This Row],[COD.MDE]],'LISTA DE EMBARQUE'!B:L,11,0),"")</f>
        <v/>
      </c>
      <c r="W1016" s="13" t="str">
        <f>IFERROR(VLOOKUP(Tabela1[[#This Row],[COD.MDE]],'LISTA DE EMBARQUE'!B:M,12,0),"")</f>
        <v/>
      </c>
      <c r="X1016" s="14">
        <f ca="1">IFERROR(Tabela1[[#This Row],[QIANTIDADE EXPEDIDA]]*Tabela1[[#This Row],[PESO UNI]],"")</f>
        <v>0</v>
      </c>
      <c r="Y1016" s="14">
        <f t="shared" ca="1" si="200"/>
        <v>-4</v>
      </c>
      <c r="Z1016" s="20">
        <f ca="1">Tabela1[[#This Row],[PESO TOTAL]]-Tabela1[[#This Row],[Peso Expedido]]</f>
        <v>112.4</v>
      </c>
      <c r="AA1016" s="17">
        <v>1</v>
      </c>
      <c r="AB1016" s="33"/>
      <c r="AC1016" s="33">
        <v>1</v>
      </c>
      <c r="AD1016" s="33">
        <v>0.7</v>
      </c>
      <c r="AE1016" s="33">
        <v>0.7</v>
      </c>
      <c r="AF1016" s="33">
        <v>0.4</v>
      </c>
      <c r="AG1016" s="33">
        <v>0.35</v>
      </c>
      <c r="AH1016" s="33"/>
      <c r="AI1016" s="33"/>
      <c r="AJ1016"/>
      <c r="AK1016"/>
      <c r="AL1016"/>
      <c r="AM1016"/>
      <c r="AN1016"/>
      <c r="AO1016"/>
      <c r="AP1016"/>
      <c r="AQ1016" s="22"/>
      <c r="AR1016" s="24"/>
      <c r="AS1016" s="37"/>
      <c r="AT1016" s="37"/>
      <c r="AU1016" s="37"/>
      <c r="AV1016" s="37"/>
      <c r="AW1016" s="37"/>
    </row>
    <row r="1017" spans="1:49" ht="15.75" hidden="1" customHeight="1" x14ac:dyDescent="0.25">
      <c r="A1017" s="1" t="s">
        <v>5228</v>
      </c>
      <c r="B1017" s="21" t="s">
        <v>5241</v>
      </c>
      <c r="C1017" s="1">
        <v>4</v>
      </c>
      <c r="D1017" s="1" t="s">
        <v>5243</v>
      </c>
      <c r="E1017" s="7">
        <v>4663</v>
      </c>
      <c r="F1017" s="7">
        <v>62</v>
      </c>
      <c r="G1017" s="1">
        <v>38.299999999999997</v>
      </c>
      <c r="H1017" s="34">
        <f ca="1">Tabela1[[#This Row],[PESO UNI]]*Tabela1[[#This Row],[QTE]]</f>
        <v>153.19999999999999</v>
      </c>
      <c r="I1017" s="7">
        <v>0</v>
      </c>
      <c r="J1017" s="8" t="s">
        <v>3045</v>
      </c>
      <c r="K1017" s="8" t="s">
        <v>4320</v>
      </c>
      <c r="L1017" s="9" t="s">
        <v>2984</v>
      </c>
      <c r="M1017" s="10">
        <v>46251</v>
      </c>
      <c r="N1017" s="8" t="s">
        <v>5105</v>
      </c>
      <c r="O1017" s="12"/>
      <c r="P1017" s="13"/>
      <c r="Q1017" s="14">
        <f ca="1">Tabela1[[#This Row],[QTDE/ Fabricação]]-Tabela1[[#This Row],[QTE]]</f>
        <v>-4</v>
      </c>
      <c r="R1017" s="18">
        <f t="shared" ca="1" si="197"/>
        <v>127.92199999999998</v>
      </c>
      <c r="S1017" s="18">
        <f t="shared" ca="1" si="198"/>
        <v>53.61999999999999</v>
      </c>
      <c r="T1017" s="19">
        <f t="shared" ca="1" si="199"/>
        <v>-99.58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 ca="1">IFERROR(Tabela1[[#This Row],[QIANTIDADE EXPEDIDA]]*Tabela1[[#This Row],[PESO UNI]],"")</f>
        <v>0</v>
      </c>
      <c r="Y1017" s="14">
        <f t="shared" ca="1" si="200"/>
        <v>-4</v>
      </c>
      <c r="Z1017" s="20">
        <f ca="1">Tabela1[[#This Row],[PESO TOTAL]]-Tabela1[[#This Row],[Peso Expedido]]</f>
        <v>153.19999999999999</v>
      </c>
      <c r="AA1017" s="17">
        <v>1</v>
      </c>
      <c r="AB1017" s="33"/>
      <c r="AC1017" s="33">
        <v>1</v>
      </c>
      <c r="AD1017" s="33">
        <v>0.7</v>
      </c>
      <c r="AE1017" s="33">
        <v>0.7</v>
      </c>
      <c r="AF1017" s="33">
        <v>0.4</v>
      </c>
      <c r="AG1017" s="33">
        <v>0.35</v>
      </c>
      <c r="AH1017" s="33"/>
      <c r="AI1017" s="33"/>
      <c r="AJ1017"/>
      <c r="AK1017"/>
      <c r="AL1017"/>
      <c r="AM1017"/>
      <c r="AN1017"/>
      <c r="AO1017"/>
      <c r="AP1017"/>
      <c r="AQ1017" s="22"/>
      <c r="AR1017" s="24"/>
      <c r="AS1017" s="37"/>
      <c r="AT1017" s="37"/>
      <c r="AU1017" s="37"/>
      <c r="AV1017" s="37"/>
      <c r="AW1017" s="37"/>
    </row>
    <row r="1018" spans="1:49" ht="15.75" hidden="1" customHeight="1" x14ac:dyDescent="0.25">
      <c r="A1018" s="1" t="s">
        <v>5228</v>
      </c>
      <c r="B1018" s="21" t="s">
        <v>5241</v>
      </c>
      <c r="C1018" s="1">
        <v>2</v>
      </c>
      <c r="D1018" s="1" t="s">
        <v>5244</v>
      </c>
      <c r="E1018" s="7">
        <v>4664</v>
      </c>
      <c r="F1018" s="7">
        <v>62</v>
      </c>
      <c r="G1018" s="1">
        <v>15.8</v>
      </c>
      <c r="H1018" s="34">
        <f ca="1">Tabela1[[#This Row],[PESO UNI]]*Tabela1[[#This Row],[QTE]]</f>
        <v>31.6</v>
      </c>
      <c r="I1018" s="7">
        <v>0</v>
      </c>
      <c r="J1018" s="8" t="s">
        <v>3045</v>
      </c>
      <c r="K1018" s="8" t="s">
        <v>4320</v>
      </c>
      <c r="L1018" s="9" t="s">
        <v>2984</v>
      </c>
      <c r="M1018" s="10">
        <v>46251</v>
      </c>
      <c r="N1018" s="8" t="s">
        <v>5105</v>
      </c>
      <c r="O1018" s="12"/>
      <c r="P1018" s="13"/>
      <c r="Q1018" s="14">
        <f ca="1">Tabela1[[#This Row],[QTDE/ Fabricação]]-Tabela1[[#This Row],[QTE]]</f>
        <v>-2</v>
      </c>
      <c r="R1018" s="18">
        <f t="shared" ca="1" si="197"/>
        <v>26.385999999999999</v>
      </c>
      <c r="S1018" s="18">
        <f t="shared" ca="1" si="198"/>
        <v>11.06</v>
      </c>
      <c r="T1018" s="19">
        <f t="shared" ca="1" si="199"/>
        <v>-20.54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 ca="1">IFERROR(Tabela1[[#This Row],[QIANTIDADE EXPEDIDA]]*Tabela1[[#This Row],[PESO UNI]],"")</f>
        <v>0</v>
      </c>
      <c r="Y1018" s="14">
        <f t="shared" ca="1" si="200"/>
        <v>-2</v>
      </c>
      <c r="Z1018" s="20">
        <f ca="1">Tabela1[[#This Row],[PESO TOTAL]]-Tabela1[[#This Row],[Peso Expedido]]</f>
        <v>31.6</v>
      </c>
      <c r="AA1018" s="17">
        <v>1</v>
      </c>
      <c r="AB1018" s="33"/>
      <c r="AC1018" s="33">
        <v>1</v>
      </c>
      <c r="AD1018" s="33">
        <v>0.7</v>
      </c>
      <c r="AE1018" s="33">
        <v>0.7</v>
      </c>
      <c r="AF1018" s="33">
        <v>0.4</v>
      </c>
      <c r="AG1018" s="33">
        <v>0.35</v>
      </c>
      <c r="AH1018" s="33"/>
      <c r="AI1018" s="33"/>
      <c r="AJ1018"/>
      <c r="AK1018"/>
      <c r="AL1018"/>
      <c r="AM1018"/>
      <c r="AN1018"/>
      <c r="AO1018"/>
      <c r="AP1018"/>
      <c r="AQ1018" s="22"/>
      <c r="AR1018" s="24"/>
      <c r="AS1018" s="37"/>
      <c r="AT1018" s="37"/>
      <c r="AU1018" s="37"/>
      <c r="AV1018" s="37"/>
      <c r="AW1018" s="37"/>
    </row>
    <row r="1019" spans="1:49" ht="15.75" hidden="1" customHeight="1" x14ac:dyDescent="0.25">
      <c r="A1019" s="1" t="s">
        <v>5228</v>
      </c>
      <c r="B1019" s="21" t="s">
        <v>5241</v>
      </c>
      <c r="C1019" s="1">
        <v>4</v>
      </c>
      <c r="D1019" s="1" t="s">
        <v>5245</v>
      </c>
      <c r="E1019" s="7">
        <v>4665</v>
      </c>
      <c r="F1019" s="7">
        <v>62</v>
      </c>
      <c r="G1019" s="1">
        <v>28.4</v>
      </c>
      <c r="H1019" s="34">
        <f ca="1">Tabela1[[#This Row],[PESO UNI]]*Tabela1[[#This Row],[QTE]]</f>
        <v>113.6</v>
      </c>
      <c r="I1019" s="7">
        <v>0</v>
      </c>
      <c r="J1019" s="8" t="s">
        <v>3045</v>
      </c>
      <c r="K1019" s="8" t="s">
        <v>4320</v>
      </c>
      <c r="L1019" s="9" t="s">
        <v>2984</v>
      </c>
      <c r="M1019" s="10">
        <v>46251</v>
      </c>
      <c r="N1019" s="8" t="s">
        <v>5105</v>
      </c>
      <c r="O1019" s="12"/>
      <c r="P1019" s="13"/>
      <c r="Q1019" s="14">
        <f ca="1">Tabela1[[#This Row],[QTDE/ Fabricação]]-Tabela1[[#This Row],[QTE]]</f>
        <v>-4</v>
      </c>
      <c r="R1019" s="18">
        <f t="shared" ca="1" si="197"/>
        <v>94.855999999999995</v>
      </c>
      <c r="S1019" s="18">
        <f t="shared" ca="1" si="198"/>
        <v>39.76</v>
      </c>
      <c r="T1019" s="19">
        <f t="shared" ca="1" si="199"/>
        <v>-73.84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 ca="1">IFERROR(Tabela1[[#This Row],[QIANTIDADE EXPEDIDA]]*Tabela1[[#This Row],[PESO UNI]],"")</f>
        <v>0</v>
      </c>
      <c r="Y1019" s="14">
        <f t="shared" ca="1" si="200"/>
        <v>-4</v>
      </c>
      <c r="Z1019" s="20">
        <f ca="1">Tabela1[[#This Row],[PESO TOTAL]]-Tabela1[[#This Row],[Peso Expedido]]</f>
        <v>113.6</v>
      </c>
      <c r="AA1019" s="17">
        <v>1</v>
      </c>
      <c r="AB1019" s="33"/>
      <c r="AC1019" s="33">
        <v>1</v>
      </c>
      <c r="AD1019" s="33">
        <v>0.7</v>
      </c>
      <c r="AE1019" s="33">
        <v>0.7</v>
      </c>
      <c r="AF1019" s="33">
        <v>0.4</v>
      </c>
      <c r="AG1019" s="33">
        <v>0.35</v>
      </c>
      <c r="AH1019" s="33"/>
      <c r="AI1019" s="33"/>
      <c r="AJ1019"/>
      <c r="AK1019"/>
      <c r="AL1019"/>
      <c r="AM1019"/>
      <c r="AN1019"/>
      <c r="AO1019"/>
      <c r="AP1019"/>
      <c r="AQ1019" s="22"/>
      <c r="AR1019" s="24"/>
      <c r="AS1019" s="37"/>
      <c r="AT1019" s="37"/>
      <c r="AU1019" s="37"/>
      <c r="AV1019" s="37"/>
      <c r="AW1019" s="37"/>
    </row>
    <row r="1020" spans="1:49" ht="15.75" hidden="1" customHeight="1" x14ac:dyDescent="0.25">
      <c r="A1020" s="1" t="s">
        <v>5228</v>
      </c>
      <c r="B1020" s="21" t="s">
        <v>5241</v>
      </c>
      <c r="C1020" s="1">
        <v>4</v>
      </c>
      <c r="D1020" s="1" t="s">
        <v>5246</v>
      </c>
      <c r="E1020" s="7">
        <v>4666</v>
      </c>
      <c r="F1020" s="7">
        <v>62</v>
      </c>
      <c r="G1020" s="1">
        <v>29.4</v>
      </c>
      <c r="H1020" s="34">
        <f ca="1">Tabela1[[#This Row],[PESO UNI]]*Tabela1[[#This Row],[QTE]]</f>
        <v>117.6</v>
      </c>
      <c r="I1020" s="7">
        <v>0</v>
      </c>
      <c r="J1020" s="8" t="s">
        <v>3045</v>
      </c>
      <c r="K1020" s="8" t="s">
        <v>4320</v>
      </c>
      <c r="L1020" s="9" t="s">
        <v>2984</v>
      </c>
      <c r="M1020" s="10">
        <v>46251</v>
      </c>
      <c r="N1020" s="8" t="s">
        <v>5105</v>
      </c>
      <c r="O1020" s="12"/>
      <c r="P1020" s="13"/>
      <c r="Q1020" s="14">
        <f ca="1">Tabela1[[#This Row],[QTDE/ Fabricação]]-Tabela1[[#This Row],[QTE]]</f>
        <v>-4</v>
      </c>
      <c r="R1020" s="18">
        <f t="shared" ca="1" si="197"/>
        <v>98.195999999999998</v>
      </c>
      <c r="S1020" s="18">
        <f t="shared" ca="1" si="198"/>
        <v>41.16</v>
      </c>
      <c r="T1020" s="19">
        <f t="shared" ca="1" si="199"/>
        <v>-76.44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 ca="1">IFERROR(Tabela1[[#This Row],[QIANTIDADE EXPEDIDA]]*Tabela1[[#This Row],[PESO UNI]],"")</f>
        <v>0</v>
      </c>
      <c r="Y1020" s="14">
        <f t="shared" ca="1" si="200"/>
        <v>-4</v>
      </c>
      <c r="Z1020" s="20">
        <f ca="1">Tabela1[[#This Row],[PESO TOTAL]]-Tabela1[[#This Row],[Peso Expedido]]</f>
        <v>117.6</v>
      </c>
      <c r="AA1020" s="17">
        <v>1</v>
      </c>
      <c r="AB1020" s="33"/>
      <c r="AC1020" s="33">
        <v>1</v>
      </c>
      <c r="AD1020" s="33">
        <v>0.7</v>
      </c>
      <c r="AE1020" s="33">
        <v>0.7</v>
      </c>
      <c r="AF1020" s="33">
        <v>0.4</v>
      </c>
      <c r="AG1020" s="33">
        <v>0.35</v>
      </c>
      <c r="AH1020" s="33"/>
      <c r="AI1020" s="33"/>
      <c r="AJ1020"/>
      <c r="AK1020"/>
      <c r="AL1020"/>
      <c r="AM1020"/>
      <c r="AN1020"/>
      <c r="AO1020"/>
      <c r="AP1020"/>
      <c r="AQ1020" s="22"/>
      <c r="AR1020" s="24"/>
      <c r="AS1020" s="37"/>
      <c r="AT1020" s="37"/>
      <c r="AU1020" s="37"/>
      <c r="AV1020" s="37"/>
      <c r="AW1020" s="37"/>
    </row>
    <row r="1021" spans="1:49" ht="15.75" hidden="1" customHeight="1" x14ac:dyDescent="0.25">
      <c r="A1021" s="1" t="s">
        <v>5228</v>
      </c>
      <c r="B1021" s="21" t="s">
        <v>5241</v>
      </c>
      <c r="C1021" s="1">
        <v>5</v>
      </c>
      <c r="D1021" s="1" t="s">
        <v>5247</v>
      </c>
      <c r="E1021" s="7">
        <v>4667</v>
      </c>
      <c r="F1021" s="7">
        <v>62</v>
      </c>
      <c r="G1021" s="1">
        <v>28.9</v>
      </c>
      <c r="H1021" s="34">
        <f ca="1">Tabela1[[#This Row],[PESO UNI]]*Tabela1[[#This Row],[QTE]]</f>
        <v>144.5</v>
      </c>
      <c r="I1021" s="7">
        <v>0</v>
      </c>
      <c r="J1021" s="8" t="s">
        <v>3045</v>
      </c>
      <c r="K1021" s="8" t="s">
        <v>4320</v>
      </c>
      <c r="L1021" s="9" t="s">
        <v>2984</v>
      </c>
      <c r="M1021" s="10">
        <v>46251</v>
      </c>
      <c r="N1021" s="8" t="s">
        <v>5105</v>
      </c>
      <c r="O1021" s="12"/>
      <c r="P1021" s="13"/>
      <c r="Q1021" s="14">
        <f ca="1">Tabela1[[#This Row],[QTDE/ Fabricação]]-Tabela1[[#This Row],[QTE]]</f>
        <v>-5</v>
      </c>
      <c r="R1021" s="18">
        <f t="shared" ca="1" si="197"/>
        <v>120.6575</v>
      </c>
      <c r="S1021" s="18">
        <f t="shared" ca="1" si="198"/>
        <v>50.574999999999996</v>
      </c>
      <c r="T1021" s="19">
        <f t="shared" ca="1" si="199"/>
        <v>-93.925000000000011</v>
      </c>
      <c r="U1021" s="16">
        <f>IFERROR(SUMIF('LISTA DE EMBARQUE'!B:B,MICRO!E:E,'LISTA DE EMBARQUE'!G:G),"")</f>
        <v>0</v>
      </c>
      <c r="V1021" s="12" t="str">
        <f>IFERROR(VLOOKUP(Tabela1[[#This Row],[COD.MDE]],'LISTA DE EMBARQUE'!B:L,11,0),"")</f>
        <v/>
      </c>
      <c r="W1021" s="13" t="str">
        <f>IFERROR(VLOOKUP(Tabela1[[#This Row],[COD.MDE]],'LISTA DE EMBARQUE'!B:M,12,0),"")</f>
        <v/>
      </c>
      <c r="X1021" s="14">
        <f ca="1">IFERROR(Tabela1[[#This Row],[QIANTIDADE EXPEDIDA]]*Tabela1[[#This Row],[PESO UNI]],"")</f>
        <v>0</v>
      </c>
      <c r="Y1021" s="14">
        <f t="shared" ca="1" si="200"/>
        <v>-5</v>
      </c>
      <c r="Z1021" s="20">
        <f ca="1">Tabela1[[#This Row],[PESO TOTAL]]-Tabela1[[#This Row],[Peso Expedido]]</f>
        <v>144.5</v>
      </c>
      <c r="AA1021" s="17">
        <v>1</v>
      </c>
      <c r="AB1021" s="33"/>
      <c r="AC1021" s="33">
        <v>1</v>
      </c>
      <c r="AD1021" s="33">
        <v>0.7</v>
      </c>
      <c r="AE1021" s="33">
        <v>0.7</v>
      </c>
      <c r="AF1021" s="33">
        <v>0.4</v>
      </c>
      <c r="AG1021" s="33">
        <v>0.35</v>
      </c>
      <c r="AH1021" s="33"/>
      <c r="AI1021" s="33"/>
      <c r="AJ1021"/>
      <c r="AK1021"/>
      <c r="AL1021"/>
      <c r="AM1021"/>
      <c r="AN1021"/>
      <c r="AO1021"/>
      <c r="AP1021"/>
      <c r="AQ1021" s="22"/>
      <c r="AR1021" s="24"/>
      <c r="AS1021" s="37"/>
      <c r="AT1021" s="37"/>
      <c r="AU1021" s="37"/>
      <c r="AV1021" s="37"/>
      <c r="AW1021" s="37"/>
    </row>
    <row r="1022" spans="1:49" ht="15.75" hidden="1" customHeight="1" x14ac:dyDescent="0.25">
      <c r="A1022" s="1" t="s">
        <v>5228</v>
      </c>
      <c r="B1022" s="21" t="s">
        <v>5241</v>
      </c>
      <c r="C1022" s="1">
        <v>8</v>
      </c>
      <c r="D1022" s="1" t="s">
        <v>5248</v>
      </c>
      <c r="E1022" s="7">
        <v>4668</v>
      </c>
      <c r="F1022" s="7">
        <v>62</v>
      </c>
      <c r="G1022" s="1">
        <v>0.2</v>
      </c>
      <c r="H1022" s="34">
        <f ca="1">Tabela1[[#This Row],[PESO UNI]]*Tabela1[[#This Row],[QTE]]</f>
        <v>1.6</v>
      </c>
      <c r="I1022" s="7">
        <v>0</v>
      </c>
      <c r="J1022" s="8" t="s">
        <v>3045</v>
      </c>
      <c r="K1022" s="8" t="s">
        <v>4320</v>
      </c>
      <c r="L1022" s="9" t="s">
        <v>2984</v>
      </c>
      <c r="M1022" s="10">
        <v>46251</v>
      </c>
      <c r="N1022" s="8" t="s">
        <v>5105</v>
      </c>
      <c r="O1022" s="12"/>
      <c r="P1022" s="13"/>
      <c r="Q1022" s="14">
        <f ca="1">Tabela1[[#This Row],[QTDE/ Fabricação]]-Tabela1[[#This Row],[QTE]]</f>
        <v>-8</v>
      </c>
      <c r="R1022" s="18">
        <f t="shared" ca="1" si="197"/>
        <v>1.3360000000000001</v>
      </c>
      <c r="S1022" s="18">
        <f t="shared" ca="1" si="198"/>
        <v>0.55999999999999994</v>
      </c>
      <c r="T1022" s="19">
        <f t="shared" ca="1" si="199"/>
        <v>-1.04</v>
      </c>
      <c r="U1022" s="16">
        <f>IFERROR(SUMIF('LISTA DE EMBARQUE'!B:B,MICRO!E:E,'LISTA DE EMBARQUE'!G:G),"")</f>
        <v>0</v>
      </c>
      <c r="V1022" s="12" t="str">
        <f>IFERROR(VLOOKUP(Tabela1[[#This Row],[COD.MDE]],'LISTA DE EMBARQUE'!B:L,11,0),"")</f>
        <v/>
      </c>
      <c r="W1022" s="13" t="str">
        <f>IFERROR(VLOOKUP(Tabela1[[#This Row],[COD.MDE]],'LISTA DE EMBARQUE'!B:M,12,0),"")</f>
        <v/>
      </c>
      <c r="X1022" s="14">
        <f ca="1">IFERROR(Tabela1[[#This Row],[QIANTIDADE EXPEDIDA]]*Tabela1[[#This Row],[PESO UNI]],"")</f>
        <v>0</v>
      </c>
      <c r="Y1022" s="14">
        <f t="shared" ca="1" si="200"/>
        <v>-8</v>
      </c>
      <c r="Z1022" s="20">
        <f ca="1">Tabela1[[#This Row],[PESO TOTAL]]-Tabela1[[#This Row],[Peso Expedido]]</f>
        <v>1.6</v>
      </c>
      <c r="AA1022" s="17">
        <v>1</v>
      </c>
      <c r="AB1022" s="33"/>
      <c r="AC1022" s="33">
        <v>1</v>
      </c>
      <c r="AD1022" s="33">
        <v>0.7</v>
      </c>
      <c r="AE1022" s="33">
        <v>0.7</v>
      </c>
      <c r="AF1022" s="33">
        <v>0.4</v>
      </c>
      <c r="AG1022" s="33">
        <v>0.35</v>
      </c>
      <c r="AH1022" s="33"/>
      <c r="AI1022" s="33"/>
      <c r="AJ1022"/>
      <c r="AK1022"/>
      <c r="AL1022"/>
      <c r="AM1022"/>
      <c r="AN1022"/>
      <c r="AO1022"/>
      <c r="AP1022"/>
      <c r="AQ1022" s="22"/>
      <c r="AR1022" s="24"/>
      <c r="AS1022" s="37"/>
      <c r="AT1022" s="37"/>
      <c r="AU1022" s="37"/>
      <c r="AV1022" s="37"/>
      <c r="AW1022" s="37"/>
    </row>
    <row r="1023" spans="1:49" ht="15.75" hidden="1" customHeight="1" x14ac:dyDescent="0.25">
      <c r="A1023" s="1" t="s">
        <v>76</v>
      </c>
      <c r="B1023" s="21"/>
      <c r="C1023" s="1">
        <v>40</v>
      </c>
      <c r="D1023" s="1" t="s">
        <v>5249</v>
      </c>
      <c r="E1023" s="7">
        <v>4669</v>
      </c>
      <c r="F1023" s="7">
        <v>1</v>
      </c>
      <c r="G1023" s="1">
        <v>6</v>
      </c>
      <c r="H1023" s="34">
        <f ca="1">Tabela1[[#This Row],[PESO UNI]]*Tabela1[[#This Row],[QTE]]</f>
        <v>240</v>
      </c>
      <c r="I1023" s="7" t="s">
        <v>5250</v>
      </c>
      <c r="J1023" s="8" t="s">
        <v>5251</v>
      </c>
      <c r="K1023" s="8" t="s">
        <v>23</v>
      </c>
      <c r="L1023" s="9" t="s">
        <v>5252</v>
      </c>
      <c r="M1023" s="10">
        <v>46252</v>
      </c>
      <c r="N1023" s="8" t="s">
        <v>38</v>
      </c>
      <c r="O1023" s="12"/>
      <c r="P1023" s="13"/>
      <c r="Q1023" s="14">
        <f ca="1">Tabela1[[#This Row],[QTDE/ Fabricação]]-Tabela1[[#This Row],[QTE]]</f>
        <v>-40</v>
      </c>
      <c r="R1023" s="18">
        <f t="shared" ca="1" si="197"/>
        <v>0</v>
      </c>
      <c r="S1023" s="18">
        <f t="shared" ca="1" si="198"/>
        <v>0</v>
      </c>
      <c r="T1023" s="19">
        <f t="shared" ca="1" si="199"/>
        <v>-240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 ca="1">IFERROR(Tabela1[[#This Row],[QIANTIDADE EXPEDIDA]]*Tabela1[[#This Row],[PESO UNI]],"")</f>
        <v>0</v>
      </c>
      <c r="Y1023" s="14">
        <f t="shared" ca="1" si="200"/>
        <v>-40</v>
      </c>
      <c r="Z1023" s="20">
        <f ca="1">Tabela1[[#This Row],[PESO TOTAL]]-Tabela1[[#This Row],[Peso Expedido]]</f>
        <v>240</v>
      </c>
      <c r="AA1023" s="17"/>
      <c r="AB1023" s="33"/>
      <c r="AC1023" s="33"/>
      <c r="AD1023" s="33"/>
      <c r="AE1023" s="33"/>
      <c r="AF1023" s="33"/>
      <c r="AG1023" s="33"/>
      <c r="AH1023" s="33"/>
      <c r="AI1023" s="33"/>
      <c r="AJ1023"/>
      <c r="AK1023"/>
      <c r="AL1023"/>
      <c r="AM1023"/>
      <c r="AN1023"/>
      <c r="AO1023"/>
      <c r="AP1023"/>
      <c r="AQ1023" s="22"/>
      <c r="AR1023" s="24"/>
      <c r="AS1023" s="37"/>
      <c r="AT1023" s="37"/>
      <c r="AU1023" s="37"/>
      <c r="AV1023" s="37"/>
      <c r="AW1023" s="37"/>
    </row>
    <row r="1024" spans="1:49" ht="15.75" hidden="1" customHeight="1" x14ac:dyDescent="0.25">
      <c r="A1024" s="1" t="s">
        <v>5253</v>
      </c>
      <c r="B1024" s="21"/>
      <c r="C1024" s="1">
        <v>126</v>
      </c>
      <c r="D1024" s="1" t="s">
        <v>5254</v>
      </c>
      <c r="E1024" s="7">
        <v>4670</v>
      </c>
      <c r="F1024" s="7">
        <v>3</v>
      </c>
      <c r="G1024" s="1">
        <v>97.6</v>
      </c>
      <c r="H1024" s="34">
        <f ca="1">Tabela1[[#This Row],[PESO UNI]]*Tabela1[[#This Row],[QTE]]</f>
        <v>12297.599999999999</v>
      </c>
      <c r="I1024" s="7" t="s">
        <v>5586</v>
      </c>
      <c r="J1024" s="8" t="s">
        <v>5255</v>
      </c>
      <c r="K1024" s="8" t="s">
        <v>4320</v>
      </c>
      <c r="L1024" s="9" t="s">
        <v>5256</v>
      </c>
      <c r="M1024" s="10">
        <v>46254</v>
      </c>
      <c r="N1024" s="8" t="s">
        <v>38</v>
      </c>
      <c r="O1024" s="12"/>
      <c r="P1024" s="13"/>
      <c r="Q1024" s="14">
        <f ca="1">Tabela1[[#This Row],[QTDE/ Fabricação]]-Tabela1[[#This Row],[QTE]]</f>
        <v>-126</v>
      </c>
      <c r="R1024" s="18">
        <f t="shared" ca="1" si="197"/>
        <v>0</v>
      </c>
      <c r="S1024" s="18">
        <f t="shared" ca="1" si="198"/>
        <v>0</v>
      </c>
      <c r="T1024" s="19">
        <f t="shared" ca="1" si="199"/>
        <v>-12297.599999999999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 ca="1">IFERROR(Tabela1[[#This Row],[QIANTIDADE EXPEDIDA]]*Tabela1[[#This Row],[PESO UNI]],"")</f>
        <v>0</v>
      </c>
      <c r="Y1024" s="14">
        <f t="shared" ca="1" si="200"/>
        <v>-126</v>
      </c>
      <c r="Z1024" s="20">
        <f ca="1">Tabela1[[#This Row],[PESO TOTAL]]-Tabela1[[#This Row],[Peso Expedido]]</f>
        <v>12297.599999999999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P1024"/>
      <c r="AQ1024" s="22"/>
      <c r="AR1024" s="24"/>
      <c r="AS1024" s="37"/>
      <c r="AT1024" s="37"/>
      <c r="AU1024" s="37"/>
      <c r="AV1024" s="37"/>
      <c r="AW1024" s="37"/>
    </row>
    <row r="1025" spans="1:49" ht="15.75" hidden="1" customHeight="1" x14ac:dyDescent="0.25">
      <c r="A1025" s="1" t="s">
        <v>5257</v>
      </c>
      <c r="B1025" s="21"/>
      <c r="C1025" s="1">
        <v>6</v>
      </c>
      <c r="D1025" s="1" t="s">
        <v>5258</v>
      </c>
      <c r="E1025" s="7">
        <v>4671</v>
      </c>
      <c r="F1025" s="7">
        <v>3</v>
      </c>
      <c r="G1025" s="1">
        <v>289.7</v>
      </c>
      <c r="H1025" s="34">
        <f ca="1">Tabela1[[#This Row],[PESO UNI]]*Tabela1[[#This Row],[QTE]]</f>
        <v>1738.1999999999998</v>
      </c>
      <c r="I1025" s="7" t="s">
        <v>5586</v>
      </c>
      <c r="J1025" s="8" t="s">
        <v>5255</v>
      </c>
      <c r="K1025" s="8" t="s">
        <v>4320</v>
      </c>
      <c r="L1025" s="9" t="s">
        <v>5256</v>
      </c>
      <c r="M1025" s="10">
        <v>46254</v>
      </c>
      <c r="N1025" s="8" t="s">
        <v>5580</v>
      </c>
      <c r="O1025" s="12"/>
      <c r="P1025" s="13"/>
      <c r="Q1025" s="14">
        <f ca="1">Tabela1[[#This Row],[QTDE/ Fabricação]]-Tabela1[[#This Row],[QTE]]</f>
        <v>-6</v>
      </c>
      <c r="R1025" s="18">
        <f t="shared" ca="1" si="197"/>
        <v>0</v>
      </c>
      <c r="S1025" s="18">
        <f t="shared" ca="1" si="198"/>
        <v>0</v>
      </c>
      <c r="T1025" s="19">
        <f t="shared" ca="1" si="199"/>
        <v>-1738.1999999999998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 ca="1">IFERROR(Tabela1[[#This Row],[QIANTIDADE EXPEDIDA]]*Tabela1[[#This Row],[PESO UNI]],"")</f>
        <v>0</v>
      </c>
      <c r="Y1025" s="14">
        <f t="shared" ca="1" si="200"/>
        <v>-6</v>
      </c>
      <c r="Z1025" s="20">
        <f ca="1">Tabela1[[#This Row],[PESO TOTAL]]-Tabela1[[#This Row],[Peso Expedido]]</f>
        <v>1738.1999999999998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P1025"/>
      <c r="AQ1025" s="22"/>
      <c r="AR1025" s="24"/>
      <c r="AS1025" s="37"/>
      <c r="AT1025" s="37"/>
      <c r="AU1025" s="37"/>
      <c r="AV1025" s="37"/>
      <c r="AW1025" s="37"/>
    </row>
    <row r="1026" spans="1:49" ht="15.75" hidden="1" customHeight="1" x14ac:dyDescent="0.25">
      <c r="A1026" s="1" t="s">
        <v>5259</v>
      </c>
      <c r="B1026" s="21"/>
      <c r="C1026" s="1">
        <v>2</v>
      </c>
      <c r="D1026" s="1" t="s">
        <v>5260</v>
      </c>
      <c r="E1026" s="7">
        <v>4672</v>
      </c>
      <c r="F1026" s="7">
        <v>3</v>
      </c>
      <c r="G1026" s="1">
        <v>289.7</v>
      </c>
      <c r="H1026" s="34">
        <f ca="1">Tabela1[[#This Row],[PESO UNI]]*Tabela1[[#This Row],[QTE]]</f>
        <v>579.4</v>
      </c>
      <c r="I1026" s="7" t="s">
        <v>5586</v>
      </c>
      <c r="J1026" s="8" t="s">
        <v>5255</v>
      </c>
      <c r="K1026" s="8" t="s">
        <v>4320</v>
      </c>
      <c r="L1026" s="9" t="s">
        <v>5256</v>
      </c>
      <c r="M1026" s="10">
        <v>46254</v>
      </c>
      <c r="N1026" s="8" t="s">
        <v>5580</v>
      </c>
      <c r="O1026" s="12"/>
      <c r="P1026" s="13"/>
      <c r="Q1026" s="14">
        <f ca="1">Tabela1[[#This Row],[QTDE/ Fabricação]]-Tabela1[[#This Row],[QTE]]</f>
        <v>-2</v>
      </c>
      <c r="R1026" s="18">
        <f t="shared" ref="R1026:R1032" ca="1" si="201">IFERROR(H1026*((AA1026*0.25)+(AC1026*0.25)+(AD1026*0.225)+(AE1026*0.225)+(AF1026*0.05)),"")</f>
        <v>0</v>
      </c>
      <c r="S1026" s="18">
        <f t="shared" ref="S1026:S1032" ca="1" si="202">IFERROR(H1026*AG1026,"")</f>
        <v>0</v>
      </c>
      <c r="T1026" s="19">
        <f t="shared" ref="T1026:T1032" ca="1" si="203">IFERROR(S1026-H1026,"")</f>
        <v>-579.4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 ca="1">IFERROR(Tabela1[[#This Row],[QIANTIDADE EXPEDIDA]]*Tabela1[[#This Row],[PESO UNI]],"")</f>
        <v>0</v>
      </c>
      <c r="Y1026" s="14">
        <f t="shared" ref="Y1026:Y1032" ca="1" si="204">U1026-C1026</f>
        <v>-2</v>
      </c>
      <c r="Z1026" s="20">
        <f ca="1">Tabela1[[#This Row],[PESO TOTAL]]-Tabela1[[#This Row],[Peso Expedido]]</f>
        <v>579.4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P1026"/>
      <c r="AQ1026" s="22"/>
      <c r="AR1026" s="24"/>
      <c r="AS1026" s="37"/>
      <c r="AT1026" s="37"/>
      <c r="AU1026" s="37"/>
      <c r="AV1026" s="37"/>
      <c r="AW1026" s="37"/>
    </row>
    <row r="1027" spans="1:49" ht="15.75" hidden="1" customHeight="1" x14ac:dyDescent="0.25">
      <c r="A1027" s="1" t="s">
        <v>5261</v>
      </c>
      <c r="B1027" s="21"/>
      <c r="C1027" s="1">
        <v>1</v>
      </c>
      <c r="D1027" s="1" t="s">
        <v>5262</v>
      </c>
      <c r="E1027" s="7">
        <v>4673</v>
      </c>
      <c r="F1027" s="7">
        <v>3</v>
      </c>
      <c r="G1027" s="1">
        <v>588</v>
      </c>
      <c r="H1027" s="34">
        <f ca="1">Tabela1[[#This Row],[PESO UNI]]*Tabela1[[#This Row],[QTE]]</f>
        <v>588</v>
      </c>
      <c r="I1027" s="7" t="s">
        <v>5586</v>
      </c>
      <c r="J1027" s="8" t="s">
        <v>5255</v>
      </c>
      <c r="K1027" s="8" t="s">
        <v>4320</v>
      </c>
      <c r="L1027" s="9" t="s">
        <v>5256</v>
      </c>
      <c r="M1027" s="10">
        <v>46254</v>
      </c>
      <c r="N1027" s="8" t="s">
        <v>5580</v>
      </c>
      <c r="O1027" s="12"/>
      <c r="P1027" s="13"/>
      <c r="Q1027" s="14">
        <f ca="1">Tabela1[[#This Row],[QTDE/ Fabricação]]-Tabela1[[#This Row],[QTE]]</f>
        <v>-1</v>
      </c>
      <c r="R1027" s="18">
        <f t="shared" ca="1" si="201"/>
        <v>0</v>
      </c>
      <c r="S1027" s="18">
        <f t="shared" ca="1" si="202"/>
        <v>0</v>
      </c>
      <c r="T1027" s="19">
        <f t="shared" ca="1" si="203"/>
        <v>-588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 ca="1">IFERROR(Tabela1[[#This Row],[QIANTIDADE EXPEDIDA]]*Tabela1[[#This Row],[PESO UNI]],"")</f>
        <v>0</v>
      </c>
      <c r="Y1027" s="14">
        <f t="shared" ca="1" si="204"/>
        <v>-1</v>
      </c>
      <c r="Z1027" s="20">
        <f ca="1">Tabela1[[#This Row],[PESO TOTAL]]-Tabela1[[#This Row],[Peso Expedido]]</f>
        <v>588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P1027"/>
      <c r="AQ1027" s="22"/>
      <c r="AR1027" s="24"/>
      <c r="AS1027" s="37"/>
      <c r="AT1027" s="37"/>
      <c r="AU1027" s="37"/>
      <c r="AV1027" s="37"/>
      <c r="AW1027" s="37"/>
    </row>
    <row r="1028" spans="1:49" ht="15.75" hidden="1" customHeight="1" x14ac:dyDescent="0.25">
      <c r="A1028" s="1" t="s">
        <v>5263</v>
      </c>
      <c r="B1028" s="21"/>
      <c r="C1028" s="1">
        <v>1</v>
      </c>
      <c r="D1028" s="1" t="s">
        <v>5265</v>
      </c>
      <c r="E1028" s="7">
        <v>4674</v>
      </c>
      <c r="F1028" s="7">
        <v>3</v>
      </c>
      <c r="G1028" s="1">
        <v>743</v>
      </c>
      <c r="H1028" s="34">
        <f ca="1">Tabela1[[#This Row],[PESO UNI]]*Tabela1[[#This Row],[QTE]]</f>
        <v>743</v>
      </c>
      <c r="I1028" s="7" t="s">
        <v>5586</v>
      </c>
      <c r="J1028" s="8" t="s">
        <v>5255</v>
      </c>
      <c r="K1028" s="8" t="s">
        <v>4320</v>
      </c>
      <c r="L1028" s="9" t="s">
        <v>5256</v>
      </c>
      <c r="M1028" s="10">
        <v>46254</v>
      </c>
      <c r="N1028" s="8" t="s">
        <v>5580</v>
      </c>
      <c r="O1028" s="12"/>
      <c r="P1028" s="13"/>
      <c r="Q1028" s="14">
        <f ca="1">Tabela1[[#This Row],[QTDE/ Fabricação]]-Tabela1[[#This Row],[QTE]]</f>
        <v>-1</v>
      </c>
      <c r="R1028" s="18">
        <f t="shared" ca="1" si="201"/>
        <v>0</v>
      </c>
      <c r="S1028" s="18">
        <f t="shared" ca="1" si="202"/>
        <v>0</v>
      </c>
      <c r="T1028" s="19">
        <f t="shared" ca="1" si="203"/>
        <v>-743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 ca="1">IFERROR(Tabela1[[#This Row],[QIANTIDADE EXPEDIDA]]*Tabela1[[#This Row],[PESO UNI]],"")</f>
        <v>0</v>
      </c>
      <c r="Y1028" s="14">
        <f t="shared" ca="1" si="204"/>
        <v>-1</v>
      </c>
      <c r="Z1028" s="20">
        <f ca="1">Tabela1[[#This Row],[PESO TOTAL]]-Tabela1[[#This Row],[Peso Expedido]]</f>
        <v>743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P1028"/>
      <c r="AQ1028" s="22"/>
      <c r="AR1028" s="24"/>
      <c r="AS1028" s="37"/>
      <c r="AT1028" s="37"/>
      <c r="AU1028" s="37"/>
      <c r="AV1028" s="37"/>
      <c r="AW1028" s="37"/>
    </row>
    <row r="1029" spans="1:49" ht="15.75" hidden="1" customHeight="1" x14ac:dyDescent="0.25">
      <c r="A1029" s="1" t="s">
        <v>5264</v>
      </c>
      <c r="B1029" s="21"/>
      <c r="C1029" s="1">
        <v>6</v>
      </c>
      <c r="D1029" s="1" t="s">
        <v>5266</v>
      </c>
      <c r="E1029" s="7">
        <v>4675</v>
      </c>
      <c r="F1029" s="7">
        <v>3</v>
      </c>
      <c r="G1029" s="1">
        <v>503.8</v>
      </c>
      <c r="H1029" s="34">
        <f ca="1">Tabela1[[#This Row],[PESO UNI]]*Tabela1[[#This Row],[QTE]]</f>
        <v>3022.8</v>
      </c>
      <c r="I1029" s="7" t="s">
        <v>5586</v>
      </c>
      <c r="J1029" s="8" t="s">
        <v>5255</v>
      </c>
      <c r="K1029" s="8" t="s">
        <v>4320</v>
      </c>
      <c r="L1029" s="9" t="s">
        <v>5256</v>
      </c>
      <c r="M1029" s="10">
        <v>46254</v>
      </c>
      <c r="N1029" s="8" t="s">
        <v>5580</v>
      </c>
      <c r="O1029" s="12"/>
      <c r="P1029" s="13"/>
      <c r="Q1029" s="14">
        <f ca="1">Tabela1[[#This Row],[QTDE/ Fabricação]]-Tabela1[[#This Row],[QTE]]</f>
        <v>-6</v>
      </c>
      <c r="R1029" s="18">
        <f t="shared" ca="1" si="201"/>
        <v>0</v>
      </c>
      <c r="S1029" s="18">
        <f t="shared" ca="1" si="202"/>
        <v>0</v>
      </c>
      <c r="T1029" s="19">
        <f t="shared" ca="1" si="203"/>
        <v>-3022.8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 ca="1">IFERROR(Tabela1[[#This Row],[QIANTIDADE EXPEDIDA]]*Tabela1[[#This Row],[PESO UNI]],"")</f>
        <v>0</v>
      </c>
      <c r="Y1029" s="14">
        <f t="shared" ca="1" si="204"/>
        <v>-6</v>
      </c>
      <c r="Z1029" s="20">
        <f ca="1">Tabela1[[#This Row],[PESO TOTAL]]-Tabela1[[#This Row],[Peso Expedido]]</f>
        <v>3022.8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P1029"/>
      <c r="AQ1029" s="22"/>
      <c r="AR1029" s="24"/>
      <c r="AS1029" s="37"/>
      <c r="AT1029" s="37"/>
      <c r="AU1029" s="37"/>
      <c r="AV1029" s="37"/>
      <c r="AW1029" s="37"/>
    </row>
    <row r="1030" spans="1:49" ht="15.75" hidden="1" customHeight="1" x14ac:dyDescent="0.25">
      <c r="A1030" s="1" t="s">
        <v>5267</v>
      </c>
      <c r="B1030" s="21"/>
      <c r="C1030" s="1">
        <v>64</v>
      </c>
      <c r="D1030" s="1" t="s">
        <v>5269</v>
      </c>
      <c r="E1030" s="7">
        <v>4676</v>
      </c>
      <c r="F1030" s="7">
        <v>3</v>
      </c>
      <c r="G1030" s="1">
        <v>8.6</v>
      </c>
      <c r="H1030" s="34">
        <f ca="1">Tabela1[[#This Row],[PESO UNI]]*Tabela1[[#This Row],[QTE]]</f>
        <v>550.4</v>
      </c>
      <c r="I1030" s="7" t="s">
        <v>5586</v>
      </c>
      <c r="J1030" s="8" t="s">
        <v>5255</v>
      </c>
      <c r="K1030" s="8" t="s">
        <v>4320</v>
      </c>
      <c r="L1030" s="9" t="s">
        <v>5256</v>
      </c>
      <c r="M1030" s="10">
        <v>46254</v>
      </c>
      <c r="N1030" s="8" t="s">
        <v>5580</v>
      </c>
      <c r="O1030" s="12"/>
      <c r="P1030" s="13"/>
      <c r="Q1030" s="14">
        <f ca="1">Tabela1[[#This Row],[QTDE/ Fabricação]]-Tabela1[[#This Row],[QTE]]</f>
        <v>-64</v>
      </c>
      <c r="R1030" s="18">
        <f t="shared" ca="1" si="201"/>
        <v>0</v>
      </c>
      <c r="S1030" s="18">
        <f t="shared" ca="1" si="202"/>
        <v>0</v>
      </c>
      <c r="T1030" s="19">
        <f t="shared" ca="1" si="203"/>
        <v>-550.4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 ca="1">IFERROR(Tabela1[[#This Row],[QIANTIDADE EXPEDIDA]]*Tabela1[[#This Row],[PESO UNI]],"")</f>
        <v>0</v>
      </c>
      <c r="Y1030" s="14">
        <f t="shared" ca="1" si="204"/>
        <v>-64</v>
      </c>
      <c r="Z1030" s="20">
        <f ca="1">Tabela1[[#This Row],[PESO TOTAL]]-Tabela1[[#This Row],[Peso Expedido]]</f>
        <v>550.4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P1030"/>
      <c r="AQ1030" s="22"/>
      <c r="AR1030" s="24"/>
      <c r="AS1030" s="37"/>
      <c r="AT1030" s="37"/>
      <c r="AU1030" s="37"/>
      <c r="AV1030" s="37"/>
      <c r="AW1030" s="37"/>
    </row>
    <row r="1031" spans="1:49" ht="15.75" hidden="1" customHeight="1" x14ac:dyDescent="0.25">
      <c r="A1031" s="1" t="s">
        <v>5268</v>
      </c>
      <c r="B1031" s="21"/>
      <c r="C1031" s="1">
        <v>1</v>
      </c>
      <c r="D1031" s="1" t="s">
        <v>5270</v>
      </c>
      <c r="E1031" s="7">
        <v>4677</v>
      </c>
      <c r="F1031" s="7">
        <v>3</v>
      </c>
      <c r="G1031" s="1">
        <v>503.8</v>
      </c>
      <c r="H1031" s="34">
        <f ca="1">Tabela1[[#This Row],[PESO UNI]]*Tabela1[[#This Row],[QTE]]</f>
        <v>503.8</v>
      </c>
      <c r="I1031" s="7">
        <v>0</v>
      </c>
      <c r="J1031" s="8" t="s">
        <v>5255</v>
      </c>
      <c r="K1031" s="8" t="s">
        <v>4320</v>
      </c>
      <c r="L1031" s="9" t="s">
        <v>5256</v>
      </c>
      <c r="M1031" s="10">
        <v>46254</v>
      </c>
      <c r="N1031" s="8" t="s">
        <v>5580</v>
      </c>
      <c r="O1031" s="12"/>
      <c r="P1031" s="13"/>
      <c r="Q1031" s="14">
        <f ca="1">Tabela1[[#This Row],[QTDE/ Fabricação]]-Tabela1[[#This Row],[QTE]]</f>
        <v>-1</v>
      </c>
      <c r="R1031" s="18">
        <f t="shared" ca="1" si="201"/>
        <v>0</v>
      </c>
      <c r="S1031" s="18">
        <f t="shared" ca="1" si="202"/>
        <v>0</v>
      </c>
      <c r="T1031" s="19">
        <f t="shared" ca="1" si="203"/>
        <v>-503.8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 ca="1">IFERROR(Tabela1[[#This Row],[QIANTIDADE EXPEDIDA]]*Tabela1[[#This Row],[PESO UNI]],"")</f>
        <v>0</v>
      </c>
      <c r="Y1031" s="14">
        <f t="shared" ca="1" si="204"/>
        <v>-1</v>
      </c>
      <c r="Z1031" s="20">
        <f ca="1">Tabela1[[#This Row],[PESO TOTAL]]-Tabela1[[#This Row],[Peso Expedido]]</f>
        <v>503.8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P1031"/>
      <c r="AQ1031" s="22"/>
      <c r="AR1031" s="24"/>
      <c r="AS1031" s="37"/>
      <c r="AT1031" s="37"/>
      <c r="AU1031" s="37"/>
      <c r="AV1031" s="37"/>
      <c r="AW1031" s="37"/>
    </row>
    <row r="1032" spans="1:49" ht="15.75" hidden="1" customHeight="1" x14ac:dyDescent="0.25">
      <c r="A1032" s="1" t="s">
        <v>5271</v>
      </c>
      <c r="B1032" s="21"/>
      <c r="C1032" s="1">
        <v>3</v>
      </c>
      <c r="D1032" s="1" t="s">
        <v>5272</v>
      </c>
      <c r="E1032" s="7">
        <v>4678</v>
      </c>
      <c r="F1032" s="7">
        <v>3</v>
      </c>
      <c r="G1032" s="1">
        <v>406.1</v>
      </c>
      <c r="H1032" s="34">
        <f ca="1">Tabela1[[#This Row],[PESO UNI]]*Tabela1[[#This Row],[QTE]]</f>
        <v>1218.3000000000002</v>
      </c>
      <c r="I1032" s="7">
        <v>0</v>
      </c>
      <c r="J1032" s="8" t="s">
        <v>5255</v>
      </c>
      <c r="K1032" s="8" t="s">
        <v>4320</v>
      </c>
      <c r="L1032" s="9" t="s">
        <v>5256</v>
      </c>
      <c r="M1032" s="10">
        <v>46254</v>
      </c>
      <c r="N1032" s="8" t="s">
        <v>38</v>
      </c>
      <c r="O1032" s="12"/>
      <c r="P1032" s="13"/>
      <c r="Q1032" s="14">
        <f ca="1">Tabela1[[#This Row],[QTDE/ Fabricação]]-Tabela1[[#This Row],[QTE]]</f>
        <v>-3</v>
      </c>
      <c r="R1032" s="18">
        <f t="shared" ca="1" si="201"/>
        <v>0</v>
      </c>
      <c r="S1032" s="18">
        <f t="shared" ca="1" si="202"/>
        <v>0</v>
      </c>
      <c r="T1032" s="19">
        <f t="shared" ca="1" si="203"/>
        <v>-1218.3000000000002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 ca="1">IFERROR(Tabela1[[#This Row],[QIANTIDADE EXPEDIDA]]*Tabela1[[#This Row],[PESO UNI]],"")</f>
        <v>0</v>
      </c>
      <c r="Y1032" s="14">
        <f t="shared" ca="1" si="204"/>
        <v>-3</v>
      </c>
      <c r="Z1032" s="20">
        <f ca="1">Tabela1[[#This Row],[PESO TOTAL]]-Tabela1[[#This Row],[Peso Expedido]]</f>
        <v>1218.3000000000002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P1032"/>
      <c r="AQ1032" s="22"/>
      <c r="AR1032" s="24"/>
      <c r="AS1032" s="37"/>
      <c r="AT1032" s="37"/>
      <c r="AU1032" s="37"/>
      <c r="AV1032" s="37"/>
      <c r="AW1032" s="37"/>
    </row>
    <row r="1033" spans="1:49" ht="15.75" hidden="1" customHeight="1" x14ac:dyDescent="0.25">
      <c r="A1033" s="1" t="s">
        <v>5273</v>
      </c>
      <c r="B1033" s="21"/>
      <c r="C1033" s="1">
        <v>252</v>
      </c>
      <c r="D1033" s="1" t="s">
        <v>5274</v>
      </c>
      <c r="E1033" s="7">
        <v>4679</v>
      </c>
      <c r="F1033" s="7">
        <v>3</v>
      </c>
      <c r="G1033" s="1">
        <v>11.8</v>
      </c>
      <c r="H1033" s="34">
        <f ca="1">Tabela1[[#This Row],[PESO UNI]]*Tabela1[[#This Row],[QTE]]</f>
        <v>2973.6000000000004</v>
      </c>
      <c r="I1033" s="7">
        <v>0</v>
      </c>
      <c r="J1033" s="8" t="s">
        <v>5255</v>
      </c>
      <c r="K1033" s="8" t="s">
        <v>4320</v>
      </c>
      <c r="L1033" s="9" t="s">
        <v>5256</v>
      </c>
      <c r="M1033" s="10">
        <v>46254</v>
      </c>
      <c r="N1033" s="8" t="s">
        <v>38</v>
      </c>
      <c r="O1033" s="12"/>
      <c r="P1033" s="13"/>
      <c r="Q1033" s="14">
        <f ca="1">Tabela1[[#This Row],[QTDE/ Fabricação]]-Tabela1[[#This Row],[QTE]]</f>
        <v>-252</v>
      </c>
      <c r="R1033" s="18">
        <f t="shared" ref="R1033:R1041" ca="1" si="205">IFERROR(H1033*((AA1033*0.25)+(AC1033*0.25)+(AD1033*0.225)+(AE1033*0.225)+(AF1033*0.05)),"")</f>
        <v>0</v>
      </c>
      <c r="S1033" s="18">
        <f t="shared" ref="S1033:S1041" ca="1" si="206">IFERROR(H1033*AG1033,"")</f>
        <v>0</v>
      </c>
      <c r="T1033" s="19">
        <f t="shared" ref="T1033:T1041" ca="1" si="207">IFERROR(S1033-H1033,"")</f>
        <v>-2973.6000000000004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 ca="1">IFERROR(Tabela1[[#This Row],[QIANTIDADE EXPEDIDA]]*Tabela1[[#This Row],[PESO UNI]],"")</f>
        <v>0</v>
      </c>
      <c r="Y1033" s="14">
        <f t="shared" ref="Y1033:Y1041" ca="1" si="208">U1033-C1033</f>
        <v>-252</v>
      </c>
      <c r="Z1033" s="20">
        <f ca="1">Tabela1[[#This Row],[PESO TOTAL]]-Tabela1[[#This Row],[Peso Expedido]]</f>
        <v>2973.6000000000004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P1033"/>
      <c r="AQ1033" s="22"/>
      <c r="AR1033" s="24"/>
      <c r="AS1033" s="37"/>
      <c r="AT1033" s="37"/>
      <c r="AU1033" s="37"/>
      <c r="AV1033" s="37"/>
      <c r="AW1033" s="37"/>
    </row>
    <row r="1034" spans="1:49" ht="15.75" hidden="1" customHeight="1" x14ac:dyDescent="0.25">
      <c r="A1034" s="1" t="s">
        <v>5278</v>
      </c>
      <c r="B1034" s="21" t="s">
        <v>5279</v>
      </c>
      <c r="C1034" s="1">
        <v>1</v>
      </c>
      <c r="D1034" s="1" t="s">
        <v>5280</v>
      </c>
      <c r="E1034" s="7">
        <v>4680</v>
      </c>
      <c r="F1034" s="7">
        <v>63</v>
      </c>
      <c r="G1034" s="1">
        <v>101.4</v>
      </c>
      <c r="H1034" s="34">
        <f ca="1">Tabela1[[#This Row],[PESO UNI]]*Tabela1[[#This Row],[QTE]]</f>
        <v>101.4</v>
      </c>
      <c r="I1034" s="7">
        <v>0</v>
      </c>
      <c r="J1034" s="8" t="s">
        <v>3045</v>
      </c>
      <c r="K1034" s="8" t="s">
        <v>4320</v>
      </c>
      <c r="L1034" s="9" t="s">
        <v>2984</v>
      </c>
      <c r="M1034" s="10">
        <v>46255</v>
      </c>
      <c r="N1034" s="8" t="s">
        <v>38</v>
      </c>
      <c r="O1034" s="12"/>
      <c r="P1034" s="13"/>
      <c r="Q1034" s="14">
        <f ca="1">Tabela1[[#This Row],[QTDE/ Fabricação]]-Tabela1[[#This Row],[QTE]]</f>
        <v>-1</v>
      </c>
      <c r="R1034" s="18">
        <f t="shared" ca="1" si="205"/>
        <v>45.63</v>
      </c>
      <c r="S1034" s="18">
        <f t="shared" ca="1" si="206"/>
        <v>0</v>
      </c>
      <c r="T1034" s="19">
        <f t="shared" ca="1" si="207"/>
        <v>-101.4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 ca="1">IFERROR(Tabela1[[#This Row],[QIANTIDADE EXPEDIDA]]*Tabela1[[#This Row],[PESO UNI]],"")</f>
        <v>0</v>
      </c>
      <c r="Y1034" s="14">
        <f t="shared" ca="1" si="208"/>
        <v>-1</v>
      </c>
      <c r="Z1034" s="20">
        <f ca="1">Tabela1[[#This Row],[PESO TOTAL]]-Tabela1[[#This Row],[Peso Expedido]]</f>
        <v>101.4</v>
      </c>
      <c r="AA1034" s="17">
        <v>0.9</v>
      </c>
      <c r="AB1034" s="33"/>
      <c r="AC1034" s="33">
        <v>0.9</v>
      </c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P1034"/>
      <c r="AQ1034" s="22"/>
      <c r="AR1034" s="24"/>
      <c r="AS1034" s="37"/>
      <c r="AT1034" s="37"/>
      <c r="AU1034" s="37"/>
      <c r="AV1034" s="37"/>
      <c r="AW1034" s="37"/>
    </row>
    <row r="1035" spans="1:49" ht="15.75" hidden="1" customHeight="1" x14ac:dyDescent="0.25">
      <c r="A1035" s="1" t="s">
        <v>5285</v>
      </c>
      <c r="B1035" s="21"/>
      <c r="C1035" s="207">
        <v>2</v>
      </c>
      <c r="D1035" s="1" t="s">
        <v>5286</v>
      </c>
      <c r="E1035" s="228">
        <v>4681</v>
      </c>
      <c r="F1035" s="193">
        <v>4</v>
      </c>
      <c r="G1035" s="1">
        <v>44</v>
      </c>
      <c r="H1035" s="34">
        <f ca="1">Tabela1[[#This Row],[PESO UNI]]*Tabela1[[#This Row],[QTE]]</f>
        <v>88</v>
      </c>
      <c r="I1035" s="7">
        <v>0</v>
      </c>
      <c r="J1035" s="8" t="s">
        <v>5255</v>
      </c>
      <c r="K1035" s="8" t="s">
        <v>32</v>
      </c>
      <c r="L1035" s="9" t="s">
        <v>5256</v>
      </c>
      <c r="M1035" s="10">
        <v>46255</v>
      </c>
      <c r="N1035" s="8" t="s">
        <v>38</v>
      </c>
      <c r="O1035" s="12"/>
      <c r="P1035" s="13"/>
      <c r="Q1035" s="14">
        <f ca="1">Tabela1[[#This Row],[QTDE/ Fabricação]]-Tabela1[[#This Row],[QTE]]</f>
        <v>-2</v>
      </c>
      <c r="R1035" s="18">
        <f t="shared" ca="1" si="205"/>
        <v>0</v>
      </c>
      <c r="S1035" s="18">
        <f t="shared" ca="1" si="206"/>
        <v>0</v>
      </c>
      <c r="T1035" s="19">
        <f t="shared" ca="1" si="207"/>
        <v>-88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 ca="1">IFERROR(Tabela1[[#This Row],[QIANTIDADE EXPEDIDA]]*Tabela1[[#This Row],[PESO UNI]],"")</f>
        <v>0</v>
      </c>
      <c r="Y1035" s="14">
        <f t="shared" ca="1" si="208"/>
        <v>-2</v>
      </c>
      <c r="Z1035" s="20">
        <f ca="1">Tabela1[[#This Row],[PESO TOTAL]]-Tabela1[[#This Row],[Peso Expedido]]</f>
        <v>88</v>
      </c>
      <c r="AA1035" s="17"/>
      <c r="AB1035" s="33"/>
      <c r="AC1035" s="33"/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P1035"/>
      <c r="AQ1035" s="22"/>
      <c r="AR1035" s="24"/>
      <c r="AS1035" s="37"/>
      <c r="AT1035" s="37"/>
      <c r="AU1035" s="37"/>
      <c r="AV1035" s="37"/>
      <c r="AW1035" s="37"/>
    </row>
    <row r="1036" spans="1:49" ht="15.75" hidden="1" customHeight="1" x14ac:dyDescent="0.25">
      <c r="A1036" s="1" t="s">
        <v>5287</v>
      </c>
      <c r="B1036" s="21"/>
      <c r="C1036" s="207">
        <v>2</v>
      </c>
      <c r="D1036" s="1" t="s">
        <v>5288</v>
      </c>
      <c r="E1036" s="228">
        <v>4682</v>
      </c>
      <c r="F1036" s="193">
        <v>4</v>
      </c>
      <c r="G1036" s="1">
        <v>0.1</v>
      </c>
      <c r="H1036" s="34">
        <f ca="1">Tabela1[[#This Row],[PESO UNI]]*Tabela1[[#This Row],[QTE]]</f>
        <v>0.2</v>
      </c>
      <c r="I1036" s="7">
        <v>0</v>
      </c>
      <c r="J1036" s="8" t="s">
        <v>5255</v>
      </c>
      <c r="K1036" s="8" t="s">
        <v>32</v>
      </c>
      <c r="L1036" s="9" t="s">
        <v>5256</v>
      </c>
      <c r="M1036" s="10">
        <v>46255</v>
      </c>
      <c r="N1036" s="8" t="s">
        <v>38</v>
      </c>
      <c r="O1036" s="12"/>
      <c r="P1036" s="13"/>
      <c r="Q1036" s="14">
        <f ca="1">Tabela1[[#This Row],[QTDE/ Fabricação]]-Tabela1[[#This Row],[QTE]]</f>
        <v>-2</v>
      </c>
      <c r="R1036" s="18">
        <f t="shared" ca="1" si="205"/>
        <v>0</v>
      </c>
      <c r="S1036" s="18">
        <f t="shared" ca="1" si="206"/>
        <v>0</v>
      </c>
      <c r="T1036" s="19">
        <f t="shared" ca="1" si="207"/>
        <v>-0.2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 ca="1">IFERROR(Tabela1[[#This Row],[QIANTIDADE EXPEDIDA]]*Tabela1[[#This Row],[PESO UNI]],"")</f>
        <v>0</v>
      </c>
      <c r="Y1036" s="14">
        <f t="shared" ca="1" si="208"/>
        <v>-2</v>
      </c>
      <c r="Z1036" s="20">
        <f ca="1">Tabela1[[#This Row],[PESO TOTAL]]-Tabela1[[#This Row],[Peso Expedido]]</f>
        <v>0.2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P1036"/>
      <c r="AQ1036" s="22"/>
      <c r="AR1036" s="24"/>
      <c r="AS1036" s="37"/>
      <c r="AT1036" s="37"/>
      <c r="AU1036" s="37"/>
      <c r="AV1036" s="37"/>
      <c r="AW1036" s="37"/>
    </row>
    <row r="1037" spans="1:49" ht="15.75" hidden="1" customHeight="1" x14ac:dyDescent="0.25">
      <c r="A1037" s="1" t="s">
        <v>5284</v>
      </c>
      <c r="B1037" s="21"/>
      <c r="C1037" s="207">
        <v>1</v>
      </c>
      <c r="D1037" s="1" t="s">
        <v>5289</v>
      </c>
      <c r="E1037" s="228">
        <v>4683</v>
      </c>
      <c r="F1037" s="193">
        <v>4</v>
      </c>
      <c r="G1037" s="1">
        <v>741.4</v>
      </c>
      <c r="H1037" s="34">
        <f ca="1">Tabela1[[#This Row],[PESO UNI]]*Tabela1[[#This Row],[QTE]]</f>
        <v>741.4</v>
      </c>
      <c r="I1037" s="7">
        <v>0</v>
      </c>
      <c r="J1037" s="8" t="s">
        <v>5255</v>
      </c>
      <c r="K1037" s="8" t="s">
        <v>32</v>
      </c>
      <c r="L1037" s="9" t="s">
        <v>5256</v>
      </c>
      <c r="M1037" s="10">
        <v>46255</v>
      </c>
      <c r="N1037" s="8" t="s">
        <v>38</v>
      </c>
      <c r="O1037" s="12"/>
      <c r="P1037" s="13"/>
      <c r="Q1037" s="14">
        <f ca="1">Tabela1[[#This Row],[QTDE/ Fabricação]]-Tabela1[[#This Row],[QTE]]</f>
        <v>-1</v>
      </c>
      <c r="R1037" s="18">
        <f t="shared" ca="1" si="205"/>
        <v>0</v>
      </c>
      <c r="S1037" s="18">
        <f t="shared" ca="1" si="206"/>
        <v>0</v>
      </c>
      <c r="T1037" s="19">
        <f t="shared" ca="1" si="207"/>
        <v>-741.4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 ca="1">IFERROR(Tabela1[[#This Row],[QIANTIDADE EXPEDIDA]]*Tabela1[[#This Row],[PESO UNI]],"")</f>
        <v>0</v>
      </c>
      <c r="Y1037" s="14">
        <f t="shared" ca="1" si="208"/>
        <v>-1</v>
      </c>
      <c r="Z1037" s="20">
        <f ca="1">Tabela1[[#This Row],[PESO TOTAL]]-Tabela1[[#This Row],[Peso Expedido]]</f>
        <v>741.4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P1037"/>
      <c r="AQ1037" s="22"/>
      <c r="AR1037" s="24"/>
      <c r="AS1037" s="37"/>
      <c r="AT1037" s="37"/>
      <c r="AU1037" s="37"/>
      <c r="AV1037" s="37"/>
      <c r="AW1037" s="37"/>
    </row>
    <row r="1038" spans="1:49" ht="15.75" hidden="1" customHeight="1" x14ac:dyDescent="0.25">
      <c r="A1038" s="1" t="s">
        <v>5290</v>
      </c>
      <c r="B1038" s="21"/>
      <c r="C1038" s="207">
        <v>2</v>
      </c>
      <c r="D1038" s="1" t="s">
        <v>5291</v>
      </c>
      <c r="E1038" s="228">
        <v>4684</v>
      </c>
      <c r="F1038" s="193">
        <v>4</v>
      </c>
      <c r="G1038" s="1">
        <v>103.5</v>
      </c>
      <c r="H1038" s="34">
        <f ca="1">Tabela1[[#This Row],[PESO UNI]]*Tabela1[[#This Row],[QTE]]</f>
        <v>207</v>
      </c>
      <c r="I1038" s="7">
        <v>0</v>
      </c>
      <c r="J1038" s="8" t="s">
        <v>5255</v>
      </c>
      <c r="K1038" s="8" t="s">
        <v>32</v>
      </c>
      <c r="L1038" s="9" t="s">
        <v>5256</v>
      </c>
      <c r="M1038" s="10">
        <v>46255</v>
      </c>
      <c r="N1038" s="8" t="s">
        <v>38</v>
      </c>
      <c r="O1038" s="12"/>
      <c r="P1038" s="13"/>
      <c r="Q1038" s="14">
        <f ca="1">Tabela1[[#This Row],[QTDE/ Fabricação]]-Tabela1[[#This Row],[QTE]]</f>
        <v>-2</v>
      </c>
      <c r="R1038" s="18">
        <f t="shared" ca="1" si="205"/>
        <v>0</v>
      </c>
      <c r="S1038" s="18">
        <f t="shared" ca="1" si="206"/>
        <v>0</v>
      </c>
      <c r="T1038" s="19">
        <f t="shared" ca="1" si="207"/>
        <v>-207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 ca="1">IFERROR(Tabela1[[#This Row],[QIANTIDADE EXPEDIDA]]*Tabela1[[#This Row],[PESO UNI]],"")</f>
        <v>0</v>
      </c>
      <c r="Y1038" s="14">
        <f t="shared" ca="1" si="208"/>
        <v>-2</v>
      </c>
      <c r="Z1038" s="20">
        <f ca="1">Tabela1[[#This Row],[PESO TOTAL]]-Tabela1[[#This Row],[Peso Expedido]]</f>
        <v>207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P1038"/>
      <c r="AQ1038" s="22"/>
      <c r="AR1038" s="24"/>
      <c r="AS1038" s="37"/>
      <c r="AT1038" s="37"/>
      <c r="AU1038" s="37"/>
      <c r="AV1038" s="37"/>
      <c r="AW1038" s="37"/>
    </row>
    <row r="1039" spans="1:49" ht="15.75" hidden="1" customHeight="1" x14ac:dyDescent="0.25">
      <c r="A1039" s="1" t="s">
        <v>5292</v>
      </c>
      <c r="B1039" s="21"/>
      <c r="C1039" s="207">
        <v>2</v>
      </c>
      <c r="D1039" s="1" t="s">
        <v>5293</v>
      </c>
      <c r="E1039" s="228">
        <v>4685</v>
      </c>
      <c r="F1039" s="193">
        <v>4</v>
      </c>
      <c r="G1039" s="1">
        <v>2.5</v>
      </c>
      <c r="H1039" s="34">
        <f ca="1">Tabela1[[#This Row],[PESO UNI]]*Tabela1[[#This Row],[QTE]]</f>
        <v>5</v>
      </c>
      <c r="I1039" s="7">
        <v>0</v>
      </c>
      <c r="J1039" s="8" t="s">
        <v>5255</v>
      </c>
      <c r="K1039" s="8" t="s">
        <v>32</v>
      </c>
      <c r="L1039" s="9" t="s">
        <v>5256</v>
      </c>
      <c r="M1039" s="10">
        <v>46255</v>
      </c>
      <c r="N1039" s="8" t="s">
        <v>38</v>
      </c>
      <c r="O1039" s="12"/>
      <c r="P1039" s="13"/>
      <c r="Q1039" s="14">
        <f ca="1">Tabela1[[#This Row],[QTDE/ Fabricação]]-Tabela1[[#This Row],[QTE]]</f>
        <v>-2</v>
      </c>
      <c r="R1039" s="18">
        <f t="shared" ca="1" si="205"/>
        <v>0</v>
      </c>
      <c r="S1039" s="18">
        <f t="shared" ca="1" si="206"/>
        <v>0</v>
      </c>
      <c r="T1039" s="19">
        <f t="shared" ca="1" si="207"/>
        <v>-5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 ca="1">IFERROR(Tabela1[[#This Row],[QIANTIDADE EXPEDIDA]]*Tabela1[[#This Row],[PESO UNI]],"")</f>
        <v>0</v>
      </c>
      <c r="Y1039" s="14">
        <f t="shared" ca="1" si="208"/>
        <v>-2</v>
      </c>
      <c r="Z1039" s="20">
        <f ca="1">Tabela1[[#This Row],[PESO TOTAL]]-Tabela1[[#This Row],[Peso Expedido]]</f>
        <v>5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P1039"/>
      <c r="AQ1039" s="22"/>
      <c r="AR1039" s="24"/>
      <c r="AS1039" s="37"/>
      <c r="AT1039" s="37"/>
      <c r="AU1039" s="37"/>
      <c r="AV1039" s="37"/>
      <c r="AW1039" s="37"/>
    </row>
    <row r="1040" spans="1:49" ht="15.75" hidden="1" customHeight="1" x14ac:dyDescent="0.25">
      <c r="A1040" s="1" t="s">
        <v>5294</v>
      </c>
      <c r="C1040" s="25">
        <v>2</v>
      </c>
      <c r="D1040" s="1" t="s">
        <v>5295</v>
      </c>
      <c r="E1040" s="25">
        <v>4686</v>
      </c>
      <c r="F1040" s="25">
        <v>4</v>
      </c>
      <c r="G1040" s="1">
        <v>115.7</v>
      </c>
      <c r="H1040" s="34">
        <f ca="1">Tabela1[[#This Row],[PESO UNI]]*Tabela1[[#This Row],[QTE]]</f>
        <v>231.4</v>
      </c>
      <c r="I1040" s="7">
        <v>3</v>
      </c>
      <c r="J1040" s="8" t="s">
        <v>5255</v>
      </c>
      <c r="K1040" s="8" t="s">
        <v>32</v>
      </c>
      <c r="L1040" s="9" t="s">
        <v>5256</v>
      </c>
      <c r="M1040" s="10">
        <v>46255</v>
      </c>
      <c r="N1040" s="8" t="s">
        <v>38</v>
      </c>
      <c r="O1040" s="12"/>
      <c r="P1040" s="13"/>
      <c r="Q1040" s="14">
        <f ca="1">Tabela1[[#This Row],[QTDE/ Fabricação]]-Tabela1[[#This Row],[QTE]]</f>
        <v>-2</v>
      </c>
      <c r="R1040" s="18">
        <f t="shared" ca="1" si="205"/>
        <v>0</v>
      </c>
      <c r="S1040" s="18">
        <f t="shared" ca="1" si="206"/>
        <v>0</v>
      </c>
      <c r="T1040" s="19">
        <f t="shared" ca="1" si="207"/>
        <v>-231.4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 ca="1">IFERROR(Tabela1[[#This Row],[QIANTIDADE EXPEDIDA]]*Tabela1[[#This Row],[PESO UNI]],"")</f>
        <v>0</v>
      </c>
      <c r="Y1040" s="14">
        <f t="shared" ca="1" si="208"/>
        <v>-2</v>
      </c>
      <c r="Z1040" s="20">
        <f ca="1">Tabela1[[#This Row],[PESO TOTAL]]-Tabela1[[#This Row],[Peso Expedido]]</f>
        <v>231.4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P1040"/>
      <c r="AQ1040" s="22"/>
    </row>
    <row r="1041" spans="1:49" ht="15.75" hidden="1" customHeight="1" x14ac:dyDescent="0.25">
      <c r="A1041" s="1" t="s">
        <v>5296</v>
      </c>
      <c r="C1041" s="25">
        <v>2</v>
      </c>
      <c r="D1041" s="1" t="s">
        <v>5297</v>
      </c>
      <c r="E1041" s="25">
        <v>4687</v>
      </c>
      <c r="F1041" s="25">
        <v>4</v>
      </c>
      <c r="G1041" s="1">
        <v>2</v>
      </c>
      <c r="H1041" s="34">
        <f ca="1">Tabela1[[#This Row],[PESO UNI]]*Tabela1[[#This Row],[QTE]]</f>
        <v>4</v>
      </c>
      <c r="I1041" s="7">
        <v>1</v>
      </c>
      <c r="J1041" s="8" t="s">
        <v>5255</v>
      </c>
      <c r="K1041" s="8" t="s">
        <v>32</v>
      </c>
      <c r="L1041" s="9" t="s">
        <v>5256</v>
      </c>
      <c r="M1041" s="10">
        <v>46255</v>
      </c>
      <c r="N1041" s="8" t="s">
        <v>38</v>
      </c>
      <c r="O1041" s="12"/>
      <c r="P1041" s="13"/>
      <c r="Q1041" s="14">
        <f ca="1">Tabela1[[#This Row],[QTDE/ Fabricação]]-Tabela1[[#This Row],[QTE]]</f>
        <v>-2</v>
      </c>
      <c r="R1041" s="18">
        <f t="shared" ca="1" si="205"/>
        <v>0</v>
      </c>
      <c r="S1041" s="18">
        <f t="shared" ca="1" si="206"/>
        <v>0</v>
      </c>
      <c r="T1041" s="19">
        <f t="shared" ca="1" si="207"/>
        <v>-4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 ca="1">IFERROR(Tabela1[[#This Row],[QIANTIDADE EXPEDIDA]]*Tabela1[[#This Row],[PESO UNI]],"")</f>
        <v>0</v>
      </c>
      <c r="Y1041" s="14">
        <f t="shared" ca="1" si="208"/>
        <v>-2</v>
      </c>
      <c r="Z1041" s="20">
        <f ca="1">Tabela1[[#This Row],[PESO TOTAL]]-Tabela1[[#This Row],[Peso Expedido]]</f>
        <v>4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</row>
    <row r="1042" spans="1:49" ht="15.75" hidden="1" customHeight="1" x14ac:dyDescent="0.25">
      <c r="A1042" s="1" t="s">
        <v>5298</v>
      </c>
      <c r="C1042" s="25">
        <v>2</v>
      </c>
      <c r="D1042" s="1" t="s">
        <v>5299</v>
      </c>
      <c r="E1042" s="25">
        <v>4688</v>
      </c>
      <c r="F1042" s="25">
        <v>4</v>
      </c>
      <c r="G1042" s="1">
        <v>28.6</v>
      </c>
      <c r="H1042" s="34">
        <f ca="1">Tabela1[[#This Row],[PESO UNI]]*Tabela1[[#This Row],[QTE]]</f>
        <v>57.2</v>
      </c>
      <c r="I1042" s="7">
        <v>1</v>
      </c>
      <c r="J1042" s="8" t="s">
        <v>5255</v>
      </c>
      <c r="K1042" s="8" t="s">
        <v>32</v>
      </c>
      <c r="L1042" s="9" t="s">
        <v>5256</v>
      </c>
      <c r="M1042" s="10">
        <v>46255</v>
      </c>
      <c r="N1042" s="8" t="s">
        <v>38</v>
      </c>
      <c r="O1042" s="12"/>
      <c r="P1042" s="13"/>
      <c r="Q1042" s="14">
        <f ca="1">Tabela1[[#This Row],[QTDE/ Fabricação]]-Tabela1[[#This Row],[QTE]]</f>
        <v>-2</v>
      </c>
      <c r="R1042" s="18">
        <f t="shared" ref="R1042:R1048" ca="1" si="209">IFERROR(H1042*((AA1042*0.25)+(AC1042*0.25)+(AD1042*0.225)+(AE1042*0.225)+(AF1042*0.05)),"")</f>
        <v>0</v>
      </c>
      <c r="S1042" s="18">
        <f t="shared" ref="S1042:S1048" ca="1" si="210">IFERROR(H1042*AG1042,"")</f>
        <v>0</v>
      </c>
      <c r="T1042" s="19">
        <f t="shared" ref="T1042:T1048" ca="1" si="211">IFERROR(S1042-H1042,"")</f>
        <v>-57.2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 ca="1">IFERROR(Tabela1[[#This Row],[QIANTIDADE EXPEDIDA]]*Tabela1[[#This Row],[PESO UNI]],"")</f>
        <v>0</v>
      </c>
      <c r="Y1042" s="14">
        <f t="shared" ref="Y1042:Y1048" ca="1" si="212">U1042-C1042</f>
        <v>-2</v>
      </c>
      <c r="Z1042" s="20">
        <f ca="1">Tabela1[[#This Row],[PESO TOTAL]]-Tabela1[[#This Row],[Peso Expedido]]</f>
        <v>57.2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</row>
    <row r="1043" spans="1:49" ht="15.75" hidden="1" customHeight="1" x14ac:dyDescent="0.25">
      <c r="A1043" s="209" t="s">
        <v>5301</v>
      </c>
      <c r="B1043" s="21" t="s">
        <v>5302</v>
      </c>
      <c r="C1043" s="196">
        <v>1</v>
      </c>
      <c r="D1043" s="1" t="s">
        <v>5303</v>
      </c>
      <c r="E1043" s="228">
        <v>4689</v>
      </c>
      <c r="F1043" s="196">
        <v>24</v>
      </c>
      <c r="G1043" s="1">
        <v>660</v>
      </c>
      <c r="H1043" s="34">
        <f ca="1">Tabela1[[#This Row],[PESO UNI]]*Tabela1[[#This Row],[QTE]]</f>
        <v>660</v>
      </c>
      <c r="I1043" s="7" t="s">
        <v>5587</v>
      </c>
      <c r="J1043" s="8" t="s">
        <v>4834</v>
      </c>
      <c r="K1043" s="8" t="s">
        <v>4320</v>
      </c>
      <c r="L1043" s="9" t="s">
        <v>3291</v>
      </c>
      <c r="M1043" s="10">
        <v>46259</v>
      </c>
      <c r="N1043" s="8" t="s">
        <v>38</v>
      </c>
      <c r="O1043" s="12"/>
      <c r="P1043" s="13"/>
      <c r="Q1043" s="14">
        <f ca="1">Tabela1[[#This Row],[QTDE/ Fabricação]]-Tabela1[[#This Row],[QTE]]</f>
        <v>-1</v>
      </c>
      <c r="R1043" s="18">
        <f t="shared" ca="1" si="209"/>
        <v>404.25000000000006</v>
      </c>
      <c r="S1043" s="18">
        <f t="shared" ca="1" si="210"/>
        <v>0</v>
      </c>
      <c r="T1043" s="19">
        <f t="shared" ca="1" si="211"/>
        <v>-660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 ca="1">IFERROR(Tabela1[[#This Row],[QIANTIDADE EXPEDIDA]]*Tabela1[[#This Row],[PESO UNI]],"")</f>
        <v>0</v>
      </c>
      <c r="Y1043" s="14">
        <f t="shared" ca="1" si="212"/>
        <v>-1</v>
      </c>
      <c r="Z1043" s="20">
        <f ca="1">Tabela1[[#This Row],[PESO TOTAL]]-Tabela1[[#This Row],[Peso Expedido]]</f>
        <v>660</v>
      </c>
      <c r="AA1043" s="17">
        <v>1</v>
      </c>
      <c r="AB1043" s="33"/>
      <c r="AC1043" s="33">
        <v>1</v>
      </c>
      <c r="AD1043" s="33">
        <v>0.5</v>
      </c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T1043" s="37"/>
      <c r="AU1043" s="37"/>
      <c r="AV1043" s="37"/>
      <c r="AW1043" s="37"/>
    </row>
    <row r="1044" spans="1:49" ht="15.75" hidden="1" customHeight="1" x14ac:dyDescent="0.25">
      <c r="A1044" s="209" t="s">
        <v>5304</v>
      </c>
      <c r="B1044" s="21" t="s">
        <v>5305</v>
      </c>
      <c r="C1044" s="196">
        <v>1</v>
      </c>
      <c r="D1044" s="1" t="s">
        <v>5306</v>
      </c>
      <c r="E1044" s="228">
        <v>4690</v>
      </c>
      <c r="F1044" s="196">
        <v>24</v>
      </c>
      <c r="G1044" s="1">
        <v>424.7</v>
      </c>
      <c r="H1044" s="34">
        <f ca="1">Tabela1[[#This Row],[PESO UNI]]*Tabela1[[#This Row],[QTE]]</f>
        <v>424.7</v>
      </c>
      <c r="I1044" s="7" t="s">
        <v>5587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 ca="1">Tabela1[[#This Row],[QTDE/ Fabricação]]-Tabela1[[#This Row],[QTE]]</f>
        <v>-1</v>
      </c>
      <c r="R1044" s="18">
        <f t="shared" ca="1" si="209"/>
        <v>260.12875000000003</v>
      </c>
      <c r="S1044" s="18">
        <f t="shared" ca="1" si="210"/>
        <v>0</v>
      </c>
      <c r="T1044" s="19">
        <f t="shared" ca="1" si="211"/>
        <v>-424.7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 ca="1">IFERROR(Tabela1[[#This Row],[QIANTIDADE EXPEDIDA]]*Tabela1[[#This Row],[PESO UNI]],"")</f>
        <v>0</v>
      </c>
      <c r="Y1044" s="14">
        <f t="shared" ca="1" si="212"/>
        <v>-1</v>
      </c>
      <c r="Z1044" s="20">
        <f ca="1">Tabela1[[#This Row],[PESO TOTAL]]-Tabela1[[#This Row],[Peso Expedido]]</f>
        <v>424.7</v>
      </c>
      <c r="AA1044" s="17">
        <v>1</v>
      </c>
      <c r="AB1044" s="33"/>
      <c r="AC1044" s="33">
        <v>1</v>
      </c>
      <c r="AD1044" s="33">
        <v>0.5</v>
      </c>
      <c r="AE1044" s="33"/>
      <c r="AF1044" s="33"/>
      <c r="AG1044" s="33"/>
      <c r="AH1044" s="33"/>
      <c r="AI1044" s="33"/>
      <c r="AJ1044"/>
      <c r="AK1044"/>
      <c r="AL1044"/>
      <c r="AM1044"/>
      <c r="AN1044"/>
      <c r="AO1044"/>
      <c r="AT1044" s="37"/>
      <c r="AU1044" s="37"/>
      <c r="AV1044" s="37"/>
      <c r="AW1044" s="37"/>
    </row>
    <row r="1045" spans="1:49" ht="15.75" hidden="1" customHeight="1" x14ac:dyDescent="0.25">
      <c r="A1045" s="209" t="s">
        <v>5304</v>
      </c>
      <c r="B1045" s="21" t="s">
        <v>5305</v>
      </c>
      <c r="C1045" s="196">
        <v>1</v>
      </c>
      <c r="D1045" s="1" t="s">
        <v>5307</v>
      </c>
      <c r="E1045" s="228">
        <v>4691</v>
      </c>
      <c r="F1045" s="196">
        <v>24</v>
      </c>
      <c r="G1045" s="1">
        <v>254.4</v>
      </c>
      <c r="H1045" s="34">
        <f ca="1">Tabela1[[#This Row],[PESO UNI]]*Tabela1[[#This Row],[QTE]]</f>
        <v>254.4</v>
      </c>
      <c r="I1045" s="7" t="s">
        <v>5587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 ca="1">Tabela1[[#This Row],[QTDE/ Fabricação]]-Tabela1[[#This Row],[QTE]]</f>
        <v>-1</v>
      </c>
      <c r="R1045" s="18">
        <f t="shared" ca="1" si="209"/>
        <v>155.82000000000002</v>
      </c>
      <c r="S1045" s="18">
        <f t="shared" ca="1" si="210"/>
        <v>0</v>
      </c>
      <c r="T1045" s="19">
        <f t="shared" ca="1" si="211"/>
        <v>-254.4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 ca="1">IFERROR(Tabela1[[#This Row],[QIANTIDADE EXPEDIDA]]*Tabela1[[#This Row],[PESO UNI]],"")</f>
        <v>0</v>
      </c>
      <c r="Y1045" s="14">
        <f t="shared" ca="1" si="212"/>
        <v>-1</v>
      </c>
      <c r="Z1045" s="20">
        <f ca="1">Tabela1[[#This Row],[PESO TOTAL]]-Tabela1[[#This Row],[Peso Expedido]]</f>
        <v>254.4</v>
      </c>
      <c r="AA1045" s="17">
        <v>1</v>
      </c>
      <c r="AB1045" s="33"/>
      <c r="AC1045" s="33">
        <v>1</v>
      </c>
      <c r="AD1045" s="33">
        <v>0.5</v>
      </c>
      <c r="AE1045" s="33"/>
      <c r="AF1045" s="33"/>
      <c r="AG1045" s="33"/>
      <c r="AH1045" s="33"/>
      <c r="AI1045" s="33"/>
      <c r="AJ1045"/>
      <c r="AK1045"/>
      <c r="AL1045"/>
      <c r="AM1045"/>
      <c r="AN1045"/>
      <c r="AO1045"/>
      <c r="AQ1045" s="201"/>
      <c r="AR1045" s="37"/>
      <c r="AS1045" s="37"/>
      <c r="AT1045" s="37"/>
      <c r="AU1045" s="37"/>
      <c r="AV1045" s="37"/>
      <c r="AW1045" s="37"/>
    </row>
    <row r="1046" spans="1:49" ht="15.75" hidden="1" customHeight="1" x14ac:dyDescent="0.25">
      <c r="A1046" s="209" t="s">
        <v>5308</v>
      </c>
      <c r="B1046" s="21" t="s">
        <v>5309</v>
      </c>
      <c r="C1046" s="196">
        <v>1</v>
      </c>
      <c r="D1046" s="1" t="s">
        <v>5310</v>
      </c>
      <c r="E1046" s="228">
        <v>4692</v>
      </c>
      <c r="F1046" s="196">
        <v>24</v>
      </c>
      <c r="G1046" s="1">
        <v>433.2</v>
      </c>
      <c r="H1046" s="34">
        <f ca="1">Tabela1[[#This Row],[PESO UNI]]*Tabela1[[#This Row],[QTE]]</f>
        <v>433.2</v>
      </c>
      <c r="I1046" s="7" t="s">
        <v>5587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 ca="1">Tabela1[[#This Row],[QTDE/ Fabricação]]-Tabela1[[#This Row],[QTE]]</f>
        <v>-1</v>
      </c>
      <c r="R1046" s="18">
        <f t="shared" ca="1" si="209"/>
        <v>265.33500000000004</v>
      </c>
      <c r="S1046" s="18">
        <f t="shared" ca="1" si="210"/>
        <v>0</v>
      </c>
      <c r="T1046" s="19">
        <f t="shared" ca="1" si="211"/>
        <v>-433.2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 ca="1">IFERROR(Tabela1[[#This Row],[QIANTIDADE EXPEDIDA]]*Tabela1[[#This Row],[PESO UNI]],"")</f>
        <v>0</v>
      </c>
      <c r="Y1046" s="14">
        <f t="shared" ca="1" si="212"/>
        <v>-1</v>
      </c>
      <c r="Z1046" s="20">
        <f ca="1">Tabela1[[#This Row],[PESO TOTAL]]-Tabela1[[#This Row],[Peso Expedido]]</f>
        <v>433.2</v>
      </c>
      <c r="AA1046" s="17">
        <v>1</v>
      </c>
      <c r="AB1046" s="33"/>
      <c r="AC1046" s="33">
        <v>1</v>
      </c>
      <c r="AD1046" s="33">
        <v>0.5</v>
      </c>
      <c r="AE1046" s="33"/>
      <c r="AF1046" s="33"/>
      <c r="AG1046" s="33"/>
      <c r="AH1046" s="33"/>
      <c r="AI1046" s="33"/>
      <c r="AJ1046"/>
      <c r="AK1046"/>
      <c r="AL1046"/>
      <c r="AM1046"/>
      <c r="AN1046"/>
      <c r="AO1046"/>
      <c r="AQ1046" s="201"/>
      <c r="AR1046" s="37"/>
      <c r="AS1046" s="37"/>
      <c r="AT1046" s="37"/>
      <c r="AU1046" s="37"/>
      <c r="AV1046" s="37"/>
      <c r="AW1046" s="37"/>
    </row>
    <row r="1047" spans="1:49" ht="15.75" hidden="1" customHeight="1" x14ac:dyDescent="0.25">
      <c r="A1047" s="209" t="s">
        <v>5311</v>
      </c>
      <c r="B1047" s="21" t="s">
        <v>5312</v>
      </c>
      <c r="C1047" s="196">
        <v>1</v>
      </c>
      <c r="D1047" s="1" t="s">
        <v>5313</v>
      </c>
      <c r="E1047" s="228">
        <v>4693</v>
      </c>
      <c r="F1047" s="196">
        <v>23</v>
      </c>
      <c r="G1047" s="1">
        <v>425.4</v>
      </c>
      <c r="H1047" s="34">
        <f ca="1">Tabela1[[#This Row],[PESO UNI]]*Tabela1[[#This Row],[QTE]]</f>
        <v>425.4</v>
      </c>
      <c r="I1047" s="7" t="s">
        <v>5585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 ca="1">Tabela1[[#This Row],[QTDE/ Fabricação]]-Tabela1[[#This Row],[QTE]]</f>
        <v>-1</v>
      </c>
      <c r="R1047" s="18">
        <f t="shared" ca="1" si="209"/>
        <v>390.30449999999996</v>
      </c>
      <c r="S1047" s="18">
        <f t="shared" ca="1" si="210"/>
        <v>0</v>
      </c>
      <c r="T1047" s="19">
        <f t="shared" ca="1" si="211"/>
        <v>-425.4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 ca="1">IFERROR(Tabela1[[#This Row],[QIANTIDADE EXPEDIDA]]*Tabela1[[#This Row],[PESO UNI]],"")</f>
        <v>0</v>
      </c>
      <c r="Y1047" s="14">
        <f t="shared" ca="1" si="212"/>
        <v>-1</v>
      </c>
      <c r="Z1047" s="20">
        <f ca="1">Tabela1[[#This Row],[PESO TOTAL]]-Tabela1[[#This Row],[Peso Expedido]]</f>
        <v>425.4</v>
      </c>
      <c r="AA1047" s="17">
        <v>1</v>
      </c>
      <c r="AB1047" s="33"/>
      <c r="AC1047" s="17">
        <v>1</v>
      </c>
      <c r="AD1047" s="33">
        <v>1</v>
      </c>
      <c r="AE1047" s="33">
        <v>0.7</v>
      </c>
      <c r="AF1047" s="33">
        <v>0.7</v>
      </c>
      <c r="AG1047" s="33"/>
      <c r="AH1047" s="33"/>
      <c r="AI1047" s="33"/>
      <c r="AJ1047"/>
      <c r="AK1047"/>
      <c r="AL1047"/>
      <c r="AM1047"/>
      <c r="AN1047"/>
      <c r="AO1047"/>
      <c r="AQ1047" s="201"/>
      <c r="AR1047" s="37"/>
      <c r="AS1047" s="37"/>
      <c r="AT1047" s="37"/>
      <c r="AU1047" s="37"/>
      <c r="AV1047" s="37"/>
      <c r="AW1047" s="37"/>
    </row>
    <row r="1048" spans="1:49" ht="15.75" hidden="1" customHeight="1" x14ac:dyDescent="0.25">
      <c r="A1048" s="209" t="s">
        <v>5314</v>
      </c>
      <c r="B1048" s="21" t="s">
        <v>5315</v>
      </c>
      <c r="C1048" s="196">
        <v>1</v>
      </c>
      <c r="D1048" s="1" t="s">
        <v>5316</v>
      </c>
      <c r="E1048" s="228">
        <v>4694</v>
      </c>
      <c r="F1048" s="196">
        <v>23</v>
      </c>
      <c r="G1048" s="1">
        <v>586.79999999999995</v>
      </c>
      <c r="H1048" s="34">
        <f ca="1">Tabela1[[#This Row],[PESO UNI]]*Tabela1[[#This Row],[QTE]]</f>
        <v>586.79999999999995</v>
      </c>
      <c r="I1048" s="7" t="s">
        <v>5620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 ca="1">Tabela1[[#This Row],[QTDE/ Fabricação]]-Tabela1[[#This Row],[QTE]]</f>
        <v>-1</v>
      </c>
      <c r="R1048" s="18">
        <f t="shared" ca="1" si="209"/>
        <v>570.66300000000001</v>
      </c>
      <c r="S1048" s="18">
        <f t="shared" ca="1" si="210"/>
        <v>0</v>
      </c>
      <c r="T1048" s="19">
        <f t="shared" ca="1" si="211"/>
        <v>-586.79999999999995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 ca="1">IFERROR(Tabela1[[#This Row],[QIANTIDADE EXPEDIDA]]*Tabela1[[#This Row],[PESO UNI]],"")</f>
        <v>0</v>
      </c>
      <c r="Y1048" s="14">
        <f t="shared" ca="1" si="212"/>
        <v>-1</v>
      </c>
      <c r="Z1048" s="20">
        <f ca="1">Tabela1[[#This Row],[PESO TOTAL]]-Tabela1[[#This Row],[Peso Expedido]]</f>
        <v>586.79999999999995</v>
      </c>
      <c r="AA1048" s="17">
        <v>1</v>
      </c>
      <c r="AB1048" s="33"/>
      <c r="AC1048" s="17">
        <v>1</v>
      </c>
      <c r="AD1048" s="33">
        <v>1</v>
      </c>
      <c r="AE1048" s="33">
        <v>0.9</v>
      </c>
      <c r="AF1048" s="33">
        <v>0.9</v>
      </c>
      <c r="AG1048" s="33"/>
      <c r="AH1048" s="33"/>
      <c r="AI1048" s="33"/>
      <c r="AJ1048"/>
      <c r="AK1048"/>
      <c r="AL1048"/>
      <c r="AM1048"/>
      <c r="AN1048"/>
      <c r="AO1048"/>
      <c r="AQ1048" s="201"/>
      <c r="AR1048" s="37"/>
      <c r="AS1048" s="37"/>
      <c r="AT1048" s="37"/>
      <c r="AU1048" s="37"/>
      <c r="AV1048" s="37"/>
      <c r="AW1048" s="37"/>
    </row>
    <row r="1049" spans="1:49" ht="15.75" hidden="1" customHeight="1" x14ac:dyDescent="0.25">
      <c r="A1049" s="209" t="s">
        <v>5317</v>
      </c>
      <c r="B1049" s="21" t="s">
        <v>5318</v>
      </c>
      <c r="C1049" s="196">
        <v>1</v>
      </c>
      <c r="D1049" s="1" t="s">
        <v>5319</v>
      </c>
      <c r="E1049" s="193">
        <v>4695</v>
      </c>
      <c r="F1049" s="196">
        <v>25</v>
      </c>
      <c r="G1049" s="1">
        <v>319.39999999999998</v>
      </c>
      <c r="H1049" s="34">
        <f ca="1">Tabela1[[#This Row],[PESO UNI]]*Tabela1[[#This Row],[QTE]]</f>
        <v>319.39999999999998</v>
      </c>
      <c r="I1049" s="7" t="s">
        <v>5586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 ca="1">Tabela1[[#This Row],[QTDE/ Fabricação]]-Tabela1[[#This Row],[QTE]]</f>
        <v>-1</v>
      </c>
      <c r="R1049" s="18">
        <f t="shared" ref="R1049:R1050" ca="1" si="213">IFERROR(H1049*((AA1049*0.25)+(AC1049*0.25)+(AD1049*0.225)+(AE1049*0.225)+(AF1049*0.05)),"")</f>
        <v>151.71499999999997</v>
      </c>
      <c r="S1049" s="18">
        <f t="shared" ref="S1049:S1050" ca="1" si="214">IFERROR(H1049*AG1049,"")</f>
        <v>0</v>
      </c>
      <c r="T1049" s="19">
        <f t="shared" ref="T1049:T1050" ca="1" si="215">IFERROR(S1049-H1049,"")</f>
        <v>-319.39999999999998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 ca="1">IFERROR(Tabela1[[#This Row],[QIANTIDADE EXPEDIDA]]*Tabela1[[#This Row],[PESO UNI]],"")</f>
        <v>0</v>
      </c>
      <c r="Y1049" s="14">
        <f t="shared" ref="Y1049:Y1050" ca="1" si="216">U1049-C1049</f>
        <v>-1</v>
      </c>
      <c r="Z1049" s="20">
        <f ca="1">Tabela1[[#This Row],[PESO TOTAL]]-Tabela1[[#This Row],[Peso Expedido]]</f>
        <v>319.39999999999998</v>
      </c>
      <c r="AA1049" s="17">
        <v>0.95</v>
      </c>
      <c r="AB1049" s="33"/>
      <c r="AC1049" s="33">
        <v>0.95</v>
      </c>
      <c r="AD1049" s="33"/>
      <c r="AE1049" s="33"/>
      <c r="AF1049" s="33"/>
      <c r="AG1049" s="33"/>
      <c r="AH1049" s="33"/>
      <c r="AI1049" s="33"/>
      <c r="AJ1049"/>
      <c r="AK1049"/>
      <c r="AL1049"/>
      <c r="AM1049"/>
      <c r="AN1049"/>
      <c r="AO1049"/>
      <c r="AQ1049" s="201"/>
      <c r="AR1049" s="37"/>
      <c r="AS1049" s="37"/>
      <c r="AT1049" s="37"/>
      <c r="AU1049" s="37"/>
      <c r="AV1049" s="37"/>
      <c r="AW1049" s="37"/>
    </row>
    <row r="1050" spans="1:49" ht="15.75" hidden="1" customHeight="1" x14ac:dyDescent="0.25">
      <c r="A1050" s="209" t="s">
        <v>5317</v>
      </c>
      <c r="B1050" s="21" t="s">
        <v>5318</v>
      </c>
      <c r="C1050" s="196">
        <v>2</v>
      </c>
      <c r="D1050" s="1" t="s">
        <v>5320</v>
      </c>
      <c r="E1050" s="193">
        <v>4696</v>
      </c>
      <c r="F1050" s="196">
        <v>25</v>
      </c>
      <c r="G1050" s="1">
        <v>62.1</v>
      </c>
      <c r="H1050" s="34">
        <f ca="1">Tabela1[[#This Row],[PESO UNI]]*Tabela1[[#This Row],[QTE]]</f>
        <v>124.2</v>
      </c>
      <c r="I1050" s="7" t="s">
        <v>5586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 ca="1">Tabela1[[#This Row],[QTDE/ Fabricação]]-Tabela1[[#This Row],[QTE]]</f>
        <v>-2</v>
      </c>
      <c r="R1050" s="18">
        <f t="shared" ca="1" si="213"/>
        <v>58.994999999999997</v>
      </c>
      <c r="S1050" s="18">
        <f t="shared" ca="1" si="214"/>
        <v>0</v>
      </c>
      <c r="T1050" s="19">
        <f t="shared" ca="1" si="215"/>
        <v>-124.2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 ca="1">IFERROR(Tabela1[[#This Row],[QIANTIDADE EXPEDIDA]]*Tabela1[[#This Row],[PESO UNI]],"")</f>
        <v>0</v>
      </c>
      <c r="Y1050" s="14">
        <f t="shared" ca="1" si="216"/>
        <v>-2</v>
      </c>
      <c r="Z1050" s="20">
        <f ca="1">Tabela1[[#This Row],[PESO TOTAL]]-Tabela1[[#This Row],[Peso Expedido]]</f>
        <v>124.2</v>
      </c>
      <c r="AA1050" s="17">
        <v>0.95</v>
      </c>
      <c r="AB1050" s="33"/>
      <c r="AC1050" s="33">
        <v>0.95</v>
      </c>
      <c r="AD1050" s="33"/>
      <c r="AE1050" s="33"/>
      <c r="AF1050" s="33"/>
      <c r="AG1050" s="33"/>
      <c r="AH1050" s="33"/>
      <c r="AI1050" s="33"/>
      <c r="AJ1050"/>
      <c r="AK1050"/>
      <c r="AL1050"/>
      <c r="AM1050"/>
      <c r="AN1050"/>
      <c r="AO1050"/>
      <c r="AQ1050" s="201"/>
      <c r="AR1050" s="37"/>
      <c r="AS1050" s="37"/>
      <c r="AT1050" s="37"/>
      <c r="AU1050" s="37"/>
      <c r="AV1050" s="37"/>
      <c r="AW1050" s="37"/>
    </row>
    <row r="1051" spans="1:49" ht="15.75" hidden="1" customHeight="1" x14ac:dyDescent="0.25">
      <c r="A1051" s="209" t="s">
        <v>5317</v>
      </c>
      <c r="B1051" s="21" t="s">
        <v>5318</v>
      </c>
      <c r="C1051" s="25">
        <v>2</v>
      </c>
      <c r="D1051" s="1" t="s">
        <v>5321</v>
      </c>
      <c r="E1051" s="25">
        <v>4697</v>
      </c>
      <c r="F1051" s="25">
        <v>25</v>
      </c>
      <c r="G1051" s="1">
        <v>9.5</v>
      </c>
      <c r="H1051" s="34">
        <f ca="1">Tabela1[[#This Row],[PESO UNI]]*Tabela1[[#This Row],[QTE]]</f>
        <v>19</v>
      </c>
      <c r="I1051" s="7" t="s">
        <v>5586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 ca="1">Tabela1[[#This Row],[QTDE/ Fabricação]]-Tabela1[[#This Row],[QTE]]</f>
        <v>-2</v>
      </c>
      <c r="R1051" s="18">
        <f t="shared" ref="R1051:R1067" ca="1" si="217">IFERROR(H1051*((AA1051*0.25)+(AC1051*0.25)+(AD1051*0.225)+(AE1051*0.225)+(AF1051*0.05)),"")</f>
        <v>9.0250000000000004</v>
      </c>
      <c r="S1051" s="18">
        <f t="shared" ref="S1051:S1067" ca="1" si="218">IFERROR(H1051*AG1051,"")</f>
        <v>0</v>
      </c>
      <c r="T1051" s="19">
        <f t="shared" ref="T1051:T1067" ca="1" si="219">IFERROR(S1051-H1051,"")</f>
        <v>-19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 ca="1">IFERROR(Tabela1[[#This Row],[QIANTIDADE EXPEDIDA]]*Tabela1[[#This Row],[PESO UNI]],"")</f>
        <v>0</v>
      </c>
      <c r="Y1051" s="14">
        <f t="shared" ref="Y1051:Y1067" ca="1" si="220">U1051-C1051</f>
        <v>-2</v>
      </c>
      <c r="Z1051" s="20">
        <f ca="1">Tabela1[[#This Row],[PESO TOTAL]]-Tabela1[[#This Row],[Peso Expedido]]</f>
        <v>19</v>
      </c>
      <c r="AA1051" s="17">
        <v>0.95</v>
      </c>
      <c r="AB1051" s="33"/>
      <c r="AC1051" s="33">
        <v>0.95</v>
      </c>
      <c r="AD1051" s="33"/>
      <c r="AE1051" s="33"/>
      <c r="AF1051" s="33"/>
      <c r="AG1051" s="33"/>
      <c r="AH1051" s="33"/>
      <c r="AI1051" s="33"/>
      <c r="AJ1051"/>
      <c r="AK1051"/>
      <c r="AL1051"/>
      <c r="AM1051"/>
      <c r="AN1051"/>
      <c r="AO1051"/>
      <c r="AQ1051" s="201"/>
      <c r="AR1051" s="37"/>
      <c r="AS1051" s="37"/>
    </row>
    <row r="1052" spans="1:49" ht="15.75" hidden="1" customHeight="1" x14ac:dyDescent="0.25">
      <c r="A1052" s="21" t="s">
        <v>5322</v>
      </c>
      <c r="B1052" s="21" t="s">
        <v>5323</v>
      </c>
      <c r="C1052" s="196">
        <v>6</v>
      </c>
      <c r="D1052" s="1" t="s">
        <v>5324</v>
      </c>
      <c r="E1052" s="193">
        <v>4698</v>
      </c>
      <c r="F1052" s="196">
        <v>26</v>
      </c>
      <c r="G1052" s="1">
        <v>49.6</v>
      </c>
      <c r="H1052" s="34">
        <f ca="1">Tabela1[[#This Row],[PESO UNI]]*Tabela1[[#This Row],[QTE]]</f>
        <v>297.60000000000002</v>
      </c>
      <c r="I1052" s="7" t="s">
        <v>5620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 ca="1">Tabela1[[#This Row],[QTDE/ Fabricação]]-Tabela1[[#This Row],[QTE]]</f>
        <v>-6</v>
      </c>
      <c r="R1052" s="18">
        <f t="shared" ca="1" si="217"/>
        <v>74.400000000000006</v>
      </c>
      <c r="S1052" s="18">
        <f t="shared" ca="1" si="218"/>
        <v>0</v>
      </c>
      <c r="T1052" s="19">
        <f t="shared" ca="1" si="219"/>
        <v>-297.60000000000002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 ca="1">IFERROR(Tabela1[[#This Row],[QIANTIDADE EXPEDIDA]]*Tabela1[[#This Row],[PESO UNI]],"")</f>
        <v>0</v>
      </c>
      <c r="Y1052" s="14">
        <f t="shared" ca="1" si="220"/>
        <v>-6</v>
      </c>
      <c r="Z1052" s="20">
        <f ca="1">Tabela1[[#This Row],[PESO TOTAL]]-Tabela1[[#This Row],[Peso Expedido]]</f>
        <v>297.60000000000002</v>
      </c>
      <c r="AA1052" s="17">
        <v>0.5</v>
      </c>
      <c r="AB1052" s="33"/>
      <c r="AC1052" s="33">
        <v>0.5</v>
      </c>
      <c r="AD1052" s="33"/>
      <c r="AE1052" s="33"/>
      <c r="AF1052" s="33"/>
      <c r="AG1052" s="33"/>
      <c r="AH1052" s="33"/>
      <c r="AI1052" s="33"/>
      <c r="AJ1052"/>
      <c r="AK1052"/>
      <c r="AL1052"/>
      <c r="AM1052"/>
      <c r="AN1052"/>
      <c r="AO1052"/>
      <c r="AQ1052" s="201"/>
      <c r="AR1052" s="37"/>
      <c r="AS1052" s="37"/>
      <c r="AT1052" s="37"/>
      <c r="AU1052" s="37"/>
      <c r="AV1052" s="37"/>
      <c r="AW1052" s="37"/>
    </row>
    <row r="1053" spans="1:49" ht="15.75" hidden="1" customHeight="1" x14ac:dyDescent="0.25">
      <c r="A1053" s="21" t="s">
        <v>5322</v>
      </c>
      <c r="B1053" s="21" t="s">
        <v>5323</v>
      </c>
      <c r="C1053" s="196">
        <v>6</v>
      </c>
      <c r="D1053" s="1" t="s">
        <v>5325</v>
      </c>
      <c r="E1053" s="193">
        <v>4699</v>
      </c>
      <c r="F1053" s="196">
        <v>26</v>
      </c>
      <c r="G1053" s="1">
        <v>49.6</v>
      </c>
      <c r="H1053" s="34">
        <f ca="1">Tabela1[[#This Row],[PESO UNI]]*Tabela1[[#This Row],[QTE]]</f>
        <v>297.60000000000002</v>
      </c>
      <c r="I1053" s="7" t="s">
        <v>5620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 ca="1">Tabela1[[#This Row],[QTDE/ Fabricação]]-Tabela1[[#This Row],[QTE]]</f>
        <v>-6</v>
      </c>
      <c r="R1053" s="18">
        <f t="shared" ca="1" si="217"/>
        <v>74.400000000000006</v>
      </c>
      <c r="S1053" s="18">
        <f t="shared" ca="1" si="218"/>
        <v>0</v>
      </c>
      <c r="T1053" s="19">
        <f t="shared" ca="1" si="219"/>
        <v>-297.60000000000002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 ca="1">IFERROR(Tabela1[[#This Row],[QIANTIDADE EXPEDIDA]]*Tabela1[[#This Row],[PESO UNI]],"")</f>
        <v>0</v>
      </c>
      <c r="Y1053" s="14">
        <f t="shared" ca="1" si="220"/>
        <v>-6</v>
      </c>
      <c r="Z1053" s="20">
        <f ca="1">Tabela1[[#This Row],[PESO TOTAL]]-Tabela1[[#This Row],[Peso Expedido]]</f>
        <v>297.60000000000002</v>
      </c>
      <c r="AA1053" s="17">
        <v>0.5</v>
      </c>
      <c r="AB1053" s="33"/>
      <c r="AC1053" s="33">
        <v>0.5</v>
      </c>
      <c r="AD1053" s="33"/>
      <c r="AE1053" s="33"/>
      <c r="AF1053" s="33"/>
      <c r="AG1053" s="33"/>
      <c r="AH1053" s="33"/>
      <c r="AI1053" s="33"/>
      <c r="AJ1053"/>
      <c r="AK1053"/>
      <c r="AL1053"/>
      <c r="AM1053"/>
      <c r="AN1053"/>
      <c r="AO1053"/>
      <c r="AQ1053" s="201"/>
      <c r="AR1053" s="37"/>
      <c r="AS1053" s="37"/>
      <c r="AT1053" s="37"/>
      <c r="AU1053" s="37"/>
      <c r="AV1053" s="37"/>
      <c r="AW1053" s="37"/>
    </row>
    <row r="1054" spans="1:49" ht="15.75" hidden="1" customHeight="1" x14ac:dyDescent="0.25">
      <c r="A1054" s="21" t="s">
        <v>5322</v>
      </c>
      <c r="B1054" s="21" t="s">
        <v>5323</v>
      </c>
      <c r="C1054" s="196">
        <v>1</v>
      </c>
      <c r="D1054" s="1" t="s">
        <v>5326</v>
      </c>
      <c r="E1054" s="193">
        <v>4700</v>
      </c>
      <c r="F1054" s="196">
        <v>26</v>
      </c>
      <c r="G1054" s="1">
        <v>13.7</v>
      </c>
      <c r="H1054" s="34">
        <f ca="1">Tabela1[[#This Row],[PESO UNI]]*Tabela1[[#This Row],[QTE]]</f>
        <v>13.7</v>
      </c>
      <c r="I1054" s="7" t="s">
        <v>5620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 ca="1">Tabela1[[#This Row],[QTDE/ Fabricação]]-Tabela1[[#This Row],[QTE]]</f>
        <v>-1</v>
      </c>
      <c r="R1054" s="18">
        <f t="shared" ca="1" si="217"/>
        <v>3.4249999999999998</v>
      </c>
      <c r="S1054" s="18">
        <f t="shared" ca="1" si="218"/>
        <v>0</v>
      </c>
      <c r="T1054" s="19">
        <f t="shared" ca="1" si="219"/>
        <v>-13.7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 ca="1">IFERROR(Tabela1[[#This Row],[QIANTIDADE EXPEDIDA]]*Tabela1[[#This Row],[PESO UNI]],"")</f>
        <v>0</v>
      </c>
      <c r="Y1054" s="14">
        <f t="shared" ca="1" si="220"/>
        <v>-1</v>
      </c>
      <c r="Z1054" s="20">
        <f ca="1">Tabela1[[#This Row],[PESO TOTAL]]-Tabela1[[#This Row],[Peso Expedido]]</f>
        <v>13.7</v>
      </c>
      <c r="AA1054" s="17">
        <v>0.5</v>
      </c>
      <c r="AB1054" s="33"/>
      <c r="AC1054" s="33">
        <v>0.5</v>
      </c>
      <c r="AD1054" s="33"/>
      <c r="AE1054" s="33"/>
      <c r="AF1054" s="33"/>
      <c r="AG1054" s="33"/>
      <c r="AH1054" s="33"/>
      <c r="AI1054" s="33"/>
      <c r="AJ1054"/>
      <c r="AK1054"/>
      <c r="AL1054"/>
      <c r="AM1054"/>
      <c r="AN1054"/>
      <c r="AO1054"/>
      <c r="AQ1054" s="201"/>
      <c r="AR1054" s="37"/>
      <c r="AS1054" s="37"/>
      <c r="AT1054" s="37"/>
      <c r="AU1054" s="37"/>
      <c r="AV1054" s="37"/>
      <c r="AW1054" s="37"/>
    </row>
    <row r="1055" spans="1:49" ht="15.75" hidden="1" customHeight="1" x14ac:dyDescent="0.25">
      <c r="A1055" s="21" t="s">
        <v>5322</v>
      </c>
      <c r="B1055" s="21" t="s">
        <v>5323</v>
      </c>
      <c r="C1055" s="196">
        <v>12</v>
      </c>
      <c r="D1055" s="1" t="s">
        <v>5327</v>
      </c>
      <c r="E1055" s="193">
        <v>4701</v>
      </c>
      <c r="F1055" s="196">
        <v>26</v>
      </c>
      <c r="G1055" s="1">
        <v>7</v>
      </c>
      <c r="H1055" s="34">
        <f ca="1">Tabela1[[#This Row],[PESO UNI]]*Tabela1[[#This Row],[QTE]]</f>
        <v>84</v>
      </c>
      <c r="I1055" s="7" t="s">
        <v>5620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 ca="1">Tabela1[[#This Row],[QTDE/ Fabricação]]-Tabela1[[#This Row],[QTE]]</f>
        <v>-12</v>
      </c>
      <c r="R1055" s="18">
        <f t="shared" ca="1" si="217"/>
        <v>21</v>
      </c>
      <c r="S1055" s="18">
        <f t="shared" ca="1" si="218"/>
        <v>0</v>
      </c>
      <c r="T1055" s="19">
        <f t="shared" ca="1" si="219"/>
        <v>-84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 ca="1">IFERROR(Tabela1[[#This Row],[QIANTIDADE EXPEDIDA]]*Tabela1[[#This Row],[PESO UNI]],"")</f>
        <v>0</v>
      </c>
      <c r="Y1055" s="14">
        <f t="shared" ca="1" si="220"/>
        <v>-12</v>
      </c>
      <c r="Z1055" s="20">
        <f ca="1">Tabela1[[#This Row],[PESO TOTAL]]-Tabela1[[#This Row],[Peso Expedido]]</f>
        <v>84</v>
      </c>
      <c r="AA1055" s="17">
        <v>0.5</v>
      </c>
      <c r="AB1055" s="33"/>
      <c r="AC1055" s="33">
        <v>0.5</v>
      </c>
      <c r="AD1055" s="33"/>
      <c r="AE1055" s="33"/>
      <c r="AF1055" s="33"/>
      <c r="AG1055" s="33"/>
      <c r="AH1055" s="33"/>
      <c r="AI1055" s="33"/>
      <c r="AJ1055"/>
      <c r="AK1055"/>
      <c r="AL1055"/>
      <c r="AM1055"/>
      <c r="AN1055"/>
      <c r="AO1055"/>
      <c r="AQ1055" s="201"/>
      <c r="AR1055" s="37"/>
      <c r="AS1055" s="37"/>
      <c r="AT1055" s="37"/>
      <c r="AU1055" s="37"/>
      <c r="AV1055" s="37"/>
      <c r="AW1055" s="37"/>
    </row>
    <row r="1056" spans="1:49" ht="15.75" hidden="1" customHeight="1" x14ac:dyDescent="0.25">
      <c r="A1056" s="21" t="s">
        <v>5322</v>
      </c>
      <c r="B1056" s="21" t="s">
        <v>5323</v>
      </c>
      <c r="C1056" s="196">
        <v>12</v>
      </c>
      <c r="D1056" s="1" t="s">
        <v>5328</v>
      </c>
      <c r="E1056" s="193">
        <v>4702</v>
      </c>
      <c r="F1056" s="196">
        <v>26</v>
      </c>
      <c r="G1056" s="1">
        <v>7</v>
      </c>
      <c r="H1056" s="34">
        <f ca="1">Tabela1[[#This Row],[PESO UNI]]*Tabela1[[#This Row],[QTE]]</f>
        <v>84</v>
      </c>
      <c r="I1056" s="7" t="s">
        <v>5620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 ca="1">Tabela1[[#This Row],[QTDE/ Fabricação]]-Tabela1[[#This Row],[QTE]]</f>
        <v>-12</v>
      </c>
      <c r="R1056" s="18">
        <f t="shared" ca="1" si="217"/>
        <v>21</v>
      </c>
      <c r="S1056" s="18">
        <f t="shared" ca="1" si="218"/>
        <v>0</v>
      </c>
      <c r="T1056" s="19">
        <f t="shared" ca="1" si="219"/>
        <v>-84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 ca="1">IFERROR(Tabela1[[#This Row],[QIANTIDADE EXPEDIDA]]*Tabela1[[#This Row],[PESO UNI]],"")</f>
        <v>0</v>
      </c>
      <c r="Y1056" s="14">
        <f t="shared" ca="1" si="220"/>
        <v>-12</v>
      </c>
      <c r="Z1056" s="20">
        <f ca="1">Tabela1[[#This Row],[PESO TOTAL]]-Tabela1[[#This Row],[Peso Expedido]]</f>
        <v>84</v>
      </c>
      <c r="AA1056" s="17">
        <v>0.5</v>
      </c>
      <c r="AB1056" s="33"/>
      <c r="AC1056" s="33">
        <v>0.5</v>
      </c>
      <c r="AD1056" s="33"/>
      <c r="AE1056" s="33"/>
      <c r="AF1056" s="33"/>
      <c r="AG1056" s="33"/>
      <c r="AH1056" s="33"/>
      <c r="AI1056" s="33"/>
      <c r="AJ1056"/>
      <c r="AK1056"/>
      <c r="AL1056"/>
      <c r="AM1056"/>
      <c r="AN1056"/>
      <c r="AO1056"/>
      <c r="AQ1056" s="201"/>
      <c r="AR1056" s="37"/>
      <c r="AS1056" s="37"/>
      <c r="AT1056" s="37"/>
      <c r="AU1056" s="37"/>
      <c r="AV1056" s="37"/>
      <c r="AW1056" s="37"/>
    </row>
    <row r="1057" spans="1:49" ht="15.75" hidden="1" customHeight="1" x14ac:dyDescent="0.25">
      <c r="A1057" s="21" t="s">
        <v>5322</v>
      </c>
      <c r="B1057" s="21" t="s">
        <v>5323</v>
      </c>
      <c r="C1057" s="196">
        <v>24</v>
      </c>
      <c r="D1057" s="1" t="s">
        <v>5329</v>
      </c>
      <c r="E1057" s="193">
        <v>4703</v>
      </c>
      <c r="F1057" s="196">
        <v>26</v>
      </c>
      <c r="G1057" s="1">
        <v>0.6</v>
      </c>
      <c r="H1057" s="34">
        <f ca="1">Tabela1[[#This Row],[PESO UNI]]*Tabela1[[#This Row],[QTE]]</f>
        <v>14.399999999999999</v>
      </c>
      <c r="I1057" s="7" t="s">
        <v>5620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 ca="1">Tabela1[[#This Row],[QTDE/ Fabricação]]-Tabela1[[#This Row],[QTE]]</f>
        <v>-24</v>
      </c>
      <c r="R1057" s="18">
        <f t="shared" ca="1" si="217"/>
        <v>3.5999999999999996</v>
      </c>
      <c r="S1057" s="18">
        <f t="shared" ca="1" si="218"/>
        <v>0</v>
      </c>
      <c r="T1057" s="19">
        <f t="shared" ca="1" si="219"/>
        <v>-14.399999999999999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 ca="1">IFERROR(Tabela1[[#This Row],[QIANTIDADE EXPEDIDA]]*Tabela1[[#This Row],[PESO UNI]],"")</f>
        <v>0</v>
      </c>
      <c r="Y1057" s="14">
        <f t="shared" ca="1" si="220"/>
        <v>-24</v>
      </c>
      <c r="Z1057" s="20">
        <f ca="1">Tabela1[[#This Row],[PESO TOTAL]]-Tabela1[[#This Row],[Peso Expedido]]</f>
        <v>14.399999999999999</v>
      </c>
      <c r="AA1057" s="17">
        <v>0.5</v>
      </c>
      <c r="AB1057" s="33"/>
      <c r="AC1057" s="33">
        <v>0.5</v>
      </c>
      <c r="AD1057" s="33"/>
      <c r="AE1057" s="33"/>
      <c r="AF1057" s="33"/>
      <c r="AG1057" s="33"/>
      <c r="AH1057" s="33"/>
      <c r="AI1057" s="33"/>
      <c r="AJ1057"/>
      <c r="AK1057"/>
      <c r="AL1057"/>
      <c r="AM1057"/>
      <c r="AN1057"/>
      <c r="AO1057"/>
      <c r="AQ1057" s="201"/>
      <c r="AR1057" s="37"/>
      <c r="AS1057" s="37"/>
      <c r="AT1057" s="37"/>
      <c r="AU1057" s="37"/>
      <c r="AV1057" s="37"/>
      <c r="AW1057" s="37"/>
    </row>
    <row r="1058" spans="1:49" ht="15.75" hidden="1" customHeight="1" x14ac:dyDescent="0.25">
      <c r="A1058" s="21" t="s">
        <v>5322</v>
      </c>
      <c r="B1058" s="21" t="s">
        <v>5323</v>
      </c>
      <c r="C1058" s="196">
        <v>12</v>
      </c>
      <c r="D1058" s="1" t="s">
        <v>5332</v>
      </c>
      <c r="E1058" s="193">
        <v>4704</v>
      </c>
      <c r="F1058" s="196">
        <v>26</v>
      </c>
      <c r="G1058" s="1">
        <v>1.7</v>
      </c>
      <c r="H1058" s="34">
        <f ca="1">Tabela1[[#This Row],[PESO UNI]]*Tabela1[[#This Row],[QTE]]</f>
        <v>20.399999999999999</v>
      </c>
      <c r="I1058" s="7" t="s">
        <v>5620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 ca="1">Tabela1[[#This Row],[QTDE/ Fabricação]]-Tabela1[[#This Row],[QTE]]</f>
        <v>-12</v>
      </c>
      <c r="R1058" s="18">
        <f t="shared" ca="1" si="217"/>
        <v>5.0999999999999996</v>
      </c>
      <c r="S1058" s="18">
        <f t="shared" ca="1" si="218"/>
        <v>0</v>
      </c>
      <c r="T1058" s="19">
        <f t="shared" ca="1" si="219"/>
        <v>-20.399999999999999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 ca="1">IFERROR(Tabela1[[#This Row],[QIANTIDADE EXPEDIDA]]*Tabela1[[#This Row],[PESO UNI]],"")</f>
        <v>0</v>
      </c>
      <c r="Y1058" s="14">
        <f t="shared" ca="1" si="220"/>
        <v>-12</v>
      </c>
      <c r="Z1058" s="20">
        <f ca="1">Tabela1[[#This Row],[PESO TOTAL]]-Tabela1[[#This Row],[Peso Expedido]]</f>
        <v>20.399999999999999</v>
      </c>
      <c r="AA1058" s="17">
        <v>0.5</v>
      </c>
      <c r="AB1058" s="33"/>
      <c r="AC1058" s="33">
        <v>0.5</v>
      </c>
      <c r="AD1058" s="33"/>
      <c r="AE1058" s="33"/>
      <c r="AF1058" s="33"/>
      <c r="AG1058" s="33"/>
      <c r="AH1058" s="33"/>
      <c r="AI1058" s="33"/>
      <c r="AJ1058"/>
      <c r="AK1058"/>
      <c r="AL1058"/>
      <c r="AM1058"/>
      <c r="AN1058"/>
      <c r="AO1058"/>
      <c r="AQ1058" s="201"/>
      <c r="AR1058" s="37"/>
      <c r="AS1058" s="37"/>
      <c r="AT1058" s="37"/>
      <c r="AU1058" s="37"/>
      <c r="AV1058" s="37"/>
      <c r="AW1058" s="37"/>
    </row>
    <row r="1059" spans="1:49" ht="15.75" hidden="1" customHeight="1" x14ac:dyDescent="0.25">
      <c r="A1059" s="21" t="s">
        <v>5322</v>
      </c>
      <c r="B1059" s="21" t="s">
        <v>5323</v>
      </c>
      <c r="C1059" s="196">
        <v>24</v>
      </c>
      <c r="D1059" s="1" t="s">
        <v>5331</v>
      </c>
      <c r="E1059" s="193">
        <v>4705</v>
      </c>
      <c r="F1059" s="196">
        <v>26</v>
      </c>
      <c r="G1059" s="1">
        <v>1.5</v>
      </c>
      <c r="H1059" s="34">
        <f ca="1">Tabela1[[#This Row],[PESO UNI]]*Tabela1[[#This Row],[QTE]]</f>
        <v>36</v>
      </c>
      <c r="I1059" s="7" t="s">
        <v>5620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 ca="1">Tabela1[[#This Row],[QTDE/ Fabricação]]-Tabela1[[#This Row],[QTE]]</f>
        <v>-24</v>
      </c>
      <c r="R1059" s="18">
        <f t="shared" ca="1" si="217"/>
        <v>9</v>
      </c>
      <c r="S1059" s="18">
        <f t="shared" ca="1" si="218"/>
        <v>0</v>
      </c>
      <c r="T1059" s="19">
        <f t="shared" ca="1" si="219"/>
        <v>-36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 ca="1">IFERROR(Tabela1[[#This Row],[QIANTIDADE EXPEDIDA]]*Tabela1[[#This Row],[PESO UNI]],"")</f>
        <v>0</v>
      </c>
      <c r="Y1059" s="14">
        <f t="shared" ca="1" si="220"/>
        <v>-24</v>
      </c>
      <c r="Z1059" s="20">
        <f ca="1">Tabela1[[#This Row],[PESO TOTAL]]-Tabela1[[#This Row],[Peso Expedido]]</f>
        <v>36</v>
      </c>
      <c r="AA1059" s="17">
        <v>0.5</v>
      </c>
      <c r="AB1059" s="33"/>
      <c r="AC1059" s="33">
        <v>0.5</v>
      </c>
      <c r="AD1059" s="33"/>
      <c r="AE1059" s="33"/>
      <c r="AF1059" s="33"/>
      <c r="AG1059" s="33"/>
      <c r="AH1059" s="33"/>
      <c r="AI1059" s="33"/>
      <c r="AJ1059"/>
      <c r="AK1059"/>
      <c r="AL1059"/>
      <c r="AM1059"/>
      <c r="AN1059"/>
      <c r="AO1059"/>
      <c r="AQ1059" s="201"/>
      <c r="AR1059" s="37"/>
      <c r="AS1059" s="37"/>
      <c r="AT1059" s="37"/>
      <c r="AU1059" s="37"/>
      <c r="AV1059" s="37"/>
      <c r="AW1059" s="37"/>
    </row>
    <row r="1060" spans="1:49" ht="15.75" hidden="1" customHeight="1" x14ac:dyDescent="0.25">
      <c r="A1060" s="21" t="s">
        <v>5322</v>
      </c>
      <c r="B1060" s="21" t="s">
        <v>5323</v>
      </c>
      <c r="C1060" s="196">
        <v>1</v>
      </c>
      <c r="D1060" s="1" t="s">
        <v>5330</v>
      </c>
      <c r="E1060" s="193">
        <v>4706</v>
      </c>
      <c r="F1060" s="196">
        <v>26</v>
      </c>
      <c r="G1060" s="1">
        <v>1.3</v>
      </c>
      <c r="H1060" s="34">
        <f ca="1">Tabela1[[#This Row],[PESO UNI]]*Tabela1[[#This Row],[QTE]]</f>
        <v>1.3</v>
      </c>
      <c r="I1060" s="7" t="s">
        <v>5620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 ca="1">Tabela1[[#This Row],[QTDE/ Fabricação]]-Tabela1[[#This Row],[QTE]]</f>
        <v>-1</v>
      </c>
      <c r="R1060" s="18">
        <f t="shared" ca="1" si="217"/>
        <v>0.32500000000000001</v>
      </c>
      <c r="S1060" s="18">
        <f t="shared" ca="1" si="218"/>
        <v>0</v>
      </c>
      <c r="T1060" s="19">
        <f t="shared" ca="1" si="219"/>
        <v>-1.3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 ca="1">IFERROR(Tabela1[[#This Row],[QIANTIDADE EXPEDIDA]]*Tabela1[[#This Row],[PESO UNI]],"")</f>
        <v>0</v>
      </c>
      <c r="Y1060" s="14">
        <f t="shared" ca="1" si="220"/>
        <v>-1</v>
      </c>
      <c r="Z1060" s="20">
        <f ca="1">Tabela1[[#This Row],[PESO TOTAL]]-Tabela1[[#This Row],[Peso Expedido]]</f>
        <v>1.3</v>
      </c>
      <c r="AA1060" s="17">
        <v>0.5</v>
      </c>
      <c r="AB1060" s="33"/>
      <c r="AC1060" s="33">
        <v>0.5</v>
      </c>
      <c r="AD1060" s="33"/>
      <c r="AE1060" s="33"/>
      <c r="AF1060" s="33"/>
      <c r="AG1060" s="33"/>
      <c r="AH1060" s="33"/>
      <c r="AI1060" s="33"/>
      <c r="AJ1060"/>
      <c r="AK1060"/>
      <c r="AL1060"/>
      <c r="AM1060"/>
      <c r="AN1060"/>
      <c r="AO1060"/>
      <c r="AQ1060" s="201"/>
      <c r="AR1060" s="37"/>
      <c r="AS1060" s="37"/>
      <c r="AT1060" s="37"/>
      <c r="AU1060" s="37"/>
      <c r="AV1060" s="37"/>
      <c r="AW1060" s="37"/>
    </row>
    <row r="1061" spans="1:49" ht="15.75" hidden="1" customHeight="1" x14ac:dyDescent="0.25">
      <c r="A1061" s="21" t="s">
        <v>5335</v>
      </c>
      <c r="B1061" s="21"/>
      <c r="C1061" s="196">
        <v>2</v>
      </c>
      <c r="D1061" s="1" t="s">
        <v>5336</v>
      </c>
      <c r="E1061" s="193">
        <v>4707</v>
      </c>
      <c r="F1061" s="196">
        <v>22</v>
      </c>
      <c r="G1061" s="1">
        <v>562</v>
      </c>
      <c r="H1061" s="34">
        <f ca="1">Tabela1[[#This Row],[PESO UNI]]*Tabela1[[#This Row],[QTE]]</f>
        <v>1124</v>
      </c>
      <c r="I1061" s="7" t="s">
        <v>5402</v>
      </c>
      <c r="J1061" s="8" t="s">
        <v>4834</v>
      </c>
      <c r="K1061" s="8" t="s">
        <v>22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 ca="1">Tabela1[[#This Row],[QTDE/ Fabricação]]-Tabela1[[#This Row],[QTE]]</f>
        <v>-2</v>
      </c>
      <c r="R1061" s="18">
        <f t="shared" ca="1" si="217"/>
        <v>562</v>
      </c>
      <c r="S1061" s="18">
        <f t="shared" ca="1" si="218"/>
        <v>0</v>
      </c>
      <c r="T1061" s="19">
        <f t="shared" ca="1" si="219"/>
        <v>-1124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 ca="1">IFERROR(Tabela1[[#This Row],[QIANTIDADE EXPEDIDA]]*Tabela1[[#This Row],[PESO UNI]],"")</f>
        <v>0</v>
      </c>
      <c r="Y1061" s="14">
        <f t="shared" ca="1" si="220"/>
        <v>-2</v>
      </c>
      <c r="Z1061" s="20">
        <f ca="1">Tabela1[[#This Row],[PESO TOTAL]]-Tabela1[[#This Row],[Peso Expedido]]</f>
        <v>1124</v>
      </c>
      <c r="AA1061" s="17">
        <v>0.5</v>
      </c>
      <c r="AB1061" s="33"/>
      <c r="AC1061" s="33">
        <v>0.5</v>
      </c>
      <c r="AD1061" s="33">
        <v>0.5</v>
      </c>
      <c r="AE1061" s="33">
        <v>0.5</v>
      </c>
      <c r="AF1061" s="33">
        <v>0.5</v>
      </c>
      <c r="AG1061" s="33"/>
      <c r="AH1061" s="33"/>
      <c r="AI1061" s="33"/>
      <c r="AJ1061"/>
      <c r="AK1061"/>
      <c r="AL1061"/>
      <c r="AM1061"/>
      <c r="AN1061"/>
      <c r="AO1061"/>
      <c r="AQ1061" s="201"/>
      <c r="AR1061" s="37"/>
      <c r="AS1061" s="37"/>
      <c r="AT1061" s="37"/>
      <c r="AU1061" s="37"/>
      <c r="AV1061" s="37"/>
      <c r="AW1061" s="37"/>
    </row>
    <row r="1062" spans="1:49" ht="15.75" hidden="1" customHeight="1" x14ac:dyDescent="0.25">
      <c r="A1062" s="21" t="s">
        <v>5333</v>
      </c>
      <c r="B1062" s="21" t="s">
        <v>5334</v>
      </c>
      <c r="C1062" s="196">
        <v>1</v>
      </c>
      <c r="D1062" s="1" t="s">
        <v>5337</v>
      </c>
      <c r="E1062" s="193">
        <v>4708</v>
      </c>
      <c r="F1062" s="196">
        <v>27</v>
      </c>
      <c r="G1062" s="1">
        <v>41</v>
      </c>
      <c r="H1062" s="34">
        <f ca="1">Tabela1[[#This Row],[PESO UNI]]*Tabela1[[#This Row],[QTE]]</f>
        <v>41</v>
      </c>
      <c r="I1062" s="7" t="s">
        <v>5586</v>
      </c>
      <c r="J1062" s="8" t="s">
        <v>4834</v>
      </c>
      <c r="K1062" s="8" t="s">
        <v>4320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 ca="1">Tabela1[[#This Row],[QTDE/ Fabricação]]-Tabela1[[#This Row],[QTE]]</f>
        <v>-1</v>
      </c>
      <c r="R1062" s="18">
        <f t="shared" ca="1" si="217"/>
        <v>0</v>
      </c>
      <c r="S1062" s="18">
        <f t="shared" ca="1" si="218"/>
        <v>0</v>
      </c>
      <c r="T1062" s="19">
        <f t="shared" ca="1" si="219"/>
        <v>-41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 ca="1">IFERROR(Tabela1[[#This Row],[QIANTIDADE EXPEDIDA]]*Tabela1[[#This Row],[PESO UNI]],"")</f>
        <v>0</v>
      </c>
      <c r="Y1062" s="14">
        <f t="shared" ca="1" si="220"/>
        <v>-1</v>
      </c>
      <c r="Z1062" s="20">
        <f ca="1">Tabela1[[#This Row],[PESO TOTAL]]-Tabela1[[#This Row],[Peso Expedido]]</f>
        <v>41</v>
      </c>
      <c r="AA1062" s="17"/>
      <c r="AB1062" s="33"/>
      <c r="AC1062" s="33"/>
      <c r="AD1062" s="33"/>
      <c r="AE1062" s="33"/>
      <c r="AF1062" s="33"/>
      <c r="AG1062" s="33"/>
      <c r="AH1062" s="33"/>
      <c r="AI1062" s="33"/>
      <c r="AJ1062"/>
      <c r="AK1062"/>
      <c r="AL1062"/>
      <c r="AM1062"/>
      <c r="AN1062"/>
      <c r="AO1062"/>
      <c r="AQ1062" s="201"/>
      <c r="AR1062" s="37"/>
      <c r="AS1062" s="37"/>
      <c r="AT1062" s="37"/>
      <c r="AU1062" s="37"/>
      <c r="AV1062" s="37"/>
      <c r="AW1062" s="37"/>
    </row>
    <row r="1063" spans="1:49" ht="15.75" hidden="1" customHeight="1" x14ac:dyDescent="0.25">
      <c r="A1063" s="21" t="s">
        <v>5333</v>
      </c>
      <c r="B1063" s="21" t="s">
        <v>5334</v>
      </c>
      <c r="C1063" s="196">
        <v>2</v>
      </c>
      <c r="D1063" s="1" t="s">
        <v>5338</v>
      </c>
      <c r="E1063" s="193">
        <v>4709</v>
      </c>
      <c r="F1063" s="196">
        <v>27</v>
      </c>
      <c r="G1063" s="1">
        <v>5.2</v>
      </c>
      <c r="H1063" s="34">
        <f ca="1">Tabela1[[#This Row],[PESO UNI]]*Tabela1[[#This Row],[QTE]]</f>
        <v>10.4</v>
      </c>
      <c r="I1063" s="7" t="s">
        <v>5586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 ca="1">Tabela1[[#This Row],[QTDE/ Fabricação]]-Tabela1[[#This Row],[QTE]]</f>
        <v>-2</v>
      </c>
      <c r="R1063" s="18">
        <f t="shared" ca="1" si="217"/>
        <v>0</v>
      </c>
      <c r="S1063" s="18">
        <f t="shared" ca="1" si="218"/>
        <v>0</v>
      </c>
      <c r="T1063" s="19">
        <f t="shared" ca="1" si="219"/>
        <v>-10.4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 ca="1">IFERROR(Tabela1[[#This Row],[QIANTIDADE EXPEDIDA]]*Tabela1[[#This Row],[PESO UNI]],"")</f>
        <v>0</v>
      </c>
      <c r="Y1063" s="14">
        <f t="shared" ca="1" si="220"/>
        <v>-2</v>
      </c>
      <c r="Z1063" s="20">
        <f ca="1">Tabela1[[#This Row],[PESO TOTAL]]-Tabela1[[#This Row],[Peso Expedido]]</f>
        <v>10.4</v>
      </c>
      <c r="AA1063" s="17"/>
      <c r="AB1063" s="33"/>
      <c r="AC1063" s="33"/>
      <c r="AD1063" s="33"/>
      <c r="AE1063" s="33"/>
      <c r="AF1063" s="33"/>
      <c r="AG1063" s="33"/>
      <c r="AH1063" s="33"/>
      <c r="AI1063" s="33"/>
      <c r="AJ1063"/>
      <c r="AK1063"/>
      <c r="AL1063"/>
      <c r="AM1063"/>
      <c r="AN1063"/>
      <c r="AO1063"/>
      <c r="AQ1063" s="201"/>
      <c r="AR1063" s="37"/>
      <c r="AS1063" s="37"/>
      <c r="AT1063" s="37"/>
      <c r="AU1063" s="37"/>
      <c r="AV1063" s="37"/>
      <c r="AW1063" s="37"/>
    </row>
    <row r="1064" spans="1:49" ht="15.75" hidden="1" customHeight="1" x14ac:dyDescent="0.25">
      <c r="A1064" s="21" t="s">
        <v>5333</v>
      </c>
      <c r="B1064" s="21" t="s">
        <v>5334</v>
      </c>
      <c r="C1064" s="196">
        <v>1</v>
      </c>
      <c r="D1064" s="1" t="s">
        <v>5339</v>
      </c>
      <c r="E1064" s="193">
        <v>4710</v>
      </c>
      <c r="F1064" s="196">
        <v>27</v>
      </c>
      <c r="G1064" s="1">
        <v>12.7</v>
      </c>
      <c r="H1064" s="34">
        <f ca="1">Tabela1[[#This Row],[PESO UNI]]*Tabela1[[#This Row],[QTE]]</f>
        <v>12.7</v>
      </c>
      <c r="I1064" s="7" t="s">
        <v>5586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 ca="1">Tabela1[[#This Row],[QTDE/ Fabricação]]-Tabela1[[#This Row],[QTE]]</f>
        <v>-1</v>
      </c>
      <c r="R1064" s="18">
        <f t="shared" ca="1" si="217"/>
        <v>0</v>
      </c>
      <c r="S1064" s="18">
        <f t="shared" ca="1" si="218"/>
        <v>0</v>
      </c>
      <c r="T1064" s="19">
        <f t="shared" ca="1" si="219"/>
        <v>-12.7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 ca="1">IFERROR(Tabela1[[#This Row],[QIANTIDADE EXPEDIDA]]*Tabela1[[#This Row],[PESO UNI]],"")</f>
        <v>0</v>
      </c>
      <c r="Y1064" s="14">
        <f t="shared" ca="1" si="220"/>
        <v>-1</v>
      </c>
      <c r="Z1064" s="20">
        <f ca="1">Tabela1[[#This Row],[PESO TOTAL]]-Tabela1[[#This Row],[Peso Expedido]]</f>
        <v>12.7</v>
      </c>
      <c r="AA1064" s="17"/>
      <c r="AB1064" s="33"/>
      <c r="AC1064" s="33"/>
      <c r="AD1064" s="33"/>
      <c r="AE1064" s="33"/>
      <c r="AF1064" s="33"/>
      <c r="AG1064" s="33"/>
      <c r="AH1064" s="33"/>
      <c r="AI1064" s="33"/>
      <c r="AJ1064"/>
      <c r="AK1064"/>
      <c r="AL1064"/>
      <c r="AM1064"/>
      <c r="AN1064"/>
      <c r="AO1064"/>
      <c r="AQ1064" s="201"/>
      <c r="AR1064" s="37"/>
      <c r="AS1064" s="37"/>
      <c r="AT1064" s="37"/>
      <c r="AU1064" s="37"/>
      <c r="AV1064" s="37"/>
      <c r="AW1064" s="37"/>
    </row>
    <row r="1065" spans="1:49" ht="15.75" hidden="1" customHeight="1" x14ac:dyDescent="0.25">
      <c r="A1065" s="21" t="s">
        <v>5333</v>
      </c>
      <c r="B1065" s="21" t="s">
        <v>5334</v>
      </c>
      <c r="C1065" s="196">
        <v>4</v>
      </c>
      <c r="D1065" s="1" t="s">
        <v>5340</v>
      </c>
      <c r="E1065" s="193">
        <v>4711</v>
      </c>
      <c r="F1065" s="196">
        <v>27</v>
      </c>
      <c r="G1065" s="1">
        <v>0.8</v>
      </c>
      <c r="H1065" s="34">
        <f ca="1">Tabela1[[#This Row],[PESO UNI]]*Tabela1[[#This Row],[QTE]]</f>
        <v>3.2</v>
      </c>
      <c r="I1065" s="7" t="s">
        <v>5586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 ca="1">Tabela1[[#This Row],[QTDE/ Fabricação]]-Tabela1[[#This Row],[QTE]]</f>
        <v>-4</v>
      </c>
      <c r="R1065" s="18">
        <f t="shared" ca="1" si="217"/>
        <v>0</v>
      </c>
      <c r="S1065" s="18">
        <f t="shared" ca="1" si="218"/>
        <v>0</v>
      </c>
      <c r="T1065" s="19">
        <f t="shared" ca="1" si="219"/>
        <v>-3.2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 ca="1">IFERROR(Tabela1[[#This Row],[QIANTIDADE EXPEDIDA]]*Tabela1[[#This Row],[PESO UNI]],"")</f>
        <v>0</v>
      </c>
      <c r="Y1065" s="14">
        <f t="shared" ca="1" si="220"/>
        <v>-4</v>
      </c>
      <c r="Z1065" s="20">
        <f ca="1">Tabela1[[#This Row],[PESO TOTAL]]-Tabela1[[#This Row],[Peso Expedido]]</f>
        <v>3.2</v>
      </c>
      <c r="AA1065" s="17"/>
      <c r="AB1065" s="33"/>
      <c r="AC1065" s="33"/>
      <c r="AD1065" s="33"/>
      <c r="AE1065" s="33"/>
      <c r="AF1065" s="33"/>
      <c r="AG1065" s="33"/>
      <c r="AH1065" s="33"/>
      <c r="AI1065" s="33"/>
      <c r="AJ1065"/>
      <c r="AK1065"/>
      <c r="AL1065"/>
      <c r="AM1065"/>
      <c r="AN1065"/>
      <c r="AO1065"/>
      <c r="AQ1065" s="201"/>
      <c r="AR1065" s="37"/>
      <c r="AS1065" s="37"/>
      <c r="AT1065" s="37"/>
      <c r="AU1065" s="37"/>
      <c r="AV1065" s="37"/>
      <c r="AW1065" s="37"/>
    </row>
    <row r="1066" spans="1:49" ht="15.75" hidden="1" customHeight="1" x14ac:dyDescent="0.25">
      <c r="A1066" s="21" t="s">
        <v>5333</v>
      </c>
      <c r="B1066" s="21" t="s">
        <v>5334</v>
      </c>
      <c r="C1066" s="196">
        <v>2</v>
      </c>
      <c r="D1066" s="1" t="s">
        <v>5341</v>
      </c>
      <c r="E1066" s="193">
        <v>4712</v>
      </c>
      <c r="F1066" s="196">
        <v>27</v>
      </c>
      <c r="G1066" s="1">
        <v>0.4</v>
      </c>
      <c r="H1066" s="34">
        <f ca="1">Tabela1[[#This Row],[PESO UNI]]*Tabela1[[#This Row],[QTE]]</f>
        <v>0.8</v>
      </c>
      <c r="I1066" s="7" t="s">
        <v>5586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 ca="1">Tabela1[[#This Row],[QTDE/ Fabricação]]-Tabela1[[#This Row],[QTE]]</f>
        <v>-2</v>
      </c>
      <c r="R1066" s="18">
        <f t="shared" ca="1" si="217"/>
        <v>0</v>
      </c>
      <c r="S1066" s="18">
        <f t="shared" ca="1" si="218"/>
        <v>0</v>
      </c>
      <c r="T1066" s="19">
        <f t="shared" ca="1" si="219"/>
        <v>-0.8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 ca="1">IFERROR(Tabela1[[#This Row],[QIANTIDADE EXPEDIDA]]*Tabela1[[#This Row],[PESO UNI]],"")</f>
        <v>0</v>
      </c>
      <c r="Y1066" s="14">
        <f t="shared" ca="1" si="220"/>
        <v>-2</v>
      </c>
      <c r="Z1066" s="20">
        <f ca="1">Tabela1[[#This Row],[PESO TOTAL]]-Tabela1[[#This Row],[Peso Expedido]]</f>
        <v>0.8</v>
      </c>
      <c r="AA1066" s="17"/>
      <c r="AB1066" s="33"/>
      <c r="AC1066" s="33"/>
      <c r="AD1066" s="33"/>
      <c r="AE1066" s="33"/>
      <c r="AF1066" s="33"/>
      <c r="AG1066" s="33"/>
      <c r="AH1066" s="33"/>
      <c r="AI1066" s="33"/>
      <c r="AJ1066"/>
      <c r="AK1066"/>
      <c r="AL1066"/>
      <c r="AM1066"/>
      <c r="AN1066"/>
      <c r="AO1066"/>
      <c r="AQ1066" s="201"/>
      <c r="AR1066" s="37"/>
      <c r="AS1066" s="37"/>
      <c r="AT1066" s="37"/>
      <c r="AU1066" s="37"/>
      <c r="AV1066" s="37"/>
      <c r="AW1066" s="37"/>
    </row>
    <row r="1067" spans="1:49" ht="15.75" hidden="1" customHeight="1" x14ac:dyDescent="0.25">
      <c r="A1067" s="21" t="s">
        <v>5333</v>
      </c>
      <c r="B1067" s="21" t="s">
        <v>5334</v>
      </c>
      <c r="C1067" s="196">
        <v>4</v>
      </c>
      <c r="D1067" s="1" t="s">
        <v>5342</v>
      </c>
      <c r="E1067" s="193">
        <v>4713</v>
      </c>
      <c r="F1067" s="196">
        <v>27</v>
      </c>
      <c r="G1067" s="1">
        <v>0.4</v>
      </c>
      <c r="H1067" s="34">
        <f ca="1">Tabela1[[#This Row],[PESO UNI]]*Tabela1[[#This Row],[QTE]]</f>
        <v>1.6</v>
      </c>
      <c r="I1067" s="7" t="s">
        <v>5586</v>
      </c>
      <c r="J1067" s="8" t="s">
        <v>4834</v>
      </c>
      <c r="K1067" s="8" t="s">
        <v>4320</v>
      </c>
      <c r="L1067" s="9" t="s">
        <v>3291</v>
      </c>
      <c r="M1067" s="10">
        <v>46259</v>
      </c>
      <c r="N1067" s="8" t="s">
        <v>38</v>
      </c>
      <c r="O1067" s="12"/>
      <c r="P1067" s="13"/>
      <c r="Q1067" s="14">
        <f ca="1">Tabela1[[#This Row],[QTDE/ Fabricação]]-Tabela1[[#This Row],[QTE]]</f>
        <v>-4</v>
      </c>
      <c r="R1067" s="18">
        <f t="shared" ca="1" si="217"/>
        <v>0</v>
      </c>
      <c r="S1067" s="18">
        <f t="shared" ca="1" si="218"/>
        <v>0</v>
      </c>
      <c r="T1067" s="19">
        <f t="shared" ca="1" si="219"/>
        <v>-1.6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 ca="1">IFERROR(Tabela1[[#This Row],[QIANTIDADE EXPEDIDA]]*Tabela1[[#This Row],[PESO UNI]],"")</f>
        <v>0</v>
      </c>
      <c r="Y1067" s="14">
        <f t="shared" ca="1" si="220"/>
        <v>-4</v>
      </c>
      <c r="Z1067" s="20">
        <f ca="1">Tabela1[[#This Row],[PESO TOTAL]]-Tabela1[[#This Row],[Peso Expedido]]</f>
        <v>1.6</v>
      </c>
      <c r="AA1067" s="17"/>
      <c r="AB1067" s="33"/>
      <c r="AC1067" s="33"/>
      <c r="AD1067" s="33"/>
      <c r="AE1067" s="33"/>
      <c r="AF1067" s="33"/>
      <c r="AG1067" s="33"/>
      <c r="AH1067" s="33"/>
      <c r="AI1067" s="33"/>
      <c r="AJ1067"/>
      <c r="AK1067"/>
      <c r="AL1067"/>
      <c r="AM1067"/>
      <c r="AN1067"/>
      <c r="AO1067"/>
      <c r="AQ1067" s="201"/>
      <c r="AR1067" s="37"/>
      <c r="AS1067" s="37"/>
      <c r="AT1067" s="37"/>
      <c r="AU1067" s="37"/>
      <c r="AV1067" s="37"/>
      <c r="AW1067" s="37"/>
    </row>
    <row r="1068" spans="1:49" ht="15.75" hidden="1" customHeight="1" x14ac:dyDescent="0.25">
      <c r="A1068" s="21" t="s">
        <v>5333</v>
      </c>
      <c r="B1068" s="21" t="s">
        <v>5334</v>
      </c>
      <c r="C1068" s="196">
        <v>2</v>
      </c>
      <c r="D1068" s="1" t="s">
        <v>5343</v>
      </c>
      <c r="E1068" s="193">
        <v>4714</v>
      </c>
      <c r="F1068" s="196">
        <v>27</v>
      </c>
      <c r="G1068" s="1">
        <v>0.6</v>
      </c>
      <c r="H1068" s="34">
        <f ca="1">Tabela1[[#This Row],[PESO UNI]]*Tabela1[[#This Row],[QTE]]</f>
        <v>1.2</v>
      </c>
      <c r="I1068" s="7" t="s">
        <v>5586</v>
      </c>
      <c r="J1068" s="8" t="s">
        <v>4834</v>
      </c>
      <c r="K1068" s="8" t="s">
        <v>4320</v>
      </c>
      <c r="L1068" s="9" t="s">
        <v>3291</v>
      </c>
      <c r="M1068" s="10">
        <v>46259</v>
      </c>
      <c r="N1068" s="8" t="s">
        <v>38</v>
      </c>
      <c r="O1068" s="12"/>
      <c r="P1068" s="13"/>
      <c r="Q1068" s="14">
        <f ca="1">Tabela1[[#This Row],[QTDE/ Fabricação]]-Tabela1[[#This Row],[QTE]]</f>
        <v>-2</v>
      </c>
      <c r="R1068" s="18">
        <f t="shared" ref="R1068:R1095" ca="1" si="221">IFERROR(H1068*((AA1068*0.25)+(AC1068*0.25)+(AD1068*0.225)+(AE1068*0.225)+(AF1068*0.05)),"")</f>
        <v>0</v>
      </c>
      <c r="S1068" s="18">
        <f t="shared" ref="S1068:S1095" ca="1" si="222">IFERROR(H1068*AG1068,"")</f>
        <v>0</v>
      </c>
      <c r="T1068" s="19">
        <f t="shared" ref="T1068:T1095" ca="1" si="223">IFERROR(S1068-H1068,"")</f>
        <v>-1.2</v>
      </c>
      <c r="U1068" s="16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IFERROR(VLOOKUP(Tabela1[[#This Row],[COD.MDE]],'LISTA DE EMBARQUE'!B:M,12,0),"")</f>
        <v/>
      </c>
      <c r="X1068" s="14">
        <f ca="1">IFERROR(Tabela1[[#This Row],[QIANTIDADE EXPEDIDA]]*Tabela1[[#This Row],[PESO UNI]],"")</f>
        <v>0</v>
      </c>
      <c r="Y1068" s="14">
        <f t="shared" ref="Y1068:Y1095" ca="1" si="224">U1068-C1068</f>
        <v>-2</v>
      </c>
      <c r="Z1068" s="20">
        <f ca="1">Tabela1[[#This Row],[PESO TOTAL]]-Tabela1[[#This Row],[Peso Expedido]]</f>
        <v>1.2</v>
      </c>
      <c r="AA1068" s="17"/>
      <c r="AB1068" s="33"/>
      <c r="AC1068" s="33"/>
      <c r="AD1068" s="33"/>
      <c r="AE1068" s="33"/>
      <c r="AF1068" s="33"/>
      <c r="AG1068" s="33"/>
      <c r="AH1068" s="33"/>
      <c r="AI1068" s="33"/>
      <c r="AJ1068"/>
      <c r="AK1068"/>
      <c r="AL1068"/>
      <c r="AM1068"/>
      <c r="AN1068"/>
      <c r="AO1068"/>
      <c r="AQ1068" s="201"/>
      <c r="AR1068" s="37"/>
      <c r="AS1068" s="37"/>
      <c r="AT1068" s="37"/>
      <c r="AU1068" s="37"/>
      <c r="AV1068" s="37"/>
      <c r="AW1068" s="37"/>
    </row>
    <row r="1069" spans="1:49" ht="15.75" hidden="1" customHeight="1" x14ac:dyDescent="0.25">
      <c r="A1069" s="21" t="s">
        <v>5333</v>
      </c>
      <c r="B1069" s="21" t="s">
        <v>5334</v>
      </c>
      <c r="C1069" s="196">
        <v>1</v>
      </c>
      <c r="D1069" s="1" t="s">
        <v>5344</v>
      </c>
      <c r="E1069" s="193">
        <v>4715</v>
      </c>
      <c r="F1069" s="196">
        <v>27</v>
      </c>
      <c r="G1069" s="1">
        <v>104</v>
      </c>
      <c r="H1069" s="34">
        <f ca="1">Tabela1[[#This Row],[PESO UNI]]*Tabela1[[#This Row],[QTE]]</f>
        <v>104</v>
      </c>
      <c r="I1069" s="7" t="s">
        <v>5586</v>
      </c>
      <c r="J1069" s="8" t="s">
        <v>4834</v>
      </c>
      <c r="K1069" s="8" t="s">
        <v>4320</v>
      </c>
      <c r="L1069" s="9" t="s">
        <v>3291</v>
      </c>
      <c r="M1069" s="10">
        <v>46259</v>
      </c>
      <c r="N1069" s="8" t="s">
        <v>38</v>
      </c>
      <c r="O1069" s="12"/>
      <c r="P1069" s="13"/>
      <c r="Q1069" s="14">
        <f ca="1">Tabela1[[#This Row],[QTDE/ Fabricação]]-Tabela1[[#This Row],[QTE]]</f>
        <v>-1</v>
      </c>
      <c r="R1069" s="18">
        <f t="shared" ca="1" si="221"/>
        <v>0</v>
      </c>
      <c r="S1069" s="18">
        <f t="shared" ca="1" si="222"/>
        <v>0</v>
      </c>
      <c r="T1069" s="19">
        <f t="shared" ca="1" si="223"/>
        <v>-104</v>
      </c>
      <c r="U1069" s="16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IFERROR(VLOOKUP(Tabela1[[#This Row],[COD.MDE]],'LISTA DE EMBARQUE'!B:M,12,0),"")</f>
        <v/>
      </c>
      <c r="X1069" s="14">
        <f ca="1">IFERROR(Tabela1[[#This Row],[QIANTIDADE EXPEDIDA]]*Tabela1[[#This Row],[PESO UNI]],"")</f>
        <v>0</v>
      </c>
      <c r="Y1069" s="14">
        <f t="shared" ca="1" si="224"/>
        <v>-1</v>
      </c>
      <c r="Z1069" s="20">
        <f ca="1">Tabela1[[#This Row],[PESO TOTAL]]-Tabela1[[#This Row],[Peso Expedido]]</f>
        <v>104</v>
      </c>
      <c r="AA1069" s="17"/>
      <c r="AB1069" s="33"/>
      <c r="AC1069" s="33"/>
      <c r="AD1069" s="33"/>
      <c r="AE1069" s="33"/>
      <c r="AF1069" s="33"/>
      <c r="AG1069" s="33"/>
      <c r="AH1069" s="33"/>
      <c r="AI1069" s="33"/>
      <c r="AJ1069"/>
      <c r="AK1069"/>
      <c r="AL1069"/>
      <c r="AM1069"/>
      <c r="AN1069"/>
      <c r="AO1069"/>
      <c r="AQ1069" s="201"/>
      <c r="AR1069" s="37"/>
      <c r="AS1069" s="37"/>
      <c r="AT1069" s="37"/>
      <c r="AU1069" s="37"/>
      <c r="AV1069" s="37"/>
      <c r="AW1069" s="37"/>
    </row>
    <row r="1070" spans="1:49" ht="15.75" hidden="1" customHeight="1" x14ac:dyDescent="0.25">
      <c r="A1070" s="21" t="s">
        <v>5345</v>
      </c>
      <c r="B1070" s="21" t="s">
        <v>5346</v>
      </c>
      <c r="C1070" s="196">
        <v>1</v>
      </c>
      <c r="D1070" s="1" t="s">
        <v>5347</v>
      </c>
      <c r="E1070" s="228">
        <v>4716</v>
      </c>
      <c r="F1070" s="196">
        <v>28</v>
      </c>
      <c r="G1070" s="1">
        <v>254.3</v>
      </c>
      <c r="H1070" s="34">
        <f ca="1">Tabela1[[#This Row],[PESO UNI]]*Tabela1[[#This Row],[QTE]]</f>
        <v>254.3</v>
      </c>
      <c r="I1070" s="7" t="s">
        <v>5586</v>
      </c>
      <c r="J1070" s="8" t="s">
        <v>4834</v>
      </c>
      <c r="K1070" s="8" t="s">
        <v>4320</v>
      </c>
      <c r="L1070" s="9" t="s">
        <v>3291</v>
      </c>
      <c r="M1070" s="10">
        <v>46259</v>
      </c>
      <c r="N1070" s="8" t="s">
        <v>38</v>
      </c>
      <c r="O1070" s="12"/>
      <c r="P1070" s="13"/>
      <c r="Q1070" s="14">
        <f ca="1">Tabela1[[#This Row],[QTDE/ Fabricação]]-Tabela1[[#This Row],[QTE]]</f>
        <v>-1</v>
      </c>
      <c r="R1070" s="18">
        <f t="shared" ca="1" si="221"/>
        <v>0</v>
      </c>
      <c r="S1070" s="18">
        <f t="shared" ca="1" si="222"/>
        <v>0</v>
      </c>
      <c r="T1070" s="19">
        <f t="shared" ca="1" si="223"/>
        <v>-254.3</v>
      </c>
      <c r="U1070" s="16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IFERROR(VLOOKUP(Tabela1[[#This Row],[COD.MDE]],'LISTA DE EMBARQUE'!B:M,12,0),"")</f>
        <v/>
      </c>
      <c r="X1070" s="14">
        <f ca="1">IFERROR(Tabela1[[#This Row],[QIANTIDADE EXPEDIDA]]*Tabela1[[#This Row],[PESO UNI]],"")</f>
        <v>0</v>
      </c>
      <c r="Y1070" s="14">
        <f t="shared" ca="1" si="224"/>
        <v>-1</v>
      </c>
      <c r="Z1070" s="20">
        <f ca="1">Tabela1[[#This Row],[PESO TOTAL]]-Tabela1[[#This Row],[Peso Expedido]]</f>
        <v>254.3</v>
      </c>
      <c r="AA1070" s="17"/>
      <c r="AB1070" s="33"/>
      <c r="AC1070" s="33"/>
      <c r="AD1070" s="33"/>
      <c r="AE1070" s="33"/>
      <c r="AF1070" s="33"/>
      <c r="AG1070" s="33"/>
      <c r="AH1070" s="33"/>
      <c r="AI1070" s="33"/>
      <c r="AJ1070"/>
      <c r="AK1070"/>
      <c r="AL1070"/>
      <c r="AM1070"/>
      <c r="AN1070"/>
      <c r="AO1070"/>
      <c r="AQ1070" s="201"/>
      <c r="AR1070" s="37"/>
      <c r="AS1070" s="37"/>
      <c r="AT1070" s="37"/>
      <c r="AU1070" s="37"/>
      <c r="AV1070" s="37"/>
      <c r="AW1070" s="37"/>
    </row>
    <row r="1071" spans="1:49" ht="15.75" hidden="1" customHeight="1" x14ac:dyDescent="0.25">
      <c r="A1071" s="21" t="s">
        <v>5345</v>
      </c>
      <c r="B1071" s="21" t="s">
        <v>5346</v>
      </c>
      <c r="C1071" s="196">
        <v>1</v>
      </c>
      <c r="D1071" s="1" t="s">
        <v>5348</v>
      </c>
      <c r="E1071" s="193">
        <v>4717</v>
      </c>
      <c r="F1071" s="196">
        <v>28</v>
      </c>
      <c r="G1071" s="1">
        <v>155.5</v>
      </c>
      <c r="H1071" s="34">
        <f ca="1">Tabela1[[#This Row],[PESO UNI]]*Tabela1[[#This Row],[QTE]]</f>
        <v>155.5</v>
      </c>
      <c r="I1071" s="7" t="s">
        <v>5586</v>
      </c>
      <c r="J1071" s="8" t="s">
        <v>4834</v>
      </c>
      <c r="K1071" s="8" t="s">
        <v>4320</v>
      </c>
      <c r="L1071" s="9" t="s">
        <v>3291</v>
      </c>
      <c r="M1071" s="10">
        <v>46259</v>
      </c>
      <c r="N1071" s="8" t="s">
        <v>38</v>
      </c>
      <c r="O1071" s="12"/>
      <c r="P1071" s="13"/>
      <c r="Q1071" s="14">
        <f ca="1">Tabela1[[#This Row],[QTDE/ Fabricação]]-Tabela1[[#This Row],[QTE]]</f>
        <v>-1</v>
      </c>
      <c r="R1071" s="18">
        <f t="shared" ca="1" si="221"/>
        <v>0</v>
      </c>
      <c r="S1071" s="18">
        <f t="shared" ca="1" si="222"/>
        <v>0</v>
      </c>
      <c r="T1071" s="19">
        <f t="shared" ca="1" si="223"/>
        <v>-155.5</v>
      </c>
      <c r="U1071" s="16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IFERROR(VLOOKUP(Tabela1[[#This Row],[COD.MDE]],'LISTA DE EMBARQUE'!B:M,12,0),"")</f>
        <v/>
      </c>
      <c r="X1071" s="14">
        <f ca="1">IFERROR(Tabela1[[#This Row],[QIANTIDADE EXPEDIDA]]*Tabela1[[#This Row],[PESO UNI]],"")</f>
        <v>0</v>
      </c>
      <c r="Y1071" s="14">
        <f t="shared" ca="1" si="224"/>
        <v>-1</v>
      </c>
      <c r="Z1071" s="20">
        <f ca="1">Tabela1[[#This Row],[PESO TOTAL]]-Tabela1[[#This Row],[Peso Expedido]]</f>
        <v>155.5</v>
      </c>
      <c r="AA1071" s="17"/>
      <c r="AB1071" s="33"/>
      <c r="AC1071" s="33"/>
      <c r="AD1071" s="33"/>
      <c r="AE1071" s="33"/>
      <c r="AF1071" s="33"/>
      <c r="AG1071" s="33"/>
      <c r="AH1071" s="33"/>
      <c r="AI1071" s="33"/>
      <c r="AJ1071"/>
      <c r="AK1071"/>
      <c r="AL1071"/>
      <c r="AM1071"/>
      <c r="AN1071"/>
      <c r="AO1071"/>
      <c r="AQ1071" s="201"/>
      <c r="AR1071" s="37"/>
      <c r="AS1071" s="37"/>
      <c r="AT1071" s="37"/>
      <c r="AU1071" s="37"/>
      <c r="AV1071" s="37"/>
      <c r="AW1071" s="37"/>
    </row>
    <row r="1072" spans="1:49" ht="15.75" hidden="1" customHeight="1" x14ac:dyDescent="0.25">
      <c r="A1072" s="21" t="s">
        <v>5349</v>
      </c>
      <c r="B1072" s="21" t="s">
        <v>5350</v>
      </c>
      <c r="C1072" s="196">
        <v>1</v>
      </c>
      <c r="D1072" s="1" t="s">
        <v>5351</v>
      </c>
      <c r="E1072" s="228">
        <v>4718</v>
      </c>
      <c r="F1072" s="196">
        <v>29</v>
      </c>
      <c r="G1072" s="1">
        <v>27.4</v>
      </c>
      <c r="H1072" s="34">
        <f ca="1">Tabela1[[#This Row],[PESO UNI]]*Tabela1[[#This Row],[QTE]]</f>
        <v>27.4</v>
      </c>
      <c r="I1072" s="7" t="s">
        <v>5586</v>
      </c>
      <c r="J1072" s="8" t="s">
        <v>4834</v>
      </c>
      <c r="K1072" s="8" t="s">
        <v>4320</v>
      </c>
      <c r="L1072" s="9" t="s">
        <v>3291</v>
      </c>
      <c r="M1072" s="10">
        <v>46259</v>
      </c>
      <c r="N1072" s="8" t="s">
        <v>38</v>
      </c>
      <c r="O1072" s="12"/>
      <c r="P1072" s="13"/>
      <c r="Q1072" s="14">
        <f ca="1">Tabela1[[#This Row],[QTDE/ Fabricação]]-Tabela1[[#This Row],[QTE]]</f>
        <v>-1</v>
      </c>
      <c r="R1072" s="18">
        <f t="shared" ca="1" si="221"/>
        <v>0</v>
      </c>
      <c r="S1072" s="18">
        <f t="shared" ca="1" si="222"/>
        <v>0</v>
      </c>
      <c r="T1072" s="19">
        <f t="shared" ca="1" si="223"/>
        <v>-27.4</v>
      </c>
      <c r="U1072" s="16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IFERROR(VLOOKUP(Tabela1[[#This Row],[COD.MDE]],'LISTA DE EMBARQUE'!B:M,12,0),"")</f>
        <v/>
      </c>
      <c r="X1072" s="14">
        <f ca="1">IFERROR(Tabela1[[#This Row],[QIANTIDADE EXPEDIDA]]*Tabela1[[#This Row],[PESO UNI]],"")</f>
        <v>0</v>
      </c>
      <c r="Y1072" s="14">
        <f t="shared" ca="1" si="224"/>
        <v>-1</v>
      </c>
      <c r="Z1072" s="20">
        <f ca="1">Tabela1[[#This Row],[PESO TOTAL]]-Tabela1[[#This Row],[Peso Expedido]]</f>
        <v>27.4</v>
      </c>
      <c r="AA1072" s="17"/>
      <c r="AB1072" s="33"/>
      <c r="AC1072" s="33"/>
      <c r="AD1072" s="33"/>
      <c r="AE1072" s="33"/>
      <c r="AF1072" s="33"/>
      <c r="AG1072" s="33"/>
      <c r="AH1072" s="33"/>
      <c r="AI1072" s="33"/>
      <c r="AJ1072"/>
      <c r="AK1072"/>
      <c r="AL1072"/>
      <c r="AM1072"/>
      <c r="AN1072"/>
      <c r="AO1072"/>
      <c r="AQ1072" s="201"/>
      <c r="AR1072" s="37"/>
      <c r="AS1072" s="37"/>
      <c r="AT1072" s="37"/>
      <c r="AU1072" s="37"/>
      <c r="AV1072" s="37"/>
      <c r="AW1072" s="37"/>
    </row>
    <row r="1073" spans="1:49" ht="15.75" hidden="1" customHeight="1" x14ac:dyDescent="0.25">
      <c r="A1073" s="21" t="s">
        <v>5349</v>
      </c>
      <c r="B1073" s="21" t="s">
        <v>5350</v>
      </c>
      <c r="C1073" s="196">
        <v>1</v>
      </c>
      <c r="D1073" s="1" t="s">
        <v>5352</v>
      </c>
      <c r="E1073" s="193">
        <v>4719</v>
      </c>
      <c r="F1073" s="196">
        <v>29</v>
      </c>
      <c r="G1073" s="1">
        <v>13.2</v>
      </c>
      <c r="H1073" s="34">
        <f ca="1">Tabela1[[#This Row],[PESO UNI]]*Tabela1[[#This Row],[QTE]]</f>
        <v>13.2</v>
      </c>
      <c r="I1073" s="7" t="s">
        <v>5586</v>
      </c>
      <c r="J1073" s="8" t="s">
        <v>4834</v>
      </c>
      <c r="K1073" s="8" t="s">
        <v>4320</v>
      </c>
      <c r="L1073" s="9" t="s">
        <v>3291</v>
      </c>
      <c r="M1073" s="10">
        <v>46259</v>
      </c>
      <c r="N1073" s="8" t="s">
        <v>38</v>
      </c>
      <c r="O1073" s="12"/>
      <c r="P1073" s="13"/>
      <c r="Q1073" s="14">
        <f ca="1">Tabela1[[#This Row],[QTDE/ Fabricação]]-Tabela1[[#This Row],[QTE]]</f>
        <v>-1</v>
      </c>
      <c r="R1073" s="18">
        <f t="shared" ca="1" si="221"/>
        <v>0</v>
      </c>
      <c r="S1073" s="18">
        <f t="shared" ca="1" si="222"/>
        <v>0</v>
      </c>
      <c r="T1073" s="19">
        <f t="shared" ca="1" si="223"/>
        <v>-13.2</v>
      </c>
      <c r="U1073" s="16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IFERROR(VLOOKUP(Tabela1[[#This Row],[COD.MDE]],'LISTA DE EMBARQUE'!B:M,12,0),"")</f>
        <v/>
      </c>
      <c r="X1073" s="14">
        <f ca="1">IFERROR(Tabela1[[#This Row],[QIANTIDADE EXPEDIDA]]*Tabela1[[#This Row],[PESO UNI]],"")</f>
        <v>0</v>
      </c>
      <c r="Y1073" s="14">
        <f t="shared" ca="1" si="224"/>
        <v>-1</v>
      </c>
      <c r="Z1073" s="20">
        <f ca="1">Tabela1[[#This Row],[PESO TOTAL]]-Tabela1[[#This Row],[Peso Expedido]]</f>
        <v>13.2</v>
      </c>
      <c r="AA1073" s="17"/>
      <c r="AB1073" s="33"/>
      <c r="AC1073" s="33"/>
      <c r="AD1073" s="33"/>
      <c r="AE1073" s="33"/>
      <c r="AF1073" s="33"/>
      <c r="AG1073" s="33"/>
      <c r="AH1073" s="33"/>
      <c r="AI1073" s="33"/>
      <c r="AJ1073"/>
      <c r="AK1073"/>
      <c r="AL1073"/>
      <c r="AM1073"/>
      <c r="AN1073"/>
      <c r="AO1073"/>
      <c r="AQ1073" s="201"/>
      <c r="AR1073" s="37"/>
      <c r="AS1073" s="37"/>
      <c r="AT1073" s="37"/>
      <c r="AU1073" s="37"/>
      <c r="AV1073" s="37"/>
      <c r="AW1073" s="37"/>
    </row>
    <row r="1074" spans="1:49" ht="15.75" hidden="1" customHeight="1" x14ac:dyDescent="0.25">
      <c r="A1074" s="21" t="s">
        <v>5349</v>
      </c>
      <c r="B1074" s="21" t="s">
        <v>5350</v>
      </c>
      <c r="C1074" s="196">
        <v>1</v>
      </c>
      <c r="D1074" s="1" t="s">
        <v>5353</v>
      </c>
      <c r="E1074" s="193">
        <v>4720</v>
      </c>
      <c r="F1074" s="196">
        <v>29</v>
      </c>
      <c r="G1074" s="1">
        <v>9.6</v>
      </c>
      <c r="H1074" s="34">
        <f ca="1">Tabela1[[#This Row],[PESO UNI]]*Tabela1[[#This Row],[QTE]]</f>
        <v>9.6</v>
      </c>
      <c r="I1074" s="7" t="s">
        <v>5586</v>
      </c>
      <c r="J1074" s="8" t="s">
        <v>4834</v>
      </c>
      <c r="K1074" s="8" t="s">
        <v>4320</v>
      </c>
      <c r="L1074" s="9" t="s">
        <v>3291</v>
      </c>
      <c r="M1074" s="10">
        <v>46259</v>
      </c>
      <c r="N1074" s="8" t="s">
        <v>38</v>
      </c>
      <c r="O1074" s="12"/>
      <c r="P1074" s="13"/>
      <c r="Q1074" s="14">
        <f ca="1">Tabela1[[#This Row],[QTDE/ Fabricação]]-Tabela1[[#This Row],[QTE]]</f>
        <v>-1</v>
      </c>
      <c r="R1074" s="18">
        <f t="shared" ca="1" si="221"/>
        <v>0</v>
      </c>
      <c r="S1074" s="18">
        <f t="shared" ca="1" si="222"/>
        <v>0</v>
      </c>
      <c r="T1074" s="19">
        <f t="shared" ca="1" si="223"/>
        <v>-9.6</v>
      </c>
      <c r="U1074" s="16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IFERROR(VLOOKUP(Tabela1[[#This Row],[COD.MDE]],'LISTA DE EMBARQUE'!B:M,12,0),"")</f>
        <v/>
      </c>
      <c r="X1074" s="14">
        <f ca="1">IFERROR(Tabela1[[#This Row],[QIANTIDADE EXPEDIDA]]*Tabela1[[#This Row],[PESO UNI]],"")</f>
        <v>0</v>
      </c>
      <c r="Y1074" s="14">
        <f t="shared" ca="1" si="224"/>
        <v>-1</v>
      </c>
      <c r="Z1074" s="20">
        <f ca="1">Tabela1[[#This Row],[PESO TOTAL]]-Tabela1[[#This Row],[Peso Expedido]]</f>
        <v>9.6</v>
      </c>
      <c r="AA1074" s="17"/>
      <c r="AB1074" s="33"/>
      <c r="AC1074" s="33"/>
      <c r="AD1074" s="33"/>
      <c r="AE1074" s="33"/>
      <c r="AF1074" s="33"/>
      <c r="AG1074" s="33"/>
      <c r="AH1074" s="33"/>
      <c r="AI1074" s="33"/>
      <c r="AJ1074"/>
      <c r="AK1074"/>
      <c r="AL1074"/>
      <c r="AM1074"/>
      <c r="AN1074"/>
      <c r="AO1074"/>
      <c r="AQ1074" s="201"/>
      <c r="AR1074" s="37"/>
      <c r="AS1074" s="37"/>
      <c r="AT1074" s="37"/>
      <c r="AU1074" s="37"/>
      <c r="AV1074" s="37"/>
      <c r="AW1074" s="37"/>
    </row>
    <row r="1075" spans="1:49" ht="15.75" hidden="1" customHeight="1" x14ac:dyDescent="0.25">
      <c r="A1075" s="21" t="s">
        <v>5349</v>
      </c>
      <c r="B1075" s="21" t="s">
        <v>5350</v>
      </c>
      <c r="C1075" s="196">
        <v>1</v>
      </c>
      <c r="D1075" s="1" t="s">
        <v>5354</v>
      </c>
      <c r="E1075" s="193">
        <v>4721</v>
      </c>
      <c r="F1075" s="196">
        <v>29</v>
      </c>
      <c r="G1075" s="1">
        <v>20.2</v>
      </c>
      <c r="H1075" s="34">
        <f ca="1">Tabela1[[#This Row],[PESO UNI]]*Tabela1[[#This Row],[QTE]]</f>
        <v>20.2</v>
      </c>
      <c r="I1075" s="7" t="s">
        <v>5586</v>
      </c>
      <c r="J1075" s="8" t="s">
        <v>4834</v>
      </c>
      <c r="K1075" s="8" t="s">
        <v>4320</v>
      </c>
      <c r="L1075" s="9" t="s">
        <v>3291</v>
      </c>
      <c r="M1075" s="10">
        <v>46259</v>
      </c>
      <c r="N1075" s="8" t="s">
        <v>38</v>
      </c>
      <c r="O1075" s="12"/>
      <c r="P1075" s="13"/>
      <c r="Q1075" s="14">
        <f ca="1">Tabela1[[#This Row],[QTDE/ Fabricação]]-Tabela1[[#This Row],[QTE]]</f>
        <v>-1</v>
      </c>
      <c r="R1075" s="18">
        <f t="shared" ca="1" si="221"/>
        <v>0</v>
      </c>
      <c r="S1075" s="18">
        <f t="shared" ca="1" si="222"/>
        <v>0</v>
      </c>
      <c r="T1075" s="19">
        <f t="shared" ca="1" si="223"/>
        <v>-20.2</v>
      </c>
      <c r="U1075" s="16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IFERROR(VLOOKUP(Tabela1[[#This Row],[COD.MDE]],'LISTA DE EMBARQUE'!B:M,12,0),"")</f>
        <v/>
      </c>
      <c r="X1075" s="14">
        <f ca="1">IFERROR(Tabela1[[#This Row],[QIANTIDADE EXPEDIDA]]*Tabela1[[#This Row],[PESO UNI]],"")</f>
        <v>0</v>
      </c>
      <c r="Y1075" s="14">
        <f t="shared" ca="1" si="224"/>
        <v>-1</v>
      </c>
      <c r="Z1075" s="20">
        <f ca="1">Tabela1[[#This Row],[PESO TOTAL]]-Tabela1[[#This Row],[Peso Expedido]]</f>
        <v>20.2</v>
      </c>
      <c r="AA1075" s="17"/>
      <c r="AB1075" s="33"/>
      <c r="AC1075" s="33"/>
      <c r="AD1075" s="33"/>
      <c r="AE1075" s="33"/>
      <c r="AF1075" s="33"/>
      <c r="AG1075" s="33"/>
      <c r="AH1075" s="33"/>
      <c r="AI1075" s="33"/>
      <c r="AJ1075"/>
      <c r="AK1075"/>
      <c r="AL1075"/>
      <c r="AM1075"/>
      <c r="AN1075"/>
      <c r="AO1075"/>
      <c r="AQ1075" s="201"/>
      <c r="AR1075" s="37"/>
      <c r="AS1075" s="37"/>
      <c r="AT1075" s="37"/>
      <c r="AU1075" s="37"/>
      <c r="AV1075" s="37"/>
      <c r="AW1075" s="37"/>
    </row>
    <row r="1076" spans="1:49" ht="15.75" hidden="1" customHeight="1" x14ac:dyDescent="0.25">
      <c r="A1076" s="21" t="s">
        <v>5349</v>
      </c>
      <c r="B1076" s="21" t="s">
        <v>5350</v>
      </c>
      <c r="C1076" s="196">
        <v>1</v>
      </c>
      <c r="D1076" s="1" t="s">
        <v>5355</v>
      </c>
      <c r="E1076" s="193">
        <v>4722</v>
      </c>
      <c r="F1076" s="196">
        <v>29</v>
      </c>
      <c r="G1076" s="1">
        <v>11</v>
      </c>
      <c r="H1076" s="34">
        <f ca="1">Tabela1[[#This Row],[PESO UNI]]*Tabela1[[#This Row],[QTE]]</f>
        <v>11</v>
      </c>
      <c r="I1076" s="7" t="s">
        <v>5586</v>
      </c>
      <c r="J1076" s="8" t="s">
        <v>4834</v>
      </c>
      <c r="K1076" s="8" t="s">
        <v>4320</v>
      </c>
      <c r="L1076" s="9" t="s">
        <v>3291</v>
      </c>
      <c r="M1076" s="10">
        <v>46259</v>
      </c>
      <c r="N1076" s="8" t="s">
        <v>38</v>
      </c>
      <c r="O1076" s="12"/>
      <c r="P1076" s="13"/>
      <c r="Q1076" s="14">
        <f ca="1">Tabela1[[#This Row],[QTDE/ Fabricação]]-Tabela1[[#This Row],[QTE]]</f>
        <v>-1</v>
      </c>
      <c r="R1076" s="18">
        <f t="shared" ca="1" si="221"/>
        <v>0</v>
      </c>
      <c r="S1076" s="18">
        <f t="shared" ca="1" si="222"/>
        <v>0</v>
      </c>
      <c r="T1076" s="19">
        <f t="shared" ca="1" si="223"/>
        <v>-11</v>
      </c>
      <c r="U1076" s="16">
        <f>IFERROR(SUMIF('LISTA DE EMBARQUE'!B:B,MICRO!E:E,'LISTA DE EMBARQUE'!G:G),"")</f>
        <v>0</v>
      </c>
      <c r="V1076" s="12" t="str">
        <f>IFERROR(VLOOKUP(Tabela1[[#This Row],[COD.MDE]],'LISTA DE EMBARQUE'!B:L,11,0),"")</f>
        <v/>
      </c>
      <c r="W1076" s="13" t="str">
        <f>IFERROR(VLOOKUP(Tabela1[[#This Row],[COD.MDE]],'LISTA DE EMBARQUE'!B:M,12,0),"")</f>
        <v/>
      </c>
      <c r="X1076" s="14">
        <f ca="1">IFERROR(Tabela1[[#This Row],[QIANTIDADE EXPEDIDA]]*Tabela1[[#This Row],[PESO UNI]],"")</f>
        <v>0</v>
      </c>
      <c r="Y1076" s="14">
        <f t="shared" ca="1" si="224"/>
        <v>-1</v>
      </c>
      <c r="Z1076" s="20">
        <f ca="1">Tabela1[[#This Row],[PESO TOTAL]]-Tabela1[[#This Row],[Peso Expedido]]</f>
        <v>11</v>
      </c>
      <c r="AA1076" s="17"/>
      <c r="AB1076" s="33"/>
      <c r="AC1076" s="33"/>
      <c r="AD1076" s="33"/>
      <c r="AE1076" s="33"/>
      <c r="AF1076" s="33"/>
      <c r="AG1076" s="33"/>
      <c r="AH1076" s="33"/>
      <c r="AI1076" s="33"/>
      <c r="AJ1076"/>
      <c r="AK1076"/>
      <c r="AL1076"/>
      <c r="AM1076"/>
      <c r="AN1076"/>
      <c r="AO1076"/>
      <c r="AQ1076" s="201"/>
      <c r="AR1076" s="37"/>
      <c r="AS1076" s="37"/>
      <c r="AT1076" s="37"/>
      <c r="AU1076" s="37"/>
      <c r="AV1076" s="37"/>
      <c r="AW1076" s="37"/>
    </row>
    <row r="1077" spans="1:49" ht="15.75" hidden="1" customHeight="1" x14ac:dyDescent="0.25">
      <c r="A1077" s="21" t="s">
        <v>5349</v>
      </c>
      <c r="B1077" s="21" t="s">
        <v>5350</v>
      </c>
      <c r="C1077" s="196">
        <v>1</v>
      </c>
      <c r="D1077" s="1" t="s">
        <v>5356</v>
      </c>
      <c r="E1077" s="193">
        <v>4723</v>
      </c>
      <c r="F1077" s="196">
        <v>29</v>
      </c>
      <c r="G1077" s="1">
        <v>36.200000000000003</v>
      </c>
      <c r="H1077" s="34">
        <f ca="1">Tabela1[[#This Row],[PESO UNI]]*Tabela1[[#This Row],[QTE]]</f>
        <v>36.200000000000003</v>
      </c>
      <c r="I1077" s="7" t="s">
        <v>5586</v>
      </c>
      <c r="J1077" s="8" t="s">
        <v>4834</v>
      </c>
      <c r="K1077" s="8" t="s">
        <v>4320</v>
      </c>
      <c r="L1077" s="9" t="s">
        <v>3291</v>
      </c>
      <c r="M1077" s="10">
        <v>46259</v>
      </c>
      <c r="N1077" s="8" t="s">
        <v>38</v>
      </c>
      <c r="O1077" s="12"/>
      <c r="P1077" s="13"/>
      <c r="Q1077" s="14">
        <f ca="1">Tabela1[[#This Row],[QTDE/ Fabricação]]-Tabela1[[#This Row],[QTE]]</f>
        <v>-1</v>
      </c>
      <c r="R1077" s="18">
        <f t="shared" ca="1" si="221"/>
        <v>0</v>
      </c>
      <c r="S1077" s="18">
        <f t="shared" ca="1" si="222"/>
        <v>0</v>
      </c>
      <c r="T1077" s="19">
        <f t="shared" ca="1" si="223"/>
        <v>-36.200000000000003</v>
      </c>
      <c r="U1077" s="16">
        <f>IFERROR(SUMIF('LISTA DE EMBARQUE'!B:B,MICRO!E:E,'LISTA DE EMBARQUE'!G:G),"")</f>
        <v>0</v>
      </c>
      <c r="V1077" s="12" t="str">
        <f>IFERROR(VLOOKUP(Tabela1[[#This Row],[COD.MDE]],'LISTA DE EMBARQUE'!B:L,11,0),"")</f>
        <v/>
      </c>
      <c r="W1077" s="13" t="str">
        <f>IFERROR(VLOOKUP(Tabela1[[#This Row],[COD.MDE]],'LISTA DE EMBARQUE'!B:M,12,0),"")</f>
        <v/>
      </c>
      <c r="X1077" s="14">
        <f ca="1">IFERROR(Tabela1[[#This Row],[QIANTIDADE EXPEDIDA]]*Tabela1[[#This Row],[PESO UNI]],"")</f>
        <v>0</v>
      </c>
      <c r="Y1077" s="14">
        <f t="shared" ca="1" si="224"/>
        <v>-1</v>
      </c>
      <c r="Z1077" s="20">
        <f ca="1">Tabela1[[#This Row],[PESO TOTAL]]-Tabela1[[#This Row],[Peso Expedido]]</f>
        <v>36.200000000000003</v>
      </c>
      <c r="AA1077" s="17"/>
      <c r="AB1077" s="33"/>
      <c r="AC1077" s="33"/>
      <c r="AD1077" s="33"/>
      <c r="AE1077" s="33"/>
      <c r="AF1077" s="33"/>
      <c r="AG1077" s="33"/>
      <c r="AH1077" s="33"/>
      <c r="AI1077" s="33"/>
      <c r="AJ1077"/>
      <c r="AK1077"/>
      <c r="AL1077"/>
      <c r="AM1077"/>
      <c r="AN1077"/>
      <c r="AO1077"/>
      <c r="AQ1077" s="201"/>
      <c r="AR1077" s="37"/>
      <c r="AS1077" s="37"/>
      <c r="AT1077" s="37"/>
      <c r="AU1077" s="37"/>
      <c r="AV1077" s="37"/>
      <c r="AW1077" s="37"/>
    </row>
    <row r="1078" spans="1:49" ht="15.75" hidden="1" customHeight="1" x14ac:dyDescent="0.25">
      <c r="A1078" s="21" t="s">
        <v>5349</v>
      </c>
      <c r="B1078" s="21" t="s">
        <v>5350</v>
      </c>
      <c r="C1078" s="196">
        <v>1</v>
      </c>
      <c r="D1078" s="1" t="s">
        <v>5357</v>
      </c>
      <c r="E1078" s="193">
        <v>4724</v>
      </c>
      <c r="F1078" s="196">
        <v>29</v>
      </c>
      <c r="G1078" s="1">
        <v>0.4</v>
      </c>
      <c r="H1078" s="34">
        <f ca="1">Tabela1[[#This Row],[PESO UNI]]*Tabela1[[#This Row],[QTE]]</f>
        <v>0.4</v>
      </c>
      <c r="I1078" s="7" t="s">
        <v>5586</v>
      </c>
      <c r="J1078" s="8" t="s">
        <v>4834</v>
      </c>
      <c r="K1078" s="8" t="s">
        <v>4320</v>
      </c>
      <c r="L1078" s="9" t="s">
        <v>3291</v>
      </c>
      <c r="M1078" s="10">
        <v>46259</v>
      </c>
      <c r="N1078" s="8" t="s">
        <v>38</v>
      </c>
      <c r="O1078" s="12"/>
      <c r="P1078" s="13"/>
      <c r="Q1078" s="14">
        <f ca="1">Tabela1[[#This Row],[QTDE/ Fabricação]]-Tabela1[[#This Row],[QTE]]</f>
        <v>-1</v>
      </c>
      <c r="R1078" s="18">
        <f t="shared" ca="1" si="221"/>
        <v>0</v>
      </c>
      <c r="S1078" s="18">
        <f t="shared" ca="1" si="222"/>
        <v>0</v>
      </c>
      <c r="T1078" s="19">
        <f t="shared" ca="1" si="223"/>
        <v>-0.4</v>
      </c>
      <c r="U1078" s="16">
        <f>IFERROR(SUMIF('LISTA DE EMBARQUE'!B:B,MICRO!E:E,'LISTA DE EMBARQUE'!G:G),"")</f>
        <v>0</v>
      </c>
      <c r="V1078" s="12" t="str">
        <f>IFERROR(VLOOKUP(Tabela1[[#This Row],[COD.MDE]],'LISTA DE EMBARQUE'!B:L,11,0),"")</f>
        <v/>
      </c>
      <c r="W1078" s="13" t="str">
        <f>IFERROR(VLOOKUP(Tabela1[[#This Row],[COD.MDE]],'LISTA DE EMBARQUE'!B:M,12,0),"")</f>
        <v/>
      </c>
      <c r="X1078" s="14">
        <f ca="1">IFERROR(Tabela1[[#This Row],[QIANTIDADE EXPEDIDA]]*Tabela1[[#This Row],[PESO UNI]],"")</f>
        <v>0</v>
      </c>
      <c r="Y1078" s="14">
        <f t="shared" ca="1" si="224"/>
        <v>-1</v>
      </c>
      <c r="Z1078" s="20">
        <f ca="1">Tabela1[[#This Row],[PESO TOTAL]]-Tabela1[[#This Row],[Peso Expedido]]</f>
        <v>0.4</v>
      </c>
      <c r="AA1078" s="17"/>
      <c r="AB1078" s="33"/>
      <c r="AC1078" s="33"/>
      <c r="AD1078" s="33"/>
      <c r="AE1078" s="33"/>
      <c r="AF1078" s="33"/>
      <c r="AG1078" s="33"/>
      <c r="AH1078" s="33"/>
      <c r="AI1078" s="33"/>
      <c r="AJ1078"/>
      <c r="AK1078"/>
      <c r="AL1078"/>
      <c r="AM1078"/>
      <c r="AN1078"/>
      <c r="AO1078"/>
      <c r="AQ1078" s="201"/>
      <c r="AR1078" s="37"/>
      <c r="AS1078" s="37"/>
      <c r="AT1078" s="37"/>
      <c r="AU1078" s="37"/>
      <c r="AV1078" s="37"/>
      <c r="AW1078" s="37"/>
    </row>
    <row r="1079" spans="1:49" s="21" customFormat="1" ht="15.75" hidden="1" customHeight="1" x14ac:dyDescent="0.25">
      <c r="A1079" s="21" t="s">
        <v>5358</v>
      </c>
      <c r="B1079" s="21" t="s">
        <v>5359</v>
      </c>
      <c r="C1079" s="21">
        <v>1</v>
      </c>
      <c r="D1079" s="1" t="s">
        <v>5360</v>
      </c>
      <c r="E1079" s="21">
        <v>4725</v>
      </c>
      <c r="F1079" s="21">
        <v>30</v>
      </c>
      <c r="G1079" s="1">
        <v>91</v>
      </c>
      <c r="H1079" s="34">
        <f ca="1">Tabela1[[#This Row],[PESO UNI]]*Tabela1[[#This Row],[QTE]]</f>
        <v>91</v>
      </c>
      <c r="I1079" s="7" t="s">
        <v>5586</v>
      </c>
      <c r="J1079" s="8" t="s">
        <v>4834</v>
      </c>
      <c r="K1079" s="8" t="s">
        <v>4320</v>
      </c>
      <c r="L1079" s="9" t="s">
        <v>3291</v>
      </c>
      <c r="M1079" s="10">
        <v>46259</v>
      </c>
      <c r="N1079" s="8" t="s">
        <v>38</v>
      </c>
      <c r="O1079" s="12"/>
      <c r="P1079" s="13"/>
      <c r="Q1079" s="14">
        <f ca="1">Tabela1[[#This Row],[QTDE/ Fabricação]]-Tabela1[[#This Row],[QTE]]</f>
        <v>-1</v>
      </c>
      <c r="R1079" s="18">
        <f t="shared" ca="1" si="221"/>
        <v>36.4</v>
      </c>
      <c r="S1079" s="18">
        <f t="shared" ca="1" si="222"/>
        <v>0</v>
      </c>
      <c r="T1079" s="19">
        <f t="shared" ca="1" si="223"/>
        <v>-91</v>
      </c>
      <c r="U1079" s="16">
        <f>IFERROR(SUMIF('LISTA DE EMBARQUE'!B:B,MICRO!E:E,'LISTA DE EMBARQUE'!G:G),"")</f>
        <v>0</v>
      </c>
      <c r="V1079" s="12" t="str">
        <f>IFERROR(VLOOKUP(Tabela1[[#This Row],[COD.MDE]],'LISTA DE EMBARQUE'!B:L,11,0),"")</f>
        <v/>
      </c>
      <c r="W1079" s="13" t="str">
        <f>IFERROR(VLOOKUP(Tabela1[[#This Row],[COD.MDE]],'LISTA DE EMBARQUE'!B:M,12,0),"")</f>
        <v/>
      </c>
      <c r="X1079" s="14">
        <f ca="1">IFERROR(Tabela1[[#This Row],[QIANTIDADE EXPEDIDA]]*Tabela1[[#This Row],[PESO UNI]],"")</f>
        <v>0</v>
      </c>
      <c r="Y1079" s="14">
        <f t="shared" ca="1" si="224"/>
        <v>-1</v>
      </c>
      <c r="Z1079" s="20">
        <f ca="1">Tabela1[[#This Row],[PESO TOTAL]]-Tabela1[[#This Row],[Peso Expedido]]</f>
        <v>91</v>
      </c>
      <c r="AA1079" s="17">
        <v>0.8</v>
      </c>
      <c r="AB1079" s="33"/>
      <c r="AC1079" s="33">
        <v>0.8</v>
      </c>
      <c r="AD1079" s="33"/>
      <c r="AE1079" s="33"/>
      <c r="AF1079" s="33"/>
      <c r="AG1079" s="33"/>
      <c r="AH1079" s="33"/>
      <c r="AI1079" s="33"/>
      <c r="AJ1079"/>
      <c r="AK1079"/>
      <c r="AL1079"/>
      <c r="AM1079"/>
      <c r="AN1079"/>
      <c r="AO1079"/>
      <c r="AP1079" s="28"/>
      <c r="AQ1079" s="201"/>
    </row>
    <row r="1080" spans="1:49" s="21" customFormat="1" ht="15.75" hidden="1" customHeight="1" x14ac:dyDescent="0.25">
      <c r="A1080" s="21" t="s">
        <v>5358</v>
      </c>
      <c r="B1080" s="21" t="s">
        <v>5359</v>
      </c>
      <c r="C1080" s="21">
        <v>2</v>
      </c>
      <c r="D1080" s="1" t="s">
        <v>5361</v>
      </c>
      <c r="E1080" s="21">
        <v>4726</v>
      </c>
      <c r="F1080" s="21">
        <v>30</v>
      </c>
      <c r="G1080" s="1">
        <v>13.25</v>
      </c>
      <c r="H1080" s="34">
        <f ca="1">Tabela1[[#This Row],[PESO UNI]]*Tabela1[[#This Row],[QTE]]</f>
        <v>26.5</v>
      </c>
      <c r="I1080" s="7" t="s">
        <v>5586</v>
      </c>
      <c r="J1080" s="8" t="s">
        <v>4834</v>
      </c>
      <c r="K1080" s="8" t="s">
        <v>4320</v>
      </c>
      <c r="L1080" s="9" t="s">
        <v>3291</v>
      </c>
      <c r="M1080" s="10">
        <v>46259</v>
      </c>
      <c r="N1080" s="8" t="s">
        <v>38</v>
      </c>
      <c r="O1080" s="12"/>
      <c r="P1080" s="13"/>
      <c r="Q1080" s="14">
        <f ca="1">Tabela1[[#This Row],[QTDE/ Fabricação]]-Tabela1[[#This Row],[QTE]]</f>
        <v>-2</v>
      </c>
      <c r="R1080" s="18">
        <f t="shared" ca="1" si="221"/>
        <v>10.600000000000001</v>
      </c>
      <c r="S1080" s="18">
        <f t="shared" ca="1" si="222"/>
        <v>0</v>
      </c>
      <c r="T1080" s="19">
        <f t="shared" ca="1" si="223"/>
        <v>-26.5</v>
      </c>
      <c r="U1080" s="16">
        <f>IFERROR(SUMIF('LISTA DE EMBARQUE'!B:B,MICRO!E:E,'LISTA DE EMBARQUE'!G:G),"")</f>
        <v>0</v>
      </c>
      <c r="V1080" s="12" t="str">
        <f>IFERROR(VLOOKUP(Tabela1[[#This Row],[COD.MDE]],'LISTA DE EMBARQUE'!B:L,11,0),"")</f>
        <v/>
      </c>
      <c r="W1080" s="13" t="str">
        <f>IFERROR(VLOOKUP(Tabela1[[#This Row],[COD.MDE]],'LISTA DE EMBARQUE'!B:M,12,0),"")</f>
        <v/>
      </c>
      <c r="X1080" s="14">
        <f ca="1">IFERROR(Tabela1[[#This Row],[QIANTIDADE EXPEDIDA]]*Tabela1[[#This Row],[PESO UNI]],"")</f>
        <v>0</v>
      </c>
      <c r="Y1080" s="14">
        <f t="shared" ca="1" si="224"/>
        <v>-2</v>
      </c>
      <c r="Z1080" s="20">
        <f ca="1">Tabela1[[#This Row],[PESO TOTAL]]-Tabela1[[#This Row],[Peso Expedido]]</f>
        <v>26.5</v>
      </c>
      <c r="AA1080" s="17">
        <v>0.8</v>
      </c>
      <c r="AB1080" s="33"/>
      <c r="AC1080" s="33">
        <v>0.8</v>
      </c>
      <c r="AD1080" s="33"/>
      <c r="AE1080" s="33"/>
      <c r="AF1080" s="33"/>
      <c r="AG1080" s="33"/>
      <c r="AH1080" s="33"/>
      <c r="AI1080" s="33"/>
      <c r="AJ1080"/>
      <c r="AK1080"/>
      <c r="AL1080"/>
      <c r="AM1080"/>
      <c r="AN1080"/>
      <c r="AO1080"/>
      <c r="AP1080" s="28"/>
      <c r="AQ1080" s="201"/>
    </row>
    <row r="1081" spans="1:49" s="21" customFormat="1" ht="15.75" hidden="1" customHeight="1" x14ac:dyDescent="0.25">
      <c r="A1081" s="21" t="s">
        <v>5358</v>
      </c>
      <c r="B1081" s="21" t="s">
        <v>5359</v>
      </c>
      <c r="C1081" s="21">
        <v>18</v>
      </c>
      <c r="D1081" s="1" t="s">
        <v>5362</v>
      </c>
      <c r="E1081" s="21">
        <v>4727</v>
      </c>
      <c r="F1081" s="21">
        <v>30</v>
      </c>
      <c r="G1081" s="1">
        <v>1.2</v>
      </c>
      <c r="H1081" s="34">
        <f ca="1">Tabela1[[#This Row],[PESO UNI]]*Tabela1[[#This Row],[QTE]]</f>
        <v>21.599999999999998</v>
      </c>
      <c r="I1081" s="7" t="s">
        <v>5586</v>
      </c>
      <c r="J1081" s="8" t="s">
        <v>4834</v>
      </c>
      <c r="K1081" s="8" t="s">
        <v>4320</v>
      </c>
      <c r="L1081" s="9" t="s">
        <v>3291</v>
      </c>
      <c r="M1081" s="10">
        <v>46259</v>
      </c>
      <c r="N1081" s="8" t="s">
        <v>38</v>
      </c>
      <c r="O1081" s="12"/>
      <c r="P1081" s="13"/>
      <c r="Q1081" s="14">
        <f ca="1">Tabela1[[#This Row],[QTDE/ Fabricação]]-Tabela1[[#This Row],[QTE]]</f>
        <v>-18</v>
      </c>
      <c r="R1081" s="18">
        <f t="shared" ca="1" si="221"/>
        <v>8.6399999999999988</v>
      </c>
      <c r="S1081" s="18">
        <f t="shared" ca="1" si="222"/>
        <v>0</v>
      </c>
      <c r="T1081" s="19">
        <f t="shared" ca="1" si="223"/>
        <v>-21.599999999999998</v>
      </c>
      <c r="U1081" s="16">
        <f>IFERROR(SUMIF('LISTA DE EMBARQUE'!B:B,MICRO!E:E,'LISTA DE EMBARQUE'!G:G),"")</f>
        <v>0</v>
      </c>
      <c r="V1081" s="12" t="str">
        <f>IFERROR(VLOOKUP(Tabela1[[#This Row],[COD.MDE]],'LISTA DE EMBARQUE'!B:L,11,0),"")</f>
        <v/>
      </c>
      <c r="W1081" s="13" t="str">
        <f>IFERROR(VLOOKUP(Tabela1[[#This Row],[COD.MDE]],'LISTA DE EMBARQUE'!B:M,12,0),"")</f>
        <v/>
      </c>
      <c r="X1081" s="14">
        <f ca="1">IFERROR(Tabela1[[#This Row],[QIANTIDADE EXPEDIDA]]*Tabela1[[#This Row],[PESO UNI]],"")</f>
        <v>0</v>
      </c>
      <c r="Y1081" s="14">
        <f t="shared" ca="1" si="224"/>
        <v>-18</v>
      </c>
      <c r="Z1081" s="20">
        <f ca="1">Tabela1[[#This Row],[PESO TOTAL]]-Tabela1[[#This Row],[Peso Expedido]]</f>
        <v>21.599999999999998</v>
      </c>
      <c r="AA1081" s="17">
        <v>0.8</v>
      </c>
      <c r="AB1081" s="33"/>
      <c r="AC1081" s="33">
        <v>0.8</v>
      </c>
      <c r="AD1081" s="33"/>
      <c r="AE1081" s="33"/>
      <c r="AF1081" s="33"/>
      <c r="AG1081" s="33"/>
      <c r="AH1081" s="33"/>
      <c r="AI1081" s="33"/>
      <c r="AJ1081"/>
      <c r="AK1081"/>
      <c r="AL1081"/>
      <c r="AM1081"/>
      <c r="AN1081"/>
      <c r="AO1081"/>
      <c r="AP1081" s="28"/>
      <c r="AQ1081" s="201"/>
    </row>
    <row r="1082" spans="1:49" s="36" customFormat="1" ht="15.75" hidden="1" customHeight="1" x14ac:dyDescent="0.25">
      <c r="A1082" s="21" t="s">
        <v>5363</v>
      </c>
      <c r="B1082" s="21" t="s">
        <v>5364</v>
      </c>
      <c r="C1082" s="193">
        <v>2</v>
      </c>
      <c r="D1082" s="1" t="s">
        <v>5365</v>
      </c>
      <c r="E1082" s="228">
        <v>4728</v>
      </c>
      <c r="F1082" s="193">
        <v>31</v>
      </c>
      <c r="G1082" s="1">
        <v>93.6</v>
      </c>
      <c r="H1082" s="34">
        <f ca="1">Tabela1[[#This Row],[PESO UNI]]*Tabela1[[#This Row],[QTE]]</f>
        <v>187.2</v>
      </c>
      <c r="I1082" s="7" t="s">
        <v>5586</v>
      </c>
      <c r="J1082" s="8" t="s">
        <v>4834</v>
      </c>
      <c r="K1082" s="8" t="s">
        <v>4320</v>
      </c>
      <c r="L1082" s="9" t="s">
        <v>3291</v>
      </c>
      <c r="M1082" s="10">
        <v>46259</v>
      </c>
      <c r="N1082" s="8" t="s">
        <v>38</v>
      </c>
      <c r="O1082" s="12"/>
      <c r="P1082" s="13"/>
      <c r="Q1082" s="14">
        <f ca="1">Tabela1[[#This Row],[QTDE/ Fabricação]]-Tabela1[[#This Row],[QTE]]</f>
        <v>-2</v>
      </c>
      <c r="R1082" s="18">
        <f t="shared" ca="1" si="221"/>
        <v>93.6</v>
      </c>
      <c r="S1082" s="18">
        <f t="shared" ca="1" si="222"/>
        <v>0</v>
      </c>
      <c r="T1082" s="19">
        <f t="shared" ca="1" si="223"/>
        <v>-187.2</v>
      </c>
      <c r="U1082" s="16">
        <f>IFERROR(SUMIF('LISTA DE EMBARQUE'!B:B,MICRO!E:E,'LISTA DE EMBARQUE'!G:G),"")</f>
        <v>0</v>
      </c>
      <c r="V1082" s="12" t="str">
        <f>IFERROR(VLOOKUP(Tabela1[[#This Row],[COD.MDE]],'LISTA DE EMBARQUE'!B:L,11,0),"")</f>
        <v/>
      </c>
      <c r="W1082" s="13" t="str">
        <f>IFERROR(VLOOKUP(Tabela1[[#This Row],[COD.MDE]],'LISTA DE EMBARQUE'!B:M,12,0),"")</f>
        <v/>
      </c>
      <c r="X1082" s="14">
        <f ca="1">IFERROR(Tabela1[[#This Row],[QIANTIDADE EXPEDIDA]]*Tabela1[[#This Row],[PESO UNI]],"")</f>
        <v>0</v>
      </c>
      <c r="Y1082" s="14">
        <f t="shared" ca="1" si="224"/>
        <v>-2</v>
      </c>
      <c r="Z1082" s="20">
        <f ca="1">Tabela1[[#This Row],[PESO TOTAL]]-Tabela1[[#This Row],[Peso Expedido]]</f>
        <v>187.2</v>
      </c>
      <c r="AA1082" s="17">
        <v>1</v>
      </c>
      <c r="AB1082" s="33"/>
      <c r="AC1082" s="33">
        <v>1</v>
      </c>
      <c r="AD1082" s="33"/>
      <c r="AE1082" s="33"/>
      <c r="AF1082" s="33"/>
      <c r="AG1082" s="33"/>
      <c r="AH1082" s="33"/>
      <c r="AI1082" s="33"/>
      <c r="AJ1082"/>
      <c r="AK1082"/>
      <c r="AL1082"/>
      <c r="AM1082"/>
      <c r="AN1082"/>
      <c r="AO1082"/>
      <c r="AP1082" s="28"/>
      <c r="AQ1082" s="201"/>
      <c r="AR1082" s="21"/>
      <c r="AS1082" s="21"/>
      <c r="AT1082" s="229"/>
      <c r="AU1082" s="229"/>
      <c r="AV1082" s="229"/>
      <c r="AW1082" s="229"/>
    </row>
    <row r="1083" spans="1:49" s="36" customFormat="1" ht="15.75" hidden="1" customHeight="1" x14ac:dyDescent="0.25">
      <c r="A1083" s="21" t="s">
        <v>5363</v>
      </c>
      <c r="B1083" s="21" t="s">
        <v>5364</v>
      </c>
      <c r="C1083" s="193">
        <v>18</v>
      </c>
      <c r="D1083" s="1" t="s">
        <v>5366</v>
      </c>
      <c r="E1083" s="193">
        <v>4729</v>
      </c>
      <c r="F1083" s="193">
        <v>31</v>
      </c>
      <c r="G1083" s="1">
        <v>36.200000000000003</v>
      </c>
      <c r="H1083" s="34">
        <f ca="1">Tabela1[[#This Row],[PESO UNI]]*Tabela1[[#This Row],[QTE]]</f>
        <v>651.6</v>
      </c>
      <c r="I1083" s="7" t="s">
        <v>5586</v>
      </c>
      <c r="J1083" s="8" t="s">
        <v>4834</v>
      </c>
      <c r="K1083" s="8" t="s">
        <v>4320</v>
      </c>
      <c r="L1083" s="9" t="s">
        <v>3291</v>
      </c>
      <c r="M1083" s="10">
        <v>46259</v>
      </c>
      <c r="N1083" s="8" t="s">
        <v>38</v>
      </c>
      <c r="O1083" s="12"/>
      <c r="P1083" s="13"/>
      <c r="Q1083" s="14">
        <f ca="1">Tabela1[[#This Row],[QTDE/ Fabricação]]-Tabela1[[#This Row],[QTE]]</f>
        <v>-18</v>
      </c>
      <c r="R1083" s="18">
        <f t="shared" ca="1" si="221"/>
        <v>325.8</v>
      </c>
      <c r="S1083" s="18">
        <f t="shared" ca="1" si="222"/>
        <v>0</v>
      </c>
      <c r="T1083" s="19">
        <f t="shared" ca="1" si="223"/>
        <v>-651.6</v>
      </c>
      <c r="U1083" s="16">
        <f>IFERROR(SUMIF('LISTA DE EMBARQUE'!B:B,MICRO!E:E,'LISTA DE EMBARQUE'!G:G),"")</f>
        <v>0</v>
      </c>
      <c r="V1083" s="12" t="str">
        <f>IFERROR(VLOOKUP(Tabela1[[#This Row],[COD.MDE]],'LISTA DE EMBARQUE'!B:L,11,0),"")</f>
        <v/>
      </c>
      <c r="W1083" s="13" t="str">
        <f>IFERROR(VLOOKUP(Tabela1[[#This Row],[COD.MDE]],'LISTA DE EMBARQUE'!B:M,12,0),"")</f>
        <v/>
      </c>
      <c r="X1083" s="14">
        <f ca="1">IFERROR(Tabela1[[#This Row],[QIANTIDADE EXPEDIDA]]*Tabela1[[#This Row],[PESO UNI]],"")</f>
        <v>0</v>
      </c>
      <c r="Y1083" s="14">
        <f t="shared" ca="1" si="224"/>
        <v>-18</v>
      </c>
      <c r="Z1083" s="20">
        <f ca="1">Tabela1[[#This Row],[PESO TOTAL]]-Tabela1[[#This Row],[Peso Expedido]]</f>
        <v>651.6</v>
      </c>
      <c r="AA1083" s="17">
        <v>1</v>
      </c>
      <c r="AB1083" s="33"/>
      <c r="AC1083" s="33">
        <v>1</v>
      </c>
      <c r="AD1083" s="33"/>
      <c r="AE1083" s="33"/>
      <c r="AF1083" s="33"/>
      <c r="AG1083" s="33"/>
      <c r="AH1083" s="33"/>
      <c r="AI1083" s="33"/>
      <c r="AJ1083"/>
      <c r="AK1083"/>
      <c r="AL1083"/>
      <c r="AM1083"/>
      <c r="AN1083"/>
      <c r="AO1083"/>
      <c r="AP1083" s="28"/>
      <c r="AQ1083" s="201"/>
      <c r="AR1083" s="21"/>
      <c r="AS1083" s="21"/>
      <c r="AT1083" s="229"/>
      <c r="AU1083" s="229"/>
      <c r="AV1083" s="229"/>
      <c r="AW1083" s="229"/>
    </row>
    <row r="1084" spans="1:49" s="36" customFormat="1" ht="15.75" hidden="1" customHeight="1" x14ac:dyDescent="0.25">
      <c r="A1084" s="21" t="s">
        <v>5367</v>
      </c>
      <c r="B1084" s="21" t="s">
        <v>5368</v>
      </c>
      <c r="C1084" s="193">
        <v>1</v>
      </c>
      <c r="D1084" s="1" t="s">
        <v>5369</v>
      </c>
      <c r="E1084" s="228">
        <v>4730</v>
      </c>
      <c r="F1084" s="193">
        <v>31</v>
      </c>
      <c r="G1084" s="1">
        <v>36</v>
      </c>
      <c r="H1084" s="34">
        <f ca="1">Tabela1[[#This Row],[PESO UNI]]*Tabela1[[#This Row],[QTE]]</f>
        <v>36</v>
      </c>
      <c r="I1084" s="7" t="s">
        <v>5586</v>
      </c>
      <c r="J1084" s="8" t="s">
        <v>4834</v>
      </c>
      <c r="K1084" s="8" t="s">
        <v>4320</v>
      </c>
      <c r="L1084" s="9" t="s">
        <v>3291</v>
      </c>
      <c r="M1084" s="10">
        <v>46259</v>
      </c>
      <c r="N1084" s="8" t="s">
        <v>38</v>
      </c>
      <c r="O1084" s="12"/>
      <c r="P1084" s="13"/>
      <c r="Q1084" s="14">
        <f ca="1">Tabela1[[#This Row],[QTDE/ Fabricação]]-Tabela1[[#This Row],[QTE]]</f>
        <v>-1</v>
      </c>
      <c r="R1084" s="18">
        <f t="shared" ca="1" si="221"/>
        <v>0</v>
      </c>
      <c r="S1084" s="18">
        <f t="shared" ca="1" si="222"/>
        <v>0</v>
      </c>
      <c r="T1084" s="19">
        <f t="shared" ca="1" si="223"/>
        <v>-36</v>
      </c>
      <c r="U1084" s="16">
        <f>IFERROR(SUMIF('LISTA DE EMBARQUE'!B:B,MICRO!E:E,'LISTA DE EMBARQUE'!G:G),"")</f>
        <v>0</v>
      </c>
      <c r="V1084" s="12" t="str">
        <f>IFERROR(VLOOKUP(Tabela1[[#This Row],[COD.MDE]],'LISTA DE EMBARQUE'!B:L,11,0),"")</f>
        <v/>
      </c>
      <c r="W1084" s="13" t="str">
        <f>IFERROR(VLOOKUP(Tabela1[[#This Row],[COD.MDE]],'LISTA DE EMBARQUE'!B:M,12,0),"")</f>
        <v/>
      </c>
      <c r="X1084" s="14">
        <f ca="1">IFERROR(Tabela1[[#This Row],[QIANTIDADE EXPEDIDA]]*Tabela1[[#This Row],[PESO UNI]],"")</f>
        <v>0</v>
      </c>
      <c r="Y1084" s="14">
        <f t="shared" ca="1" si="224"/>
        <v>-1</v>
      </c>
      <c r="Z1084" s="20">
        <f ca="1">Tabela1[[#This Row],[PESO TOTAL]]-Tabela1[[#This Row],[Peso Expedido]]</f>
        <v>36</v>
      </c>
      <c r="AA1084" s="17"/>
      <c r="AB1084" s="33"/>
      <c r="AC1084" s="33"/>
      <c r="AD1084" s="33"/>
      <c r="AE1084" s="33"/>
      <c r="AF1084" s="33"/>
      <c r="AG1084" s="33"/>
      <c r="AH1084" s="33"/>
      <c r="AI1084" s="33"/>
      <c r="AJ1084"/>
      <c r="AK1084"/>
      <c r="AL1084"/>
      <c r="AM1084"/>
      <c r="AN1084"/>
      <c r="AO1084"/>
      <c r="AP1084" s="28"/>
      <c r="AQ1084" s="201"/>
      <c r="AR1084" s="21"/>
      <c r="AS1084" s="21"/>
      <c r="AT1084" s="229"/>
      <c r="AU1084" s="229"/>
      <c r="AV1084" s="229"/>
      <c r="AW1084" s="229"/>
    </row>
    <row r="1085" spans="1:49" s="36" customFormat="1" ht="15.75" hidden="1" customHeight="1" x14ac:dyDescent="0.25">
      <c r="A1085" s="21" t="s">
        <v>5367</v>
      </c>
      <c r="B1085" s="21" t="s">
        <v>5368</v>
      </c>
      <c r="C1085" s="193">
        <v>2</v>
      </c>
      <c r="D1085" s="1" t="s">
        <v>5370</v>
      </c>
      <c r="E1085" s="193">
        <v>4731</v>
      </c>
      <c r="F1085" s="193">
        <v>31</v>
      </c>
      <c r="G1085" s="1">
        <v>79.900000000000006</v>
      </c>
      <c r="H1085" s="34">
        <f ca="1">Tabela1[[#This Row],[PESO UNI]]*Tabela1[[#This Row],[QTE]]</f>
        <v>159.80000000000001</v>
      </c>
      <c r="I1085" s="7" t="s">
        <v>5586</v>
      </c>
      <c r="J1085" s="8" t="s">
        <v>4834</v>
      </c>
      <c r="K1085" s="8" t="s">
        <v>4320</v>
      </c>
      <c r="L1085" s="9" t="s">
        <v>3291</v>
      </c>
      <c r="M1085" s="10">
        <v>46259</v>
      </c>
      <c r="N1085" s="8" t="s">
        <v>38</v>
      </c>
      <c r="O1085" s="12"/>
      <c r="P1085" s="13"/>
      <c r="Q1085" s="14">
        <f ca="1">Tabela1[[#This Row],[QTDE/ Fabricação]]-Tabela1[[#This Row],[QTE]]</f>
        <v>-2</v>
      </c>
      <c r="R1085" s="18">
        <f t="shared" ca="1" si="221"/>
        <v>0</v>
      </c>
      <c r="S1085" s="18">
        <f t="shared" ca="1" si="222"/>
        <v>0</v>
      </c>
      <c r="T1085" s="19">
        <f t="shared" ca="1" si="223"/>
        <v>-159.80000000000001</v>
      </c>
      <c r="U1085" s="16">
        <f>IFERROR(SUMIF('LISTA DE EMBARQUE'!B:B,MICRO!E:E,'LISTA DE EMBARQUE'!G:G),"")</f>
        <v>0</v>
      </c>
      <c r="V1085" s="12" t="str">
        <f>IFERROR(VLOOKUP(Tabela1[[#This Row],[COD.MDE]],'LISTA DE EMBARQUE'!B:L,11,0),"")</f>
        <v/>
      </c>
      <c r="W1085" s="13" t="str">
        <f>IFERROR(VLOOKUP(Tabela1[[#This Row],[COD.MDE]],'LISTA DE EMBARQUE'!B:M,12,0),"")</f>
        <v/>
      </c>
      <c r="X1085" s="14">
        <f ca="1">IFERROR(Tabela1[[#This Row],[QIANTIDADE EXPEDIDA]]*Tabela1[[#This Row],[PESO UNI]],"")</f>
        <v>0</v>
      </c>
      <c r="Y1085" s="14">
        <f t="shared" ca="1" si="224"/>
        <v>-2</v>
      </c>
      <c r="Z1085" s="20">
        <f ca="1">Tabela1[[#This Row],[PESO TOTAL]]-Tabela1[[#This Row],[Peso Expedido]]</f>
        <v>159.80000000000001</v>
      </c>
      <c r="AA1085" s="17"/>
      <c r="AB1085" s="33"/>
      <c r="AC1085" s="33"/>
      <c r="AD1085" s="33"/>
      <c r="AE1085" s="33"/>
      <c r="AF1085" s="33"/>
      <c r="AG1085" s="33"/>
      <c r="AH1085" s="33"/>
      <c r="AI1085" s="33"/>
      <c r="AJ1085"/>
      <c r="AK1085"/>
      <c r="AL1085"/>
      <c r="AM1085"/>
      <c r="AN1085"/>
      <c r="AO1085"/>
      <c r="AP1085" s="28"/>
      <c r="AQ1085" s="201"/>
      <c r="AR1085" s="21"/>
      <c r="AS1085" s="21"/>
      <c r="AT1085" s="229"/>
      <c r="AU1085" s="229"/>
      <c r="AV1085" s="229"/>
      <c r="AW1085" s="229"/>
    </row>
    <row r="1086" spans="1:49" s="36" customFormat="1" ht="15.75" hidden="1" customHeight="1" x14ac:dyDescent="0.25">
      <c r="A1086" s="21" t="s">
        <v>5367</v>
      </c>
      <c r="B1086" s="21" t="s">
        <v>5368</v>
      </c>
      <c r="C1086" s="193">
        <v>4</v>
      </c>
      <c r="D1086" s="1" t="s">
        <v>5371</v>
      </c>
      <c r="E1086" s="193">
        <v>4732</v>
      </c>
      <c r="F1086" s="193">
        <v>31</v>
      </c>
      <c r="G1086" s="1">
        <v>240.9</v>
      </c>
      <c r="H1086" s="34">
        <f ca="1">Tabela1[[#This Row],[PESO UNI]]*Tabela1[[#This Row],[QTE]]</f>
        <v>963.6</v>
      </c>
      <c r="I1086" s="7" t="s">
        <v>5586</v>
      </c>
      <c r="J1086" s="8" t="s">
        <v>4834</v>
      </c>
      <c r="K1086" s="8" t="s">
        <v>4320</v>
      </c>
      <c r="L1086" s="9" t="s">
        <v>3291</v>
      </c>
      <c r="M1086" s="10">
        <v>46259</v>
      </c>
      <c r="N1086" s="8" t="s">
        <v>38</v>
      </c>
      <c r="O1086" s="12"/>
      <c r="P1086" s="13"/>
      <c r="Q1086" s="14">
        <f ca="1">Tabela1[[#This Row],[QTDE/ Fabricação]]-Tabela1[[#This Row],[QTE]]</f>
        <v>-4</v>
      </c>
      <c r="R1086" s="18">
        <f t="shared" ca="1" si="221"/>
        <v>0</v>
      </c>
      <c r="S1086" s="18">
        <f t="shared" ca="1" si="222"/>
        <v>0</v>
      </c>
      <c r="T1086" s="19">
        <f t="shared" ca="1" si="223"/>
        <v>-963.6</v>
      </c>
      <c r="U1086" s="16">
        <f>IFERROR(SUMIF('LISTA DE EMBARQUE'!B:B,MICRO!E:E,'LISTA DE EMBARQUE'!G:G),"")</f>
        <v>0</v>
      </c>
      <c r="V1086" s="12" t="str">
        <f>IFERROR(VLOOKUP(Tabela1[[#This Row],[COD.MDE]],'LISTA DE EMBARQUE'!B:L,11,0),"")</f>
        <v/>
      </c>
      <c r="W1086" s="13" t="str">
        <f>IFERROR(VLOOKUP(Tabela1[[#This Row],[COD.MDE]],'LISTA DE EMBARQUE'!B:M,12,0),"")</f>
        <v/>
      </c>
      <c r="X1086" s="14">
        <f ca="1">IFERROR(Tabela1[[#This Row],[QIANTIDADE EXPEDIDA]]*Tabela1[[#This Row],[PESO UNI]],"")</f>
        <v>0</v>
      </c>
      <c r="Y1086" s="14">
        <f t="shared" ca="1" si="224"/>
        <v>-4</v>
      </c>
      <c r="Z1086" s="20">
        <f ca="1">Tabela1[[#This Row],[PESO TOTAL]]-Tabela1[[#This Row],[Peso Expedido]]</f>
        <v>963.6</v>
      </c>
      <c r="AA1086" s="17"/>
      <c r="AB1086" s="33"/>
      <c r="AC1086" s="33"/>
      <c r="AD1086" s="33"/>
      <c r="AE1086" s="33"/>
      <c r="AF1086" s="33"/>
      <c r="AG1086" s="33"/>
      <c r="AH1086" s="33"/>
      <c r="AI1086" s="33"/>
      <c r="AJ1086"/>
      <c r="AK1086"/>
      <c r="AL1086"/>
      <c r="AM1086"/>
      <c r="AN1086"/>
      <c r="AO1086"/>
      <c r="AP1086" s="28"/>
      <c r="AQ1086" s="201"/>
      <c r="AR1086" s="21"/>
      <c r="AS1086" s="21"/>
      <c r="AT1086" s="229"/>
      <c r="AU1086" s="229"/>
      <c r="AV1086" s="229"/>
      <c r="AW1086" s="229"/>
    </row>
    <row r="1087" spans="1:49" s="36" customFormat="1" ht="15.75" hidden="1" customHeight="1" x14ac:dyDescent="0.25">
      <c r="A1087" s="21" t="s">
        <v>5367</v>
      </c>
      <c r="B1087" s="21" t="s">
        <v>5368</v>
      </c>
      <c r="C1087" s="193">
        <v>2</v>
      </c>
      <c r="D1087" s="1" t="s">
        <v>5372</v>
      </c>
      <c r="E1087" s="193">
        <v>4733</v>
      </c>
      <c r="F1087" s="193">
        <v>31</v>
      </c>
      <c r="G1087" s="1">
        <v>90.5</v>
      </c>
      <c r="H1087" s="34">
        <f ca="1">Tabela1[[#This Row],[PESO UNI]]*Tabela1[[#This Row],[QTE]]</f>
        <v>181</v>
      </c>
      <c r="I1087" s="7" t="s">
        <v>5586</v>
      </c>
      <c r="J1087" s="8" t="s">
        <v>4834</v>
      </c>
      <c r="K1087" s="8" t="s">
        <v>4320</v>
      </c>
      <c r="L1087" s="9" t="s">
        <v>3291</v>
      </c>
      <c r="M1087" s="10">
        <v>46259</v>
      </c>
      <c r="N1087" s="8" t="s">
        <v>38</v>
      </c>
      <c r="O1087" s="12"/>
      <c r="P1087" s="13"/>
      <c r="Q1087" s="14">
        <f ca="1">Tabela1[[#This Row],[QTDE/ Fabricação]]-Tabela1[[#This Row],[QTE]]</f>
        <v>-2</v>
      </c>
      <c r="R1087" s="18">
        <f t="shared" ca="1" si="221"/>
        <v>0</v>
      </c>
      <c r="S1087" s="18">
        <f t="shared" ca="1" si="222"/>
        <v>0</v>
      </c>
      <c r="T1087" s="19">
        <f t="shared" ca="1" si="223"/>
        <v>-181</v>
      </c>
      <c r="U1087" s="16">
        <f>IFERROR(SUMIF('LISTA DE EMBARQUE'!B:B,MICRO!E:E,'LISTA DE EMBARQUE'!G:G),"")</f>
        <v>0</v>
      </c>
      <c r="V1087" s="12" t="str">
        <f>IFERROR(VLOOKUP(Tabela1[[#This Row],[COD.MDE]],'LISTA DE EMBARQUE'!B:L,11,0),"")</f>
        <v/>
      </c>
      <c r="W1087" s="13" t="str">
        <f>IFERROR(VLOOKUP(Tabela1[[#This Row],[COD.MDE]],'LISTA DE EMBARQUE'!B:M,12,0),"")</f>
        <v/>
      </c>
      <c r="X1087" s="14">
        <f ca="1">IFERROR(Tabela1[[#This Row],[QIANTIDADE EXPEDIDA]]*Tabela1[[#This Row],[PESO UNI]],"")</f>
        <v>0</v>
      </c>
      <c r="Y1087" s="14">
        <f t="shared" ca="1" si="224"/>
        <v>-2</v>
      </c>
      <c r="Z1087" s="20">
        <f ca="1">Tabela1[[#This Row],[PESO TOTAL]]-Tabela1[[#This Row],[Peso Expedido]]</f>
        <v>181</v>
      </c>
      <c r="AA1087" s="17"/>
      <c r="AB1087" s="33"/>
      <c r="AC1087" s="33"/>
      <c r="AD1087" s="33"/>
      <c r="AE1087" s="33"/>
      <c r="AF1087" s="33"/>
      <c r="AG1087" s="33"/>
      <c r="AH1087" s="33"/>
      <c r="AI1087" s="33"/>
      <c r="AJ1087"/>
      <c r="AK1087"/>
      <c r="AL1087"/>
      <c r="AM1087"/>
      <c r="AN1087"/>
      <c r="AO1087"/>
      <c r="AP1087" s="28"/>
      <c r="AQ1087" s="201"/>
      <c r="AR1087" s="21"/>
      <c r="AS1087" s="21"/>
      <c r="AT1087" s="229"/>
      <c r="AU1087" s="229"/>
      <c r="AV1087" s="229"/>
      <c r="AW1087" s="229"/>
    </row>
    <row r="1088" spans="1:49" s="36" customFormat="1" ht="15.75" hidden="1" customHeight="1" x14ac:dyDescent="0.25">
      <c r="A1088" s="21" t="s">
        <v>5373</v>
      </c>
      <c r="B1088" s="21" t="s">
        <v>5374</v>
      </c>
      <c r="C1088" s="193">
        <v>4</v>
      </c>
      <c r="D1088" s="1" t="s">
        <v>5375</v>
      </c>
      <c r="E1088" s="228">
        <v>4734</v>
      </c>
      <c r="F1088" s="193">
        <v>31</v>
      </c>
      <c r="G1088" s="1">
        <v>102.4</v>
      </c>
      <c r="H1088" s="34">
        <f ca="1">Tabela1[[#This Row],[PESO UNI]]*Tabela1[[#This Row],[QTE]]</f>
        <v>409.6</v>
      </c>
      <c r="I1088" s="7" t="s">
        <v>5586</v>
      </c>
      <c r="J1088" s="8" t="s">
        <v>4834</v>
      </c>
      <c r="K1088" s="8" t="s">
        <v>4320</v>
      </c>
      <c r="L1088" s="9" t="s">
        <v>3291</v>
      </c>
      <c r="M1088" s="10">
        <v>46259</v>
      </c>
      <c r="N1088" s="8" t="s">
        <v>38</v>
      </c>
      <c r="O1088" s="12"/>
      <c r="P1088" s="13"/>
      <c r="Q1088" s="14">
        <f ca="1">Tabela1[[#This Row],[QTDE/ Fabricação]]-Tabela1[[#This Row],[QTE]]</f>
        <v>-4</v>
      </c>
      <c r="R1088" s="18">
        <f t="shared" ca="1" si="221"/>
        <v>0</v>
      </c>
      <c r="S1088" s="18">
        <f t="shared" ca="1" si="222"/>
        <v>0</v>
      </c>
      <c r="T1088" s="19">
        <f t="shared" ca="1" si="223"/>
        <v>-409.6</v>
      </c>
      <c r="U1088" s="16">
        <f>IFERROR(SUMIF('LISTA DE EMBARQUE'!B:B,MICRO!E:E,'LISTA DE EMBARQUE'!G:G),"")</f>
        <v>0</v>
      </c>
      <c r="V1088" s="12" t="str">
        <f>IFERROR(VLOOKUP(Tabela1[[#This Row],[COD.MDE]],'LISTA DE EMBARQUE'!B:L,11,0),"")</f>
        <v/>
      </c>
      <c r="W1088" s="13" t="str">
        <f>IFERROR(VLOOKUP(Tabela1[[#This Row],[COD.MDE]],'LISTA DE EMBARQUE'!B:M,12,0),"")</f>
        <v/>
      </c>
      <c r="X1088" s="14">
        <f ca="1">IFERROR(Tabela1[[#This Row],[QIANTIDADE EXPEDIDA]]*Tabela1[[#This Row],[PESO UNI]],"")</f>
        <v>0</v>
      </c>
      <c r="Y1088" s="14">
        <f t="shared" ca="1" si="224"/>
        <v>-4</v>
      </c>
      <c r="Z1088" s="20">
        <f ca="1">Tabela1[[#This Row],[PESO TOTAL]]-Tabela1[[#This Row],[Peso Expedido]]</f>
        <v>409.6</v>
      </c>
      <c r="AA1088" s="17"/>
      <c r="AB1088" s="33"/>
      <c r="AC1088" s="33"/>
      <c r="AD1088" s="33"/>
      <c r="AE1088" s="33"/>
      <c r="AF1088" s="33"/>
      <c r="AG1088" s="33"/>
      <c r="AH1088" s="33"/>
      <c r="AI1088" s="33"/>
      <c r="AJ1088"/>
      <c r="AK1088"/>
      <c r="AL1088"/>
      <c r="AM1088"/>
      <c r="AN1088"/>
      <c r="AO1088"/>
      <c r="AP1088" s="28"/>
      <c r="AQ1088" s="201"/>
      <c r="AR1088" s="229"/>
      <c r="AS1088" s="229"/>
      <c r="AT1088" s="229"/>
      <c r="AU1088" s="229"/>
      <c r="AV1088" s="229"/>
      <c r="AW1088" s="229"/>
    </row>
    <row r="1089" spans="1:49" s="36" customFormat="1" ht="15.75" hidden="1" customHeight="1" x14ac:dyDescent="0.25">
      <c r="A1089" s="21" t="s">
        <v>5373</v>
      </c>
      <c r="B1089" s="21" t="s">
        <v>5374</v>
      </c>
      <c r="C1089" s="193">
        <v>2</v>
      </c>
      <c r="D1089" s="1" t="s">
        <v>5376</v>
      </c>
      <c r="E1089" s="193">
        <v>4735</v>
      </c>
      <c r="F1089" s="193">
        <v>31</v>
      </c>
      <c r="G1089" s="1">
        <v>92.4</v>
      </c>
      <c r="H1089" s="34">
        <f ca="1">Tabela1[[#This Row],[PESO UNI]]*Tabela1[[#This Row],[QTE]]</f>
        <v>184.8</v>
      </c>
      <c r="I1089" s="7" t="s">
        <v>5586</v>
      </c>
      <c r="J1089" s="8" t="s">
        <v>4834</v>
      </c>
      <c r="K1089" s="8" t="s">
        <v>4320</v>
      </c>
      <c r="L1089" s="9" t="s">
        <v>3291</v>
      </c>
      <c r="M1089" s="10">
        <v>46259</v>
      </c>
      <c r="N1089" s="8" t="s">
        <v>38</v>
      </c>
      <c r="O1089" s="12"/>
      <c r="P1089" s="13"/>
      <c r="Q1089" s="14">
        <f ca="1">Tabela1[[#This Row],[QTDE/ Fabricação]]-Tabela1[[#This Row],[QTE]]</f>
        <v>-2</v>
      </c>
      <c r="R1089" s="18">
        <f t="shared" ca="1" si="221"/>
        <v>0</v>
      </c>
      <c r="S1089" s="18">
        <f t="shared" ca="1" si="222"/>
        <v>0</v>
      </c>
      <c r="T1089" s="19">
        <f t="shared" ca="1" si="223"/>
        <v>-184.8</v>
      </c>
      <c r="U1089" s="16">
        <f>IFERROR(SUMIF('LISTA DE EMBARQUE'!B:B,MICRO!E:E,'LISTA DE EMBARQUE'!G:G),"")</f>
        <v>0</v>
      </c>
      <c r="V1089" s="12" t="str">
        <f>IFERROR(VLOOKUP(Tabela1[[#This Row],[COD.MDE]],'LISTA DE EMBARQUE'!B:L,11,0),"")</f>
        <v/>
      </c>
      <c r="W1089" s="13" t="str">
        <f>IFERROR(VLOOKUP(Tabela1[[#This Row],[COD.MDE]],'LISTA DE EMBARQUE'!B:M,12,0),"")</f>
        <v/>
      </c>
      <c r="X1089" s="14">
        <f ca="1">IFERROR(Tabela1[[#This Row],[QIANTIDADE EXPEDIDA]]*Tabela1[[#This Row],[PESO UNI]],"")</f>
        <v>0</v>
      </c>
      <c r="Y1089" s="14">
        <f t="shared" ca="1" si="224"/>
        <v>-2</v>
      </c>
      <c r="Z1089" s="20">
        <f ca="1">Tabela1[[#This Row],[PESO TOTAL]]-Tabela1[[#This Row],[Peso Expedido]]</f>
        <v>184.8</v>
      </c>
      <c r="AA1089" s="17"/>
      <c r="AB1089" s="33"/>
      <c r="AC1089" s="33"/>
      <c r="AD1089" s="33"/>
      <c r="AE1089" s="33"/>
      <c r="AF1089" s="33"/>
      <c r="AG1089" s="33"/>
      <c r="AH1089" s="33"/>
      <c r="AI1089" s="33"/>
      <c r="AJ1089"/>
      <c r="AK1089"/>
      <c r="AL1089"/>
      <c r="AM1089"/>
      <c r="AN1089"/>
      <c r="AO1089"/>
      <c r="AP1089" s="28"/>
      <c r="AQ1089" s="201"/>
      <c r="AR1089" s="229"/>
      <c r="AS1089" s="229"/>
      <c r="AT1089" s="229"/>
      <c r="AU1089" s="229"/>
      <c r="AV1089" s="229"/>
      <c r="AW1089" s="229"/>
    </row>
    <row r="1090" spans="1:49" s="36" customFormat="1" ht="15.75" hidden="1" customHeight="1" x14ac:dyDescent="0.25">
      <c r="A1090" s="21" t="s">
        <v>5373</v>
      </c>
      <c r="B1090" s="21" t="s">
        <v>5374</v>
      </c>
      <c r="C1090" s="193">
        <v>2</v>
      </c>
      <c r="D1090" s="1" t="s">
        <v>5377</v>
      </c>
      <c r="E1090" s="193">
        <v>4736</v>
      </c>
      <c r="F1090" s="193">
        <v>31</v>
      </c>
      <c r="G1090" s="1">
        <v>49.4</v>
      </c>
      <c r="H1090" s="34">
        <f ca="1">Tabela1[[#This Row],[PESO UNI]]*Tabela1[[#This Row],[QTE]]</f>
        <v>98.8</v>
      </c>
      <c r="I1090" s="7" t="s">
        <v>5586</v>
      </c>
      <c r="J1090" s="8" t="s">
        <v>4834</v>
      </c>
      <c r="K1090" s="8" t="s">
        <v>4320</v>
      </c>
      <c r="L1090" s="9" t="s">
        <v>3291</v>
      </c>
      <c r="M1090" s="10">
        <v>46259</v>
      </c>
      <c r="N1090" s="8" t="s">
        <v>38</v>
      </c>
      <c r="O1090" s="12"/>
      <c r="P1090" s="13"/>
      <c r="Q1090" s="14">
        <f ca="1">Tabela1[[#This Row],[QTDE/ Fabricação]]-Tabela1[[#This Row],[QTE]]</f>
        <v>-2</v>
      </c>
      <c r="R1090" s="18">
        <f t="shared" ca="1" si="221"/>
        <v>0</v>
      </c>
      <c r="S1090" s="18">
        <f t="shared" ca="1" si="222"/>
        <v>0</v>
      </c>
      <c r="T1090" s="19">
        <f t="shared" ca="1" si="223"/>
        <v>-98.8</v>
      </c>
      <c r="U1090" s="16">
        <f>IFERROR(SUMIF('LISTA DE EMBARQUE'!B:B,MICRO!E:E,'LISTA DE EMBARQUE'!G:G),"")</f>
        <v>0</v>
      </c>
      <c r="V1090" s="12" t="str">
        <f>IFERROR(VLOOKUP(Tabela1[[#This Row],[COD.MDE]],'LISTA DE EMBARQUE'!B:L,11,0),"")</f>
        <v/>
      </c>
      <c r="W1090" s="13" t="str">
        <f>IFERROR(VLOOKUP(Tabela1[[#This Row],[COD.MDE]],'LISTA DE EMBARQUE'!B:M,12,0),"")</f>
        <v/>
      </c>
      <c r="X1090" s="14">
        <f ca="1">IFERROR(Tabela1[[#This Row],[QIANTIDADE EXPEDIDA]]*Tabela1[[#This Row],[PESO UNI]],"")</f>
        <v>0</v>
      </c>
      <c r="Y1090" s="14">
        <f t="shared" ca="1" si="224"/>
        <v>-2</v>
      </c>
      <c r="Z1090" s="20">
        <f ca="1">Tabela1[[#This Row],[PESO TOTAL]]-Tabela1[[#This Row],[Peso Expedido]]</f>
        <v>98.8</v>
      </c>
      <c r="AA1090" s="17"/>
      <c r="AB1090" s="33"/>
      <c r="AC1090" s="33"/>
      <c r="AD1090" s="33"/>
      <c r="AE1090" s="33"/>
      <c r="AF1090" s="33"/>
      <c r="AG1090" s="33"/>
      <c r="AH1090" s="33"/>
      <c r="AI1090" s="33"/>
      <c r="AJ1090"/>
      <c r="AK1090"/>
      <c r="AL1090"/>
      <c r="AM1090"/>
      <c r="AN1090"/>
      <c r="AO1090"/>
      <c r="AP1090" s="28"/>
      <c r="AQ1090" s="201"/>
      <c r="AR1090" s="229"/>
      <c r="AS1090" s="229"/>
      <c r="AT1090" s="229"/>
      <c r="AU1090" s="229"/>
      <c r="AV1090" s="229"/>
      <c r="AW1090" s="229"/>
    </row>
    <row r="1091" spans="1:49" s="36" customFormat="1" ht="15.75" hidden="1" customHeight="1" x14ac:dyDescent="0.25">
      <c r="A1091" s="21" t="s">
        <v>5373</v>
      </c>
      <c r="B1091" s="21" t="s">
        <v>5374</v>
      </c>
      <c r="C1091" s="193">
        <v>1</v>
      </c>
      <c r="D1091" s="1" t="s">
        <v>5378</v>
      </c>
      <c r="E1091" s="193">
        <v>4737</v>
      </c>
      <c r="F1091" s="193">
        <v>31</v>
      </c>
      <c r="G1091" s="1">
        <v>57.6</v>
      </c>
      <c r="H1091" s="34">
        <f ca="1">Tabela1[[#This Row],[PESO UNI]]*Tabela1[[#This Row],[QTE]]</f>
        <v>57.6</v>
      </c>
      <c r="I1091" s="7" t="s">
        <v>5586</v>
      </c>
      <c r="J1091" s="8" t="s">
        <v>4834</v>
      </c>
      <c r="K1091" s="8" t="s">
        <v>4320</v>
      </c>
      <c r="L1091" s="9" t="s">
        <v>3291</v>
      </c>
      <c r="M1091" s="10">
        <v>46259</v>
      </c>
      <c r="N1091" s="8" t="s">
        <v>38</v>
      </c>
      <c r="O1091" s="12"/>
      <c r="P1091" s="13"/>
      <c r="Q1091" s="14">
        <f ca="1">Tabela1[[#This Row],[QTDE/ Fabricação]]-Tabela1[[#This Row],[QTE]]</f>
        <v>-1</v>
      </c>
      <c r="R1091" s="18">
        <f t="shared" ca="1" si="221"/>
        <v>0</v>
      </c>
      <c r="S1091" s="18">
        <f t="shared" ca="1" si="222"/>
        <v>0</v>
      </c>
      <c r="T1091" s="19">
        <f t="shared" ca="1" si="223"/>
        <v>-57.6</v>
      </c>
      <c r="U1091" s="16">
        <f>IFERROR(SUMIF('LISTA DE EMBARQUE'!B:B,MICRO!E:E,'LISTA DE EMBARQUE'!G:G),"")</f>
        <v>0</v>
      </c>
      <c r="V1091" s="12" t="str">
        <f>IFERROR(VLOOKUP(Tabela1[[#This Row],[COD.MDE]],'LISTA DE EMBARQUE'!B:L,11,0),"")</f>
        <v/>
      </c>
      <c r="W1091" s="13" t="str">
        <f>IFERROR(VLOOKUP(Tabela1[[#This Row],[COD.MDE]],'LISTA DE EMBARQUE'!B:M,12,0),"")</f>
        <v/>
      </c>
      <c r="X1091" s="14">
        <f ca="1">IFERROR(Tabela1[[#This Row],[QIANTIDADE EXPEDIDA]]*Tabela1[[#This Row],[PESO UNI]],"")</f>
        <v>0</v>
      </c>
      <c r="Y1091" s="14">
        <f t="shared" ca="1" si="224"/>
        <v>-1</v>
      </c>
      <c r="Z1091" s="20">
        <f ca="1">Tabela1[[#This Row],[PESO TOTAL]]-Tabela1[[#This Row],[Peso Expedido]]</f>
        <v>57.6</v>
      </c>
      <c r="AA1091" s="17"/>
      <c r="AB1091" s="33"/>
      <c r="AC1091" s="33"/>
      <c r="AD1091" s="33"/>
      <c r="AE1091" s="33"/>
      <c r="AF1091" s="33"/>
      <c r="AG1091" s="33"/>
      <c r="AH1091" s="33"/>
      <c r="AI1091" s="33"/>
      <c r="AJ1091"/>
      <c r="AK1091"/>
      <c r="AL1091"/>
      <c r="AM1091"/>
      <c r="AN1091"/>
      <c r="AO1091"/>
      <c r="AP1091" s="28"/>
      <c r="AQ1091" s="201"/>
      <c r="AR1091" s="229"/>
      <c r="AS1091" s="229"/>
      <c r="AT1091" s="229"/>
      <c r="AU1091" s="229"/>
      <c r="AV1091" s="229"/>
      <c r="AW1091" s="229"/>
    </row>
    <row r="1092" spans="1:49" s="36" customFormat="1" ht="15.75" hidden="1" customHeight="1" x14ac:dyDescent="0.25">
      <c r="A1092" s="21" t="s">
        <v>5373</v>
      </c>
      <c r="B1092" s="21" t="s">
        <v>5374</v>
      </c>
      <c r="C1092" s="193">
        <v>1</v>
      </c>
      <c r="D1092" s="1" t="s">
        <v>5379</v>
      </c>
      <c r="E1092" s="193">
        <v>4738</v>
      </c>
      <c r="F1092" s="193">
        <v>31</v>
      </c>
      <c r="G1092" s="1">
        <v>57.6</v>
      </c>
      <c r="H1092" s="34">
        <f ca="1">Tabela1[[#This Row],[PESO UNI]]*Tabela1[[#This Row],[QTE]]</f>
        <v>57.6</v>
      </c>
      <c r="I1092" s="7" t="s">
        <v>5586</v>
      </c>
      <c r="J1092" s="8" t="s">
        <v>4834</v>
      </c>
      <c r="K1092" s="8" t="s">
        <v>4320</v>
      </c>
      <c r="L1092" s="9" t="s">
        <v>3291</v>
      </c>
      <c r="M1092" s="10">
        <v>46259</v>
      </c>
      <c r="N1092" s="8" t="s">
        <v>38</v>
      </c>
      <c r="O1092" s="12"/>
      <c r="P1092" s="13"/>
      <c r="Q1092" s="14">
        <f ca="1">Tabela1[[#This Row],[QTDE/ Fabricação]]-Tabela1[[#This Row],[QTE]]</f>
        <v>-1</v>
      </c>
      <c r="R1092" s="18">
        <f t="shared" ca="1" si="221"/>
        <v>0</v>
      </c>
      <c r="S1092" s="18">
        <f t="shared" ca="1" si="222"/>
        <v>0</v>
      </c>
      <c r="T1092" s="19">
        <f t="shared" ca="1" si="223"/>
        <v>-57.6</v>
      </c>
      <c r="U1092" s="16">
        <f>IFERROR(SUMIF('LISTA DE EMBARQUE'!B:B,MICRO!E:E,'LISTA DE EMBARQUE'!G:G),"")</f>
        <v>0</v>
      </c>
      <c r="V1092" s="12" t="str">
        <f>IFERROR(VLOOKUP(Tabela1[[#This Row],[COD.MDE]],'LISTA DE EMBARQUE'!B:L,11,0),"")</f>
        <v/>
      </c>
      <c r="W1092" s="13" t="str">
        <f>IFERROR(VLOOKUP(Tabela1[[#This Row],[COD.MDE]],'LISTA DE EMBARQUE'!B:M,12,0),"")</f>
        <v/>
      </c>
      <c r="X1092" s="14">
        <f ca="1">IFERROR(Tabela1[[#This Row],[QIANTIDADE EXPEDIDA]]*Tabela1[[#This Row],[PESO UNI]],"")</f>
        <v>0</v>
      </c>
      <c r="Y1092" s="14">
        <f t="shared" ca="1" si="224"/>
        <v>-1</v>
      </c>
      <c r="Z1092" s="20">
        <f ca="1">Tabela1[[#This Row],[PESO TOTAL]]-Tabela1[[#This Row],[Peso Expedido]]</f>
        <v>57.6</v>
      </c>
      <c r="AA1092" s="17"/>
      <c r="AB1092" s="33"/>
      <c r="AC1092" s="33"/>
      <c r="AD1092" s="33"/>
      <c r="AE1092" s="33"/>
      <c r="AF1092" s="33"/>
      <c r="AG1092" s="33"/>
      <c r="AH1092" s="33"/>
      <c r="AI1092" s="33"/>
      <c r="AJ1092"/>
      <c r="AK1092"/>
      <c r="AL1092"/>
      <c r="AM1092"/>
      <c r="AN1092"/>
      <c r="AO1092"/>
      <c r="AP1092" s="28"/>
      <c r="AQ1092" s="201"/>
      <c r="AR1092" s="229"/>
      <c r="AS1092" s="229"/>
      <c r="AT1092" s="229"/>
      <c r="AU1092" s="229"/>
      <c r="AV1092" s="229"/>
      <c r="AW1092" s="229"/>
    </row>
    <row r="1093" spans="1:49" s="36" customFormat="1" ht="15.75" hidden="1" customHeight="1" x14ac:dyDescent="0.25">
      <c r="A1093" s="21" t="s">
        <v>5373</v>
      </c>
      <c r="B1093" s="21" t="s">
        <v>5374</v>
      </c>
      <c r="C1093" s="193">
        <v>1</v>
      </c>
      <c r="D1093" s="1" t="s">
        <v>5380</v>
      </c>
      <c r="E1093" s="193">
        <v>4739</v>
      </c>
      <c r="F1093" s="193">
        <v>31</v>
      </c>
      <c r="G1093" s="1">
        <v>79.5</v>
      </c>
      <c r="H1093" s="34">
        <f ca="1">Tabela1[[#This Row],[PESO UNI]]*Tabela1[[#This Row],[QTE]]</f>
        <v>79.5</v>
      </c>
      <c r="I1093" s="7" t="s">
        <v>5586</v>
      </c>
      <c r="J1093" s="8" t="s">
        <v>4834</v>
      </c>
      <c r="K1093" s="8" t="s">
        <v>4320</v>
      </c>
      <c r="L1093" s="9" t="s">
        <v>3291</v>
      </c>
      <c r="M1093" s="10">
        <v>46259</v>
      </c>
      <c r="N1093" s="8" t="s">
        <v>38</v>
      </c>
      <c r="O1093" s="12"/>
      <c r="P1093" s="13"/>
      <c r="Q1093" s="14">
        <f ca="1">Tabela1[[#This Row],[QTDE/ Fabricação]]-Tabela1[[#This Row],[QTE]]</f>
        <v>-1</v>
      </c>
      <c r="R1093" s="18">
        <f t="shared" ca="1" si="221"/>
        <v>0</v>
      </c>
      <c r="S1093" s="18">
        <f t="shared" ca="1" si="222"/>
        <v>0</v>
      </c>
      <c r="T1093" s="19">
        <f t="shared" ca="1" si="223"/>
        <v>-79.5</v>
      </c>
      <c r="U1093" s="16">
        <f>IFERROR(SUMIF('LISTA DE EMBARQUE'!B:B,MICRO!E:E,'LISTA DE EMBARQUE'!G:G),"")</f>
        <v>0</v>
      </c>
      <c r="V1093" s="12" t="str">
        <f>IFERROR(VLOOKUP(Tabela1[[#This Row],[COD.MDE]],'LISTA DE EMBARQUE'!B:L,11,0),"")</f>
        <v/>
      </c>
      <c r="W1093" s="13" t="str">
        <f>IFERROR(VLOOKUP(Tabela1[[#This Row],[COD.MDE]],'LISTA DE EMBARQUE'!B:M,12,0),"")</f>
        <v/>
      </c>
      <c r="X1093" s="14">
        <f ca="1">IFERROR(Tabela1[[#This Row],[QIANTIDADE EXPEDIDA]]*Tabela1[[#This Row],[PESO UNI]],"")</f>
        <v>0</v>
      </c>
      <c r="Y1093" s="14">
        <f t="shared" ca="1" si="224"/>
        <v>-1</v>
      </c>
      <c r="Z1093" s="20">
        <f ca="1">Tabela1[[#This Row],[PESO TOTAL]]-Tabela1[[#This Row],[Peso Expedido]]</f>
        <v>79.5</v>
      </c>
      <c r="AA1093" s="17"/>
      <c r="AB1093" s="33"/>
      <c r="AC1093" s="33"/>
      <c r="AD1093" s="33"/>
      <c r="AE1093" s="33"/>
      <c r="AF1093" s="33"/>
      <c r="AG1093" s="33"/>
      <c r="AH1093" s="33"/>
      <c r="AI1093" s="33"/>
      <c r="AJ1093"/>
      <c r="AK1093"/>
      <c r="AL1093"/>
      <c r="AM1093"/>
      <c r="AN1093"/>
      <c r="AO1093"/>
      <c r="AP1093" s="28"/>
      <c r="AQ1093" s="201"/>
      <c r="AR1093" s="229"/>
      <c r="AS1093" s="229"/>
      <c r="AT1093" s="229"/>
      <c r="AU1093" s="229"/>
      <c r="AV1093" s="229"/>
      <c r="AW1093" s="229"/>
    </row>
    <row r="1094" spans="1:49" s="36" customFormat="1" ht="15.75" hidden="1" customHeight="1" x14ac:dyDescent="0.25">
      <c r="A1094" s="21" t="s">
        <v>5373</v>
      </c>
      <c r="B1094" s="21" t="s">
        <v>5374</v>
      </c>
      <c r="C1094" s="193">
        <v>2</v>
      </c>
      <c r="D1094" s="1" t="s">
        <v>5381</v>
      </c>
      <c r="E1094" s="193">
        <v>4740</v>
      </c>
      <c r="F1094" s="193">
        <v>31</v>
      </c>
      <c r="G1094" s="1">
        <v>68.400000000000006</v>
      </c>
      <c r="H1094" s="34">
        <f ca="1">Tabela1[[#This Row],[PESO UNI]]*Tabela1[[#This Row],[QTE]]</f>
        <v>136.80000000000001</v>
      </c>
      <c r="I1094" s="7" t="s">
        <v>5586</v>
      </c>
      <c r="J1094" s="8" t="s">
        <v>4834</v>
      </c>
      <c r="K1094" s="8" t="s">
        <v>4320</v>
      </c>
      <c r="L1094" s="9" t="s">
        <v>3291</v>
      </c>
      <c r="M1094" s="10">
        <v>46259</v>
      </c>
      <c r="N1094" s="8" t="s">
        <v>38</v>
      </c>
      <c r="O1094" s="12"/>
      <c r="P1094" s="13"/>
      <c r="Q1094" s="14">
        <f ca="1">Tabela1[[#This Row],[QTDE/ Fabricação]]-Tabela1[[#This Row],[QTE]]</f>
        <v>-2</v>
      </c>
      <c r="R1094" s="18">
        <f t="shared" ca="1" si="221"/>
        <v>0</v>
      </c>
      <c r="S1094" s="18">
        <f t="shared" ca="1" si="222"/>
        <v>0</v>
      </c>
      <c r="T1094" s="19">
        <f t="shared" ca="1" si="223"/>
        <v>-136.80000000000001</v>
      </c>
      <c r="U1094" s="16">
        <f>IFERROR(SUMIF('LISTA DE EMBARQUE'!B:B,MICRO!E:E,'LISTA DE EMBARQUE'!G:G),"")</f>
        <v>0</v>
      </c>
      <c r="V1094" s="12" t="str">
        <f>IFERROR(VLOOKUP(Tabela1[[#This Row],[COD.MDE]],'LISTA DE EMBARQUE'!B:L,11,0),"")</f>
        <v/>
      </c>
      <c r="W1094" s="13" t="str">
        <f>IFERROR(VLOOKUP(Tabela1[[#This Row],[COD.MDE]],'LISTA DE EMBARQUE'!B:M,12,0),"")</f>
        <v/>
      </c>
      <c r="X1094" s="14">
        <f ca="1">IFERROR(Tabela1[[#This Row],[QIANTIDADE EXPEDIDA]]*Tabela1[[#This Row],[PESO UNI]],"")</f>
        <v>0</v>
      </c>
      <c r="Y1094" s="14">
        <f t="shared" ca="1" si="224"/>
        <v>-2</v>
      </c>
      <c r="Z1094" s="20">
        <f ca="1">Tabela1[[#This Row],[PESO TOTAL]]-Tabela1[[#This Row],[Peso Expedido]]</f>
        <v>136.80000000000001</v>
      </c>
      <c r="AA1094" s="17"/>
      <c r="AB1094" s="33"/>
      <c r="AC1094" s="33"/>
      <c r="AD1094" s="33"/>
      <c r="AE1094" s="33"/>
      <c r="AF1094" s="33"/>
      <c r="AG1094" s="33"/>
      <c r="AH1094" s="33"/>
      <c r="AI1094" s="33"/>
      <c r="AJ1094"/>
      <c r="AK1094"/>
      <c r="AL1094"/>
      <c r="AM1094"/>
      <c r="AN1094"/>
      <c r="AO1094"/>
      <c r="AP1094" s="28"/>
      <c r="AQ1094" s="201"/>
      <c r="AR1094" s="229"/>
      <c r="AS1094" s="229"/>
      <c r="AT1094" s="229"/>
      <c r="AU1094" s="229"/>
      <c r="AV1094" s="229"/>
      <c r="AW1094" s="229"/>
    </row>
    <row r="1095" spans="1:49" s="36" customFormat="1" ht="15.75" hidden="1" customHeight="1" x14ac:dyDescent="0.25">
      <c r="A1095" s="21" t="s">
        <v>5373</v>
      </c>
      <c r="B1095" s="21" t="s">
        <v>5374</v>
      </c>
      <c r="C1095" s="193">
        <v>2</v>
      </c>
      <c r="D1095" s="1" t="s">
        <v>5382</v>
      </c>
      <c r="E1095" s="193">
        <v>4741</v>
      </c>
      <c r="F1095" s="193">
        <v>31</v>
      </c>
      <c r="G1095" s="1">
        <v>52.7</v>
      </c>
      <c r="H1095" s="34">
        <f ca="1">Tabela1[[#This Row],[PESO UNI]]*Tabela1[[#This Row],[QTE]]</f>
        <v>105.4</v>
      </c>
      <c r="I1095" s="7" t="s">
        <v>5586</v>
      </c>
      <c r="J1095" s="8" t="s">
        <v>4834</v>
      </c>
      <c r="K1095" s="8" t="s">
        <v>4320</v>
      </c>
      <c r="L1095" s="9" t="s">
        <v>3291</v>
      </c>
      <c r="M1095" s="10">
        <v>46259</v>
      </c>
      <c r="N1095" s="8" t="s">
        <v>38</v>
      </c>
      <c r="O1095" s="12"/>
      <c r="P1095" s="13"/>
      <c r="Q1095" s="14">
        <f ca="1">Tabela1[[#This Row],[QTDE/ Fabricação]]-Tabela1[[#This Row],[QTE]]</f>
        <v>-2</v>
      </c>
      <c r="R1095" s="18">
        <f t="shared" ca="1" si="221"/>
        <v>0</v>
      </c>
      <c r="S1095" s="18">
        <f t="shared" ca="1" si="222"/>
        <v>0</v>
      </c>
      <c r="T1095" s="19">
        <f t="shared" ca="1" si="223"/>
        <v>-105.4</v>
      </c>
      <c r="U1095" s="16">
        <f>IFERROR(SUMIF('LISTA DE EMBARQUE'!B:B,MICRO!E:E,'LISTA DE EMBARQUE'!G:G),"")</f>
        <v>0</v>
      </c>
      <c r="V1095" s="12" t="str">
        <f>IFERROR(VLOOKUP(Tabela1[[#This Row],[COD.MDE]],'LISTA DE EMBARQUE'!B:L,11,0),"")</f>
        <v/>
      </c>
      <c r="W1095" s="13" t="str">
        <f>IFERROR(VLOOKUP(Tabela1[[#This Row],[COD.MDE]],'LISTA DE EMBARQUE'!B:M,12,0),"")</f>
        <v/>
      </c>
      <c r="X1095" s="14">
        <f ca="1">IFERROR(Tabela1[[#This Row],[QIANTIDADE EXPEDIDA]]*Tabela1[[#This Row],[PESO UNI]],"")</f>
        <v>0</v>
      </c>
      <c r="Y1095" s="14">
        <f t="shared" ca="1" si="224"/>
        <v>-2</v>
      </c>
      <c r="Z1095" s="20">
        <f ca="1">Tabela1[[#This Row],[PESO TOTAL]]-Tabela1[[#This Row],[Peso Expedido]]</f>
        <v>105.4</v>
      </c>
      <c r="AA1095" s="17"/>
      <c r="AB1095" s="33"/>
      <c r="AC1095" s="33"/>
      <c r="AD1095" s="33"/>
      <c r="AE1095" s="33"/>
      <c r="AF1095" s="33"/>
      <c r="AG1095" s="33"/>
      <c r="AH1095" s="33"/>
      <c r="AI1095" s="33"/>
      <c r="AJ1095"/>
      <c r="AK1095"/>
      <c r="AL1095"/>
      <c r="AM1095"/>
      <c r="AN1095"/>
      <c r="AO1095"/>
      <c r="AP1095" s="28"/>
      <c r="AQ1095" s="201"/>
      <c r="AR1095" s="229"/>
      <c r="AS1095" s="229"/>
      <c r="AT1095" s="229"/>
      <c r="AU1095" s="229"/>
      <c r="AV1095" s="229"/>
      <c r="AW1095" s="229"/>
    </row>
    <row r="1096" spans="1:49" s="36" customFormat="1" ht="15.75" hidden="1" customHeight="1" x14ac:dyDescent="0.25">
      <c r="A1096" s="21" t="s">
        <v>137</v>
      </c>
      <c r="B1096" s="21"/>
      <c r="C1096" s="193">
        <v>30</v>
      </c>
      <c r="D1096" s="1" t="s">
        <v>5384</v>
      </c>
      <c r="E1096" s="193">
        <v>4742</v>
      </c>
      <c r="F1096" s="193">
        <v>1</v>
      </c>
      <c r="G1096" s="1">
        <v>4.0999999999999996</v>
      </c>
      <c r="H1096" s="34">
        <f ca="1">Tabela1[[#This Row],[PESO UNI]]*Tabela1[[#This Row],[QTE]]</f>
        <v>122.99999999999999</v>
      </c>
      <c r="I1096" s="7">
        <v>0</v>
      </c>
      <c r="J1096" s="8" t="s">
        <v>5385</v>
      </c>
      <c r="K1096" s="8" t="s">
        <v>23</v>
      </c>
      <c r="L1096" s="9" t="s">
        <v>5386</v>
      </c>
      <c r="M1096" s="10">
        <v>46259</v>
      </c>
      <c r="N1096" s="8" t="s">
        <v>38</v>
      </c>
      <c r="O1096" s="12"/>
      <c r="P1096" s="13"/>
      <c r="Q1096" s="14">
        <f ca="1">Tabela1[[#This Row],[QTDE/ Fabricação]]-Tabela1[[#This Row],[QTE]]</f>
        <v>-30</v>
      </c>
      <c r="R1096" s="18">
        <f ca="1">IFERROR(H1096*((AA1096*0.25)+(AC1096*0.25)+(AD1096*0.225)+(AE1096*0.225)+(AF1096*0.05)),"")</f>
        <v>0</v>
      </c>
      <c r="S1096" s="18">
        <f ca="1">IFERROR(H1096*AG1096,"")</f>
        <v>0</v>
      </c>
      <c r="T1096" s="19">
        <f ca="1">IFERROR(S1096-H1096,"")</f>
        <v>-122.99999999999999</v>
      </c>
      <c r="U1096" s="16">
        <f>IFERROR(SUMIF('LISTA DE EMBARQUE'!B:B,MICRO!E:E,'LISTA DE EMBARQUE'!G:G),"")</f>
        <v>0</v>
      </c>
      <c r="V1096" s="12" t="str">
        <f>IFERROR(VLOOKUP(Tabela1[[#This Row],[COD.MDE]],'LISTA DE EMBARQUE'!B:L,11,0),"")</f>
        <v/>
      </c>
      <c r="W1096" s="13" t="str">
        <f>IFERROR(VLOOKUP(Tabela1[[#This Row],[COD.MDE]],'LISTA DE EMBARQUE'!B:M,12,0),"")</f>
        <v/>
      </c>
      <c r="X1096" s="14">
        <f ca="1">IFERROR(Tabela1[[#This Row],[QIANTIDADE EXPEDIDA]]*Tabela1[[#This Row],[PESO UNI]],"")</f>
        <v>0</v>
      </c>
      <c r="Y1096" s="14">
        <f ca="1">U1096-C1096</f>
        <v>-30</v>
      </c>
      <c r="Z1096" s="20">
        <f ca="1">Tabela1[[#This Row],[PESO TOTAL]]-Tabela1[[#This Row],[Peso Expedido]]</f>
        <v>122.99999999999999</v>
      </c>
      <c r="AA1096" s="17"/>
      <c r="AB1096" s="33"/>
      <c r="AC1096" s="33"/>
      <c r="AD1096" s="33"/>
      <c r="AE1096" s="33"/>
      <c r="AF1096" s="33"/>
      <c r="AG1096" s="33"/>
      <c r="AH1096" s="33"/>
      <c r="AI1096" s="33"/>
      <c r="AJ1096"/>
      <c r="AK1096"/>
      <c r="AL1096"/>
      <c r="AM1096"/>
      <c r="AN1096"/>
      <c r="AO1096"/>
      <c r="AP1096" s="28"/>
      <c r="AQ1096" s="201"/>
      <c r="AR1096" s="229"/>
      <c r="AS1096" s="229"/>
      <c r="AT1096" s="229"/>
      <c r="AU1096" s="229"/>
      <c r="AV1096" s="229"/>
      <c r="AW1096" s="229"/>
    </row>
    <row r="1097" spans="1:49" ht="15.75" hidden="1" customHeight="1" x14ac:dyDescent="0.25">
      <c r="A1097" s="1" t="s">
        <v>5403</v>
      </c>
      <c r="B1097" s="21" t="s">
        <v>5404</v>
      </c>
      <c r="C1097" s="1">
        <v>1</v>
      </c>
      <c r="D1097" s="1" t="s">
        <v>5405</v>
      </c>
      <c r="E1097" s="7">
        <v>4743</v>
      </c>
      <c r="F1097" s="7">
        <v>64</v>
      </c>
      <c r="G1097" s="1">
        <v>35.1</v>
      </c>
      <c r="H1097" s="34">
        <f ca="1">Tabela1[[#This Row],[PESO UNI]]*Tabela1[[#This Row],[QTE]]</f>
        <v>35.1</v>
      </c>
      <c r="I1097" s="7">
        <v>0</v>
      </c>
      <c r="J1097" s="8" t="s">
        <v>3093</v>
      </c>
      <c r="K1097" s="8" t="s">
        <v>4320</v>
      </c>
      <c r="L1097" s="9" t="s">
        <v>2984</v>
      </c>
      <c r="M1097" s="10">
        <v>46260</v>
      </c>
      <c r="N1097" s="8" t="s">
        <v>5105</v>
      </c>
      <c r="O1097" s="12"/>
      <c r="P1097" s="13"/>
      <c r="Q1097" s="14">
        <f ca="1">Tabela1[[#This Row],[QTDE/ Fabricação]]-Tabela1[[#This Row],[QTE]]</f>
        <v>-1</v>
      </c>
      <c r="R1097" s="18">
        <f t="shared" ref="R1097" ca="1" si="225">IFERROR(H1097*((AA1097*0.25)+(AC1097*0.25)+(AD1097*0.225)+(AE1097*0.225)+(AF1097*0.05)),"")</f>
        <v>29.308499999999999</v>
      </c>
      <c r="S1097" s="18">
        <f t="shared" ref="S1097" ca="1" si="226">IFERROR(H1097*AG1097,"")</f>
        <v>12.285</v>
      </c>
      <c r="T1097" s="19">
        <f t="shared" ref="T1097" ca="1" si="227">IFERROR(S1097-H1097,"")</f>
        <v>-22.815000000000001</v>
      </c>
      <c r="U1097" s="16">
        <f>IFERROR(SUMIF('LISTA DE EMBARQUE'!B:B,MICRO!E:E,'LISTA DE EMBARQUE'!G:G),"")</f>
        <v>0</v>
      </c>
      <c r="V1097" s="12" t="str">
        <f>IFERROR(VLOOKUP(Tabela1[[#This Row],[COD.MDE]],'LISTA DE EMBARQUE'!B:L,11,0),"")</f>
        <v/>
      </c>
      <c r="W1097" s="13" t="str">
        <f>IFERROR(VLOOKUP(Tabela1[[#This Row],[COD.MDE]],'LISTA DE EMBARQUE'!B:M,12,0),"")</f>
        <v/>
      </c>
      <c r="X1097" s="14">
        <f ca="1">IFERROR(Tabela1[[#This Row],[QIANTIDADE EXPEDIDA]]*Tabela1[[#This Row],[PESO UNI]],"")</f>
        <v>0</v>
      </c>
      <c r="Y1097" s="14">
        <f t="shared" ref="Y1097" ca="1" si="228">U1097-C1097</f>
        <v>-1</v>
      </c>
      <c r="Z1097" s="20">
        <f ca="1">Tabela1[[#This Row],[PESO TOTAL]]-Tabela1[[#This Row],[Peso Expedido]]</f>
        <v>35.1</v>
      </c>
      <c r="AA1097" s="17">
        <v>1</v>
      </c>
      <c r="AB1097" s="33"/>
      <c r="AC1097" s="33">
        <v>1</v>
      </c>
      <c r="AD1097" s="33">
        <v>0.7</v>
      </c>
      <c r="AE1097" s="33">
        <v>0.7</v>
      </c>
      <c r="AF1097" s="33">
        <v>0.4</v>
      </c>
      <c r="AG1097" s="33">
        <v>0.35</v>
      </c>
      <c r="AH1097" s="33"/>
      <c r="AI1097" s="33"/>
      <c r="AJ1097"/>
      <c r="AK1097"/>
      <c r="AL1097"/>
      <c r="AM1097"/>
      <c r="AN1097"/>
      <c r="AO1097"/>
      <c r="AP1097"/>
      <c r="AQ1097" s="22"/>
      <c r="AR1097" s="24"/>
      <c r="AS1097" s="37"/>
      <c r="AT1097" s="37"/>
      <c r="AU1097" s="37"/>
      <c r="AV1097" s="37"/>
      <c r="AW1097" s="37"/>
    </row>
    <row r="1098" spans="1:49" ht="15.75" hidden="1" customHeight="1" x14ac:dyDescent="0.25">
      <c r="A1098" s="1" t="s">
        <v>5403</v>
      </c>
      <c r="B1098" s="21" t="s">
        <v>5404</v>
      </c>
      <c r="C1098" s="1">
        <v>1</v>
      </c>
      <c r="D1098" s="1" t="s">
        <v>5406</v>
      </c>
      <c r="E1098" s="7">
        <v>4744</v>
      </c>
      <c r="F1098" s="7">
        <v>64</v>
      </c>
      <c r="G1098" s="1">
        <v>36.6</v>
      </c>
      <c r="H1098" s="34">
        <f ca="1">Tabela1[[#This Row],[PESO UNI]]*Tabela1[[#This Row],[QTE]]</f>
        <v>36.6</v>
      </c>
      <c r="I1098" s="7">
        <v>0</v>
      </c>
      <c r="J1098" s="8" t="s">
        <v>3093</v>
      </c>
      <c r="K1098" s="8" t="s">
        <v>4320</v>
      </c>
      <c r="L1098" s="9" t="s">
        <v>2984</v>
      </c>
      <c r="M1098" s="10">
        <v>46260</v>
      </c>
      <c r="N1098" s="8" t="s">
        <v>5105</v>
      </c>
      <c r="O1098" s="12"/>
      <c r="P1098" s="13"/>
      <c r="Q1098" s="14">
        <f ca="1">Tabela1[[#This Row],[QTDE/ Fabricação]]-Tabela1[[#This Row],[QTE]]</f>
        <v>-1</v>
      </c>
      <c r="R1098" s="18">
        <f t="shared" ref="R1098" ca="1" si="229">IFERROR(H1098*((AA1098*0.25)+(AC1098*0.25)+(AD1098*0.225)+(AE1098*0.225)+(AF1098*0.05)),"")</f>
        <v>30.561</v>
      </c>
      <c r="S1098" s="18">
        <f t="shared" ref="S1098" ca="1" si="230">IFERROR(H1098*AG1098,"")</f>
        <v>12.81</v>
      </c>
      <c r="T1098" s="19">
        <f t="shared" ref="T1098" ca="1" si="231">IFERROR(S1098-H1098,"")</f>
        <v>-23.79</v>
      </c>
      <c r="U1098" s="16">
        <f>IFERROR(SUMIF('LISTA DE EMBARQUE'!B:B,MICRO!E:E,'LISTA DE EMBARQUE'!G:G),"")</f>
        <v>0</v>
      </c>
      <c r="V1098" s="12" t="str">
        <f>IFERROR(VLOOKUP(Tabela1[[#This Row],[COD.MDE]],'LISTA DE EMBARQUE'!B:L,11,0),"")</f>
        <v/>
      </c>
      <c r="W1098" s="13" t="str">
        <f>IFERROR(VLOOKUP(Tabela1[[#This Row],[COD.MDE]],'LISTA DE EMBARQUE'!B:M,12,0),"")</f>
        <v/>
      </c>
      <c r="X1098" s="14">
        <f ca="1">IFERROR(Tabela1[[#This Row],[QIANTIDADE EXPEDIDA]]*Tabela1[[#This Row],[PESO UNI]],"")</f>
        <v>0</v>
      </c>
      <c r="Y1098" s="14">
        <f t="shared" ref="Y1098" ca="1" si="232">U1098-C1098</f>
        <v>-1</v>
      </c>
      <c r="Z1098" s="20">
        <f ca="1">Tabela1[[#This Row],[PESO TOTAL]]-Tabela1[[#This Row],[Peso Expedido]]</f>
        <v>36.6</v>
      </c>
      <c r="AA1098" s="17">
        <v>1</v>
      </c>
      <c r="AB1098" s="33"/>
      <c r="AC1098" s="33">
        <v>1</v>
      </c>
      <c r="AD1098" s="33">
        <v>0.7</v>
      </c>
      <c r="AE1098" s="33">
        <v>0.7</v>
      </c>
      <c r="AF1098" s="33">
        <v>0.4</v>
      </c>
      <c r="AG1098" s="33">
        <v>0.35</v>
      </c>
      <c r="AH1098" s="33"/>
      <c r="AI1098" s="33"/>
      <c r="AJ1098"/>
      <c r="AK1098"/>
      <c r="AL1098"/>
      <c r="AM1098"/>
      <c r="AN1098"/>
      <c r="AO1098"/>
      <c r="AP1098"/>
      <c r="AQ1098" s="22"/>
      <c r="AR1098" s="24"/>
      <c r="AS1098" s="37"/>
      <c r="AT1098" s="37"/>
      <c r="AU1098" s="37"/>
      <c r="AV1098" s="37"/>
      <c r="AW1098" s="37"/>
    </row>
    <row r="1099" spans="1:49" ht="15.75" hidden="1" customHeight="1" x14ac:dyDescent="0.25">
      <c r="A1099" s="1" t="s">
        <v>5403</v>
      </c>
      <c r="B1099" s="21" t="s">
        <v>5404</v>
      </c>
      <c r="C1099" s="1">
        <v>1</v>
      </c>
      <c r="D1099" s="1" t="s">
        <v>5407</v>
      </c>
      <c r="E1099" s="7">
        <v>4745</v>
      </c>
      <c r="F1099" s="7">
        <v>64</v>
      </c>
      <c r="G1099" s="1">
        <v>54.3</v>
      </c>
      <c r="H1099" s="34">
        <f ca="1">Tabela1[[#This Row],[PESO UNI]]*Tabela1[[#This Row],[QTE]]</f>
        <v>54.3</v>
      </c>
      <c r="I1099" s="7">
        <v>0</v>
      </c>
      <c r="J1099" s="8" t="s">
        <v>3093</v>
      </c>
      <c r="K1099" s="8" t="s">
        <v>4320</v>
      </c>
      <c r="L1099" s="9" t="s">
        <v>2984</v>
      </c>
      <c r="M1099" s="10">
        <v>46260</v>
      </c>
      <c r="N1099" s="8" t="s">
        <v>5105</v>
      </c>
      <c r="O1099" s="12"/>
      <c r="P1099" s="13"/>
      <c r="Q1099" s="14">
        <f ca="1">Tabela1[[#This Row],[QTDE/ Fabricação]]-Tabela1[[#This Row],[QTE]]</f>
        <v>-1</v>
      </c>
      <c r="R1099" s="18">
        <f t="shared" ref="R1099" ca="1" si="233">IFERROR(H1099*((AA1099*0.25)+(AC1099*0.25)+(AD1099*0.225)+(AE1099*0.225)+(AF1099*0.05)),"")</f>
        <v>45.340499999999999</v>
      </c>
      <c r="S1099" s="18">
        <f t="shared" ref="S1099" ca="1" si="234">IFERROR(H1099*AG1099,"")</f>
        <v>19.004999999999999</v>
      </c>
      <c r="T1099" s="19">
        <f t="shared" ref="T1099" ca="1" si="235">IFERROR(S1099-H1099,"")</f>
        <v>-35.295000000000002</v>
      </c>
      <c r="U1099" s="16">
        <f>IFERROR(SUMIF('LISTA DE EMBARQUE'!B:B,MICRO!E:E,'LISTA DE EMBARQUE'!G:G),"")</f>
        <v>0</v>
      </c>
      <c r="V1099" s="12" t="str">
        <f>IFERROR(VLOOKUP(Tabela1[[#This Row],[COD.MDE]],'LISTA DE EMBARQUE'!B:L,11,0),"")</f>
        <v/>
      </c>
      <c r="W1099" s="13" t="str">
        <f>IFERROR(VLOOKUP(Tabela1[[#This Row],[COD.MDE]],'LISTA DE EMBARQUE'!B:M,12,0),"")</f>
        <v/>
      </c>
      <c r="X1099" s="14">
        <f ca="1">IFERROR(Tabela1[[#This Row],[QIANTIDADE EXPEDIDA]]*Tabela1[[#This Row],[PESO UNI]],"")</f>
        <v>0</v>
      </c>
      <c r="Y1099" s="14">
        <f t="shared" ref="Y1099" ca="1" si="236">U1099-C1099</f>
        <v>-1</v>
      </c>
      <c r="Z1099" s="20">
        <f ca="1">Tabela1[[#This Row],[PESO TOTAL]]-Tabela1[[#This Row],[Peso Expedido]]</f>
        <v>54.3</v>
      </c>
      <c r="AA1099" s="17">
        <v>1</v>
      </c>
      <c r="AB1099" s="33"/>
      <c r="AC1099" s="33">
        <v>1</v>
      </c>
      <c r="AD1099" s="33">
        <v>0.7</v>
      </c>
      <c r="AE1099" s="33">
        <v>0.7</v>
      </c>
      <c r="AF1099" s="33">
        <v>0.4</v>
      </c>
      <c r="AG1099" s="33">
        <v>0.35</v>
      </c>
      <c r="AH1099" s="33"/>
      <c r="AI1099" s="33"/>
      <c r="AJ1099"/>
      <c r="AK1099"/>
      <c r="AL1099"/>
      <c r="AM1099"/>
      <c r="AN1099"/>
      <c r="AO1099"/>
      <c r="AP1099"/>
      <c r="AQ1099" s="22"/>
      <c r="AR1099" s="24"/>
      <c r="AS1099" s="37"/>
      <c r="AT1099" s="37"/>
      <c r="AU1099" s="37"/>
      <c r="AV1099" s="37"/>
      <c r="AW1099" s="37"/>
    </row>
    <row r="1100" spans="1:49" ht="15.75" hidden="1" customHeight="1" x14ac:dyDescent="0.25">
      <c r="A1100" s="1" t="s">
        <v>5403</v>
      </c>
      <c r="B1100" s="21" t="s">
        <v>5404</v>
      </c>
      <c r="C1100" s="1">
        <v>1</v>
      </c>
      <c r="D1100" s="1" t="s">
        <v>5408</v>
      </c>
      <c r="E1100" s="7">
        <v>4746</v>
      </c>
      <c r="F1100" s="7">
        <v>64</v>
      </c>
      <c r="G1100" s="1">
        <v>36.6</v>
      </c>
      <c r="H1100" s="34">
        <f ca="1">Tabela1[[#This Row],[PESO UNI]]*Tabela1[[#This Row],[QTE]]</f>
        <v>36.6</v>
      </c>
      <c r="I1100" s="7">
        <v>0</v>
      </c>
      <c r="J1100" s="8" t="s">
        <v>3093</v>
      </c>
      <c r="K1100" s="8" t="s">
        <v>4320</v>
      </c>
      <c r="L1100" s="9" t="s">
        <v>2984</v>
      </c>
      <c r="M1100" s="10">
        <v>46260</v>
      </c>
      <c r="N1100" s="8" t="s">
        <v>5105</v>
      </c>
      <c r="O1100" s="12"/>
      <c r="P1100" s="13"/>
      <c r="Q1100" s="14">
        <f ca="1">Tabela1[[#This Row],[QTDE/ Fabricação]]-Tabela1[[#This Row],[QTE]]</f>
        <v>-1</v>
      </c>
      <c r="R1100" s="18">
        <f t="shared" ref="R1100" ca="1" si="237">IFERROR(H1100*((AA1100*0.25)+(AC1100*0.25)+(AD1100*0.225)+(AE1100*0.225)+(AF1100*0.05)),"")</f>
        <v>30.561</v>
      </c>
      <c r="S1100" s="18">
        <f t="shared" ref="S1100" ca="1" si="238">IFERROR(H1100*AG1100,"")</f>
        <v>12.81</v>
      </c>
      <c r="T1100" s="19">
        <f t="shared" ref="T1100" ca="1" si="239">IFERROR(S1100-H1100,"")</f>
        <v>-23.79</v>
      </c>
      <c r="U1100" s="16">
        <f>IFERROR(SUMIF('LISTA DE EMBARQUE'!B:B,MICRO!E:E,'LISTA DE EMBARQUE'!G:G),"")</f>
        <v>0</v>
      </c>
      <c r="V1100" s="12" t="str">
        <f>IFERROR(VLOOKUP(Tabela1[[#This Row],[COD.MDE]],'LISTA DE EMBARQUE'!B:L,11,0),"")</f>
        <v/>
      </c>
      <c r="W1100" s="13" t="str">
        <f>IFERROR(VLOOKUP(Tabela1[[#This Row],[COD.MDE]],'LISTA DE EMBARQUE'!B:M,12,0),"")</f>
        <v/>
      </c>
      <c r="X1100" s="14">
        <f ca="1">IFERROR(Tabela1[[#This Row],[QIANTIDADE EXPEDIDA]]*Tabela1[[#This Row],[PESO UNI]],"")</f>
        <v>0</v>
      </c>
      <c r="Y1100" s="14">
        <f t="shared" ref="Y1100" ca="1" si="240">U1100-C1100</f>
        <v>-1</v>
      </c>
      <c r="Z1100" s="20">
        <f ca="1">Tabela1[[#This Row],[PESO TOTAL]]-Tabela1[[#This Row],[Peso Expedido]]</f>
        <v>36.6</v>
      </c>
      <c r="AA1100" s="17">
        <v>1</v>
      </c>
      <c r="AB1100" s="33"/>
      <c r="AC1100" s="33">
        <v>1</v>
      </c>
      <c r="AD1100" s="33">
        <v>0.7</v>
      </c>
      <c r="AE1100" s="33">
        <v>0.7</v>
      </c>
      <c r="AF1100" s="33">
        <v>0.4</v>
      </c>
      <c r="AG1100" s="33">
        <v>0.35</v>
      </c>
      <c r="AH1100" s="33"/>
      <c r="AI1100" s="33"/>
      <c r="AJ1100"/>
      <c r="AK1100"/>
      <c r="AL1100"/>
      <c r="AM1100"/>
      <c r="AN1100"/>
      <c r="AO1100"/>
      <c r="AP1100"/>
      <c r="AQ1100" s="22"/>
      <c r="AR1100" s="24"/>
      <c r="AS1100" s="37"/>
      <c r="AT1100" s="37"/>
      <c r="AU1100" s="37"/>
      <c r="AV1100" s="37"/>
      <c r="AW1100" s="37"/>
    </row>
    <row r="1101" spans="1:49" ht="15.75" hidden="1" customHeight="1" x14ac:dyDescent="0.25">
      <c r="A1101" s="1" t="s">
        <v>5403</v>
      </c>
      <c r="B1101" s="21" t="s">
        <v>5404</v>
      </c>
      <c r="C1101" s="1">
        <v>1</v>
      </c>
      <c r="D1101" s="1" t="s">
        <v>5409</v>
      </c>
      <c r="E1101" s="7">
        <v>4747</v>
      </c>
      <c r="F1101" s="7">
        <v>64</v>
      </c>
      <c r="G1101" s="1">
        <v>54.3</v>
      </c>
      <c r="H1101" s="34">
        <f ca="1">Tabela1[[#This Row],[PESO UNI]]*Tabela1[[#This Row],[QTE]]</f>
        <v>54.3</v>
      </c>
      <c r="I1101" s="7">
        <v>0</v>
      </c>
      <c r="J1101" s="8" t="s">
        <v>3093</v>
      </c>
      <c r="K1101" s="8" t="s">
        <v>4320</v>
      </c>
      <c r="L1101" s="9" t="s">
        <v>2984</v>
      </c>
      <c r="M1101" s="10">
        <v>46260</v>
      </c>
      <c r="N1101" s="8" t="s">
        <v>5105</v>
      </c>
      <c r="O1101" s="12"/>
      <c r="P1101" s="13"/>
      <c r="Q1101" s="14">
        <f ca="1">Tabela1[[#This Row],[QTDE/ Fabricação]]-Tabela1[[#This Row],[QTE]]</f>
        <v>-1</v>
      </c>
      <c r="R1101" s="18">
        <f t="shared" ref="R1101" ca="1" si="241">IFERROR(H1101*((AA1101*0.25)+(AC1101*0.25)+(AD1101*0.225)+(AE1101*0.225)+(AF1101*0.05)),"")</f>
        <v>45.340499999999999</v>
      </c>
      <c r="S1101" s="18">
        <f t="shared" ref="S1101" ca="1" si="242">IFERROR(H1101*AG1101,"")</f>
        <v>19.004999999999999</v>
      </c>
      <c r="T1101" s="19">
        <f t="shared" ref="T1101" ca="1" si="243">IFERROR(S1101-H1101,"")</f>
        <v>-35.295000000000002</v>
      </c>
      <c r="U1101" s="16">
        <f>IFERROR(SUMIF('LISTA DE EMBARQUE'!B:B,MICRO!E:E,'LISTA DE EMBARQUE'!G:G),"")</f>
        <v>0</v>
      </c>
      <c r="V1101" s="12" t="str">
        <f>IFERROR(VLOOKUP(Tabela1[[#This Row],[COD.MDE]],'LISTA DE EMBARQUE'!B:L,11,0),"")</f>
        <v/>
      </c>
      <c r="W1101" s="13" t="str">
        <f>IFERROR(VLOOKUP(Tabela1[[#This Row],[COD.MDE]],'LISTA DE EMBARQUE'!B:M,12,0),"")</f>
        <v/>
      </c>
      <c r="X1101" s="14">
        <f ca="1">IFERROR(Tabela1[[#This Row],[QIANTIDADE EXPEDIDA]]*Tabela1[[#This Row],[PESO UNI]],"")</f>
        <v>0</v>
      </c>
      <c r="Y1101" s="14">
        <f t="shared" ref="Y1101" ca="1" si="244">U1101-C1101</f>
        <v>-1</v>
      </c>
      <c r="Z1101" s="20">
        <f ca="1">Tabela1[[#This Row],[PESO TOTAL]]-Tabela1[[#This Row],[Peso Expedido]]</f>
        <v>54.3</v>
      </c>
      <c r="AA1101" s="17">
        <v>1</v>
      </c>
      <c r="AB1101" s="33"/>
      <c r="AC1101" s="33">
        <v>1</v>
      </c>
      <c r="AD1101" s="33">
        <v>0.7</v>
      </c>
      <c r="AE1101" s="33">
        <v>0.7</v>
      </c>
      <c r="AF1101" s="33">
        <v>0.4</v>
      </c>
      <c r="AG1101" s="33">
        <v>0.35</v>
      </c>
      <c r="AH1101" s="33"/>
      <c r="AI1101" s="33"/>
      <c r="AJ1101"/>
      <c r="AK1101"/>
      <c r="AL1101"/>
      <c r="AM1101"/>
      <c r="AN1101"/>
      <c r="AO1101"/>
      <c r="AP1101"/>
      <c r="AQ1101" s="22"/>
      <c r="AR1101" s="24"/>
      <c r="AS1101" s="37"/>
      <c r="AT1101" s="37"/>
      <c r="AU1101" s="37"/>
      <c r="AV1101" s="37"/>
      <c r="AW1101" s="37"/>
    </row>
    <row r="1102" spans="1:49" ht="15.75" hidden="1" customHeight="1" x14ac:dyDescent="0.25">
      <c r="A1102" s="1" t="s">
        <v>5403</v>
      </c>
      <c r="B1102" s="21" t="s">
        <v>5404</v>
      </c>
      <c r="C1102" s="1">
        <v>1</v>
      </c>
      <c r="D1102" s="1" t="s">
        <v>5621</v>
      </c>
      <c r="E1102" s="7">
        <v>4826</v>
      </c>
      <c r="F1102" s="7">
        <v>64</v>
      </c>
      <c r="G1102" s="1">
        <v>36.6</v>
      </c>
      <c r="H1102" s="34">
        <f>Tabela1[[#This Row],[PESO UNI]]*Tabela1[[#This Row],[QTE]]</f>
        <v>36.6</v>
      </c>
      <c r="I1102" s="7">
        <v>0</v>
      </c>
      <c r="J1102" s="8" t="s">
        <v>3093</v>
      </c>
      <c r="K1102" s="8" t="s">
        <v>4320</v>
      </c>
      <c r="L1102" s="9" t="s">
        <v>2984</v>
      </c>
      <c r="M1102" s="10">
        <v>46260</v>
      </c>
      <c r="N1102" s="8" t="s">
        <v>5105</v>
      </c>
      <c r="O1102" s="12"/>
      <c r="P1102" s="13"/>
      <c r="Q1102" s="14">
        <f>Tabela1[[#This Row],[QTDE/ Fabricação]]-Tabela1[[#This Row],[QTE]]</f>
        <v>-1</v>
      </c>
      <c r="R1102" s="18">
        <f>IFERROR(H1102*((AA1102*0.25)+(AC1102*0.25)+(AD1102*0.225)+(AE1102*0.225)+(AF1102*0.05)),"")</f>
        <v>30.561</v>
      </c>
      <c r="S1102" s="18">
        <f ca="1">IFERROR(H1102*AG1102,"")</f>
        <v>12.81</v>
      </c>
      <c r="T1102" s="19">
        <f ca="1">IFERROR(S1102-H1102,"")</f>
        <v>-23.79</v>
      </c>
      <c r="U1102" s="16">
        <f>IFERROR(SUMIF('LISTA DE EMBARQUE'!B:B,MICRO!E:E,'LISTA DE EMBARQUE'!G:G),"")</f>
        <v>0</v>
      </c>
      <c r="V1102" s="12" t="str">
        <f>IFERROR(VLOOKUP(Tabela1[[#This Row],[COD.MDE]],'LISTA DE EMBARQUE'!B:L,11,0),"")</f>
        <v/>
      </c>
      <c r="W1102" s="13" t="str">
        <f>IFERROR(VLOOKUP(Tabela1[[#This Row],[COD.MDE]],'LISTA DE EMBARQUE'!B:M,12,0),"")</f>
        <v/>
      </c>
      <c r="X1102" s="14">
        <f ca="1">IFERROR(Tabela1[[#This Row],[QIANTIDADE EXPEDIDA]]*Tabela1[[#This Row],[PESO UNI]],"")</f>
        <v>0</v>
      </c>
      <c r="Y1102" s="14">
        <f>U1102-C1102</f>
        <v>-1</v>
      </c>
      <c r="Z1102" s="20">
        <f ca="1">Tabela1[[#This Row],[PESO TOTAL]]-Tabela1[[#This Row],[Peso Expedido]]</f>
        <v>36.6</v>
      </c>
      <c r="AA1102" s="17">
        <v>1</v>
      </c>
      <c r="AB1102" s="33"/>
      <c r="AC1102" s="33">
        <v>1</v>
      </c>
      <c r="AD1102" s="33">
        <v>0.7</v>
      </c>
      <c r="AE1102" s="33">
        <v>0.7</v>
      </c>
      <c r="AF1102" s="33">
        <v>0.4</v>
      </c>
      <c r="AG1102" s="33">
        <v>0.35</v>
      </c>
      <c r="AH1102" s="33"/>
      <c r="AI1102" s="33"/>
      <c r="AJ1102"/>
      <c r="AK1102"/>
      <c r="AL1102"/>
      <c r="AM1102"/>
      <c r="AN1102"/>
      <c r="AO1102"/>
      <c r="AP1102"/>
      <c r="AQ1102" s="22"/>
      <c r="AR1102" s="24"/>
      <c r="AS1102" s="37"/>
      <c r="AT1102" s="37"/>
      <c r="AU1102" s="37"/>
      <c r="AV1102" s="37"/>
      <c r="AW1102" s="37"/>
    </row>
    <row r="1103" spans="1:49" ht="15.75" hidden="1" customHeight="1" x14ac:dyDescent="0.25">
      <c r="A1103" s="1" t="s">
        <v>5403</v>
      </c>
      <c r="B1103" s="21" t="s">
        <v>5404</v>
      </c>
      <c r="C1103" s="1">
        <v>1</v>
      </c>
      <c r="D1103" s="1" t="s">
        <v>5622</v>
      </c>
      <c r="E1103" s="7">
        <v>4827</v>
      </c>
      <c r="F1103" s="7">
        <v>64</v>
      </c>
      <c r="G1103" s="1">
        <v>54.3</v>
      </c>
      <c r="H1103" s="34">
        <f ca="1">Tabela1[[#This Row],[PESO UNI]]*Tabela1[[#This Row],[QTE]]</f>
        <v>54.3</v>
      </c>
      <c r="I1103" s="7">
        <v>0</v>
      </c>
      <c r="J1103" s="8" t="s">
        <v>3093</v>
      </c>
      <c r="K1103" s="8" t="s">
        <v>4320</v>
      </c>
      <c r="L1103" s="9" t="s">
        <v>2984</v>
      </c>
      <c r="M1103" s="10">
        <v>46260</v>
      </c>
      <c r="N1103" s="8" t="s">
        <v>5105</v>
      </c>
      <c r="O1103" s="12"/>
      <c r="P1103" s="13"/>
      <c r="Q1103" s="14">
        <f>Tabela1[[#This Row],[QTDE/ Fabricação]]-Tabela1[[#This Row],[QTE]]</f>
        <v>-1</v>
      </c>
      <c r="R1103" s="18">
        <f ca="1">IFERROR(H1103*((AA1103*0.25)+(AC1103*0.25)+(AD1103*0.225)+(AE1103*0.225)+(AF1103*0.05)),"")</f>
        <v>45.340499999999999</v>
      </c>
      <c r="S1103" s="18">
        <f ca="1">IFERROR(H1103*AG1103,"")</f>
        <v>19.004999999999999</v>
      </c>
      <c r="T1103" s="19">
        <f ca="1">IFERROR(S1103-H1103,"")</f>
        <v>-35.295000000000002</v>
      </c>
      <c r="U1103" s="16">
        <f>IFERROR(SUMIF('LISTA DE EMBARQUE'!B:B,MICRO!E:E,'LISTA DE EMBARQUE'!G:G),"")</f>
        <v>0</v>
      </c>
      <c r="V1103" s="12" t="str">
        <f>IFERROR(VLOOKUP(Tabela1[[#This Row],[COD.MDE]],'LISTA DE EMBARQUE'!B:L,11,0),"")</f>
        <v/>
      </c>
      <c r="W1103" s="13" t="str">
        <f>IFERROR(VLOOKUP(Tabela1[[#This Row],[COD.MDE]],'LISTA DE EMBARQUE'!B:M,12,0),"")</f>
        <v/>
      </c>
      <c r="X1103" s="14">
        <f ca="1">IFERROR(Tabela1[[#This Row],[QIANTIDADE EXPEDIDA]]*Tabela1[[#This Row],[PESO UNI]],"")</f>
        <v>0</v>
      </c>
      <c r="Y1103" s="14">
        <f ca="1">U1103-C1103</f>
        <v>-1</v>
      </c>
      <c r="Z1103" s="20">
        <f ca="1">Tabela1[[#This Row],[PESO TOTAL]]-Tabela1[[#This Row],[Peso Expedido]]</f>
        <v>54.3</v>
      </c>
      <c r="AA1103" s="17">
        <v>1</v>
      </c>
      <c r="AB1103" s="33"/>
      <c r="AC1103" s="33">
        <v>1</v>
      </c>
      <c r="AD1103" s="33">
        <v>0.7</v>
      </c>
      <c r="AE1103" s="33">
        <v>0.7</v>
      </c>
      <c r="AF1103" s="33">
        <v>0.4</v>
      </c>
      <c r="AG1103" s="33">
        <v>0.35</v>
      </c>
      <c r="AH1103" s="33"/>
      <c r="AI1103" s="33"/>
      <c r="AJ1103"/>
      <c r="AK1103"/>
      <c r="AL1103"/>
      <c r="AM1103"/>
      <c r="AN1103"/>
      <c r="AO1103"/>
      <c r="AP1103"/>
      <c r="AQ1103" s="22"/>
      <c r="AR1103" s="24"/>
      <c r="AS1103" s="37"/>
      <c r="AT1103" s="37"/>
      <c r="AU1103" s="37"/>
      <c r="AV1103" s="37"/>
      <c r="AW1103" s="37"/>
    </row>
    <row r="1104" spans="1:49" ht="15.75" hidden="1" customHeight="1" x14ac:dyDescent="0.25">
      <c r="A1104" s="1" t="s">
        <v>5403</v>
      </c>
      <c r="B1104" s="21" t="s">
        <v>5404</v>
      </c>
      <c r="C1104" s="1">
        <v>1</v>
      </c>
      <c r="D1104" s="1" t="s">
        <v>5623</v>
      </c>
      <c r="E1104" s="7">
        <v>4828</v>
      </c>
      <c r="F1104" s="7">
        <v>64</v>
      </c>
      <c r="G1104" s="1">
        <v>54.3</v>
      </c>
      <c r="H1104" s="34">
        <f>Tabela1[[#This Row],[PESO UNI]]*Tabela1[[#This Row],[QTE]]</f>
        <v>54.3</v>
      </c>
      <c r="I1104" s="7">
        <v>0</v>
      </c>
      <c r="J1104" s="8" t="s">
        <v>3093</v>
      </c>
      <c r="K1104" s="8" t="s">
        <v>4320</v>
      </c>
      <c r="L1104" s="9" t="s">
        <v>2984</v>
      </c>
      <c r="M1104" s="10">
        <v>46260</v>
      </c>
      <c r="N1104" s="8" t="s">
        <v>5105</v>
      </c>
      <c r="O1104" s="12"/>
      <c r="P1104" s="13"/>
      <c r="Q1104" s="14">
        <f>Tabela1[[#This Row],[QTDE/ Fabricação]]-Tabela1[[#This Row],[QTE]]</f>
        <v>-1</v>
      </c>
      <c r="R1104" s="18">
        <f ca="1">IFERROR(H1104*((AA1104*0.25)+(AC1104*0.25)+(AD1104*0.225)+(AE1104*0.225)+(AF1104*0.05)),"")</f>
        <v>45.340499999999999</v>
      </c>
      <c r="S1104" s="18">
        <f>IFERROR(H1104*AG1104,"")</f>
        <v>19.004999999999999</v>
      </c>
      <c r="T1104" s="19">
        <f>IFERROR(S1104-H1104,"")</f>
        <v>-35.295000000000002</v>
      </c>
      <c r="U1104" s="16">
        <f>IFERROR(SUMIF('LISTA DE EMBARQUE'!B:B,MICRO!E:E,'LISTA DE EMBARQUE'!G:G),"")</f>
        <v>0</v>
      </c>
      <c r="V1104" s="12" t="str">
        <f>IFERROR(VLOOKUP(Tabela1[[#This Row],[COD.MDE]],'LISTA DE EMBARQUE'!B:L,11,0),"")</f>
        <v/>
      </c>
      <c r="W1104" s="13" t="str">
        <f>IFERROR(VLOOKUP(Tabela1[[#This Row],[COD.MDE]],'LISTA DE EMBARQUE'!B:M,12,0),"")</f>
        <v/>
      </c>
      <c r="X1104" s="14">
        <f ca="1">IFERROR(Tabela1[[#This Row],[QIANTIDADE EXPEDIDA]]*Tabela1[[#This Row],[PESO UNI]],"")</f>
        <v>0</v>
      </c>
      <c r="Y1104" s="14">
        <f>U1104-C1104</f>
        <v>-1</v>
      </c>
      <c r="Z1104" s="20">
        <f ca="1">Tabela1[[#This Row],[PESO TOTAL]]-Tabela1[[#This Row],[Peso Expedido]]</f>
        <v>54.3</v>
      </c>
      <c r="AA1104" s="17">
        <v>1</v>
      </c>
      <c r="AB1104" s="33"/>
      <c r="AC1104" s="33">
        <v>1</v>
      </c>
      <c r="AD1104" s="33">
        <v>0.7</v>
      </c>
      <c r="AE1104" s="33">
        <v>0.7</v>
      </c>
      <c r="AF1104" s="33">
        <v>0.4</v>
      </c>
      <c r="AG1104" s="33">
        <v>0.35</v>
      </c>
      <c r="AH1104" s="33"/>
      <c r="AI1104" s="33"/>
      <c r="AJ1104"/>
      <c r="AK1104"/>
      <c r="AL1104"/>
      <c r="AM1104"/>
      <c r="AN1104"/>
      <c r="AO1104"/>
      <c r="AP1104"/>
      <c r="AQ1104" s="22"/>
      <c r="AR1104" s="24"/>
      <c r="AS1104" s="37"/>
      <c r="AT1104" s="37"/>
      <c r="AU1104" s="37"/>
      <c r="AV1104" s="37"/>
      <c r="AW1104" s="37"/>
    </row>
    <row r="1105" spans="1:49" ht="15.75" hidden="1" customHeight="1" x14ac:dyDescent="0.25">
      <c r="A1105" s="1" t="s">
        <v>5403</v>
      </c>
      <c r="B1105" s="21" t="s">
        <v>5404</v>
      </c>
      <c r="C1105" s="1">
        <v>1</v>
      </c>
      <c r="D1105" s="1" t="s">
        <v>5624</v>
      </c>
      <c r="E1105" s="7">
        <v>4839</v>
      </c>
      <c r="F1105" s="7">
        <v>64</v>
      </c>
      <c r="G1105" s="1">
        <v>53.6</v>
      </c>
      <c r="H1105" s="34">
        <f>Tabela1[[#This Row],[PESO UNI]]*Tabela1[[#This Row],[QTE]]</f>
        <v>53.6</v>
      </c>
      <c r="I1105" s="7">
        <v>0</v>
      </c>
      <c r="J1105" s="8" t="s">
        <v>3093</v>
      </c>
      <c r="K1105" s="8" t="s">
        <v>4320</v>
      </c>
      <c r="L1105" s="9" t="s">
        <v>2984</v>
      </c>
      <c r="M1105" s="10">
        <v>46260</v>
      </c>
      <c r="N1105" s="8" t="s">
        <v>5105</v>
      </c>
      <c r="O1105" s="12"/>
      <c r="P1105" s="13"/>
      <c r="Q1105" s="14">
        <f>Tabela1[[#This Row],[QTDE/ Fabricação]]-Tabela1[[#This Row],[QTE]]</f>
        <v>-1</v>
      </c>
      <c r="R1105" s="18">
        <f>IFERROR(H1105*((AA1105*0.25)+(AC1105*0.25)+(AD1105*0.225)+(AE1105*0.225)+(AF1105*0.05)),"")</f>
        <v>44.756</v>
      </c>
      <c r="S1105" s="18">
        <f ca="1">IFERROR(H1105*AG1105,"")</f>
        <v>18.759999999999998</v>
      </c>
      <c r="T1105" s="19">
        <f ca="1">IFERROR(S1105-H1105,"")</f>
        <v>-34.840000000000003</v>
      </c>
      <c r="U1105" s="16">
        <f>IFERROR(SUMIF('LISTA DE EMBARQUE'!B:B,MICRO!E:E,'LISTA DE EMBARQUE'!G:G),"")</f>
        <v>0</v>
      </c>
      <c r="V1105" s="12" t="str">
        <f>IFERROR(VLOOKUP(Tabela1[[#This Row],[COD.MDE]],'LISTA DE EMBARQUE'!B:L,11,0),"")</f>
        <v/>
      </c>
      <c r="W1105" s="13" t="str">
        <f>IFERROR(VLOOKUP(Tabela1[[#This Row],[COD.MDE]],'LISTA DE EMBARQUE'!B:M,12,0),"")</f>
        <v/>
      </c>
      <c r="X1105" s="14">
        <f>IFERROR(Tabela1[[#This Row],[QIANTIDADE EXPEDIDA]]*Tabela1[[#This Row],[PESO UNI]],"")</f>
        <v>0</v>
      </c>
      <c r="Y1105" s="14">
        <f ca="1">U1105-C1105</f>
        <v>-1</v>
      </c>
      <c r="Z1105" s="20">
        <f ca="1">Tabela1[[#This Row],[PESO TOTAL]]-Tabela1[[#This Row],[Peso Expedido]]</f>
        <v>53.6</v>
      </c>
      <c r="AA1105" s="17">
        <v>1</v>
      </c>
      <c r="AB1105" s="33"/>
      <c r="AC1105" s="33">
        <v>1</v>
      </c>
      <c r="AD1105" s="33">
        <v>0.7</v>
      </c>
      <c r="AE1105" s="33">
        <v>0.7</v>
      </c>
      <c r="AF1105" s="33">
        <v>0.4</v>
      </c>
      <c r="AG1105" s="33">
        <v>0.35</v>
      </c>
      <c r="AH1105" s="33"/>
      <c r="AI1105" s="33"/>
      <c r="AJ1105"/>
      <c r="AK1105"/>
      <c r="AL1105"/>
      <c r="AM1105"/>
      <c r="AN1105"/>
      <c r="AO1105"/>
      <c r="AP1105"/>
      <c r="AQ1105" s="22"/>
      <c r="AR1105" s="24"/>
      <c r="AS1105" s="37"/>
      <c r="AT1105" s="37"/>
      <c r="AU1105" s="37"/>
      <c r="AV1105" s="37"/>
      <c r="AW1105" s="37"/>
    </row>
    <row r="1106" spans="1:49" ht="15.75" hidden="1" customHeight="1" x14ac:dyDescent="0.25">
      <c r="A1106" s="1" t="s">
        <v>5403</v>
      </c>
      <c r="B1106" s="21" t="s">
        <v>5404</v>
      </c>
      <c r="C1106" s="1">
        <v>1</v>
      </c>
      <c r="D1106" s="1" t="s">
        <v>5625</v>
      </c>
      <c r="E1106" s="7">
        <v>4840</v>
      </c>
      <c r="F1106" s="7">
        <v>64</v>
      </c>
      <c r="G1106" s="1">
        <v>43.9</v>
      </c>
      <c r="H1106" s="34">
        <f ca="1">Tabela1[[#This Row],[PESO UNI]]*Tabela1[[#This Row],[QTE]]</f>
        <v>43.9</v>
      </c>
      <c r="I1106" s="7">
        <v>0</v>
      </c>
      <c r="J1106" s="8" t="s">
        <v>3093</v>
      </c>
      <c r="K1106" s="8" t="s">
        <v>4320</v>
      </c>
      <c r="L1106" s="9" t="s">
        <v>2984</v>
      </c>
      <c r="M1106" s="10">
        <v>46260</v>
      </c>
      <c r="N1106" s="8" t="s">
        <v>5105</v>
      </c>
      <c r="O1106" s="12"/>
      <c r="P1106" s="13"/>
      <c r="Q1106" s="14">
        <f>Tabela1[[#This Row],[QTDE/ Fabricação]]-Tabela1[[#This Row],[QTE]]</f>
        <v>-1</v>
      </c>
      <c r="R1106" s="18">
        <f ca="1">IFERROR(H1106*((AA1106*0.25)+(AC1106*0.25)+(AD1106*0.225)+(AE1106*0.225)+(AF1106*0.05)),"")</f>
        <v>36.656499999999994</v>
      </c>
      <c r="S1106" s="18">
        <f ca="1">IFERROR(H1106*AG1106,"")</f>
        <v>15.364999999999998</v>
      </c>
      <c r="T1106" s="19">
        <f ca="1">IFERROR(S1106-H1106,"")</f>
        <v>-28.535</v>
      </c>
      <c r="U1106" s="16">
        <f>IFERROR(SUMIF('LISTA DE EMBARQUE'!B:B,MICRO!E:E,'LISTA DE EMBARQUE'!G:G),"")</f>
        <v>0</v>
      </c>
      <c r="V1106" s="12" t="str">
        <f>IFERROR(VLOOKUP(Tabela1[[#This Row],[COD.MDE]],'LISTA DE EMBARQUE'!B:L,11,0),"")</f>
        <v/>
      </c>
      <c r="W1106" s="13" t="str">
        <f>IFERROR(VLOOKUP(Tabela1[[#This Row],[COD.MDE]],'LISTA DE EMBARQUE'!B:M,12,0),"")</f>
        <v/>
      </c>
      <c r="X1106" s="14">
        <f ca="1">IFERROR(Tabela1[[#This Row],[QIANTIDADE EXPEDIDA]]*Tabela1[[#This Row],[PESO UNI]],"")</f>
        <v>0</v>
      </c>
      <c r="Y1106" s="14">
        <f ca="1">U1106-C1106</f>
        <v>-1</v>
      </c>
      <c r="Z1106" s="20">
        <f ca="1">Tabela1[[#This Row],[PESO TOTAL]]-Tabela1[[#This Row],[Peso Expedido]]</f>
        <v>43.9</v>
      </c>
      <c r="AA1106" s="17">
        <v>1</v>
      </c>
      <c r="AB1106" s="33"/>
      <c r="AC1106" s="33">
        <v>1</v>
      </c>
      <c r="AD1106" s="33">
        <v>0.7</v>
      </c>
      <c r="AE1106" s="33">
        <v>0.7</v>
      </c>
      <c r="AF1106" s="33">
        <v>0.4</v>
      </c>
      <c r="AG1106" s="33">
        <v>0.35</v>
      </c>
      <c r="AH1106" s="33"/>
      <c r="AI1106" s="33"/>
      <c r="AJ1106"/>
      <c r="AK1106"/>
      <c r="AL1106"/>
      <c r="AM1106"/>
      <c r="AN1106"/>
      <c r="AO1106"/>
      <c r="AP1106"/>
      <c r="AQ1106" s="22"/>
      <c r="AR1106" s="24"/>
      <c r="AS1106" s="37"/>
      <c r="AT1106" s="37"/>
      <c r="AU1106" s="37"/>
      <c r="AV1106" s="37"/>
      <c r="AW1106" s="37"/>
    </row>
    <row r="1107" spans="1:49" ht="15.75" hidden="1" customHeight="1" x14ac:dyDescent="0.25">
      <c r="A1107" s="1" t="s">
        <v>5403</v>
      </c>
      <c r="B1107" s="21" t="s">
        <v>5404</v>
      </c>
      <c r="C1107" s="1">
        <v>1</v>
      </c>
      <c r="D1107" s="1" t="s">
        <v>5626</v>
      </c>
      <c r="E1107" s="7">
        <v>4841</v>
      </c>
      <c r="F1107" s="7">
        <v>64</v>
      </c>
      <c r="G1107" s="1">
        <v>43.4</v>
      </c>
      <c r="H1107" s="34">
        <f>Tabela1[[#This Row],[PESO UNI]]*Tabela1[[#This Row],[QTE]]</f>
        <v>43.4</v>
      </c>
      <c r="I1107" s="7">
        <v>0</v>
      </c>
      <c r="J1107" s="8" t="s">
        <v>3093</v>
      </c>
      <c r="K1107" s="8" t="s">
        <v>4320</v>
      </c>
      <c r="L1107" s="9" t="s">
        <v>2984</v>
      </c>
      <c r="M1107" s="10">
        <v>46260</v>
      </c>
      <c r="N1107" s="8" t="s">
        <v>5105</v>
      </c>
      <c r="O1107" s="12"/>
      <c r="P1107" s="13"/>
      <c r="Q1107" s="14">
        <f>Tabela1[[#This Row],[QTDE/ Fabricação]]-Tabela1[[#This Row],[QTE]]</f>
        <v>-1</v>
      </c>
      <c r="R1107" s="18">
        <f>IFERROR(H1107*((AA1107*0.25)+(AC1107*0.25)+(AD1107*0.225)+(AE1107*0.225)+(AF1107*0.05)),"")</f>
        <v>36.238999999999997</v>
      </c>
      <c r="S1107" s="18">
        <f ca="1">IFERROR(H1107*AG1107,"")</f>
        <v>15.189999999999998</v>
      </c>
      <c r="T1107" s="19">
        <f ca="1">IFERROR(S1107-H1107,"")</f>
        <v>-28.21</v>
      </c>
      <c r="U1107" s="16">
        <f>IFERROR(SUMIF('LISTA DE EMBARQUE'!B:B,MICRO!E:E,'LISTA DE EMBARQUE'!G:G),"")</f>
        <v>0</v>
      </c>
      <c r="V1107" s="12" t="str">
        <f>IFERROR(VLOOKUP(Tabela1[[#This Row],[COD.MDE]],'LISTA DE EMBARQUE'!B:L,11,0),"")</f>
        <v/>
      </c>
      <c r="W1107" s="13" t="str">
        <f>IFERROR(VLOOKUP(Tabela1[[#This Row],[COD.MDE]],'LISTA DE EMBARQUE'!B:M,12,0),"")</f>
        <v/>
      </c>
      <c r="X1107" s="14">
        <f ca="1">IFERROR(Tabela1[[#This Row],[QIANTIDADE EXPEDIDA]]*Tabela1[[#This Row],[PESO UNI]],"")</f>
        <v>0</v>
      </c>
      <c r="Y1107" s="14">
        <f>U1107-C1107</f>
        <v>-1</v>
      </c>
      <c r="Z1107" s="20">
        <f ca="1">Tabela1[[#This Row],[PESO TOTAL]]-Tabela1[[#This Row],[Peso Expedido]]</f>
        <v>43.4</v>
      </c>
      <c r="AA1107" s="17">
        <v>1</v>
      </c>
      <c r="AB1107" s="33"/>
      <c r="AC1107" s="33">
        <v>1</v>
      </c>
      <c r="AD1107" s="33">
        <v>0.7</v>
      </c>
      <c r="AE1107" s="33">
        <v>0.7</v>
      </c>
      <c r="AF1107" s="33">
        <v>0.4</v>
      </c>
      <c r="AG1107" s="33">
        <v>0.35</v>
      </c>
      <c r="AH1107" s="33"/>
      <c r="AI1107" s="33"/>
      <c r="AJ1107"/>
      <c r="AK1107"/>
      <c r="AL1107"/>
      <c r="AM1107"/>
      <c r="AN1107"/>
      <c r="AO1107"/>
      <c r="AP1107"/>
      <c r="AQ1107" s="22"/>
      <c r="AR1107" s="24"/>
      <c r="AS1107" s="37"/>
      <c r="AT1107" s="37"/>
      <c r="AU1107" s="37"/>
      <c r="AV1107" s="37"/>
      <c r="AW1107" s="37"/>
    </row>
    <row r="1108" spans="1:49" ht="15.75" hidden="1" customHeight="1" x14ac:dyDescent="0.25">
      <c r="A1108" s="1" t="s">
        <v>5403</v>
      </c>
      <c r="B1108" s="21" t="s">
        <v>5404</v>
      </c>
      <c r="C1108" s="1">
        <v>1</v>
      </c>
      <c r="D1108" s="1" t="s">
        <v>5627</v>
      </c>
      <c r="E1108" s="7">
        <v>4842</v>
      </c>
      <c r="F1108" s="7">
        <v>64</v>
      </c>
      <c r="G1108" s="1">
        <v>43.4</v>
      </c>
      <c r="H1108" s="34">
        <f>Tabela1[[#This Row],[PESO UNI]]*Tabela1[[#This Row],[QTE]]</f>
        <v>43.4</v>
      </c>
      <c r="I1108" s="7">
        <v>0</v>
      </c>
      <c r="J1108" s="8" t="s">
        <v>3093</v>
      </c>
      <c r="K1108" s="8" t="s">
        <v>4320</v>
      </c>
      <c r="L1108" s="9" t="s">
        <v>2984</v>
      </c>
      <c r="M1108" s="10">
        <v>46260</v>
      </c>
      <c r="N1108" s="8" t="s">
        <v>5105</v>
      </c>
      <c r="O1108" s="12"/>
      <c r="P1108" s="13"/>
      <c r="Q1108" s="14">
        <f ca="1">Tabela1[[#This Row],[QTDE/ Fabricação]]-Tabela1[[#This Row],[QTE]]</f>
        <v>-1</v>
      </c>
      <c r="R1108" s="18">
        <f>IFERROR(H1108*((AA1108*0.25)+(AC1108*0.25)+(AD1108*0.225)+(AE1108*0.225)+(AF1108*0.05)),"")</f>
        <v>36.238999999999997</v>
      </c>
      <c r="S1108" s="18">
        <f ca="1">IFERROR(H1108*AG1108,"")</f>
        <v>15.189999999999998</v>
      </c>
      <c r="T1108" s="19">
        <f ca="1">IFERROR(S1108-H1108,"")</f>
        <v>-28.21</v>
      </c>
      <c r="U1108" s="16">
        <f>IFERROR(SUMIF('LISTA DE EMBARQUE'!B:B,MICRO!E:E,'LISTA DE EMBARQUE'!G:G),"")</f>
        <v>0</v>
      </c>
      <c r="V1108" s="12" t="str">
        <f>IFERROR(VLOOKUP(Tabela1[[#This Row],[COD.MDE]],'LISTA DE EMBARQUE'!B:L,11,0),"")</f>
        <v/>
      </c>
      <c r="W1108" s="13" t="str">
        <f>IFERROR(VLOOKUP(Tabela1[[#This Row],[COD.MDE]],'LISTA DE EMBARQUE'!B:M,12,0),"")</f>
        <v/>
      </c>
      <c r="X1108" s="14">
        <f ca="1">IFERROR(Tabela1[[#This Row],[QIANTIDADE EXPEDIDA]]*Tabela1[[#This Row],[PESO UNI]],"")</f>
        <v>0</v>
      </c>
      <c r="Y1108" s="14">
        <f>U1108-C1108</f>
        <v>-1</v>
      </c>
      <c r="Z1108" s="20">
        <f ca="1">Tabela1[[#This Row],[PESO TOTAL]]-Tabela1[[#This Row],[Peso Expedido]]</f>
        <v>43.4</v>
      </c>
      <c r="AA1108" s="17">
        <v>1</v>
      </c>
      <c r="AB1108" s="33"/>
      <c r="AC1108" s="33">
        <v>1</v>
      </c>
      <c r="AD1108" s="33">
        <v>0.7</v>
      </c>
      <c r="AE1108" s="33">
        <v>0.7</v>
      </c>
      <c r="AF1108" s="33">
        <v>0.4</v>
      </c>
      <c r="AG1108" s="33">
        <v>0.35</v>
      </c>
      <c r="AH1108" s="33"/>
      <c r="AI1108" s="33"/>
      <c r="AJ1108"/>
      <c r="AK1108"/>
      <c r="AL1108"/>
      <c r="AM1108"/>
      <c r="AN1108"/>
      <c r="AO1108"/>
      <c r="AP1108"/>
      <c r="AQ1108" s="22"/>
      <c r="AR1108" s="24"/>
      <c r="AS1108" s="37"/>
      <c r="AT1108" s="37"/>
      <c r="AU1108" s="37"/>
      <c r="AV1108" s="37"/>
      <c r="AW1108" s="37"/>
    </row>
    <row r="1109" spans="1:49" ht="15.75" hidden="1" customHeight="1" x14ac:dyDescent="0.25">
      <c r="A1109" s="1" t="s">
        <v>5403</v>
      </c>
      <c r="B1109" s="21" t="s">
        <v>5404</v>
      </c>
      <c r="C1109" s="1">
        <v>1</v>
      </c>
      <c r="D1109" s="1" t="s">
        <v>5628</v>
      </c>
      <c r="E1109" s="7">
        <v>4843</v>
      </c>
      <c r="F1109" s="7">
        <v>64</v>
      </c>
      <c r="G1109" s="1">
        <v>44.1</v>
      </c>
      <c r="H1109" s="34">
        <f ca="1">Tabela1[[#This Row],[PESO UNI]]*Tabela1[[#This Row],[QTE]]</f>
        <v>44.1</v>
      </c>
      <c r="I1109" s="7">
        <v>0</v>
      </c>
      <c r="J1109" s="8" t="s">
        <v>3093</v>
      </c>
      <c r="K1109" s="8" t="s">
        <v>4320</v>
      </c>
      <c r="L1109" s="9" t="s">
        <v>2984</v>
      </c>
      <c r="M1109" s="10">
        <v>46260</v>
      </c>
      <c r="N1109" s="8" t="s">
        <v>5105</v>
      </c>
      <c r="O1109" s="12"/>
      <c r="P1109" s="13"/>
      <c r="Q1109" s="14">
        <f>Tabela1[[#This Row],[QTDE/ Fabricação]]-Tabela1[[#This Row],[QTE]]</f>
        <v>-1</v>
      </c>
      <c r="R1109" s="18">
        <f ca="1">IFERROR(H1109*((AA1109*0.25)+(AC1109*0.25)+(AD1109*0.225)+(AE1109*0.225)+(AF1109*0.05)),"")</f>
        <v>36.823500000000003</v>
      </c>
      <c r="S1109" s="18">
        <f ca="1">IFERROR(H1109*AG1109,"")</f>
        <v>15.434999999999999</v>
      </c>
      <c r="T1109" s="19">
        <f ca="1">IFERROR(S1109-H1109,"")</f>
        <v>-28.665000000000003</v>
      </c>
      <c r="U1109" s="16">
        <f>IFERROR(SUMIF('LISTA DE EMBARQUE'!B:B,MICRO!E:E,'LISTA DE EMBARQUE'!G:G),"")</f>
        <v>0</v>
      </c>
      <c r="V1109" s="12" t="str">
        <f>IFERROR(VLOOKUP(Tabela1[[#This Row],[COD.MDE]],'LISTA DE EMBARQUE'!B:L,11,0),"")</f>
        <v/>
      </c>
      <c r="W1109" s="13" t="str">
        <f>IFERROR(VLOOKUP(Tabela1[[#This Row],[COD.MDE]],'LISTA DE EMBARQUE'!B:M,12,0),"")</f>
        <v/>
      </c>
      <c r="X1109" s="14">
        <f ca="1">IFERROR(Tabela1[[#This Row],[QIANTIDADE EXPEDIDA]]*Tabela1[[#This Row],[PESO UNI]],"")</f>
        <v>0</v>
      </c>
      <c r="Y1109" s="14">
        <f>U1109-C1109</f>
        <v>-1</v>
      </c>
      <c r="Z1109" s="20">
        <f ca="1">Tabela1[[#This Row],[PESO TOTAL]]-Tabela1[[#This Row],[Peso Expedido]]</f>
        <v>44.1</v>
      </c>
      <c r="AA1109" s="17">
        <v>1</v>
      </c>
      <c r="AB1109" s="33"/>
      <c r="AC1109" s="33">
        <v>1</v>
      </c>
      <c r="AD1109" s="33">
        <v>0.7</v>
      </c>
      <c r="AE1109" s="33">
        <v>0.7</v>
      </c>
      <c r="AF1109" s="33">
        <v>0.4</v>
      </c>
      <c r="AG1109" s="33">
        <v>0.35</v>
      </c>
      <c r="AH1109" s="33"/>
      <c r="AI1109" s="33"/>
      <c r="AJ1109"/>
      <c r="AK1109"/>
      <c r="AL1109"/>
      <c r="AM1109"/>
      <c r="AN1109"/>
      <c r="AO1109"/>
      <c r="AP1109"/>
      <c r="AQ1109" s="22"/>
      <c r="AR1109" s="24"/>
      <c r="AS1109" s="37"/>
      <c r="AT1109" s="37"/>
      <c r="AU1109" s="37"/>
      <c r="AV1109" s="37"/>
      <c r="AW1109" s="37"/>
    </row>
    <row r="1110" spans="1:49" ht="15.75" hidden="1" customHeight="1" x14ac:dyDescent="0.25">
      <c r="A1110" s="1" t="s">
        <v>5497</v>
      </c>
      <c r="B1110" s="21" t="s">
        <v>5498</v>
      </c>
      <c r="C1110" s="1">
        <v>2</v>
      </c>
      <c r="D1110" s="1" t="s">
        <v>5499</v>
      </c>
      <c r="E1110" s="7">
        <v>4751</v>
      </c>
      <c r="F1110" s="7">
        <v>65</v>
      </c>
      <c r="G1110" s="1">
        <v>257.5</v>
      </c>
      <c r="H1110" s="34">
        <f ca="1">Tabela1[[#This Row],[PESO UNI]]*Tabela1[[#This Row],[QTE]]</f>
        <v>515</v>
      </c>
      <c r="I1110" s="7" t="s">
        <v>5588</v>
      </c>
      <c r="J1110" s="8" t="s">
        <v>3140</v>
      </c>
      <c r="K1110" s="8" t="s">
        <v>4320</v>
      </c>
      <c r="L1110" s="9" t="s">
        <v>2984</v>
      </c>
      <c r="M1110" s="10">
        <v>46265</v>
      </c>
      <c r="N1110" s="8" t="s">
        <v>5105</v>
      </c>
      <c r="O1110" s="12"/>
      <c r="P1110" s="13"/>
      <c r="Q1110" s="14">
        <f ca="1">Tabela1[[#This Row],[QTDE/ Fabricação]]-Tabela1[[#This Row],[QTE]]</f>
        <v>-2</v>
      </c>
      <c r="R1110" s="18">
        <f t="shared" ref="R1110:R1142" ca="1" si="245">IFERROR(H1110*((AA1110*0.25)+(AC1110*0.25)+(AD1110*0.225)+(AE1110*0.225)+(AF1110*0.05)),"")</f>
        <v>430.02499999999998</v>
      </c>
      <c r="S1110" s="18">
        <f t="shared" ref="S1110:S1142" ca="1" si="246">IFERROR(H1110*AG1110,"")</f>
        <v>180.25</v>
      </c>
      <c r="T1110" s="19">
        <f t="shared" ref="T1110:T1142" ca="1" si="247">IFERROR(S1110-H1110,"")</f>
        <v>-334.75</v>
      </c>
      <c r="U1110" s="16">
        <f>IFERROR(SUMIF('LISTA DE EMBARQUE'!B:B,MICRO!E:E,'LISTA DE EMBARQUE'!G:G),"")</f>
        <v>0</v>
      </c>
      <c r="V1110" s="12" t="str">
        <f>IFERROR(VLOOKUP(Tabela1[[#This Row],[COD.MDE]],'LISTA DE EMBARQUE'!B:L,11,0),"")</f>
        <v/>
      </c>
      <c r="W1110" s="13" t="str">
        <f>IFERROR(VLOOKUP(Tabela1[[#This Row],[COD.MDE]],'LISTA DE EMBARQUE'!B:M,12,0),"")</f>
        <v/>
      </c>
      <c r="X1110" s="14">
        <f ca="1">IFERROR(Tabela1[[#This Row],[QIANTIDADE EXPEDIDA]]*Tabela1[[#This Row],[PESO UNI]],"")</f>
        <v>0</v>
      </c>
      <c r="Y1110" s="14">
        <f t="shared" ref="Y1110:Y1142" ca="1" si="248">U1110-C1110</f>
        <v>-2</v>
      </c>
      <c r="Z1110" s="20">
        <f ca="1">Tabela1[[#This Row],[PESO TOTAL]]-Tabela1[[#This Row],[Peso Expedido]]</f>
        <v>515</v>
      </c>
      <c r="AA1110" s="17">
        <v>1</v>
      </c>
      <c r="AB1110" s="33"/>
      <c r="AC1110" s="33">
        <v>1</v>
      </c>
      <c r="AD1110" s="33">
        <v>0.7</v>
      </c>
      <c r="AE1110" s="33">
        <v>0.7</v>
      </c>
      <c r="AF1110" s="33">
        <v>0.4</v>
      </c>
      <c r="AG1110" s="33">
        <v>0.35</v>
      </c>
      <c r="AH1110" s="33"/>
      <c r="AI1110" s="33"/>
      <c r="AJ1110"/>
      <c r="AK1110"/>
      <c r="AL1110"/>
      <c r="AM1110"/>
      <c r="AN1110"/>
      <c r="AO1110"/>
      <c r="AP1110"/>
      <c r="AQ1110" s="22"/>
      <c r="AR1110" s="24"/>
      <c r="AS1110" s="37"/>
      <c r="AT1110" s="37"/>
      <c r="AU1110" s="37"/>
      <c r="AV1110" s="37"/>
      <c r="AW1110" s="37"/>
    </row>
    <row r="1111" spans="1:49" ht="15.75" hidden="1" customHeight="1" x14ac:dyDescent="0.25">
      <c r="A1111" s="1" t="s">
        <v>5497</v>
      </c>
      <c r="B1111" s="21" t="s">
        <v>5498</v>
      </c>
      <c r="C1111" s="1">
        <v>1</v>
      </c>
      <c r="D1111" s="1" t="s">
        <v>5589</v>
      </c>
      <c r="E1111" s="7">
        <v>4799</v>
      </c>
      <c r="F1111" s="7">
        <v>65</v>
      </c>
      <c r="G1111" s="1">
        <v>1167.4000000000001</v>
      </c>
      <c r="H1111" s="34">
        <f>Tabela1[[#This Row],[PESO UNI]]*Tabela1[[#This Row],[QTE]]</f>
        <v>1167.4000000000001</v>
      </c>
      <c r="I1111" s="7" t="s">
        <v>5588</v>
      </c>
      <c r="J1111" s="8" t="s">
        <v>3140</v>
      </c>
      <c r="K1111" s="8" t="s">
        <v>4320</v>
      </c>
      <c r="L1111" s="9" t="s">
        <v>2984</v>
      </c>
      <c r="M1111" s="10">
        <v>46265</v>
      </c>
      <c r="N1111" s="8" t="s">
        <v>5105</v>
      </c>
      <c r="O1111" s="12"/>
      <c r="P1111" s="13"/>
      <c r="Q1111" s="14">
        <f ca="1">Tabela1[[#This Row],[QTDE/ Fabricação]]-Tabela1[[#This Row],[QTE]]</f>
        <v>-1</v>
      </c>
      <c r="R1111" s="18">
        <f ca="1">IFERROR(H1111*((AA1111*0.25)+(AC1111*0.25)+(AD1111*0.225)+(AE1111*0.225)+(AF1111*0.05)),"")</f>
        <v>974.779</v>
      </c>
      <c r="S1111" s="18">
        <f ca="1">IFERROR(H1111*AG1111,"")</f>
        <v>408.59000000000003</v>
      </c>
      <c r="T1111" s="19">
        <f ca="1">IFERROR(S1111-H1111,"")</f>
        <v>-758.81000000000006</v>
      </c>
      <c r="U1111" s="16">
        <f>IFERROR(SUMIF('LISTA DE EMBARQUE'!B:B,MICRO!E:E,'LISTA DE EMBARQUE'!G:G),"")</f>
        <v>0</v>
      </c>
      <c r="V1111" s="12" t="str">
        <f>IFERROR(VLOOKUP(Tabela1[[#This Row],[COD.MDE]],'LISTA DE EMBARQUE'!B:L,11,0),"")</f>
        <v/>
      </c>
      <c r="W1111" s="13" t="str">
        <f>IFERROR(VLOOKUP(Tabela1[[#This Row],[COD.MDE]],'LISTA DE EMBARQUE'!B:M,12,0),"")</f>
        <v/>
      </c>
      <c r="X1111" s="14">
        <f ca="1">IFERROR(Tabela1[[#This Row],[QIANTIDADE EXPEDIDA]]*Tabela1[[#This Row],[PESO UNI]],"")</f>
        <v>0</v>
      </c>
      <c r="Y1111" s="14">
        <f ca="1">U1111-C1111</f>
        <v>-1</v>
      </c>
      <c r="Z1111" s="20">
        <f ca="1">Tabela1[[#This Row],[PESO TOTAL]]-Tabela1[[#This Row],[Peso Expedido]]</f>
        <v>1167.4000000000001</v>
      </c>
      <c r="AA1111" s="17">
        <v>1</v>
      </c>
      <c r="AB1111" s="33"/>
      <c r="AC1111" s="33">
        <v>1</v>
      </c>
      <c r="AD1111" s="33">
        <v>0.7</v>
      </c>
      <c r="AE1111" s="33">
        <v>0.7</v>
      </c>
      <c r="AF1111" s="33">
        <v>0.4</v>
      </c>
      <c r="AG1111" s="33">
        <v>0.35</v>
      </c>
      <c r="AH1111" s="33"/>
      <c r="AI1111" s="33"/>
      <c r="AJ1111"/>
      <c r="AK1111"/>
      <c r="AL1111"/>
      <c r="AM1111"/>
      <c r="AN1111"/>
      <c r="AO1111"/>
      <c r="AP1111"/>
      <c r="AQ1111" s="22"/>
      <c r="AR1111" s="24"/>
      <c r="AS1111" s="37"/>
      <c r="AT1111" s="37"/>
      <c r="AU1111" s="37"/>
      <c r="AV1111" s="37"/>
      <c r="AW1111" s="37"/>
    </row>
    <row r="1112" spans="1:49" ht="15.75" hidden="1" customHeight="1" x14ac:dyDescent="0.25">
      <c r="A1112" s="1" t="s">
        <v>5500</v>
      </c>
      <c r="B1112" s="21" t="s">
        <v>5501</v>
      </c>
      <c r="C1112" s="1">
        <v>1</v>
      </c>
      <c r="D1112" s="1" t="s">
        <v>5504</v>
      </c>
      <c r="E1112" s="7">
        <v>4752</v>
      </c>
      <c r="F1112" s="7">
        <v>65</v>
      </c>
      <c r="G1112" s="1">
        <v>681.8</v>
      </c>
      <c r="H1112" s="34">
        <f ca="1">Tabela1[[#This Row],[PESO UNI]]*Tabela1[[#This Row],[QTE]]</f>
        <v>681.8</v>
      </c>
      <c r="I1112" s="7">
        <v>0</v>
      </c>
      <c r="J1112" s="8" t="s">
        <v>3140</v>
      </c>
      <c r="K1112" s="8" t="s">
        <v>4320</v>
      </c>
      <c r="L1112" s="9" t="s">
        <v>2984</v>
      </c>
      <c r="M1112" s="10">
        <v>46265</v>
      </c>
      <c r="N1112" s="8" t="s">
        <v>5105</v>
      </c>
      <c r="O1112" s="12"/>
      <c r="P1112" s="13"/>
      <c r="Q1112" s="14">
        <f ca="1">Tabela1[[#This Row],[QTDE/ Fabricação]]-Tabela1[[#This Row],[QTE]]</f>
        <v>-1</v>
      </c>
      <c r="R1112" s="18">
        <f t="shared" ca="1" si="245"/>
        <v>569.30299999999988</v>
      </c>
      <c r="S1112" s="18">
        <f t="shared" ca="1" si="246"/>
        <v>238.62999999999997</v>
      </c>
      <c r="T1112" s="19">
        <f t="shared" ca="1" si="247"/>
        <v>-443.16999999999996</v>
      </c>
      <c r="U1112" s="16">
        <f>IFERROR(SUMIF('LISTA DE EMBARQUE'!B:B,MICRO!E:E,'LISTA DE EMBARQUE'!G:G),"")</f>
        <v>0</v>
      </c>
      <c r="V1112" s="12" t="str">
        <f>IFERROR(VLOOKUP(Tabela1[[#This Row],[COD.MDE]],'LISTA DE EMBARQUE'!B:L,11,0),"")</f>
        <v/>
      </c>
      <c r="W1112" s="13" t="str">
        <f>IFERROR(VLOOKUP(Tabela1[[#This Row],[COD.MDE]],'LISTA DE EMBARQUE'!B:M,12,0),"")</f>
        <v/>
      </c>
      <c r="X1112" s="14">
        <f ca="1">IFERROR(Tabela1[[#This Row],[QIANTIDADE EXPEDIDA]]*Tabela1[[#This Row],[PESO UNI]],"")</f>
        <v>0</v>
      </c>
      <c r="Y1112" s="14">
        <f t="shared" ca="1" si="248"/>
        <v>-1</v>
      </c>
      <c r="Z1112" s="20">
        <f ca="1">Tabela1[[#This Row],[PESO TOTAL]]-Tabela1[[#This Row],[Peso Expedido]]</f>
        <v>681.8</v>
      </c>
      <c r="AA1112" s="17">
        <v>1</v>
      </c>
      <c r="AB1112" s="33"/>
      <c r="AC1112" s="33">
        <v>1</v>
      </c>
      <c r="AD1112" s="33">
        <v>0.7</v>
      </c>
      <c r="AE1112" s="33">
        <v>0.7</v>
      </c>
      <c r="AF1112" s="33">
        <v>0.4</v>
      </c>
      <c r="AG1112" s="33">
        <v>0.35</v>
      </c>
      <c r="AH1112" s="33"/>
      <c r="AI1112" s="33"/>
      <c r="AJ1112"/>
      <c r="AK1112"/>
      <c r="AL1112"/>
      <c r="AM1112"/>
      <c r="AN1112"/>
      <c r="AO1112"/>
      <c r="AP1112"/>
      <c r="AQ1112" s="22"/>
      <c r="AR1112" s="24"/>
      <c r="AS1112" s="37"/>
      <c r="AT1112" s="37"/>
      <c r="AU1112" s="37"/>
      <c r="AV1112" s="37"/>
      <c r="AW1112" s="37"/>
    </row>
    <row r="1113" spans="1:49" ht="15.75" hidden="1" customHeight="1" x14ac:dyDescent="0.25">
      <c r="A1113" s="1" t="s">
        <v>5502</v>
      </c>
      <c r="B1113" s="21" t="s">
        <v>5503</v>
      </c>
      <c r="C1113" s="1">
        <v>1</v>
      </c>
      <c r="D1113" s="1" t="s">
        <v>5505</v>
      </c>
      <c r="E1113" s="7">
        <v>4753</v>
      </c>
      <c r="F1113" s="7">
        <v>65</v>
      </c>
      <c r="G1113" s="1">
        <v>254.6</v>
      </c>
      <c r="H1113" s="34">
        <f ca="1">Tabela1[[#This Row],[PESO UNI]]*Tabela1[[#This Row],[QTE]]</f>
        <v>254.6</v>
      </c>
      <c r="I1113" s="7">
        <v>0</v>
      </c>
      <c r="J1113" s="8" t="s">
        <v>3140</v>
      </c>
      <c r="K1113" s="8" t="s">
        <v>4320</v>
      </c>
      <c r="L1113" s="9" t="s">
        <v>2984</v>
      </c>
      <c r="M1113" s="10">
        <v>46265</v>
      </c>
      <c r="N1113" s="8" t="s">
        <v>5105</v>
      </c>
      <c r="O1113" s="12"/>
      <c r="P1113" s="13"/>
      <c r="Q1113" s="14">
        <f ca="1">Tabela1[[#This Row],[QTDE/ Fabricação]]-Tabela1[[#This Row],[QTE]]</f>
        <v>-1</v>
      </c>
      <c r="R1113" s="18">
        <f t="shared" ca="1" si="245"/>
        <v>212.59099999999998</v>
      </c>
      <c r="S1113" s="18">
        <f t="shared" ca="1" si="246"/>
        <v>89.11</v>
      </c>
      <c r="T1113" s="19">
        <f t="shared" ca="1" si="247"/>
        <v>-165.49</v>
      </c>
      <c r="U1113" s="16">
        <f>IFERROR(SUMIF('LISTA DE EMBARQUE'!B:B,MICRO!E:E,'LISTA DE EMBARQUE'!G:G),"")</f>
        <v>0</v>
      </c>
      <c r="V1113" s="12" t="str">
        <f>IFERROR(VLOOKUP(Tabela1[[#This Row],[COD.MDE]],'LISTA DE EMBARQUE'!B:L,11,0),"")</f>
        <v/>
      </c>
      <c r="W1113" s="13" t="str">
        <f>IFERROR(VLOOKUP(Tabela1[[#This Row],[COD.MDE]],'LISTA DE EMBARQUE'!B:M,12,0),"")</f>
        <v/>
      </c>
      <c r="X1113" s="14">
        <f ca="1">IFERROR(Tabela1[[#This Row],[QIANTIDADE EXPEDIDA]]*Tabela1[[#This Row],[PESO UNI]],"")</f>
        <v>0</v>
      </c>
      <c r="Y1113" s="14">
        <f t="shared" ca="1" si="248"/>
        <v>-1</v>
      </c>
      <c r="Z1113" s="20">
        <f ca="1">Tabela1[[#This Row],[PESO TOTAL]]-Tabela1[[#This Row],[Peso Expedido]]</f>
        <v>254.6</v>
      </c>
      <c r="AA1113" s="17">
        <v>1</v>
      </c>
      <c r="AB1113" s="33"/>
      <c r="AC1113" s="33">
        <v>1</v>
      </c>
      <c r="AD1113" s="33">
        <v>0.7</v>
      </c>
      <c r="AE1113" s="33">
        <v>0.7</v>
      </c>
      <c r="AF1113" s="33">
        <v>0.4</v>
      </c>
      <c r="AG1113" s="33">
        <v>0.35</v>
      </c>
      <c r="AH1113" s="33"/>
      <c r="AI1113" s="33"/>
      <c r="AJ1113"/>
      <c r="AK1113"/>
      <c r="AL1113"/>
      <c r="AM1113"/>
      <c r="AN1113"/>
      <c r="AO1113"/>
      <c r="AP1113"/>
      <c r="AQ1113" s="22"/>
      <c r="AR1113" s="24"/>
      <c r="AS1113" s="37"/>
      <c r="AT1113" s="37"/>
      <c r="AU1113" s="37"/>
      <c r="AV1113" s="37"/>
      <c r="AW1113" s="37"/>
    </row>
    <row r="1114" spans="1:49" ht="15.75" hidden="1" customHeight="1" x14ac:dyDescent="0.25">
      <c r="A1114" s="1" t="s">
        <v>5502</v>
      </c>
      <c r="B1114" s="21" t="s">
        <v>5503</v>
      </c>
      <c r="C1114" s="1">
        <v>1</v>
      </c>
      <c r="D1114" s="1" t="s">
        <v>5506</v>
      </c>
      <c r="E1114" s="7">
        <v>4754</v>
      </c>
      <c r="F1114" s="7">
        <v>65</v>
      </c>
      <c r="G1114" s="1">
        <v>223</v>
      </c>
      <c r="H1114" s="34">
        <f ca="1">Tabela1[[#This Row],[PESO UNI]]*Tabela1[[#This Row],[QTE]]</f>
        <v>223</v>
      </c>
      <c r="I1114" s="7">
        <v>0</v>
      </c>
      <c r="J1114" s="8" t="s">
        <v>3140</v>
      </c>
      <c r="K1114" s="8" t="s">
        <v>4320</v>
      </c>
      <c r="L1114" s="9" t="s">
        <v>2984</v>
      </c>
      <c r="M1114" s="10">
        <v>46265</v>
      </c>
      <c r="N1114" s="8" t="s">
        <v>5105</v>
      </c>
      <c r="O1114" s="12"/>
      <c r="P1114" s="13"/>
      <c r="Q1114" s="14">
        <f ca="1">Tabela1[[#This Row],[QTDE/ Fabricação]]-Tabela1[[#This Row],[QTE]]</f>
        <v>-1</v>
      </c>
      <c r="R1114" s="18">
        <f t="shared" ca="1" si="245"/>
        <v>186.20499999999998</v>
      </c>
      <c r="S1114" s="18">
        <f t="shared" ca="1" si="246"/>
        <v>78.05</v>
      </c>
      <c r="T1114" s="19">
        <f t="shared" ca="1" si="247"/>
        <v>-144.94999999999999</v>
      </c>
      <c r="U1114" s="16">
        <f>IFERROR(SUMIF('LISTA DE EMBARQUE'!B:B,MICRO!E:E,'LISTA DE EMBARQUE'!G:G),"")</f>
        <v>0</v>
      </c>
      <c r="V1114" s="12" t="str">
        <f>IFERROR(VLOOKUP(Tabela1[[#This Row],[COD.MDE]],'LISTA DE EMBARQUE'!B:L,11,0),"")</f>
        <v/>
      </c>
      <c r="W1114" s="13" t="str">
        <f>IFERROR(VLOOKUP(Tabela1[[#This Row],[COD.MDE]],'LISTA DE EMBARQUE'!B:M,12,0),"")</f>
        <v/>
      </c>
      <c r="X1114" s="14">
        <f ca="1">IFERROR(Tabela1[[#This Row],[QIANTIDADE EXPEDIDA]]*Tabela1[[#This Row],[PESO UNI]],"")</f>
        <v>0</v>
      </c>
      <c r="Y1114" s="14">
        <f t="shared" ca="1" si="248"/>
        <v>-1</v>
      </c>
      <c r="Z1114" s="20">
        <f ca="1">Tabela1[[#This Row],[PESO TOTAL]]-Tabela1[[#This Row],[Peso Expedido]]</f>
        <v>223</v>
      </c>
      <c r="AA1114" s="17">
        <v>1</v>
      </c>
      <c r="AB1114" s="33"/>
      <c r="AC1114" s="33">
        <v>1</v>
      </c>
      <c r="AD1114" s="33">
        <v>0.7</v>
      </c>
      <c r="AE1114" s="33">
        <v>0.7</v>
      </c>
      <c r="AF1114" s="33">
        <v>0.4</v>
      </c>
      <c r="AG1114" s="33">
        <v>0.35</v>
      </c>
      <c r="AH1114" s="33"/>
      <c r="AI1114" s="33"/>
      <c r="AJ1114"/>
      <c r="AK1114"/>
      <c r="AL1114"/>
      <c r="AM1114"/>
      <c r="AN1114"/>
      <c r="AO1114"/>
      <c r="AP1114"/>
      <c r="AQ1114" s="22"/>
      <c r="AR1114" s="24"/>
      <c r="AS1114" s="37"/>
      <c r="AT1114" s="37"/>
      <c r="AU1114" s="37"/>
      <c r="AV1114" s="37"/>
      <c r="AW1114" s="37"/>
    </row>
    <row r="1115" spans="1:49" ht="15.75" hidden="1" customHeight="1" x14ac:dyDescent="0.25">
      <c r="A1115" s="1" t="s">
        <v>5512</v>
      </c>
      <c r="B1115" s="21" t="s">
        <v>5507</v>
      </c>
      <c r="C1115" s="1">
        <v>1</v>
      </c>
      <c r="D1115" s="1" t="s">
        <v>5511</v>
      </c>
      <c r="E1115" s="7">
        <v>4755</v>
      </c>
      <c r="F1115" s="7">
        <v>65</v>
      </c>
      <c r="G1115" s="1">
        <v>208.4</v>
      </c>
      <c r="H1115" s="34">
        <f ca="1">Tabela1[[#This Row],[PESO UNI]]*Tabela1[[#This Row],[QTE]]</f>
        <v>208.4</v>
      </c>
      <c r="I1115" s="7">
        <v>0</v>
      </c>
      <c r="J1115" s="8" t="s">
        <v>3140</v>
      </c>
      <c r="K1115" s="8" t="s">
        <v>4320</v>
      </c>
      <c r="L1115" s="9" t="s">
        <v>2984</v>
      </c>
      <c r="M1115" s="10">
        <v>46265</v>
      </c>
      <c r="N1115" s="8" t="s">
        <v>5105</v>
      </c>
      <c r="O1115" s="12"/>
      <c r="P1115" s="13"/>
      <c r="Q1115" s="14">
        <f ca="1">Tabela1[[#This Row],[QTDE/ Fabricação]]-Tabela1[[#This Row],[QTE]]</f>
        <v>-1</v>
      </c>
      <c r="R1115" s="18">
        <f t="shared" ca="1" si="245"/>
        <v>174.01400000000001</v>
      </c>
      <c r="S1115" s="18">
        <f t="shared" ca="1" si="246"/>
        <v>72.94</v>
      </c>
      <c r="T1115" s="19">
        <f t="shared" ca="1" si="247"/>
        <v>-135.46</v>
      </c>
      <c r="U1115" s="16">
        <f>IFERROR(SUMIF('LISTA DE EMBARQUE'!B:B,MICRO!E:E,'LISTA DE EMBARQUE'!G:G),"")</f>
        <v>0</v>
      </c>
      <c r="V1115" s="12" t="str">
        <f>IFERROR(VLOOKUP(Tabela1[[#This Row],[COD.MDE]],'LISTA DE EMBARQUE'!B:L,11,0),"")</f>
        <v/>
      </c>
      <c r="W1115" s="13" t="str">
        <f>IFERROR(VLOOKUP(Tabela1[[#This Row],[COD.MDE]],'LISTA DE EMBARQUE'!B:M,12,0),"")</f>
        <v/>
      </c>
      <c r="X1115" s="14">
        <f ca="1">IFERROR(Tabela1[[#This Row],[QIANTIDADE EXPEDIDA]]*Tabela1[[#This Row],[PESO UNI]],"")</f>
        <v>0</v>
      </c>
      <c r="Y1115" s="14">
        <f t="shared" ca="1" si="248"/>
        <v>-1</v>
      </c>
      <c r="Z1115" s="20">
        <f ca="1">Tabela1[[#This Row],[PESO TOTAL]]-Tabela1[[#This Row],[Peso Expedido]]</f>
        <v>208.4</v>
      </c>
      <c r="AA1115" s="17">
        <v>1</v>
      </c>
      <c r="AB1115" s="33"/>
      <c r="AC1115" s="33">
        <v>1</v>
      </c>
      <c r="AD1115" s="33">
        <v>0.7</v>
      </c>
      <c r="AE1115" s="33">
        <v>0.7</v>
      </c>
      <c r="AF1115" s="33">
        <v>0.4</v>
      </c>
      <c r="AG1115" s="33">
        <v>0.35</v>
      </c>
      <c r="AH1115" s="33"/>
      <c r="AI1115" s="33"/>
      <c r="AJ1115"/>
      <c r="AK1115"/>
      <c r="AL1115"/>
      <c r="AM1115"/>
      <c r="AN1115"/>
      <c r="AO1115"/>
      <c r="AP1115"/>
      <c r="AQ1115" s="22"/>
      <c r="AR1115" s="24"/>
      <c r="AS1115" s="37"/>
      <c r="AT1115" s="37"/>
      <c r="AU1115" s="37"/>
      <c r="AV1115" s="37"/>
      <c r="AW1115" s="37"/>
    </row>
    <row r="1116" spans="1:49" ht="15.75" hidden="1" customHeight="1" x14ac:dyDescent="0.25">
      <c r="A1116" s="1" t="s">
        <v>5509</v>
      </c>
      <c r="B1116" s="21" t="s">
        <v>5508</v>
      </c>
      <c r="C1116" s="1">
        <v>1</v>
      </c>
      <c r="D1116" s="1" t="s">
        <v>5510</v>
      </c>
      <c r="E1116" s="7">
        <v>4756</v>
      </c>
      <c r="F1116" s="7">
        <v>65</v>
      </c>
      <c r="G1116" s="1">
        <v>208.9</v>
      </c>
      <c r="H1116" s="34">
        <f ca="1">Tabela1[[#This Row],[PESO UNI]]*Tabela1[[#This Row],[QTE]]</f>
        <v>208.9</v>
      </c>
      <c r="I1116" s="7">
        <v>0</v>
      </c>
      <c r="J1116" s="8" t="s">
        <v>3140</v>
      </c>
      <c r="K1116" s="8" t="s">
        <v>4320</v>
      </c>
      <c r="L1116" s="9" t="s">
        <v>2984</v>
      </c>
      <c r="M1116" s="10">
        <v>46265</v>
      </c>
      <c r="N1116" s="8" t="s">
        <v>5105</v>
      </c>
      <c r="O1116" s="12"/>
      <c r="P1116" s="13"/>
      <c r="Q1116" s="14">
        <f ca="1">Tabela1[[#This Row],[QTDE/ Fabricação]]-Tabela1[[#This Row],[QTE]]</f>
        <v>-1</v>
      </c>
      <c r="R1116" s="18">
        <f t="shared" ca="1" si="245"/>
        <v>174.4315</v>
      </c>
      <c r="S1116" s="18">
        <f t="shared" ca="1" si="246"/>
        <v>73.114999999999995</v>
      </c>
      <c r="T1116" s="19">
        <f t="shared" ca="1" si="247"/>
        <v>-135.78500000000003</v>
      </c>
      <c r="U1116" s="16">
        <f>IFERROR(SUMIF('LISTA DE EMBARQUE'!B:B,MICRO!E:E,'LISTA DE EMBARQUE'!G:G),"")</f>
        <v>0</v>
      </c>
      <c r="V1116" s="12" t="str">
        <f>IFERROR(VLOOKUP(Tabela1[[#This Row],[COD.MDE]],'LISTA DE EMBARQUE'!B:L,11,0),"")</f>
        <v/>
      </c>
      <c r="W1116" s="13" t="str">
        <f>IFERROR(VLOOKUP(Tabela1[[#This Row],[COD.MDE]],'LISTA DE EMBARQUE'!B:M,12,0),"")</f>
        <v/>
      </c>
      <c r="X1116" s="14">
        <f ca="1">IFERROR(Tabela1[[#This Row],[QIANTIDADE EXPEDIDA]]*Tabela1[[#This Row],[PESO UNI]],"")</f>
        <v>0</v>
      </c>
      <c r="Y1116" s="14">
        <f t="shared" ca="1" si="248"/>
        <v>-1</v>
      </c>
      <c r="Z1116" s="20">
        <f ca="1">Tabela1[[#This Row],[PESO TOTAL]]-Tabela1[[#This Row],[Peso Expedido]]</f>
        <v>208.9</v>
      </c>
      <c r="AA1116" s="17">
        <v>1</v>
      </c>
      <c r="AB1116" s="33"/>
      <c r="AC1116" s="33">
        <v>1</v>
      </c>
      <c r="AD1116" s="33">
        <v>0.7</v>
      </c>
      <c r="AE1116" s="33">
        <v>0.7</v>
      </c>
      <c r="AF1116" s="33">
        <v>0.4</v>
      </c>
      <c r="AG1116" s="33">
        <v>0.35</v>
      </c>
      <c r="AH1116" s="33"/>
      <c r="AI1116" s="33"/>
      <c r="AJ1116"/>
      <c r="AK1116"/>
      <c r="AL1116"/>
      <c r="AM1116"/>
      <c r="AN1116"/>
      <c r="AO1116"/>
      <c r="AP1116"/>
      <c r="AQ1116" s="22"/>
      <c r="AR1116" s="24"/>
      <c r="AS1116" s="37"/>
      <c r="AT1116" s="37"/>
      <c r="AU1116" s="37"/>
      <c r="AV1116" s="37"/>
      <c r="AW1116" s="37"/>
    </row>
    <row r="1117" spans="1:49" ht="15.75" hidden="1" customHeight="1" x14ac:dyDescent="0.25">
      <c r="A1117" s="1" t="s">
        <v>5513</v>
      </c>
      <c r="B1117" s="21" t="s">
        <v>5514</v>
      </c>
      <c r="C1117" s="1">
        <v>1</v>
      </c>
      <c r="D1117" s="1" t="s">
        <v>5523</v>
      </c>
      <c r="E1117" s="7">
        <v>4757</v>
      </c>
      <c r="F1117" s="7">
        <v>65</v>
      </c>
      <c r="G1117" s="1">
        <v>136.80000000000001</v>
      </c>
      <c r="H1117" s="34">
        <f ca="1">Tabela1[[#This Row],[PESO UNI]]*Tabela1[[#This Row],[QTE]]</f>
        <v>136.80000000000001</v>
      </c>
      <c r="I1117" s="7">
        <v>0</v>
      </c>
      <c r="J1117" s="8" t="s">
        <v>3140</v>
      </c>
      <c r="K1117" s="8" t="s">
        <v>4320</v>
      </c>
      <c r="L1117" s="9" t="s">
        <v>2984</v>
      </c>
      <c r="M1117" s="10">
        <v>46265</v>
      </c>
      <c r="N1117" s="8" t="s">
        <v>5105</v>
      </c>
      <c r="O1117" s="12"/>
      <c r="P1117" s="13"/>
      <c r="Q1117" s="14">
        <f ca="1">Tabela1[[#This Row],[QTDE/ Fabricação]]-Tabela1[[#This Row],[QTE]]</f>
        <v>-1</v>
      </c>
      <c r="R1117" s="18">
        <f t="shared" ca="1" si="245"/>
        <v>114.22800000000001</v>
      </c>
      <c r="S1117" s="18">
        <f t="shared" ca="1" si="246"/>
        <v>47.88</v>
      </c>
      <c r="T1117" s="19">
        <f t="shared" ca="1" si="247"/>
        <v>-88.920000000000016</v>
      </c>
      <c r="U1117" s="16">
        <f>IFERROR(SUMIF('LISTA DE EMBARQUE'!B:B,MICRO!E:E,'LISTA DE EMBARQUE'!G:G),"")</f>
        <v>0</v>
      </c>
      <c r="V1117" s="12" t="str">
        <f>IFERROR(VLOOKUP(Tabela1[[#This Row],[COD.MDE]],'LISTA DE EMBARQUE'!B:L,11,0),"")</f>
        <v/>
      </c>
      <c r="W1117" s="13" t="str">
        <f>IFERROR(VLOOKUP(Tabela1[[#This Row],[COD.MDE]],'LISTA DE EMBARQUE'!B:M,12,0),"")</f>
        <v/>
      </c>
      <c r="X1117" s="14">
        <f ca="1">IFERROR(Tabela1[[#This Row],[QIANTIDADE EXPEDIDA]]*Tabela1[[#This Row],[PESO UNI]],"")</f>
        <v>0</v>
      </c>
      <c r="Y1117" s="14">
        <f t="shared" ca="1" si="248"/>
        <v>-1</v>
      </c>
      <c r="Z1117" s="20">
        <f ca="1">Tabela1[[#This Row],[PESO TOTAL]]-Tabela1[[#This Row],[Peso Expedido]]</f>
        <v>136.80000000000001</v>
      </c>
      <c r="AA1117" s="17">
        <v>1</v>
      </c>
      <c r="AB1117" s="33"/>
      <c r="AC1117" s="33">
        <v>1</v>
      </c>
      <c r="AD1117" s="33">
        <v>0.7</v>
      </c>
      <c r="AE1117" s="33">
        <v>0.7</v>
      </c>
      <c r="AF1117" s="33">
        <v>0.4</v>
      </c>
      <c r="AG1117" s="33">
        <v>0.35</v>
      </c>
      <c r="AH1117" s="33"/>
      <c r="AI1117" s="33"/>
      <c r="AJ1117"/>
      <c r="AK1117"/>
      <c r="AL1117"/>
      <c r="AM1117"/>
      <c r="AN1117"/>
      <c r="AO1117"/>
      <c r="AP1117"/>
      <c r="AQ1117" s="22"/>
      <c r="AR1117" s="24"/>
      <c r="AS1117" s="37"/>
      <c r="AT1117" s="37"/>
      <c r="AU1117" s="37"/>
      <c r="AV1117" s="37"/>
      <c r="AW1117" s="37"/>
    </row>
    <row r="1118" spans="1:49" ht="15.75" hidden="1" customHeight="1" x14ac:dyDescent="0.25">
      <c r="A1118" s="1" t="s">
        <v>5513</v>
      </c>
      <c r="B1118" s="21" t="s">
        <v>5514</v>
      </c>
      <c r="C1118" s="1">
        <v>1</v>
      </c>
      <c r="D1118" s="1" t="s">
        <v>5522</v>
      </c>
      <c r="E1118" s="7">
        <v>4758</v>
      </c>
      <c r="F1118" s="7">
        <v>65</v>
      </c>
      <c r="G1118" s="1">
        <v>106.8</v>
      </c>
      <c r="H1118" s="34">
        <f ca="1">Tabela1[[#This Row],[PESO UNI]]*Tabela1[[#This Row],[QTE]]</f>
        <v>106.8</v>
      </c>
      <c r="I1118" s="7">
        <v>0</v>
      </c>
      <c r="J1118" s="8" t="s">
        <v>3140</v>
      </c>
      <c r="K1118" s="8" t="s">
        <v>4320</v>
      </c>
      <c r="L1118" s="9" t="s">
        <v>2984</v>
      </c>
      <c r="M1118" s="10">
        <v>46265</v>
      </c>
      <c r="N1118" s="8" t="s">
        <v>5105</v>
      </c>
      <c r="O1118" s="12"/>
      <c r="P1118" s="13"/>
      <c r="Q1118" s="14">
        <f ca="1">Tabela1[[#This Row],[QTDE/ Fabricação]]-Tabela1[[#This Row],[QTE]]</f>
        <v>-1</v>
      </c>
      <c r="R1118" s="18">
        <f t="shared" ca="1" si="245"/>
        <v>89.177999999999997</v>
      </c>
      <c r="S1118" s="18">
        <f t="shared" ca="1" si="246"/>
        <v>37.379999999999995</v>
      </c>
      <c r="T1118" s="19">
        <f t="shared" ca="1" si="247"/>
        <v>-69.42</v>
      </c>
      <c r="U1118" s="16">
        <f>IFERROR(SUMIF('LISTA DE EMBARQUE'!B:B,MICRO!E:E,'LISTA DE EMBARQUE'!G:G),"")</f>
        <v>0</v>
      </c>
      <c r="V1118" s="12" t="str">
        <f>IFERROR(VLOOKUP(Tabela1[[#This Row],[COD.MDE]],'LISTA DE EMBARQUE'!B:L,11,0),"")</f>
        <v/>
      </c>
      <c r="W1118" s="13" t="str">
        <f>IFERROR(VLOOKUP(Tabela1[[#This Row],[COD.MDE]],'LISTA DE EMBARQUE'!B:M,12,0),"")</f>
        <v/>
      </c>
      <c r="X1118" s="14">
        <f ca="1">IFERROR(Tabela1[[#This Row],[QIANTIDADE EXPEDIDA]]*Tabela1[[#This Row],[PESO UNI]],"")</f>
        <v>0</v>
      </c>
      <c r="Y1118" s="14">
        <f t="shared" ca="1" si="248"/>
        <v>-1</v>
      </c>
      <c r="Z1118" s="20">
        <f ca="1">Tabela1[[#This Row],[PESO TOTAL]]-Tabela1[[#This Row],[Peso Expedido]]</f>
        <v>106.8</v>
      </c>
      <c r="AA1118" s="17">
        <v>1</v>
      </c>
      <c r="AB1118" s="33"/>
      <c r="AC1118" s="33">
        <v>1</v>
      </c>
      <c r="AD1118" s="33">
        <v>0.7</v>
      </c>
      <c r="AE1118" s="33">
        <v>0.7</v>
      </c>
      <c r="AF1118" s="33">
        <v>0.4</v>
      </c>
      <c r="AG1118" s="33">
        <v>0.35</v>
      </c>
      <c r="AH1118" s="33"/>
      <c r="AI1118" s="33"/>
      <c r="AJ1118"/>
      <c r="AK1118"/>
      <c r="AL1118"/>
      <c r="AM1118"/>
      <c r="AN1118"/>
      <c r="AO1118"/>
      <c r="AP1118"/>
      <c r="AQ1118" s="22"/>
      <c r="AR1118" s="24"/>
      <c r="AS1118" s="37"/>
      <c r="AT1118" s="37"/>
      <c r="AU1118" s="37"/>
      <c r="AV1118" s="37"/>
      <c r="AW1118" s="37"/>
    </row>
    <row r="1119" spans="1:49" ht="15.75" hidden="1" customHeight="1" x14ac:dyDescent="0.25">
      <c r="A1119" s="1" t="s">
        <v>5515</v>
      </c>
      <c r="B1119" s="21" t="s">
        <v>5516</v>
      </c>
      <c r="C1119" s="1">
        <v>1</v>
      </c>
      <c r="D1119" s="1" t="s">
        <v>5521</v>
      </c>
      <c r="E1119" s="7">
        <v>4759</v>
      </c>
      <c r="F1119" s="7">
        <v>65</v>
      </c>
      <c r="G1119" s="1">
        <v>136.80000000000001</v>
      </c>
      <c r="H1119" s="34">
        <f ca="1">Tabela1[[#This Row],[PESO UNI]]*Tabela1[[#This Row],[QTE]]</f>
        <v>136.80000000000001</v>
      </c>
      <c r="I1119" s="7">
        <v>0</v>
      </c>
      <c r="J1119" s="8" t="s">
        <v>3140</v>
      </c>
      <c r="K1119" s="8" t="s">
        <v>4320</v>
      </c>
      <c r="L1119" s="9" t="s">
        <v>2984</v>
      </c>
      <c r="M1119" s="10">
        <v>46265</v>
      </c>
      <c r="N1119" s="8" t="s">
        <v>5105</v>
      </c>
      <c r="O1119" s="12"/>
      <c r="P1119" s="13"/>
      <c r="Q1119" s="14">
        <f ca="1">Tabela1[[#This Row],[QTDE/ Fabricação]]-Tabela1[[#This Row],[QTE]]</f>
        <v>-1</v>
      </c>
      <c r="R1119" s="18">
        <f t="shared" ca="1" si="245"/>
        <v>114.22800000000001</v>
      </c>
      <c r="S1119" s="18">
        <f t="shared" ca="1" si="246"/>
        <v>47.88</v>
      </c>
      <c r="T1119" s="19">
        <f t="shared" ca="1" si="247"/>
        <v>-88.920000000000016</v>
      </c>
      <c r="U1119" s="16">
        <f>IFERROR(SUMIF('LISTA DE EMBARQUE'!B:B,MICRO!E:E,'LISTA DE EMBARQUE'!G:G),"")</f>
        <v>0</v>
      </c>
      <c r="V1119" s="12" t="str">
        <f>IFERROR(VLOOKUP(Tabela1[[#This Row],[COD.MDE]],'LISTA DE EMBARQUE'!B:L,11,0),"")</f>
        <v/>
      </c>
      <c r="W1119" s="13" t="str">
        <f>IFERROR(VLOOKUP(Tabela1[[#This Row],[COD.MDE]],'LISTA DE EMBARQUE'!B:M,12,0),"")</f>
        <v/>
      </c>
      <c r="X1119" s="14">
        <f ca="1">IFERROR(Tabela1[[#This Row],[QIANTIDADE EXPEDIDA]]*Tabela1[[#This Row],[PESO UNI]],"")</f>
        <v>0</v>
      </c>
      <c r="Y1119" s="14">
        <f t="shared" ca="1" si="248"/>
        <v>-1</v>
      </c>
      <c r="Z1119" s="20">
        <f ca="1">Tabela1[[#This Row],[PESO TOTAL]]-Tabela1[[#This Row],[Peso Expedido]]</f>
        <v>136.80000000000001</v>
      </c>
      <c r="AA1119" s="17">
        <v>1</v>
      </c>
      <c r="AB1119" s="33"/>
      <c r="AC1119" s="33">
        <v>1</v>
      </c>
      <c r="AD1119" s="33">
        <v>0.7</v>
      </c>
      <c r="AE1119" s="33">
        <v>0.7</v>
      </c>
      <c r="AF1119" s="33">
        <v>0.4</v>
      </c>
      <c r="AG1119" s="33">
        <v>0.35</v>
      </c>
      <c r="AH1119" s="33"/>
      <c r="AI1119" s="33"/>
      <c r="AJ1119"/>
      <c r="AK1119"/>
      <c r="AL1119"/>
      <c r="AM1119"/>
      <c r="AN1119"/>
      <c r="AO1119"/>
      <c r="AP1119"/>
      <c r="AQ1119" s="22"/>
      <c r="AR1119" s="24"/>
      <c r="AS1119" s="37"/>
      <c r="AT1119" s="37"/>
      <c r="AU1119" s="37"/>
      <c r="AV1119" s="37"/>
      <c r="AW1119" s="37"/>
    </row>
    <row r="1120" spans="1:49" ht="15.75" hidden="1" customHeight="1" x14ac:dyDescent="0.25">
      <c r="A1120" s="1" t="s">
        <v>5515</v>
      </c>
      <c r="B1120" s="21" t="s">
        <v>5516</v>
      </c>
      <c r="C1120" s="1">
        <v>1</v>
      </c>
      <c r="D1120" s="1" t="s">
        <v>5520</v>
      </c>
      <c r="E1120" s="7">
        <v>4760</v>
      </c>
      <c r="F1120" s="7">
        <v>65</v>
      </c>
      <c r="G1120" s="1">
        <v>106.8</v>
      </c>
      <c r="H1120" s="34">
        <f ca="1">Tabela1[[#This Row],[PESO UNI]]*Tabela1[[#This Row],[QTE]]</f>
        <v>106.8</v>
      </c>
      <c r="I1120" s="7">
        <v>0</v>
      </c>
      <c r="J1120" s="8" t="s">
        <v>3140</v>
      </c>
      <c r="K1120" s="8" t="s">
        <v>4320</v>
      </c>
      <c r="L1120" s="9" t="s">
        <v>2984</v>
      </c>
      <c r="M1120" s="10">
        <v>46265</v>
      </c>
      <c r="N1120" s="8" t="s">
        <v>5105</v>
      </c>
      <c r="O1120" s="12"/>
      <c r="P1120" s="13"/>
      <c r="Q1120" s="14">
        <f ca="1">Tabela1[[#This Row],[QTDE/ Fabricação]]-Tabela1[[#This Row],[QTE]]</f>
        <v>-1</v>
      </c>
      <c r="R1120" s="18">
        <f t="shared" ca="1" si="245"/>
        <v>89.177999999999997</v>
      </c>
      <c r="S1120" s="18">
        <f t="shared" ca="1" si="246"/>
        <v>37.379999999999995</v>
      </c>
      <c r="T1120" s="19">
        <f t="shared" ca="1" si="247"/>
        <v>-69.42</v>
      </c>
      <c r="U1120" s="16">
        <f>IFERROR(SUMIF('LISTA DE EMBARQUE'!B:B,MICRO!E:E,'LISTA DE EMBARQUE'!G:G),"")</f>
        <v>0</v>
      </c>
      <c r="V1120" s="12" t="str">
        <f>IFERROR(VLOOKUP(Tabela1[[#This Row],[COD.MDE]],'LISTA DE EMBARQUE'!B:L,11,0),"")</f>
        <v/>
      </c>
      <c r="W1120" s="13" t="str">
        <f>IFERROR(VLOOKUP(Tabela1[[#This Row],[COD.MDE]],'LISTA DE EMBARQUE'!B:M,12,0),"")</f>
        <v/>
      </c>
      <c r="X1120" s="14">
        <f ca="1">IFERROR(Tabela1[[#This Row],[QIANTIDADE EXPEDIDA]]*Tabela1[[#This Row],[PESO UNI]],"")</f>
        <v>0</v>
      </c>
      <c r="Y1120" s="14">
        <f t="shared" ca="1" si="248"/>
        <v>-1</v>
      </c>
      <c r="Z1120" s="20">
        <f ca="1">Tabela1[[#This Row],[PESO TOTAL]]-Tabela1[[#This Row],[Peso Expedido]]</f>
        <v>106.8</v>
      </c>
      <c r="AA1120" s="17">
        <v>1</v>
      </c>
      <c r="AB1120" s="33"/>
      <c r="AC1120" s="33">
        <v>1</v>
      </c>
      <c r="AD1120" s="33">
        <v>0.7</v>
      </c>
      <c r="AE1120" s="33">
        <v>0.7</v>
      </c>
      <c r="AF1120" s="33">
        <v>0.4</v>
      </c>
      <c r="AG1120" s="33">
        <v>0.35</v>
      </c>
      <c r="AH1120" s="33"/>
      <c r="AI1120" s="33"/>
      <c r="AJ1120"/>
      <c r="AK1120"/>
      <c r="AL1120"/>
      <c r="AM1120"/>
      <c r="AN1120"/>
      <c r="AO1120"/>
      <c r="AP1120"/>
      <c r="AQ1120" s="22"/>
      <c r="AR1120" s="24"/>
      <c r="AS1120" s="37"/>
      <c r="AT1120" s="37"/>
      <c r="AU1120" s="37"/>
      <c r="AV1120" s="37"/>
      <c r="AW1120" s="37"/>
    </row>
    <row r="1121" spans="1:49" ht="15.75" hidden="1" customHeight="1" x14ac:dyDescent="0.25">
      <c r="A1121" s="1" t="s">
        <v>5517</v>
      </c>
      <c r="B1121" s="21" t="s">
        <v>5518</v>
      </c>
      <c r="C1121" s="1">
        <v>3</v>
      </c>
      <c r="D1121" s="1" t="s">
        <v>5519</v>
      </c>
      <c r="E1121" s="7">
        <v>4761</v>
      </c>
      <c r="F1121" s="7">
        <v>65</v>
      </c>
      <c r="G1121" s="1">
        <v>64.099999999999994</v>
      </c>
      <c r="H1121" s="34">
        <f ca="1">Tabela1[[#This Row],[PESO UNI]]*Tabela1[[#This Row],[QTE]]</f>
        <v>192.29999999999998</v>
      </c>
      <c r="I1121" s="7" t="s">
        <v>5588</v>
      </c>
      <c r="J1121" s="8" t="s">
        <v>3140</v>
      </c>
      <c r="K1121" s="8" t="s">
        <v>4320</v>
      </c>
      <c r="L1121" s="9" t="s">
        <v>2984</v>
      </c>
      <c r="M1121" s="10">
        <v>46265</v>
      </c>
      <c r="N1121" s="8" t="s">
        <v>5105</v>
      </c>
      <c r="O1121" s="12"/>
      <c r="P1121" s="13"/>
      <c r="Q1121" s="14">
        <f ca="1">Tabela1[[#This Row],[QTDE/ Fabricação]]-Tabela1[[#This Row],[QTE]]</f>
        <v>-3</v>
      </c>
      <c r="R1121" s="18">
        <f t="shared" ca="1" si="245"/>
        <v>160.57049999999998</v>
      </c>
      <c r="S1121" s="18">
        <f t="shared" ca="1" si="246"/>
        <v>67.304999999999993</v>
      </c>
      <c r="T1121" s="19">
        <f t="shared" ca="1" si="247"/>
        <v>-124.99499999999999</v>
      </c>
      <c r="U1121" s="16">
        <f>IFERROR(SUMIF('LISTA DE EMBARQUE'!B:B,MICRO!E:E,'LISTA DE EMBARQUE'!G:G),"")</f>
        <v>0</v>
      </c>
      <c r="V1121" s="12" t="str">
        <f>IFERROR(VLOOKUP(Tabela1[[#This Row],[COD.MDE]],'LISTA DE EMBARQUE'!B:L,11,0),"")</f>
        <v/>
      </c>
      <c r="W1121" s="13" t="str">
        <f>IFERROR(VLOOKUP(Tabela1[[#This Row],[COD.MDE]],'LISTA DE EMBARQUE'!B:M,12,0),"")</f>
        <v/>
      </c>
      <c r="X1121" s="14">
        <f ca="1">IFERROR(Tabela1[[#This Row],[QIANTIDADE EXPEDIDA]]*Tabela1[[#This Row],[PESO UNI]],"")</f>
        <v>0</v>
      </c>
      <c r="Y1121" s="14">
        <f t="shared" ca="1" si="248"/>
        <v>-3</v>
      </c>
      <c r="Z1121" s="20">
        <f ca="1">Tabela1[[#This Row],[PESO TOTAL]]-Tabela1[[#This Row],[Peso Expedido]]</f>
        <v>192.29999999999998</v>
      </c>
      <c r="AA1121" s="17">
        <v>1</v>
      </c>
      <c r="AB1121" s="33"/>
      <c r="AC1121" s="33">
        <v>1</v>
      </c>
      <c r="AD1121" s="33">
        <v>0.7</v>
      </c>
      <c r="AE1121" s="33">
        <v>0.7</v>
      </c>
      <c r="AF1121" s="33">
        <v>0.4</v>
      </c>
      <c r="AG1121" s="33">
        <v>0.35</v>
      </c>
      <c r="AH1121" s="33"/>
      <c r="AI1121" s="33"/>
      <c r="AJ1121"/>
      <c r="AK1121"/>
      <c r="AL1121"/>
      <c r="AM1121"/>
      <c r="AN1121"/>
      <c r="AO1121"/>
      <c r="AP1121"/>
      <c r="AQ1121" s="22"/>
      <c r="AR1121" s="24"/>
      <c r="AS1121" s="37"/>
      <c r="AT1121" s="37"/>
      <c r="AU1121" s="37"/>
      <c r="AV1121" s="37"/>
      <c r="AW1121" s="37"/>
    </row>
    <row r="1122" spans="1:49" ht="15.75" hidden="1" customHeight="1" x14ac:dyDescent="0.25">
      <c r="A1122" s="1" t="s">
        <v>5517</v>
      </c>
      <c r="B1122" s="21" t="s">
        <v>5518</v>
      </c>
      <c r="C1122" s="1">
        <v>1</v>
      </c>
      <c r="D1122" s="1" t="s">
        <v>5524</v>
      </c>
      <c r="E1122" s="7">
        <v>4762</v>
      </c>
      <c r="F1122" s="7">
        <v>65</v>
      </c>
      <c r="G1122" s="1">
        <v>83.4</v>
      </c>
      <c r="H1122" s="34">
        <f ca="1">Tabela1[[#This Row],[PESO UNI]]*Tabela1[[#This Row],[QTE]]</f>
        <v>83.4</v>
      </c>
      <c r="I1122" s="7" t="s">
        <v>5588</v>
      </c>
      <c r="J1122" s="8" t="s">
        <v>3140</v>
      </c>
      <c r="K1122" s="8" t="s">
        <v>4320</v>
      </c>
      <c r="L1122" s="9" t="s">
        <v>2984</v>
      </c>
      <c r="M1122" s="10">
        <v>46265</v>
      </c>
      <c r="N1122" s="8" t="s">
        <v>5105</v>
      </c>
      <c r="O1122" s="12"/>
      <c r="P1122" s="13"/>
      <c r="Q1122" s="14">
        <f ca="1">Tabela1[[#This Row],[QTDE/ Fabricação]]-Tabela1[[#This Row],[QTE]]</f>
        <v>-1</v>
      </c>
      <c r="R1122" s="18">
        <f t="shared" ca="1" si="245"/>
        <v>69.638999999999996</v>
      </c>
      <c r="S1122" s="18">
        <f t="shared" ca="1" si="246"/>
        <v>29.19</v>
      </c>
      <c r="T1122" s="19">
        <f t="shared" ca="1" si="247"/>
        <v>-54.210000000000008</v>
      </c>
      <c r="U1122" s="16">
        <f>IFERROR(SUMIF('LISTA DE EMBARQUE'!B:B,MICRO!E:E,'LISTA DE EMBARQUE'!G:G),"")</f>
        <v>0</v>
      </c>
      <c r="V1122" s="12" t="str">
        <f>IFERROR(VLOOKUP(Tabela1[[#This Row],[COD.MDE]],'LISTA DE EMBARQUE'!B:L,11,0),"")</f>
        <v/>
      </c>
      <c r="W1122" s="13" t="str">
        <f>IFERROR(VLOOKUP(Tabela1[[#This Row],[COD.MDE]],'LISTA DE EMBARQUE'!B:M,12,0),"")</f>
        <v/>
      </c>
      <c r="X1122" s="14">
        <f ca="1">IFERROR(Tabela1[[#This Row],[QIANTIDADE EXPEDIDA]]*Tabela1[[#This Row],[PESO UNI]],"")</f>
        <v>0</v>
      </c>
      <c r="Y1122" s="14">
        <f t="shared" ca="1" si="248"/>
        <v>-1</v>
      </c>
      <c r="Z1122" s="20">
        <f ca="1">Tabela1[[#This Row],[PESO TOTAL]]-Tabela1[[#This Row],[Peso Expedido]]</f>
        <v>83.4</v>
      </c>
      <c r="AA1122" s="17">
        <v>1</v>
      </c>
      <c r="AB1122" s="33"/>
      <c r="AC1122" s="33">
        <v>1</v>
      </c>
      <c r="AD1122" s="33">
        <v>0.7</v>
      </c>
      <c r="AE1122" s="33">
        <v>0.7</v>
      </c>
      <c r="AF1122" s="33">
        <v>0.4</v>
      </c>
      <c r="AG1122" s="33">
        <v>0.35</v>
      </c>
      <c r="AH1122" s="33"/>
      <c r="AI1122" s="33"/>
      <c r="AJ1122"/>
      <c r="AK1122"/>
      <c r="AL1122"/>
      <c r="AM1122"/>
      <c r="AN1122"/>
      <c r="AO1122"/>
      <c r="AP1122"/>
      <c r="AQ1122" s="22"/>
      <c r="AR1122" s="24"/>
      <c r="AS1122" s="37"/>
      <c r="AT1122" s="37"/>
      <c r="AU1122" s="37"/>
      <c r="AV1122" s="37"/>
      <c r="AW1122" s="37"/>
    </row>
    <row r="1123" spans="1:49" ht="15.75" hidden="1" customHeight="1" x14ac:dyDescent="0.25">
      <c r="A1123" s="1" t="s">
        <v>5517</v>
      </c>
      <c r="B1123" s="21" t="s">
        <v>5518</v>
      </c>
      <c r="C1123" s="1">
        <v>1</v>
      </c>
      <c r="D1123" s="1" t="s">
        <v>5525</v>
      </c>
      <c r="E1123" s="7">
        <v>4763</v>
      </c>
      <c r="F1123" s="7">
        <v>65</v>
      </c>
      <c r="G1123" s="1">
        <v>61.1</v>
      </c>
      <c r="H1123" s="34">
        <f ca="1">Tabela1[[#This Row],[PESO UNI]]*Tabela1[[#This Row],[QTE]]</f>
        <v>61.1</v>
      </c>
      <c r="I1123" s="7" t="s">
        <v>5588</v>
      </c>
      <c r="J1123" s="8" t="s">
        <v>3140</v>
      </c>
      <c r="K1123" s="8" t="s">
        <v>4320</v>
      </c>
      <c r="L1123" s="9" t="s">
        <v>2984</v>
      </c>
      <c r="M1123" s="10">
        <v>46265</v>
      </c>
      <c r="N1123" s="8" t="s">
        <v>5105</v>
      </c>
      <c r="O1123" s="12"/>
      <c r="P1123" s="13"/>
      <c r="Q1123" s="14">
        <f ca="1">Tabela1[[#This Row],[QTDE/ Fabricação]]-Tabela1[[#This Row],[QTE]]</f>
        <v>-1</v>
      </c>
      <c r="R1123" s="18">
        <f t="shared" ca="1" si="245"/>
        <v>51.018499999999996</v>
      </c>
      <c r="S1123" s="18">
        <f t="shared" ca="1" si="246"/>
        <v>21.384999999999998</v>
      </c>
      <c r="T1123" s="19">
        <f t="shared" ca="1" si="247"/>
        <v>-39.715000000000003</v>
      </c>
      <c r="U1123" s="16">
        <f>IFERROR(SUMIF('LISTA DE EMBARQUE'!B:B,MICRO!E:E,'LISTA DE EMBARQUE'!G:G),"")</f>
        <v>0</v>
      </c>
      <c r="V1123" s="12" t="str">
        <f>IFERROR(VLOOKUP(Tabela1[[#This Row],[COD.MDE]],'LISTA DE EMBARQUE'!B:L,11,0),"")</f>
        <v/>
      </c>
      <c r="W1123" s="13" t="str">
        <f>IFERROR(VLOOKUP(Tabela1[[#This Row],[COD.MDE]],'LISTA DE EMBARQUE'!B:M,12,0),"")</f>
        <v/>
      </c>
      <c r="X1123" s="14">
        <f ca="1">IFERROR(Tabela1[[#This Row],[QIANTIDADE EXPEDIDA]]*Tabela1[[#This Row],[PESO UNI]],"")</f>
        <v>0</v>
      </c>
      <c r="Y1123" s="14">
        <f t="shared" ca="1" si="248"/>
        <v>-1</v>
      </c>
      <c r="Z1123" s="20">
        <f ca="1">Tabela1[[#This Row],[PESO TOTAL]]-Tabela1[[#This Row],[Peso Expedido]]</f>
        <v>61.1</v>
      </c>
      <c r="AA1123" s="17">
        <v>1</v>
      </c>
      <c r="AB1123" s="33"/>
      <c r="AC1123" s="33">
        <v>1</v>
      </c>
      <c r="AD1123" s="33">
        <v>0.7</v>
      </c>
      <c r="AE1123" s="33">
        <v>0.7</v>
      </c>
      <c r="AF1123" s="33">
        <v>0.4</v>
      </c>
      <c r="AG1123" s="33">
        <v>0.35</v>
      </c>
      <c r="AH1123" s="33"/>
      <c r="AI1123" s="33"/>
      <c r="AJ1123"/>
      <c r="AK1123"/>
      <c r="AL1123"/>
      <c r="AM1123"/>
      <c r="AN1123"/>
      <c r="AO1123"/>
      <c r="AP1123"/>
      <c r="AQ1123" s="22"/>
      <c r="AR1123" s="24"/>
      <c r="AS1123" s="37"/>
      <c r="AT1123" s="37"/>
      <c r="AU1123" s="37"/>
      <c r="AV1123" s="37"/>
      <c r="AW1123" s="37"/>
    </row>
    <row r="1124" spans="1:49" ht="15.75" hidden="1" customHeight="1" x14ac:dyDescent="0.25">
      <c r="A1124" s="1" t="s">
        <v>5517</v>
      </c>
      <c r="B1124" s="21" t="s">
        <v>5518</v>
      </c>
      <c r="C1124" s="1">
        <v>1</v>
      </c>
      <c r="D1124" s="1" t="s">
        <v>5526</v>
      </c>
      <c r="E1124" s="7">
        <v>4764</v>
      </c>
      <c r="F1124" s="7">
        <v>65</v>
      </c>
      <c r="G1124" s="1">
        <v>87.1</v>
      </c>
      <c r="H1124" s="34">
        <f ca="1">Tabela1[[#This Row],[PESO UNI]]*Tabela1[[#This Row],[QTE]]</f>
        <v>87.1</v>
      </c>
      <c r="I1124" s="7" t="s">
        <v>5588</v>
      </c>
      <c r="J1124" s="8" t="s">
        <v>3140</v>
      </c>
      <c r="K1124" s="8" t="s">
        <v>4320</v>
      </c>
      <c r="L1124" s="9" t="s">
        <v>2984</v>
      </c>
      <c r="M1124" s="10">
        <v>46265</v>
      </c>
      <c r="N1124" s="8" t="s">
        <v>5105</v>
      </c>
      <c r="O1124" s="12"/>
      <c r="P1124" s="13"/>
      <c r="Q1124" s="14">
        <f ca="1">Tabela1[[#This Row],[QTDE/ Fabricação]]-Tabela1[[#This Row],[QTE]]</f>
        <v>-1</v>
      </c>
      <c r="R1124" s="18">
        <f t="shared" ca="1" si="245"/>
        <v>72.728499999999997</v>
      </c>
      <c r="S1124" s="18">
        <f t="shared" ca="1" si="246"/>
        <v>30.484999999999996</v>
      </c>
      <c r="T1124" s="19">
        <f t="shared" ca="1" si="247"/>
        <v>-56.614999999999995</v>
      </c>
      <c r="U1124" s="16">
        <f>IFERROR(SUMIF('LISTA DE EMBARQUE'!B:B,MICRO!E:E,'LISTA DE EMBARQUE'!G:G),"")</f>
        <v>0</v>
      </c>
      <c r="V1124" s="12" t="str">
        <f>IFERROR(VLOOKUP(Tabela1[[#This Row],[COD.MDE]],'LISTA DE EMBARQUE'!B:L,11,0),"")</f>
        <v/>
      </c>
      <c r="W1124" s="13" t="str">
        <f>IFERROR(VLOOKUP(Tabela1[[#This Row],[COD.MDE]],'LISTA DE EMBARQUE'!B:M,12,0),"")</f>
        <v/>
      </c>
      <c r="X1124" s="14">
        <f ca="1">IFERROR(Tabela1[[#This Row],[QIANTIDADE EXPEDIDA]]*Tabela1[[#This Row],[PESO UNI]],"")</f>
        <v>0</v>
      </c>
      <c r="Y1124" s="14">
        <f t="shared" ca="1" si="248"/>
        <v>-1</v>
      </c>
      <c r="Z1124" s="20">
        <f ca="1">Tabela1[[#This Row],[PESO TOTAL]]-Tabela1[[#This Row],[Peso Expedido]]</f>
        <v>87.1</v>
      </c>
      <c r="AA1124" s="17">
        <v>1</v>
      </c>
      <c r="AB1124" s="33"/>
      <c r="AC1124" s="33">
        <v>1</v>
      </c>
      <c r="AD1124" s="33">
        <v>0.7</v>
      </c>
      <c r="AE1124" s="33">
        <v>0.7</v>
      </c>
      <c r="AF1124" s="33">
        <v>0.4</v>
      </c>
      <c r="AG1124" s="33">
        <v>0.35</v>
      </c>
      <c r="AH1124" s="33"/>
      <c r="AI1124" s="33"/>
      <c r="AJ1124"/>
      <c r="AK1124"/>
      <c r="AL1124"/>
      <c r="AM1124"/>
      <c r="AN1124"/>
      <c r="AO1124"/>
      <c r="AP1124"/>
      <c r="AQ1124" s="22"/>
      <c r="AR1124" s="24"/>
      <c r="AS1124" s="37"/>
      <c r="AT1124" s="37"/>
      <c r="AU1124" s="37"/>
      <c r="AV1124" s="37"/>
      <c r="AW1124" s="37"/>
    </row>
    <row r="1125" spans="1:49" ht="15.75" hidden="1" customHeight="1" x14ac:dyDescent="0.25">
      <c r="A1125" s="1" t="s">
        <v>5517</v>
      </c>
      <c r="B1125" s="21" t="s">
        <v>5518</v>
      </c>
      <c r="C1125" s="1">
        <v>1</v>
      </c>
      <c r="D1125" s="1" t="s">
        <v>5527</v>
      </c>
      <c r="E1125" s="7">
        <v>4765</v>
      </c>
      <c r="F1125" s="7">
        <v>65</v>
      </c>
      <c r="G1125" s="1">
        <v>79.2</v>
      </c>
      <c r="H1125" s="34">
        <f ca="1">Tabela1[[#This Row],[PESO UNI]]*Tabela1[[#This Row],[QTE]]</f>
        <v>79.2</v>
      </c>
      <c r="I1125" s="7" t="s">
        <v>5588</v>
      </c>
      <c r="J1125" s="8" t="s">
        <v>3140</v>
      </c>
      <c r="K1125" s="8" t="s">
        <v>4320</v>
      </c>
      <c r="L1125" s="9" t="s">
        <v>2984</v>
      </c>
      <c r="M1125" s="10">
        <v>46265</v>
      </c>
      <c r="N1125" s="8" t="s">
        <v>5105</v>
      </c>
      <c r="O1125" s="12"/>
      <c r="P1125" s="13"/>
      <c r="Q1125" s="14">
        <f ca="1">Tabela1[[#This Row],[QTDE/ Fabricação]]-Tabela1[[#This Row],[QTE]]</f>
        <v>-1</v>
      </c>
      <c r="R1125" s="18">
        <f t="shared" ca="1" si="245"/>
        <v>66.132000000000005</v>
      </c>
      <c r="S1125" s="18">
        <f t="shared" ca="1" si="246"/>
        <v>27.72</v>
      </c>
      <c r="T1125" s="19">
        <f t="shared" ca="1" si="247"/>
        <v>-51.480000000000004</v>
      </c>
      <c r="U1125" s="16">
        <f>IFERROR(SUMIF('LISTA DE EMBARQUE'!B:B,MICRO!E:E,'LISTA DE EMBARQUE'!G:G),"")</f>
        <v>0</v>
      </c>
      <c r="V1125" s="12" t="str">
        <f>IFERROR(VLOOKUP(Tabela1[[#This Row],[COD.MDE]],'LISTA DE EMBARQUE'!B:L,11,0),"")</f>
        <v/>
      </c>
      <c r="W1125" s="13" t="str">
        <f>IFERROR(VLOOKUP(Tabela1[[#This Row],[COD.MDE]],'LISTA DE EMBARQUE'!B:M,12,0),"")</f>
        <v/>
      </c>
      <c r="X1125" s="14">
        <f ca="1">IFERROR(Tabela1[[#This Row],[QIANTIDADE EXPEDIDA]]*Tabela1[[#This Row],[PESO UNI]],"")</f>
        <v>0</v>
      </c>
      <c r="Y1125" s="14">
        <f t="shared" ca="1" si="248"/>
        <v>-1</v>
      </c>
      <c r="Z1125" s="20">
        <f ca="1">Tabela1[[#This Row],[PESO TOTAL]]-Tabela1[[#This Row],[Peso Expedido]]</f>
        <v>79.2</v>
      </c>
      <c r="AA1125" s="17">
        <v>1</v>
      </c>
      <c r="AB1125" s="33"/>
      <c r="AC1125" s="33">
        <v>1</v>
      </c>
      <c r="AD1125" s="33">
        <v>0.7</v>
      </c>
      <c r="AE1125" s="33">
        <v>0.7</v>
      </c>
      <c r="AF1125" s="33">
        <v>0.4</v>
      </c>
      <c r="AG1125" s="33">
        <v>0.35</v>
      </c>
      <c r="AH1125" s="33"/>
      <c r="AI1125" s="33"/>
      <c r="AJ1125"/>
      <c r="AK1125"/>
      <c r="AL1125"/>
      <c r="AM1125"/>
      <c r="AN1125"/>
      <c r="AO1125"/>
      <c r="AP1125"/>
      <c r="AQ1125" s="22"/>
      <c r="AR1125" s="24"/>
      <c r="AS1125" s="37"/>
      <c r="AT1125" s="37"/>
      <c r="AU1125" s="37"/>
      <c r="AV1125" s="37"/>
      <c r="AW1125" s="37"/>
    </row>
    <row r="1126" spans="1:49" ht="15.75" hidden="1" customHeight="1" x14ac:dyDescent="0.25">
      <c r="A1126" s="1" t="s">
        <v>5517</v>
      </c>
      <c r="B1126" s="21" t="s">
        <v>5518</v>
      </c>
      <c r="C1126" s="1">
        <v>1</v>
      </c>
      <c r="D1126" s="1" t="s">
        <v>5528</v>
      </c>
      <c r="E1126" s="7">
        <v>4766</v>
      </c>
      <c r="F1126" s="7">
        <v>65</v>
      </c>
      <c r="G1126" s="1">
        <v>54.3</v>
      </c>
      <c r="H1126" s="34">
        <f ca="1">Tabela1[[#This Row],[PESO UNI]]*Tabela1[[#This Row],[QTE]]</f>
        <v>54.3</v>
      </c>
      <c r="I1126" s="7" t="s">
        <v>5588</v>
      </c>
      <c r="J1126" s="8" t="s">
        <v>3140</v>
      </c>
      <c r="K1126" s="8" t="s">
        <v>4320</v>
      </c>
      <c r="L1126" s="9" t="s">
        <v>2984</v>
      </c>
      <c r="M1126" s="10">
        <v>46265</v>
      </c>
      <c r="N1126" s="8" t="s">
        <v>5105</v>
      </c>
      <c r="O1126" s="12"/>
      <c r="P1126" s="13"/>
      <c r="Q1126" s="14">
        <f ca="1">Tabela1[[#This Row],[QTDE/ Fabricação]]-Tabela1[[#This Row],[QTE]]</f>
        <v>-1</v>
      </c>
      <c r="R1126" s="18">
        <f t="shared" ca="1" si="245"/>
        <v>45.340499999999999</v>
      </c>
      <c r="S1126" s="18">
        <f t="shared" ca="1" si="246"/>
        <v>19.004999999999999</v>
      </c>
      <c r="T1126" s="19">
        <f t="shared" ca="1" si="247"/>
        <v>-35.295000000000002</v>
      </c>
      <c r="U1126" s="16">
        <f>IFERROR(SUMIF('LISTA DE EMBARQUE'!B:B,MICRO!E:E,'LISTA DE EMBARQUE'!G:G),"")</f>
        <v>0</v>
      </c>
      <c r="V1126" s="12" t="str">
        <f>IFERROR(VLOOKUP(Tabela1[[#This Row],[COD.MDE]],'LISTA DE EMBARQUE'!B:L,11,0),"")</f>
        <v/>
      </c>
      <c r="W1126" s="13" t="str">
        <f>IFERROR(VLOOKUP(Tabela1[[#This Row],[COD.MDE]],'LISTA DE EMBARQUE'!B:M,12,0),"")</f>
        <v/>
      </c>
      <c r="X1126" s="14">
        <f ca="1">IFERROR(Tabela1[[#This Row],[QIANTIDADE EXPEDIDA]]*Tabela1[[#This Row],[PESO UNI]],"")</f>
        <v>0</v>
      </c>
      <c r="Y1126" s="14">
        <f t="shared" ca="1" si="248"/>
        <v>-1</v>
      </c>
      <c r="Z1126" s="20">
        <f ca="1">Tabela1[[#This Row],[PESO TOTAL]]-Tabela1[[#This Row],[Peso Expedido]]</f>
        <v>54.3</v>
      </c>
      <c r="AA1126" s="17">
        <v>1</v>
      </c>
      <c r="AB1126" s="33"/>
      <c r="AC1126" s="33">
        <v>1</v>
      </c>
      <c r="AD1126" s="33">
        <v>0.7</v>
      </c>
      <c r="AE1126" s="33">
        <v>0.7</v>
      </c>
      <c r="AF1126" s="33">
        <v>0.4</v>
      </c>
      <c r="AG1126" s="33">
        <v>0.35</v>
      </c>
      <c r="AH1126" s="33"/>
      <c r="AI1126" s="33"/>
      <c r="AJ1126"/>
      <c r="AK1126"/>
      <c r="AL1126"/>
      <c r="AM1126"/>
      <c r="AN1126"/>
      <c r="AO1126"/>
      <c r="AP1126"/>
      <c r="AQ1126" s="22"/>
      <c r="AR1126" s="24"/>
      <c r="AS1126" s="37"/>
      <c r="AT1126" s="37"/>
      <c r="AU1126" s="37"/>
      <c r="AV1126" s="37"/>
      <c r="AW1126" s="37"/>
    </row>
    <row r="1127" spans="1:49" ht="15.75" hidden="1" customHeight="1" x14ac:dyDescent="0.25">
      <c r="A1127" s="1" t="s">
        <v>5529</v>
      </c>
      <c r="B1127" s="21"/>
      <c r="C1127" s="1">
        <v>1</v>
      </c>
      <c r="D1127" s="1" t="s">
        <v>5530</v>
      </c>
      <c r="E1127" s="7">
        <v>4767</v>
      </c>
      <c r="F1127" s="7">
        <v>2</v>
      </c>
      <c r="G1127" s="1">
        <v>101.4</v>
      </c>
      <c r="H1127" s="34">
        <f ca="1">Tabela1[[#This Row],[PESO UNI]]*Tabela1[[#This Row],[QTE]]</f>
        <v>101.4</v>
      </c>
      <c r="I1127" s="7">
        <v>0</v>
      </c>
      <c r="J1127" s="8" t="s">
        <v>5531</v>
      </c>
      <c r="K1127" s="8" t="s">
        <v>4320</v>
      </c>
      <c r="L1127" s="9" t="s">
        <v>5532</v>
      </c>
      <c r="M1127" s="10">
        <v>46265</v>
      </c>
      <c r="N1127" s="8" t="s">
        <v>5105</v>
      </c>
      <c r="O1127" s="12"/>
      <c r="P1127" s="13"/>
      <c r="Q1127" s="14">
        <f ca="1">Tabela1[[#This Row],[QTDE/ Fabricação]]-Tabela1[[#This Row],[QTE]]</f>
        <v>-1</v>
      </c>
      <c r="R1127" s="18">
        <f t="shared" ca="1" si="245"/>
        <v>25.35</v>
      </c>
      <c r="S1127" s="18">
        <f t="shared" ca="1" si="246"/>
        <v>0</v>
      </c>
      <c r="T1127" s="19">
        <f t="shared" ca="1" si="247"/>
        <v>-101.4</v>
      </c>
      <c r="U1127" s="16">
        <f>IFERROR(SUMIF('LISTA DE EMBARQUE'!B:B,MICRO!E:E,'LISTA DE EMBARQUE'!G:G),"")</f>
        <v>0</v>
      </c>
      <c r="V1127" s="12" t="str">
        <f>IFERROR(VLOOKUP(Tabela1[[#This Row],[COD.MDE]],'LISTA DE EMBARQUE'!B:L,11,0),"")</f>
        <v/>
      </c>
      <c r="W1127" s="13" t="str">
        <f>IFERROR(VLOOKUP(Tabela1[[#This Row],[COD.MDE]],'LISTA DE EMBARQUE'!B:M,12,0),"")</f>
        <v/>
      </c>
      <c r="X1127" s="14">
        <f ca="1">IFERROR(Tabela1[[#This Row],[QIANTIDADE EXPEDIDA]]*Tabela1[[#This Row],[PESO UNI]],"")</f>
        <v>0</v>
      </c>
      <c r="Y1127" s="14">
        <f t="shared" ca="1" si="248"/>
        <v>-1</v>
      </c>
      <c r="Z1127" s="20">
        <f ca="1">Tabela1[[#This Row],[PESO TOTAL]]-Tabela1[[#This Row],[Peso Expedido]]</f>
        <v>101.4</v>
      </c>
      <c r="AA1127" s="17">
        <v>1</v>
      </c>
      <c r="AB1127" s="33"/>
      <c r="AC1127" s="33"/>
      <c r="AD1127" s="33"/>
      <c r="AE1127" s="33"/>
      <c r="AF1127" s="33"/>
      <c r="AG1127" s="33"/>
      <c r="AH1127" s="33"/>
      <c r="AI1127" s="33"/>
      <c r="AJ1127"/>
      <c r="AK1127"/>
      <c r="AL1127"/>
      <c r="AM1127"/>
      <c r="AN1127"/>
      <c r="AO1127"/>
      <c r="AP1127"/>
      <c r="AQ1127" s="22"/>
      <c r="AR1127" s="24"/>
      <c r="AS1127" s="37"/>
      <c r="AT1127" s="37"/>
      <c r="AU1127" s="37"/>
      <c r="AV1127" s="37"/>
      <c r="AW1127" s="37"/>
    </row>
    <row r="1128" spans="1:49" ht="15.75" hidden="1" customHeight="1" x14ac:dyDescent="0.25">
      <c r="A1128" s="1" t="s">
        <v>5529</v>
      </c>
      <c r="B1128" s="21"/>
      <c r="C1128" s="1">
        <v>1</v>
      </c>
      <c r="D1128" s="1" t="s">
        <v>5533</v>
      </c>
      <c r="E1128" s="7">
        <v>4768</v>
      </c>
      <c r="F1128" s="7">
        <v>2</v>
      </c>
      <c r="G1128" s="1">
        <v>110</v>
      </c>
      <c r="H1128" s="34">
        <f ca="1">Tabela1[[#This Row],[PESO UNI]]*Tabela1[[#This Row],[QTE]]</f>
        <v>110</v>
      </c>
      <c r="I1128" s="7">
        <v>0</v>
      </c>
      <c r="J1128" s="8" t="s">
        <v>5531</v>
      </c>
      <c r="K1128" s="8" t="s">
        <v>4320</v>
      </c>
      <c r="L1128" s="9" t="s">
        <v>5532</v>
      </c>
      <c r="M1128" s="10">
        <v>46265</v>
      </c>
      <c r="N1128" s="8" t="s">
        <v>5105</v>
      </c>
      <c r="O1128" s="12"/>
      <c r="P1128" s="13"/>
      <c r="Q1128" s="14">
        <f ca="1">Tabela1[[#This Row],[QTDE/ Fabricação]]-Tabela1[[#This Row],[QTE]]</f>
        <v>-1</v>
      </c>
      <c r="R1128" s="18">
        <f t="shared" ca="1" si="245"/>
        <v>27.5</v>
      </c>
      <c r="S1128" s="18">
        <f t="shared" ca="1" si="246"/>
        <v>0</v>
      </c>
      <c r="T1128" s="19">
        <f t="shared" ca="1" si="247"/>
        <v>-110</v>
      </c>
      <c r="U1128" s="16">
        <f>IFERROR(SUMIF('LISTA DE EMBARQUE'!B:B,MICRO!E:E,'LISTA DE EMBARQUE'!G:G),"")</f>
        <v>0</v>
      </c>
      <c r="V1128" s="12" t="str">
        <f>IFERROR(VLOOKUP(Tabela1[[#This Row],[COD.MDE]],'LISTA DE EMBARQUE'!B:L,11,0),"")</f>
        <v/>
      </c>
      <c r="W1128" s="13" t="str">
        <f>IFERROR(VLOOKUP(Tabela1[[#This Row],[COD.MDE]],'LISTA DE EMBARQUE'!B:M,12,0),"")</f>
        <v/>
      </c>
      <c r="X1128" s="14">
        <f ca="1">IFERROR(Tabela1[[#This Row],[QIANTIDADE EXPEDIDA]]*Tabela1[[#This Row],[PESO UNI]],"")</f>
        <v>0</v>
      </c>
      <c r="Y1128" s="14">
        <f t="shared" ca="1" si="248"/>
        <v>-1</v>
      </c>
      <c r="Z1128" s="20">
        <f ca="1">Tabela1[[#This Row],[PESO TOTAL]]-Tabela1[[#This Row],[Peso Expedido]]</f>
        <v>110</v>
      </c>
      <c r="AA1128" s="17">
        <v>1</v>
      </c>
      <c r="AB1128" s="33"/>
      <c r="AC1128" s="33"/>
      <c r="AD1128" s="33"/>
      <c r="AE1128" s="33"/>
      <c r="AF1128" s="33"/>
      <c r="AG1128" s="33"/>
      <c r="AH1128" s="33"/>
      <c r="AI1128" s="33"/>
      <c r="AJ1128"/>
      <c r="AK1128"/>
      <c r="AL1128"/>
      <c r="AM1128"/>
      <c r="AN1128"/>
      <c r="AO1128"/>
      <c r="AP1128"/>
      <c r="AQ1128" s="22"/>
      <c r="AR1128" s="24"/>
      <c r="AS1128" s="37"/>
      <c r="AT1128" s="37"/>
      <c r="AU1128" s="37"/>
      <c r="AV1128" s="37"/>
      <c r="AW1128" s="37"/>
    </row>
    <row r="1129" spans="1:49" ht="15.75" hidden="1" customHeight="1" x14ac:dyDescent="0.25">
      <c r="A1129" s="1" t="s">
        <v>5529</v>
      </c>
      <c r="B1129" s="21"/>
      <c r="C1129" s="1">
        <v>1</v>
      </c>
      <c r="D1129" s="1" t="s">
        <v>5534</v>
      </c>
      <c r="E1129" s="7">
        <v>4769</v>
      </c>
      <c r="F1129" s="7">
        <v>2</v>
      </c>
      <c r="G1129" s="1">
        <v>2.4</v>
      </c>
      <c r="H1129" s="34">
        <f ca="1">Tabela1[[#This Row],[PESO UNI]]*Tabela1[[#This Row],[QTE]]</f>
        <v>2.4</v>
      </c>
      <c r="I1129" s="7">
        <v>0</v>
      </c>
      <c r="J1129" s="8" t="s">
        <v>5531</v>
      </c>
      <c r="K1129" s="8" t="s">
        <v>4320</v>
      </c>
      <c r="L1129" s="9" t="s">
        <v>5532</v>
      </c>
      <c r="M1129" s="10">
        <v>46265</v>
      </c>
      <c r="N1129" s="8" t="s">
        <v>5105</v>
      </c>
      <c r="O1129" s="12"/>
      <c r="P1129" s="13"/>
      <c r="Q1129" s="14">
        <f ca="1">Tabela1[[#This Row],[QTDE/ Fabricação]]-Tabela1[[#This Row],[QTE]]</f>
        <v>-1</v>
      </c>
      <c r="R1129" s="18">
        <f t="shared" ca="1" si="245"/>
        <v>0.6</v>
      </c>
      <c r="S1129" s="18">
        <f t="shared" ca="1" si="246"/>
        <v>0</v>
      </c>
      <c r="T1129" s="19">
        <f t="shared" ca="1" si="247"/>
        <v>-2.4</v>
      </c>
      <c r="U1129" s="16">
        <f>IFERROR(SUMIF('LISTA DE EMBARQUE'!B:B,MICRO!E:E,'LISTA DE EMBARQUE'!G:G),"")</f>
        <v>0</v>
      </c>
      <c r="V1129" s="12" t="str">
        <f>IFERROR(VLOOKUP(Tabela1[[#This Row],[COD.MDE]],'LISTA DE EMBARQUE'!B:L,11,0),"")</f>
        <v/>
      </c>
      <c r="W1129" s="13" t="str">
        <f>IFERROR(VLOOKUP(Tabela1[[#This Row],[COD.MDE]],'LISTA DE EMBARQUE'!B:M,12,0),"")</f>
        <v/>
      </c>
      <c r="X1129" s="14">
        <f ca="1">IFERROR(Tabela1[[#This Row],[QIANTIDADE EXPEDIDA]]*Tabela1[[#This Row],[PESO UNI]],"")</f>
        <v>0</v>
      </c>
      <c r="Y1129" s="14">
        <f t="shared" ca="1" si="248"/>
        <v>-1</v>
      </c>
      <c r="Z1129" s="20">
        <f ca="1">Tabela1[[#This Row],[PESO TOTAL]]-Tabela1[[#This Row],[Peso Expedido]]</f>
        <v>2.4</v>
      </c>
      <c r="AA1129" s="17">
        <v>1</v>
      </c>
      <c r="AB1129" s="33"/>
      <c r="AC1129" s="33"/>
      <c r="AD1129" s="33"/>
      <c r="AE1129" s="33"/>
      <c r="AF1129" s="33"/>
      <c r="AG1129" s="33"/>
      <c r="AH1129" s="33"/>
      <c r="AI1129" s="33"/>
      <c r="AJ1129"/>
      <c r="AK1129"/>
      <c r="AL1129"/>
      <c r="AM1129"/>
      <c r="AN1129"/>
      <c r="AO1129"/>
      <c r="AP1129"/>
      <c r="AQ1129" s="22"/>
      <c r="AR1129" s="24"/>
      <c r="AS1129" s="37"/>
      <c r="AT1129" s="37"/>
      <c r="AU1129" s="37"/>
      <c r="AV1129" s="37"/>
      <c r="AW1129" s="37"/>
    </row>
    <row r="1130" spans="1:49" ht="15.75" hidden="1" customHeight="1" x14ac:dyDescent="0.25">
      <c r="A1130" s="1" t="s">
        <v>5529</v>
      </c>
      <c r="B1130" s="21"/>
      <c r="C1130" s="1">
        <v>1</v>
      </c>
      <c r="D1130" s="1" t="s">
        <v>5535</v>
      </c>
      <c r="E1130" s="7">
        <v>4770</v>
      </c>
      <c r="F1130" s="7">
        <v>2</v>
      </c>
      <c r="G1130" s="1">
        <v>2.2000000000000002</v>
      </c>
      <c r="H1130" s="34">
        <f ca="1">Tabela1[[#This Row],[PESO UNI]]*Tabela1[[#This Row],[QTE]]</f>
        <v>2.2000000000000002</v>
      </c>
      <c r="I1130" s="7">
        <v>0</v>
      </c>
      <c r="J1130" s="8" t="s">
        <v>5531</v>
      </c>
      <c r="K1130" s="8" t="s">
        <v>4320</v>
      </c>
      <c r="L1130" s="9" t="s">
        <v>5532</v>
      </c>
      <c r="M1130" s="10">
        <v>46265</v>
      </c>
      <c r="N1130" s="8" t="s">
        <v>5105</v>
      </c>
      <c r="O1130" s="12"/>
      <c r="P1130" s="13"/>
      <c r="Q1130" s="14">
        <f ca="1">Tabela1[[#This Row],[QTDE/ Fabricação]]-Tabela1[[#This Row],[QTE]]</f>
        <v>-1</v>
      </c>
      <c r="R1130" s="18">
        <f t="shared" ca="1" si="245"/>
        <v>0.55000000000000004</v>
      </c>
      <c r="S1130" s="18">
        <f t="shared" ca="1" si="246"/>
        <v>0</v>
      </c>
      <c r="T1130" s="19">
        <f t="shared" ca="1" si="247"/>
        <v>-2.2000000000000002</v>
      </c>
      <c r="U1130" s="16">
        <f>IFERROR(SUMIF('LISTA DE EMBARQUE'!B:B,MICRO!E:E,'LISTA DE EMBARQUE'!G:G),"")</f>
        <v>0</v>
      </c>
      <c r="V1130" s="12" t="str">
        <f>IFERROR(VLOOKUP(Tabela1[[#This Row],[COD.MDE]],'LISTA DE EMBARQUE'!B:L,11,0),"")</f>
        <v/>
      </c>
      <c r="W1130" s="13" t="str">
        <f>IFERROR(VLOOKUP(Tabela1[[#This Row],[COD.MDE]],'LISTA DE EMBARQUE'!B:M,12,0),"")</f>
        <v/>
      </c>
      <c r="X1130" s="14">
        <f ca="1">IFERROR(Tabela1[[#This Row],[QIANTIDADE EXPEDIDA]]*Tabela1[[#This Row],[PESO UNI]],"")</f>
        <v>0</v>
      </c>
      <c r="Y1130" s="14">
        <f t="shared" ca="1" si="248"/>
        <v>-1</v>
      </c>
      <c r="Z1130" s="20">
        <f ca="1">Tabela1[[#This Row],[PESO TOTAL]]-Tabela1[[#This Row],[Peso Expedido]]</f>
        <v>2.2000000000000002</v>
      </c>
      <c r="AA1130" s="17">
        <v>1</v>
      </c>
      <c r="AB1130" s="33"/>
      <c r="AC1130" s="33"/>
      <c r="AD1130" s="33"/>
      <c r="AE1130" s="33"/>
      <c r="AF1130" s="33"/>
      <c r="AG1130" s="33"/>
      <c r="AH1130" s="33"/>
      <c r="AI1130" s="33"/>
      <c r="AJ1130"/>
      <c r="AK1130"/>
      <c r="AL1130"/>
      <c r="AM1130"/>
      <c r="AN1130"/>
      <c r="AO1130"/>
      <c r="AP1130"/>
      <c r="AQ1130" s="22"/>
      <c r="AR1130" s="24"/>
      <c r="AS1130" s="37"/>
      <c r="AT1130" s="37"/>
      <c r="AU1130" s="37"/>
      <c r="AV1130" s="37"/>
      <c r="AW1130" s="37"/>
    </row>
    <row r="1131" spans="1:49" ht="15.75" hidden="1" customHeight="1" x14ac:dyDescent="0.25">
      <c r="A1131" s="1" t="s">
        <v>5529</v>
      </c>
      <c r="B1131" s="21"/>
      <c r="C1131" s="1">
        <v>1</v>
      </c>
      <c r="D1131" s="1" t="s">
        <v>5536</v>
      </c>
      <c r="E1131" s="7">
        <v>4771</v>
      </c>
      <c r="F1131" s="7">
        <v>2</v>
      </c>
      <c r="G1131" s="1">
        <v>3.4</v>
      </c>
      <c r="H1131" s="34">
        <f ca="1">Tabela1[[#This Row],[PESO UNI]]*Tabela1[[#This Row],[QTE]]</f>
        <v>3.4</v>
      </c>
      <c r="I1131" s="7">
        <v>0</v>
      </c>
      <c r="J1131" s="8" t="s">
        <v>5531</v>
      </c>
      <c r="K1131" s="8" t="s">
        <v>4320</v>
      </c>
      <c r="L1131" s="9" t="s">
        <v>5532</v>
      </c>
      <c r="M1131" s="10">
        <v>46265</v>
      </c>
      <c r="N1131" s="8" t="s">
        <v>5105</v>
      </c>
      <c r="O1131" s="12"/>
      <c r="P1131" s="13"/>
      <c r="Q1131" s="14">
        <f ca="1">Tabela1[[#This Row],[QTDE/ Fabricação]]-Tabela1[[#This Row],[QTE]]</f>
        <v>-1</v>
      </c>
      <c r="R1131" s="18">
        <f t="shared" ca="1" si="245"/>
        <v>0.85</v>
      </c>
      <c r="S1131" s="18">
        <f t="shared" ca="1" si="246"/>
        <v>0</v>
      </c>
      <c r="T1131" s="19">
        <f t="shared" ca="1" si="247"/>
        <v>-3.4</v>
      </c>
      <c r="U1131" s="16">
        <f>IFERROR(SUMIF('LISTA DE EMBARQUE'!B:B,MICRO!E:E,'LISTA DE EMBARQUE'!G:G),"")</f>
        <v>0</v>
      </c>
      <c r="V1131" s="12" t="str">
        <f>IFERROR(VLOOKUP(Tabela1[[#This Row],[COD.MDE]],'LISTA DE EMBARQUE'!B:L,11,0),"")</f>
        <v/>
      </c>
      <c r="W1131" s="13" t="str">
        <f>IFERROR(VLOOKUP(Tabela1[[#This Row],[COD.MDE]],'LISTA DE EMBARQUE'!B:M,12,0),"")</f>
        <v/>
      </c>
      <c r="X1131" s="14">
        <f ca="1">IFERROR(Tabela1[[#This Row],[QIANTIDADE EXPEDIDA]]*Tabela1[[#This Row],[PESO UNI]],"")</f>
        <v>0</v>
      </c>
      <c r="Y1131" s="14">
        <f t="shared" ca="1" si="248"/>
        <v>-1</v>
      </c>
      <c r="Z1131" s="20">
        <f ca="1">Tabela1[[#This Row],[PESO TOTAL]]-Tabela1[[#This Row],[Peso Expedido]]</f>
        <v>3.4</v>
      </c>
      <c r="AA1131" s="17">
        <v>1</v>
      </c>
      <c r="AB1131" s="33"/>
      <c r="AC1131" s="33"/>
      <c r="AD1131" s="33"/>
      <c r="AE1131" s="33"/>
      <c r="AF1131" s="33"/>
      <c r="AG1131" s="33"/>
      <c r="AH1131" s="33"/>
      <c r="AI1131" s="33"/>
      <c r="AJ1131"/>
      <c r="AK1131"/>
      <c r="AL1131"/>
      <c r="AM1131"/>
      <c r="AN1131"/>
      <c r="AO1131"/>
      <c r="AP1131"/>
      <c r="AQ1131" s="22"/>
      <c r="AR1131" s="24"/>
      <c r="AS1131" s="37"/>
      <c r="AT1131" s="37"/>
      <c r="AU1131" s="37"/>
      <c r="AV1131" s="37"/>
      <c r="AW1131" s="37"/>
    </row>
    <row r="1132" spans="1:49" ht="15.75" hidden="1" customHeight="1" x14ac:dyDescent="0.25">
      <c r="A1132" s="1" t="s">
        <v>5537</v>
      </c>
      <c r="B1132" s="21"/>
      <c r="C1132" s="1">
        <v>1</v>
      </c>
      <c r="D1132" s="1" t="s">
        <v>5538</v>
      </c>
      <c r="E1132" s="7">
        <v>4772</v>
      </c>
      <c r="F1132" s="7">
        <v>2</v>
      </c>
      <c r="G1132" s="1">
        <v>112</v>
      </c>
      <c r="H1132" s="34">
        <f ca="1">Tabela1[[#This Row],[PESO UNI]]*Tabela1[[#This Row],[QTE]]</f>
        <v>112</v>
      </c>
      <c r="I1132" s="7">
        <v>0</v>
      </c>
      <c r="J1132" s="8" t="s">
        <v>5531</v>
      </c>
      <c r="K1132" s="8" t="s">
        <v>4320</v>
      </c>
      <c r="L1132" s="9" t="s">
        <v>5532</v>
      </c>
      <c r="M1132" s="10">
        <v>46265</v>
      </c>
      <c r="N1132" s="8" t="s">
        <v>5105</v>
      </c>
      <c r="O1132" s="12"/>
      <c r="P1132" s="13"/>
      <c r="Q1132" s="14">
        <f ca="1">Tabela1[[#This Row],[QTDE/ Fabricação]]-Tabela1[[#This Row],[QTE]]</f>
        <v>-1</v>
      </c>
      <c r="R1132" s="18">
        <f t="shared" ca="1" si="245"/>
        <v>28</v>
      </c>
      <c r="S1132" s="18">
        <f t="shared" ca="1" si="246"/>
        <v>0</v>
      </c>
      <c r="T1132" s="19">
        <f t="shared" ca="1" si="247"/>
        <v>-112</v>
      </c>
      <c r="U1132" s="16">
        <f>IFERROR(SUMIF('LISTA DE EMBARQUE'!B:B,MICRO!E:E,'LISTA DE EMBARQUE'!G:G),"")</f>
        <v>0</v>
      </c>
      <c r="V1132" s="12" t="str">
        <f>IFERROR(VLOOKUP(Tabela1[[#This Row],[COD.MDE]],'LISTA DE EMBARQUE'!B:L,11,0),"")</f>
        <v/>
      </c>
      <c r="W1132" s="13" t="str">
        <f>IFERROR(VLOOKUP(Tabela1[[#This Row],[COD.MDE]],'LISTA DE EMBARQUE'!B:M,12,0),"")</f>
        <v/>
      </c>
      <c r="X1132" s="14">
        <f ca="1">IFERROR(Tabela1[[#This Row],[QIANTIDADE EXPEDIDA]]*Tabela1[[#This Row],[PESO UNI]],"")</f>
        <v>0</v>
      </c>
      <c r="Y1132" s="14">
        <f t="shared" ca="1" si="248"/>
        <v>-1</v>
      </c>
      <c r="Z1132" s="20">
        <f ca="1">Tabela1[[#This Row],[PESO TOTAL]]-Tabela1[[#This Row],[Peso Expedido]]</f>
        <v>112</v>
      </c>
      <c r="AA1132" s="17">
        <v>1</v>
      </c>
      <c r="AB1132" s="33"/>
      <c r="AC1132" s="33"/>
      <c r="AD1132" s="33"/>
      <c r="AE1132" s="33"/>
      <c r="AF1132" s="33"/>
      <c r="AG1132" s="33"/>
      <c r="AH1132" s="33"/>
      <c r="AI1132" s="33"/>
      <c r="AJ1132"/>
      <c r="AK1132"/>
      <c r="AL1132"/>
      <c r="AM1132"/>
      <c r="AN1132"/>
      <c r="AO1132"/>
      <c r="AP1132"/>
      <c r="AQ1132" s="22"/>
      <c r="AR1132" s="24"/>
      <c r="AS1132" s="37"/>
      <c r="AT1132" s="37"/>
      <c r="AU1132" s="37"/>
      <c r="AV1132" s="37"/>
      <c r="AW1132" s="37"/>
    </row>
    <row r="1133" spans="1:49" ht="15.75" hidden="1" customHeight="1" x14ac:dyDescent="0.25">
      <c r="A1133" s="1" t="s">
        <v>5539</v>
      </c>
      <c r="B1133" s="21"/>
      <c r="C1133" s="1">
        <v>1</v>
      </c>
      <c r="D1133" s="1" t="s">
        <v>5540</v>
      </c>
      <c r="E1133" s="7">
        <v>4773</v>
      </c>
      <c r="F1133" s="7">
        <v>2</v>
      </c>
      <c r="G1133" s="1">
        <v>191.6</v>
      </c>
      <c r="H1133" s="34">
        <f ca="1">Tabela1[[#This Row],[PESO UNI]]*Tabela1[[#This Row],[QTE]]</f>
        <v>191.6</v>
      </c>
      <c r="I1133" s="7">
        <v>0</v>
      </c>
      <c r="J1133" s="8" t="s">
        <v>5531</v>
      </c>
      <c r="K1133" s="8" t="s">
        <v>4320</v>
      </c>
      <c r="L1133" s="9" t="s">
        <v>5532</v>
      </c>
      <c r="M1133" s="10">
        <v>46265</v>
      </c>
      <c r="N1133" s="8" t="s">
        <v>5105</v>
      </c>
      <c r="O1133" s="12"/>
      <c r="P1133" s="13"/>
      <c r="Q1133" s="14">
        <f ca="1">Tabela1[[#This Row],[QTDE/ Fabricação]]-Tabela1[[#This Row],[QTE]]</f>
        <v>-1</v>
      </c>
      <c r="R1133" s="18">
        <f t="shared" ca="1" si="245"/>
        <v>47.9</v>
      </c>
      <c r="S1133" s="18">
        <f t="shared" ca="1" si="246"/>
        <v>0</v>
      </c>
      <c r="T1133" s="19">
        <f t="shared" ca="1" si="247"/>
        <v>-191.6</v>
      </c>
      <c r="U1133" s="16">
        <f>IFERROR(SUMIF('LISTA DE EMBARQUE'!B:B,MICRO!E:E,'LISTA DE EMBARQUE'!G:G),"")</f>
        <v>0</v>
      </c>
      <c r="V1133" s="12" t="str">
        <f>IFERROR(VLOOKUP(Tabela1[[#This Row],[COD.MDE]],'LISTA DE EMBARQUE'!B:L,11,0),"")</f>
        <v/>
      </c>
      <c r="W1133" s="13" t="str">
        <f>IFERROR(VLOOKUP(Tabela1[[#This Row],[COD.MDE]],'LISTA DE EMBARQUE'!B:M,12,0),"")</f>
        <v/>
      </c>
      <c r="X1133" s="14">
        <f ca="1">IFERROR(Tabela1[[#This Row],[QIANTIDADE EXPEDIDA]]*Tabela1[[#This Row],[PESO UNI]],"")</f>
        <v>0</v>
      </c>
      <c r="Y1133" s="14">
        <f t="shared" ca="1" si="248"/>
        <v>-1</v>
      </c>
      <c r="Z1133" s="20">
        <f ca="1">Tabela1[[#This Row],[PESO TOTAL]]-Tabela1[[#This Row],[Peso Expedido]]</f>
        <v>191.6</v>
      </c>
      <c r="AA1133" s="17">
        <v>1</v>
      </c>
      <c r="AB1133" s="33"/>
      <c r="AC1133" s="33"/>
      <c r="AD1133" s="33"/>
      <c r="AE1133" s="33"/>
      <c r="AF1133" s="33"/>
      <c r="AG1133" s="33"/>
      <c r="AH1133" s="33"/>
      <c r="AI1133" s="33"/>
      <c r="AJ1133"/>
      <c r="AK1133"/>
      <c r="AL1133"/>
      <c r="AM1133"/>
      <c r="AN1133"/>
      <c r="AO1133"/>
      <c r="AP1133"/>
      <c r="AQ1133" s="22"/>
      <c r="AR1133" s="24"/>
      <c r="AS1133" s="37"/>
      <c r="AT1133" s="37"/>
      <c r="AU1133" s="37"/>
      <c r="AV1133" s="37"/>
      <c r="AW1133" s="37"/>
    </row>
    <row r="1134" spans="1:49" ht="15.75" hidden="1" customHeight="1" x14ac:dyDescent="0.25">
      <c r="A1134" s="1" t="s">
        <v>5539</v>
      </c>
      <c r="B1134" s="21"/>
      <c r="C1134" s="1">
        <v>1</v>
      </c>
      <c r="D1134" s="1" t="s">
        <v>5541</v>
      </c>
      <c r="E1134" s="7">
        <v>4774</v>
      </c>
      <c r="F1134" s="7">
        <v>2</v>
      </c>
      <c r="G1134" s="1">
        <v>14.8</v>
      </c>
      <c r="H1134" s="34">
        <f ca="1">Tabela1[[#This Row],[PESO UNI]]*Tabela1[[#This Row],[QTE]]</f>
        <v>14.8</v>
      </c>
      <c r="I1134" s="7">
        <v>0</v>
      </c>
      <c r="J1134" s="8" t="s">
        <v>5531</v>
      </c>
      <c r="K1134" s="8" t="s">
        <v>4320</v>
      </c>
      <c r="L1134" s="9" t="s">
        <v>5532</v>
      </c>
      <c r="M1134" s="10">
        <v>46265</v>
      </c>
      <c r="N1134" s="8" t="s">
        <v>5105</v>
      </c>
      <c r="O1134" s="12"/>
      <c r="P1134" s="13"/>
      <c r="Q1134" s="14">
        <f ca="1">Tabela1[[#This Row],[QTDE/ Fabricação]]-Tabela1[[#This Row],[QTE]]</f>
        <v>-1</v>
      </c>
      <c r="R1134" s="18">
        <f t="shared" ca="1" si="245"/>
        <v>3.7</v>
      </c>
      <c r="S1134" s="18">
        <f t="shared" ca="1" si="246"/>
        <v>0</v>
      </c>
      <c r="T1134" s="19">
        <f t="shared" ca="1" si="247"/>
        <v>-14.8</v>
      </c>
      <c r="U1134" s="16">
        <f>IFERROR(SUMIF('LISTA DE EMBARQUE'!B:B,MICRO!E:E,'LISTA DE EMBARQUE'!G:G),"")</f>
        <v>0</v>
      </c>
      <c r="V1134" s="12" t="str">
        <f>IFERROR(VLOOKUP(Tabela1[[#This Row],[COD.MDE]],'LISTA DE EMBARQUE'!B:L,11,0),"")</f>
        <v/>
      </c>
      <c r="W1134" s="13" t="str">
        <f>IFERROR(VLOOKUP(Tabela1[[#This Row],[COD.MDE]],'LISTA DE EMBARQUE'!B:M,12,0),"")</f>
        <v/>
      </c>
      <c r="X1134" s="14">
        <f ca="1">IFERROR(Tabela1[[#This Row],[QIANTIDADE EXPEDIDA]]*Tabela1[[#This Row],[PESO UNI]],"")</f>
        <v>0</v>
      </c>
      <c r="Y1134" s="14">
        <f t="shared" ca="1" si="248"/>
        <v>-1</v>
      </c>
      <c r="Z1134" s="20">
        <f ca="1">Tabela1[[#This Row],[PESO TOTAL]]-Tabela1[[#This Row],[Peso Expedido]]</f>
        <v>14.8</v>
      </c>
      <c r="AA1134" s="17">
        <v>1</v>
      </c>
      <c r="AB1134" s="33"/>
      <c r="AC1134" s="33"/>
      <c r="AD1134" s="33"/>
      <c r="AE1134" s="33"/>
      <c r="AF1134" s="33"/>
      <c r="AG1134" s="33"/>
      <c r="AH1134" s="33"/>
      <c r="AI1134" s="33"/>
      <c r="AJ1134"/>
      <c r="AK1134"/>
      <c r="AL1134"/>
      <c r="AM1134"/>
      <c r="AN1134"/>
      <c r="AO1134"/>
      <c r="AP1134"/>
      <c r="AQ1134" s="22"/>
      <c r="AR1134" s="24"/>
      <c r="AS1134" s="37"/>
      <c r="AT1134" s="37"/>
      <c r="AU1134" s="37"/>
      <c r="AV1134" s="37"/>
      <c r="AW1134" s="37"/>
    </row>
    <row r="1135" spans="1:49" ht="15.75" hidden="1" customHeight="1" x14ac:dyDescent="0.25">
      <c r="A1135" s="1" t="s">
        <v>5539</v>
      </c>
      <c r="B1135" s="21"/>
      <c r="C1135" s="1">
        <v>1</v>
      </c>
      <c r="D1135" s="1" t="s">
        <v>5542</v>
      </c>
      <c r="E1135" s="7">
        <v>4775</v>
      </c>
      <c r="F1135" s="7">
        <v>2</v>
      </c>
      <c r="G1135" s="1">
        <v>15.3</v>
      </c>
      <c r="H1135" s="34">
        <f ca="1">Tabela1[[#This Row],[PESO UNI]]*Tabela1[[#This Row],[QTE]]</f>
        <v>15.3</v>
      </c>
      <c r="I1135" s="7">
        <v>0</v>
      </c>
      <c r="J1135" s="8" t="s">
        <v>5531</v>
      </c>
      <c r="K1135" s="8" t="s">
        <v>4320</v>
      </c>
      <c r="L1135" s="9" t="s">
        <v>5532</v>
      </c>
      <c r="M1135" s="10">
        <v>46265</v>
      </c>
      <c r="N1135" s="8" t="s">
        <v>5105</v>
      </c>
      <c r="O1135" s="12"/>
      <c r="P1135" s="13"/>
      <c r="Q1135" s="14">
        <f ca="1">Tabela1[[#This Row],[QTDE/ Fabricação]]-Tabela1[[#This Row],[QTE]]</f>
        <v>-1</v>
      </c>
      <c r="R1135" s="18">
        <f t="shared" ca="1" si="245"/>
        <v>3.8250000000000002</v>
      </c>
      <c r="S1135" s="18">
        <f t="shared" ca="1" si="246"/>
        <v>0</v>
      </c>
      <c r="T1135" s="19">
        <f t="shared" ca="1" si="247"/>
        <v>-15.3</v>
      </c>
      <c r="U1135" s="16">
        <f>IFERROR(SUMIF('LISTA DE EMBARQUE'!B:B,MICRO!E:E,'LISTA DE EMBARQUE'!G:G),"")</f>
        <v>0</v>
      </c>
      <c r="V1135" s="12" t="str">
        <f>IFERROR(VLOOKUP(Tabela1[[#This Row],[COD.MDE]],'LISTA DE EMBARQUE'!B:L,11,0),"")</f>
        <v/>
      </c>
      <c r="W1135" s="13" t="str">
        <f>IFERROR(VLOOKUP(Tabela1[[#This Row],[COD.MDE]],'LISTA DE EMBARQUE'!B:M,12,0),"")</f>
        <v/>
      </c>
      <c r="X1135" s="14">
        <f ca="1">IFERROR(Tabela1[[#This Row],[QIANTIDADE EXPEDIDA]]*Tabela1[[#This Row],[PESO UNI]],"")</f>
        <v>0</v>
      </c>
      <c r="Y1135" s="14">
        <f t="shared" ca="1" si="248"/>
        <v>-1</v>
      </c>
      <c r="Z1135" s="20">
        <f ca="1">Tabela1[[#This Row],[PESO TOTAL]]-Tabela1[[#This Row],[Peso Expedido]]</f>
        <v>15.3</v>
      </c>
      <c r="AA1135" s="17">
        <v>1</v>
      </c>
      <c r="AB1135" s="33"/>
      <c r="AC1135" s="33"/>
      <c r="AD1135" s="33"/>
      <c r="AE1135" s="33"/>
      <c r="AF1135" s="33"/>
      <c r="AG1135" s="33"/>
      <c r="AH1135" s="33"/>
      <c r="AI1135" s="33"/>
      <c r="AJ1135"/>
      <c r="AK1135"/>
      <c r="AL1135"/>
      <c r="AM1135"/>
      <c r="AN1135"/>
      <c r="AO1135"/>
      <c r="AP1135"/>
      <c r="AQ1135" s="22"/>
      <c r="AR1135" s="24"/>
      <c r="AS1135" s="37"/>
      <c r="AT1135" s="37"/>
      <c r="AU1135" s="37"/>
      <c r="AV1135" s="37"/>
      <c r="AW1135" s="37"/>
    </row>
    <row r="1136" spans="1:49" ht="15.75" hidden="1" customHeight="1" x14ac:dyDescent="0.25">
      <c r="A1136" s="1" t="s">
        <v>5544</v>
      </c>
      <c r="B1136" s="21"/>
      <c r="C1136" s="1">
        <v>1</v>
      </c>
      <c r="D1136" s="1" t="s">
        <v>5545</v>
      </c>
      <c r="E1136" s="7">
        <v>4776</v>
      </c>
      <c r="F1136" s="7">
        <v>2</v>
      </c>
      <c r="G1136" s="1">
        <v>54.2</v>
      </c>
      <c r="H1136" s="34">
        <f ca="1">Tabela1[[#This Row],[PESO UNI]]*Tabela1[[#This Row],[QTE]]</f>
        <v>54.2</v>
      </c>
      <c r="I1136" s="7">
        <v>0</v>
      </c>
      <c r="J1136" s="8" t="s">
        <v>5531</v>
      </c>
      <c r="K1136" s="8" t="s">
        <v>4320</v>
      </c>
      <c r="L1136" s="9" t="s">
        <v>5532</v>
      </c>
      <c r="M1136" s="10">
        <v>46265</v>
      </c>
      <c r="N1136" s="8" t="s">
        <v>5105</v>
      </c>
      <c r="O1136" s="12"/>
      <c r="P1136" s="13"/>
      <c r="Q1136" s="14">
        <f ca="1">Tabela1[[#This Row],[QTDE/ Fabricação]]-Tabela1[[#This Row],[QTE]]</f>
        <v>-1</v>
      </c>
      <c r="R1136" s="18">
        <f t="shared" ca="1" si="245"/>
        <v>13.55</v>
      </c>
      <c r="S1136" s="18">
        <f t="shared" ca="1" si="246"/>
        <v>0</v>
      </c>
      <c r="T1136" s="19">
        <f t="shared" ca="1" si="247"/>
        <v>-54.2</v>
      </c>
      <c r="U1136" s="16">
        <f>IFERROR(SUMIF('LISTA DE EMBARQUE'!B:B,MICRO!E:E,'LISTA DE EMBARQUE'!G:G),"")</f>
        <v>0</v>
      </c>
      <c r="V1136" s="12" t="str">
        <f>IFERROR(VLOOKUP(Tabela1[[#This Row],[COD.MDE]],'LISTA DE EMBARQUE'!B:L,11,0),"")</f>
        <v/>
      </c>
      <c r="W1136" s="13" t="str">
        <f>IFERROR(VLOOKUP(Tabela1[[#This Row],[COD.MDE]],'LISTA DE EMBARQUE'!B:M,12,0),"")</f>
        <v/>
      </c>
      <c r="X1136" s="14">
        <f ca="1">IFERROR(Tabela1[[#This Row],[QIANTIDADE EXPEDIDA]]*Tabela1[[#This Row],[PESO UNI]],"")</f>
        <v>0</v>
      </c>
      <c r="Y1136" s="14">
        <f t="shared" ca="1" si="248"/>
        <v>-1</v>
      </c>
      <c r="Z1136" s="20">
        <f ca="1">Tabela1[[#This Row],[PESO TOTAL]]-Tabela1[[#This Row],[Peso Expedido]]</f>
        <v>54.2</v>
      </c>
      <c r="AA1136" s="17">
        <v>1</v>
      </c>
      <c r="AB1136" s="33"/>
      <c r="AC1136" s="33"/>
      <c r="AD1136" s="33"/>
      <c r="AE1136" s="33"/>
      <c r="AF1136" s="33"/>
      <c r="AG1136" s="33"/>
      <c r="AH1136" s="33"/>
      <c r="AI1136" s="33"/>
      <c r="AJ1136"/>
      <c r="AK1136"/>
      <c r="AL1136"/>
      <c r="AM1136"/>
      <c r="AN1136"/>
      <c r="AO1136"/>
      <c r="AP1136"/>
      <c r="AQ1136" s="22"/>
      <c r="AR1136" s="24"/>
      <c r="AS1136" s="37"/>
      <c r="AT1136" s="37"/>
      <c r="AU1136" s="37"/>
      <c r="AV1136" s="37"/>
      <c r="AW1136" s="37"/>
    </row>
    <row r="1137" spans="1:49" ht="15.75" hidden="1" customHeight="1" x14ac:dyDescent="0.25">
      <c r="A1137" s="1" t="s">
        <v>5544</v>
      </c>
      <c r="B1137" s="21"/>
      <c r="C1137" s="1">
        <v>1</v>
      </c>
      <c r="D1137" s="1" t="s">
        <v>5546</v>
      </c>
      <c r="E1137" s="7">
        <v>4777</v>
      </c>
      <c r="F1137" s="7">
        <v>2</v>
      </c>
      <c r="G1137" s="1">
        <v>101.9</v>
      </c>
      <c r="H1137" s="34">
        <f ca="1">Tabela1[[#This Row],[PESO UNI]]*Tabela1[[#This Row],[QTE]]</f>
        <v>101.9</v>
      </c>
      <c r="I1137" s="7">
        <v>0</v>
      </c>
      <c r="J1137" s="8" t="s">
        <v>5531</v>
      </c>
      <c r="K1137" s="8" t="s">
        <v>4320</v>
      </c>
      <c r="L1137" s="9" t="s">
        <v>5532</v>
      </c>
      <c r="M1137" s="10">
        <v>46265</v>
      </c>
      <c r="N1137" s="8" t="s">
        <v>5105</v>
      </c>
      <c r="O1137" s="12"/>
      <c r="P1137" s="13"/>
      <c r="Q1137" s="14">
        <f ca="1">Tabela1[[#This Row],[QTDE/ Fabricação]]-Tabela1[[#This Row],[QTE]]</f>
        <v>-1</v>
      </c>
      <c r="R1137" s="18">
        <f t="shared" ca="1" si="245"/>
        <v>25.475000000000001</v>
      </c>
      <c r="S1137" s="18">
        <f t="shared" ca="1" si="246"/>
        <v>0</v>
      </c>
      <c r="T1137" s="19">
        <f t="shared" ca="1" si="247"/>
        <v>-101.9</v>
      </c>
      <c r="U1137" s="16">
        <f>IFERROR(SUMIF('LISTA DE EMBARQUE'!B:B,MICRO!E:E,'LISTA DE EMBARQUE'!G:G),"")</f>
        <v>0</v>
      </c>
      <c r="V1137" s="12" t="str">
        <f>IFERROR(VLOOKUP(Tabela1[[#This Row],[COD.MDE]],'LISTA DE EMBARQUE'!B:L,11,0),"")</f>
        <v/>
      </c>
      <c r="W1137" s="13" t="str">
        <f>IFERROR(VLOOKUP(Tabela1[[#This Row],[COD.MDE]],'LISTA DE EMBARQUE'!B:M,12,0),"")</f>
        <v/>
      </c>
      <c r="X1137" s="14">
        <f ca="1">IFERROR(Tabela1[[#This Row],[QIANTIDADE EXPEDIDA]]*Tabela1[[#This Row],[PESO UNI]],"")</f>
        <v>0</v>
      </c>
      <c r="Y1137" s="14">
        <f t="shared" ca="1" si="248"/>
        <v>-1</v>
      </c>
      <c r="Z1137" s="20">
        <f ca="1">Tabela1[[#This Row],[PESO TOTAL]]-Tabela1[[#This Row],[Peso Expedido]]</f>
        <v>101.9</v>
      </c>
      <c r="AA1137" s="17">
        <v>1</v>
      </c>
      <c r="AB1137" s="33"/>
      <c r="AC1137" s="33"/>
      <c r="AD1137" s="33"/>
      <c r="AE1137" s="33"/>
      <c r="AF1137" s="33"/>
      <c r="AG1137" s="33"/>
      <c r="AH1137" s="33"/>
      <c r="AI1137" s="33"/>
      <c r="AJ1137"/>
      <c r="AK1137"/>
      <c r="AL1137"/>
      <c r="AM1137"/>
      <c r="AN1137"/>
      <c r="AO1137"/>
      <c r="AP1137"/>
      <c r="AQ1137" s="22"/>
      <c r="AR1137" s="24"/>
      <c r="AS1137" s="37"/>
      <c r="AT1137" s="37"/>
      <c r="AU1137" s="37"/>
      <c r="AV1137" s="37"/>
      <c r="AW1137" s="37"/>
    </row>
    <row r="1138" spans="1:49" ht="15.75" hidden="1" customHeight="1" x14ac:dyDescent="0.25">
      <c r="A1138" s="1" t="s">
        <v>5547</v>
      </c>
      <c r="B1138" s="21"/>
      <c r="C1138" s="1">
        <v>1</v>
      </c>
      <c r="D1138" s="1" t="s">
        <v>5548</v>
      </c>
      <c r="E1138" s="7">
        <v>4778</v>
      </c>
      <c r="F1138" s="7">
        <v>2</v>
      </c>
      <c r="G1138" s="1">
        <v>367.7</v>
      </c>
      <c r="H1138" s="34">
        <f ca="1">Tabela1[[#This Row],[PESO UNI]]*Tabela1[[#This Row],[QTE]]</f>
        <v>367.7</v>
      </c>
      <c r="I1138" s="7">
        <v>0</v>
      </c>
      <c r="J1138" s="8" t="s">
        <v>5531</v>
      </c>
      <c r="K1138" s="8" t="s">
        <v>4320</v>
      </c>
      <c r="L1138" s="9" t="s">
        <v>5532</v>
      </c>
      <c r="M1138" s="10">
        <v>46265</v>
      </c>
      <c r="N1138" s="8" t="s">
        <v>5105</v>
      </c>
      <c r="O1138" s="12"/>
      <c r="P1138" s="13"/>
      <c r="Q1138" s="14">
        <f ca="1">Tabela1[[#This Row],[QTDE/ Fabricação]]-Tabela1[[#This Row],[QTE]]</f>
        <v>-1</v>
      </c>
      <c r="R1138" s="18">
        <f t="shared" ca="1" si="245"/>
        <v>91.924999999999997</v>
      </c>
      <c r="S1138" s="18">
        <f t="shared" ca="1" si="246"/>
        <v>0</v>
      </c>
      <c r="T1138" s="19">
        <f t="shared" ca="1" si="247"/>
        <v>-367.7</v>
      </c>
      <c r="U1138" s="16">
        <f>IFERROR(SUMIF('LISTA DE EMBARQUE'!B:B,MICRO!E:E,'LISTA DE EMBARQUE'!G:G),"")</f>
        <v>0</v>
      </c>
      <c r="V1138" s="12" t="str">
        <f>IFERROR(VLOOKUP(Tabela1[[#This Row],[COD.MDE]],'LISTA DE EMBARQUE'!B:L,11,0),"")</f>
        <v/>
      </c>
      <c r="W1138" s="13" t="str">
        <f>IFERROR(VLOOKUP(Tabela1[[#This Row],[COD.MDE]],'LISTA DE EMBARQUE'!B:M,12,0),"")</f>
        <v/>
      </c>
      <c r="X1138" s="14">
        <f ca="1">IFERROR(Tabela1[[#This Row],[QIANTIDADE EXPEDIDA]]*Tabela1[[#This Row],[PESO UNI]],"")</f>
        <v>0</v>
      </c>
      <c r="Y1138" s="14">
        <f t="shared" ca="1" si="248"/>
        <v>-1</v>
      </c>
      <c r="Z1138" s="20">
        <f ca="1">Tabela1[[#This Row],[PESO TOTAL]]-Tabela1[[#This Row],[Peso Expedido]]</f>
        <v>367.7</v>
      </c>
      <c r="AA1138" s="17">
        <v>1</v>
      </c>
      <c r="AB1138" s="33"/>
      <c r="AC1138" s="33"/>
      <c r="AD1138" s="33"/>
      <c r="AE1138" s="33"/>
      <c r="AF1138" s="33"/>
      <c r="AG1138" s="33"/>
      <c r="AH1138" s="33"/>
      <c r="AI1138" s="33"/>
      <c r="AJ1138"/>
      <c r="AK1138"/>
      <c r="AL1138"/>
      <c r="AM1138"/>
      <c r="AN1138"/>
      <c r="AO1138"/>
      <c r="AP1138"/>
      <c r="AQ1138" s="22"/>
      <c r="AR1138" s="24"/>
      <c r="AS1138" s="37"/>
      <c r="AT1138" s="37"/>
      <c r="AU1138" s="37"/>
      <c r="AV1138" s="37"/>
      <c r="AW1138" s="37"/>
    </row>
    <row r="1139" spans="1:49" ht="15.75" hidden="1" customHeight="1" x14ac:dyDescent="0.25">
      <c r="A1139" s="1" t="s">
        <v>5543</v>
      </c>
      <c r="B1139" s="21"/>
      <c r="C1139" s="1">
        <v>1</v>
      </c>
      <c r="D1139" s="1" t="s">
        <v>5549</v>
      </c>
      <c r="E1139" s="7">
        <v>4779</v>
      </c>
      <c r="F1139" s="7">
        <v>2</v>
      </c>
      <c r="G1139" s="1">
        <v>217.8</v>
      </c>
      <c r="H1139" s="34">
        <f ca="1">Tabela1[[#This Row],[PESO UNI]]*Tabela1[[#This Row],[QTE]]</f>
        <v>217.8</v>
      </c>
      <c r="I1139" s="7">
        <v>0</v>
      </c>
      <c r="J1139" s="8" t="s">
        <v>5531</v>
      </c>
      <c r="K1139" s="8" t="s">
        <v>4320</v>
      </c>
      <c r="L1139" s="9" t="s">
        <v>5532</v>
      </c>
      <c r="M1139" s="10">
        <v>46265</v>
      </c>
      <c r="N1139" s="8" t="s">
        <v>5105</v>
      </c>
      <c r="O1139" s="12"/>
      <c r="P1139" s="13"/>
      <c r="Q1139" s="14">
        <f ca="1">Tabela1[[#This Row],[QTDE/ Fabricação]]-Tabela1[[#This Row],[QTE]]</f>
        <v>-1</v>
      </c>
      <c r="R1139" s="18">
        <f t="shared" ca="1" si="245"/>
        <v>54.45</v>
      </c>
      <c r="S1139" s="18">
        <f t="shared" ca="1" si="246"/>
        <v>0</v>
      </c>
      <c r="T1139" s="19">
        <f t="shared" ca="1" si="247"/>
        <v>-217.8</v>
      </c>
      <c r="U1139" s="16">
        <f>IFERROR(SUMIF('LISTA DE EMBARQUE'!B:B,MICRO!E:E,'LISTA DE EMBARQUE'!G:G),"")</f>
        <v>0</v>
      </c>
      <c r="V1139" s="12" t="str">
        <f>IFERROR(VLOOKUP(Tabela1[[#This Row],[COD.MDE]],'LISTA DE EMBARQUE'!B:L,11,0),"")</f>
        <v/>
      </c>
      <c r="W1139" s="13" t="str">
        <f>IFERROR(VLOOKUP(Tabela1[[#This Row],[COD.MDE]],'LISTA DE EMBARQUE'!B:M,12,0),"")</f>
        <v/>
      </c>
      <c r="X1139" s="14">
        <f ca="1">IFERROR(Tabela1[[#This Row],[QIANTIDADE EXPEDIDA]]*Tabela1[[#This Row],[PESO UNI]],"")</f>
        <v>0</v>
      </c>
      <c r="Y1139" s="14">
        <f t="shared" ca="1" si="248"/>
        <v>-1</v>
      </c>
      <c r="Z1139" s="20">
        <f ca="1">Tabela1[[#This Row],[PESO TOTAL]]-Tabela1[[#This Row],[Peso Expedido]]</f>
        <v>217.8</v>
      </c>
      <c r="AA1139" s="17">
        <v>1</v>
      </c>
      <c r="AB1139" s="33"/>
      <c r="AC1139" s="33"/>
      <c r="AD1139" s="33"/>
      <c r="AE1139" s="33"/>
      <c r="AF1139" s="33"/>
      <c r="AG1139" s="33"/>
      <c r="AH1139" s="33"/>
      <c r="AI1139" s="33"/>
      <c r="AJ1139"/>
      <c r="AK1139"/>
      <c r="AL1139"/>
      <c r="AM1139"/>
      <c r="AN1139"/>
      <c r="AO1139"/>
      <c r="AP1139"/>
      <c r="AQ1139" s="22"/>
      <c r="AR1139" s="24"/>
      <c r="AS1139" s="37"/>
      <c r="AT1139" s="37"/>
      <c r="AU1139" s="37"/>
      <c r="AV1139" s="37"/>
      <c r="AW1139" s="37"/>
    </row>
    <row r="1140" spans="1:49" ht="15.75" hidden="1" customHeight="1" x14ac:dyDescent="0.25">
      <c r="A1140" s="1" t="s">
        <v>5550</v>
      </c>
      <c r="B1140" s="21"/>
      <c r="C1140" s="1">
        <v>5</v>
      </c>
      <c r="D1140" s="1" t="s">
        <v>5551</v>
      </c>
      <c r="E1140" s="7">
        <v>4780</v>
      </c>
      <c r="F1140" s="7">
        <v>2</v>
      </c>
      <c r="G1140" s="1">
        <v>316.7</v>
      </c>
      <c r="H1140" s="34">
        <f ca="1">Tabela1[[#This Row],[PESO UNI]]*Tabela1[[#This Row],[QTE]]</f>
        <v>1583.5</v>
      </c>
      <c r="I1140" s="7">
        <v>0</v>
      </c>
      <c r="J1140" s="8" t="s">
        <v>5531</v>
      </c>
      <c r="K1140" s="8" t="s">
        <v>4320</v>
      </c>
      <c r="L1140" s="9" t="s">
        <v>5532</v>
      </c>
      <c r="M1140" s="10">
        <v>46265</v>
      </c>
      <c r="N1140" s="8" t="s">
        <v>5105</v>
      </c>
      <c r="O1140" s="12"/>
      <c r="P1140" s="13"/>
      <c r="Q1140" s="14">
        <f ca="1">Tabela1[[#This Row],[QTDE/ Fabricação]]-Tabela1[[#This Row],[QTE]]</f>
        <v>-5</v>
      </c>
      <c r="R1140" s="18">
        <f t="shared" ca="1" si="245"/>
        <v>395.875</v>
      </c>
      <c r="S1140" s="18">
        <f t="shared" ca="1" si="246"/>
        <v>0</v>
      </c>
      <c r="T1140" s="19">
        <f t="shared" ca="1" si="247"/>
        <v>-1583.5</v>
      </c>
      <c r="U1140" s="16">
        <f>IFERROR(SUMIF('LISTA DE EMBARQUE'!B:B,MICRO!E:E,'LISTA DE EMBARQUE'!G:G),"")</f>
        <v>0</v>
      </c>
      <c r="V1140" s="12" t="str">
        <f>IFERROR(VLOOKUP(Tabela1[[#This Row],[COD.MDE]],'LISTA DE EMBARQUE'!B:L,11,0),"")</f>
        <v/>
      </c>
      <c r="W1140" s="13" t="str">
        <f>IFERROR(VLOOKUP(Tabela1[[#This Row],[COD.MDE]],'LISTA DE EMBARQUE'!B:M,12,0),"")</f>
        <v/>
      </c>
      <c r="X1140" s="14">
        <f ca="1">IFERROR(Tabela1[[#This Row],[QIANTIDADE EXPEDIDA]]*Tabela1[[#This Row],[PESO UNI]],"")</f>
        <v>0</v>
      </c>
      <c r="Y1140" s="14">
        <f t="shared" ca="1" si="248"/>
        <v>-5</v>
      </c>
      <c r="Z1140" s="20">
        <f ca="1">Tabela1[[#This Row],[PESO TOTAL]]-Tabela1[[#This Row],[Peso Expedido]]</f>
        <v>1583.5</v>
      </c>
      <c r="AA1140" s="17">
        <v>1</v>
      </c>
      <c r="AB1140" s="33"/>
      <c r="AC1140" s="33"/>
      <c r="AD1140" s="33"/>
      <c r="AE1140" s="33"/>
      <c r="AF1140" s="33"/>
      <c r="AG1140" s="33"/>
      <c r="AH1140" s="33"/>
      <c r="AI1140" s="33"/>
      <c r="AJ1140"/>
      <c r="AK1140"/>
      <c r="AL1140"/>
      <c r="AM1140"/>
      <c r="AN1140"/>
      <c r="AO1140"/>
      <c r="AP1140"/>
      <c r="AQ1140" s="22"/>
      <c r="AR1140" s="24"/>
      <c r="AS1140" s="37"/>
      <c r="AT1140" s="37"/>
      <c r="AU1140" s="37"/>
      <c r="AV1140" s="37"/>
      <c r="AW1140" s="37"/>
    </row>
    <row r="1141" spans="1:49" ht="15.75" hidden="1" customHeight="1" x14ac:dyDescent="0.25">
      <c r="A1141" s="1" t="s">
        <v>5552</v>
      </c>
      <c r="B1141" s="21"/>
      <c r="C1141" s="1">
        <v>1</v>
      </c>
      <c r="D1141" s="1" t="s">
        <v>5553</v>
      </c>
      <c r="E1141" s="7">
        <v>4781</v>
      </c>
      <c r="F1141" s="7">
        <v>2</v>
      </c>
      <c r="G1141" s="1">
        <v>251.8</v>
      </c>
      <c r="H1141" s="34">
        <f ca="1">Tabela1[[#This Row],[PESO UNI]]*Tabela1[[#This Row],[QTE]]</f>
        <v>251.8</v>
      </c>
      <c r="I1141" s="7">
        <v>0</v>
      </c>
      <c r="J1141" s="8" t="s">
        <v>5531</v>
      </c>
      <c r="K1141" s="8" t="s">
        <v>4320</v>
      </c>
      <c r="L1141" s="9" t="s">
        <v>5532</v>
      </c>
      <c r="M1141" s="10">
        <v>46265</v>
      </c>
      <c r="N1141" s="8" t="s">
        <v>5105</v>
      </c>
      <c r="O1141" s="12"/>
      <c r="P1141" s="13"/>
      <c r="Q1141" s="14">
        <f ca="1">Tabela1[[#This Row],[QTDE/ Fabricação]]-Tabela1[[#This Row],[QTE]]</f>
        <v>-1</v>
      </c>
      <c r="R1141" s="18">
        <f t="shared" ca="1" si="245"/>
        <v>62.95</v>
      </c>
      <c r="S1141" s="18">
        <f t="shared" ca="1" si="246"/>
        <v>0</v>
      </c>
      <c r="T1141" s="19">
        <f t="shared" ca="1" si="247"/>
        <v>-251.8</v>
      </c>
      <c r="U1141" s="16">
        <f>IFERROR(SUMIF('LISTA DE EMBARQUE'!B:B,MICRO!E:E,'LISTA DE EMBARQUE'!G:G),"")</f>
        <v>0</v>
      </c>
      <c r="V1141" s="12" t="str">
        <f>IFERROR(VLOOKUP(Tabela1[[#This Row],[COD.MDE]],'LISTA DE EMBARQUE'!B:L,11,0),"")</f>
        <v/>
      </c>
      <c r="W1141" s="13" t="str">
        <f>IFERROR(VLOOKUP(Tabela1[[#This Row],[COD.MDE]],'LISTA DE EMBARQUE'!B:M,12,0),"")</f>
        <v/>
      </c>
      <c r="X1141" s="14">
        <f ca="1">IFERROR(Tabela1[[#This Row],[QIANTIDADE EXPEDIDA]]*Tabela1[[#This Row],[PESO UNI]],"")</f>
        <v>0</v>
      </c>
      <c r="Y1141" s="14">
        <f t="shared" ca="1" si="248"/>
        <v>-1</v>
      </c>
      <c r="Z1141" s="20">
        <f ca="1">Tabela1[[#This Row],[PESO TOTAL]]-Tabela1[[#This Row],[Peso Expedido]]</f>
        <v>251.8</v>
      </c>
      <c r="AA1141" s="17">
        <v>1</v>
      </c>
      <c r="AB1141" s="33"/>
      <c r="AC1141" s="33"/>
      <c r="AD1141" s="33"/>
      <c r="AE1141" s="33"/>
      <c r="AF1141" s="33"/>
      <c r="AG1141" s="33"/>
      <c r="AH1141" s="33"/>
      <c r="AI1141" s="33"/>
      <c r="AJ1141"/>
      <c r="AK1141"/>
      <c r="AL1141"/>
      <c r="AM1141"/>
      <c r="AN1141"/>
      <c r="AO1141"/>
      <c r="AP1141"/>
      <c r="AQ1141" s="22"/>
      <c r="AR1141" s="24"/>
      <c r="AS1141" s="37"/>
      <c r="AT1141" s="37"/>
      <c r="AU1141" s="37"/>
      <c r="AV1141" s="37"/>
      <c r="AW1141" s="37"/>
    </row>
    <row r="1142" spans="1:49" ht="15.75" hidden="1" customHeight="1" x14ac:dyDescent="0.25">
      <c r="A1142" s="1" t="s">
        <v>5554</v>
      </c>
      <c r="B1142" s="21"/>
      <c r="C1142" s="1">
        <v>1</v>
      </c>
      <c r="D1142" s="1" t="s">
        <v>5555</v>
      </c>
      <c r="E1142" s="7">
        <v>4782</v>
      </c>
      <c r="F1142" s="7">
        <v>2</v>
      </c>
      <c r="G1142" s="1">
        <v>157.6</v>
      </c>
      <c r="H1142" s="34">
        <f ca="1">Tabela1[[#This Row],[PESO UNI]]*Tabela1[[#This Row],[QTE]]</f>
        <v>157.6</v>
      </c>
      <c r="I1142" s="7">
        <v>0</v>
      </c>
      <c r="J1142" s="8" t="s">
        <v>5531</v>
      </c>
      <c r="K1142" s="8" t="s">
        <v>4320</v>
      </c>
      <c r="L1142" s="9" t="s">
        <v>5532</v>
      </c>
      <c r="M1142" s="10">
        <v>46265</v>
      </c>
      <c r="N1142" s="8" t="s">
        <v>5105</v>
      </c>
      <c r="O1142" s="12"/>
      <c r="P1142" s="13"/>
      <c r="Q1142" s="14">
        <f ca="1">Tabela1[[#This Row],[QTDE/ Fabricação]]-Tabela1[[#This Row],[QTE]]</f>
        <v>-1</v>
      </c>
      <c r="R1142" s="18">
        <f t="shared" ca="1" si="245"/>
        <v>39.4</v>
      </c>
      <c r="S1142" s="18">
        <f t="shared" ca="1" si="246"/>
        <v>0</v>
      </c>
      <c r="T1142" s="19">
        <f t="shared" ca="1" si="247"/>
        <v>-157.6</v>
      </c>
      <c r="U1142" s="16">
        <f>IFERROR(SUMIF('LISTA DE EMBARQUE'!B:B,MICRO!E:E,'LISTA DE EMBARQUE'!G:G),"")</f>
        <v>0</v>
      </c>
      <c r="V1142" s="12" t="str">
        <f>IFERROR(VLOOKUP(Tabela1[[#This Row],[COD.MDE]],'LISTA DE EMBARQUE'!B:L,11,0),"")</f>
        <v/>
      </c>
      <c r="W1142" s="13" t="str">
        <f>IFERROR(VLOOKUP(Tabela1[[#This Row],[COD.MDE]],'LISTA DE EMBARQUE'!B:M,12,0),"")</f>
        <v/>
      </c>
      <c r="X1142" s="14">
        <f ca="1">IFERROR(Tabela1[[#This Row],[QIANTIDADE EXPEDIDA]]*Tabela1[[#This Row],[PESO UNI]],"")</f>
        <v>0</v>
      </c>
      <c r="Y1142" s="14">
        <f t="shared" ca="1" si="248"/>
        <v>-1</v>
      </c>
      <c r="Z1142" s="20">
        <f ca="1">Tabela1[[#This Row],[PESO TOTAL]]-Tabela1[[#This Row],[Peso Expedido]]</f>
        <v>157.6</v>
      </c>
      <c r="AA1142" s="17">
        <v>1</v>
      </c>
      <c r="AB1142" s="33"/>
      <c r="AC1142" s="33"/>
      <c r="AD1142" s="33"/>
      <c r="AE1142" s="33"/>
      <c r="AF1142" s="33"/>
      <c r="AG1142" s="33"/>
      <c r="AH1142" s="33"/>
      <c r="AI1142" s="33"/>
      <c r="AJ1142"/>
      <c r="AK1142"/>
      <c r="AL1142"/>
      <c r="AM1142"/>
      <c r="AN1142"/>
      <c r="AO1142"/>
      <c r="AP1142"/>
      <c r="AQ1142" s="22"/>
      <c r="AR1142" s="24"/>
      <c r="AS1142" s="37"/>
      <c r="AT1142" s="37"/>
      <c r="AU1142" s="37"/>
      <c r="AV1142" s="37"/>
      <c r="AW1142" s="37"/>
    </row>
    <row r="1143" spans="1:49" ht="15.75" hidden="1" customHeight="1" x14ac:dyDescent="0.25">
      <c r="A1143" s="1" t="s">
        <v>5559</v>
      </c>
      <c r="B1143" s="21" t="s">
        <v>5560</v>
      </c>
      <c r="C1143" s="1">
        <v>1</v>
      </c>
      <c r="D1143" s="1" t="s">
        <v>5561</v>
      </c>
      <c r="E1143" s="7">
        <v>4783</v>
      </c>
      <c r="F1143" s="7">
        <v>33</v>
      </c>
      <c r="G1143" s="1">
        <v>442.7</v>
      </c>
      <c r="H1143" s="34">
        <f ca="1">Tabela1[[#This Row],[PESO UNI]]*Tabela1[[#This Row],[QTE]]</f>
        <v>442.7</v>
      </c>
      <c r="I1143" s="7" t="s">
        <v>5586</v>
      </c>
      <c r="J1143" s="8" t="s">
        <v>4834</v>
      </c>
      <c r="K1143" s="8" t="s">
        <v>4320</v>
      </c>
      <c r="L1143" s="9" t="s">
        <v>3291</v>
      </c>
      <c r="M1143" s="10">
        <v>46266</v>
      </c>
      <c r="N1143" s="8" t="s">
        <v>38</v>
      </c>
      <c r="O1143" s="12"/>
      <c r="P1143" s="13"/>
      <c r="Q1143" s="14">
        <f ca="1">Tabela1[[#This Row],[QTDE/ Fabricação]]-Tabela1[[#This Row],[QTE]]</f>
        <v>-1</v>
      </c>
      <c r="R1143" s="18">
        <f t="shared" ref="R1143:R1160" ca="1" si="249">IFERROR(H1143*((AA1143*0.25)+(AC1143*0.25)+(AD1143*0.225)+(AE1143*0.225)+(AF1143*0.05)),"")</f>
        <v>110.675</v>
      </c>
      <c r="S1143" s="18">
        <f t="shared" ref="S1143:S1160" ca="1" si="250">IFERROR(H1143*AG1143,"")</f>
        <v>0</v>
      </c>
      <c r="T1143" s="19">
        <f t="shared" ref="T1143:T1160" ca="1" si="251">IFERROR(S1143-H1143,"")</f>
        <v>-442.7</v>
      </c>
      <c r="U1143" s="16">
        <f>IFERROR(SUMIF('LISTA DE EMBARQUE'!B:B,MICRO!E:E,'LISTA DE EMBARQUE'!G:G),"")</f>
        <v>0</v>
      </c>
      <c r="V1143" s="12" t="str">
        <f>IFERROR(VLOOKUP(Tabela1[[#This Row],[COD.MDE]],'LISTA DE EMBARQUE'!B:L,11,0),"")</f>
        <v/>
      </c>
      <c r="W1143" s="13" t="str">
        <f>IFERROR(VLOOKUP(Tabela1[[#This Row],[COD.MDE]],'LISTA DE EMBARQUE'!B:M,12,0),"")</f>
        <v/>
      </c>
      <c r="X1143" s="14">
        <f ca="1">IFERROR(Tabela1[[#This Row],[QIANTIDADE EXPEDIDA]]*Tabela1[[#This Row],[PESO UNI]],"")</f>
        <v>0</v>
      </c>
      <c r="Y1143" s="14">
        <f t="shared" ref="Y1143:Y1160" ca="1" si="252">U1143-C1143</f>
        <v>-1</v>
      </c>
      <c r="Z1143" s="20">
        <f ca="1">Tabela1[[#This Row],[PESO TOTAL]]-Tabela1[[#This Row],[Peso Expedido]]</f>
        <v>442.7</v>
      </c>
      <c r="AA1143" s="17">
        <v>1</v>
      </c>
      <c r="AB1143" s="33"/>
      <c r="AC1143" s="33"/>
      <c r="AD1143" s="33"/>
      <c r="AE1143" s="33"/>
      <c r="AF1143" s="33"/>
      <c r="AG1143" s="33"/>
      <c r="AH1143" s="33"/>
      <c r="AI1143" s="33"/>
      <c r="AJ1143"/>
      <c r="AK1143"/>
      <c r="AL1143"/>
      <c r="AM1143"/>
      <c r="AN1143"/>
      <c r="AO1143"/>
      <c r="AP1143"/>
      <c r="AQ1143" s="22"/>
      <c r="AR1143" s="24"/>
      <c r="AS1143" s="37"/>
      <c r="AT1143" s="37"/>
      <c r="AU1143" s="37"/>
      <c r="AV1143" s="37"/>
      <c r="AW1143" s="37"/>
    </row>
    <row r="1144" spans="1:49" ht="15.75" hidden="1" customHeight="1" x14ac:dyDescent="0.25">
      <c r="A1144" s="1" t="s">
        <v>5559</v>
      </c>
      <c r="B1144" s="21" t="s">
        <v>5560</v>
      </c>
      <c r="C1144" s="1">
        <v>4</v>
      </c>
      <c r="D1144" s="1" t="s">
        <v>5562</v>
      </c>
      <c r="E1144" s="7">
        <v>4784</v>
      </c>
      <c r="F1144" s="7">
        <v>33</v>
      </c>
      <c r="G1144" s="1">
        <v>3.1</v>
      </c>
      <c r="H1144" s="34">
        <f ca="1">Tabela1[[#This Row],[PESO UNI]]*Tabela1[[#This Row],[QTE]]</f>
        <v>12.4</v>
      </c>
      <c r="I1144" s="7" t="s">
        <v>5586</v>
      </c>
      <c r="J1144" s="8" t="s">
        <v>4834</v>
      </c>
      <c r="K1144" s="8" t="s">
        <v>4320</v>
      </c>
      <c r="L1144" s="9" t="s">
        <v>3291</v>
      </c>
      <c r="M1144" s="10">
        <v>46266</v>
      </c>
      <c r="N1144" s="8" t="s">
        <v>38</v>
      </c>
      <c r="O1144" s="12"/>
      <c r="P1144" s="13"/>
      <c r="Q1144" s="14">
        <f ca="1">Tabela1[[#This Row],[QTDE/ Fabricação]]-Tabela1[[#This Row],[QTE]]</f>
        <v>-4</v>
      </c>
      <c r="R1144" s="18">
        <f t="shared" ca="1" si="249"/>
        <v>3.1</v>
      </c>
      <c r="S1144" s="18">
        <f t="shared" ca="1" si="250"/>
        <v>0</v>
      </c>
      <c r="T1144" s="19">
        <f t="shared" ca="1" si="251"/>
        <v>-12.4</v>
      </c>
      <c r="U1144" s="16">
        <f>IFERROR(SUMIF('LISTA DE EMBARQUE'!B:B,MICRO!E:E,'LISTA DE EMBARQUE'!G:G),"")</f>
        <v>0</v>
      </c>
      <c r="V1144" s="12" t="str">
        <f>IFERROR(VLOOKUP(Tabela1[[#This Row],[COD.MDE]],'LISTA DE EMBARQUE'!B:L,11,0),"")</f>
        <v/>
      </c>
      <c r="W1144" s="13" t="str">
        <f>IFERROR(VLOOKUP(Tabela1[[#This Row],[COD.MDE]],'LISTA DE EMBARQUE'!B:M,12,0),"")</f>
        <v/>
      </c>
      <c r="X1144" s="14">
        <f ca="1">IFERROR(Tabela1[[#This Row],[QIANTIDADE EXPEDIDA]]*Tabela1[[#This Row],[PESO UNI]],"")</f>
        <v>0</v>
      </c>
      <c r="Y1144" s="14">
        <f t="shared" ca="1" si="252"/>
        <v>-4</v>
      </c>
      <c r="Z1144" s="20">
        <f ca="1">Tabela1[[#This Row],[PESO TOTAL]]-Tabela1[[#This Row],[Peso Expedido]]</f>
        <v>12.4</v>
      </c>
      <c r="AA1144" s="17">
        <v>1</v>
      </c>
      <c r="AB1144" s="33"/>
      <c r="AC1144" s="33"/>
      <c r="AD1144" s="33"/>
      <c r="AE1144" s="33"/>
      <c r="AF1144" s="33"/>
      <c r="AG1144" s="33"/>
      <c r="AH1144" s="33"/>
      <c r="AI1144" s="33"/>
      <c r="AJ1144"/>
      <c r="AK1144"/>
      <c r="AL1144"/>
      <c r="AM1144"/>
      <c r="AN1144"/>
      <c r="AO1144"/>
      <c r="AP1144"/>
      <c r="AQ1144" s="22"/>
      <c r="AR1144" s="24"/>
      <c r="AS1144" s="37"/>
      <c r="AT1144" s="37"/>
      <c r="AU1144" s="37"/>
      <c r="AV1144" s="37"/>
      <c r="AW1144" s="37"/>
    </row>
    <row r="1145" spans="1:49" ht="15.75" hidden="1" customHeight="1" x14ac:dyDescent="0.25">
      <c r="A1145" s="1" t="s">
        <v>5563</v>
      </c>
      <c r="B1145" s="21" t="s">
        <v>5564</v>
      </c>
      <c r="C1145" s="1">
        <v>1</v>
      </c>
      <c r="D1145" s="1" t="s">
        <v>5565</v>
      </c>
      <c r="E1145" s="7">
        <v>4785</v>
      </c>
      <c r="F1145" s="7">
        <v>19</v>
      </c>
      <c r="G1145" s="1">
        <v>675</v>
      </c>
      <c r="H1145" s="34">
        <f ca="1">Tabela1[[#This Row],[PESO UNI]]*Tabela1[[#This Row],[QTE]]</f>
        <v>675</v>
      </c>
      <c r="I1145" s="7" t="s">
        <v>5586</v>
      </c>
      <c r="J1145" s="8" t="s">
        <v>4834</v>
      </c>
      <c r="K1145" s="8" t="s">
        <v>4320</v>
      </c>
      <c r="L1145" s="9" t="s">
        <v>3291</v>
      </c>
      <c r="M1145" s="10">
        <v>46252</v>
      </c>
      <c r="N1145" s="8" t="s">
        <v>38</v>
      </c>
      <c r="O1145" s="12"/>
      <c r="P1145" s="13"/>
      <c r="Q1145" s="14">
        <f ca="1">Tabela1[[#This Row],[QTDE/ Fabricação]]-Tabela1[[#This Row],[QTE]]</f>
        <v>-1</v>
      </c>
      <c r="R1145" s="18">
        <f t="shared" ca="1" si="249"/>
        <v>410.0625</v>
      </c>
      <c r="S1145" s="18">
        <f t="shared" ca="1" si="250"/>
        <v>0</v>
      </c>
      <c r="T1145" s="19">
        <f t="shared" ca="1" si="251"/>
        <v>-675</v>
      </c>
      <c r="U1145" s="16">
        <f>IFERROR(SUMIF('LISTA DE EMBARQUE'!B:B,MICRO!E:E,'LISTA DE EMBARQUE'!G:G),"")</f>
        <v>0</v>
      </c>
      <c r="V1145" s="12" t="str">
        <f>IFERROR(VLOOKUP(Tabela1[[#This Row],[COD.MDE]],'LISTA DE EMBARQUE'!B:L,11,0),"")</f>
        <v/>
      </c>
      <c r="W1145" s="13" t="str">
        <f>IFERROR(VLOOKUP(Tabela1[[#This Row],[COD.MDE]],'LISTA DE EMBARQUE'!B:M,12,0),"")</f>
        <v/>
      </c>
      <c r="X1145" s="14">
        <f ca="1">IFERROR(Tabela1[[#This Row],[QIANTIDADE EXPEDIDA]]*Tabela1[[#This Row],[PESO UNI]],"")</f>
        <v>0</v>
      </c>
      <c r="Y1145" s="14">
        <f t="shared" ca="1" si="252"/>
        <v>-1</v>
      </c>
      <c r="Z1145" s="20">
        <f ca="1">Tabela1[[#This Row],[PESO TOTAL]]-Tabela1[[#This Row],[Peso Expedido]]</f>
        <v>675</v>
      </c>
      <c r="AA1145" s="17">
        <v>0.9</v>
      </c>
      <c r="AB1145" s="33"/>
      <c r="AC1145" s="33">
        <v>0.9</v>
      </c>
      <c r="AD1145" s="33">
        <v>0.7</v>
      </c>
      <c r="AE1145" s="33"/>
      <c r="AF1145" s="33"/>
      <c r="AG1145" s="33"/>
      <c r="AH1145" s="33"/>
      <c r="AI1145" s="33"/>
      <c r="AJ1145"/>
      <c r="AK1145"/>
      <c r="AL1145"/>
      <c r="AM1145"/>
      <c r="AN1145"/>
      <c r="AO1145"/>
      <c r="AP1145"/>
      <c r="AQ1145" s="22"/>
      <c r="AR1145" s="24"/>
      <c r="AS1145" s="37"/>
      <c r="AT1145" s="37"/>
      <c r="AU1145" s="37"/>
      <c r="AV1145" s="37"/>
      <c r="AW1145" s="37"/>
    </row>
    <row r="1146" spans="1:49" ht="15.75" hidden="1" customHeight="1" x14ac:dyDescent="0.25">
      <c r="A1146" s="1" t="s">
        <v>5566</v>
      </c>
      <c r="B1146" s="21"/>
      <c r="C1146" s="1">
        <v>8</v>
      </c>
      <c r="D1146" s="1" t="s">
        <v>5567</v>
      </c>
      <c r="E1146" s="7">
        <v>4786</v>
      </c>
      <c r="F1146" s="7">
        <v>3</v>
      </c>
      <c r="G1146" s="1">
        <v>0.6</v>
      </c>
      <c r="H1146" s="34">
        <f>Tabela1[[#This Row],[PESO UNI]]*Tabela1[[#This Row],[QTE]]</f>
        <v>4.8</v>
      </c>
      <c r="I1146" s="7">
        <v>0</v>
      </c>
      <c r="J1146" s="8" t="s">
        <v>5531</v>
      </c>
      <c r="K1146" s="8" t="s">
        <v>4320</v>
      </c>
      <c r="L1146" s="9" t="s">
        <v>5532</v>
      </c>
      <c r="M1146" s="10">
        <v>46267</v>
      </c>
      <c r="N1146" s="8" t="s">
        <v>5105</v>
      </c>
      <c r="O1146" s="12"/>
      <c r="P1146" s="13"/>
      <c r="Q1146" s="14">
        <f>Tabela1[[#This Row],[QTDE/ Fabricação]]-Tabela1[[#This Row],[QTE]]</f>
        <v>-8</v>
      </c>
      <c r="R1146" s="18">
        <f t="shared" si="249"/>
        <v>1.2</v>
      </c>
      <c r="S1146" s="18">
        <f t="shared" ca="1" si="250"/>
        <v>0</v>
      </c>
      <c r="T1146" s="19">
        <f t="shared" ca="1" si="251"/>
        <v>-4.8</v>
      </c>
      <c r="U1146" s="16">
        <f>IFERROR(SUMIF('LISTA DE EMBARQUE'!B:B,MICRO!E:E,'LISTA DE EMBARQUE'!G:G),"")</f>
        <v>0</v>
      </c>
      <c r="V1146" s="12" t="str">
        <f>IFERROR(VLOOKUP(Tabela1[[#This Row],[COD.MDE]],'LISTA DE EMBARQUE'!B:L,11,0),"")</f>
        <v/>
      </c>
      <c r="W1146" s="13" t="str">
        <f>IFERROR(VLOOKUP(Tabela1[[#This Row],[COD.MDE]],'LISTA DE EMBARQUE'!B:M,12,0),"")</f>
        <v/>
      </c>
      <c r="X1146" s="14">
        <f ca="1">IFERROR(Tabela1[[#This Row],[QIANTIDADE EXPEDIDA]]*Tabela1[[#This Row],[PESO UNI]],"")</f>
        <v>0</v>
      </c>
      <c r="Y1146" s="14">
        <f t="shared" si="252"/>
        <v>-8</v>
      </c>
      <c r="Z1146" s="20">
        <f ca="1">Tabela1[[#This Row],[PESO TOTAL]]-Tabela1[[#This Row],[Peso Expedido]]</f>
        <v>4.8</v>
      </c>
      <c r="AA1146" s="17">
        <v>1</v>
      </c>
      <c r="AB1146" s="33"/>
      <c r="AC1146" s="33"/>
      <c r="AD1146" s="33"/>
      <c r="AE1146" s="33"/>
      <c r="AF1146" s="33"/>
      <c r="AG1146" s="33"/>
      <c r="AH1146" s="33"/>
      <c r="AI1146" s="33"/>
      <c r="AJ1146"/>
      <c r="AK1146"/>
      <c r="AL1146"/>
      <c r="AM1146"/>
      <c r="AN1146"/>
      <c r="AO1146"/>
      <c r="AP1146"/>
      <c r="AQ1146" s="22"/>
      <c r="AR1146" s="24"/>
      <c r="AS1146" s="37"/>
      <c r="AT1146" s="37"/>
      <c r="AU1146" s="37"/>
      <c r="AV1146" s="37"/>
      <c r="AW1146" s="37"/>
    </row>
    <row r="1147" spans="1:49" ht="15.75" hidden="1" customHeight="1" x14ac:dyDescent="0.25">
      <c r="A1147" s="1" t="s">
        <v>5566</v>
      </c>
      <c r="B1147" s="21"/>
      <c r="C1147" s="1">
        <v>1</v>
      </c>
      <c r="D1147" s="1" t="s">
        <v>5568</v>
      </c>
      <c r="E1147" s="7">
        <v>4787</v>
      </c>
      <c r="F1147" s="7">
        <v>3</v>
      </c>
      <c r="G1147" s="1">
        <v>14.4</v>
      </c>
      <c r="H1147" s="34">
        <f>Tabela1[[#This Row],[PESO UNI]]*Tabela1[[#This Row],[QTE]]</f>
        <v>14.4</v>
      </c>
      <c r="I1147" s="7">
        <v>0</v>
      </c>
      <c r="J1147" s="8" t="s">
        <v>5531</v>
      </c>
      <c r="K1147" s="8" t="s">
        <v>4320</v>
      </c>
      <c r="L1147" s="9" t="s">
        <v>5532</v>
      </c>
      <c r="M1147" s="10">
        <v>46267</v>
      </c>
      <c r="N1147" s="8" t="s">
        <v>5105</v>
      </c>
      <c r="O1147" s="12"/>
      <c r="P1147" s="13"/>
      <c r="Q1147" s="14">
        <f>Tabela1[[#This Row],[QTDE/ Fabricação]]-Tabela1[[#This Row],[QTE]]</f>
        <v>-1</v>
      </c>
      <c r="R1147" s="18">
        <f t="shared" si="249"/>
        <v>3.6</v>
      </c>
      <c r="S1147" s="18">
        <f t="shared" ca="1" si="250"/>
        <v>0</v>
      </c>
      <c r="T1147" s="19">
        <f t="shared" ca="1" si="251"/>
        <v>-14.4</v>
      </c>
      <c r="U1147" s="16">
        <f>IFERROR(SUMIF('LISTA DE EMBARQUE'!B:B,MICRO!E:E,'LISTA DE EMBARQUE'!G:G),"")</f>
        <v>0</v>
      </c>
      <c r="V1147" s="12" t="str">
        <f>IFERROR(VLOOKUP(Tabela1[[#This Row],[COD.MDE]],'LISTA DE EMBARQUE'!B:L,11,0),"")</f>
        <v/>
      </c>
      <c r="W1147" s="13" t="str">
        <f>IFERROR(VLOOKUP(Tabela1[[#This Row],[COD.MDE]],'LISTA DE EMBARQUE'!B:M,12,0),"")</f>
        <v/>
      </c>
      <c r="X1147" s="14">
        <f ca="1">IFERROR(Tabela1[[#This Row],[QIANTIDADE EXPEDIDA]]*Tabela1[[#This Row],[PESO UNI]],"")</f>
        <v>0</v>
      </c>
      <c r="Y1147" s="14">
        <f t="shared" si="252"/>
        <v>-1</v>
      </c>
      <c r="Z1147" s="20">
        <f ca="1">Tabela1[[#This Row],[PESO TOTAL]]-Tabela1[[#This Row],[Peso Expedido]]</f>
        <v>14.4</v>
      </c>
      <c r="AA1147" s="17">
        <v>1</v>
      </c>
      <c r="AB1147" s="33"/>
      <c r="AC1147" s="33"/>
      <c r="AD1147" s="33"/>
      <c r="AE1147" s="33"/>
      <c r="AF1147" s="33"/>
      <c r="AG1147" s="33"/>
      <c r="AH1147" s="33"/>
      <c r="AI1147" s="33"/>
      <c r="AJ1147"/>
      <c r="AK1147"/>
      <c r="AL1147"/>
      <c r="AM1147"/>
      <c r="AN1147"/>
      <c r="AO1147"/>
      <c r="AP1147"/>
      <c r="AQ1147" s="22"/>
      <c r="AR1147" s="24"/>
      <c r="AS1147" s="37"/>
      <c r="AT1147" s="37"/>
      <c r="AU1147" s="37"/>
      <c r="AV1147" s="37"/>
      <c r="AW1147" s="37"/>
    </row>
    <row r="1148" spans="1:49" ht="15.75" hidden="1" customHeight="1" x14ac:dyDescent="0.25">
      <c r="A1148" s="1" t="s">
        <v>5566</v>
      </c>
      <c r="B1148" s="21"/>
      <c r="C1148" s="1">
        <v>1</v>
      </c>
      <c r="D1148" s="1" t="s">
        <v>5569</v>
      </c>
      <c r="E1148" s="7">
        <v>4788</v>
      </c>
      <c r="F1148" s="7">
        <v>3</v>
      </c>
      <c r="G1148" s="1">
        <v>14.4</v>
      </c>
      <c r="H1148" s="34">
        <f ca="1">Tabela1[[#This Row],[PESO UNI]]*Tabela1[[#This Row],[QTE]]</f>
        <v>14.4</v>
      </c>
      <c r="I1148" s="7">
        <v>0</v>
      </c>
      <c r="J1148" s="8" t="s">
        <v>5531</v>
      </c>
      <c r="K1148" s="8" t="s">
        <v>4320</v>
      </c>
      <c r="L1148" s="9" t="s">
        <v>5532</v>
      </c>
      <c r="M1148" s="10">
        <v>46267</v>
      </c>
      <c r="N1148" s="8" t="s">
        <v>5105</v>
      </c>
      <c r="O1148" s="12"/>
      <c r="P1148" s="13"/>
      <c r="Q1148" s="14">
        <f>Tabela1[[#This Row],[QTDE/ Fabricação]]-Tabela1[[#This Row],[QTE]]</f>
        <v>-1</v>
      </c>
      <c r="R1148" s="18">
        <f t="shared" ca="1" si="249"/>
        <v>3.6</v>
      </c>
      <c r="S1148" s="18">
        <f t="shared" ca="1" si="250"/>
        <v>0</v>
      </c>
      <c r="T1148" s="19">
        <f t="shared" ca="1" si="251"/>
        <v>-14.4</v>
      </c>
      <c r="U1148" s="16">
        <f>IFERROR(SUMIF('LISTA DE EMBARQUE'!B:B,MICRO!E:E,'LISTA DE EMBARQUE'!G:G),"")</f>
        <v>0</v>
      </c>
      <c r="V1148" s="12" t="str">
        <f>IFERROR(VLOOKUP(Tabela1[[#This Row],[COD.MDE]],'LISTA DE EMBARQUE'!B:L,11,0),"")</f>
        <v/>
      </c>
      <c r="W1148" s="13" t="str">
        <f>IFERROR(VLOOKUP(Tabela1[[#This Row],[COD.MDE]],'LISTA DE EMBARQUE'!B:M,12,0),"")</f>
        <v/>
      </c>
      <c r="X1148" s="14">
        <f ca="1">IFERROR(Tabela1[[#This Row],[QIANTIDADE EXPEDIDA]]*Tabela1[[#This Row],[PESO UNI]],"")</f>
        <v>0</v>
      </c>
      <c r="Y1148" s="14">
        <f t="shared" ca="1" si="252"/>
        <v>-1</v>
      </c>
      <c r="Z1148" s="20">
        <f ca="1">Tabela1[[#This Row],[PESO TOTAL]]-Tabela1[[#This Row],[Peso Expedido]]</f>
        <v>14.4</v>
      </c>
      <c r="AA1148" s="17">
        <v>1</v>
      </c>
      <c r="AB1148" s="33"/>
      <c r="AC1148" s="33"/>
      <c r="AD1148" s="33"/>
      <c r="AE1148" s="33"/>
      <c r="AF1148" s="33"/>
      <c r="AG1148" s="33"/>
      <c r="AH1148" s="33"/>
      <c r="AI1148" s="33"/>
      <c r="AJ1148"/>
      <c r="AK1148"/>
      <c r="AL1148"/>
      <c r="AM1148"/>
      <c r="AN1148"/>
      <c r="AO1148"/>
      <c r="AP1148"/>
      <c r="AQ1148" s="22"/>
      <c r="AR1148" s="24"/>
      <c r="AS1148" s="37"/>
      <c r="AT1148" s="37"/>
      <c r="AU1148" s="37"/>
      <c r="AV1148" s="37"/>
      <c r="AW1148" s="37"/>
    </row>
    <row r="1149" spans="1:49" ht="15.75" hidden="1" customHeight="1" x14ac:dyDescent="0.25">
      <c r="A1149" s="1" t="s">
        <v>5570</v>
      </c>
      <c r="B1149" s="21"/>
      <c r="C1149" s="1">
        <v>1</v>
      </c>
      <c r="D1149" s="1" t="s">
        <v>5571</v>
      </c>
      <c r="E1149" s="7">
        <v>4789</v>
      </c>
      <c r="F1149" s="7">
        <v>3</v>
      </c>
      <c r="G1149" s="1">
        <v>0.1</v>
      </c>
      <c r="H1149" s="34">
        <f>Tabela1[[#This Row],[PESO UNI]]*Tabela1[[#This Row],[QTE]]</f>
        <v>0.1</v>
      </c>
      <c r="I1149" s="7">
        <v>0</v>
      </c>
      <c r="J1149" s="8" t="s">
        <v>5531</v>
      </c>
      <c r="K1149" s="8" t="s">
        <v>4320</v>
      </c>
      <c r="L1149" s="9" t="s">
        <v>5532</v>
      </c>
      <c r="M1149" s="10">
        <v>46267</v>
      </c>
      <c r="N1149" s="8" t="s">
        <v>5105</v>
      </c>
      <c r="O1149" s="12"/>
      <c r="P1149" s="13"/>
      <c r="Q1149" s="14">
        <f>Tabela1[[#This Row],[QTDE/ Fabricação]]-Tabela1[[#This Row],[QTE]]</f>
        <v>-1</v>
      </c>
      <c r="R1149" s="18">
        <f t="shared" si="249"/>
        <v>2.5000000000000001E-2</v>
      </c>
      <c r="S1149" s="18">
        <f t="shared" ca="1" si="250"/>
        <v>0</v>
      </c>
      <c r="T1149" s="19">
        <f t="shared" ca="1" si="251"/>
        <v>-0.1</v>
      </c>
      <c r="U1149" s="16">
        <f>IFERROR(SUMIF('LISTA DE EMBARQUE'!B:B,MICRO!E:E,'LISTA DE EMBARQUE'!G:G),"")</f>
        <v>0</v>
      </c>
      <c r="V1149" s="12" t="str">
        <f>IFERROR(VLOOKUP(Tabela1[[#This Row],[COD.MDE]],'LISTA DE EMBARQUE'!B:L,11,0),"")</f>
        <v/>
      </c>
      <c r="W1149" s="13" t="str">
        <f>IFERROR(VLOOKUP(Tabela1[[#This Row],[COD.MDE]],'LISTA DE EMBARQUE'!B:M,12,0),"")</f>
        <v/>
      </c>
      <c r="X1149" s="14">
        <f>IFERROR(Tabela1[[#This Row],[QIANTIDADE EXPEDIDA]]*Tabela1[[#This Row],[PESO UNI]],"")</f>
        <v>0</v>
      </c>
      <c r="Y1149" s="14">
        <f t="shared" ca="1" si="252"/>
        <v>-1</v>
      </c>
      <c r="Z1149" s="20">
        <f ca="1">Tabela1[[#This Row],[PESO TOTAL]]-Tabela1[[#This Row],[Peso Expedido]]</f>
        <v>0.1</v>
      </c>
      <c r="AA1149" s="17">
        <v>1</v>
      </c>
      <c r="AB1149" s="33"/>
      <c r="AC1149" s="33"/>
      <c r="AD1149" s="33"/>
      <c r="AE1149" s="33"/>
      <c r="AF1149" s="33"/>
      <c r="AG1149" s="33"/>
      <c r="AH1149" s="33"/>
      <c r="AI1149" s="33"/>
      <c r="AJ1149"/>
      <c r="AK1149"/>
      <c r="AL1149"/>
      <c r="AM1149"/>
      <c r="AN1149"/>
      <c r="AO1149"/>
      <c r="AP1149"/>
      <c r="AQ1149" s="22"/>
      <c r="AR1149" s="24"/>
      <c r="AS1149" s="37"/>
      <c r="AT1149" s="37"/>
      <c r="AU1149" s="37"/>
      <c r="AV1149" s="37"/>
      <c r="AW1149" s="37"/>
    </row>
    <row r="1150" spans="1:49" ht="15.75" hidden="1" customHeight="1" x14ac:dyDescent="0.25">
      <c r="A1150" s="1" t="s">
        <v>5570</v>
      </c>
      <c r="B1150" s="21"/>
      <c r="C1150" s="1">
        <v>1</v>
      </c>
      <c r="D1150" s="1" t="s">
        <v>5572</v>
      </c>
      <c r="E1150" s="7">
        <v>4790</v>
      </c>
      <c r="F1150" s="7">
        <v>3</v>
      </c>
      <c r="G1150" s="1">
        <v>0.2</v>
      </c>
      <c r="H1150" s="34">
        <f>Tabela1[[#This Row],[PESO UNI]]*Tabela1[[#This Row],[QTE]]</f>
        <v>0.2</v>
      </c>
      <c r="I1150" s="7">
        <v>0</v>
      </c>
      <c r="J1150" s="8" t="s">
        <v>5531</v>
      </c>
      <c r="K1150" s="8" t="s">
        <v>4320</v>
      </c>
      <c r="L1150" s="9" t="s">
        <v>5532</v>
      </c>
      <c r="M1150" s="10">
        <v>46267</v>
      </c>
      <c r="N1150" s="8" t="s">
        <v>5105</v>
      </c>
      <c r="O1150" s="12"/>
      <c r="P1150" s="13"/>
      <c r="Q1150" s="14">
        <f ca="1">Tabela1[[#This Row],[QTDE/ Fabricação]]-Tabela1[[#This Row],[QTE]]</f>
        <v>-1</v>
      </c>
      <c r="R1150" s="18">
        <f t="shared" ca="1" si="249"/>
        <v>0.05</v>
      </c>
      <c r="S1150" s="18">
        <f t="shared" si="250"/>
        <v>0</v>
      </c>
      <c r="T1150" s="19">
        <f t="shared" si="251"/>
        <v>-0.2</v>
      </c>
      <c r="U1150" s="16">
        <f>IFERROR(SUMIF('LISTA DE EMBARQUE'!B:B,MICRO!E:E,'LISTA DE EMBARQUE'!G:G),"")</f>
        <v>0</v>
      </c>
      <c r="V1150" s="12" t="str">
        <f>IFERROR(VLOOKUP(Tabela1[[#This Row],[COD.MDE]],'LISTA DE EMBARQUE'!B:L,11,0),"")</f>
        <v/>
      </c>
      <c r="W1150" s="13" t="str">
        <f>IFERROR(VLOOKUP(Tabela1[[#This Row],[COD.MDE]],'LISTA DE EMBARQUE'!B:M,12,0),"")</f>
        <v/>
      </c>
      <c r="X1150" s="14">
        <f>IFERROR(Tabela1[[#This Row],[QIANTIDADE EXPEDIDA]]*Tabela1[[#This Row],[PESO UNI]],"")</f>
        <v>0</v>
      </c>
      <c r="Y1150" s="14">
        <f t="shared" ca="1" si="252"/>
        <v>-1</v>
      </c>
      <c r="Z1150" s="20">
        <f ca="1">Tabela1[[#This Row],[PESO TOTAL]]-Tabela1[[#This Row],[Peso Expedido]]</f>
        <v>0.2</v>
      </c>
      <c r="AA1150" s="17">
        <v>1</v>
      </c>
      <c r="AB1150" s="33"/>
      <c r="AC1150" s="33"/>
      <c r="AD1150" s="33"/>
      <c r="AE1150" s="33"/>
      <c r="AF1150" s="33"/>
      <c r="AG1150" s="33"/>
      <c r="AH1150" s="33"/>
      <c r="AI1150" s="33"/>
      <c r="AJ1150"/>
      <c r="AK1150"/>
      <c r="AL1150"/>
      <c r="AM1150"/>
      <c r="AN1150"/>
      <c r="AO1150"/>
      <c r="AP1150"/>
      <c r="AQ1150" s="22"/>
      <c r="AR1150" s="24"/>
      <c r="AS1150" s="37"/>
      <c r="AT1150" s="37"/>
      <c r="AU1150" s="37"/>
      <c r="AV1150" s="37"/>
      <c r="AW1150" s="37"/>
    </row>
    <row r="1151" spans="1:49" ht="15.75" hidden="1" customHeight="1" x14ac:dyDescent="0.25">
      <c r="A1151" s="1" t="s">
        <v>5570</v>
      </c>
      <c r="B1151" s="21"/>
      <c r="C1151" s="1">
        <v>1</v>
      </c>
      <c r="D1151" s="1" t="s">
        <v>5573</v>
      </c>
      <c r="E1151" s="7">
        <v>4791</v>
      </c>
      <c r="F1151" s="7">
        <v>3</v>
      </c>
      <c r="G1151" s="1">
        <v>4.4000000000000004</v>
      </c>
      <c r="H1151" s="34">
        <f ca="1">Tabela1[[#This Row],[PESO UNI]]*Tabela1[[#This Row],[QTE]]</f>
        <v>4.4000000000000004</v>
      </c>
      <c r="I1151" s="7">
        <v>0</v>
      </c>
      <c r="J1151" s="8" t="s">
        <v>5531</v>
      </c>
      <c r="K1151" s="8" t="s">
        <v>4320</v>
      </c>
      <c r="L1151" s="9" t="s">
        <v>5532</v>
      </c>
      <c r="M1151" s="10">
        <v>46267</v>
      </c>
      <c r="N1151" s="8" t="s">
        <v>5105</v>
      </c>
      <c r="O1151" s="12"/>
      <c r="P1151" s="13"/>
      <c r="Q1151" s="14">
        <f>Tabela1[[#This Row],[QTDE/ Fabricação]]-Tabela1[[#This Row],[QTE]]</f>
        <v>-1</v>
      </c>
      <c r="R1151" s="18">
        <f t="shared" ca="1" si="249"/>
        <v>1.1000000000000001</v>
      </c>
      <c r="S1151" s="18">
        <f t="shared" ca="1" si="250"/>
        <v>0</v>
      </c>
      <c r="T1151" s="19">
        <f t="shared" ca="1" si="251"/>
        <v>-4.4000000000000004</v>
      </c>
      <c r="U1151" s="16">
        <f>IFERROR(SUMIF('LISTA DE EMBARQUE'!B:B,MICRO!E:E,'LISTA DE EMBARQUE'!G:G),"")</f>
        <v>0</v>
      </c>
      <c r="V1151" s="12" t="str">
        <f>IFERROR(VLOOKUP(Tabela1[[#This Row],[COD.MDE]],'LISTA DE EMBARQUE'!B:L,11,0),"")</f>
        <v/>
      </c>
      <c r="W1151" s="13" t="str">
        <f>IFERROR(VLOOKUP(Tabela1[[#This Row],[COD.MDE]],'LISTA DE EMBARQUE'!B:M,12,0),"")</f>
        <v/>
      </c>
      <c r="X1151" s="14">
        <f>IFERROR(Tabela1[[#This Row],[QIANTIDADE EXPEDIDA]]*Tabela1[[#This Row],[PESO UNI]],"")</f>
        <v>0</v>
      </c>
      <c r="Y1151" s="14">
        <f t="shared" ca="1" si="252"/>
        <v>-1</v>
      </c>
      <c r="Z1151" s="20">
        <f ca="1">Tabela1[[#This Row],[PESO TOTAL]]-Tabela1[[#This Row],[Peso Expedido]]</f>
        <v>4.4000000000000004</v>
      </c>
      <c r="AA1151" s="17">
        <v>1</v>
      </c>
      <c r="AB1151" s="33"/>
      <c r="AC1151" s="33"/>
      <c r="AD1151" s="33"/>
      <c r="AE1151" s="33"/>
      <c r="AF1151" s="33"/>
      <c r="AG1151" s="33"/>
      <c r="AH1151" s="33"/>
      <c r="AI1151" s="33"/>
      <c r="AJ1151"/>
      <c r="AK1151"/>
      <c r="AL1151"/>
      <c r="AM1151"/>
      <c r="AN1151"/>
      <c r="AO1151"/>
      <c r="AP1151"/>
      <c r="AQ1151" s="22"/>
      <c r="AR1151" s="24"/>
      <c r="AS1151" s="37"/>
      <c r="AT1151" s="37"/>
      <c r="AU1151" s="37"/>
      <c r="AV1151" s="37"/>
      <c r="AW1151" s="37"/>
    </row>
    <row r="1152" spans="1:49" ht="15.75" hidden="1" customHeight="1" x14ac:dyDescent="0.25">
      <c r="A1152" s="1" t="s">
        <v>5570</v>
      </c>
      <c r="B1152" s="21"/>
      <c r="C1152" s="1">
        <v>1</v>
      </c>
      <c r="D1152" s="1" t="s">
        <v>5574</v>
      </c>
      <c r="E1152" s="7">
        <v>4792</v>
      </c>
      <c r="F1152" s="7">
        <v>3</v>
      </c>
      <c r="G1152" s="1">
        <v>4</v>
      </c>
      <c r="H1152" s="34">
        <f>Tabela1[[#This Row],[PESO UNI]]*Tabela1[[#This Row],[QTE]]</f>
        <v>4</v>
      </c>
      <c r="I1152" s="7">
        <v>0</v>
      </c>
      <c r="J1152" s="8" t="s">
        <v>5531</v>
      </c>
      <c r="K1152" s="8" t="s">
        <v>4320</v>
      </c>
      <c r="L1152" s="9" t="s">
        <v>5532</v>
      </c>
      <c r="M1152" s="10">
        <v>46267</v>
      </c>
      <c r="N1152" s="8" t="s">
        <v>5105</v>
      </c>
      <c r="O1152" s="12"/>
      <c r="P1152" s="13"/>
      <c r="Q1152" s="14">
        <f>Tabela1[[#This Row],[QTDE/ Fabricação]]-Tabela1[[#This Row],[QTE]]</f>
        <v>-1</v>
      </c>
      <c r="R1152" s="18">
        <f t="shared" ca="1" si="249"/>
        <v>1</v>
      </c>
      <c r="S1152" s="18">
        <f t="shared" si="250"/>
        <v>0</v>
      </c>
      <c r="T1152" s="19">
        <f t="shared" si="251"/>
        <v>-4</v>
      </c>
      <c r="U1152" s="16">
        <f>IFERROR(SUMIF('LISTA DE EMBARQUE'!B:B,MICRO!E:E,'LISTA DE EMBARQUE'!G:G),"")</f>
        <v>0</v>
      </c>
      <c r="V1152" s="12" t="str">
        <f>IFERROR(VLOOKUP(Tabela1[[#This Row],[COD.MDE]],'LISTA DE EMBARQUE'!B:L,11,0),"")</f>
        <v/>
      </c>
      <c r="W1152" s="13" t="str">
        <f>IFERROR(VLOOKUP(Tabela1[[#This Row],[COD.MDE]],'LISTA DE EMBARQUE'!B:M,12,0),"")</f>
        <v/>
      </c>
      <c r="X1152" s="14">
        <f ca="1">IFERROR(Tabela1[[#This Row],[QIANTIDADE EXPEDIDA]]*Tabela1[[#This Row],[PESO UNI]],"")</f>
        <v>0</v>
      </c>
      <c r="Y1152" s="14">
        <f t="shared" si="252"/>
        <v>-1</v>
      </c>
      <c r="Z1152" s="20">
        <f ca="1">Tabela1[[#This Row],[PESO TOTAL]]-Tabela1[[#This Row],[Peso Expedido]]</f>
        <v>4</v>
      </c>
      <c r="AA1152" s="17">
        <v>1</v>
      </c>
      <c r="AB1152" s="33"/>
      <c r="AC1152" s="33"/>
      <c r="AD1152" s="33"/>
      <c r="AE1152" s="33"/>
      <c r="AF1152" s="33"/>
      <c r="AG1152" s="33"/>
      <c r="AH1152" s="33"/>
      <c r="AI1152" s="33"/>
      <c r="AJ1152"/>
      <c r="AK1152"/>
      <c r="AL1152"/>
      <c r="AM1152"/>
      <c r="AN1152"/>
      <c r="AO1152"/>
      <c r="AP1152"/>
      <c r="AQ1152" s="22"/>
      <c r="AR1152" s="24"/>
      <c r="AS1152" s="37"/>
      <c r="AT1152" s="37"/>
      <c r="AU1152" s="37"/>
      <c r="AV1152" s="37"/>
      <c r="AW1152" s="37"/>
    </row>
    <row r="1153" spans="1:49" ht="15.75" hidden="1" customHeight="1" x14ac:dyDescent="0.25">
      <c r="A1153" s="1" t="s">
        <v>5570</v>
      </c>
      <c r="B1153" s="21"/>
      <c r="C1153" s="1">
        <v>1</v>
      </c>
      <c r="D1153" s="1" t="s">
        <v>5575</v>
      </c>
      <c r="E1153" s="7">
        <v>4792</v>
      </c>
      <c r="F1153" s="7">
        <v>3</v>
      </c>
      <c r="G1153" s="1">
        <v>2.9</v>
      </c>
      <c r="H1153" s="34">
        <f>Tabela1[[#This Row],[PESO UNI]]*Tabela1[[#This Row],[QTE]]</f>
        <v>2.9</v>
      </c>
      <c r="I1153" s="7">
        <v>0</v>
      </c>
      <c r="J1153" s="8" t="s">
        <v>5531</v>
      </c>
      <c r="K1153" s="8" t="s">
        <v>4320</v>
      </c>
      <c r="L1153" s="9" t="s">
        <v>5532</v>
      </c>
      <c r="M1153" s="10">
        <v>46267</v>
      </c>
      <c r="N1153" s="8" t="s">
        <v>5105</v>
      </c>
      <c r="O1153" s="12"/>
      <c r="P1153" s="13"/>
      <c r="Q1153" s="14">
        <f ca="1">Tabela1[[#This Row],[QTDE/ Fabricação]]-Tabela1[[#This Row],[QTE]]</f>
        <v>-1</v>
      </c>
      <c r="R1153" s="18">
        <f t="shared" ca="1" si="249"/>
        <v>0.72499999999999998</v>
      </c>
      <c r="S1153" s="18">
        <f t="shared" si="250"/>
        <v>0</v>
      </c>
      <c r="T1153" s="19">
        <f t="shared" si="251"/>
        <v>-2.9</v>
      </c>
      <c r="U1153" s="16">
        <f>IFERROR(SUMIF('LISTA DE EMBARQUE'!B:B,MICRO!E:E,'LISTA DE EMBARQUE'!G:G),"")</f>
        <v>0</v>
      </c>
      <c r="V1153" s="12" t="str">
        <f>IFERROR(VLOOKUP(Tabela1[[#This Row],[COD.MDE]],'LISTA DE EMBARQUE'!B:L,11,0),"")</f>
        <v/>
      </c>
      <c r="W1153" s="13" t="str">
        <f>IFERROR(VLOOKUP(Tabela1[[#This Row],[COD.MDE]],'LISTA DE EMBARQUE'!B:M,12,0),"")</f>
        <v/>
      </c>
      <c r="X1153" s="14">
        <f ca="1">IFERROR(Tabela1[[#This Row],[QIANTIDADE EXPEDIDA]]*Tabela1[[#This Row],[PESO UNI]],"")</f>
        <v>0</v>
      </c>
      <c r="Y1153" s="14">
        <f t="shared" ca="1" si="252"/>
        <v>-1</v>
      </c>
      <c r="Z1153" s="20">
        <f ca="1">Tabela1[[#This Row],[PESO TOTAL]]-Tabela1[[#This Row],[Peso Expedido]]</f>
        <v>2.9</v>
      </c>
      <c r="AA1153" s="17">
        <v>1</v>
      </c>
      <c r="AB1153" s="33"/>
      <c r="AC1153" s="33"/>
      <c r="AD1153" s="33"/>
      <c r="AE1153" s="33"/>
      <c r="AF1153" s="33"/>
      <c r="AG1153" s="33"/>
      <c r="AH1153" s="33"/>
      <c r="AI1153" s="33"/>
      <c r="AJ1153"/>
      <c r="AK1153"/>
      <c r="AL1153"/>
      <c r="AM1153"/>
      <c r="AN1153"/>
      <c r="AO1153"/>
      <c r="AP1153"/>
      <c r="AQ1153" s="22"/>
      <c r="AR1153" s="24"/>
      <c r="AS1153" s="37"/>
      <c r="AT1153" s="37"/>
      <c r="AU1153" s="37"/>
      <c r="AV1153" s="37"/>
      <c r="AW1153" s="37"/>
    </row>
    <row r="1154" spans="1:49" ht="15.75" hidden="1" customHeight="1" x14ac:dyDescent="0.25">
      <c r="A1154" s="1" t="s">
        <v>5570</v>
      </c>
      <c r="B1154" s="21"/>
      <c r="C1154" s="1">
        <v>1</v>
      </c>
      <c r="D1154" s="1" t="s">
        <v>5576</v>
      </c>
      <c r="E1154" s="7">
        <v>4793</v>
      </c>
      <c r="F1154" s="7">
        <v>3</v>
      </c>
      <c r="G1154" s="1">
        <v>2</v>
      </c>
      <c r="H1154" s="34">
        <f>Tabela1[[#This Row],[PESO UNI]]*Tabela1[[#This Row],[QTE]]</f>
        <v>2</v>
      </c>
      <c r="I1154" s="7">
        <v>0</v>
      </c>
      <c r="J1154" s="8" t="s">
        <v>5531</v>
      </c>
      <c r="K1154" s="8" t="s">
        <v>4320</v>
      </c>
      <c r="L1154" s="9" t="s">
        <v>5532</v>
      </c>
      <c r="M1154" s="10">
        <v>46267</v>
      </c>
      <c r="N1154" s="8" t="s">
        <v>5105</v>
      </c>
      <c r="O1154" s="12"/>
      <c r="P1154" s="13"/>
      <c r="Q1154" s="14">
        <f>Tabela1[[#This Row],[QTDE/ Fabricação]]-Tabela1[[#This Row],[QTE]]</f>
        <v>-1</v>
      </c>
      <c r="R1154" s="18">
        <f t="shared" si="249"/>
        <v>0.5</v>
      </c>
      <c r="S1154" s="18">
        <f t="shared" ca="1" si="250"/>
        <v>0</v>
      </c>
      <c r="T1154" s="19">
        <f t="shared" ca="1" si="251"/>
        <v>-2</v>
      </c>
      <c r="U1154" s="16">
        <f>IFERROR(SUMIF('LISTA DE EMBARQUE'!B:B,MICRO!E:E,'LISTA DE EMBARQUE'!G:G),"")</f>
        <v>0</v>
      </c>
      <c r="V1154" s="12" t="str">
        <f>IFERROR(VLOOKUP(Tabela1[[#This Row],[COD.MDE]],'LISTA DE EMBARQUE'!B:L,11,0),"")</f>
        <v/>
      </c>
      <c r="W1154" s="13" t="str">
        <f>IFERROR(VLOOKUP(Tabela1[[#This Row],[COD.MDE]],'LISTA DE EMBARQUE'!B:M,12,0),"")</f>
        <v/>
      </c>
      <c r="X1154" s="14">
        <f ca="1">IFERROR(Tabela1[[#This Row],[QIANTIDADE EXPEDIDA]]*Tabela1[[#This Row],[PESO UNI]],"")</f>
        <v>0</v>
      </c>
      <c r="Y1154" s="14">
        <f t="shared" si="252"/>
        <v>-1</v>
      </c>
      <c r="Z1154" s="20">
        <f ca="1">Tabela1[[#This Row],[PESO TOTAL]]-Tabela1[[#This Row],[Peso Expedido]]</f>
        <v>2</v>
      </c>
      <c r="AA1154" s="17">
        <v>1</v>
      </c>
      <c r="AB1154" s="33"/>
      <c r="AC1154" s="33"/>
      <c r="AD1154" s="33"/>
      <c r="AE1154" s="33"/>
      <c r="AF1154" s="33"/>
      <c r="AG1154" s="33"/>
      <c r="AH1154" s="33"/>
      <c r="AI1154" s="33"/>
      <c r="AJ1154"/>
      <c r="AK1154"/>
      <c r="AL1154"/>
      <c r="AM1154"/>
      <c r="AN1154"/>
      <c r="AO1154"/>
      <c r="AP1154"/>
      <c r="AQ1154" s="22"/>
      <c r="AR1154" s="24"/>
      <c r="AS1154" s="37"/>
      <c r="AT1154" s="37"/>
      <c r="AU1154" s="37"/>
      <c r="AV1154" s="37"/>
      <c r="AW1154" s="37"/>
    </row>
    <row r="1155" spans="1:49" ht="15.75" hidden="1" customHeight="1" x14ac:dyDescent="0.25">
      <c r="A1155" s="1" t="s">
        <v>5570</v>
      </c>
      <c r="B1155" s="21"/>
      <c r="C1155" s="1">
        <v>1</v>
      </c>
      <c r="D1155" s="1" t="s">
        <v>5577</v>
      </c>
      <c r="E1155" s="7">
        <v>4794</v>
      </c>
      <c r="F1155" s="7">
        <v>3</v>
      </c>
      <c r="G1155" s="1">
        <v>3.2</v>
      </c>
      <c r="H1155" s="34">
        <f>Tabela1[[#This Row],[PESO UNI]]*Tabela1[[#This Row],[QTE]]</f>
        <v>3.2</v>
      </c>
      <c r="I1155" s="7">
        <v>0</v>
      </c>
      <c r="J1155" s="8" t="s">
        <v>5531</v>
      </c>
      <c r="K1155" s="8" t="s">
        <v>4320</v>
      </c>
      <c r="L1155" s="9" t="s">
        <v>5532</v>
      </c>
      <c r="M1155" s="10">
        <v>46267</v>
      </c>
      <c r="N1155" s="8" t="s">
        <v>5105</v>
      </c>
      <c r="O1155" s="12"/>
      <c r="P1155" s="13"/>
      <c r="Q1155" s="14">
        <f>Tabela1[[#This Row],[QTDE/ Fabricação]]-Tabela1[[#This Row],[QTE]]</f>
        <v>-1</v>
      </c>
      <c r="R1155" s="18">
        <f t="shared" si="249"/>
        <v>0.8</v>
      </c>
      <c r="S1155" s="18">
        <f t="shared" ca="1" si="250"/>
        <v>0</v>
      </c>
      <c r="T1155" s="19">
        <f t="shared" ca="1" si="251"/>
        <v>-3.2</v>
      </c>
      <c r="U1155" s="16">
        <f>IFERROR(SUMIF('LISTA DE EMBARQUE'!B:B,MICRO!E:E,'LISTA DE EMBARQUE'!G:G),"")</f>
        <v>0</v>
      </c>
      <c r="V1155" s="12" t="str">
        <f>IFERROR(VLOOKUP(Tabela1[[#This Row],[COD.MDE]],'LISTA DE EMBARQUE'!B:L,11,0),"")</f>
        <v/>
      </c>
      <c r="W1155" s="13" t="str">
        <f>IFERROR(VLOOKUP(Tabela1[[#This Row],[COD.MDE]],'LISTA DE EMBARQUE'!B:M,12,0),"")</f>
        <v/>
      </c>
      <c r="X1155" s="14">
        <f>IFERROR(Tabela1[[#This Row],[QIANTIDADE EXPEDIDA]]*Tabela1[[#This Row],[PESO UNI]],"")</f>
        <v>0</v>
      </c>
      <c r="Y1155" s="14">
        <f t="shared" ca="1" si="252"/>
        <v>-1</v>
      </c>
      <c r="Z1155" s="20">
        <f ca="1">Tabela1[[#This Row],[PESO TOTAL]]-Tabela1[[#This Row],[Peso Expedido]]</f>
        <v>3.2</v>
      </c>
      <c r="AA1155" s="17">
        <v>1</v>
      </c>
      <c r="AB1155" s="33"/>
      <c r="AC1155" s="33"/>
      <c r="AD1155" s="33"/>
      <c r="AE1155" s="33"/>
      <c r="AF1155" s="33"/>
      <c r="AG1155" s="33"/>
      <c r="AH1155" s="33"/>
      <c r="AI1155" s="33"/>
      <c r="AJ1155"/>
      <c r="AK1155"/>
      <c r="AL1155"/>
      <c r="AM1155"/>
      <c r="AN1155"/>
      <c r="AO1155"/>
      <c r="AP1155"/>
      <c r="AQ1155" s="22"/>
      <c r="AR1155" s="24"/>
      <c r="AS1155" s="37"/>
      <c r="AT1155" s="37"/>
      <c r="AU1155" s="37"/>
      <c r="AV1155" s="37"/>
      <c r="AW1155" s="37"/>
    </row>
    <row r="1156" spans="1:49" ht="15.75" hidden="1" customHeight="1" x14ac:dyDescent="0.25">
      <c r="A1156" s="1" t="s">
        <v>5570</v>
      </c>
      <c r="B1156" s="21"/>
      <c r="C1156" s="1">
        <v>1</v>
      </c>
      <c r="D1156" s="1" t="s">
        <v>5578</v>
      </c>
      <c r="E1156" s="7">
        <v>4794</v>
      </c>
      <c r="F1156" s="7">
        <v>3</v>
      </c>
      <c r="G1156" s="1">
        <v>3.3</v>
      </c>
      <c r="H1156" s="34">
        <f ca="1">Tabela1[[#This Row],[PESO UNI]]*Tabela1[[#This Row],[QTE]]</f>
        <v>3.3</v>
      </c>
      <c r="I1156" s="7">
        <v>0</v>
      </c>
      <c r="J1156" s="8" t="s">
        <v>5531</v>
      </c>
      <c r="K1156" s="8" t="s">
        <v>4320</v>
      </c>
      <c r="L1156" s="9" t="s">
        <v>5532</v>
      </c>
      <c r="M1156" s="10">
        <v>46267</v>
      </c>
      <c r="N1156" s="8" t="s">
        <v>5105</v>
      </c>
      <c r="O1156" s="12"/>
      <c r="P1156" s="13"/>
      <c r="Q1156" s="14">
        <f>Tabela1[[#This Row],[QTDE/ Fabricação]]-Tabela1[[#This Row],[QTE]]</f>
        <v>-1</v>
      </c>
      <c r="R1156" s="18">
        <f t="shared" ca="1" si="249"/>
        <v>0.82499999999999996</v>
      </c>
      <c r="S1156" s="18">
        <f t="shared" ca="1" si="250"/>
        <v>0</v>
      </c>
      <c r="T1156" s="19">
        <f t="shared" ca="1" si="251"/>
        <v>-3.3</v>
      </c>
      <c r="U1156" s="16">
        <f>IFERROR(SUMIF('LISTA DE EMBARQUE'!B:B,MICRO!E:E,'LISTA DE EMBARQUE'!G:G),"")</f>
        <v>0</v>
      </c>
      <c r="V1156" s="12" t="str">
        <f>IFERROR(VLOOKUP(Tabela1[[#This Row],[COD.MDE]],'LISTA DE EMBARQUE'!B:L,11,0),"")</f>
        <v/>
      </c>
      <c r="W1156" s="13" t="str">
        <f>IFERROR(VLOOKUP(Tabela1[[#This Row],[COD.MDE]],'LISTA DE EMBARQUE'!B:M,12,0),"")</f>
        <v/>
      </c>
      <c r="X1156" s="14">
        <f ca="1">IFERROR(Tabela1[[#This Row],[QIANTIDADE EXPEDIDA]]*Tabela1[[#This Row],[PESO UNI]],"")</f>
        <v>0</v>
      </c>
      <c r="Y1156" s="14">
        <f t="shared" ca="1" si="252"/>
        <v>-1</v>
      </c>
      <c r="Z1156" s="20">
        <f ca="1">Tabela1[[#This Row],[PESO TOTAL]]-Tabela1[[#This Row],[Peso Expedido]]</f>
        <v>3.3</v>
      </c>
      <c r="AA1156" s="17">
        <v>1</v>
      </c>
      <c r="AB1156" s="33"/>
      <c r="AC1156" s="33"/>
      <c r="AD1156" s="33"/>
      <c r="AE1156" s="33"/>
      <c r="AF1156" s="33"/>
      <c r="AG1156" s="33"/>
      <c r="AH1156" s="33"/>
      <c r="AI1156" s="33"/>
      <c r="AJ1156"/>
      <c r="AK1156"/>
      <c r="AL1156"/>
      <c r="AM1156"/>
      <c r="AN1156"/>
      <c r="AO1156"/>
      <c r="AP1156"/>
      <c r="AQ1156" s="22"/>
      <c r="AR1156" s="24"/>
      <c r="AS1156" s="37"/>
      <c r="AT1156" s="37"/>
      <c r="AU1156" s="37"/>
      <c r="AV1156" s="37"/>
      <c r="AW1156" s="37"/>
    </row>
    <row r="1157" spans="1:49" ht="15.75" hidden="1" customHeight="1" x14ac:dyDescent="0.25">
      <c r="A1157" s="1" t="s">
        <v>5570</v>
      </c>
      <c r="B1157" s="21"/>
      <c r="C1157" s="1">
        <v>1</v>
      </c>
      <c r="D1157" s="1" t="s">
        <v>5579</v>
      </c>
      <c r="E1157" s="7">
        <v>4795</v>
      </c>
      <c r="F1157" s="7">
        <v>3</v>
      </c>
      <c r="G1157" s="1">
        <v>3.2</v>
      </c>
      <c r="H1157" s="34">
        <f>Tabela1[[#This Row],[PESO UNI]]*Tabela1[[#This Row],[QTE]]</f>
        <v>3.2</v>
      </c>
      <c r="I1157" s="7">
        <v>0</v>
      </c>
      <c r="J1157" s="8" t="s">
        <v>5531</v>
      </c>
      <c r="K1157" s="8" t="s">
        <v>4320</v>
      </c>
      <c r="L1157" s="9" t="s">
        <v>5532</v>
      </c>
      <c r="M1157" s="10">
        <v>46267</v>
      </c>
      <c r="N1157" s="8" t="s">
        <v>5105</v>
      </c>
      <c r="O1157" s="12"/>
      <c r="P1157" s="13"/>
      <c r="Q1157" s="14">
        <f>Tabela1[[#This Row],[QTDE/ Fabricação]]-Tabela1[[#This Row],[QTE]]</f>
        <v>-1</v>
      </c>
      <c r="R1157" s="18">
        <f t="shared" ca="1" si="249"/>
        <v>0.8</v>
      </c>
      <c r="S1157" s="18">
        <f t="shared" si="250"/>
        <v>0</v>
      </c>
      <c r="T1157" s="19">
        <f t="shared" si="251"/>
        <v>-3.2</v>
      </c>
      <c r="U1157" s="16">
        <f>IFERROR(SUMIF('LISTA DE EMBARQUE'!B:B,MICRO!E:E,'LISTA DE EMBARQUE'!G:G),"")</f>
        <v>0</v>
      </c>
      <c r="V1157" s="12" t="str">
        <f>IFERROR(VLOOKUP(Tabela1[[#This Row],[COD.MDE]],'LISTA DE EMBARQUE'!B:L,11,0),"")</f>
        <v/>
      </c>
      <c r="W1157" s="13" t="str">
        <f>IFERROR(VLOOKUP(Tabela1[[#This Row],[COD.MDE]],'LISTA DE EMBARQUE'!B:M,12,0),"")</f>
        <v/>
      </c>
      <c r="X1157" s="14">
        <f>IFERROR(Tabela1[[#This Row],[QIANTIDADE EXPEDIDA]]*Tabela1[[#This Row],[PESO UNI]],"")</f>
        <v>0</v>
      </c>
      <c r="Y1157" s="14">
        <f t="shared" ca="1" si="252"/>
        <v>-1</v>
      </c>
      <c r="Z1157" s="20">
        <f ca="1">Tabela1[[#This Row],[PESO TOTAL]]-Tabela1[[#This Row],[Peso Expedido]]</f>
        <v>3.2</v>
      </c>
      <c r="AA1157" s="17">
        <v>1</v>
      </c>
      <c r="AB1157" s="33"/>
      <c r="AC1157" s="33"/>
      <c r="AD1157" s="33"/>
      <c r="AE1157" s="33"/>
      <c r="AF1157" s="33"/>
      <c r="AG1157" s="33"/>
      <c r="AH1157" s="33"/>
      <c r="AI1157" s="33"/>
      <c r="AJ1157"/>
      <c r="AK1157"/>
      <c r="AL1157"/>
      <c r="AM1157"/>
      <c r="AN1157"/>
      <c r="AO1157"/>
      <c r="AP1157"/>
      <c r="AQ1157" s="22"/>
      <c r="AR1157" s="24"/>
      <c r="AS1157" s="37"/>
      <c r="AT1157" s="37"/>
      <c r="AU1157" s="37"/>
      <c r="AV1157" s="37"/>
      <c r="AW1157" s="37"/>
    </row>
    <row r="1158" spans="1:49" ht="15.75" hidden="1" customHeight="1" x14ac:dyDescent="0.25">
      <c r="A1158" s="1" t="s">
        <v>5581</v>
      </c>
      <c r="B1158" s="21"/>
      <c r="C1158" s="1">
        <v>1</v>
      </c>
      <c r="D1158" s="1" t="s">
        <v>5582</v>
      </c>
      <c r="E1158" s="7">
        <v>4796</v>
      </c>
      <c r="F1158" s="7">
        <v>9</v>
      </c>
      <c r="G1158" s="1">
        <v>208.6</v>
      </c>
      <c r="H1158" s="34">
        <f>Tabela1[[#This Row],[PESO UNI]]*Tabela1[[#This Row],[QTE]]</f>
        <v>208.6</v>
      </c>
      <c r="I1158" s="7">
        <v>0</v>
      </c>
      <c r="J1158" s="8" t="s">
        <v>5255</v>
      </c>
      <c r="K1158" s="8" t="s">
        <v>4320</v>
      </c>
      <c r="L1158" s="9" t="s">
        <v>5256</v>
      </c>
      <c r="M1158" s="10">
        <v>46267</v>
      </c>
      <c r="N1158" s="8" t="s">
        <v>5580</v>
      </c>
      <c r="O1158" s="12"/>
      <c r="P1158" s="13"/>
      <c r="Q1158" s="14">
        <f ca="1">Tabela1[[#This Row],[QTDE/ Fabricação]]-Tabela1[[#This Row],[QTE]]</f>
        <v>-1</v>
      </c>
      <c r="R1158" s="18">
        <f t="shared" si="249"/>
        <v>52.15</v>
      </c>
      <c r="S1158" s="18">
        <f t="shared" ca="1" si="250"/>
        <v>0</v>
      </c>
      <c r="T1158" s="19">
        <f t="shared" ca="1" si="251"/>
        <v>-208.6</v>
      </c>
      <c r="U1158" s="16">
        <f>IFERROR(SUMIF('LISTA DE EMBARQUE'!B:B,MICRO!E:E,'LISTA DE EMBARQUE'!G:G),"")</f>
        <v>0</v>
      </c>
      <c r="V1158" s="12" t="str">
        <f>IFERROR(VLOOKUP(Tabela1[[#This Row],[COD.MDE]],'LISTA DE EMBARQUE'!B:L,11,0),"")</f>
        <v/>
      </c>
      <c r="W1158" s="13" t="str">
        <f>IFERROR(VLOOKUP(Tabela1[[#This Row],[COD.MDE]],'LISTA DE EMBARQUE'!B:M,12,0),"")</f>
        <v/>
      </c>
      <c r="X1158" s="14">
        <f>IFERROR(Tabela1[[#This Row],[QIANTIDADE EXPEDIDA]]*Tabela1[[#This Row],[PESO UNI]],"")</f>
        <v>0</v>
      </c>
      <c r="Y1158" s="14">
        <f t="shared" ca="1" si="252"/>
        <v>-1</v>
      </c>
      <c r="Z1158" s="20">
        <f ca="1">Tabela1[[#This Row],[PESO TOTAL]]-Tabela1[[#This Row],[Peso Expedido]]</f>
        <v>208.6</v>
      </c>
      <c r="AA1158" s="17">
        <v>1</v>
      </c>
      <c r="AB1158" s="33"/>
      <c r="AC1158" s="33"/>
      <c r="AD1158" s="33"/>
      <c r="AE1158" s="33"/>
      <c r="AF1158" s="33"/>
      <c r="AG1158" s="33"/>
      <c r="AH1158" s="33"/>
      <c r="AI1158" s="33"/>
      <c r="AJ1158"/>
      <c r="AK1158"/>
      <c r="AL1158"/>
      <c r="AM1158"/>
      <c r="AN1158"/>
      <c r="AO1158"/>
      <c r="AP1158"/>
      <c r="AQ1158" s="22"/>
      <c r="AR1158" s="24"/>
      <c r="AS1158" s="37"/>
      <c r="AT1158" s="37"/>
      <c r="AU1158" s="37"/>
      <c r="AV1158" s="37"/>
      <c r="AW1158" s="37"/>
    </row>
    <row r="1159" spans="1:49" ht="15.75" hidden="1" customHeight="1" x14ac:dyDescent="0.25">
      <c r="A1159" s="1" t="s">
        <v>5581</v>
      </c>
      <c r="B1159" s="21"/>
      <c r="C1159" s="1">
        <v>1</v>
      </c>
      <c r="D1159" s="1" t="s">
        <v>5583</v>
      </c>
      <c r="E1159" s="7">
        <v>4797</v>
      </c>
      <c r="F1159" s="7">
        <v>9</v>
      </c>
      <c r="G1159" s="1">
        <v>208.6</v>
      </c>
      <c r="H1159" s="34">
        <f ca="1">Tabela1[[#This Row],[PESO UNI]]*Tabela1[[#This Row],[QTE]]</f>
        <v>208.6</v>
      </c>
      <c r="I1159" s="7">
        <v>0</v>
      </c>
      <c r="J1159" s="8" t="s">
        <v>5255</v>
      </c>
      <c r="K1159" s="8" t="s">
        <v>4320</v>
      </c>
      <c r="L1159" s="9" t="s">
        <v>5256</v>
      </c>
      <c r="M1159" s="10">
        <v>46267</v>
      </c>
      <c r="N1159" s="8" t="s">
        <v>5580</v>
      </c>
      <c r="O1159" s="12"/>
      <c r="P1159" s="13"/>
      <c r="Q1159" s="14">
        <f>Tabela1[[#This Row],[QTDE/ Fabricação]]-Tabela1[[#This Row],[QTE]]</f>
        <v>-1</v>
      </c>
      <c r="R1159" s="18">
        <f t="shared" ca="1" si="249"/>
        <v>52.15</v>
      </c>
      <c r="S1159" s="18">
        <f t="shared" ca="1" si="250"/>
        <v>0</v>
      </c>
      <c r="T1159" s="19">
        <f t="shared" ca="1" si="251"/>
        <v>-208.6</v>
      </c>
      <c r="U1159" s="16">
        <f>IFERROR(SUMIF('LISTA DE EMBARQUE'!B:B,MICRO!E:E,'LISTA DE EMBARQUE'!G:G),"")</f>
        <v>0</v>
      </c>
      <c r="V1159" s="12" t="str">
        <f>IFERROR(VLOOKUP(Tabela1[[#This Row],[COD.MDE]],'LISTA DE EMBARQUE'!B:L,11,0),"")</f>
        <v/>
      </c>
      <c r="W1159" s="13" t="str">
        <f>IFERROR(VLOOKUP(Tabela1[[#This Row],[COD.MDE]],'LISTA DE EMBARQUE'!B:M,12,0),"")</f>
        <v/>
      </c>
      <c r="X1159" s="14">
        <f>IFERROR(Tabela1[[#This Row],[QIANTIDADE EXPEDIDA]]*Tabela1[[#This Row],[PESO UNI]],"")</f>
        <v>0</v>
      </c>
      <c r="Y1159" s="14">
        <f t="shared" ca="1" si="252"/>
        <v>-1</v>
      </c>
      <c r="Z1159" s="20">
        <f ca="1">Tabela1[[#This Row],[PESO TOTAL]]-Tabela1[[#This Row],[Peso Expedido]]</f>
        <v>208.6</v>
      </c>
      <c r="AA1159" s="17">
        <v>1</v>
      </c>
      <c r="AB1159" s="33"/>
      <c r="AC1159" s="33"/>
      <c r="AD1159" s="33"/>
      <c r="AE1159" s="33"/>
      <c r="AF1159" s="33"/>
      <c r="AG1159" s="33"/>
      <c r="AH1159" s="33"/>
      <c r="AI1159" s="33"/>
      <c r="AJ1159"/>
      <c r="AK1159"/>
      <c r="AL1159"/>
      <c r="AM1159"/>
      <c r="AN1159"/>
      <c r="AO1159"/>
      <c r="AP1159"/>
      <c r="AQ1159" s="22"/>
      <c r="AR1159" s="24"/>
      <c r="AS1159" s="37"/>
      <c r="AT1159" s="37"/>
      <c r="AU1159" s="37"/>
      <c r="AV1159" s="37"/>
      <c r="AW1159" s="37"/>
    </row>
    <row r="1160" spans="1:49" ht="15.75" hidden="1" customHeight="1" x14ac:dyDescent="0.25">
      <c r="A1160" s="1" t="s">
        <v>5581</v>
      </c>
      <c r="B1160" s="21"/>
      <c r="C1160" s="1">
        <v>1</v>
      </c>
      <c r="D1160" s="1" t="s">
        <v>5584</v>
      </c>
      <c r="E1160" s="7">
        <v>4798</v>
      </c>
      <c r="F1160" s="7">
        <v>9</v>
      </c>
      <c r="G1160" s="1">
        <v>157.6</v>
      </c>
      <c r="H1160" s="34">
        <f>Tabela1[[#This Row],[PESO UNI]]*Tabela1[[#This Row],[QTE]]</f>
        <v>157.6</v>
      </c>
      <c r="I1160" s="7">
        <v>0</v>
      </c>
      <c r="J1160" s="8" t="s">
        <v>5255</v>
      </c>
      <c r="K1160" s="8" t="s">
        <v>4320</v>
      </c>
      <c r="L1160" s="9" t="s">
        <v>5256</v>
      </c>
      <c r="M1160" s="10">
        <v>46267</v>
      </c>
      <c r="N1160" s="8" t="s">
        <v>5580</v>
      </c>
      <c r="O1160" s="12"/>
      <c r="P1160" s="13"/>
      <c r="Q1160" s="14">
        <f>Tabela1[[#This Row],[QTDE/ Fabricação]]-Tabela1[[#This Row],[QTE]]</f>
        <v>-1</v>
      </c>
      <c r="R1160" s="18">
        <f t="shared" ca="1" si="249"/>
        <v>39.4</v>
      </c>
      <c r="S1160" s="18">
        <f t="shared" si="250"/>
        <v>0</v>
      </c>
      <c r="T1160" s="19">
        <f t="shared" si="251"/>
        <v>-157.6</v>
      </c>
      <c r="U1160" s="16">
        <f>IFERROR(SUMIF('LISTA DE EMBARQUE'!B:B,MICRO!E:E,'LISTA DE EMBARQUE'!G:G),"")</f>
        <v>0</v>
      </c>
      <c r="V1160" s="12" t="str">
        <f>IFERROR(VLOOKUP(Tabela1[[#This Row],[COD.MDE]],'LISTA DE EMBARQUE'!B:L,11,0),"")</f>
        <v/>
      </c>
      <c r="W1160" s="13" t="str">
        <f>IFERROR(VLOOKUP(Tabela1[[#This Row],[COD.MDE]],'LISTA DE EMBARQUE'!B:M,12,0),"")</f>
        <v/>
      </c>
      <c r="X1160" s="14">
        <f>IFERROR(Tabela1[[#This Row],[QIANTIDADE EXPEDIDA]]*Tabela1[[#This Row],[PESO UNI]],"")</f>
        <v>0</v>
      </c>
      <c r="Y1160" s="14">
        <f t="shared" ca="1" si="252"/>
        <v>-1</v>
      </c>
      <c r="Z1160" s="20">
        <f ca="1">Tabela1[[#This Row],[PESO TOTAL]]-Tabela1[[#This Row],[Peso Expedido]]</f>
        <v>157.6</v>
      </c>
      <c r="AA1160" s="17">
        <v>1</v>
      </c>
      <c r="AB1160" s="33"/>
      <c r="AC1160" s="33"/>
      <c r="AD1160" s="33"/>
      <c r="AE1160" s="33"/>
      <c r="AF1160" s="33"/>
      <c r="AG1160" s="33"/>
      <c r="AH1160" s="33"/>
      <c r="AI1160" s="33"/>
      <c r="AJ1160"/>
      <c r="AK1160"/>
      <c r="AL1160"/>
      <c r="AM1160"/>
      <c r="AN1160"/>
      <c r="AO1160"/>
      <c r="AP1160"/>
      <c r="AQ1160" s="22"/>
      <c r="AR1160" s="24"/>
      <c r="AS1160" s="37"/>
      <c r="AT1160" s="37"/>
      <c r="AU1160" s="37"/>
      <c r="AV1160" s="37"/>
      <c r="AW1160" s="37"/>
    </row>
    <row r="1161" spans="1:49" ht="15.75" hidden="1" customHeight="1" x14ac:dyDescent="0.25">
      <c r="A1161" s="309"/>
      <c r="B1161" s="312"/>
      <c r="C1161" s="196"/>
      <c r="D1161" s="197" t="s">
        <v>5631</v>
      </c>
      <c r="E1161" s="7">
        <v>4799</v>
      </c>
      <c r="F1161" s="196">
        <v>1</v>
      </c>
      <c r="G1161" s="197"/>
      <c r="H1161" s="310"/>
      <c r="I1161" s="197"/>
      <c r="J1161" s="304" t="s">
        <v>5632</v>
      </c>
      <c r="K1161" s="305" t="s">
        <v>5633</v>
      </c>
      <c r="L1161" s="311" t="s">
        <v>5634</v>
      </c>
      <c r="M1161" s="198">
        <v>46262</v>
      </c>
      <c r="N1161" s="204" t="s">
        <v>38</v>
      </c>
      <c r="O1161" s="313"/>
      <c r="P1161" s="200"/>
      <c r="Q1161" s="14">
        <f>Tabela1[[#This Row],[QTDE/ Fabricação]]-Tabela1[[#This Row],[QTE]]</f>
        <v>0</v>
      </c>
      <c r="R1161" s="18">
        <f>IFERROR(H1161*((AA1161*0.25)+(AC1161*0.25)+(AD1161*0.225)+(AE1161*0.225)+(AF1161*0.05)),"")</f>
        <v>0</v>
      </c>
      <c r="S1161" s="18">
        <f>IFERROR(H1161*AG1161,"")</f>
        <v>0</v>
      </c>
      <c r="T1161" s="19">
        <f>IFERROR(S1161-H1161,"")</f>
        <v>0</v>
      </c>
      <c r="U1161" s="16">
        <f>IFERROR(SUMIF('LISTA DE EMBARQUE'!B:B,MICRO!E:E,'LISTA DE EMBARQUE'!G:G),"")</f>
        <v>0</v>
      </c>
      <c r="V1161" s="12" t="str">
        <f>IFERROR(VLOOKUP(Tabela1[[#This Row],[COD.MDE]],'LISTA DE EMBARQUE'!B:L,11,0),"")</f>
        <v/>
      </c>
      <c r="W1161" s="13" t="str">
        <f>IFERROR(VLOOKUP(Tabela1[[#This Row],[COD.MDE]],'LISTA DE EMBARQUE'!B:M,12,0),"")</f>
        <v/>
      </c>
      <c r="X1161" s="14">
        <f ca="1">IFERROR(Tabela1[[#This Row],[QIANTIDADE EXPEDIDA]]*Tabela1[[#This Row],[PESO UNI]],"")</f>
        <v>0</v>
      </c>
      <c r="Y1161" s="14">
        <f>U1161-C1161</f>
        <v>0</v>
      </c>
      <c r="Z1161" s="20">
        <f ca="1">Tabela1[[#This Row],[PESO TOTAL]]-Tabela1[[#This Row],[Peso Expedido]]</f>
        <v>0</v>
      </c>
      <c r="AA1161" s="314"/>
      <c r="AB1161" s="315"/>
      <c r="AC1161" s="315"/>
      <c r="AD1161" s="315"/>
      <c r="AE1161" s="315"/>
      <c r="AF1161" s="315"/>
      <c r="AG1161" s="315"/>
      <c r="AH1161" s="315"/>
      <c r="AI1161" s="315"/>
      <c r="AJ1161" s="316"/>
      <c r="AK1161" s="316"/>
      <c r="AL1161" s="316"/>
      <c r="AM1161" s="316"/>
      <c r="AN1161" s="317"/>
      <c r="AO1161" s="317"/>
      <c r="AP1161" s="316"/>
      <c r="AQ1161" s="318"/>
      <c r="AR1161" s="158"/>
      <c r="AS1161" s="158"/>
      <c r="AT1161" s="158"/>
      <c r="AU1161" s="158"/>
      <c r="AV1161" s="158"/>
      <c r="AW1161" s="158"/>
    </row>
  </sheetData>
  <phoneticPr fontId="6" type="noConversion"/>
  <conditionalFormatting sqref="A1079:C1081">
    <cfRule type="expression" dxfId="318" priority="1093">
      <formula>#REF!="OK"</formula>
    </cfRule>
  </conditionalFormatting>
  <conditionalFormatting sqref="A1084:C1096">
    <cfRule type="expression" dxfId="317" priority="1021">
      <formula>#REF!="OK"</formula>
    </cfRule>
  </conditionalFormatting>
  <conditionalFormatting sqref="AE121:AH122 AA123:AH140 AD141:AH142 AA143:AH147 AD148:AH149 AA454:AB458 AD454:AD458 AA486:AH604 E556:E604 L605 J605:J1160 E606:E1039 AA762:AJ762 AC762:AE763 AA798:AH804 AA817:AH817 AB818:AI819 AB822:AI833 AA834:AI836 AB837:AI838 AB840:AI841 AA842:AI857 AB858:AI858 AA859:AI873 AA885:AI891 AA1023:AI1096 E1097:E1161 AA29:AH120 AA150:AH449 AA820:AI821 AA839:AI839 AA763:AI797 AA805:AI816 AB874:AI884 AB892:AI952 AH953:AI954 AB953:AB954 AB955:AI986 AH987:AI988 AB987:AB988 AB989:AI995 AH996:AI997 AB996:AB997 AB998:AI1022 AB1097:AI1160 E2:E458 AI29:AI459 AA452:AD453 A862:X862">
    <cfRule type="expression" dxfId="0" priority="1651">
      <formula>$AI2="OK"</formula>
    </cfRule>
  </conditionalFormatting>
  <conditionalFormatting sqref="E1079:F1096 AR1079:XFD1096 B1088:C1096">
    <cfRule type="expression" dxfId="316" priority="865">
      <formula>#REF!="OK"</formula>
    </cfRule>
  </conditionalFormatting>
  <conditionalFormatting sqref="F564:F1078 B606:B1051 K764:O817 K818:M819 O818:O819 K820:O821 K822:M833 O822:O833 K834:O836 K837:M838 O837:O838 K839:O839 K840:M841 O840:O841 K842:O857 K858:M858 O858 A1052:B1078">
    <cfRule type="expression" dxfId="315" priority="1136">
      <formula>#REF!="OK"</formula>
    </cfRule>
  </conditionalFormatting>
  <conditionalFormatting sqref="H419">
    <cfRule type="expression" dxfId="314" priority="28444">
      <formula>$AI449="OK"</formula>
    </cfRule>
  </conditionalFormatting>
  <conditionalFormatting sqref="H420:H438">
    <cfRule type="expression" dxfId="313" priority="28434">
      <formula>$AI459="OK"</formula>
    </cfRule>
  </conditionalFormatting>
  <conditionalFormatting sqref="H576">
    <cfRule type="expression" dxfId="312" priority="28411">
      <formula>$AI604="OK"</formula>
    </cfRule>
  </conditionalFormatting>
  <conditionalFormatting sqref="H606:I1160 K859:O1160 A1077:A1083 B1082:C1083 B1097:B1160 F1097:F1160">
    <cfRule type="expression" dxfId="311" priority="1535">
      <formula>#REF!="OK"</formula>
    </cfRule>
  </conditionalFormatting>
  <conditionalFormatting sqref="K153:K438 L448:L449 L762:O763 K445:K451">
    <cfRule type="expression" dxfId="310" priority="1660">
      <formula>#REF!="OK"</formula>
    </cfRule>
  </conditionalFormatting>
  <conditionalFormatting sqref="K762:K763">
    <cfRule type="expression" dxfId="309" priority="28660">
      <formula>$AI1179="OK"</formula>
    </cfRule>
  </conditionalFormatting>
  <conditionalFormatting sqref="L2:L27 H415:H417">
    <cfRule type="expression" dxfId="308" priority="28187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307" priority="1657">
      <formula>$AI72="OK"</formula>
    </cfRule>
  </conditionalFormatting>
  <conditionalFormatting sqref="L408">
    <cfRule type="expression" dxfId="306" priority="28436">
      <formula>$AI449="OK"</formula>
    </cfRule>
  </conditionalFormatting>
  <conditionalFormatting sqref="L409:L438">
    <cfRule type="expression" dxfId="305" priority="28289">
      <formula>$AI459="OK"</formula>
    </cfRule>
  </conditionalFormatting>
  <conditionalFormatting sqref="N2:N451">
    <cfRule type="expression" dxfId="304" priority="1541">
      <formula>#REF!="OK"</formula>
    </cfRule>
  </conditionalFormatting>
  <conditionalFormatting sqref="N818:N819">
    <cfRule type="expression" dxfId="303" priority="228">
      <formula>#REF!="OK"</formula>
    </cfRule>
  </conditionalFormatting>
  <conditionalFormatting sqref="N822:N833">
    <cfRule type="expression" dxfId="302" priority="216">
      <formula>#REF!="OK"</formula>
    </cfRule>
  </conditionalFormatting>
  <conditionalFormatting sqref="N837:N838">
    <cfRule type="expression" dxfId="301" priority="214">
      <formula>#REF!="OK"</formula>
    </cfRule>
  </conditionalFormatting>
  <conditionalFormatting sqref="N840:N841">
    <cfRule type="expression" dxfId="300" priority="212">
      <formula>#REF!="OK"</formula>
    </cfRule>
  </conditionalFormatting>
  <conditionalFormatting sqref="N858">
    <cfRule type="expression" dxfId="299" priority="210">
      <formula>#REF!="OK"</formula>
    </cfRule>
  </conditionalFormatting>
  <conditionalFormatting sqref="O450:O458">
    <cfRule type="cellIs" dxfId="298" priority="1607" operator="greaterThanOrEqual">
      <formula>0</formula>
    </cfRule>
  </conditionalFormatting>
  <conditionalFormatting sqref="H449 R449 P457:P458 O450:P453 A450:D453 F450:F453 M450:M451 H450:J458 K452:N458">
    <cfRule type="expression" dxfId="297" priority="28245">
      <formula>$AI503="OK"</formula>
    </cfRule>
  </conditionalFormatting>
  <conditionalFormatting sqref="O2:Z27 A2:D27 F2:F27 H2:K27 M2:M27 H153:H413 H459:H571">
    <cfRule type="expression" dxfId="295" priority="28220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294" priority="27918">
      <formula>$AI73="OK"</formula>
    </cfRule>
  </conditionalFormatting>
  <conditionalFormatting sqref="O108:Z108 A108:D108 F108 H108:K108 M108 L109">
    <cfRule type="expression" dxfId="293" priority="28553">
      <formula>#REF!="OK"</formula>
    </cfRule>
  </conditionalFormatting>
  <conditionalFormatting sqref="O402:Z402 O406:Z406 A402:D402 F402 I402:J402 M402 L403 A406:D406 F406 I406:J406 M406 L407 H414 H418">
    <cfRule type="expression" dxfId="292" priority="28437">
      <formula>#REF!="OK"</formula>
    </cfRule>
  </conditionalFormatting>
  <conditionalFormatting sqref="O403:Z405 L110:L152 L214:L256 L396:L402 A403:D405 F403:F405 I403:J405 M403:M405">
    <cfRule type="expression" dxfId="291" priority="28124">
      <formula>$AI153="OK"</formula>
    </cfRule>
  </conditionalFormatting>
  <conditionalFormatting sqref="O407:Z407 L404:L406 A407:D407 F407 I407:J407 M407">
    <cfRule type="expression" dxfId="290" priority="28446">
      <formula>$AI446="OK"</formula>
    </cfRule>
  </conditionalFormatting>
  <conditionalFormatting sqref="O446:Z446 S449:Z449 O449:Q449 O454:P456 O457:O458 A446:D446 F446 J446 M446 H446:H448 R447:R448 A449:D449 F449 J449 M449 A454:D458 F454:F458 Q450:Q451 L450:L451 U450:U458">
    <cfRule type="expression" dxfId="289" priority="28259">
      <formula>$AI499="OK"</formula>
    </cfRule>
  </conditionalFormatting>
  <conditionalFormatting sqref="O559:Z562 Z560:Z563 B559:B562 F559:F562 I559:I562 M559:M562 H572:H575">
    <cfRule type="expression" dxfId="288" priority="28374">
      <formula>#REF!="OK"</formula>
    </cfRule>
  </conditionalFormatting>
  <conditionalFormatting sqref="O563:Z563 B563 F563 I563 M563">
    <cfRule type="expression" dxfId="287" priority="28288">
      <formula>$AI604="OK"</formula>
    </cfRule>
  </conditionalFormatting>
  <conditionalFormatting sqref="P762:Z834">
    <cfRule type="expression" dxfId="286" priority="28573">
      <formula>$AI1189="OK"</formula>
    </cfRule>
  </conditionalFormatting>
  <conditionalFormatting sqref="P835:Z845">
    <cfRule type="expression" dxfId="285" priority="28649">
      <formula>$AI1260="OK"</formula>
    </cfRule>
  </conditionalFormatting>
  <conditionalFormatting sqref="P837:Z845">
    <cfRule type="expression" dxfId="284" priority="28650">
      <formula>$AI1261="OK"</formula>
    </cfRule>
  </conditionalFormatting>
  <conditionalFormatting sqref="P845:Z845 P847:Z913 A873:X873">
    <cfRule type="expression" dxfId="283" priority="28642">
      <formula>$AI1268="OK"</formula>
    </cfRule>
  </conditionalFormatting>
  <conditionalFormatting sqref="P846:Z846">
    <cfRule type="expression" dxfId="282" priority="351">
      <formula>$AI1269="OK"</formula>
    </cfRule>
    <cfRule type="expression" dxfId="281" priority="352">
      <formula>$AI1271="OK"</formula>
    </cfRule>
    <cfRule type="expression" dxfId="280" priority="353">
      <formula>$AI1270="OK"</formula>
    </cfRule>
  </conditionalFormatting>
  <conditionalFormatting sqref="P847:Z913 A873:X873">
    <cfRule type="expression" dxfId="279" priority="28666">
      <formula>$AI1269="OK"</formula>
    </cfRule>
  </conditionalFormatting>
  <conditionalFormatting sqref="P914:Z927">
    <cfRule type="expression" dxfId="278" priority="230">
      <formula>$AI1337="OK"</formula>
    </cfRule>
    <cfRule type="expression" dxfId="277" priority="231">
      <formula>$AI1336="OK"</formula>
    </cfRule>
  </conditionalFormatting>
  <conditionalFormatting sqref="P928:Z1015">
    <cfRule type="expression" dxfId="276" priority="28654">
      <formula>$AI1325="OK"</formula>
    </cfRule>
  </conditionalFormatting>
  <conditionalFormatting sqref="P928:Z1044">
    <cfRule type="expression" dxfId="275" priority="28652">
      <formula>$AI1324="OK"</formula>
    </cfRule>
  </conditionalFormatting>
  <conditionalFormatting sqref="P1016:Z1044 P1048:Z1105">
    <cfRule type="expression" dxfId="274" priority="28640">
      <formula>$AI1411="OK"</formula>
    </cfRule>
  </conditionalFormatting>
  <conditionalFormatting sqref="P1045:Z1047">
    <cfRule type="expression" dxfId="273" priority="1197">
      <formula>$AI1440="OK"</formula>
    </cfRule>
    <cfRule type="expression" dxfId="272" priority="1198">
      <formula>$AI1441="OK"</formula>
    </cfRule>
  </conditionalFormatting>
  <conditionalFormatting sqref="P1048:Z1105">
    <cfRule type="expression" dxfId="271" priority="28648">
      <formula>$AI1444="OK"</formula>
    </cfRule>
  </conditionalFormatting>
  <conditionalFormatting sqref="P1106:Z1109">
    <cfRule type="expression" dxfId="270" priority="202">
      <formula>$AI1501="OK"</formula>
    </cfRule>
    <cfRule type="expression" dxfId="269" priority="203">
      <formula>$AI1502="OK"</formula>
    </cfRule>
  </conditionalFormatting>
  <conditionalFormatting sqref="P1110:Z1111">
    <cfRule type="expression" dxfId="268" priority="28676">
      <formula>$AI1498="OK"</formula>
    </cfRule>
  </conditionalFormatting>
  <conditionalFormatting sqref="P1110:Z1160 Q1161:Z1161">
    <cfRule type="expression" dxfId="267" priority="28671">
      <formula>$AI1497="OK"</formula>
    </cfRule>
  </conditionalFormatting>
  <conditionalFormatting sqref="P1112:Z1160 Q1161:Z1161">
    <cfRule type="expression" dxfId="266" priority="261">
      <formula>$AI1498="OK"</formula>
    </cfRule>
  </conditionalFormatting>
  <conditionalFormatting sqref="Q459:Q1161 Q2:Q451 T2:T1161 Y2:Z1161 A873:X873">
    <cfRule type="cellIs" dxfId="265" priority="27887" operator="greaterThanOrEqual">
      <formula>0</formula>
    </cfRule>
  </conditionalFormatting>
  <conditionalFormatting sqref="Q2:Q451">
    <cfRule type="cellIs" dxfId="264" priority="27886" operator="lessThan">
      <formula>0</formula>
    </cfRule>
  </conditionalFormatting>
  <conditionalFormatting sqref="Q459:Q1161 O450:O458">
    <cfRule type="cellIs" dxfId="263" priority="1606" operator="lessThan">
      <formula>0</formula>
    </cfRule>
  </conditionalFormatting>
  <conditionalFormatting sqref="S211">
    <cfRule type="expression" dxfId="262" priority="1658">
      <formula>#REF!="OK"</formula>
    </cfRule>
  </conditionalFormatting>
  <conditionalFormatting sqref="S393">
    <cfRule type="expression" dxfId="261" priority="1659">
      <formula>#REF!="OK"</formula>
    </cfRule>
  </conditionalFormatting>
  <conditionalFormatting sqref="S447:Z447 O447:Q447 A447:D447 F447 J447 M447">
    <cfRule type="expression" dxfId="260" priority="28244">
      <formula>#REF!="OK"</formula>
    </cfRule>
  </conditionalFormatting>
  <conditionalFormatting sqref="T2:T1161 Y2:Z1161 A873:X873">
    <cfRule type="cellIs" dxfId="259" priority="27888" operator="lessThan">
      <formula>0</formula>
    </cfRule>
  </conditionalFormatting>
  <conditionalFormatting sqref="T212:Z212 O212:R212 A212:D212 F212 I212:J212 M212">
    <cfRule type="expression" dxfId="258" priority="28098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257" priority="27986">
      <formula>$AI257="OK"</formula>
    </cfRule>
  </conditionalFormatting>
  <conditionalFormatting sqref="T394:Z394 O394:R394 A394:D394 F394 I394:J394 M394 L395">
    <cfRule type="expression" dxfId="256" priority="28149">
      <formula>#REF!="OK"</formula>
    </cfRule>
  </conditionalFormatting>
  <conditionalFormatting sqref="T408:Z438 O408:R438 S408:S437 A408:D438 F408:F438 I408:J438 M408:M438 L439:L445">
    <cfRule type="expression" dxfId="255" priority="28530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254" priority="28439">
      <formula>$AI490="OK"</formula>
    </cfRule>
  </conditionalFormatting>
  <conditionalFormatting sqref="T605:Z605 Q605:R605 H605">
    <cfRule type="expression" dxfId="253" priority="28426">
      <formula>$AI669="OK"</formula>
    </cfRule>
  </conditionalFormatting>
  <conditionalFormatting sqref="V450:Y451 R450:T458 V452:Z458">
    <cfRule type="expression" dxfId="252" priority="28344">
      <formula>$AI487="OK"</formula>
    </cfRule>
  </conditionalFormatting>
  <conditionalFormatting sqref="Z450:Z451 O564:Z622 K623:Z761 K556:K622 B564:B603 I564:I603 M564:M603 H577:H603 A604:D605 H604:J605 L604:N622">
    <cfRule type="expression" dxfId="251" priority="28413">
      <formula>#REF!="OK"</formula>
    </cfRule>
  </conditionalFormatting>
  <conditionalFormatting sqref="Z450:Z451">
    <cfRule type="expression" dxfId="250" priority="1590">
      <formula>$AI494="OK"</formula>
    </cfRule>
  </conditionalFormatting>
  <conditionalFormatting sqref="Z564">
    <cfRule type="expression" dxfId="249" priority="28404">
      <formula>$AI604="OK"</formula>
    </cfRule>
  </conditionalFormatting>
  <conditionalFormatting sqref="Z605">
    <cfRule type="expression" dxfId="248" priority="28429">
      <formula>$AI668="OK"</formula>
    </cfRule>
  </conditionalFormatting>
  <conditionalFormatting sqref="AA818:AA819 AA892:AA1022 AA1097:AA1160">
    <cfRule type="cellIs" dxfId="247" priority="481" operator="greaterThanOrEqual">
      <formula>1</formula>
    </cfRule>
    <cfRule type="expression" dxfId="246" priority="482">
      <formula>$AI818="OK"</formula>
    </cfRule>
  </conditionalFormatting>
  <conditionalFormatting sqref="AA822:AA833">
    <cfRule type="cellIs" dxfId="245" priority="457" operator="greaterThanOrEqual">
      <formula>1</formula>
    </cfRule>
    <cfRule type="expression" dxfId="244" priority="458">
      <formula>$AI822="OK"</formula>
    </cfRule>
  </conditionalFormatting>
  <conditionalFormatting sqref="AA837:AA838">
    <cfRule type="cellIs" dxfId="243" priority="453" operator="greaterThanOrEqual">
      <formula>1</formula>
    </cfRule>
    <cfRule type="expression" dxfId="242" priority="454">
      <formula>$AI837="OK"</formula>
    </cfRule>
  </conditionalFormatting>
  <conditionalFormatting sqref="AA840:AA841">
    <cfRule type="cellIs" dxfId="241" priority="449" operator="greaterThanOrEqual">
      <formula>1</formula>
    </cfRule>
    <cfRule type="expression" dxfId="240" priority="450">
      <formula>$AI840="OK"</formula>
    </cfRule>
  </conditionalFormatting>
  <conditionalFormatting sqref="AA858">
    <cfRule type="cellIs" dxfId="239" priority="447" operator="greaterThanOrEqual">
      <formula>1</formula>
    </cfRule>
    <cfRule type="expression" dxfId="238" priority="448">
      <formula>$AI858="OK"</formula>
    </cfRule>
  </conditionalFormatting>
  <conditionalFormatting sqref="AA874:AA884">
    <cfRule type="cellIs" dxfId="237" priority="425" operator="greaterThanOrEqual">
      <formula>1</formula>
    </cfRule>
    <cfRule type="expression" dxfId="236" priority="426">
      <formula>$AI874="OK"</formula>
    </cfRule>
  </conditionalFormatting>
  <conditionalFormatting sqref="AA1047:AA1048 AB892:AJ1022 AB1097:AJ1160">
    <cfRule type="cellIs" dxfId="235" priority="348" operator="greaterThanOrEqual">
      <formula>1</formula>
    </cfRule>
  </conditionalFormatting>
  <conditionalFormatting sqref="AA137:AC141">
    <cfRule type="expression" dxfId="234" priority="388">
      <formula>$AI137="OK"</formula>
    </cfRule>
  </conditionalFormatting>
  <conditionalFormatting sqref="AA142:AC142 AC988:AG988">
    <cfRule type="expression" dxfId="233" priority="390">
      <formula>$AI141="OK"</formula>
    </cfRule>
  </conditionalFormatting>
  <conditionalFormatting sqref="AA143:AC148">
    <cfRule type="expression" dxfId="232" priority="380">
      <formula>$AI143="OK"</formula>
    </cfRule>
  </conditionalFormatting>
  <conditionalFormatting sqref="AA149:AC149">
    <cfRule type="expression" dxfId="231" priority="382">
      <formula>$AI148="OK"</formula>
    </cfRule>
  </conditionalFormatting>
  <conditionalFormatting sqref="AA150:AC150">
    <cfRule type="expression" dxfId="230" priority="379">
      <formula>$AI150="OK"</formula>
    </cfRule>
  </conditionalFormatting>
  <conditionalFormatting sqref="AA608:AC609 AA612:AC616 AA775:AC797 AA805:AC816 AA820:AC821 AA835:AC836 AA839:AC839 AA855:AC857 AA859:AC861 AA863:AC868 AA1034:AC1034 AA619:AC622">
    <cfRule type="expression" dxfId="229" priority="376">
      <formula>$AI608="OK"</formula>
    </cfRule>
  </conditionalFormatting>
  <conditionalFormatting sqref="AA608:AC609 AA612:AC616 AA1023:AJ1096 AA619:AC622">
    <cfRule type="cellIs" dxfId="228" priority="378" operator="greaterThanOrEqual">
      <formula>1</formula>
    </cfRule>
  </conditionalFormatting>
  <conditionalFormatting sqref="AA121:AD127">
    <cfRule type="expression" dxfId="227" priority="485">
      <formula>$AI121="OK"</formula>
    </cfRule>
  </conditionalFormatting>
  <conditionalFormatting sqref="AA604:AH604">
    <cfRule type="cellIs" dxfId="226" priority="493" operator="greaterThanOrEqual">
      <formula>1</formula>
    </cfRule>
  </conditionalFormatting>
  <conditionalFormatting sqref="AA623:AH761">
    <cfRule type="expression" dxfId="225" priority="491">
      <formula>$AI623="OK"</formula>
    </cfRule>
    <cfRule type="cellIs" dxfId="224" priority="492" operator="greaterThanOrEqual">
      <formula>1</formula>
    </cfRule>
  </conditionalFormatting>
  <conditionalFormatting sqref="AA2:AI28 AA450:AE451 AF454:AG458 AA459:AH459 A459:G555 I459:N555 AA460:AI603 J556:J603 L556:L603 AE452:AG453">
    <cfRule type="expression" dxfId="9" priority="27884">
      <formula>$AI2="OK"</formula>
    </cfRule>
  </conditionalFormatting>
  <conditionalFormatting sqref="AA2:AI28 AJ153:AW153 AA454:AB458 AD454:AG458 AA459:AH459 AA798:AH804 AJ798:AJ804 AA817:AH817 AJ817 AB818:AJ819 AB822:AJ833 AA834:AJ836 AB837:AJ838 AB840:AJ841 AB858:AJ858 AA859:AJ873 AA885:AJ891 AA29:AH451 AA820:AJ821 AA839:AJ839 AA762:AJ797 AA805:AJ816 AB874:AJ884 AI29:AI459 AA452:AG453">
    <cfRule type="cellIs" dxfId="8" priority="27885" operator="greaterThanOrEqual">
      <formula>1</formula>
    </cfRule>
  </conditionalFormatting>
  <conditionalFormatting sqref="AA460:AI605 AI606:AI761 AI798:AI804 AI817">
    <cfRule type="cellIs" dxfId="223" priority="1584" operator="greaterThanOrEqual">
      <formula>1</formula>
    </cfRule>
  </conditionalFormatting>
  <conditionalFormatting sqref="AA605:AI605">
    <cfRule type="expression" dxfId="222" priority="1585">
      <formula>$AI605="OK"</formula>
    </cfRule>
  </conditionalFormatting>
  <conditionalFormatting sqref="AA842:AJ857">
    <cfRule type="cellIs" dxfId="221" priority="350" operator="greaterThanOrEqual">
      <formula>1</formula>
    </cfRule>
  </conditionalFormatting>
  <conditionalFormatting sqref="AC454:AC458">
    <cfRule type="expression" dxfId="220" priority="1524">
      <formula>$AI454="OK"</formula>
    </cfRule>
    <cfRule type="cellIs" dxfId="219" priority="1525" operator="greaterThanOrEqual">
      <formula>1</formula>
    </cfRule>
  </conditionalFormatting>
  <conditionalFormatting sqref="AC1047:AC1048">
    <cfRule type="cellIs" dxfId="218" priority="346" operator="greaterThanOrEqual">
      <formula>1</formula>
    </cfRule>
  </conditionalFormatting>
  <conditionalFormatting sqref="AD1047:AD1048">
    <cfRule type="cellIs" dxfId="217" priority="344" operator="greaterThanOrEqual">
      <formula>1</formula>
    </cfRule>
  </conditionalFormatting>
  <conditionalFormatting sqref="AD608:AH609 AA610:AH611 AD612:AH616 AD619:AH622">
    <cfRule type="cellIs" dxfId="216" priority="1574" operator="greaterThanOrEqual">
      <formula>1</formula>
    </cfRule>
    <cfRule type="expression" dxfId="215" priority="1575">
      <formula>$AI608="OK"</formula>
    </cfRule>
  </conditionalFormatting>
  <conditionalFormatting sqref="AE454:AE458">
    <cfRule type="expression" dxfId="214" priority="1523">
      <formula>$AI454="OK"</formula>
    </cfRule>
  </conditionalFormatting>
  <conditionalFormatting sqref="AE1047:AE1048">
    <cfRule type="cellIs" dxfId="213" priority="342" operator="greaterThanOrEqual">
      <formula>1</formula>
    </cfRule>
  </conditionalFormatting>
  <conditionalFormatting sqref="AF454:AF458">
    <cfRule type="expression" dxfId="212" priority="1522">
      <formula>$AI454="OK"</formula>
    </cfRule>
  </conditionalFormatting>
  <conditionalFormatting sqref="AF1047:AF1048">
    <cfRule type="cellIs" dxfId="211" priority="340" operator="greaterThanOrEqual">
      <formula>1</formula>
    </cfRule>
  </conditionalFormatting>
  <conditionalFormatting sqref="AF450:AH451">
    <cfRule type="expression" dxfId="210" priority="1473">
      <formula>$AI450="OK"</formula>
    </cfRule>
  </conditionalFormatting>
  <conditionalFormatting sqref="AG454:AG458">
    <cfRule type="expression" dxfId="209" priority="1521">
      <formula>$AI454="OK"</formula>
    </cfRule>
  </conditionalFormatting>
  <conditionalFormatting sqref="AI486:AI761 N556:N603 AI798:AI804 AI817">
    <cfRule type="expression" dxfId="208" priority="1591">
      <formula>$AI486="OK"</formula>
    </cfRule>
  </conditionalFormatting>
  <conditionalFormatting sqref="AJ1145">
    <cfRule type="cellIs" dxfId="207" priority="282" operator="greaterThanOrEqual">
      <formula>1</formula>
    </cfRule>
  </conditionalFormatting>
  <conditionalFormatting sqref="AJ153:AW153">
    <cfRule type="expression" dxfId="206" priority="1662">
      <formula>$AI153="OK"</formula>
    </cfRule>
  </conditionalFormatting>
  <conditionalFormatting sqref="AA606:AH606">
    <cfRule type="expression" dxfId="205" priority="200">
      <formula>$AI606="OK"</formula>
    </cfRule>
  </conditionalFormatting>
  <conditionalFormatting sqref="AA606:AH606">
    <cfRule type="cellIs" dxfId="204" priority="201" operator="greaterThanOrEqual">
      <formula>1</formula>
    </cfRule>
  </conditionalFormatting>
  <conditionalFormatting sqref="AA607:AH607">
    <cfRule type="expression" dxfId="203" priority="198">
      <formula>$AI607="OK"</formula>
    </cfRule>
  </conditionalFormatting>
  <conditionalFormatting sqref="AA607:AH607">
    <cfRule type="cellIs" dxfId="202" priority="199" operator="greaterThanOrEqual">
      <formula>1</formula>
    </cfRule>
  </conditionalFormatting>
  <conditionalFormatting sqref="AA617:AH617">
    <cfRule type="expression" dxfId="201" priority="196">
      <formula>$AI617="OK"</formula>
    </cfRule>
  </conditionalFormatting>
  <conditionalFormatting sqref="AA617:AH617">
    <cfRule type="cellIs" dxfId="200" priority="197" operator="greaterThanOrEqual">
      <formula>1</formula>
    </cfRule>
  </conditionalFormatting>
  <conditionalFormatting sqref="AA618:AH618">
    <cfRule type="expression" dxfId="199" priority="194">
      <formula>$AI618="OK"</formula>
    </cfRule>
  </conditionalFormatting>
  <conditionalFormatting sqref="AA618:AH618">
    <cfRule type="cellIs" dxfId="198" priority="195" operator="greaterThanOrEqual">
      <formula>1</formula>
    </cfRule>
  </conditionalFormatting>
  <conditionalFormatting sqref="AC892:AG892">
    <cfRule type="cellIs" dxfId="197" priority="193" operator="greaterThanOrEqual">
      <formula>1</formula>
    </cfRule>
  </conditionalFormatting>
  <conditionalFormatting sqref="AC893:AG893">
    <cfRule type="cellIs" dxfId="196" priority="192" operator="greaterThanOrEqual">
      <formula>1</formula>
    </cfRule>
  </conditionalFormatting>
  <conditionalFormatting sqref="AC894:AG894">
    <cfRule type="cellIs" dxfId="195" priority="191" operator="greaterThanOrEqual">
      <formula>1</formula>
    </cfRule>
  </conditionalFormatting>
  <conditionalFormatting sqref="AC895:AG895">
    <cfRule type="cellIs" dxfId="194" priority="190" operator="greaterThanOrEqual">
      <formula>1</formula>
    </cfRule>
  </conditionalFormatting>
  <conditionalFormatting sqref="AC896:AG896">
    <cfRule type="cellIs" dxfId="193" priority="189" operator="greaterThanOrEqual">
      <formula>1</formula>
    </cfRule>
  </conditionalFormatting>
  <conditionalFormatting sqref="AC897:AG897">
    <cfRule type="cellIs" dxfId="192" priority="188" operator="greaterThanOrEqual">
      <formula>1</formula>
    </cfRule>
  </conditionalFormatting>
  <conditionalFormatting sqref="AC898:AG898">
    <cfRule type="cellIs" dxfId="191" priority="187" operator="greaterThanOrEqual">
      <formula>1</formula>
    </cfRule>
  </conditionalFormatting>
  <conditionalFormatting sqref="AC928:AG928">
    <cfRule type="cellIs" dxfId="190" priority="186" operator="greaterThanOrEqual">
      <formula>1</formula>
    </cfRule>
  </conditionalFormatting>
  <conditionalFormatting sqref="AC929:AG929">
    <cfRule type="cellIs" dxfId="189" priority="185" operator="greaterThanOrEqual">
      <formula>1</formula>
    </cfRule>
  </conditionalFormatting>
  <conditionalFormatting sqref="AC930:AG930">
    <cfRule type="cellIs" dxfId="188" priority="184" operator="greaterThanOrEqual">
      <formula>1</formula>
    </cfRule>
  </conditionalFormatting>
  <conditionalFormatting sqref="AC931:AG931">
    <cfRule type="cellIs" dxfId="187" priority="183" operator="greaterThanOrEqual">
      <formula>1</formula>
    </cfRule>
  </conditionalFormatting>
  <conditionalFormatting sqref="AC932:AG932">
    <cfRule type="cellIs" dxfId="186" priority="182" operator="greaterThanOrEqual">
      <formula>1</formula>
    </cfRule>
  </conditionalFormatting>
  <conditionalFormatting sqref="AC933:AG933">
    <cfRule type="cellIs" dxfId="185" priority="181" operator="greaterThanOrEqual">
      <formula>1</formula>
    </cfRule>
  </conditionalFormatting>
  <conditionalFormatting sqref="AC934:AG934">
    <cfRule type="cellIs" dxfId="184" priority="180" operator="greaterThanOrEqual">
      <formula>1</formula>
    </cfRule>
  </conditionalFormatting>
  <conditionalFormatting sqref="AC935:AG935">
    <cfRule type="cellIs" dxfId="183" priority="179" operator="greaterThanOrEqual">
      <formula>1</formula>
    </cfRule>
  </conditionalFormatting>
  <conditionalFormatting sqref="AC936:AG936">
    <cfRule type="cellIs" dxfId="182" priority="178" operator="greaterThanOrEqual">
      <formula>1</formula>
    </cfRule>
  </conditionalFormatting>
  <conditionalFormatting sqref="AC937:AG937">
    <cfRule type="cellIs" dxfId="181" priority="177" operator="greaterThanOrEqual">
      <formula>1</formula>
    </cfRule>
  </conditionalFormatting>
  <conditionalFormatting sqref="AC938:AG938">
    <cfRule type="cellIs" dxfId="180" priority="176" operator="greaterThanOrEqual">
      <formula>1</formula>
    </cfRule>
  </conditionalFormatting>
  <conditionalFormatting sqref="AC939:AG939">
    <cfRule type="cellIs" dxfId="179" priority="175" operator="greaterThanOrEqual">
      <formula>1</formula>
    </cfRule>
  </conditionalFormatting>
  <conditionalFormatting sqref="AC940:AG940">
    <cfRule type="cellIs" dxfId="178" priority="174" operator="greaterThanOrEqual">
      <formula>1</formula>
    </cfRule>
  </conditionalFormatting>
  <conditionalFormatting sqref="AC941:AG941">
    <cfRule type="cellIs" dxfId="177" priority="173" operator="greaterThanOrEqual">
      <formula>1</formula>
    </cfRule>
  </conditionalFormatting>
  <conditionalFormatting sqref="AC942:AG942">
    <cfRule type="cellIs" dxfId="176" priority="172" operator="greaterThanOrEqual">
      <formula>1</formula>
    </cfRule>
  </conditionalFormatting>
  <conditionalFormatting sqref="AC943:AG943">
    <cfRule type="cellIs" dxfId="175" priority="171" operator="greaterThanOrEqual">
      <formula>1</formula>
    </cfRule>
  </conditionalFormatting>
  <conditionalFormatting sqref="AC944:AG944">
    <cfRule type="cellIs" dxfId="174" priority="170" operator="greaterThanOrEqual">
      <formula>1</formula>
    </cfRule>
  </conditionalFormatting>
  <conditionalFormatting sqref="AC945:AG945">
    <cfRule type="cellIs" dxfId="173" priority="169" operator="greaterThanOrEqual">
      <formula>1</formula>
    </cfRule>
  </conditionalFormatting>
  <conditionalFormatting sqref="AC946:AG946">
    <cfRule type="cellIs" dxfId="172" priority="168" operator="greaterThanOrEqual">
      <formula>1</formula>
    </cfRule>
  </conditionalFormatting>
  <conditionalFormatting sqref="AC947:AG947">
    <cfRule type="cellIs" dxfId="171" priority="167" operator="greaterThanOrEqual">
      <formula>1</formula>
    </cfRule>
  </conditionalFormatting>
  <conditionalFormatting sqref="AC948:AG948">
    <cfRule type="cellIs" dxfId="170" priority="166" operator="greaterThanOrEqual">
      <formula>1</formula>
    </cfRule>
  </conditionalFormatting>
  <conditionalFormatting sqref="AC949:AG949">
    <cfRule type="cellIs" dxfId="169" priority="165" operator="greaterThanOrEqual">
      <formula>1</formula>
    </cfRule>
  </conditionalFormatting>
  <conditionalFormatting sqref="AC950:AG950">
    <cfRule type="cellIs" dxfId="168" priority="164" operator="greaterThanOrEqual">
      <formula>1</formula>
    </cfRule>
  </conditionalFormatting>
  <conditionalFormatting sqref="AC951:AG951">
    <cfRule type="cellIs" dxfId="167" priority="163" operator="greaterThanOrEqual">
      <formula>1</formula>
    </cfRule>
  </conditionalFormatting>
  <conditionalFormatting sqref="AC952:AG952">
    <cfRule type="cellIs" dxfId="166" priority="162" operator="greaterThanOrEqual">
      <formula>1</formula>
    </cfRule>
  </conditionalFormatting>
  <conditionalFormatting sqref="AC953:AG953">
    <cfRule type="cellIs" dxfId="165" priority="161" operator="greaterThanOrEqual">
      <formula>1</formula>
    </cfRule>
  </conditionalFormatting>
  <conditionalFormatting sqref="AC953:AG953 AC996:AG996">
    <cfRule type="expression" dxfId="164" priority="28678">
      <formula>$AI954="OK"</formula>
    </cfRule>
  </conditionalFormatting>
  <conditionalFormatting sqref="AC954:AG954">
    <cfRule type="cellIs" dxfId="163" priority="159" operator="greaterThanOrEqual">
      <formula>1</formula>
    </cfRule>
  </conditionalFormatting>
  <conditionalFormatting sqref="AC954:AG954">
    <cfRule type="expression" dxfId="162" priority="160">
      <formula>$AI955="OK"</formula>
    </cfRule>
  </conditionalFormatting>
  <conditionalFormatting sqref="AC955:AG955">
    <cfRule type="cellIs" dxfId="161" priority="157" operator="greaterThanOrEqual">
      <formula>1</formula>
    </cfRule>
  </conditionalFormatting>
  <conditionalFormatting sqref="AC955:AG955">
    <cfRule type="expression" dxfId="160" priority="158">
      <formula>$AI956="OK"</formula>
    </cfRule>
  </conditionalFormatting>
  <conditionalFormatting sqref="AC956:AG956">
    <cfRule type="cellIs" dxfId="159" priority="155" operator="greaterThanOrEqual">
      <formula>1</formula>
    </cfRule>
  </conditionalFormatting>
  <conditionalFormatting sqref="AC956:AG956">
    <cfRule type="expression" dxfId="158" priority="156">
      <formula>$AI957="OK"</formula>
    </cfRule>
  </conditionalFormatting>
  <conditionalFormatting sqref="AC957:AG957">
    <cfRule type="cellIs" dxfId="157" priority="153" operator="greaterThanOrEqual">
      <formula>1</formula>
    </cfRule>
  </conditionalFormatting>
  <conditionalFormatting sqref="AC957:AG957">
    <cfRule type="expression" dxfId="156" priority="154">
      <formula>$AI958="OK"</formula>
    </cfRule>
  </conditionalFormatting>
  <conditionalFormatting sqref="AC958:AG958">
    <cfRule type="cellIs" dxfId="155" priority="151" operator="greaterThanOrEqual">
      <formula>1</formula>
    </cfRule>
  </conditionalFormatting>
  <conditionalFormatting sqref="AC958:AG958">
    <cfRule type="expression" dxfId="154" priority="152">
      <formula>$AI959="OK"</formula>
    </cfRule>
  </conditionalFormatting>
  <conditionalFormatting sqref="AC959:AG959">
    <cfRule type="cellIs" dxfId="153" priority="149" operator="greaterThanOrEqual">
      <formula>1</formula>
    </cfRule>
  </conditionalFormatting>
  <conditionalFormatting sqref="AC959:AG959">
    <cfRule type="expression" dxfId="152" priority="150">
      <formula>$AI960="OK"</formula>
    </cfRule>
  </conditionalFormatting>
  <conditionalFormatting sqref="AC960:AG960">
    <cfRule type="cellIs" dxfId="151" priority="147" operator="greaterThanOrEqual">
      <formula>1</formula>
    </cfRule>
  </conditionalFormatting>
  <conditionalFormatting sqref="AC960:AG960">
    <cfRule type="expression" dxfId="150" priority="148">
      <formula>$AI961="OK"</formula>
    </cfRule>
  </conditionalFormatting>
  <conditionalFormatting sqref="AC961:AG961">
    <cfRule type="cellIs" dxfId="149" priority="145" operator="greaterThanOrEqual">
      <formula>1</formula>
    </cfRule>
  </conditionalFormatting>
  <conditionalFormatting sqref="AC961:AG961">
    <cfRule type="expression" dxfId="148" priority="146">
      <formula>$AI962="OK"</formula>
    </cfRule>
  </conditionalFormatting>
  <conditionalFormatting sqref="AC962:AG962">
    <cfRule type="cellIs" dxfId="147" priority="143" operator="greaterThanOrEqual">
      <formula>1</formula>
    </cfRule>
  </conditionalFormatting>
  <conditionalFormatting sqref="AC962:AG962">
    <cfRule type="expression" dxfId="146" priority="144">
      <formula>$AI963="OK"</formula>
    </cfRule>
  </conditionalFormatting>
  <conditionalFormatting sqref="AC963:AG963">
    <cfRule type="cellIs" dxfId="145" priority="141" operator="greaterThanOrEqual">
      <formula>1</formula>
    </cfRule>
  </conditionalFormatting>
  <conditionalFormatting sqref="AC963:AG963">
    <cfRule type="expression" dxfId="144" priority="142">
      <formula>$AI964="OK"</formula>
    </cfRule>
  </conditionalFormatting>
  <conditionalFormatting sqref="AC964:AG964">
    <cfRule type="cellIs" dxfId="143" priority="139" operator="greaterThanOrEqual">
      <formula>1</formula>
    </cfRule>
  </conditionalFormatting>
  <conditionalFormatting sqref="AC964:AG964">
    <cfRule type="expression" dxfId="142" priority="140">
      <formula>$AI965="OK"</formula>
    </cfRule>
  </conditionalFormatting>
  <conditionalFormatting sqref="AC966:AG966">
    <cfRule type="cellIs" dxfId="141" priority="137" operator="greaterThanOrEqual">
      <formula>1</formula>
    </cfRule>
  </conditionalFormatting>
  <conditionalFormatting sqref="AC966:AG966">
    <cfRule type="expression" dxfId="140" priority="138">
      <formula>$AI967="OK"</formula>
    </cfRule>
  </conditionalFormatting>
  <conditionalFormatting sqref="AC965:AG965">
    <cfRule type="cellIs" dxfId="139" priority="135" operator="greaterThanOrEqual">
      <formula>1</formula>
    </cfRule>
  </conditionalFormatting>
  <conditionalFormatting sqref="AC965:AG965">
    <cfRule type="expression" dxfId="138" priority="136">
      <formula>$AI966="OK"</formula>
    </cfRule>
  </conditionalFormatting>
  <conditionalFormatting sqref="AC967:AG967">
    <cfRule type="cellIs" dxfId="137" priority="133" operator="greaterThanOrEqual">
      <formula>1</formula>
    </cfRule>
  </conditionalFormatting>
  <conditionalFormatting sqref="AC967:AG967">
    <cfRule type="expression" dxfId="136" priority="134">
      <formula>$AI968="OK"</formula>
    </cfRule>
  </conditionalFormatting>
  <conditionalFormatting sqref="AC968:AG968">
    <cfRule type="cellIs" dxfId="135" priority="131" operator="greaterThanOrEqual">
      <formula>1</formula>
    </cfRule>
  </conditionalFormatting>
  <conditionalFormatting sqref="AC968:AG968">
    <cfRule type="expression" dxfId="134" priority="132">
      <formula>$AI969="OK"</formula>
    </cfRule>
  </conditionalFormatting>
  <conditionalFormatting sqref="AC969:AG969">
    <cfRule type="cellIs" dxfId="133" priority="129" operator="greaterThanOrEqual">
      <formula>1</formula>
    </cfRule>
  </conditionalFormatting>
  <conditionalFormatting sqref="AC969:AG969">
    <cfRule type="expression" dxfId="132" priority="130">
      <formula>$AI970="OK"</formula>
    </cfRule>
  </conditionalFormatting>
  <conditionalFormatting sqref="AC971:AG971">
    <cfRule type="cellIs" dxfId="131" priority="127" operator="greaterThanOrEqual">
      <formula>1</formula>
    </cfRule>
  </conditionalFormatting>
  <conditionalFormatting sqref="AC971:AG971">
    <cfRule type="expression" dxfId="130" priority="128">
      <formula>$AI972="OK"</formula>
    </cfRule>
  </conditionalFormatting>
  <conditionalFormatting sqref="AC970:AG970">
    <cfRule type="cellIs" dxfId="129" priority="125" operator="greaterThanOrEqual">
      <formula>1</formula>
    </cfRule>
  </conditionalFormatting>
  <conditionalFormatting sqref="AC970:AG970">
    <cfRule type="expression" dxfId="128" priority="126">
      <formula>$AI971="OK"</formula>
    </cfRule>
  </conditionalFormatting>
  <conditionalFormatting sqref="AC972:AG972">
    <cfRule type="cellIs" dxfId="127" priority="123" operator="greaterThanOrEqual">
      <formula>1</formula>
    </cfRule>
  </conditionalFormatting>
  <conditionalFormatting sqref="AC972:AG972">
    <cfRule type="expression" dxfId="126" priority="124">
      <formula>$AI973="OK"</formula>
    </cfRule>
  </conditionalFormatting>
  <conditionalFormatting sqref="AC973:AG973">
    <cfRule type="cellIs" dxfId="125" priority="121" operator="greaterThanOrEqual">
      <formula>1</formula>
    </cfRule>
  </conditionalFormatting>
  <conditionalFormatting sqref="AC973:AG973">
    <cfRule type="expression" dxfId="124" priority="122">
      <formula>$AI974="OK"</formula>
    </cfRule>
  </conditionalFormatting>
  <conditionalFormatting sqref="AC974:AG974">
    <cfRule type="cellIs" dxfId="123" priority="119" operator="greaterThanOrEqual">
      <formula>1</formula>
    </cfRule>
  </conditionalFormatting>
  <conditionalFormatting sqref="AC974:AG974">
    <cfRule type="expression" dxfId="122" priority="120">
      <formula>$AI975="OK"</formula>
    </cfRule>
  </conditionalFormatting>
  <conditionalFormatting sqref="AC975:AG975">
    <cfRule type="cellIs" dxfId="121" priority="117" operator="greaterThanOrEqual">
      <formula>1</formula>
    </cfRule>
  </conditionalFormatting>
  <conditionalFormatting sqref="AC975:AG975">
    <cfRule type="expression" dxfId="120" priority="118">
      <formula>$AI976="OK"</formula>
    </cfRule>
  </conditionalFormatting>
  <conditionalFormatting sqref="AC976:AG976">
    <cfRule type="cellIs" dxfId="119" priority="115" operator="greaterThanOrEqual">
      <formula>1</formula>
    </cfRule>
  </conditionalFormatting>
  <conditionalFormatting sqref="AC976:AG976">
    <cfRule type="expression" dxfId="118" priority="116">
      <formula>$AI977="OK"</formula>
    </cfRule>
  </conditionalFormatting>
  <conditionalFormatting sqref="AC977:AG977">
    <cfRule type="cellIs" dxfId="117" priority="113" operator="greaterThanOrEqual">
      <formula>1</formula>
    </cfRule>
  </conditionalFormatting>
  <conditionalFormatting sqref="AC977:AG977">
    <cfRule type="expression" dxfId="116" priority="114">
      <formula>$AI978="OK"</formula>
    </cfRule>
  </conditionalFormatting>
  <conditionalFormatting sqref="AC978:AG978">
    <cfRule type="cellIs" dxfId="115" priority="111" operator="greaterThanOrEqual">
      <formula>1</formula>
    </cfRule>
  </conditionalFormatting>
  <conditionalFormatting sqref="AC978:AG978">
    <cfRule type="expression" dxfId="114" priority="112">
      <formula>$AI979="OK"</formula>
    </cfRule>
  </conditionalFormatting>
  <conditionalFormatting sqref="AC979:AG979">
    <cfRule type="cellIs" dxfId="113" priority="109" operator="greaterThanOrEqual">
      <formula>1</formula>
    </cfRule>
  </conditionalFormatting>
  <conditionalFormatting sqref="AC979:AG979">
    <cfRule type="expression" dxfId="112" priority="110">
      <formula>$AI980="OK"</formula>
    </cfRule>
  </conditionalFormatting>
  <conditionalFormatting sqref="AC980:AG980">
    <cfRule type="cellIs" dxfId="111" priority="107" operator="greaterThanOrEqual">
      <formula>1</formula>
    </cfRule>
  </conditionalFormatting>
  <conditionalFormatting sqref="AC980:AG980">
    <cfRule type="expression" dxfId="110" priority="108">
      <formula>$AI981="OK"</formula>
    </cfRule>
  </conditionalFormatting>
  <conditionalFormatting sqref="AC981:AG981">
    <cfRule type="cellIs" dxfId="109" priority="105" operator="greaterThanOrEqual">
      <formula>1</formula>
    </cfRule>
  </conditionalFormatting>
  <conditionalFormatting sqref="AC981:AG981">
    <cfRule type="expression" dxfId="108" priority="106">
      <formula>$AI982="OK"</formula>
    </cfRule>
  </conditionalFormatting>
  <conditionalFormatting sqref="AC983:AG983">
    <cfRule type="cellIs" dxfId="107" priority="103" operator="greaterThanOrEqual">
      <formula>1</formula>
    </cfRule>
  </conditionalFormatting>
  <conditionalFormatting sqref="AC983:AG983">
    <cfRule type="expression" dxfId="106" priority="104">
      <formula>$AI984="OK"</formula>
    </cfRule>
  </conditionalFormatting>
  <conditionalFormatting sqref="AC982:AG982">
    <cfRule type="cellIs" dxfId="105" priority="101" operator="greaterThanOrEqual">
      <formula>1</formula>
    </cfRule>
  </conditionalFormatting>
  <conditionalFormatting sqref="AC982:AG982">
    <cfRule type="expression" dxfId="104" priority="102">
      <formula>$AI983="OK"</formula>
    </cfRule>
  </conditionalFormatting>
  <conditionalFormatting sqref="AC984:AG984">
    <cfRule type="cellIs" dxfId="103" priority="99" operator="greaterThanOrEqual">
      <formula>1</formula>
    </cfRule>
  </conditionalFormatting>
  <conditionalFormatting sqref="AC984:AG984">
    <cfRule type="expression" dxfId="102" priority="100">
      <formula>$AI985="OK"</formula>
    </cfRule>
  </conditionalFormatting>
  <conditionalFormatting sqref="AC986:AG986">
    <cfRule type="cellIs" dxfId="101" priority="97" operator="greaterThanOrEqual">
      <formula>1</formula>
    </cfRule>
  </conditionalFormatting>
  <conditionalFormatting sqref="AC986:AG986">
    <cfRule type="expression" dxfId="100" priority="98">
      <formula>$AI987="OK"</formula>
    </cfRule>
  </conditionalFormatting>
  <conditionalFormatting sqref="AC985:AG985">
    <cfRule type="cellIs" dxfId="99" priority="95" operator="greaterThanOrEqual">
      <formula>1</formula>
    </cfRule>
  </conditionalFormatting>
  <conditionalFormatting sqref="AC985:AG985">
    <cfRule type="expression" dxfId="98" priority="96">
      <formula>$AI986="OK"</formula>
    </cfRule>
  </conditionalFormatting>
  <conditionalFormatting sqref="AC988:AG988">
    <cfRule type="cellIs" dxfId="97" priority="93" operator="greaterThanOrEqual">
      <formula>1</formula>
    </cfRule>
  </conditionalFormatting>
  <conditionalFormatting sqref="AC988:AG988">
    <cfRule type="expression" dxfId="96" priority="94">
      <formula>$AI988="OK"</formula>
    </cfRule>
  </conditionalFormatting>
  <conditionalFormatting sqref="AC987:AG987">
    <cfRule type="expression" dxfId="95" priority="92">
      <formula>$AI987="OK"</formula>
    </cfRule>
  </conditionalFormatting>
  <conditionalFormatting sqref="AC987:AG987">
    <cfRule type="cellIs" dxfId="94" priority="90" operator="greaterThanOrEqual">
      <formula>1</formula>
    </cfRule>
  </conditionalFormatting>
  <conditionalFormatting sqref="AC987:AG987">
    <cfRule type="expression" dxfId="93" priority="91">
      <formula>$AI988="OK"</formula>
    </cfRule>
  </conditionalFormatting>
  <conditionalFormatting sqref="AC989:AG989">
    <cfRule type="cellIs" dxfId="92" priority="88" operator="greaterThanOrEqual">
      <formula>1</formula>
    </cfRule>
  </conditionalFormatting>
  <conditionalFormatting sqref="AC989:AG989">
    <cfRule type="expression" dxfId="91" priority="89">
      <formula>$AI990="OK"</formula>
    </cfRule>
  </conditionalFormatting>
  <conditionalFormatting sqref="AC990:AG990">
    <cfRule type="cellIs" dxfId="90" priority="86" operator="greaterThanOrEqual">
      <formula>1</formula>
    </cfRule>
  </conditionalFormatting>
  <conditionalFormatting sqref="AC990:AG990">
    <cfRule type="expression" dxfId="89" priority="87">
      <formula>$AI991="OK"</formula>
    </cfRule>
  </conditionalFormatting>
  <conditionalFormatting sqref="AC991:AG991">
    <cfRule type="cellIs" dxfId="88" priority="84" operator="greaterThanOrEqual">
      <formula>1</formula>
    </cfRule>
  </conditionalFormatting>
  <conditionalFormatting sqref="AC991:AG991">
    <cfRule type="expression" dxfId="87" priority="85">
      <formula>$AI992="OK"</formula>
    </cfRule>
  </conditionalFormatting>
  <conditionalFormatting sqref="AC992:AG992">
    <cfRule type="cellIs" dxfId="86" priority="82" operator="greaterThanOrEqual">
      <formula>1</formula>
    </cfRule>
  </conditionalFormatting>
  <conditionalFormatting sqref="AC992:AG992">
    <cfRule type="expression" dxfId="85" priority="83">
      <formula>$AI993="OK"</formula>
    </cfRule>
  </conditionalFormatting>
  <conditionalFormatting sqref="AC993:AG993">
    <cfRule type="cellIs" dxfId="84" priority="80" operator="greaterThanOrEqual">
      <formula>1</formula>
    </cfRule>
  </conditionalFormatting>
  <conditionalFormatting sqref="AC993:AG993">
    <cfRule type="expression" dxfId="83" priority="81">
      <formula>$AI994="OK"</formula>
    </cfRule>
  </conditionalFormatting>
  <conditionalFormatting sqref="AC994:AG994">
    <cfRule type="cellIs" dxfId="82" priority="78" operator="greaterThanOrEqual">
      <formula>1</formula>
    </cfRule>
  </conditionalFormatting>
  <conditionalFormatting sqref="AC994:AG994">
    <cfRule type="expression" dxfId="81" priority="79">
      <formula>$AI995="OK"</formula>
    </cfRule>
  </conditionalFormatting>
  <conditionalFormatting sqref="AC995:AG995">
    <cfRule type="cellIs" dxfId="80" priority="76" operator="greaterThanOrEqual">
      <formula>1</formula>
    </cfRule>
  </conditionalFormatting>
  <conditionalFormatting sqref="AC995:AG995">
    <cfRule type="expression" dxfId="79" priority="77">
      <formula>$AI996="OK"</formula>
    </cfRule>
  </conditionalFormatting>
  <conditionalFormatting sqref="AC996:AG996">
    <cfRule type="cellIs" dxfId="78" priority="74" operator="greaterThanOrEqual">
      <formula>1</formula>
    </cfRule>
  </conditionalFormatting>
  <conditionalFormatting sqref="AC996:AG996">
    <cfRule type="expression" dxfId="77" priority="75">
      <formula>$AI998="OK"</formula>
    </cfRule>
  </conditionalFormatting>
  <conditionalFormatting sqref="AC997:AG997">
    <cfRule type="expression" dxfId="76" priority="73">
      <formula>$AI997="OK"</formula>
    </cfRule>
  </conditionalFormatting>
  <conditionalFormatting sqref="AC997:AG997">
    <cfRule type="cellIs" dxfId="75" priority="71" operator="greaterThanOrEqual">
      <formula>1</formula>
    </cfRule>
  </conditionalFormatting>
  <conditionalFormatting sqref="AC997:AG997">
    <cfRule type="expression" dxfId="74" priority="72">
      <formula>$AI998="OK"</formula>
    </cfRule>
  </conditionalFormatting>
  <conditionalFormatting sqref="AC998:AG998">
    <cfRule type="cellIs" dxfId="73" priority="69" operator="greaterThanOrEqual">
      <formula>1</formula>
    </cfRule>
  </conditionalFormatting>
  <conditionalFormatting sqref="AC998:AG998">
    <cfRule type="expression" dxfId="72" priority="70">
      <formula>$AI999="OK"</formula>
    </cfRule>
  </conditionalFormatting>
  <conditionalFormatting sqref="AC999:AG999">
    <cfRule type="cellIs" dxfId="71" priority="67" operator="greaterThanOrEqual">
      <formula>1</formula>
    </cfRule>
  </conditionalFormatting>
  <conditionalFormatting sqref="AC999:AG999">
    <cfRule type="expression" dxfId="70" priority="68">
      <formula>$AI1000="OK"</formula>
    </cfRule>
  </conditionalFormatting>
  <conditionalFormatting sqref="AC1000:AG1000">
    <cfRule type="cellIs" dxfId="69" priority="65" operator="greaterThanOrEqual">
      <formula>1</formula>
    </cfRule>
  </conditionalFormatting>
  <conditionalFormatting sqref="AC1000:AG1000">
    <cfRule type="expression" dxfId="68" priority="66">
      <formula>$AI1001="OK"</formula>
    </cfRule>
  </conditionalFormatting>
  <conditionalFormatting sqref="AC1001:AG1001">
    <cfRule type="cellIs" dxfId="67" priority="63" operator="greaterThanOrEqual">
      <formula>1</formula>
    </cfRule>
  </conditionalFormatting>
  <conditionalFormatting sqref="AC1001:AG1001">
    <cfRule type="expression" dxfId="66" priority="64">
      <formula>$AI1002="OK"</formula>
    </cfRule>
  </conditionalFormatting>
  <conditionalFormatting sqref="AC1002:AG1002">
    <cfRule type="cellIs" dxfId="65" priority="61" operator="greaterThanOrEqual">
      <formula>1</formula>
    </cfRule>
  </conditionalFormatting>
  <conditionalFormatting sqref="AC1002:AG1002">
    <cfRule type="expression" dxfId="64" priority="62">
      <formula>$AI1003="OK"</formula>
    </cfRule>
  </conditionalFormatting>
  <conditionalFormatting sqref="AC1003:AG1003">
    <cfRule type="cellIs" dxfId="63" priority="59" operator="greaterThanOrEqual">
      <formula>1</formula>
    </cfRule>
  </conditionalFormatting>
  <conditionalFormatting sqref="AC1003:AG1003">
    <cfRule type="expression" dxfId="62" priority="60">
      <formula>$AI1004="OK"</formula>
    </cfRule>
  </conditionalFormatting>
  <conditionalFormatting sqref="AC1004:AG1004">
    <cfRule type="cellIs" dxfId="61" priority="57" operator="greaterThanOrEqual">
      <formula>1</formula>
    </cfRule>
  </conditionalFormatting>
  <conditionalFormatting sqref="AC1004:AG1004">
    <cfRule type="expression" dxfId="60" priority="58">
      <formula>$AI1005="OK"</formula>
    </cfRule>
  </conditionalFormatting>
  <conditionalFormatting sqref="AC1005:AG1005">
    <cfRule type="cellIs" dxfId="59" priority="55" operator="greaterThanOrEqual">
      <formula>1</formula>
    </cfRule>
  </conditionalFormatting>
  <conditionalFormatting sqref="AC1005:AG1005">
    <cfRule type="expression" dxfId="58" priority="56">
      <formula>$AI1006="OK"</formula>
    </cfRule>
  </conditionalFormatting>
  <conditionalFormatting sqref="AC1006:AG1006">
    <cfRule type="cellIs" dxfId="57" priority="53" operator="greaterThanOrEqual">
      <formula>1</formula>
    </cfRule>
  </conditionalFormatting>
  <conditionalFormatting sqref="AC1006:AG1006">
    <cfRule type="expression" dxfId="56" priority="54">
      <formula>$AI1007="OK"</formula>
    </cfRule>
  </conditionalFormatting>
  <conditionalFormatting sqref="AC1007:AG1007">
    <cfRule type="cellIs" dxfId="55" priority="51" operator="greaterThanOrEqual">
      <formula>1</formula>
    </cfRule>
  </conditionalFormatting>
  <conditionalFormatting sqref="AC1007:AG1007">
    <cfRule type="expression" dxfId="54" priority="52">
      <formula>$AI1008="OK"</formula>
    </cfRule>
  </conditionalFormatting>
  <conditionalFormatting sqref="AC1008:AG1008">
    <cfRule type="cellIs" dxfId="53" priority="49" operator="greaterThanOrEqual">
      <formula>1</formula>
    </cfRule>
  </conditionalFormatting>
  <conditionalFormatting sqref="AC1008:AG1008">
    <cfRule type="expression" dxfId="52" priority="50">
      <formula>$AI1009="OK"</formula>
    </cfRule>
  </conditionalFormatting>
  <conditionalFormatting sqref="AC1009:AG1009">
    <cfRule type="cellIs" dxfId="51" priority="47" operator="greaterThanOrEqual">
      <formula>1</formula>
    </cfRule>
  </conditionalFormatting>
  <conditionalFormatting sqref="AC1009:AG1009">
    <cfRule type="expression" dxfId="50" priority="48">
      <formula>$AI1010="OK"</formula>
    </cfRule>
  </conditionalFormatting>
  <conditionalFormatting sqref="AC1010:AG1010">
    <cfRule type="cellIs" dxfId="49" priority="45" operator="greaterThanOrEqual">
      <formula>1</formula>
    </cfRule>
  </conditionalFormatting>
  <conditionalFormatting sqref="AC1010:AG1010">
    <cfRule type="expression" dxfId="48" priority="46">
      <formula>$AI1011="OK"</formula>
    </cfRule>
  </conditionalFormatting>
  <conditionalFormatting sqref="AC1011:AG1011">
    <cfRule type="cellIs" dxfId="47" priority="43" operator="greaterThanOrEqual">
      <formula>1</formula>
    </cfRule>
  </conditionalFormatting>
  <conditionalFormatting sqref="AC1011:AG1011">
    <cfRule type="expression" dxfId="46" priority="44">
      <formula>$AI1012="OK"</formula>
    </cfRule>
  </conditionalFormatting>
  <conditionalFormatting sqref="AC1012:AG1012">
    <cfRule type="cellIs" dxfId="45" priority="41" operator="greaterThanOrEqual">
      <formula>1</formula>
    </cfRule>
  </conditionalFormatting>
  <conditionalFormatting sqref="AC1012:AG1012">
    <cfRule type="expression" dxfId="44" priority="42">
      <formula>$AI1013="OK"</formula>
    </cfRule>
  </conditionalFormatting>
  <conditionalFormatting sqref="AC1013:AG1013">
    <cfRule type="cellIs" dxfId="43" priority="39" operator="greaterThanOrEqual">
      <formula>1</formula>
    </cfRule>
  </conditionalFormatting>
  <conditionalFormatting sqref="AC1013:AG1013">
    <cfRule type="expression" dxfId="42" priority="40">
      <formula>$AI1014="OK"</formula>
    </cfRule>
  </conditionalFormatting>
  <conditionalFormatting sqref="AC1014:AG1014">
    <cfRule type="cellIs" dxfId="41" priority="37" operator="greaterThanOrEqual">
      <formula>1</formula>
    </cfRule>
  </conditionalFormatting>
  <conditionalFormatting sqref="AC1014:AG1014">
    <cfRule type="expression" dxfId="40" priority="38">
      <formula>$AI1015="OK"</formula>
    </cfRule>
  </conditionalFormatting>
  <conditionalFormatting sqref="AC1015:AG1015">
    <cfRule type="cellIs" dxfId="39" priority="35" operator="greaterThanOrEqual">
      <formula>1</formula>
    </cfRule>
  </conditionalFormatting>
  <conditionalFormatting sqref="AC1015:AG1015">
    <cfRule type="expression" dxfId="38" priority="36">
      <formula>$AI1016="OK"</formula>
    </cfRule>
  </conditionalFormatting>
  <conditionalFormatting sqref="AC1016:AG1016">
    <cfRule type="cellIs" dxfId="37" priority="33" operator="greaterThanOrEqual">
      <formula>1</formula>
    </cfRule>
  </conditionalFormatting>
  <conditionalFormatting sqref="AC1016:AG1016">
    <cfRule type="expression" dxfId="36" priority="34">
      <formula>$AI1017="OK"</formula>
    </cfRule>
  </conditionalFormatting>
  <conditionalFormatting sqref="AC1017:AG1017">
    <cfRule type="cellIs" dxfId="35" priority="31" operator="greaterThanOrEqual">
      <formula>1</formula>
    </cfRule>
  </conditionalFormatting>
  <conditionalFormatting sqref="AC1017:AG1017">
    <cfRule type="expression" dxfId="34" priority="32">
      <formula>$AI1018="OK"</formula>
    </cfRule>
  </conditionalFormatting>
  <conditionalFormatting sqref="AC1018:AG1018">
    <cfRule type="cellIs" dxfId="33" priority="29" operator="greaterThanOrEqual">
      <formula>1</formula>
    </cfRule>
  </conditionalFormatting>
  <conditionalFormatting sqref="AC1018:AG1018">
    <cfRule type="expression" dxfId="32" priority="30">
      <formula>$AI1019="OK"</formula>
    </cfRule>
  </conditionalFormatting>
  <conditionalFormatting sqref="AC1020:AG1020">
    <cfRule type="cellIs" dxfId="31" priority="27" operator="greaterThanOrEqual">
      <formula>1</formula>
    </cfRule>
  </conditionalFormatting>
  <conditionalFormatting sqref="AC1020:AG1020">
    <cfRule type="expression" dxfId="30" priority="28">
      <formula>$AI1021="OK"</formula>
    </cfRule>
  </conditionalFormatting>
  <conditionalFormatting sqref="AC1019:AG1019">
    <cfRule type="cellIs" dxfId="29" priority="25" operator="greaterThanOrEqual">
      <formula>1</formula>
    </cfRule>
  </conditionalFormatting>
  <conditionalFormatting sqref="AC1019:AG1019">
    <cfRule type="expression" dxfId="28" priority="26">
      <formula>$AI1020="OK"</formula>
    </cfRule>
  </conditionalFormatting>
  <conditionalFormatting sqref="AC1021:AG1021">
    <cfRule type="cellIs" dxfId="27" priority="23" operator="greaterThanOrEqual">
      <formula>1</formula>
    </cfRule>
  </conditionalFormatting>
  <conditionalFormatting sqref="AC1021:AG1021">
    <cfRule type="expression" dxfId="26" priority="24">
      <formula>$AI1022="OK"</formula>
    </cfRule>
  </conditionalFormatting>
  <conditionalFormatting sqref="AC1022:AG1022">
    <cfRule type="cellIs" dxfId="25" priority="21" operator="greaterThanOrEqual">
      <formula>1</formula>
    </cfRule>
  </conditionalFormatting>
  <conditionalFormatting sqref="AC1022:AG1022">
    <cfRule type="expression" dxfId="24" priority="22">
      <formula>$AI1023="OK"</formula>
    </cfRule>
  </conditionalFormatting>
  <conditionalFormatting sqref="AC1097:AG1097">
    <cfRule type="cellIs" dxfId="23" priority="19" operator="greaterThanOrEqual">
      <formula>1</formula>
    </cfRule>
  </conditionalFormatting>
  <conditionalFormatting sqref="AC1097:AG1097">
    <cfRule type="expression" dxfId="22" priority="20">
      <formula>$AI1098="OK"</formula>
    </cfRule>
  </conditionalFormatting>
  <conditionalFormatting sqref="AC1098:AG1098">
    <cfRule type="cellIs" dxfId="21" priority="17" operator="greaterThanOrEqual">
      <formula>1</formula>
    </cfRule>
  </conditionalFormatting>
  <conditionalFormatting sqref="AC1098:AG1098">
    <cfRule type="expression" dxfId="20" priority="18">
      <formula>$AI1099="OK"</formula>
    </cfRule>
  </conditionalFormatting>
  <conditionalFormatting sqref="AC1099:AG1099">
    <cfRule type="cellIs" dxfId="19" priority="15" operator="greaterThanOrEqual">
      <formula>1</formula>
    </cfRule>
  </conditionalFormatting>
  <conditionalFormatting sqref="AC1099:AG1099">
    <cfRule type="expression" dxfId="18" priority="16">
      <formula>$AI1100="OK"</formula>
    </cfRule>
  </conditionalFormatting>
  <conditionalFormatting sqref="AC1100:AG1100">
    <cfRule type="cellIs" dxfId="17" priority="13" operator="greaterThanOrEqual">
      <formula>1</formula>
    </cfRule>
  </conditionalFormatting>
  <conditionalFormatting sqref="AC1100:AG1100">
    <cfRule type="expression" dxfId="16" priority="14">
      <formula>$AI1101="OK"</formula>
    </cfRule>
  </conditionalFormatting>
  <conditionalFormatting sqref="AC1101:AG1102">
    <cfRule type="cellIs" dxfId="15" priority="11" operator="greaterThanOrEqual">
      <formula>1</formula>
    </cfRule>
  </conditionalFormatting>
  <conditionalFormatting sqref="AC1101:AG1102">
    <cfRule type="expression" dxfId="14" priority="12">
      <formula>$AI1102="OK"</formula>
    </cfRule>
  </conditionalFormatting>
  <conditionalFormatting sqref="AC1103:AG1111">
    <cfRule type="cellIs" dxfId="13" priority="9" operator="greaterThanOrEqual">
      <formula>1</formula>
    </cfRule>
  </conditionalFormatting>
  <conditionalFormatting sqref="AC1103:AG1111">
    <cfRule type="expression" dxfId="12" priority="10">
      <formula>$AI1104="OK"</formula>
    </cfRule>
  </conditionalFormatting>
  <conditionalFormatting sqref="AC1112:AG1126">
    <cfRule type="cellIs" dxfId="11" priority="7" operator="greaterThanOrEqual">
      <formula>1</formula>
    </cfRule>
  </conditionalFormatting>
  <conditionalFormatting sqref="AC1112:AG1126">
    <cfRule type="expression" dxfId="10" priority="8">
      <formula>$AI1113="OK"</formula>
    </cfRule>
  </conditionalFormatting>
  <conditionalFormatting sqref="AH452:AH458">
    <cfRule type="expression" dxfId="7" priority="5">
      <formula>$AI452="OK"</formula>
    </cfRule>
  </conditionalFormatting>
  <conditionalFormatting sqref="AH452:AH458">
    <cfRule type="cellIs" dxfId="6" priority="6" operator="greaterThanOrEqual">
      <formula>1</formula>
    </cfRule>
  </conditionalFormatting>
  <conditionalFormatting sqref="G452:G458">
    <cfRule type="expression" dxfId="2" priority="2">
      <formula>$AI506="OK"</formula>
    </cfRule>
  </conditionalFormatting>
  <conditionalFormatting sqref="Q452:Q458">
    <cfRule type="expression" dxfId="1" priority="1">
      <formula>$AI506="OK"</formula>
    </cfRule>
  </conditionalFormatting>
  <pageMargins left="0" right="0" top="0" bottom="0" header="0" footer="0"/>
  <pageSetup paperSize="8" scale="32" fitToHeight="0" orientation="landscape" r:id="rId1"/>
  <ignoredErrors>
    <ignoredError sqref="H862" unlockedFormula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27"/>
  <sheetViews>
    <sheetView topLeftCell="A14" workbookViewId="0">
      <selection activeCell="E22" sqref="E22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233">
        <v>188</v>
      </c>
      <c r="B2" s="218" t="s">
        <v>2071</v>
      </c>
      <c r="C2" s="234">
        <v>46188</v>
      </c>
      <c r="D2" s="234">
        <v>46261</v>
      </c>
      <c r="E2" s="235" t="s">
        <v>496</v>
      </c>
      <c r="F2" s="218" t="s">
        <v>2070</v>
      </c>
    </row>
    <row r="3" spans="1:6" x14ac:dyDescent="0.25">
      <c r="A3" s="233">
        <v>190</v>
      </c>
      <c r="B3" s="218" t="s">
        <v>2986</v>
      </c>
      <c r="C3" s="234">
        <v>46205</v>
      </c>
      <c r="D3" s="234"/>
      <c r="E3" s="235" t="s">
        <v>496</v>
      </c>
      <c r="F3" s="218" t="s">
        <v>2987</v>
      </c>
    </row>
    <row r="4" spans="1:6" x14ac:dyDescent="0.25">
      <c r="A4" s="232">
        <v>198</v>
      </c>
      <c r="B4" s="107" t="s">
        <v>2985</v>
      </c>
      <c r="C4" s="185">
        <v>46387</v>
      </c>
      <c r="D4" s="185"/>
      <c r="E4" s="186" t="s">
        <v>4967</v>
      </c>
      <c r="F4" s="107" t="s">
        <v>2983</v>
      </c>
    </row>
    <row r="5" spans="1:6" ht="30" x14ac:dyDescent="0.25">
      <c r="A5" s="214">
        <v>200</v>
      </c>
      <c r="B5" s="215" t="s">
        <v>2994</v>
      </c>
      <c r="C5" s="216">
        <v>46219</v>
      </c>
      <c r="D5" s="216"/>
      <c r="E5" s="217" t="s">
        <v>496</v>
      </c>
      <c r="F5" s="218" t="s">
        <v>2993</v>
      </c>
    </row>
    <row r="6" spans="1:6" ht="30" x14ac:dyDescent="0.25">
      <c r="A6" s="214">
        <v>201</v>
      </c>
      <c r="B6" s="215" t="s">
        <v>2992</v>
      </c>
      <c r="C6" s="216">
        <v>46198</v>
      </c>
      <c r="D6" s="216"/>
      <c r="E6" s="217" t="s">
        <v>496</v>
      </c>
      <c r="F6" s="218" t="s">
        <v>2991</v>
      </c>
    </row>
    <row r="7" spans="1:6" ht="75" x14ac:dyDescent="0.25">
      <c r="A7" s="214">
        <v>202</v>
      </c>
      <c r="B7" s="215" t="s">
        <v>3007</v>
      </c>
      <c r="C7" s="219">
        <v>46198</v>
      </c>
      <c r="D7" s="216"/>
      <c r="E7" s="217" t="s">
        <v>496</v>
      </c>
      <c r="F7" s="218" t="s">
        <v>3006</v>
      </c>
    </row>
    <row r="8" spans="1:6" x14ac:dyDescent="0.25">
      <c r="A8" s="214">
        <v>203</v>
      </c>
      <c r="B8" s="220" t="s">
        <v>4976</v>
      </c>
      <c r="C8" s="216">
        <v>46202</v>
      </c>
      <c r="D8" s="216">
        <v>46231</v>
      </c>
      <c r="E8" s="217" t="s">
        <v>496</v>
      </c>
      <c r="F8" s="218" t="s">
        <v>3009</v>
      </c>
    </row>
    <row r="9" spans="1:6" x14ac:dyDescent="0.25">
      <c r="A9" s="214">
        <v>204</v>
      </c>
      <c r="B9" s="220" t="s">
        <v>3164</v>
      </c>
      <c r="C9" s="216">
        <v>46226</v>
      </c>
      <c r="D9" s="216"/>
      <c r="E9" s="217" t="s">
        <v>4860</v>
      </c>
      <c r="F9" s="218" t="s">
        <v>3009</v>
      </c>
    </row>
    <row r="10" spans="1:6" x14ac:dyDescent="0.25">
      <c r="A10" s="214">
        <v>205</v>
      </c>
      <c r="B10" s="220" t="s">
        <v>3166</v>
      </c>
      <c r="C10" s="216">
        <v>46235</v>
      </c>
      <c r="D10" s="216"/>
      <c r="E10" s="221" t="s">
        <v>4861</v>
      </c>
      <c r="F10" s="218" t="s">
        <v>3165</v>
      </c>
    </row>
    <row r="11" spans="1:6" ht="30" x14ac:dyDescent="0.25">
      <c r="A11" s="184">
        <v>207</v>
      </c>
      <c r="B11" s="206" t="s">
        <v>3293</v>
      </c>
      <c r="C11" s="185">
        <v>46336</v>
      </c>
      <c r="D11" s="185"/>
      <c r="E11" s="186" t="s">
        <v>5482</v>
      </c>
      <c r="F11" s="107" t="s">
        <v>3292</v>
      </c>
    </row>
    <row r="12" spans="1:6" ht="33" customHeight="1" x14ac:dyDescent="0.25">
      <c r="A12" s="187">
        <v>208</v>
      </c>
      <c r="B12" s="191" t="s">
        <v>4308</v>
      </c>
      <c r="C12" s="189">
        <v>46233</v>
      </c>
      <c r="D12" s="189">
        <v>46265</v>
      </c>
      <c r="E12" s="192" t="s">
        <v>5488</v>
      </c>
      <c r="F12" s="188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5482</v>
      </c>
      <c r="F13" s="188" t="s">
        <v>4323</v>
      </c>
    </row>
    <row r="14" spans="1:6" ht="121.15" customHeight="1" x14ac:dyDescent="0.25">
      <c r="A14" s="214">
        <v>898</v>
      </c>
      <c r="B14" s="215" t="s">
        <v>4443</v>
      </c>
      <c r="C14" s="216">
        <v>46270</v>
      </c>
      <c r="D14" s="216"/>
      <c r="E14" s="221" t="s">
        <v>496</v>
      </c>
      <c r="F14" s="220" t="s">
        <v>4442</v>
      </c>
    </row>
    <row r="15" spans="1:6" x14ac:dyDescent="0.25">
      <c r="A15" s="214">
        <v>897</v>
      </c>
      <c r="B15" s="220" t="s">
        <v>4551</v>
      </c>
      <c r="C15" s="216">
        <v>46216</v>
      </c>
      <c r="D15" s="216"/>
      <c r="E15" s="221" t="s">
        <v>496</v>
      </c>
      <c r="F15" s="220" t="s">
        <v>4550</v>
      </c>
    </row>
    <row r="16" spans="1:6" x14ac:dyDescent="0.25">
      <c r="A16" s="212">
        <v>210</v>
      </c>
      <c r="B16" s="191" t="s">
        <v>4855</v>
      </c>
      <c r="C16" s="189">
        <v>46308</v>
      </c>
      <c r="D16" s="189"/>
      <c r="E16" s="190" t="s">
        <v>5482</v>
      </c>
      <c r="F16" s="188" t="s">
        <v>2991</v>
      </c>
    </row>
    <row r="17" spans="1:6" ht="30" x14ac:dyDescent="0.25">
      <c r="A17" s="212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3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36">
        <v>133</v>
      </c>
      <c r="B19" s="220" t="s">
        <v>4971</v>
      </c>
      <c r="C19" s="216">
        <v>46249</v>
      </c>
      <c r="D19" s="216"/>
      <c r="E19" s="221" t="s">
        <v>5489</v>
      </c>
      <c r="F19" s="220" t="s">
        <v>4970</v>
      </c>
    </row>
    <row r="20" spans="1:6" x14ac:dyDescent="0.25">
      <c r="A20" s="236">
        <v>899</v>
      </c>
      <c r="B20" s="220" t="s">
        <v>4971</v>
      </c>
      <c r="C20" s="216">
        <v>46270</v>
      </c>
      <c r="D20" s="216"/>
      <c r="E20" s="221" t="s">
        <v>5489</v>
      </c>
      <c r="F20" s="220" t="s">
        <v>4442</v>
      </c>
    </row>
    <row r="21" spans="1:6" ht="45" x14ac:dyDescent="0.25">
      <c r="A21" s="224">
        <v>214</v>
      </c>
      <c r="B21" s="191" t="s">
        <v>5031</v>
      </c>
      <c r="C21" s="189">
        <v>46268</v>
      </c>
      <c r="D21" s="189"/>
      <c r="E21" s="190" t="s">
        <v>5484</v>
      </c>
      <c r="F21" s="188" t="s">
        <v>5032</v>
      </c>
    </row>
    <row r="22" spans="1:6" x14ac:dyDescent="0.25">
      <c r="A22" s="236">
        <v>900</v>
      </c>
      <c r="B22" s="220" t="s">
        <v>5487</v>
      </c>
      <c r="C22" s="216">
        <v>46277</v>
      </c>
      <c r="D22" s="216"/>
      <c r="E22" s="221" t="s">
        <v>5489</v>
      </c>
      <c r="F22" s="220" t="s">
        <v>4442</v>
      </c>
    </row>
    <row r="23" spans="1:6" ht="240" x14ac:dyDescent="0.25">
      <c r="A23" s="225">
        <v>206</v>
      </c>
      <c r="B23" s="191" t="s">
        <v>5275</v>
      </c>
      <c r="C23" s="189"/>
      <c r="D23" s="189"/>
      <c r="E23" s="226" t="s">
        <v>4968</v>
      </c>
      <c r="F23" s="227" t="s">
        <v>5276</v>
      </c>
    </row>
    <row r="24" spans="1:6" x14ac:dyDescent="0.25">
      <c r="A24" s="232">
        <v>216</v>
      </c>
      <c r="B24" s="107" t="s">
        <v>5485</v>
      </c>
      <c r="C24" s="185">
        <v>46288</v>
      </c>
      <c r="D24" s="185"/>
      <c r="E24" s="186" t="s">
        <v>5484</v>
      </c>
      <c r="F24" s="188" t="s">
        <v>5410</v>
      </c>
    </row>
    <row r="25" spans="1:6" x14ac:dyDescent="0.25">
      <c r="A25" s="231">
        <v>217</v>
      </c>
      <c r="B25" s="188" t="s">
        <v>5486</v>
      </c>
      <c r="C25" s="189">
        <v>46295</v>
      </c>
      <c r="D25" s="189"/>
      <c r="E25" s="226" t="s">
        <v>5484</v>
      </c>
      <c r="F25" s="188" t="s">
        <v>5410</v>
      </c>
    </row>
    <row r="26" spans="1:6" x14ac:dyDescent="0.25">
      <c r="A26" s="231">
        <v>215</v>
      </c>
      <c r="B26" s="188" t="s">
        <v>5556</v>
      </c>
      <c r="C26" s="189">
        <v>46295</v>
      </c>
      <c r="D26" s="189"/>
      <c r="E26" s="190" t="s">
        <v>5558</v>
      </c>
      <c r="F26" s="188" t="s">
        <v>5557</v>
      </c>
    </row>
    <row r="27" spans="1:6" x14ac:dyDescent="0.25">
      <c r="A27" s="306">
        <v>218</v>
      </c>
      <c r="B27" s="188" t="s">
        <v>5629</v>
      </c>
      <c r="C27" s="307">
        <v>46290</v>
      </c>
      <c r="D27" s="307"/>
      <c r="E27" s="308" t="s">
        <v>5630</v>
      </c>
      <c r="F27" s="188" t="s">
        <v>4307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18" activePane="bottomRight" state="frozen"/>
      <selection pane="topRight" activeCell="D1" sqref="D1"/>
      <selection pane="bottomLeft" activeCell="A6" sqref="A6"/>
      <selection pane="bottomRight" activeCell="N24" sqref="N24:T28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91" t="e" vm="1">
        <v>#VALUE!</v>
      </c>
      <c r="D2" s="292"/>
      <c r="E2" s="295" t="s">
        <v>320</v>
      </c>
      <c r="F2" s="295"/>
      <c r="G2" s="295"/>
      <c r="H2" s="295"/>
      <c r="I2" s="295"/>
      <c r="J2" s="295"/>
      <c r="K2" s="295"/>
      <c r="L2" s="295"/>
      <c r="M2" s="295"/>
      <c r="N2" s="295"/>
      <c r="O2" s="295"/>
      <c r="P2" s="295"/>
      <c r="Q2" s="295"/>
      <c r="R2" s="295"/>
      <c r="S2" s="295"/>
      <c r="T2" s="296"/>
      <c r="U2" s="299" t="s">
        <v>246</v>
      </c>
      <c r="V2" s="289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93"/>
      <c r="D3" s="294"/>
      <c r="E3" s="297"/>
      <c r="F3" s="297"/>
      <c r="G3" s="297"/>
      <c r="H3" s="297"/>
      <c r="I3" s="297"/>
      <c r="J3" s="297"/>
      <c r="K3" s="297"/>
      <c r="L3" s="297"/>
      <c r="M3" s="297"/>
      <c r="N3" s="297"/>
      <c r="O3" s="297"/>
      <c r="P3" s="297"/>
      <c r="Q3" s="297"/>
      <c r="R3" s="297"/>
      <c r="S3" s="297"/>
      <c r="T3" s="298"/>
      <c r="U3" s="300"/>
      <c r="V3" s="290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54" t="s">
        <v>2070</v>
      </c>
      <c r="D6" s="257" t="s">
        <v>2069</v>
      </c>
      <c r="E6" s="260" t="s">
        <v>2071</v>
      </c>
      <c r="F6" s="263">
        <v>46183</v>
      </c>
      <c r="G6" s="301">
        <v>46220</v>
      </c>
      <c r="H6" s="280" t="s">
        <v>3295</v>
      </c>
      <c r="I6" s="127" t="s">
        <v>3031</v>
      </c>
      <c r="J6" s="128">
        <f ca="1">SUMIF(PERFORMANCE!$N:$N,W6,PERFORMANCE!$G:$G)/1000</f>
        <v>0</v>
      </c>
      <c r="K6" s="128">
        <f ca="1">SUMIF(PERFORMANCE!$N:$N,X6,PERFORMANCE!$G:$G)/1000</f>
        <v>0</v>
      </c>
      <c r="L6" s="128">
        <v>3.1</v>
      </c>
      <c r="M6" s="128">
        <f ca="1">SUMIF(PERFORMANCE!$N:$N,Z6,PERFORMANCE!$G:$G)/1000</f>
        <v>2.665</v>
      </c>
      <c r="N6" s="128">
        <f ca="1">SUMIF(PERFORMANCE!$N:$N,AA6,PERFORMANCE!$G:$G)/1000</f>
        <v>2.1480000000000001</v>
      </c>
      <c r="O6" s="128">
        <f ca="1">SUMIF(PERFORMANCE!$N:$N,AB6,PERFORMANCE!$G:$G)/1000</f>
        <v>0</v>
      </c>
      <c r="P6" s="128">
        <v>37</v>
      </c>
      <c r="Q6" s="128">
        <f ca="1">SUMIF(PERFORMANCE!$N:$N,AD6,PERFORMANCE!$G:$G)/1000</f>
        <v>0</v>
      </c>
      <c r="R6" s="128">
        <f ca="1">SUMIF(PERFORMANCE!$N:$N,AE6,PERFORMANCE!$G:$G)/1000</f>
        <v>0</v>
      </c>
      <c r="S6" s="128">
        <f ca="1">SUMIF(PERFORMANCE!$N:$N,AF6,PERFORMANCE!$G:$G)/1000</f>
        <v>0</v>
      </c>
      <c r="T6" s="137">
        <f t="shared" ref="T6:T9" ca="1" si="0">SUM(J6:R6)</f>
        <v>44.912999999999997</v>
      </c>
      <c r="U6" s="248">
        <f ca="1">T9/T6</f>
        <v>0.88949747289203585</v>
      </c>
      <c r="V6" s="251" t="str">
        <f ca="1"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55"/>
      <c r="D7" s="258"/>
      <c r="E7" s="261"/>
      <c r="F7" s="264"/>
      <c r="G7" s="302"/>
      <c r="H7" s="281"/>
      <c r="I7" s="129" t="s">
        <v>3028</v>
      </c>
      <c r="J7" s="130">
        <f t="shared" ref="J7:O7" ca="1" si="2">J10-J8</f>
        <v>0</v>
      </c>
      <c r="K7" s="130">
        <f t="shared" ca="1" si="2"/>
        <v>0</v>
      </c>
      <c r="L7" s="130">
        <f>L6-L8</f>
        <v>0</v>
      </c>
      <c r="M7" s="130">
        <f ca="1">M6-M9</f>
        <v>-4.9999999999998934E-3</v>
      </c>
      <c r="N7" s="130">
        <f ca="1">N6-N8</f>
        <v>0.13800000000000034</v>
      </c>
      <c r="O7" s="130">
        <f t="shared" ca="1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 ca="1">T6-T8</f>
        <v>0.14299999999999358</v>
      </c>
      <c r="U7" s="249"/>
      <c r="V7" s="252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55"/>
      <c r="D8" s="258"/>
      <c r="E8" s="261"/>
      <c r="F8" s="264"/>
      <c r="G8" s="302"/>
      <c r="H8" s="281"/>
      <c r="I8" s="129" t="s">
        <v>3030</v>
      </c>
      <c r="J8" s="131">
        <f ca="1">SUMIF(PERFORMANCE!$N:$N,W6,PERFORMANCE!$Q:$Q)/1000</f>
        <v>0</v>
      </c>
      <c r="K8" s="131">
        <f ca="1"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 ca="1">SUMIF(PERFORMANCE!$N:$N,AB6,PERFORMANCE!$Q:$Q)/1000</f>
        <v>0</v>
      </c>
      <c r="P8" s="131">
        <v>37</v>
      </c>
      <c r="Q8" s="131">
        <f ca="1">SUMIF(PERFORMANCE!$N:$N,AD6,PERFORMANCE!$Q:$Q)/1000</f>
        <v>0</v>
      </c>
      <c r="R8" s="131">
        <f ca="1">SUMIF(PERFORMANCE!$N:$N,AE6,PERFORMANCE!$Q:$Q)/1000</f>
        <v>0</v>
      </c>
      <c r="S8" s="131">
        <f ca="1">SUMIF(PERFORMANCE!$N:$N,AF6,PERFORMANCE!$Q:$Q)/1000</f>
        <v>0</v>
      </c>
      <c r="T8" s="138">
        <v>44.77</v>
      </c>
      <c r="U8" s="249"/>
      <c r="V8" s="252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55"/>
      <c r="D9" s="258"/>
      <c r="E9" s="261"/>
      <c r="F9" s="264"/>
      <c r="G9" s="302"/>
      <c r="H9" s="281"/>
      <c r="I9" s="132" t="s">
        <v>315</v>
      </c>
      <c r="J9" s="131">
        <f ca="1">SUMIF(PERFORMANCE!N:N,W6,PERFORMANCE!K:K)/1000</f>
        <v>0</v>
      </c>
      <c r="K9" s="131">
        <f ca="1"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 ca="1">SUMIF(PERFORMANCE!S:S,AB6,PERFORMANCE!P:P)/1000</f>
        <v>0</v>
      </c>
      <c r="P9" s="131">
        <v>32.17</v>
      </c>
      <c r="Q9" s="131">
        <f ca="1"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ca="1" si="0"/>
        <v>39.950000000000003</v>
      </c>
      <c r="U9" s="249"/>
      <c r="V9" s="252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56"/>
      <c r="D10" s="259"/>
      <c r="E10" s="262"/>
      <c r="F10" s="265"/>
      <c r="G10" s="303"/>
      <c r="H10" s="282"/>
      <c r="I10" s="133" t="s">
        <v>3029</v>
      </c>
      <c r="J10" s="134">
        <f ca="1">SUMIF(PERFORMANCE!$N:$N,W6,PERFORMANCE!$M:$M)/1000</f>
        <v>0</v>
      </c>
      <c r="K10" s="134">
        <f ca="1"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 ca="1">SUMIF(PERFORMANCE!$N:$N,AB6,PERFORMANCE!$M:$M)/1000</f>
        <v>0</v>
      </c>
      <c r="P10" s="134">
        <f>P6-P9</f>
        <v>4.8299999999999983</v>
      </c>
      <c r="Q10" s="134">
        <f ca="1">SUMIF(PERFORMANCE!$N:$N,AD6,PERFORMANCE!$M:$M)/1000</f>
        <v>0</v>
      </c>
      <c r="R10" s="134">
        <f ca="1">SUMIF(PERFORMANCE!$N:$N,AE6,PERFORMANCE!$M:$M)/1000</f>
        <v>0</v>
      </c>
      <c r="S10" s="134">
        <f ca="1">SUMIF(PERFORMANCE!$N:$N,AF6,PERFORMANCE!$M:$M)/1000</f>
        <v>0</v>
      </c>
      <c r="T10" s="139">
        <f ca="1">T6-T9</f>
        <v>4.9629999999999939</v>
      </c>
      <c r="U10" s="250"/>
      <c r="V10" s="253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54" t="s">
        <v>2987</v>
      </c>
      <c r="D12" s="257" t="s">
        <v>2551</v>
      </c>
      <c r="E12" s="260" t="s">
        <v>2986</v>
      </c>
      <c r="F12" s="263">
        <v>46205</v>
      </c>
      <c r="G12" s="301"/>
      <c r="H12" s="286" t="s">
        <v>3169</v>
      </c>
      <c r="I12" s="127" t="s">
        <v>3031</v>
      </c>
      <c r="J12" s="128">
        <v>16.100000000000001</v>
      </c>
      <c r="K12" s="128">
        <f ca="1">SUMIF(PERFORMANCE!$N:$N,X12,PERFORMANCE!$G:$G)/1000</f>
        <v>0.14360000000000001</v>
      </c>
      <c r="L12" s="128">
        <v>0.6</v>
      </c>
      <c r="M12" s="128">
        <f ca="1">SUMIF(PERFORMANCE!$N:$N,Z12,PERFORMANCE!$G:$G)/1000</f>
        <v>0</v>
      </c>
      <c r="N12" s="128">
        <f ca="1">SUMIF(PERFORMANCE!$N:$N,AA12,PERFORMANCE!$G:$G)/1000</f>
        <v>0</v>
      </c>
      <c r="O12" s="128">
        <f ca="1">SUMIF(PERFORMANCE!$N:$N,AB12,PERFORMANCE!$G:$G)/1000</f>
        <v>0</v>
      </c>
      <c r="P12" s="128">
        <f ca="1">SUMIF(PERFORMANCE!$N:$N,AC12,PERFORMANCE!$G:$G)/1000</f>
        <v>0</v>
      </c>
      <c r="Q12" s="128">
        <f ca="1">SUMIF(PERFORMANCE!$N:$N,AD12,PERFORMANCE!$G:$G)/1000</f>
        <v>0</v>
      </c>
      <c r="R12" s="128">
        <v>0</v>
      </c>
      <c r="S12" s="128">
        <f ca="1">SUMIF(PERFORMANCE!$N:$N,AF12,PERFORMANCE!$G:$G)/1000</f>
        <v>0</v>
      </c>
      <c r="T12" s="137">
        <f ca="1">SUM(J12:R12)</f>
        <v>16.843600000000002</v>
      </c>
      <c r="U12" s="248">
        <f ca="1">T15/T12</f>
        <v>0.76586952907929418</v>
      </c>
      <c r="V12" s="251" t="str">
        <f ca="1"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55"/>
      <c r="D13" s="258"/>
      <c r="E13" s="261"/>
      <c r="F13" s="264"/>
      <c r="G13" s="302"/>
      <c r="H13" s="287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ca="1" si="14"/>
        <v>0</v>
      </c>
      <c r="N13" s="130">
        <f t="shared" ca="1" si="14"/>
        <v>0</v>
      </c>
      <c r="O13" s="130">
        <f t="shared" ca="1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 ca="1">T12-T14</f>
        <v>3.5999999999987153E-3</v>
      </c>
      <c r="U13" s="249"/>
      <c r="V13" s="252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55"/>
      <c r="D14" s="258"/>
      <c r="E14" s="261"/>
      <c r="F14" s="264"/>
      <c r="G14" s="302"/>
      <c r="H14" s="287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 ca="1">SUMIF(PERFORMANCE!$N:$N,Z12,PERFORMANCE!$Q:$Q)/1000</f>
        <v>0</v>
      </c>
      <c r="N14" s="131">
        <f ca="1">SUMIF(PERFORMANCE!$N:$N,AA12,PERFORMANCE!$Q:$Q)/1000</f>
        <v>0</v>
      </c>
      <c r="O14" s="131">
        <f ca="1">SUMIF(PERFORMANCE!$N:$N,AB12,PERFORMANCE!$Q:$Q)/1000</f>
        <v>0</v>
      </c>
      <c r="P14" s="131">
        <f ca="1">SUMIF(PERFORMANCE!$N:$N,AC12,PERFORMANCE!$Q:$Q)/1000</f>
        <v>0</v>
      </c>
      <c r="Q14" s="131">
        <f ca="1">SUMIF(PERFORMANCE!$N:$N,AD12,PERFORMANCE!$Q:$Q)/1000</f>
        <v>0</v>
      </c>
      <c r="R14" s="131">
        <v>0</v>
      </c>
      <c r="S14" s="131">
        <f ca="1">SUMIF(PERFORMANCE!$N:$N,AF12,PERFORMANCE!$Q:$Q)/1000</f>
        <v>0</v>
      </c>
      <c r="T14" s="138">
        <f t="shared" ref="T14" ca="1" si="15">SUM(J14:R14)</f>
        <v>16.840000000000003</v>
      </c>
      <c r="U14" s="249"/>
      <c r="V14" s="252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55"/>
      <c r="D15" s="258"/>
      <c r="E15" s="261"/>
      <c r="F15" s="264"/>
      <c r="G15" s="302"/>
      <c r="H15" s="287"/>
      <c r="I15" s="132" t="s">
        <v>315</v>
      </c>
      <c r="J15" s="131">
        <v>12.9</v>
      </c>
      <c r="K15" s="131">
        <f ca="1">SUMIF(PERFORMANCE!O:O,X12,PERFORMANCE!L:L)/1000</f>
        <v>0</v>
      </c>
      <c r="L15" s="131">
        <f ca="1">SUMIF(PERFORMANCE!P:P,Y12,PERFORMANCE!M:M)/1000</f>
        <v>0</v>
      </c>
      <c r="M15" s="131">
        <f ca="1">SUMIF(PERFORMANCE!Q:Q,Z12,PERFORMANCE!N:N)/1000</f>
        <v>0</v>
      </c>
      <c r="N15" s="131">
        <f ca="1">SUMIF(PERFORMANCE!R:R,AA12,PERFORMANCE!O:O)/1000</f>
        <v>0</v>
      </c>
      <c r="O15" s="131">
        <f ca="1">SUMIF(PERFORMANCE!S:S,AB12,PERFORMANCE!P:P)/1000</f>
        <v>0</v>
      </c>
      <c r="P15" s="131">
        <f ca="1">SUMIF(PERFORMANCE!T:T,AC12,PERFORMANCE!Q:Q)/1000</f>
        <v>0</v>
      </c>
      <c r="Q15" s="131">
        <f ca="1"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 ca="1">SUM(J15:R15)</f>
        <v>12.9</v>
      </c>
      <c r="U15" s="249"/>
      <c r="V15" s="252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56"/>
      <c r="D16" s="259"/>
      <c r="E16" s="262"/>
      <c r="F16" s="265"/>
      <c r="G16" s="303"/>
      <c r="H16" s="288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 ca="1">SUMIF(PERFORMANCE!$N:$N,Z12,PERFORMANCE!$M:$M)/1000</f>
        <v>0</v>
      </c>
      <c r="N16" s="134">
        <f ca="1">SUMIF(PERFORMANCE!$N:$N,AA12,PERFORMANCE!$M:$M)/1000</f>
        <v>0</v>
      </c>
      <c r="O16" s="134">
        <f ca="1">SUMIF(PERFORMANCE!$N:$N,AB12,PERFORMANCE!$M:$M)/1000</f>
        <v>0</v>
      </c>
      <c r="P16" s="134">
        <f ca="1">SUMIF(PERFORMANCE!$N:$N,AC12,PERFORMANCE!$M:$M)/1000</f>
        <v>0</v>
      </c>
      <c r="Q16" s="134">
        <f ca="1">SUMIF(PERFORMANCE!$N:$N,AD12,PERFORMANCE!$M:$M)/1000</f>
        <v>0</v>
      </c>
      <c r="R16" s="134">
        <v>0</v>
      </c>
      <c r="S16" s="134">
        <f ca="1">SUMIF(PERFORMANCE!$N:$N,AF12,PERFORMANCE!$M:$M)/1000</f>
        <v>0</v>
      </c>
      <c r="T16" s="139">
        <v>3.1</v>
      </c>
      <c r="U16" s="250"/>
      <c r="V16" s="253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54" t="s">
        <v>2983</v>
      </c>
      <c r="D18" s="257" t="s">
        <v>2984</v>
      </c>
      <c r="E18" s="260" t="s">
        <v>2985</v>
      </c>
      <c r="F18" s="263">
        <v>46289</v>
      </c>
      <c r="G18" s="301"/>
      <c r="H18" s="269" t="s">
        <v>4324</v>
      </c>
      <c r="I18" s="127" t="s">
        <v>3031</v>
      </c>
      <c r="J18" s="128">
        <f ca="1">SUMIF(PERFORMANCE!$N:$N,W18,PERFORMANCE!$G:$G)/1000</f>
        <v>8.109099999999998</v>
      </c>
      <c r="K18" s="128">
        <f ca="1">SUMIF(PERFORMANCE!$N:$N,X18,PERFORMANCE!$G:$G)/1000</f>
        <v>0</v>
      </c>
      <c r="L18" s="128">
        <f ca="1">SUMIF(PERFORMANCE!$N:$N,Y18,PERFORMANCE!$G:$G)/1000</f>
        <v>5.5101000000000004</v>
      </c>
      <c r="M18" s="128">
        <f ca="1">SUMIF(PERFORMANCE!$N:$N,Z18,PERFORMANCE!$G:$G)/1000</f>
        <v>9.2813999999999997</v>
      </c>
      <c r="N18" s="128">
        <f ca="1">SUMIF(PERFORMANCE!$N:$N,AA18,PERFORMANCE!$G:$G)/1000</f>
        <v>10.5792</v>
      </c>
      <c r="O18" s="128">
        <f ca="1">SUMIF(PERFORMANCE!$N:$N,AB18,PERFORMANCE!$G:$G)/1000</f>
        <v>0</v>
      </c>
      <c r="P18" s="128">
        <f ca="1">SUMIF(PERFORMANCE!$N:$N,AC18,PERFORMANCE!$G:$G)/1000</f>
        <v>0</v>
      </c>
      <c r="Q18" s="128">
        <f ca="1">SUMIF(PERFORMANCE!$N:$N,AD18,PERFORMANCE!$G:$G)/1000</f>
        <v>0</v>
      </c>
      <c r="R18" s="128">
        <f ca="1">SUMIF(PERFORMANCE!$N:$N,AE18,PERFORMANCE!$G:$G)/1000</f>
        <v>0</v>
      </c>
      <c r="S18" s="128">
        <f ca="1">SUMIF(PERFORMANCE!$N:$N,AF18,PERFORMANCE!$G:$G)/1000</f>
        <v>0</v>
      </c>
      <c r="T18" s="137">
        <f ca="1">SUM(J18:R18)</f>
        <v>33.479799999999997</v>
      </c>
      <c r="U18" s="248">
        <f ca="1">T21/T18</f>
        <v>0.78706563360593562</v>
      </c>
      <c r="V18" s="251" t="str">
        <f ca="1"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55"/>
      <c r="D19" s="258"/>
      <c r="E19" s="261"/>
      <c r="F19" s="264"/>
      <c r="G19" s="302"/>
      <c r="H19" s="270"/>
      <c r="I19" s="129" t="s">
        <v>3028</v>
      </c>
      <c r="J19" s="130">
        <f t="shared" ref="J19" ca="1" si="17">J18-J20</f>
        <v>7.9712999999999976</v>
      </c>
      <c r="K19" s="130">
        <f t="shared" ref="K19" ca="1" si="18">K18-K20</f>
        <v>0</v>
      </c>
      <c r="L19" s="130">
        <f t="shared" ref="L19" ca="1" si="19">L18-L20</f>
        <v>5.5101000000000004</v>
      </c>
      <c r="M19" s="130">
        <f t="shared" ref="M19" ca="1" si="20">M18-M20</f>
        <v>9.2813999999999997</v>
      </c>
      <c r="N19" s="130">
        <f ca="1">N18-N20</f>
        <v>10.5792</v>
      </c>
      <c r="O19" s="130">
        <f t="shared" ref="O19" ca="1" si="21">O18-O20</f>
        <v>0</v>
      </c>
      <c r="P19" s="130">
        <f t="shared" ref="P19" ca="1" si="22">P18-P20</f>
        <v>0</v>
      </c>
      <c r="Q19" s="130">
        <f t="shared" ref="Q19" ca="1" si="23">Q18-Q20</f>
        <v>0</v>
      </c>
      <c r="R19" s="130">
        <f t="shared" ref="R19" ca="1" si="24">R18-R20</f>
        <v>0</v>
      </c>
      <c r="S19" s="130">
        <f t="shared" ref="S19" ca="1" si="25">S18-S20</f>
        <v>0</v>
      </c>
      <c r="T19" s="138">
        <f t="shared" ref="T19" ca="1" si="26">T18-T20</f>
        <v>33.341999999999999</v>
      </c>
      <c r="U19" s="249"/>
      <c r="V19" s="252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55"/>
      <c r="D20" s="258"/>
      <c r="E20" s="261"/>
      <c r="F20" s="264"/>
      <c r="G20" s="302"/>
      <c r="H20" s="270"/>
      <c r="I20" s="129" t="s">
        <v>3030</v>
      </c>
      <c r="J20" s="131">
        <f ca="1">SUMIF(PERFORMANCE!$N:$N,W18,PERFORMANCE!$Q:$Q)/1000</f>
        <v>0.13780000000000001</v>
      </c>
      <c r="K20" s="131">
        <f ca="1">SUMIF(PERFORMANCE!$N:$N,X18,PERFORMANCE!$Q:$Q)/1000</f>
        <v>0</v>
      </c>
      <c r="L20" s="131">
        <f ca="1">SUMIF(PERFORMANCE!$N:$N,Y18,PERFORMANCE!$Q:$Q)/1000</f>
        <v>0</v>
      </c>
      <c r="M20" s="131">
        <f ca="1">SUMIF(PERFORMANCE!$N:$N,Z18,PERFORMANCE!$Q:$Q)/1000</f>
        <v>0</v>
      </c>
      <c r="N20" s="131">
        <f ca="1">SUMIF(PERFORMANCE!$N:$N,AA18,PERFORMANCE!$Q:$Q)/1000</f>
        <v>0</v>
      </c>
      <c r="O20" s="131">
        <f ca="1">SUMIF(PERFORMANCE!$N:$N,AB18,PERFORMANCE!$Q:$Q)/1000</f>
        <v>0</v>
      </c>
      <c r="P20" s="131">
        <f ca="1">SUMIF(PERFORMANCE!$N:$N,AC18,PERFORMANCE!$Q:$Q)/1000</f>
        <v>0</v>
      </c>
      <c r="Q20" s="131">
        <f ca="1">SUMIF(PERFORMANCE!$N:$N,AD18,PERFORMANCE!$Q:$Q)/1000</f>
        <v>0</v>
      </c>
      <c r="R20" s="131">
        <f ca="1">SUMIF(PERFORMANCE!$N:$N,AE18,PERFORMANCE!$Q:$Q)/1000</f>
        <v>0</v>
      </c>
      <c r="S20" s="131">
        <f ca="1">SUMIF(PERFORMANCE!$N:$N,AF18,PERFORMANCE!$Q:$Q)/1000</f>
        <v>0</v>
      </c>
      <c r="T20" s="138">
        <f t="shared" ref="T20" ca="1" si="27">SUM(J20:R20)</f>
        <v>0.13780000000000001</v>
      </c>
      <c r="U20" s="249"/>
      <c r="V20" s="252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55"/>
      <c r="D21" s="258"/>
      <c r="E21" s="261"/>
      <c r="F21" s="264"/>
      <c r="G21" s="302"/>
      <c r="H21" s="270"/>
      <c r="I21" s="132" t="s">
        <v>315</v>
      </c>
      <c r="J21" s="131">
        <f ca="1">SUMIF(PERFORMANCE!$N:$N,MACRO!W18,PERFORMANCE!$R:$R)/1000</f>
        <v>6.4901999999999997</v>
      </c>
      <c r="K21" s="131">
        <f ca="1">SUMIF(PERFORMANCE!$N:$N,MACRO!X18,PERFORMANCE!$R:$R)/1000</f>
        <v>0</v>
      </c>
      <c r="L21" s="131">
        <f ca="1">SUMIF(PERFORMANCE!$N:$N,MACRO!Y18,PERFORMANCE!$R:$R)/1000</f>
        <v>0</v>
      </c>
      <c r="M21" s="131">
        <f ca="1">SUMIF(PERFORMANCE!$N:$N,MACRO!Z18,PERFORMANCE!$R:$R)/1000</f>
        <v>9.2813999999999997</v>
      </c>
      <c r="N21" s="131">
        <f ca="1">SUMIF(PERFORMANCE!$N:$N,MACRO!AA18,PERFORMANCE!$R:$R)/1000</f>
        <v>10.5792</v>
      </c>
      <c r="O21" s="131">
        <f ca="1">SUMIF(PERFORMANCE!$N:$N,MACRO!AB18,PERFORMANCE!$R:$R)/1000</f>
        <v>0</v>
      </c>
      <c r="P21" s="131">
        <f ca="1">SUMIF(PERFORMANCE!$N:$N,MACRO!AC18,PERFORMANCE!$R:$R)/1000</f>
        <v>0</v>
      </c>
      <c r="Q21" s="131">
        <f ca="1">SUMIF(PERFORMANCE!$N:$N,MACRO!AD18,PERFORMANCE!$R:$R)/1000</f>
        <v>0</v>
      </c>
      <c r="R21" s="131">
        <f ca="1">SUMIF(PERFORMANCE!$N:$N,MACRO!AE18,PERFORMANCE!$R:$R)/1000</f>
        <v>0</v>
      </c>
      <c r="S21" s="131">
        <f>SUMIF(PERFORMANCE!W:W,AF18,PERFORMANCE!T:T)/1000</f>
        <v>0</v>
      </c>
      <c r="T21" s="138">
        <f ca="1">SUM(J21:R21)</f>
        <v>26.3508</v>
      </c>
      <c r="U21" s="249"/>
      <c r="V21" s="252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56"/>
      <c r="D22" s="259"/>
      <c r="E22" s="262"/>
      <c r="F22" s="265"/>
      <c r="G22" s="303"/>
      <c r="H22" s="271"/>
      <c r="I22" s="133" t="s">
        <v>3029</v>
      </c>
      <c r="J22" s="134">
        <f t="shared" ref="J22:R22" ca="1" si="28">J18-J21</f>
        <v>1.6188999999999982</v>
      </c>
      <c r="K22" s="134">
        <f t="shared" ca="1" si="28"/>
        <v>0</v>
      </c>
      <c r="L22" s="134">
        <f t="shared" ca="1" si="28"/>
        <v>5.5101000000000004</v>
      </c>
      <c r="M22" s="134">
        <f t="shared" ca="1" si="28"/>
        <v>0</v>
      </c>
      <c r="N22" s="134">
        <f t="shared" ca="1" si="28"/>
        <v>0</v>
      </c>
      <c r="O22" s="134">
        <f t="shared" ca="1" si="28"/>
        <v>0</v>
      </c>
      <c r="P22" s="134">
        <f t="shared" ca="1" si="28"/>
        <v>0</v>
      </c>
      <c r="Q22" s="134">
        <f t="shared" ca="1" si="28"/>
        <v>0</v>
      </c>
      <c r="R22" s="134">
        <f t="shared" ca="1" si="28"/>
        <v>0</v>
      </c>
      <c r="S22" s="134">
        <f t="shared" ref="S22" ca="1" si="29">S18--S21</f>
        <v>0</v>
      </c>
      <c r="T22" s="139">
        <f ca="1">T18-T21</f>
        <v>7.1289999999999978</v>
      </c>
      <c r="U22" s="250"/>
      <c r="V22" s="25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54" t="s">
        <v>3292</v>
      </c>
      <c r="D24" s="257" t="s">
        <v>3291</v>
      </c>
      <c r="E24" s="260" t="s">
        <v>3293</v>
      </c>
      <c r="F24" s="263">
        <v>46336</v>
      </c>
      <c r="G24" s="266"/>
      <c r="H24" s="269" t="s">
        <v>3294</v>
      </c>
      <c r="I24" s="127" t="s">
        <v>3031</v>
      </c>
      <c r="J24" s="128">
        <f ca="1">SUMIF(PERFORMANCE!$N:$N,W24,PERFORMANCE!$G:$G)/1000</f>
        <v>0</v>
      </c>
      <c r="K24" s="128">
        <f ca="1">SUMIF(PERFORMANCE!$N:$N,X24,PERFORMANCE!$G:$G)/1000</f>
        <v>0</v>
      </c>
      <c r="L24" s="128">
        <f ca="1">SUMIF(PERFORMANCE!$N:$N,Y24,PERFORMANCE!$G:$G)/1000</f>
        <v>0</v>
      </c>
      <c r="M24" s="128">
        <f ca="1">SUMIF(PERFORMANCE!$N:$N,Z24,PERFORMANCE!$G:$G)/1000</f>
        <v>0</v>
      </c>
      <c r="N24" s="128">
        <f ca="1">SUMIF(PERFORMANCE!$N:$N,AA24,PERFORMANCE!$G:$G)/1000</f>
        <v>0</v>
      </c>
      <c r="O24" s="128">
        <f ca="1">SUMIF(PERFORMANCE!$N:$N,AB24,PERFORMANCE!$G:$G)/1000</f>
        <v>0</v>
      </c>
      <c r="P24" s="128">
        <f ca="1">SUMIF(PERFORMANCE!$N:$N,AC24,PERFORMANCE!$G:$G)/1000</f>
        <v>0</v>
      </c>
      <c r="Q24" s="128">
        <f ca="1">SUMIF(PERFORMANCE!$N:$N,AD24,PERFORMANCE!$G:$G)/1000</f>
        <v>0</v>
      </c>
      <c r="R24" s="128">
        <f ca="1">SUMIF(PERFORMANCE!$N:$N,AE24,PERFORMANCE!$G:$G)/1000</f>
        <v>0</v>
      </c>
      <c r="S24" s="128">
        <f ca="1">SUMIF(PERFORMANCE!$N:$N,AF24,PERFORMANCE!$G:$G)/1000</f>
        <v>0</v>
      </c>
      <c r="T24" s="137">
        <f ca="1">SUM(J24:R24)</f>
        <v>0</v>
      </c>
      <c r="U24" s="248">
        <v>0</v>
      </c>
      <c r="V24" s="251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55"/>
      <c r="D25" s="258"/>
      <c r="E25" s="261"/>
      <c r="F25" s="264"/>
      <c r="G25" s="267"/>
      <c r="H25" s="270"/>
      <c r="I25" s="129" t="s">
        <v>3028</v>
      </c>
      <c r="J25" s="130">
        <f t="shared" ref="J25" ca="1" si="41">J24-J26</f>
        <v>0</v>
      </c>
      <c r="K25" s="130">
        <f t="shared" ref="K25" ca="1" si="42">K24-K26</f>
        <v>0</v>
      </c>
      <c r="L25" s="130">
        <f t="shared" ref="L25" ca="1" si="43">L24-L26</f>
        <v>0</v>
      </c>
      <c r="M25" s="130">
        <f t="shared" ref="M25" ca="1" si="44">M24-M26</f>
        <v>0</v>
      </c>
      <c r="N25" s="130">
        <f ca="1">N24-N26</f>
        <v>0</v>
      </c>
      <c r="O25" s="130">
        <f t="shared" ref="O25" ca="1" si="45">O24-O26</f>
        <v>0</v>
      </c>
      <c r="P25" s="130">
        <f t="shared" ref="P25" ca="1" si="46">P24-P26</f>
        <v>0</v>
      </c>
      <c r="Q25" s="130">
        <f t="shared" ref="Q25" ca="1" si="47">Q24-Q26</f>
        <v>0</v>
      </c>
      <c r="R25" s="130">
        <f t="shared" ref="R25" ca="1" si="48">R24-R26</f>
        <v>0</v>
      </c>
      <c r="S25" s="130">
        <f t="shared" ref="S25" ca="1" si="49">S24-S26</f>
        <v>0</v>
      </c>
      <c r="T25" s="138">
        <f t="shared" ref="T25" ca="1" si="50">T24-T26</f>
        <v>0</v>
      </c>
      <c r="U25" s="249"/>
      <c r="V25" s="252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55"/>
      <c r="D26" s="258"/>
      <c r="E26" s="261"/>
      <c r="F26" s="264"/>
      <c r="G26" s="267"/>
      <c r="H26" s="270"/>
      <c r="I26" s="129" t="s">
        <v>3030</v>
      </c>
      <c r="J26" s="131">
        <f ca="1">SUMIF(PERFORMANCE!$N:$N,W24,PERFORMANCE!$Q:$Q)/1000</f>
        <v>0</v>
      </c>
      <c r="K26" s="131">
        <f ca="1">SUMIF(PERFORMANCE!$N:$N,X24,PERFORMANCE!$Q:$Q)/1000</f>
        <v>0</v>
      </c>
      <c r="L26" s="131">
        <f ca="1">SUMIF(PERFORMANCE!$N:$N,Y24,PERFORMANCE!$Q:$Q)/1000</f>
        <v>0</v>
      </c>
      <c r="M26" s="131">
        <f ca="1">SUMIF(PERFORMANCE!$N:$N,Z24,PERFORMANCE!$Q:$Q)/1000</f>
        <v>0</v>
      </c>
      <c r="N26" s="131">
        <f ca="1">SUMIF(PERFORMANCE!$N:$N,AA24,PERFORMANCE!$Q:$Q)/1000</f>
        <v>0</v>
      </c>
      <c r="O26" s="131">
        <f ca="1">SUMIF(PERFORMANCE!$N:$N,AB24,PERFORMANCE!$Q:$Q)/1000</f>
        <v>0</v>
      </c>
      <c r="P26" s="131">
        <f ca="1">SUMIF(PERFORMANCE!$N:$N,AC24,PERFORMANCE!$Q:$Q)/1000</f>
        <v>0</v>
      </c>
      <c r="Q26" s="131">
        <f ca="1">SUMIF(PERFORMANCE!$N:$N,AD24,PERFORMANCE!$Q:$Q)/1000</f>
        <v>0</v>
      </c>
      <c r="R26" s="131">
        <f ca="1">SUMIF(PERFORMANCE!$N:$N,AE24,PERFORMANCE!$Q:$Q)/1000</f>
        <v>0</v>
      </c>
      <c r="S26" s="131">
        <f ca="1">SUMIF(PERFORMANCE!$N:$N,AF24,PERFORMANCE!$Q:$Q)/1000</f>
        <v>0</v>
      </c>
      <c r="T26" s="138">
        <f t="shared" ref="T26" ca="1" si="51">SUM(J26:R26)</f>
        <v>0</v>
      </c>
      <c r="U26" s="249"/>
      <c r="V26" s="252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55"/>
      <c r="D27" s="258"/>
      <c r="E27" s="261"/>
      <c r="F27" s="264"/>
      <c r="G27" s="267"/>
      <c r="H27" s="270"/>
      <c r="I27" s="132" t="s">
        <v>315</v>
      </c>
      <c r="J27" s="131">
        <f ca="1">SUMIF(PERFORMANCE!$N:$N,MACRO!W24,PERFORMANCE!$R:$R)/1000</f>
        <v>0</v>
      </c>
      <c r="K27" s="131">
        <f ca="1">SUMIF(PERFORMANCE!$N:$N,MACRO!X24,PERFORMANCE!$R:$R)/1000</f>
        <v>0</v>
      </c>
      <c r="L27" s="131">
        <f ca="1">SUMIF(PERFORMANCE!$N:$N,MACRO!Y24,PERFORMANCE!$R:$R)/1000</f>
        <v>0</v>
      </c>
      <c r="M27" s="131">
        <f ca="1">SUMIF(PERFORMANCE!$N:$N,MACRO!Z24,PERFORMANCE!$R:$R)/1000</f>
        <v>0</v>
      </c>
      <c r="N27" s="131">
        <f ca="1">SUMIF(PERFORMANCE!$N:$N,MACRO!AA24,PERFORMANCE!$R:$R)/1000</f>
        <v>0</v>
      </c>
      <c r="O27" s="131">
        <f ca="1">SUMIF(PERFORMANCE!$N:$N,MACRO!AB24,PERFORMANCE!$R:$R)/1000</f>
        <v>0</v>
      </c>
      <c r="P27" s="131">
        <f ca="1">SUMIF(PERFORMANCE!$N:$N,MACRO!AC24,PERFORMANCE!$R:$R)/1000</f>
        <v>0</v>
      </c>
      <c r="Q27" s="131">
        <f ca="1">SUMIF(PERFORMANCE!$N:$N,MACRO!AD24,PERFORMANCE!$R:$R)/1000</f>
        <v>0</v>
      </c>
      <c r="R27" s="131">
        <f ca="1">SUMIF(PERFORMANCE!$N:$N,MACRO!AE24,PERFORMANCE!$R:$R)/1000</f>
        <v>0</v>
      </c>
      <c r="S27" s="131">
        <f>SUMIF(PERFORMANCE!W:W,AF24,PERFORMANCE!T:T)/1000</f>
        <v>0</v>
      </c>
      <c r="T27" s="138">
        <f ca="1">SUM(J27:R27)</f>
        <v>0</v>
      </c>
      <c r="U27" s="249"/>
      <c r="V27" s="252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56"/>
      <c r="D28" s="259"/>
      <c r="E28" s="262"/>
      <c r="F28" s="265"/>
      <c r="G28" s="268"/>
      <c r="H28" s="271"/>
      <c r="I28" s="133" t="s">
        <v>3029</v>
      </c>
      <c r="J28" s="134">
        <f t="shared" ref="J28:R28" ca="1" si="52">J24-J27</f>
        <v>0</v>
      </c>
      <c r="K28" s="134">
        <f t="shared" ca="1" si="52"/>
        <v>0</v>
      </c>
      <c r="L28" s="134">
        <f t="shared" ca="1" si="52"/>
        <v>0</v>
      </c>
      <c r="M28" s="134">
        <f t="shared" ca="1" si="52"/>
        <v>0</v>
      </c>
      <c r="N28" s="134">
        <f t="shared" ca="1" si="52"/>
        <v>0</v>
      </c>
      <c r="O28" s="134">
        <f t="shared" ca="1" si="52"/>
        <v>0</v>
      </c>
      <c r="P28" s="134">
        <f t="shared" ca="1" si="52"/>
        <v>0</v>
      </c>
      <c r="Q28" s="134">
        <f t="shared" ca="1" si="52"/>
        <v>0</v>
      </c>
      <c r="R28" s="134">
        <f t="shared" ca="1" si="52"/>
        <v>0</v>
      </c>
      <c r="S28" s="134">
        <f t="shared" ref="S28" ca="1" si="53">S24--S27</f>
        <v>0</v>
      </c>
      <c r="T28" s="139">
        <f ca="1">T24-T27</f>
        <v>0</v>
      </c>
      <c r="U28" s="250"/>
      <c r="V28" s="25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54" t="s">
        <v>2993</v>
      </c>
      <c r="D30" s="257" t="s">
        <v>2989</v>
      </c>
      <c r="E30" s="260" t="s">
        <v>2994</v>
      </c>
      <c r="F30" s="263">
        <v>46219</v>
      </c>
      <c r="G30" s="266"/>
      <c r="H30" s="280" t="s">
        <v>3313</v>
      </c>
      <c r="I30" s="127" t="s">
        <v>3031</v>
      </c>
      <c r="J30" s="128">
        <f ca="1">SUMIF(PERFORMANCE!$N:$N,W30,PERFORMANCE!$G:$G)/1000</f>
        <v>0.97599999999999998</v>
      </c>
      <c r="K30" s="128">
        <f ca="1">SUMIF(PERFORMANCE!$N:$N,X30,PERFORMANCE!$G:$G)/1000</f>
        <v>0</v>
      </c>
      <c r="L30" s="128">
        <f ca="1">SUMIF(PERFORMANCE!$N:$N,Y30,PERFORMANCE!$G:$G)/1000</f>
        <v>0</v>
      </c>
      <c r="M30" s="128">
        <f ca="1">SUMIF(PERFORMANCE!$N:$N,Z30,PERFORMANCE!$G:$G)/1000</f>
        <v>0</v>
      </c>
      <c r="N30" s="128">
        <f ca="1">SUMIF(PERFORMANCE!$N:$N,AA30,PERFORMANCE!$G:$G)/1000</f>
        <v>0</v>
      </c>
      <c r="O30" s="128">
        <f ca="1">SUMIF(PERFORMANCE!$N:$N,AB30,PERFORMANCE!$G:$G)/1000</f>
        <v>0</v>
      </c>
      <c r="P30" s="128">
        <f ca="1">SUMIF(PERFORMANCE!$N:$N,AC30,PERFORMANCE!$G:$G)/1000</f>
        <v>0</v>
      </c>
      <c r="Q30" s="128">
        <f ca="1">SUMIF(PERFORMANCE!$N:$N,AD30,PERFORMANCE!$G:$G)/1000</f>
        <v>0</v>
      </c>
      <c r="R30" s="128">
        <f ca="1">SUMIF(PERFORMANCE!$N:$N,AE30,PERFORMANCE!$G:$G)/1000</f>
        <v>0</v>
      </c>
      <c r="S30" s="128">
        <f ca="1">SUMIF(PERFORMANCE!$N:$N,AF30,PERFORMANCE!$G:$G)/1000</f>
        <v>0</v>
      </c>
      <c r="T30" s="137">
        <f ca="1">SUM(J30:R30)</f>
        <v>0.97599999999999998</v>
      </c>
      <c r="U30" s="248">
        <v>0</v>
      </c>
      <c r="V30" s="251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55"/>
      <c r="D31" s="258"/>
      <c r="E31" s="261"/>
      <c r="F31" s="264"/>
      <c r="G31" s="267"/>
      <c r="H31" s="281"/>
      <c r="I31" s="129" t="s">
        <v>3028</v>
      </c>
      <c r="J31" s="130">
        <f t="shared" ref="J31" ca="1" si="65">J30-J32</f>
        <v>0.97599999999999998</v>
      </c>
      <c r="K31" s="130">
        <f t="shared" ref="K31" ca="1" si="66">K30-K32</f>
        <v>0</v>
      </c>
      <c r="L31" s="130">
        <f t="shared" ref="L31" ca="1" si="67">L30-L32</f>
        <v>0</v>
      </c>
      <c r="M31" s="130">
        <f t="shared" ref="M31" ca="1" si="68">M30-M32</f>
        <v>0</v>
      </c>
      <c r="N31" s="130">
        <f ca="1">N30-N32</f>
        <v>0</v>
      </c>
      <c r="O31" s="130">
        <f t="shared" ref="O31" ca="1" si="69">O30-O32</f>
        <v>0</v>
      </c>
      <c r="P31" s="130">
        <f t="shared" ref="P31" ca="1" si="70">P30-P32</f>
        <v>0</v>
      </c>
      <c r="Q31" s="130">
        <f t="shared" ref="Q31" ca="1" si="71">Q30-Q32</f>
        <v>0</v>
      </c>
      <c r="R31" s="130">
        <f t="shared" ref="R31" ca="1" si="72">R30-R32</f>
        <v>0</v>
      </c>
      <c r="S31" s="130">
        <f t="shared" ref="S31" ca="1" si="73">S30-S32</f>
        <v>0</v>
      </c>
      <c r="T31" s="138">
        <f t="shared" ref="T31" ca="1" si="74">T30-T32</f>
        <v>0.97599999999999998</v>
      </c>
      <c r="U31" s="249"/>
      <c r="V31" s="252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55"/>
      <c r="D32" s="258"/>
      <c r="E32" s="261"/>
      <c r="F32" s="264"/>
      <c r="G32" s="267"/>
      <c r="H32" s="281"/>
      <c r="I32" s="129" t="s">
        <v>3030</v>
      </c>
      <c r="J32" s="131">
        <f ca="1">SUMIF(PERFORMANCE!$N:$N,W30,PERFORMANCE!$Q:$Q)/1000</f>
        <v>0</v>
      </c>
      <c r="K32" s="131">
        <f ca="1">SUMIF(PERFORMANCE!$N:$N,X30,PERFORMANCE!$Q:$Q)/1000</f>
        <v>0</v>
      </c>
      <c r="L32" s="131">
        <f ca="1">SUMIF(PERFORMANCE!$N:$N,Y30,PERFORMANCE!$Q:$Q)/1000</f>
        <v>0</v>
      </c>
      <c r="M32" s="131">
        <f ca="1">SUMIF(PERFORMANCE!$N:$N,Z30,PERFORMANCE!$Q:$Q)/1000</f>
        <v>0</v>
      </c>
      <c r="N32" s="131">
        <f ca="1">SUMIF(PERFORMANCE!$N:$N,AA30,PERFORMANCE!$Q:$Q)/1000</f>
        <v>0</v>
      </c>
      <c r="O32" s="131">
        <f ca="1">SUMIF(PERFORMANCE!$N:$N,AB30,PERFORMANCE!$Q:$Q)/1000</f>
        <v>0</v>
      </c>
      <c r="P32" s="131">
        <f ca="1">SUMIF(PERFORMANCE!$N:$N,AC30,PERFORMANCE!$Q:$Q)/1000</f>
        <v>0</v>
      </c>
      <c r="Q32" s="131">
        <f ca="1">SUMIF(PERFORMANCE!$N:$N,AD30,PERFORMANCE!$Q:$Q)/1000</f>
        <v>0</v>
      </c>
      <c r="R32" s="131">
        <f ca="1">SUMIF(PERFORMANCE!$N:$N,AE30,PERFORMANCE!$Q:$Q)/1000</f>
        <v>0</v>
      </c>
      <c r="S32" s="131">
        <f ca="1">SUMIF(PERFORMANCE!$N:$N,AF30,PERFORMANCE!$Q:$Q)/1000</f>
        <v>0</v>
      </c>
      <c r="T32" s="138">
        <f t="shared" ref="T32" ca="1" si="75">SUM(J32:R32)</f>
        <v>0</v>
      </c>
      <c r="U32" s="249"/>
      <c r="V32" s="252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55"/>
      <c r="D33" s="258"/>
      <c r="E33" s="261"/>
      <c r="F33" s="264"/>
      <c r="G33" s="267"/>
      <c r="H33" s="281"/>
      <c r="I33" s="132" t="s">
        <v>315</v>
      </c>
      <c r="J33" s="131">
        <f ca="1">SUMIF(PERFORMANCE!$N:$N,MACRO!W30,PERFORMANCE!$R:$R)/1000</f>
        <v>0.97599999999999998</v>
      </c>
      <c r="K33" s="131">
        <f ca="1">SUMIF(PERFORMANCE!$N:$N,MACRO!X30,PERFORMANCE!$R:$R)/1000</f>
        <v>0</v>
      </c>
      <c r="L33" s="131">
        <f ca="1">SUMIF(PERFORMANCE!$N:$N,MACRO!Y30,PERFORMANCE!$R:$R)/1000</f>
        <v>0</v>
      </c>
      <c r="M33" s="131">
        <f ca="1">SUMIF(PERFORMANCE!$N:$N,MACRO!Z30,PERFORMANCE!$R:$R)/1000</f>
        <v>0</v>
      </c>
      <c r="N33" s="131">
        <f ca="1">SUMIF(PERFORMANCE!$N:$N,MACRO!AA30,PERFORMANCE!$R:$R)/1000</f>
        <v>0</v>
      </c>
      <c r="O33" s="131">
        <f ca="1">SUMIF(PERFORMANCE!$N:$N,MACRO!AB30,PERFORMANCE!$R:$R)/1000</f>
        <v>0</v>
      </c>
      <c r="P33" s="131">
        <f ca="1">SUMIF(PERFORMANCE!$N:$N,MACRO!AC30,PERFORMANCE!$R:$R)/1000</f>
        <v>0</v>
      </c>
      <c r="Q33" s="131">
        <f ca="1">SUMIF(PERFORMANCE!$N:$N,MACRO!AD30,PERFORMANCE!$R:$R)/1000</f>
        <v>0</v>
      </c>
      <c r="R33" s="131">
        <f ca="1">SUMIF(PERFORMANCE!$N:$N,MACRO!AE30,PERFORMANCE!$R:$R)/1000</f>
        <v>0</v>
      </c>
      <c r="S33" s="131">
        <f>SUMIF(PERFORMANCE!W:W,AF30,PERFORMANCE!T:T)/1000</f>
        <v>0</v>
      </c>
      <c r="T33" s="138">
        <f ca="1">SUM(J33:R33)</f>
        <v>0.97599999999999998</v>
      </c>
      <c r="U33" s="249"/>
      <c r="V33" s="252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56"/>
      <c r="D34" s="259"/>
      <c r="E34" s="262"/>
      <c r="F34" s="265"/>
      <c r="G34" s="268"/>
      <c r="H34" s="282"/>
      <c r="I34" s="133" t="s">
        <v>3029</v>
      </c>
      <c r="J34" s="134">
        <f t="shared" ref="J34:R34" ca="1" si="76">J30-J33</f>
        <v>0</v>
      </c>
      <c r="K34" s="134">
        <f t="shared" ca="1" si="76"/>
        <v>0</v>
      </c>
      <c r="L34" s="134">
        <f t="shared" ca="1" si="76"/>
        <v>0</v>
      </c>
      <c r="M34" s="134">
        <f t="shared" ca="1" si="76"/>
        <v>0</v>
      </c>
      <c r="N34" s="134">
        <f t="shared" ca="1" si="76"/>
        <v>0</v>
      </c>
      <c r="O34" s="134">
        <f t="shared" ca="1" si="76"/>
        <v>0</v>
      </c>
      <c r="P34" s="134">
        <f t="shared" ca="1" si="76"/>
        <v>0</v>
      </c>
      <c r="Q34" s="134">
        <f t="shared" ca="1" si="76"/>
        <v>0</v>
      </c>
      <c r="R34" s="134">
        <f t="shared" ca="1" si="76"/>
        <v>0</v>
      </c>
      <c r="S34" s="134">
        <f t="shared" ref="S34" ca="1" si="77">S30--S33</f>
        <v>0</v>
      </c>
      <c r="T34" s="139">
        <f ca="1">T30-T33</f>
        <v>0</v>
      </c>
      <c r="U34" s="250"/>
      <c r="V34" s="253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54" t="s">
        <v>2995</v>
      </c>
      <c r="D36" s="257" t="s">
        <v>2990</v>
      </c>
      <c r="E36" s="260" t="s">
        <v>2992</v>
      </c>
      <c r="F36" s="263">
        <v>46198</v>
      </c>
      <c r="G36" s="283"/>
      <c r="H36" s="286" t="s">
        <v>3167</v>
      </c>
      <c r="I36" s="127" t="s">
        <v>3031</v>
      </c>
      <c r="J36" s="128">
        <f ca="1">SUMIF(PERFORMANCE!$N:$N,W36,PERFORMANCE!$G:$G)/1000</f>
        <v>0</v>
      </c>
      <c r="K36" s="128">
        <f ca="1">SUMIF(PERFORMANCE!$N:$N,X36,PERFORMANCE!$G:$G)/1000</f>
        <v>0</v>
      </c>
      <c r="L36" s="128">
        <f ca="1">SUMIF(PERFORMANCE!$N:$N,Y36,PERFORMANCE!$G:$G)/1000</f>
        <v>0.2137</v>
      </c>
      <c r="M36" s="128">
        <f ca="1">SUMIF(PERFORMANCE!$N:$N,Z36,PERFORMANCE!$G:$G)/1000</f>
        <v>0</v>
      </c>
      <c r="N36" s="128">
        <f ca="1">SUMIF(PERFORMANCE!$N:$N,AA36,PERFORMANCE!$G:$G)/1000</f>
        <v>0</v>
      </c>
      <c r="O36" s="128">
        <f ca="1">SUMIF(PERFORMANCE!$N:$N,AB36,PERFORMANCE!$G:$G)/1000</f>
        <v>0</v>
      </c>
      <c r="P36" s="128">
        <f ca="1">SUMIF(PERFORMANCE!$N:$N,AC36,PERFORMANCE!$G:$G)/1000</f>
        <v>0</v>
      </c>
      <c r="Q36" s="128">
        <f ca="1">SUMIF(PERFORMANCE!$N:$N,AD36,PERFORMANCE!$G:$G)/1000</f>
        <v>0</v>
      </c>
      <c r="R36" s="128">
        <f ca="1">SUMIF(PERFORMANCE!$N:$N,AE36,PERFORMANCE!$G:$G)/1000</f>
        <v>0</v>
      </c>
      <c r="S36" s="128">
        <f ca="1">SUMIF(PERFORMANCE!$N:$N,AF36,PERFORMANCE!$G:$G)/1000</f>
        <v>0</v>
      </c>
      <c r="T36" s="137">
        <f ca="1">SUM(J36:R36)</f>
        <v>0.2137</v>
      </c>
      <c r="U36" s="248">
        <v>0</v>
      </c>
      <c r="V36" s="251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55"/>
      <c r="D37" s="258"/>
      <c r="E37" s="261"/>
      <c r="F37" s="264"/>
      <c r="G37" s="284"/>
      <c r="H37" s="287"/>
      <c r="I37" s="129" t="s">
        <v>3028</v>
      </c>
      <c r="J37" s="130">
        <f t="shared" ref="J37" ca="1" si="89">J36-J38</f>
        <v>0</v>
      </c>
      <c r="K37" s="130">
        <f t="shared" ref="K37" ca="1" si="90">K36-K38</f>
        <v>0</v>
      </c>
      <c r="L37" s="130">
        <f t="shared" ref="L37" ca="1" si="91">L36-L38</f>
        <v>0.2137</v>
      </c>
      <c r="M37" s="130">
        <f t="shared" ref="M37" ca="1" si="92">M36-M38</f>
        <v>0</v>
      </c>
      <c r="N37" s="130">
        <f ca="1">N36-N38</f>
        <v>0</v>
      </c>
      <c r="O37" s="130">
        <f t="shared" ref="O37" ca="1" si="93">O36-O38</f>
        <v>0</v>
      </c>
      <c r="P37" s="130">
        <f t="shared" ref="P37" ca="1" si="94">P36-P38</f>
        <v>0</v>
      </c>
      <c r="Q37" s="130">
        <f t="shared" ref="Q37" ca="1" si="95">Q36-Q38</f>
        <v>0</v>
      </c>
      <c r="R37" s="130">
        <f t="shared" ref="R37" ca="1" si="96">R36-R38</f>
        <v>0</v>
      </c>
      <c r="S37" s="130">
        <f t="shared" ref="S37" ca="1" si="97">S36-S38</f>
        <v>0</v>
      </c>
      <c r="T37" s="138">
        <f t="shared" ref="T37" ca="1" si="98">T36-T38</f>
        <v>0.2137</v>
      </c>
      <c r="U37" s="249"/>
      <c r="V37" s="252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55"/>
      <c r="D38" s="258"/>
      <c r="E38" s="261"/>
      <c r="F38" s="264"/>
      <c r="G38" s="284"/>
      <c r="H38" s="287"/>
      <c r="I38" s="129" t="s">
        <v>3030</v>
      </c>
      <c r="J38" s="131">
        <f ca="1">SUMIF(PERFORMANCE!$N:$N,W36,PERFORMANCE!$Q:$Q)/1000</f>
        <v>0</v>
      </c>
      <c r="K38" s="131">
        <f ca="1">SUMIF(PERFORMANCE!$N:$N,X36,PERFORMANCE!$Q:$Q)/1000</f>
        <v>0</v>
      </c>
      <c r="L38" s="131">
        <f ca="1">SUMIF(PERFORMANCE!$N:$N,Y36,PERFORMANCE!$Q:$Q)/1000</f>
        <v>0</v>
      </c>
      <c r="M38" s="131">
        <f ca="1">SUMIF(PERFORMANCE!$N:$N,Z36,PERFORMANCE!$Q:$Q)/1000</f>
        <v>0</v>
      </c>
      <c r="N38" s="131">
        <f ca="1">SUMIF(PERFORMANCE!$N:$N,AA36,PERFORMANCE!$Q:$Q)/1000</f>
        <v>0</v>
      </c>
      <c r="O38" s="131">
        <f ca="1">SUMIF(PERFORMANCE!$N:$N,AB36,PERFORMANCE!$Q:$Q)/1000</f>
        <v>0</v>
      </c>
      <c r="P38" s="131">
        <f ca="1">SUMIF(PERFORMANCE!$N:$N,AC36,PERFORMANCE!$Q:$Q)/1000</f>
        <v>0</v>
      </c>
      <c r="Q38" s="131">
        <f ca="1">SUMIF(PERFORMANCE!$N:$N,AD36,PERFORMANCE!$Q:$Q)/1000</f>
        <v>0</v>
      </c>
      <c r="R38" s="131">
        <f ca="1">SUMIF(PERFORMANCE!$N:$N,AE36,PERFORMANCE!$Q:$Q)/1000</f>
        <v>0</v>
      </c>
      <c r="S38" s="131">
        <f ca="1">SUMIF(PERFORMANCE!$N:$N,AF36,PERFORMANCE!$Q:$Q)/1000</f>
        <v>0</v>
      </c>
      <c r="T38" s="138">
        <f t="shared" ref="T38" ca="1" si="99">SUM(J38:R38)</f>
        <v>0</v>
      </c>
      <c r="U38" s="249"/>
      <c r="V38" s="252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55"/>
      <c r="D39" s="258"/>
      <c r="E39" s="261"/>
      <c r="F39" s="264"/>
      <c r="G39" s="284"/>
      <c r="H39" s="287"/>
      <c r="I39" s="132" t="s">
        <v>315</v>
      </c>
      <c r="J39" s="131">
        <f ca="1">SUMIF(PERFORMANCE!$N:$N,MACRO!W36,PERFORMANCE!$R:$R)/1000</f>
        <v>0</v>
      </c>
      <c r="K39" s="131">
        <f ca="1">SUMIF(PERFORMANCE!$N:$N,MACRO!X36,PERFORMANCE!$R:$R)/1000</f>
        <v>0</v>
      </c>
      <c r="L39" s="131">
        <f ca="1">SUMIF(PERFORMANCE!$N:$N,MACRO!Y36,PERFORMANCE!$R:$R)/1000</f>
        <v>0.2137</v>
      </c>
      <c r="M39" s="131">
        <f ca="1">SUMIF(PERFORMANCE!$N:$N,MACRO!Z36,PERFORMANCE!$R:$R)/1000</f>
        <v>0</v>
      </c>
      <c r="N39" s="131">
        <f ca="1">SUMIF(PERFORMANCE!$N:$N,MACRO!AA36,PERFORMANCE!$R:$R)/1000</f>
        <v>0</v>
      </c>
      <c r="O39" s="131">
        <f ca="1">SUMIF(PERFORMANCE!$N:$N,MACRO!AB36,PERFORMANCE!$R:$R)/1000</f>
        <v>0</v>
      </c>
      <c r="P39" s="131">
        <f ca="1">SUMIF(PERFORMANCE!$N:$N,MACRO!AC36,PERFORMANCE!$R:$R)/1000</f>
        <v>0</v>
      </c>
      <c r="Q39" s="131">
        <f ca="1">SUMIF(PERFORMANCE!$N:$N,MACRO!AD36,PERFORMANCE!$R:$R)/1000</f>
        <v>0</v>
      </c>
      <c r="R39" s="131">
        <f ca="1">SUMIF(PERFORMANCE!$N:$N,MACRO!AE36,PERFORMANCE!$R:$R)/1000</f>
        <v>0</v>
      </c>
      <c r="S39" s="131">
        <f>SUMIF(PERFORMANCE!W:W,AF36,PERFORMANCE!T:T)/1000</f>
        <v>0</v>
      </c>
      <c r="T39" s="138">
        <f ca="1">SUM(J39:R39)</f>
        <v>0.2137</v>
      </c>
      <c r="U39" s="249"/>
      <c r="V39" s="252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56"/>
      <c r="D40" s="259"/>
      <c r="E40" s="262"/>
      <c r="F40" s="265"/>
      <c r="G40" s="285"/>
      <c r="H40" s="288"/>
      <c r="I40" s="133" t="s">
        <v>3029</v>
      </c>
      <c r="J40" s="134">
        <f t="shared" ref="J40:R40" ca="1" si="100">J36-J39</f>
        <v>0</v>
      </c>
      <c r="K40" s="134">
        <f t="shared" ca="1" si="100"/>
        <v>0</v>
      </c>
      <c r="L40" s="134">
        <f t="shared" ca="1" si="100"/>
        <v>0</v>
      </c>
      <c r="M40" s="134">
        <f t="shared" ca="1" si="100"/>
        <v>0</v>
      </c>
      <c r="N40" s="134">
        <f t="shared" ca="1" si="100"/>
        <v>0</v>
      </c>
      <c r="O40" s="134">
        <f t="shared" ca="1" si="100"/>
        <v>0</v>
      </c>
      <c r="P40" s="134">
        <f t="shared" ca="1" si="100"/>
        <v>0</v>
      </c>
      <c r="Q40" s="134">
        <f t="shared" ca="1" si="100"/>
        <v>0</v>
      </c>
      <c r="R40" s="134">
        <f t="shared" ca="1" si="100"/>
        <v>0</v>
      </c>
      <c r="S40" s="134">
        <f t="shared" ref="S40" ca="1" si="101">S36--S39</f>
        <v>0</v>
      </c>
      <c r="T40" s="139">
        <f ca="1">T36-T39</f>
        <v>0</v>
      </c>
      <c r="U40" s="250"/>
      <c r="V40" s="253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54" t="s">
        <v>3006</v>
      </c>
      <c r="D42" s="257" t="s">
        <v>3004</v>
      </c>
      <c r="E42" s="260" t="s">
        <v>3007</v>
      </c>
      <c r="F42" s="263">
        <v>46188</v>
      </c>
      <c r="G42" s="283">
        <v>46220</v>
      </c>
      <c r="H42" s="280" t="s">
        <v>4325</v>
      </c>
      <c r="I42" s="127" t="s">
        <v>3031</v>
      </c>
      <c r="J42" s="128">
        <f ca="1">SUMIF(PERFORMANCE!$N:$N,W42,PERFORMANCE!$G:$G)/1000</f>
        <v>0</v>
      </c>
      <c r="K42" s="128">
        <f ca="1">SUMIF(PERFORMANCE!$N:$N,X42,PERFORMANCE!$G:$G)/1000</f>
        <v>0</v>
      </c>
      <c r="L42" s="128">
        <f ca="1">SUMIF(PERFORMANCE!$N:$N,Y42,PERFORMANCE!$G:$G)/1000</f>
        <v>0</v>
      </c>
      <c r="M42" s="128">
        <f ca="1">SUMIF(PERFORMANCE!$N:$N,Z42,PERFORMANCE!$G:$G)/1000</f>
        <v>0.85320000000000007</v>
      </c>
      <c r="N42" s="128">
        <f ca="1">SUMIF(PERFORMANCE!$N:$N,AA42,PERFORMANCE!$G:$G)/1000</f>
        <v>0</v>
      </c>
      <c r="O42" s="128">
        <f ca="1">SUMIF(PERFORMANCE!$N:$N,AB42,PERFORMANCE!$G:$G)/1000</f>
        <v>0</v>
      </c>
      <c r="P42" s="128">
        <f ca="1">SUMIF(PERFORMANCE!$N:$N,AC42,PERFORMANCE!$G:$G)/1000</f>
        <v>0</v>
      </c>
      <c r="Q42" s="128">
        <f ca="1">SUMIF(PERFORMANCE!$N:$N,AD42,PERFORMANCE!$G:$G)/1000</f>
        <v>0</v>
      </c>
      <c r="R42" s="128">
        <f ca="1">SUMIF(PERFORMANCE!$N:$N,AE42,PERFORMANCE!$G:$G)/1000</f>
        <v>0</v>
      </c>
      <c r="S42" s="128">
        <f ca="1">SUMIF(PERFORMANCE!$N:$N,AF42,PERFORMANCE!$G:$G)/1000</f>
        <v>0</v>
      </c>
      <c r="T42" s="137">
        <f ca="1">SUM(J42:R42)</f>
        <v>0.85320000000000007</v>
      </c>
      <c r="U42" s="248">
        <v>0</v>
      </c>
      <c r="V42" s="251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55"/>
      <c r="D43" s="258"/>
      <c r="E43" s="261"/>
      <c r="F43" s="264"/>
      <c r="G43" s="284"/>
      <c r="H43" s="281"/>
      <c r="I43" s="129" t="s">
        <v>3028</v>
      </c>
      <c r="J43" s="130">
        <f t="shared" ref="J43" ca="1" si="113">J42-J44</f>
        <v>0</v>
      </c>
      <c r="K43" s="130">
        <f t="shared" ref="K43" ca="1" si="114">K42-K44</f>
        <v>0</v>
      </c>
      <c r="L43" s="130">
        <f t="shared" ref="L43" ca="1" si="115">L42-L44</f>
        <v>0</v>
      </c>
      <c r="M43" s="130">
        <f t="shared" ref="M43" ca="1" si="116">M42-M44</f>
        <v>0.85320000000000007</v>
      </c>
      <c r="N43" s="130">
        <f ca="1">N42-N44</f>
        <v>0</v>
      </c>
      <c r="O43" s="130">
        <f t="shared" ref="O43" ca="1" si="117">O42-O44</f>
        <v>0</v>
      </c>
      <c r="P43" s="130">
        <f t="shared" ref="P43" ca="1" si="118">P42-P44</f>
        <v>0</v>
      </c>
      <c r="Q43" s="130">
        <f t="shared" ref="Q43" ca="1" si="119">Q42-Q44</f>
        <v>0</v>
      </c>
      <c r="R43" s="130">
        <f t="shared" ref="R43" ca="1" si="120">R42-R44</f>
        <v>0</v>
      </c>
      <c r="S43" s="130">
        <f t="shared" ref="S43" ca="1" si="121">S42-S44</f>
        <v>0</v>
      </c>
      <c r="T43" s="138">
        <f t="shared" ref="T43" ca="1" si="122">T42-T44</f>
        <v>0.85320000000000007</v>
      </c>
      <c r="U43" s="249"/>
      <c r="V43" s="252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55"/>
      <c r="D44" s="258"/>
      <c r="E44" s="261"/>
      <c r="F44" s="264"/>
      <c r="G44" s="284"/>
      <c r="H44" s="281"/>
      <c r="I44" s="129" t="s">
        <v>3030</v>
      </c>
      <c r="J44" s="131">
        <f ca="1">SUMIF(PERFORMANCE!$N:$N,W42,PERFORMANCE!$Q:$Q)/1000</f>
        <v>0</v>
      </c>
      <c r="K44" s="131">
        <f ca="1">SUMIF(PERFORMANCE!$N:$N,X42,PERFORMANCE!$Q:$Q)/1000</f>
        <v>0</v>
      </c>
      <c r="L44" s="131">
        <f ca="1">SUMIF(PERFORMANCE!$N:$N,Y42,PERFORMANCE!$Q:$Q)/1000</f>
        <v>0</v>
      </c>
      <c r="M44" s="131">
        <f ca="1">SUMIF(PERFORMANCE!$N:$N,Z42,PERFORMANCE!$Q:$Q)/1000</f>
        <v>0</v>
      </c>
      <c r="N44" s="131">
        <f ca="1">SUMIF(PERFORMANCE!$N:$N,AA42,PERFORMANCE!$Q:$Q)/1000</f>
        <v>0</v>
      </c>
      <c r="O44" s="131">
        <f ca="1">SUMIF(PERFORMANCE!$N:$N,AB42,PERFORMANCE!$Q:$Q)/1000</f>
        <v>0</v>
      </c>
      <c r="P44" s="131">
        <f ca="1">SUMIF(PERFORMANCE!$N:$N,AC42,PERFORMANCE!$Q:$Q)/1000</f>
        <v>0</v>
      </c>
      <c r="Q44" s="131">
        <f ca="1">SUMIF(PERFORMANCE!$N:$N,AD42,PERFORMANCE!$Q:$Q)/1000</f>
        <v>0</v>
      </c>
      <c r="R44" s="131">
        <f ca="1">SUMIF(PERFORMANCE!$N:$N,AE42,PERFORMANCE!$Q:$Q)/1000</f>
        <v>0</v>
      </c>
      <c r="S44" s="131">
        <f ca="1">SUMIF(PERFORMANCE!$N:$N,AF42,PERFORMANCE!$Q:$Q)/1000</f>
        <v>0</v>
      </c>
      <c r="T44" s="138">
        <f t="shared" ref="T44" ca="1" si="123">SUM(J44:R44)</f>
        <v>0</v>
      </c>
      <c r="U44" s="249"/>
      <c r="V44" s="252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55"/>
      <c r="D45" s="258"/>
      <c r="E45" s="261"/>
      <c r="F45" s="264"/>
      <c r="G45" s="284"/>
      <c r="H45" s="281"/>
      <c r="I45" s="132" t="s">
        <v>315</v>
      </c>
      <c r="J45" s="131">
        <f ca="1">SUMIF(PERFORMANCE!$N:$N,MACRO!W42,PERFORMANCE!$R:$R)/1000</f>
        <v>0</v>
      </c>
      <c r="K45" s="131">
        <f ca="1">SUMIF(PERFORMANCE!$N:$N,MACRO!X42,PERFORMANCE!$R:$R)/1000</f>
        <v>0</v>
      </c>
      <c r="L45" s="131">
        <f ca="1">SUMIF(PERFORMANCE!$N:$N,MACRO!Y42,PERFORMANCE!$R:$R)/1000</f>
        <v>0</v>
      </c>
      <c r="M45" s="131">
        <f ca="1">SUMIF(PERFORMANCE!$N:$N,MACRO!Z42,PERFORMANCE!$R:$R)/1000</f>
        <v>0.85320000000000007</v>
      </c>
      <c r="N45" s="131">
        <f ca="1">SUMIF(PERFORMANCE!$N:$N,MACRO!AA42,PERFORMANCE!$R:$R)/1000</f>
        <v>0</v>
      </c>
      <c r="O45" s="131">
        <f ca="1">SUMIF(PERFORMANCE!$N:$N,MACRO!AB42,PERFORMANCE!$R:$R)/1000</f>
        <v>0</v>
      </c>
      <c r="P45" s="131">
        <f ca="1">SUMIF(PERFORMANCE!$N:$N,MACRO!AC42,PERFORMANCE!$R:$R)/1000</f>
        <v>0</v>
      </c>
      <c r="Q45" s="131">
        <f ca="1">SUMIF(PERFORMANCE!$N:$N,MACRO!AD42,PERFORMANCE!$R:$R)/1000</f>
        <v>0</v>
      </c>
      <c r="R45" s="131">
        <f ca="1">SUMIF(PERFORMANCE!$N:$N,MACRO!AE42,PERFORMANCE!$R:$R)/1000</f>
        <v>0</v>
      </c>
      <c r="S45" s="131">
        <f>SUMIF(PERFORMANCE!W:W,AF42,PERFORMANCE!T:T)/1000</f>
        <v>0</v>
      </c>
      <c r="T45" s="138">
        <f ca="1">SUM(J45:R45)</f>
        <v>0.85320000000000007</v>
      </c>
      <c r="U45" s="249"/>
      <c r="V45" s="252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56"/>
      <c r="D46" s="259"/>
      <c r="E46" s="262"/>
      <c r="F46" s="265"/>
      <c r="G46" s="285"/>
      <c r="H46" s="282"/>
      <c r="I46" s="133" t="s">
        <v>3029</v>
      </c>
      <c r="J46" s="134">
        <f t="shared" ref="J46:R46" ca="1" si="124">J42-J45</f>
        <v>0</v>
      </c>
      <c r="K46" s="134">
        <f t="shared" ca="1" si="124"/>
        <v>0</v>
      </c>
      <c r="L46" s="134">
        <f t="shared" ca="1" si="124"/>
        <v>0</v>
      </c>
      <c r="M46" s="134">
        <f t="shared" ca="1" si="124"/>
        <v>0</v>
      </c>
      <c r="N46" s="134">
        <f t="shared" ca="1" si="124"/>
        <v>0</v>
      </c>
      <c r="O46" s="134">
        <f t="shared" ca="1" si="124"/>
        <v>0</v>
      </c>
      <c r="P46" s="134">
        <f t="shared" ca="1" si="124"/>
        <v>0</v>
      </c>
      <c r="Q46" s="134">
        <f t="shared" ca="1" si="124"/>
        <v>0</v>
      </c>
      <c r="R46" s="134">
        <f t="shared" ca="1" si="124"/>
        <v>0</v>
      </c>
      <c r="S46" s="134">
        <f t="shared" ref="S46" ca="1" si="125">S42--S45</f>
        <v>0</v>
      </c>
      <c r="T46" s="139">
        <f ca="1">T42-T45</f>
        <v>0</v>
      </c>
      <c r="U46" s="250"/>
      <c r="V46" s="253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54" t="s">
        <v>3009</v>
      </c>
      <c r="D48" s="257" t="s">
        <v>3005</v>
      </c>
      <c r="E48" s="260" t="s">
        <v>3008</v>
      </c>
      <c r="F48" s="263">
        <v>46202</v>
      </c>
      <c r="G48" s="283">
        <v>46233</v>
      </c>
      <c r="H48" s="280" t="s">
        <v>4326</v>
      </c>
      <c r="I48" s="127" t="s">
        <v>3031</v>
      </c>
      <c r="J48" s="128">
        <f ca="1">SUMIF(PERFORMANCE!$N:$N,W48,PERFORMANCE!$G:$G)/1000</f>
        <v>0</v>
      </c>
      <c r="K48" s="128">
        <f ca="1">SUMIF(PERFORMANCE!$N:$N,X48,PERFORMANCE!$G:$G)/1000</f>
        <v>0</v>
      </c>
      <c r="L48" s="128">
        <f ca="1">SUMIF(PERFORMANCE!$N:$N,Y48,PERFORMANCE!$G:$G)/1000</f>
        <v>0</v>
      </c>
      <c r="M48" s="128">
        <f ca="1">SUMIF(PERFORMANCE!$N:$N,Z48,PERFORMANCE!$G:$G)/1000</f>
        <v>9.9000000000000005E-2</v>
      </c>
      <c r="N48" s="128">
        <f ca="1">SUMIF(PERFORMANCE!$N:$N,AA48,PERFORMANCE!$G:$G)/1000</f>
        <v>0</v>
      </c>
      <c r="O48" s="128">
        <f ca="1">SUMIF(PERFORMANCE!$N:$N,AB48,PERFORMANCE!$G:$G)/1000</f>
        <v>0</v>
      </c>
      <c r="P48" s="128">
        <f ca="1">SUMIF(PERFORMANCE!$N:$N,AC48,PERFORMANCE!$G:$G)/1000</f>
        <v>0</v>
      </c>
      <c r="Q48" s="128">
        <f ca="1">SUMIF(PERFORMANCE!$N:$N,AD48,PERFORMANCE!$G:$G)/1000</f>
        <v>0</v>
      </c>
      <c r="R48" s="128">
        <f ca="1">SUMIF(PERFORMANCE!$N:$N,AE48,PERFORMANCE!$G:$G)/1000</f>
        <v>0</v>
      </c>
      <c r="S48" s="128">
        <f ca="1">SUMIF(PERFORMANCE!$N:$N,AF48,PERFORMANCE!$G:$G)/1000</f>
        <v>0</v>
      </c>
      <c r="T48" s="137">
        <f ca="1">SUM(J48:R48)</f>
        <v>9.9000000000000005E-2</v>
      </c>
      <c r="U48" s="248">
        <v>0</v>
      </c>
      <c r="V48" s="251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55"/>
      <c r="D49" s="258"/>
      <c r="E49" s="261"/>
      <c r="F49" s="264"/>
      <c r="G49" s="284"/>
      <c r="H49" s="281"/>
      <c r="I49" s="129" t="s">
        <v>3028</v>
      </c>
      <c r="J49" s="130">
        <f t="shared" ref="J49" ca="1" si="137">J48-J50</f>
        <v>0</v>
      </c>
      <c r="K49" s="130">
        <f t="shared" ref="K49" ca="1" si="138">K48-K50</f>
        <v>0</v>
      </c>
      <c r="L49" s="130">
        <f t="shared" ref="L49" ca="1" si="139">L48-L50</f>
        <v>0</v>
      </c>
      <c r="M49" s="130">
        <f t="shared" ref="M49" ca="1" si="140">M48-M50</f>
        <v>9.9000000000000005E-2</v>
      </c>
      <c r="N49" s="130">
        <f ca="1">N48-N50</f>
        <v>0</v>
      </c>
      <c r="O49" s="130">
        <f t="shared" ref="O49" ca="1" si="141">O48-O50</f>
        <v>0</v>
      </c>
      <c r="P49" s="130">
        <f t="shared" ref="P49" ca="1" si="142">P48-P50</f>
        <v>0</v>
      </c>
      <c r="Q49" s="130">
        <f t="shared" ref="Q49" ca="1" si="143">Q48-Q50</f>
        <v>0</v>
      </c>
      <c r="R49" s="130">
        <f t="shared" ref="R49" ca="1" si="144">R48-R50</f>
        <v>0</v>
      </c>
      <c r="S49" s="130">
        <f t="shared" ref="S49" ca="1" si="145">S48-S50</f>
        <v>0</v>
      </c>
      <c r="T49" s="138">
        <f t="shared" ref="T49" ca="1" si="146">T48-T50</f>
        <v>9.9000000000000005E-2</v>
      </c>
      <c r="U49" s="249"/>
      <c r="V49" s="252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55"/>
      <c r="D50" s="258"/>
      <c r="E50" s="261"/>
      <c r="F50" s="264"/>
      <c r="G50" s="284"/>
      <c r="H50" s="281"/>
      <c r="I50" s="129" t="s">
        <v>3030</v>
      </c>
      <c r="J50" s="131">
        <f ca="1">SUMIF(PERFORMANCE!$N:$N,W48,PERFORMANCE!$Q:$Q)/1000</f>
        <v>0</v>
      </c>
      <c r="K50" s="131">
        <f ca="1">SUMIF(PERFORMANCE!$N:$N,X48,PERFORMANCE!$Q:$Q)/1000</f>
        <v>0</v>
      </c>
      <c r="L50" s="131">
        <f ca="1">SUMIF(PERFORMANCE!$N:$N,Y48,PERFORMANCE!$Q:$Q)/1000</f>
        <v>0</v>
      </c>
      <c r="M50" s="131">
        <f ca="1">SUMIF(PERFORMANCE!$N:$N,Z48,PERFORMANCE!$Q:$Q)/1000</f>
        <v>0</v>
      </c>
      <c r="N50" s="131">
        <f ca="1">SUMIF(PERFORMANCE!$N:$N,AA48,PERFORMANCE!$Q:$Q)/1000</f>
        <v>0</v>
      </c>
      <c r="O50" s="131">
        <f ca="1">SUMIF(PERFORMANCE!$N:$N,AB48,PERFORMANCE!$Q:$Q)/1000</f>
        <v>0</v>
      </c>
      <c r="P50" s="131">
        <f ca="1">SUMIF(PERFORMANCE!$N:$N,AC48,PERFORMANCE!$Q:$Q)/1000</f>
        <v>0</v>
      </c>
      <c r="Q50" s="131">
        <f ca="1">SUMIF(PERFORMANCE!$N:$N,AD48,PERFORMANCE!$Q:$Q)/1000</f>
        <v>0</v>
      </c>
      <c r="R50" s="131">
        <f ca="1">SUMIF(PERFORMANCE!$N:$N,AE48,PERFORMANCE!$Q:$Q)/1000</f>
        <v>0</v>
      </c>
      <c r="S50" s="131">
        <f ca="1">SUMIF(PERFORMANCE!$N:$N,AF48,PERFORMANCE!$Q:$Q)/1000</f>
        <v>0</v>
      </c>
      <c r="T50" s="138">
        <f t="shared" ref="T50" ca="1" si="147">SUM(J50:R50)</f>
        <v>0</v>
      </c>
      <c r="U50" s="249"/>
      <c r="V50" s="252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55"/>
      <c r="D51" s="258"/>
      <c r="E51" s="261"/>
      <c r="F51" s="264"/>
      <c r="G51" s="284"/>
      <c r="H51" s="281"/>
      <c r="I51" s="132" t="s">
        <v>315</v>
      </c>
      <c r="J51" s="131">
        <f ca="1">SUMIF(PERFORMANCE!$N:$N,MACRO!W48,PERFORMANCE!$R:$R)/1000</f>
        <v>0</v>
      </c>
      <c r="K51" s="131">
        <f ca="1">SUMIF(PERFORMANCE!$N:$N,MACRO!X48,PERFORMANCE!$R:$R)/1000</f>
        <v>0</v>
      </c>
      <c r="L51" s="131">
        <f ca="1">SUMIF(PERFORMANCE!$N:$N,MACRO!Y48,PERFORMANCE!$R:$R)/1000</f>
        <v>0</v>
      </c>
      <c r="M51" s="131">
        <f ca="1">SUMIF(PERFORMANCE!$N:$N,MACRO!Z48,PERFORMANCE!$R:$R)/1000</f>
        <v>9.9000000000000005E-2</v>
      </c>
      <c r="N51" s="131">
        <f ca="1">SUMIF(PERFORMANCE!$N:$N,MACRO!AA48,PERFORMANCE!$R:$R)/1000</f>
        <v>0</v>
      </c>
      <c r="O51" s="131">
        <f ca="1">SUMIF(PERFORMANCE!$N:$N,MACRO!AB48,PERFORMANCE!$R:$R)/1000</f>
        <v>0</v>
      </c>
      <c r="P51" s="131">
        <f ca="1">SUMIF(PERFORMANCE!$N:$N,MACRO!AC48,PERFORMANCE!$R:$R)/1000</f>
        <v>0</v>
      </c>
      <c r="Q51" s="131">
        <f ca="1">SUMIF(PERFORMANCE!$N:$N,MACRO!AD48,PERFORMANCE!$R:$R)/1000</f>
        <v>0</v>
      </c>
      <c r="R51" s="131">
        <f ca="1">SUMIF(PERFORMANCE!$N:$N,MACRO!AE48,PERFORMANCE!$R:$R)/1000</f>
        <v>0</v>
      </c>
      <c r="S51" s="131">
        <f>SUMIF(PERFORMANCE!W:W,AF48,PERFORMANCE!T:T)/1000</f>
        <v>0</v>
      </c>
      <c r="T51" s="138">
        <f ca="1">SUM(J51:R51)</f>
        <v>9.9000000000000005E-2</v>
      </c>
      <c r="U51" s="249"/>
      <c r="V51" s="252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56"/>
      <c r="D52" s="259"/>
      <c r="E52" s="262"/>
      <c r="F52" s="265"/>
      <c r="G52" s="285"/>
      <c r="H52" s="282"/>
      <c r="I52" s="133" t="s">
        <v>3029</v>
      </c>
      <c r="J52" s="134">
        <f t="shared" ref="J52:R52" ca="1" si="148">J48-J51</f>
        <v>0</v>
      </c>
      <c r="K52" s="134">
        <f t="shared" ca="1" si="148"/>
        <v>0</v>
      </c>
      <c r="L52" s="134">
        <f t="shared" ca="1" si="148"/>
        <v>0</v>
      </c>
      <c r="M52" s="134">
        <f t="shared" ca="1" si="148"/>
        <v>0</v>
      </c>
      <c r="N52" s="134">
        <f t="shared" ca="1" si="148"/>
        <v>0</v>
      </c>
      <c r="O52" s="134">
        <f t="shared" ca="1" si="148"/>
        <v>0</v>
      </c>
      <c r="P52" s="134">
        <f t="shared" ca="1" si="148"/>
        <v>0</v>
      </c>
      <c r="Q52" s="134">
        <f t="shared" ca="1" si="148"/>
        <v>0</v>
      </c>
      <c r="R52" s="134">
        <f t="shared" ca="1" si="148"/>
        <v>0</v>
      </c>
      <c r="S52" s="134">
        <f t="shared" ref="S52" ca="1" si="149">S48--S51</f>
        <v>0</v>
      </c>
      <c r="T52" s="139">
        <f ca="1">T48-T51</f>
        <v>0</v>
      </c>
      <c r="U52" s="250"/>
      <c r="V52" s="253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54" t="s">
        <v>3009</v>
      </c>
      <c r="D54" s="257" t="s">
        <v>3111</v>
      </c>
      <c r="E54" s="260" t="s">
        <v>3164</v>
      </c>
      <c r="F54" s="263">
        <v>46226</v>
      </c>
      <c r="G54" s="266"/>
      <c r="H54" s="280" t="s">
        <v>3314</v>
      </c>
      <c r="I54" s="127" t="s">
        <v>3031</v>
      </c>
      <c r="J54" s="128">
        <f ca="1">SUMIF(PERFORMANCE!$N:$N,W54,PERFORMANCE!$G:$G)/1000</f>
        <v>0</v>
      </c>
      <c r="K54" s="128">
        <f ca="1">SUMIF(PERFORMANCE!$N:$N,X54,PERFORMANCE!$G:$G)/1000</f>
        <v>0</v>
      </c>
      <c r="L54" s="128">
        <f ca="1">SUMIF(PERFORMANCE!$N:$N,Y54,PERFORMANCE!$G:$G)/1000</f>
        <v>0</v>
      </c>
      <c r="M54" s="128">
        <f ca="1">SUMIF(PERFORMANCE!$N:$N,Z54,PERFORMANCE!$G:$G)/1000</f>
        <v>0.12299999999999998</v>
      </c>
      <c r="N54" s="128">
        <f ca="1">SUMIF(PERFORMANCE!$N:$N,AA54,PERFORMANCE!$G:$G)/1000</f>
        <v>0</v>
      </c>
      <c r="O54" s="128">
        <f ca="1">SUMIF(PERFORMANCE!$N:$N,AB54,PERFORMANCE!$G:$G)/1000</f>
        <v>0</v>
      </c>
      <c r="P54" s="128">
        <f ca="1">SUMIF(PERFORMANCE!$N:$N,AC54,PERFORMANCE!$G:$G)/1000</f>
        <v>0</v>
      </c>
      <c r="Q54" s="128">
        <f ca="1">SUMIF(PERFORMANCE!$N:$N,AD54,PERFORMANCE!$G:$G)/1000</f>
        <v>0</v>
      </c>
      <c r="R54" s="128">
        <f ca="1">SUMIF(PERFORMANCE!$N:$N,AE54,PERFORMANCE!$G:$G)/1000</f>
        <v>0</v>
      </c>
      <c r="S54" s="128">
        <f ca="1">SUMIF(PERFORMANCE!$N:$N,AF54,PERFORMANCE!$G:$G)/1000</f>
        <v>0</v>
      </c>
      <c r="T54" s="137">
        <f ca="1">SUM(J54:R54)</f>
        <v>0.12299999999999998</v>
      </c>
      <c r="U54" s="248">
        <v>0</v>
      </c>
      <c r="V54" s="251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55"/>
      <c r="D55" s="258"/>
      <c r="E55" s="261"/>
      <c r="F55" s="264"/>
      <c r="G55" s="267"/>
      <c r="H55" s="281"/>
      <c r="I55" s="129" t="s">
        <v>3028</v>
      </c>
      <c r="J55" s="130">
        <f t="shared" ref="J55" ca="1" si="161">J54-J56</f>
        <v>0</v>
      </c>
      <c r="K55" s="130">
        <f t="shared" ref="K55" ca="1" si="162">K54-K56</f>
        <v>0</v>
      </c>
      <c r="L55" s="130">
        <f t="shared" ref="L55" ca="1" si="163">L54-L56</f>
        <v>0</v>
      </c>
      <c r="M55" s="130">
        <f t="shared" ref="M55" ca="1" si="164">M54-M56</f>
        <v>0.12299999999999998</v>
      </c>
      <c r="N55" s="130">
        <f ca="1">N54-N56</f>
        <v>0</v>
      </c>
      <c r="O55" s="130">
        <f t="shared" ref="O55" ca="1" si="165">O54-O56</f>
        <v>0</v>
      </c>
      <c r="P55" s="130">
        <f t="shared" ref="P55" ca="1" si="166">P54-P56</f>
        <v>0</v>
      </c>
      <c r="Q55" s="130">
        <f t="shared" ref="Q55" ca="1" si="167">Q54-Q56</f>
        <v>0</v>
      </c>
      <c r="R55" s="130">
        <f t="shared" ref="R55" ca="1" si="168">R54-R56</f>
        <v>0</v>
      </c>
      <c r="S55" s="130">
        <f t="shared" ref="S55" ca="1" si="169">S54-S56</f>
        <v>0</v>
      </c>
      <c r="T55" s="138">
        <f t="shared" ref="T55" ca="1" si="170">T54-T56</f>
        <v>0.12299999999999998</v>
      </c>
      <c r="U55" s="249"/>
      <c r="V55" s="252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55"/>
      <c r="D56" s="258"/>
      <c r="E56" s="261"/>
      <c r="F56" s="264"/>
      <c r="G56" s="267"/>
      <c r="H56" s="281"/>
      <c r="I56" s="129" t="s">
        <v>3030</v>
      </c>
      <c r="J56" s="131">
        <f ca="1">SUMIF(PERFORMANCE!$N:$N,W54,PERFORMANCE!$Q:$Q)/1000</f>
        <v>0</v>
      </c>
      <c r="K56" s="131">
        <f ca="1">SUMIF(PERFORMANCE!$N:$N,X54,PERFORMANCE!$Q:$Q)/1000</f>
        <v>0</v>
      </c>
      <c r="L56" s="131">
        <f ca="1">SUMIF(PERFORMANCE!$N:$N,Y54,PERFORMANCE!$Q:$Q)/1000</f>
        <v>0</v>
      </c>
      <c r="M56" s="131">
        <f ca="1">SUMIF(PERFORMANCE!$N:$N,Z54,PERFORMANCE!$Q:$Q)/1000</f>
        <v>0</v>
      </c>
      <c r="N56" s="131">
        <f ca="1">SUMIF(PERFORMANCE!$N:$N,AA54,PERFORMANCE!$Q:$Q)/1000</f>
        <v>0</v>
      </c>
      <c r="O56" s="131">
        <f ca="1">SUMIF(PERFORMANCE!$N:$N,AB54,PERFORMANCE!$Q:$Q)/1000</f>
        <v>0</v>
      </c>
      <c r="P56" s="131">
        <f ca="1">SUMIF(PERFORMANCE!$N:$N,AC54,PERFORMANCE!$Q:$Q)/1000</f>
        <v>0</v>
      </c>
      <c r="Q56" s="131">
        <f ca="1">SUMIF(PERFORMANCE!$N:$N,AD54,PERFORMANCE!$Q:$Q)/1000</f>
        <v>0</v>
      </c>
      <c r="R56" s="131">
        <f ca="1">SUMIF(PERFORMANCE!$N:$N,AE54,PERFORMANCE!$Q:$Q)/1000</f>
        <v>0</v>
      </c>
      <c r="S56" s="131">
        <f ca="1">SUMIF(PERFORMANCE!$N:$N,AF54,PERFORMANCE!$Q:$Q)/1000</f>
        <v>0</v>
      </c>
      <c r="T56" s="138">
        <f t="shared" ref="T56" ca="1" si="171">SUM(J56:R56)</f>
        <v>0</v>
      </c>
      <c r="U56" s="249"/>
      <c r="V56" s="252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55"/>
      <c r="D57" s="258"/>
      <c r="E57" s="261"/>
      <c r="F57" s="264"/>
      <c r="G57" s="267"/>
      <c r="H57" s="281"/>
      <c r="I57" s="132" t="s">
        <v>315</v>
      </c>
      <c r="J57" s="131">
        <f ca="1">SUMIF(PERFORMANCE!$N:$N,MACRO!W54,PERFORMANCE!$R:$R)/1000</f>
        <v>0</v>
      </c>
      <c r="K57" s="131">
        <f ca="1">SUMIF(PERFORMANCE!$N:$N,MACRO!X54,PERFORMANCE!$R:$R)/1000</f>
        <v>0</v>
      </c>
      <c r="L57" s="131">
        <f ca="1">SUMIF(PERFORMANCE!$N:$N,MACRO!Y54,PERFORMANCE!$R:$R)/1000</f>
        <v>0</v>
      </c>
      <c r="M57" s="131">
        <f ca="1">SUMIF(PERFORMANCE!$N:$N,MACRO!Z54,PERFORMANCE!$R:$R)/1000</f>
        <v>0.12299999999999998</v>
      </c>
      <c r="N57" s="131">
        <f ca="1">SUMIF(PERFORMANCE!$N:$N,MACRO!AA54,PERFORMANCE!$R:$R)/1000</f>
        <v>0</v>
      </c>
      <c r="O57" s="131">
        <f ca="1">SUMIF(PERFORMANCE!$N:$N,MACRO!AB54,PERFORMANCE!$R:$R)/1000</f>
        <v>0</v>
      </c>
      <c r="P57" s="131">
        <f ca="1">SUMIF(PERFORMANCE!$N:$N,MACRO!AC54,PERFORMANCE!$R:$R)/1000</f>
        <v>0</v>
      </c>
      <c r="Q57" s="131">
        <f ca="1">SUMIF(PERFORMANCE!$N:$N,MACRO!AD54,PERFORMANCE!$R:$R)/1000</f>
        <v>0</v>
      </c>
      <c r="R57" s="131">
        <f ca="1">SUMIF(PERFORMANCE!$N:$N,MACRO!AE54,PERFORMANCE!$R:$R)/1000</f>
        <v>0</v>
      </c>
      <c r="S57" s="131">
        <f>SUMIF(PERFORMANCE!W:W,AF54,PERFORMANCE!T:T)/1000</f>
        <v>0</v>
      </c>
      <c r="T57" s="138">
        <f ca="1">SUM(J57:R57)</f>
        <v>0.12299999999999998</v>
      </c>
      <c r="U57" s="249"/>
      <c r="V57" s="252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56"/>
      <c r="D58" s="259"/>
      <c r="E58" s="262"/>
      <c r="F58" s="265"/>
      <c r="G58" s="268"/>
      <c r="H58" s="282"/>
      <c r="I58" s="133" t="s">
        <v>3029</v>
      </c>
      <c r="J58" s="134">
        <f t="shared" ref="J58:R58" ca="1" si="172">J54-J57</f>
        <v>0</v>
      </c>
      <c r="K58" s="134">
        <f t="shared" ca="1" si="172"/>
        <v>0</v>
      </c>
      <c r="L58" s="134">
        <f t="shared" ca="1" si="172"/>
        <v>0</v>
      </c>
      <c r="M58" s="134">
        <f t="shared" ca="1" si="172"/>
        <v>0</v>
      </c>
      <c r="N58" s="134">
        <f t="shared" ca="1" si="172"/>
        <v>0</v>
      </c>
      <c r="O58" s="134">
        <f t="shared" ca="1" si="172"/>
        <v>0</v>
      </c>
      <c r="P58" s="134">
        <f t="shared" ca="1" si="172"/>
        <v>0</v>
      </c>
      <c r="Q58" s="134">
        <f t="shared" ca="1" si="172"/>
        <v>0</v>
      </c>
      <c r="R58" s="134">
        <f t="shared" ca="1" si="172"/>
        <v>0</v>
      </c>
      <c r="S58" s="134">
        <f t="shared" ref="S58" ca="1" si="173">S54--S57</f>
        <v>0</v>
      </c>
      <c r="T58" s="139">
        <f ca="1">T54-T57</f>
        <v>0</v>
      </c>
      <c r="U58" s="250"/>
      <c r="V58" s="253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54" t="s">
        <v>3165</v>
      </c>
      <c r="D60" s="257" t="s">
        <v>3163</v>
      </c>
      <c r="E60" s="260" t="s">
        <v>3166</v>
      </c>
      <c r="F60" s="263">
        <v>46235</v>
      </c>
      <c r="G60" s="266"/>
      <c r="H60" s="269" t="s">
        <v>1875</v>
      </c>
      <c r="I60" s="127" t="s">
        <v>3031</v>
      </c>
      <c r="J60" s="128">
        <f ca="1">SUMIF(PERFORMANCE!$N:$N,W60,PERFORMANCE!$G:$G)/1000</f>
        <v>0</v>
      </c>
      <c r="K60" s="128">
        <f ca="1">SUMIF(PERFORMANCE!$N:$N,X60,PERFORMANCE!$G:$G)/1000</f>
        <v>0</v>
      </c>
      <c r="L60" s="128">
        <f ca="1">SUMIF(PERFORMANCE!$N:$N,Y60,PERFORMANCE!$G:$G)/1000</f>
        <v>0</v>
      </c>
      <c r="M60" s="128">
        <f ca="1">SUMIF(PERFORMANCE!$N:$N,Z60,PERFORMANCE!$G:$G)/1000</f>
        <v>0</v>
      </c>
      <c r="N60" s="128">
        <f ca="1">SUMIF(PERFORMANCE!$N:$N,AA60,PERFORMANCE!$G:$G)/1000</f>
        <v>9.7199999999999995E-2</v>
      </c>
      <c r="O60" s="128">
        <f ca="1">SUMIF(PERFORMANCE!$N:$N,AB60,PERFORMANCE!$G:$G)/1000</f>
        <v>0</v>
      </c>
      <c r="P60" s="128">
        <f ca="1">SUMIF(PERFORMANCE!$N:$N,AC60,PERFORMANCE!$G:$G)/1000</f>
        <v>0</v>
      </c>
      <c r="Q60" s="128">
        <f ca="1">SUMIF(PERFORMANCE!$N:$N,AD60,PERFORMANCE!$G:$G)/1000</f>
        <v>0</v>
      </c>
      <c r="R60" s="128">
        <f ca="1">SUMIF(PERFORMANCE!$N:$N,AE60,PERFORMANCE!$G:$G)/1000</f>
        <v>0</v>
      </c>
      <c r="S60" s="128">
        <f ca="1">SUMIF(PERFORMANCE!$N:$N,AF60,PERFORMANCE!$G:$G)/1000</f>
        <v>0</v>
      </c>
      <c r="T60" s="137">
        <f ca="1">SUM(J60:R60)</f>
        <v>9.7199999999999995E-2</v>
      </c>
      <c r="U60" s="248">
        <v>0</v>
      </c>
      <c r="V60" s="251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55"/>
      <c r="D61" s="258"/>
      <c r="E61" s="261"/>
      <c r="F61" s="264"/>
      <c r="G61" s="267"/>
      <c r="H61" s="270"/>
      <c r="I61" s="129" t="s">
        <v>3028</v>
      </c>
      <c r="J61" s="130">
        <f t="shared" ref="J61" ca="1" si="185">J60-J62</f>
        <v>0</v>
      </c>
      <c r="K61" s="130">
        <f t="shared" ref="K61" ca="1" si="186">K60-K62</f>
        <v>0</v>
      </c>
      <c r="L61" s="130">
        <f t="shared" ref="L61" ca="1" si="187">L60-L62</f>
        <v>0</v>
      </c>
      <c r="M61" s="130">
        <f t="shared" ref="M61" ca="1" si="188">M60-M62</f>
        <v>0</v>
      </c>
      <c r="N61" s="130">
        <f ca="1">N60-N62</f>
        <v>9.7199999999999995E-2</v>
      </c>
      <c r="O61" s="130">
        <f t="shared" ref="O61" ca="1" si="189">O60-O62</f>
        <v>0</v>
      </c>
      <c r="P61" s="130">
        <f t="shared" ref="P61" ca="1" si="190">P60-P62</f>
        <v>0</v>
      </c>
      <c r="Q61" s="130">
        <f t="shared" ref="Q61" ca="1" si="191">Q60-Q62</f>
        <v>0</v>
      </c>
      <c r="R61" s="130">
        <f t="shared" ref="R61" ca="1" si="192">R60-R62</f>
        <v>0</v>
      </c>
      <c r="S61" s="130">
        <f t="shared" ref="S61" ca="1" si="193">S60-S62</f>
        <v>0</v>
      </c>
      <c r="T61" s="138">
        <f t="shared" ref="T61" ca="1" si="194">T60-T62</f>
        <v>9.7199999999999995E-2</v>
      </c>
      <c r="U61" s="249"/>
      <c r="V61" s="252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55"/>
      <c r="D62" s="258"/>
      <c r="E62" s="261"/>
      <c r="F62" s="264"/>
      <c r="G62" s="267"/>
      <c r="H62" s="270"/>
      <c r="I62" s="129" t="s">
        <v>3030</v>
      </c>
      <c r="J62" s="131">
        <f ca="1">SUMIF(PERFORMANCE!$N:$N,W60,PERFORMANCE!$Q:$Q)/1000</f>
        <v>0</v>
      </c>
      <c r="K62" s="131">
        <f ca="1">SUMIF(PERFORMANCE!$N:$N,X60,PERFORMANCE!$Q:$Q)/1000</f>
        <v>0</v>
      </c>
      <c r="L62" s="131">
        <f ca="1">SUMIF(PERFORMANCE!$N:$N,Y60,PERFORMANCE!$Q:$Q)/1000</f>
        <v>0</v>
      </c>
      <c r="M62" s="131">
        <f ca="1">SUMIF(PERFORMANCE!$N:$N,Z60,PERFORMANCE!$Q:$Q)/1000</f>
        <v>0</v>
      </c>
      <c r="N62" s="131">
        <f ca="1">SUMIF(PERFORMANCE!$N:$N,AA60,PERFORMANCE!$Q:$Q)/1000</f>
        <v>0</v>
      </c>
      <c r="O62" s="131">
        <f ca="1">SUMIF(PERFORMANCE!$N:$N,AB60,PERFORMANCE!$Q:$Q)/1000</f>
        <v>0</v>
      </c>
      <c r="P62" s="131">
        <f ca="1">SUMIF(PERFORMANCE!$N:$N,AC60,PERFORMANCE!$Q:$Q)/1000</f>
        <v>0</v>
      </c>
      <c r="Q62" s="131">
        <f ca="1">SUMIF(PERFORMANCE!$N:$N,AD60,PERFORMANCE!$Q:$Q)/1000</f>
        <v>0</v>
      </c>
      <c r="R62" s="131">
        <f ca="1">SUMIF(PERFORMANCE!$N:$N,AE60,PERFORMANCE!$Q:$Q)/1000</f>
        <v>0</v>
      </c>
      <c r="S62" s="131">
        <f ca="1">SUMIF(PERFORMANCE!$N:$N,AF60,PERFORMANCE!$Q:$Q)/1000</f>
        <v>0</v>
      </c>
      <c r="T62" s="138">
        <f t="shared" ref="T62" ca="1" si="195">SUM(J62:R62)</f>
        <v>0</v>
      </c>
      <c r="U62" s="249"/>
      <c r="V62" s="252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55"/>
      <c r="D63" s="258"/>
      <c r="E63" s="261"/>
      <c r="F63" s="264"/>
      <c r="G63" s="267"/>
      <c r="H63" s="270"/>
      <c r="I63" s="132" t="s">
        <v>315</v>
      </c>
      <c r="J63" s="131">
        <f ca="1">SUMIF(PERFORMANCE!$N:$N,MACRO!W60,PERFORMANCE!$R:$R)/1000</f>
        <v>0</v>
      </c>
      <c r="K63" s="131">
        <f ca="1">SUMIF(PERFORMANCE!$N:$N,MACRO!X60,PERFORMANCE!$R:$R)/1000</f>
        <v>0</v>
      </c>
      <c r="L63" s="131">
        <f ca="1">SUMIF(PERFORMANCE!$N:$N,MACRO!Y60,PERFORMANCE!$R:$R)/1000</f>
        <v>0</v>
      </c>
      <c r="M63" s="131">
        <f ca="1">SUMIF(PERFORMANCE!$N:$N,MACRO!Z60,PERFORMANCE!$R:$R)/1000</f>
        <v>0</v>
      </c>
      <c r="N63" s="131">
        <f ca="1">SUMIF(PERFORMANCE!$N:$N,MACRO!AA60,PERFORMANCE!$R:$R)/1000</f>
        <v>9.7199999999999995E-2</v>
      </c>
      <c r="O63" s="131">
        <f ca="1">SUMIF(PERFORMANCE!$N:$N,MACRO!AB60,PERFORMANCE!$R:$R)/1000</f>
        <v>0</v>
      </c>
      <c r="P63" s="131">
        <f ca="1">SUMIF(PERFORMANCE!$N:$N,MACRO!AC60,PERFORMANCE!$R:$R)/1000</f>
        <v>0</v>
      </c>
      <c r="Q63" s="131">
        <f ca="1">SUMIF(PERFORMANCE!$N:$N,MACRO!AD60,PERFORMANCE!$R:$R)/1000</f>
        <v>0</v>
      </c>
      <c r="R63" s="131">
        <f ca="1">SUMIF(PERFORMANCE!$N:$N,MACRO!AE60,PERFORMANCE!$R:$R)/1000</f>
        <v>0</v>
      </c>
      <c r="S63" s="131">
        <f>SUMIF(PERFORMANCE!W:W,AF60,PERFORMANCE!T:T)/1000</f>
        <v>0</v>
      </c>
      <c r="T63" s="138">
        <f ca="1">SUM(J63:R63)</f>
        <v>9.7199999999999995E-2</v>
      </c>
      <c r="U63" s="249"/>
      <c r="V63" s="252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56"/>
      <c r="D64" s="259"/>
      <c r="E64" s="262"/>
      <c r="F64" s="265"/>
      <c r="G64" s="268"/>
      <c r="H64" s="271"/>
      <c r="I64" s="133" t="s">
        <v>3029</v>
      </c>
      <c r="J64" s="134">
        <f t="shared" ref="J64:R64" ca="1" si="196">J60-J63</f>
        <v>0</v>
      </c>
      <c r="K64" s="134">
        <f t="shared" ca="1" si="196"/>
        <v>0</v>
      </c>
      <c r="L64" s="134">
        <f t="shared" ca="1" si="196"/>
        <v>0</v>
      </c>
      <c r="M64" s="134">
        <f t="shared" ca="1" si="196"/>
        <v>0</v>
      </c>
      <c r="N64" s="134">
        <f t="shared" ca="1" si="196"/>
        <v>0</v>
      </c>
      <c r="O64" s="134">
        <f t="shared" ca="1" si="196"/>
        <v>0</v>
      </c>
      <c r="P64" s="134">
        <f t="shared" ca="1" si="196"/>
        <v>0</v>
      </c>
      <c r="Q64" s="134">
        <f t="shared" ca="1" si="196"/>
        <v>0</v>
      </c>
      <c r="R64" s="134">
        <f t="shared" ca="1" si="196"/>
        <v>0</v>
      </c>
      <c r="S64" s="134">
        <f t="shared" ref="S64" ca="1" si="197">S60--S63</f>
        <v>0</v>
      </c>
      <c r="T64" s="139">
        <f ca="1">T60-T63</f>
        <v>0</v>
      </c>
      <c r="U64" s="250"/>
      <c r="V64" s="253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54" t="s">
        <v>4307</v>
      </c>
      <c r="D66" s="257" t="s">
        <v>4299</v>
      </c>
      <c r="E66" s="260" t="s">
        <v>4308</v>
      </c>
      <c r="F66" s="263">
        <v>46233</v>
      </c>
      <c r="G66" s="266"/>
      <c r="H66" s="269" t="s">
        <v>1875</v>
      </c>
      <c r="I66" s="127" t="s">
        <v>3031</v>
      </c>
      <c r="J66" s="128">
        <f ca="1">SUMIF(PERFORMANCE!$N:$N,W66,PERFORMANCE!$G:$G)/1000</f>
        <v>0</v>
      </c>
      <c r="K66" s="128">
        <f ca="1">SUMIF(PERFORMANCE!$N:$N,X66,PERFORMANCE!$G:$G)/1000</f>
        <v>0</v>
      </c>
      <c r="L66" s="128">
        <f ca="1">SUMIF(PERFORMANCE!$N:$N,Y66,PERFORMANCE!$G:$G)/1000</f>
        <v>0</v>
      </c>
      <c r="M66" s="128">
        <f ca="1">SUMIF(PERFORMANCE!$N:$N,Z66,PERFORMANCE!$G:$G)/1000</f>
        <v>0.13500000000000001</v>
      </c>
      <c r="N66" s="128">
        <f ca="1">SUMIF(PERFORMANCE!$N:$N,AA66,PERFORMANCE!$G:$G)/1000</f>
        <v>0</v>
      </c>
      <c r="O66" s="128">
        <f ca="1">SUMIF(PERFORMANCE!$N:$N,AB66,PERFORMANCE!$G:$G)/1000</f>
        <v>0</v>
      </c>
      <c r="P66" s="128">
        <f ca="1">SUMIF(PERFORMANCE!$N:$N,AC66,PERFORMANCE!$G:$G)/1000</f>
        <v>0</v>
      </c>
      <c r="Q66" s="128">
        <f ca="1">SUMIF(PERFORMANCE!$N:$N,AD66,PERFORMANCE!$G:$G)/1000</f>
        <v>0</v>
      </c>
      <c r="R66" s="128">
        <f ca="1">SUMIF(PERFORMANCE!$N:$N,AE66,PERFORMANCE!$G:$G)/1000</f>
        <v>0</v>
      </c>
      <c r="S66" s="128">
        <f ca="1">SUMIF(PERFORMANCE!$N:$N,AF66,PERFORMANCE!$G:$G)/1000</f>
        <v>0</v>
      </c>
      <c r="T66" s="137">
        <f ca="1">SUM(J66:R66)</f>
        <v>0.13500000000000001</v>
      </c>
      <c r="U66" s="248">
        <v>0</v>
      </c>
      <c r="V66" s="251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55"/>
      <c r="D67" s="258"/>
      <c r="E67" s="261"/>
      <c r="F67" s="264"/>
      <c r="G67" s="267"/>
      <c r="H67" s="270"/>
      <c r="I67" s="129" t="s">
        <v>3028</v>
      </c>
      <c r="J67" s="130">
        <f t="shared" ref="J67:M67" ca="1" si="209">J66-J68</f>
        <v>0</v>
      </c>
      <c r="K67" s="130">
        <f t="shared" ca="1" si="209"/>
        <v>0</v>
      </c>
      <c r="L67" s="130">
        <f t="shared" ca="1" si="209"/>
        <v>0</v>
      </c>
      <c r="M67" s="130">
        <f t="shared" ca="1" si="209"/>
        <v>6.7500000000000004E-2</v>
      </c>
      <c r="N67" s="130">
        <f ca="1">N66-N68</f>
        <v>0</v>
      </c>
      <c r="O67" s="130">
        <f t="shared" ref="O67:T67" ca="1" si="210">O66-O68</f>
        <v>0</v>
      </c>
      <c r="P67" s="130">
        <f t="shared" ca="1" si="210"/>
        <v>0</v>
      </c>
      <c r="Q67" s="130">
        <f t="shared" ca="1" si="210"/>
        <v>0</v>
      </c>
      <c r="R67" s="130">
        <f t="shared" ca="1" si="210"/>
        <v>0</v>
      </c>
      <c r="S67" s="130">
        <f t="shared" ca="1" si="210"/>
        <v>0</v>
      </c>
      <c r="T67" s="138">
        <f t="shared" ca="1" si="210"/>
        <v>6.7500000000000004E-2</v>
      </c>
      <c r="U67" s="249"/>
      <c r="V67" s="252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55"/>
      <c r="D68" s="258"/>
      <c r="E68" s="261"/>
      <c r="F68" s="264"/>
      <c r="G68" s="267"/>
      <c r="H68" s="270"/>
      <c r="I68" s="129" t="s">
        <v>3030</v>
      </c>
      <c r="J68" s="131">
        <f ca="1">SUMIF(PERFORMANCE!$N:$N,W66,PERFORMANCE!$Q:$Q)/1000</f>
        <v>0</v>
      </c>
      <c r="K68" s="131">
        <f ca="1">SUMIF(PERFORMANCE!$N:$N,X66,PERFORMANCE!$Q:$Q)/1000</f>
        <v>0</v>
      </c>
      <c r="L68" s="131">
        <f ca="1">SUMIF(PERFORMANCE!$N:$N,Y66,PERFORMANCE!$Q:$Q)/1000</f>
        <v>0</v>
      </c>
      <c r="M68" s="131">
        <f ca="1">SUMIF(PERFORMANCE!$N:$N,Z66,PERFORMANCE!$Q:$Q)/1000</f>
        <v>6.7500000000000004E-2</v>
      </c>
      <c r="N68" s="131">
        <f ca="1">SUMIF(PERFORMANCE!$N:$N,AA66,PERFORMANCE!$Q:$Q)/1000</f>
        <v>0</v>
      </c>
      <c r="O68" s="131">
        <f ca="1">SUMIF(PERFORMANCE!$N:$N,AB66,PERFORMANCE!$Q:$Q)/1000</f>
        <v>0</v>
      </c>
      <c r="P68" s="131">
        <f ca="1">SUMIF(PERFORMANCE!$N:$N,AC66,PERFORMANCE!$Q:$Q)/1000</f>
        <v>0</v>
      </c>
      <c r="Q68" s="131">
        <f ca="1">SUMIF(PERFORMANCE!$N:$N,AD66,PERFORMANCE!$Q:$Q)/1000</f>
        <v>0</v>
      </c>
      <c r="R68" s="131">
        <f ca="1">SUMIF(PERFORMANCE!$N:$N,AE66,PERFORMANCE!$Q:$Q)/1000</f>
        <v>0</v>
      </c>
      <c r="S68" s="131">
        <f ca="1">SUMIF(PERFORMANCE!$N:$N,AF66,PERFORMANCE!$Q:$Q)/1000</f>
        <v>0</v>
      </c>
      <c r="T68" s="138">
        <f t="shared" ref="T68" ca="1" si="211">SUM(J68:R68)</f>
        <v>6.7500000000000004E-2</v>
      </c>
      <c r="U68" s="249"/>
      <c r="V68" s="252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55"/>
      <c r="D69" s="258"/>
      <c r="E69" s="261"/>
      <c r="F69" s="264"/>
      <c r="G69" s="267"/>
      <c r="H69" s="270"/>
      <c r="I69" s="132" t="s">
        <v>315</v>
      </c>
      <c r="J69" s="131">
        <f ca="1">SUMIF(PERFORMANCE!$N:$N,MACRO!W66,PERFORMANCE!$R:$R)/1000</f>
        <v>0</v>
      </c>
      <c r="K69" s="131">
        <f ca="1">SUMIF(PERFORMANCE!$N:$N,MACRO!X66,PERFORMANCE!$R:$R)/1000</f>
        <v>0</v>
      </c>
      <c r="L69" s="131">
        <f ca="1">SUMIF(PERFORMANCE!$N:$N,MACRO!Y66,PERFORMANCE!$R:$R)/1000</f>
        <v>0</v>
      </c>
      <c r="M69" s="131">
        <f ca="1">SUMIF(PERFORMANCE!$N:$N,MACRO!Z66,PERFORMANCE!$R:$R)/1000</f>
        <v>0</v>
      </c>
      <c r="N69" s="131">
        <f ca="1">SUMIF(PERFORMANCE!$N:$N,MACRO!AA66,PERFORMANCE!$R:$R)/1000</f>
        <v>0</v>
      </c>
      <c r="O69" s="131">
        <f ca="1">SUMIF(PERFORMANCE!$N:$N,MACRO!AB66,PERFORMANCE!$R:$R)/1000</f>
        <v>0</v>
      </c>
      <c r="P69" s="131">
        <f ca="1">SUMIF(PERFORMANCE!$N:$N,MACRO!AC66,PERFORMANCE!$R:$R)/1000</f>
        <v>0</v>
      </c>
      <c r="Q69" s="131">
        <f ca="1">SUMIF(PERFORMANCE!$N:$N,MACRO!AD66,PERFORMANCE!$R:$R)/1000</f>
        <v>0</v>
      </c>
      <c r="R69" s="131">
        <f ca="1">SUMIF(PERFORMANCE!$N:$N,MACRO!AE66,PERFORMANCE!$R:$R)/1000</f>
        <v>0</v>
      </c>
      <c r="S69" s="131">
        <f>SUMIF(PERFORMANCE!W:W,AF66,PERFORMANCE!T:T)/1000</f>
        <v>0</v>
      </c>
      <c r="T69" s="138">
        <f ca="1">SUM(J69:R69)</f>
        <v>0</v>
      </c>
      <c r="U69" s="249"/>
      <c r="V69" s="252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56"/>
      <c r="D70" s="259"/>
      <c r="E70" s="262"/>
      <c r="F70" s="265"/>
      <c r="G70" s="268"/>
      <c r="H70" s="271"/>
      <c r="I70" s="133" t="s">
        <v>3029</v>
      </c>
      <c r="J70" s="134">
        <f t="shared" ref="J70:R70" ca="1" si="212">J66-J69</f>
        <v>0</v>
      </c>
      <c r="K70" s="134">
        <f t="shared" ca="1" si="212"/>
        <v>0</v>
      </c>
      <c r="L70" s="134">
        <f t="shared" ca="1" si="212"/>
        <v>0</v>
      </c>
      <c r="M70" s="134">
        <f t="shared" ca="1" si="212"/>
        <v>0.13500000000000001</v>
      </c>
      <c r="N70" s="134">
        <f t="shared" ca="1" si="212"/>
        <v>0</v>
      </c>
      <c r="O70" s="134">
        <f t="shared" ca="1" si="212"/>
        <v>0</v>
      </c>
      <c r="P70" s="134">
        <f t="shared" ca="1" si="212"/>
        <v>0</v>
      </c>
      <c r="Q70" s="134">
        <f t="shared" ca="1" si="212"/>
        <v>0</v>
      </c>
      <c r="R70" s="134">
        <f t="shared" ca="1" si="212"/>
        <v>0</v>
      </c>
      <c r="S70" s="134">
        <f t="shared" ref="S70" ca="1" si="213">S66--S69</f>
        <v>0</v>
      </c>
      <c r="T70" s="139">
        <f ca="1">T66-T69</f>
        <v>0.13500000000000001</v>
      </c>
      <c r="U70" s="250"/>
      <c r="V70" s="253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54" t="s">
        <v>3165</v>
      </c>
      <c r="D72" s="257" t="s">
        <v>4306</v>
      </c>
      <c r="E72" s="260" t="s">
        <v>4309</v>
      </c>
      <c r="F72" s="263">
        <v>46280</v>
      </c>
      <c r="G72" s="266"/>
      <c r="H72" s="269" t="s">
        <v>1875</v>
      </c>
      <c r="I72" s="127" t="s">
        <v>3031</v>
      </c>
      <c r="J72" s="128">
        <f ca="1">SUMIF(PERFORMANCE!$N:$N,W72,PERFORMANCE!$G:$G)/1000</f>
        <v>0</v>
      </c>
      <c r="K72" s="128">
        <f ca="1">SUMIF(PERFORMANCE!$N:$N,X72,PERFORMANCE!$G:$G)/1000</f>
        <v>0.1196</v>
      </c>
      <c r="L72" s="128">
        <f ca="1">SUMIF(PERFORMANCE!$N:$N,Y72,PERFORMANCE!$G:$G)/1000</f>
        <v>0</v>
      </c>
      <c r="M72" s="128">
        <f ca="1">SUMIF(PERFORMANCE!$N:$N,Z72,PERFORMANCE!$G:$G)/1000</f>
        <v>0</v>
      </c>
      <c r="N72" s="128">
        <f ca="1">SUMIF(PERFORMANCE!$N:$N,AA72,PERFORMANCE!$G:$G)/1000</f>
        <v>0</v>
      </c>
      <c r="O72" s="128">
        <f ca="1">SUMIF(PERFORMANCE!$N:$N,AB72,PERFORMANCE!$G:$G)/1000</f>
        <v>0</v>
      </c>
      <c r="P72" s="128">
        <f ca="1">SUMIF(PERFORMANCE!$N:$N,AC72,PERFORMANCE!$G:$G)/1000</f>
        <v>0</v>
      </c>
      <c r="Q72" s="128">
        <f ca="1">SUMIF(PERFORMANCE!$N:$N,AD72,PERFORMANCE!$G:$G)/1000</f>
        <v>0</v>
      </c>
      <c r="R72" s="128">
        <f ca="1">SUMIF(PERFORMANCE!$N:$N,AE72,PERFORMANCE!$G:$G)/1000</f>
        <v>0</v>
      </c>
      <c r="S72" s="128">
        <f ca="1">SUMIF(PERFORMANCE!$N:$N,AF72,PERFORMANCE!$G:$G)/1000</f>
        <v>0</v>
      </c>
      <c r="T72" s="137">
        <f ca="1">SUM(J72:R72)</f>
        <v>0.1196</v>
      </c>
      <c r="U72" s="248">
        <v>0</v>
      </c>
      <c r="V72" s="251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55"/>
      <c r="D73" s="258"/>
      <c r="E73" s="261"/>
      <c r="F73" s="264"/>
      <c r="G73" s="267"/>
      <c r="H73" s="270"/>
      <c r="I73" s="129" t="s">
        <v>3028</v>
      </c>
      <c r="J73" s="130">
        <f t="shared" ref="J73:M73" ca="1" si="225">J72-J74</f>
        <v>0</v>
      </c>
      <c r="K73" s="130">
        <f t="shared" ca="1" si="225"/>
        <v>0.1196</v>
      </c>
      <c r="L73" s="130">
        <f t="shared" ca="1" si="225"/>
        <v>0</v>
      </c>
      <c r="M73" s="130">
        <f t="shared" ca="1" si="225"/>
        <v>0</v>
      </c>
      <c r="N73" s="130">
        <f ca="1">N72-N74</f>
        <v>0</v>
      </c>
      <c r="O73" s="130">
        <f t="shared" ref="O73:T73" ca="1" si="226">O72-O74</f>
        <v>0</v>
      </c>
      <c r="P73" s="130">
        <f t="shared" ca="1" si="226"/>
        <v>0</v>
      </c>
      <c r="Q73" s="130">
        <f t="shared" ca="1" si="226"/>
        <v>0</v>
      </c>
      <c r="R73" s="130">
        <f t="shared" ca="1" si="226"/>
        <v>0</v>
      </c>
      <c r="S73" s="130">
        <f t="shared" ca="1" si="226"/>
        <v>0</v>
      </c>
      <c r="T73" s="138">
        <f t="shared" ca="1" si="226"/>
        <v>0.1196</v>
      </c>
      <c r="U73" s="249"/>
      <c r="V73" s="252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55"/>
      <c r="D74" s="258"/>
      <c r="E74" s="261"/>
      <c r="F74" s="264"/>
      <c r="G74" s="267"/>
      <c r="H74" s="270"/>
      <c r="I74" s="129" t="s">
        <v>3030</v>
      </c>
      <c r="J74" s="131">
        <f ca="1">SUMIF(PERFORMANCE!$N:$N,W72,PERFORMANCE!$Q:$Q)/1000</f>
        <v>0</v>
      </c>
      <c r="K74" s="131">
        <f ca="1">SUMIF(PERFORMANCE!$N:$N,X72,PERFORMANCE!$Q:$Q)/1000</f>
        <v>0</v>
      </c>
      <c r="L74" s="131">
        <f ca="1">SUMIF(PERFORMANCE!$N:$N,Y72,PERFORMANCE!$Q:$Q)/1000</f>
        <v>0</v>
      </c>
      <c r="M74" s="131">
        <f ca="1">SUMIF(PERFORMANCE!$N:$N,Z72,PERFORMANCE!$Q:$Q)/1000</f>
        <v>0</v>
      </c>
      <c r="N74" s="131">
        <f ca="1">SUMIF(PERFORMANCE!$N:$N,AA72,PERFORMANCE!$Q:$Q)/1000</f>
        <v>0</v>
      </c>
      <c r="O74" s="131">
        <f ca="1">SUMIF(PERFORMANCE!$N:$N,AB72,PERFORMANCE!$Q:$Q)/1000</f>
        <v>0</v>
      </c>
      <c r="P74" s="131">
        <f ca="1">SUMIF(PERFORMANCE!$N:$N,AC72,PERFORMANCE!$Q:$Q)/1000</f>
        <v>0</v>
      </c>
      <c r="Q74" s="131">
        <f ca="1">SUMIF(PERFORMANCE!$N:$N,AD72,PERFORMANCE!$Q:$Q)/1000</f>
        <v>0</v>
      </c>
      <c r="R74" s="131">
        <f ca="1">SUMIF(PERFORMANCE!$N:$N,AE72,PERFORMANCE!$Q:$Q)/1000</f>
        <v>0</v>
      </c>
      <c r="S74" s="131">
        <f ca="1">SUMIF(PERFORMANCE!$N:$N,AF72,PERFORMANCE!$Q:$Q)/1000</f>
        <v>0</v>
      </c>
      <c r="T74" s="138">
        <f t="shared" ref="T74" ca="1" si="227">SUM(J74:R74)</f>
        <v>0</v>
      </c>
      <c r="U74" s="249"/>
      <c r="V74" s="252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55"/>
      <c r="D75" s="258"/>
      <c r="E75" s="261"/>
      <c r="F75" s="264"/>
      <c r="G75" s="267"/>
      <c r="H75" s="270"/>
      <c r="I75" s="132" t="s">
        <v>315</v>
      </c>
      <c r="J75" s="131">
        <f ca="1">SUMIF(PERFORMANCE!$N:$N,MACRO!W72,PERFORMANCE!$R:$R)/1000</f>
        <v>0</v>
      </c>
      <c r="K75" s="131">
        <f ca="1">SUMIF(PERFORMANCE!$N:$N,MACRO!X72,PERFORMANCE!$R:$R)/1000</f>
        <v>0</v>
      </c>
      <c r="L75" s="131">
        <f ca="1">SUMIF(PERFORMANCE!$N:$N,MACRO!Y72,PERFORMANCE!$R:$R)/1000</f>
        <v>0</v>
      </c>
      <c r="M75" s="131">
        <f ca="1">SUMIF(PERFORMANCE!$N:$N,MACRO!Z72,PERFORMANCE!$R:$R)/1000</f>
        <v>0</v>
      </c>
      <c r="N75" s="131">
        <f ca="1">SUMIF(PERFORMANCE!$N:$N,MACRO!AA72,PERFORMANCE!$R:$R)/1000</f>
        <v>0</v>
      </c>
      <c r="O75" s="131">
        <f ca="1">SUMIF(PERFORMANCE!$N:$N,MACRO!AB72,PERFORMANCE!$R:$R)/1000</f>
        <v>0</v>
      </c>
      <c r="P75" s="131">
        <f ca="1">SUMIF(PERFORMANCE!$N:$N,MACRO!AC72,PERFORMANCE!$R:$R)/1000</f>
        <v>0</v>
      </c>
      <c r="Q75" s="131">
        <f ca="1">SUMIF(PERFORMANCE!$N:$N,MACRO!AD72,PERFORMANCE!$R:$R)/1000</f>
        <v>0</v>
      </c>
      <c r="R75" s="131">
        <f ca="1">SUMIF(PERFORMANCE!$N:$N,MACRO!AE72,PERFORMANCE!$R:$R)/1000</f>
        <v>0</v>
      </c>
      <c r="S75" s="131">
        <f>SUMIF(PERFORMANCE!W:W,AF72,PERFORMANCE!T:T)/1000</f>
        <v>0</v>
      </c>
      <c r="T75" s="138">
        <f ca="1">SUM(J75:R75)</f>
        <v>0</v>
      </c>
      <c r="U75" s="249"/>
      <c r="V75" s="252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56"/>
      <c r="D76" s="259"/>
      <c r="E76" s="262"/>
      <c r="F76" s="265"/>
      <c r="G76" s="268"/>
      <c r="H76" s="271"/>
      <c r="I76" s="133" t="s">
        <v>3029</v>
      </c>
      <c r="J76" s="134">
        <f t="shared" ref="J76:R76" ca="1" si="228">J72-J75</f>
        <v>0</v>
      </c>
      <c r="K76" s="134">
        <f t="shared" ca="1" si="228"/>
        <v>0.1196</v>
      </c>
      <c r="L76" s="134">
        <f t="shared" ca="1" si="228"/>
        <v>0</v>
      </c>
      <c r="M76" s="134">
        <f t="shared" ca="1" si="228"/>
        <v>0</v>
      </c>
      <c r="N76" s="134">
        <f t="shared" ca="1" si="228"/>
        <v>0</v>
      </c>
      <c r="O76" s="134">
        <f t="shared" ca="1" si="228"/>
        <v>0</v>
      </c>
      <c r="P76" s="134">
        <f t="shared" ca="1" si="228"/>
        <v>0</v>
      </c>
      <c r="Q76" s="134">
        <f t="shared" ca="1" si="228"/>
        <v>0</v>
      </c>
      <c r="R76" s="134">
        <f t="shared" ca="1" si="228"/>
        <v>0</v>
      </c>
      <c r="S76" s="134">
        <f t="shared" ref="S76" ca="1" si="229">S72--S75</f>
        <v>0</v>
      </c>
      <c r="T76" s="139">
        <f ca="1">T72-T75</f>
        <v>0.1196</v>
      </c>
      <c r="U76" s="250"/>
      <c r="V76" s="253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72" t="s">
        <v>326</v>
      </c>
      <c r="E79" s="274" t="s">
        <v>891</v>
      </c>
      <c r="F79" s="275"/>
      <c r="G79" s="275"/>
      <c r="H79" s="275"/>
      <c r="I79" s="275"/>
      <c r="J79" s="276"/>
      <c r="K79" s="277" t="s">
        <v>331</v>
      </c>
      <c r="L79" s="278"/>
      <c r="M79" s="278"/>
      <c r="N79" s="279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73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ca="1" si="230">SUMIF($I$5:$I$64,$D$81,J5:J64)</f>
        <v>25.185099999999998</v>
      </c>
      <c r="F81" s="98">
        <f t="shared" ca="1" si="230"/>
        <v>0.14360000000000001</v>
      </c>
      <c r="G81" s="98">
        <f t="shared" ca="1" si="230"/>
        <v>9.4238</v>
      </c>
      <c r="H81" s="98">
        <f t="shared" ca="1" si="230"/>
        <v>13.021599999999999</v>
      </c>
      <c r="I81" s="98">
        <f t="shared" ca="1" si="230"/>
        <v>12.824400000000001</v>
      </c>
      <c r="J81" s="98">
        <f t="shared" ca="1" si="230"/>
        <v>0</v>
      </c>
      <c r="K81" s="98">
        <f t="shared" ca="1" si="230"/>
        <v>37</v>
      </c>
      <c r="L81" s="98">
        <f t="shared" ca="1" si="230"/>
        <v>0</v>
      </c>
      <c r="M81" s="98">
        <f t="shared" ca="1" si="230"/>
        <v>0</v>
      </c>
      <c r="N81" s="140">
        <f ca="1">SUM(E81:M81)</f>
        <v>97.598500000000001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ca="1" si="232">E81-E85</f>
        <v>8.9472999999999985</v>
      </c>
      <c r="F83" s="141">
        <f t="shared" ca="1" si="232"/>
        <v>3.5999999999999921E-3</v>
      </c>
      <c r="G83" s="141">
        <f ca="1">G81-G85</f>
        <v>5.7237999999999998</v>
      </c>
      <c r="H83" s="141">
        <f ca="1">H81-H85</f>
        <v>10.351599999999999</v>
      </c>
      <c r="I83" s="141">
        <f t="shared" ref="I83:M83" ca="1" si="233">I81-I85</f>
        <v>10.814400000000001</v>
      </c>
      <c r="J83" s="141">
        <f t="shared" ca="1" si="233"/>
        <v>0</v>
      </c>
      <c r="K83" s="141">
        <f t="shared" ca="1" si="233"/>
        <v>0</v>
      </c>
      <c r="L83" s="141">
        <f t="shared" ca="1" si="233"/>
        <v>0</v>
      </c>
      <c r="M83" s="141">
        <f t="shared" ca="1" si="233"/>
        <v>0</v>
      </c>
      <c r="N83" s="140">
        <f ca="1">SUM(E83:M83)</f>
        <v>35.840699999999998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ca="1" si="234">SUMIF($I$5:$I$64,$D$85,J5:J64)</f>
        <v>16.2378</v>
      </c>
      <c r="F85" s="144">
        <f t="shared" ca="1" si="234"/>
        <v>0.14000000000000001</v>
      </c>
      <c r="G85" s="144">
        <f t="shared" ca="1" si="234"/>
        <v>3.7</v>
      </c>
      <c r="H85" s="144">
        <f t="shared" ca="1" si="234"/>
        <v>2.67</v>
      </c>
      <c r="I85" s="144">
        <f t="shared" ca="1" si="234"/>
        <v>2.0099999999999998</v>
      </c>
      <c r="J85" s="144">
        <f t="shared" ca="1" si="234"/>
        <v>0</v>
      </c>
      <c r="K85" s="144">
        <f t="shared" ca="1" si="234"/>
        <v>37</v>
      </c>
      <c r="L85" s="144">
        <f t="shared" ca="1" si="234"/>
        <v>0</v>
      </c>
      <c r="M85" s="144">
        <f t="shared" ca="1" si="234"/>
        <v>0</v>
      </c>
      <c r="N85" s="165">
        <f ca="1">SUM(E85:M85)</f>
        <v>61.757799999999996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ca="1" si="235">SUMIF($I$5:$I$64,$D$86,J5:J64)</f>
        <v>20.366199999999999</v>
      </c>
      <c r="F86" s="98">
        <f t="shared" ca="1" si="235"/>
        <v>0</v>
      </c>
      <c r="G86" s="98">
        <f t="shared" ca="1" si="235"/>
        <v>3.3136999999999999</v>
      </c>
      <c r="H86" s="98">
        <f t="shared" ca="1" si="235"/>
        <v>13.026599999999998</v>
      </c>
      <c r="I86" s="98">
        <f t="shared" ca="1" si="235"/>
        <v>12.686400000000001</v>
      </c>
      <c r="J86" s="98">
        <f t="shared" ca="1" si="235"/>
        <v>0</v>
      </c>
      <c r="K86" s="98">
        <f t="shared" ca="1" si="235"/>
        <v>32.17</v>
      </c>
      <c r="L86" s="98">
        <f t="shared" ca="1" si="235"/>
        <v>0</v>
      </c>
      <c r="M86" s="98">
        <f t="shared" ca="1" si="235"/>
        <v>0</v>
      </c>
      <c r="N86" s="165">
        <f ca="1">SUM(E86:M86)</f>
        <v>81.562899999999999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ca="1" si="236">SUMIF($I$5:$I$64,$D$87,J5:J64)</f>
        <v>4.4188999999999981</v>
      </c>
      <c r="F87" s="146">
        <f t="shared" ca="1" si="236"/>
        <v>0.14000000000000001</v>
      </c>
      <c r="G87" s="146">
        <f t="shared" ca="1" si="236"/>
        <v>6.1401000000000003</v>
      </c>
      <c r="H87" s="146">
        <f t="shared" ca="1" si="236"/>
        <v>0</v>
      </c>
      <c r="I87" s="146">
        <f t="shared" ca="1" si="236"/>
        <v>0</v>
      </c>
      <c r="J87" s="146">
        <f t="shared" ca="1" si="236"/>
        <v>0</v>
      </c>
      <c r="K87" s="146">
        <f t="shared" ca="1" si="236"/>
        <v>4.8299999999999983</v>
      </c>
      <c r="L87" s="146">
        <f t="shared" ca="1" si="236"/>
        <v>0</v>
      </c>
      <c r="M87" s="146">
        <f t="shared" ca="1" si="236"/>
        <v>0</v>
      </c>
      <c r="N87" s="147">
        <f ca="1">SUM(E87:M87)</f>
        <v>15.528999999999996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281"/>
  <sheetViews>
    <sheetView topLeftCell="D1" zoomScaleNormal="100" workbookViewId="0">
      <pane ySplit="1" topLeftCell="A5271" activePane="bottomLeft" state="frozen"/>
      <selection pane="bottomLeft" activeCell="D5279" sqref="D5279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 ca="1"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 ca="1"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 ca="1"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 ca="1"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 ca="1"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 ca="1"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 ca="1"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 ca="1"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 ca="1"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 ca="1"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 ca="1"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 ca="1"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 ca="1"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 ca="1"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 ca="1"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 ca="1"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 ca="1"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 ca="1"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 ca="1"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 ca="1"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 ca="1"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 ca="1"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 ca="1"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 ca="1"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 ca="1"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 ca="1"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 ca="1"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 ca="1"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 ca="1"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 ca="1"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 ca="1"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 ca="1"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 ca="1"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 ca="1"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 ca="1"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 ca="1"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 ca="1"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 ca="1"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 ca="1"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 ca="1"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 ca="1"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 ca="1"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 ca="1"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 ca="1"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 ca="1"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 ca="1"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 ca="1"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 ca="1"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 ca="1"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 ca="1"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 ca="1"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 ca="1"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 ca="1"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 ca="1"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 ca="1"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 ca="1"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 ca="1"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 ca="1"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 ca="1"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 ca="1"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 ca="1"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 ca="1"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 ca="1"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 ca="1"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 ca="1"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 ca="1"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 ca="1"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 ca="1"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 ca="1"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 ca="1"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 ca="1"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 ca="1"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 ca="1"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 ca="1"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 ca="1"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 ca="1"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 ca="1"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 ca="1"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 ca="1"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 ca="1"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 ca="1"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 ca="1"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 ca="1"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 ca="1"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 ca="1"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 ca="1"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 ca="1"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 ca="1"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 ca="1"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 ca="1"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 ca="1"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 ca="1"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 ca="1"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 ca="1"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 ca="1"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 ca="1"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 ca="1"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 ca="1"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 ca="1"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 ca="1"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 ca="1"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 ca="1"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 ca="1"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 ca="1"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 ca="1"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 ca="1"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 ca="1"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 ca="1"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 ca="1"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 ca="1"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 ca="1"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 ca="1"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 ca="1"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 ca="1"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 ca="1"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 ca="1"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 ca="1"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 ca="1"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 ca="1"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 ca="1"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 ca="1"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 ca="1"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 ca="1"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 ca="1"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 ca="1"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 ca="1"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 ca="1"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 ca="1"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 ca="1"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 ca="1"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 ca="1"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 ca="1"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 ca="1"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 ca="1"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 ca="1"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 ca="1"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 ca="1"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 ca="1"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 ca="1"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 ca="1"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 ca="1"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 ca="1"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 ca="1"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 ca="1"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 ca="1"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 ca="1"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 ca="1"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 ca="1"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 ca="1"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 ca="1"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 ca="1"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 ca="1"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 ca="1"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 ca="1"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 ca="1"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 ca="1"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 ca="1"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 ca="1"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 ca="1"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 ca="1"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 ca="1"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 ca="1"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 ca="1"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 ca="1"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 ca="1"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 ca="1"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 ca="1"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 ca="1"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 ca="1"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 ca="1">Tabela1[[#This Row],[PESO UNI]]*Tabela1[[#This Row],[QTE]]</f>
        <v>142.19999999999999</v>
      </c>
      <c r="L171" s="42">
        <v>1</v>
      </c>
      <c r="M171" s="43">
        <v>45905</v>
      </c>
      <c r="N171" s="1" t="e">
        <f ca="1"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 ca="1">Tabela1[[#This Row],[PESO UNI]]*Tabela1[[#This Row],[QTE]]</f>
        <v>295.39999999999998</v>
      </c>
      <c r="L172" s="42">
        <v>1</v>
      </c>
      <c r="M172" s="43">
        <v>45905</v>
      </c>
      <c r="N172" s="1" t="e">
        <f ca="1"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 ca="1">Tabela1[[#This Row],[PESO UNI]]*Tabela1[[#This Row],[QTE]]</f>
        <v>950.5</v>
      </c>
      <c r="L173" s="42">
        <v>1</v>
      </c>
      <c r="M173" s="43">
        <v>45905</v>
      </c>
      <c r="N173" s="1" t="e">
        <f ca="1"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 ca="1">Tabela1[[#This Row],[PESO UNI]]*Tabela1[[#This Row],[QTE]]</f>
        <v>950.5</v>
      </c>
      <c r="L174" s="42">
        <v>1</v>
      </c>
      <c r="M174" s="43">
        <v>45905</v>
      </c>
      <c r="N174" s="1" t="e">
        <f ca="1"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 ca="1"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 ca="1"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 ca="1"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 ca="1"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 ca="1"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 ca="1"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 ca="1"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 ca="1"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 ca="1"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 ca="1"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 ca="1"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 ca="1"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 ca="1"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 ca="1"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 ca="1"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 ca="1"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 ca="1"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 ca="1"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 ca="1"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 ca="1"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 ca="1"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 ca="1"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 ca="1"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 ca="1"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 ca="1"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 ca="1"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 ca="1"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 ca="1"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 ca="1"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 ca="1"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 ca="1"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 ca="1"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 ca="1"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 ca="1"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 ca="1"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 ca="1"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 ca="1"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 ca="1"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 ca="1"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 ca="1"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 ca="1"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 ca="1"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 ca="1"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 ca="1"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 ca="1"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 ca="1"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 ca="1"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 ca="1"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 ca="1"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 ca="1"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 ca="1"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 ca="1"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 ca="1"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 ca="1"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 ca="1"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 ca="1"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 ca="1"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 ca="1"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 ca="1"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 ca="1"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 ca="1"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 ca="1"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 ca="1"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 ca="1"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 ca="1"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 ca="1"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 ca="1"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 ca="1"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 ca="1"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 ca="1"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 ca="1"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 ca="1"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 ca="1"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 ca="1"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 ca="1"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 ca="1"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 ca="1"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 ca="1"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 ca="1"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 ca="1"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 ca="1"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 ca="1"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 ca="1"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 ca="1"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 ca="1"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 ca="1"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 ca="1"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 ca="1"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 ca="1"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 ca="1"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 ca="1"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 ca="1"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 ca="1"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 ca="1"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 ca="1"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 ca="1"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 ca="1"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 ca="1"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 ca="1"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 ca="1"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 ca="1"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 ca="1"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 ca="1"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 ca="1"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 ca="1"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 ca="1"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 ca="1"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 ca="1"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 ca="1"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 ca="1"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 ca="1"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 ca="1"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 ca="1"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 ca="1"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 ca="1"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 ca="1"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 ca="1"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 ca="1"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 ca="1"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 ca="1"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 ca="1"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 ca="1"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 ca="1"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 ca="1"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 ca="1"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 ca="1"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 ca="1"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 ca="1"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 ca="1"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 ca="1"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 ca="1"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 ca="1"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 ca="1"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 ca="1"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 ca="1"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 ca="1"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 ca="1"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 ca="1"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 ca="1"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 ca="1"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 ca="1"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 ca="1"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 ca="1"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 ca="1"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 ca="1"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 ca="1"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 ca="1"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 ca="1"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 ca="1"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 ca="1"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 ca="1"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 ca="1"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 ca="1"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 ca="1"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 ca="1"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 ca="1"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 ca="1"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 ca="1"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 ca="1"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 ca="1"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 ca="1"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 ca="1"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 ca="1"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 ca="1"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 ca="1"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 ca="1"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 ca="1"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 ca="1"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 ca="1"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 ca="1"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 ca="1"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 ca="1"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 ca="1"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 ca="1"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 ca="1"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 ca="1"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 ca="1"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 ca="1"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 ca="1"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 ca="1"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 ca="1"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 ca="1"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 ca="1"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 ca="1"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 ca="1"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 ca="1"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 ca="1"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 ca="1"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 ca="1"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 ca="1"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 ca="1"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 ca="1"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 ca="1"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 ca="1"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 ca="1"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 ca="1"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 ca="1"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 ca="1"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 ca="1"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 ca="1"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 ca="1"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 ca="1"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 ca="1"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 ca="1"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 ca="1"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 ca="1"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 ca="1"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 ca="1"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 ca="1"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 ca="1"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 ca="1"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 ca="1"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 ca="1"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 ca="1"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 ca="1"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 ca="1"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 ca="1"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 ca="1"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 ca="1"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 ca="1"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 ca="1"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 ca="1"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 ca="1"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 ca="1"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 ca="1"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 ca="1"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 ca="1"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 ca="1"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 ca="1"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 ca="1"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 ca="1"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 ca="1"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 ca="1"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 ca="1"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 ca="1"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 ca="1"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 ca="1"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 ca="1"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 ca="1"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 ca="1"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 ca="1"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 ca="1"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 ca="1"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 ca="1"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 ca="1"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 ca="1"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 ca="1"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 ca="1"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 ca="1"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 ca="1"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 ca="1"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 ca="1"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 ca="1"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 ca="1"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 ca="1"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 ca="1"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 ca="1"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 ca="1"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 ca="1"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 ca="1"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 ca="1"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 ca="1"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 ca="1"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 ca="1"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 ca="1"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 ca="1"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 ca="1"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 ca="1"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 ca="1"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 ca="1"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 ca="1"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 ca="1"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 ca="1"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 ca="1"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 ca="1"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 ca="1"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 ca="1"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 ca="1"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 ca="1"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 ca="1"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 ca="1"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 ca="1"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 ca="1"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 ca="1"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 ca="1"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 ca="1"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 ca="1"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 ca="1"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 ca="1"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 ca="1"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 ca="1"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 ca="1"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 ca="1"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 ca="1"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 ca="1"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 ca="1"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 ca="1"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 ca="1"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 ca="1"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 ca="1"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 ca="1"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 ca="1"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 ca="1"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 ca="1"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 ca="1"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 ca="1"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 ca="1"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 ca="1"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 ca="1"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 ca="1"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 ca="1"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 ca="1"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 ca="1"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 ca="1"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 ca="1"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 ca="1"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 ca="1"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 ca="1"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 ca="1"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 ca="1"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 ca="1"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 ca="1"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 ca="1"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 ca="1"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 ca="1"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 ca="1"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 ca="1"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 ca="1"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 ca="1"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 ca="1"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 ca="1"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 ca="1"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 ca="1"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 ca="1"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 ca="1"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 ca="1"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 ca="1"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 ca="1"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 ca="1"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 ca="1"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 ca="1"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 ca="1"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 ca="1"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 ca="1"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 ca="1"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 ca="1"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 ca="1"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 ca="1"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 ca="1"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 ca="1"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 ca="1"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 ca="1"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 ca="1"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 ca="1"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 ca="1"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 ca="1"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 ca="1"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 ca="1"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 ca="1"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 ca="1"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 ca="1"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 ca="1"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 ca="1"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 ca="1"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 ca="1"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 ca="1"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 ca="1"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 ca="1"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 ca="1"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 ca="1"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 ca="1"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 ca="1"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 ca="1"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 ca="1"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 ca="1"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 ca="1"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 ca="1"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 ca="1"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 ca="1"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 ca="1"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 ca="1"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 ca="1"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 ca="1"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 ca="1"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 ca="1"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 ca="1"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 ca="1"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 ca="1"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 ca="1"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 ca="1"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 ca="1"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 ca="1"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 ca="1"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 ca="1"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 ca="1"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 ca="1"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 ca="1"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 ca="1"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 ca="1"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 ca="1"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 ca="1"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 ca="1"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 ca="1"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 ca="1"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 ca="1"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 ca="1"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 ca="1"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 ca="1"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 ca="1"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 ca="1"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 ca="1"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 ca="1"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 ca="1"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 ca="1"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 ca="1"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 ca="1"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 ca="1"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 ca="1"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 ca="1"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 ca="1"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 ca="1"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 ca="1"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 ca="1"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 ca="1"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 ca="1"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 ca="1"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 ca="1"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 ca="1"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 ca="1"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 ca="1"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 ca="1"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 ca="1"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 ca="1"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 ca="1"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 ca="1"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 ca="1"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 ca="1"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 ca="1"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 ca="1"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 ca="1"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 ca="1"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 ca="1"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 ca="1"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 ca="1"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 ca="1"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 ca="1"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 ca="1"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 ca="1"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 ca="1"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 ca="1"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 ca="1"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 ca="1"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 ca="1"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 ca="1"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 ca="1"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 ca="1"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 ca="1"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 ca="1"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 ca="1"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 ca="1"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 ca="1"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 ca="1"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 ca="1"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 ca="1"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 ca="1"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 ca="1"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 ca="1"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 ca="1"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 ca="1"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 ca="1"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 ca="1"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 ca="1"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 ca="1"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 ca="1"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 ca="1"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 ca="1"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 ca="1"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 ca="1"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 ca="1"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 ca="1"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 ca="1"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 ca="1"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 ca="1"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 ca="1"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 ca="1"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 ca="1"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 ca="1"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 ca="1"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 ca="1"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 ca="1"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 ca="1"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 ca="1"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 ca="1"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 ca="1"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 ca="1"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 ca="1"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 ca="1"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 ca="1"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 ca="1"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 ca="1"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 ca="1"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 ca="1"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 ca="1"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 ca="1"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 ca="1"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 ca="1"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 ca="1"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 ca="1"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 ca="1"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 ca="1"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 ca="1"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 ca="1"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 ca="1"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 ca="1"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 ca="1"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 ca="1"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 ca="1"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 ca="1"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 ca="1"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 ca="1"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 ca="1"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 ca="1"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 ca="1"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 ca="1"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 ca="1"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 ca="1"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 ca="1"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 ca="1"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 ca="1"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 ca="1"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 ca="1"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 ca="1"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 ca="1"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 ca="1"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 ca="1"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 ca="1"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 ca="1"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 ca="1"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 ca="1"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 ca="1"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 ca="1"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 ca="1"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 ca="1"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 ca="1"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 ca="1"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 ca="1"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 ca="1"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 ca="1"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 ca="1"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 ca="1"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 ca="1"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 ca="1"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 ca="1"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 ca="1"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 ca="1"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 ca="1"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 ca="1"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 ca="1"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 ca="1"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 ca="1"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 ca="1"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 ca="1"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 ca="1"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 ca="1"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 ca="1"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 ca="1"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 ca="1"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 ca="1"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 ca="1"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 ca="1"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 ca="1"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 ca="1"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 ca="1"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 ca="1"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 ca="1"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 ca="1"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 ca="1"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 ca="1"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 ca="1"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 ca="1"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 ca="1"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 ca="1"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 ca="1"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 ca="1"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 ca="1"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 ca="1"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 ca="1"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 ca="1"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 ca="1"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 ca="1"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 ca="1"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 ca="1"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 ca="1"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 ca="1"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 ca="1"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 ca="1"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 ca="1"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 ca="1"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 ca="1"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 ca="1"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 ca="1"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 ca="1"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 ca="1"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 ca="1"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 ca="1"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 ca="1"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 ca="1"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 ca="1"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 ca="1"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 ca="1"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 ca="1"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 ca="1"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 ca="1"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 ca="1"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 ca="1"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 ca="1"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 ca="1"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 ca="1"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 ca="1"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 ca="1"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 ca="1"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 ca="1"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 ca="1"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 ca="1"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 ca="1"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 ca="1"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 ca="1"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 ca="1"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 ca="1"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 ca="1"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 ca="1"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 ca="1"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 ca="1"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 ca="1"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 ca="1"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 ca="1"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 ca="1"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 ca="1"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 ca="1"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 ca="1"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 ca="1"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 ca="1"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 ca="1"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 ca="1"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 ca="1"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 ca="1"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 ca="1"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 ca="1"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 ca="1"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 ca="1"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 ca="1"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 ca="1"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 ca="1"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 ca="1"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 ca="1"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 ca="1"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 ca="1"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 ca="1"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 ca="1"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 ca="1"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 ca="1"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 ca="1"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 ca="1"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 ca="1"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 ca="1"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 ca="1"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 ca="1"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 ca="1"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 ca="1"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 ca="1"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 ca="1"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 ca="1"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 ca="1"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 ca="1"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 ca="1"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 ca="1"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 ca="1"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 ca="1"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 ca="1"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 ca="1"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 ca="1"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 ca="1"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 ca="1"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 ca="1"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 ca="1"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 ca="1"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 ca="1"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 ca="1"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 ca="1"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 ca="1"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 ca="1"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 ca="1"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 ca="1"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 ca="1"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 ca="1"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 ca="1"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 ca="1"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 ca="1"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 ca="1"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 ca="1"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 ca="1"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 ca="1"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 ca="1"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 ca="1"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 ca="1"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 ca="1"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 ca="1"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 ca="1"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 ca="1"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 ca="1"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 ca="1"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 ca="1"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 ca="1"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 ca="1"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 ca="1"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 ca="1"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 ca="1"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 ca="1"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 ca="1"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 ca="1"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 ca="1"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 ca="1"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 ca="1"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 ca="1"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 ca="1"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 ca="1"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 ca="1"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 ca="1"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 ca="1"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 ca="1"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 ca="1"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 ca="1"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 ca="1"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 ca="1"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 ca="1"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 ca="1"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 ca="1"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 ca="1"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 ca="1"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 ca="1"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 ca="1"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 ca="1"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 ca="1"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 ca="1"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 ca="1"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 ca="1"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 ca="1"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 ca="1"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 ca="1"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 ca="1"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 ca="1"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 ca="1"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 ca="1"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 ca="1"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 ca="1"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 ca="1"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 ca="1"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 ca="1"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 ca="1"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 ca="1"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 ca="1"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 ca="1"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 ca="1"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 ca="1"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 ca="1"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 ca="1"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 ca="1"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 ca="1"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 ca="1"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 ca="1"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 ca="1"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 ca="1"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 ca="1"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 ca="1"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 ca="1"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 ca="1"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 ca="1"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 ca="1"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 ca="1"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 ca="1"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 ca="1"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 ca="1"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 ca="1"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 ca="1"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 ca="1"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 ca="1"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 ca="1"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 ca="1"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 ca="1"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 ca="1"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 ca="1"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 ca="1"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 ca="1"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 ca="1"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 ca="1"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 ca="1"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 ca="1"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 ca="1"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 ca="1"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 ca="1"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 ca="1"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 ca="1"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 ca="1"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 ca="1"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 ca="1"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 ca="1"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 ca="1"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 ca="1"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 ca="1"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 ca="1"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 ca="1"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 ca="1"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 ca="1"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 ca="1"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 ca="1"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 ca="1"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 ca="1"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 ca="1"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 ca="1"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 ca="1"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 ca="1"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 ca="1"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 ca="1"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 ca="1"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 ca="1"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 ca="1"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 ca="1"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 ca="1"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 ca="1"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 ca="1"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 ca="1"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 ca="1"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 ca="1"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 ca="1"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 ca="1"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 ca="1"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 ca="1"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 ca="1"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 ca="1"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 ca="1"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 ca="1"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 ca="1"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 ca="1"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 ca="1"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 ca="1"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 ca="1"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 ca="1"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 ca="1"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 ca="1"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 ca="1"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 ca="1"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 ca="1"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 ca="1"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 ca="1"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 ca="1"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 ca="1"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 ca="1"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 ca="1"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 ca="1"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 ca="1"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 ca="1"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 ca="1"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 ca="1"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 ca="1"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 ca="1"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 ca="1"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 ca="1"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 ca="1"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 ca="1"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 ca="1"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 ca="1"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 ca="1"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 ca="1"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 ca="1"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 ca="1"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 ca="1"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 ca="1"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 ca="1"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 ca="1"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 ca="1"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 ca="1"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 ca="1"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 ca="1"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 ca="1"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 ca="1"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 ca="1"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 ca="1"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 ca="1"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 ca="1"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 ca="1"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 ca="1"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 ca="1"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 ca="1"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 ca="1"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 ca="1"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 ca="1"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 ca="1"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 ca="1"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 ca="1"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 ca="1"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 ca="1"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 ca="1"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 ca="1"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 ca="1"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 ca="1"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 ca="1"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 ca="1"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 ca="1"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 ca="1"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 ca="1"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 ca="1"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 ca="1"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 ca="1"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 ca="1"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 ca="1"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 ca="1"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 ca="1"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 ca="1"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 ca="1"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 ca="1"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 ca="1"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 ca="1"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 ca="1"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 ca="1"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 ca="1"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 ca="1"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 ca="1"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 ca="1"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 ca="1"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 ca="1"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 ca="1"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 ca="1"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 ca="1"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 ca="1"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 ca="1"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 ca="1"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 ca="1"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 ca="1"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 ca="1"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 ca="1"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 ca="1"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 ca="1"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 ca="1"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 ca="1"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 ca="1"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 ca="1"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 ca="1"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 ca="1"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 ca="1"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 ca="1"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 ca="1"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 ca="1"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 ca="1"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 ca="1"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 ca="1"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 ca="1"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 ca="1"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 ca="1"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 ca="1"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 ca="1"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 ca="1"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 ca="1"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 ca="1"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 ca="1"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 ca="1"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 ca="1"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 ca="1"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 ca="1"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 ca="1"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 ca="1"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 ca="1"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 ca="1"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 ca="1"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 ca="1"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 ca="1"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 ca="1"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 ca="1"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 ca="1"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 ca="1"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 ca="1"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 ca="1"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 ca="1"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 ca="1"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 ca="1"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 ca="1"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 ca="1"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 ca="1"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 ca="1"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 ca="1"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 ca="1"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 ca="1"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 ca="1"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 ca="1"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 ca="1"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 ca="1"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 ca="1"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 ca="1"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 ca="1"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 ca="1"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 ca="1"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 ca="1"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 ca="1"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 ca="1"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 ca="1"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 ca="1"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 ca="1"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 ca="1"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 ca="1"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 ca="1"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 ca="1"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 ca="1"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 ca="1"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 ca="1"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 ca="1"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 ca="1"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 ca="1"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 ca="1"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 ca="1"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 ca="1"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 ca="1"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 ca="1"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 ca="1"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 ca="1"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 ca="1"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 ca="1"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 ca="1"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 ca="1"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 ca="1"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 ca="1"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 ca="1"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 ca="1"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 ca="1"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 ca="1"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 ca="1"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 ca="1"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 ca="1"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 ca="1"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 ca="1"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 ca="1"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 ca="1"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 ca="1"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 ca="1"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 ca="1"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 ca="1"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 ca="1"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 ca="1"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 ca="1"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 ca="1"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 ca="1"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 ca="1"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 ca="1"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 ca="1"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 ca="1"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 ca="1"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 ca="1"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 ca="1"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 ca="1"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 ca="1"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 ca="1"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 ca="1"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 ca="1"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 ca="1"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 ca="1"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 ca="1"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 ca="1"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 ca="1"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 ca="1"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 ca="1"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 ca="1"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 ca="1"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 ca="1"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 ca="1"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 ca="1"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 ca="1"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 ca="1"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 ca="1"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 ca="1"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 ca="1"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 ca="1"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 ca="1"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 ca="1"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 ca="1"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 ca="1"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 ca="1"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 ca="1"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 ca="1"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 ca="1"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 ca="1"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 ca="1"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 ca="1"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 ca="1"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 ca="1"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 ca="1"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 ca="1"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 ca="1"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 ca="1"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 ca="1"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 ca="1"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 ca="1"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 ca="1"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 ca="1"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 ca="1"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 ca="1"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 ca="1"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 ca="1"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 ca="1"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 ca="1"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 ca="1"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 ca="1"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 ca="1"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 ca="1"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 ca="1"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 ca="1"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 ca="1"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 ca="1"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 ca="1"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 ca="1"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 ca="1"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 ca="1"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 ca="1"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 ca="1"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 ca="1"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 ca="1"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 ca="1"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 ca="1"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 ca="1"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 ca="1"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 ca="1"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 ca="1"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 ca="1"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 ca="1"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 ca="1"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 ca="1"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 ca="1"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 ca="1"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 ca="1"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 ca="1"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 ca="1"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 ca="1"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 ca="1"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 ca="1"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 ca="1"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 ca="1"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 ca="1"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 ca="1"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 ca="1"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 ca="1"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 ca="1"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 ca="1"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 ca="1"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 ca="1"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 ca="1"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 ca="1"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 ca="1"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 ca="1"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 ca="1"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 ca="1"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 ca="1"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 ca="1"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 ca="1"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 ca="1"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 ca="1"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 ca="1"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 ca="1"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 ca="1"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 ca="1"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 ca="1"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 ca="1"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 ca="1"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 ca="1"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 ca="1"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 ca="1"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 ca="1"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 ca="1"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 ca="1"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 ca="1"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 ca="1"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 ca="1"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 ca="1"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 ca="1"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 ca="1"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 ca="1"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 ca="1"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 ca="1"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 ca="1"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 ca="1"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 ca="1"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 ca="1"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 ca="1"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 ca="1"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 ca="1"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 ca="1"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 ca="1"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 ca="1"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 ca="1"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 ca="1"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 ca="1"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 ca="1"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 ca="1"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 ca="1"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 ca="1"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 ca="1"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 ca="1"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 ca="1"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 ca="1"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 ca="1"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 ca="1"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 ca="1"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 ca="1"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 ca="1"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 ca="1"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 ca="1"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 ca="1"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 ca="1"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 ca="1"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 ca="1"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 ca="1"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 ca="1"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 ca="1"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 ca="1"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 ca="1"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 ca="1"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 ca="1"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 ca="1"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 ca="1"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 ca="1"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 ca="1"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 ca="1"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 ca="1"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 ca="1"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 ca="1"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 ca="1"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 ca="1"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 ca="1"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 ca="1"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 ca="1"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 ca="1"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 ca="1"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 ca="1"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 ca="1"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 ca="1"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 ca="1"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 ca="1"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 ca="1"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 ca="1"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 ca="1"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 ca="1"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 ca="1"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 ca="1"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 ca="1"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 ca="1"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 ca="1"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 ca="1"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 ca="1"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 ca="1"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 ca="1"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 ca="1"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 ca="1"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 ca="1"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 ca="1"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 ca="1"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 ca="1"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 ca="1"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 ca="1"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 ca="1"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 ca="1"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 ca="1"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 ca="1"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 ca="1"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 ca="1"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 ca="1"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 ca="1"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 ca="1"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 ca="1"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 ca="1"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 ca="1"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 ca="1"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 ca="1"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 ca="1"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 ca="1"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 ca="1"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 ca="1"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 ca="1"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 ca="1"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 ca="1"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 ca="1"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 ca="1"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 ca="1"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 ca="1"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 ca="1"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 ca="1"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 ca="1"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 ca="1"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 ca="1"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 ca="1"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 ca="1"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 ca="1"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 ca="1"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 ca="1"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 ca="1"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 ca="1"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 ca="1"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 ca="1"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 ca="1"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 ca="1"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 ca="1"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 ca="1"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 ca="1"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 ca="1"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 ca="1"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 ca="1"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 ca="1"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 ca="1"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 ca="1"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 ca="1"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 ca="1"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 ca="1"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 ca="1"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 ca="1"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 ca="1"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 ca="1"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 ca="1"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 ca="1"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 ca="1"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 ca="1"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 ca="1"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 ca="1"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 ca="1"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 ca="1"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 ca="1"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 ca="1"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 ca="1"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 ca="1"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 ca="1"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 ca="1"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 ca="1"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 ca="1"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 ca="1"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 ca="1"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 ca="1"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 ca="1"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 ca="1"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 ca="1"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 ca="1"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 ca="1"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 ca="1"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 ca="1"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 ca="1"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 ca="1"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 ca="1"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 ca="1"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 ca="1"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 ca="1"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 ca="1"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 ca="1"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 ca="1"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 ca="1"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 ca="1"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 ca="1"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 ca="1"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 ca="1"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 ca="1"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 ca="1"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 ca="1"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 ca="1"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 ca="1"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 ca="1"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 ca="1"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 ca="1"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 ca="1"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 ca="1"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 ca="1"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 ca="1"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 ca="1"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 ca="1"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 ca="1"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 ca="1"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 ca="1"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 ca="1"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 ca="1"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 ca="1"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 ca="1"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 ca="1"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 ca="1"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 ca="1"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 ca="1"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 ca="1"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 ca="1"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 ca="1"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 ca="1"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 ca="1"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 ca="1"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 ca="1"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 ca="1"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 ca="1"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 ca="1"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 ca="1"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 ca="1"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 ca="1"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 ca="1"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 ca="1"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 ca="1"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 ca="1"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 ca="1"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 ca="1"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 ca="1"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 ca="1"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 ca="1"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 ca="1"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 ca="1"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 ca="1"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 ca="1"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 ca="1"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 ca="1"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 ca="1"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 ca="1"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 ca="1"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 ca="1"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 ca="1"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 ca="1"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 ca="1"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 ca="1"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 ca="1"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 ca="1"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 ca="1"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 ca="1"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 ca="1"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 ca="1"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 ca="1"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 ca="1"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 ca="1"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 ca="1"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 ca="1"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 ca="1"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 ca="1"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 ca="1"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 ca="1"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 ca="1"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 ca="1"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 ca="1"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 ca="1"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 ca="1"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 ca="1"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 ca="1"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 ca="1"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 ca="1"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 ca="1"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 ca="1"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 ca="1"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 ca="1"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 ca="1"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 ca="1"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 ca="1"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 ca="1"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 ca="1"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 ca="1"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 ca="1"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 ca="1"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 ca="1"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 ca="1"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 ca="1"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 ca="1"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 ca="1"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 ca="1"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 ca="1"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 ca="1"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 ca="1"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 ca="1"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 ca="1"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 ca="1"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 ca="1"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 ca="1"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 ca="1"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 ca="1"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 ca="1"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 ca="1"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 ca="1"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 ca="1"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 ca="1"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 ca="1"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 ca="1"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 ca="1"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 ca="1"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 ca="1"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 ca="1"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 ca="1"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 ca="1"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 ca="1"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 ca="1"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 ca="1"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 ca="1"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 ca="1"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 ca="1"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 ca="1"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 ca="1"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 ca="1"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 ca="1"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 ca="1"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 ca="1"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 ca="1"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 ca="1"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 ca="1"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 ca="1"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 ca="1"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 ca="1"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 ca="1"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 ca="1"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 ca="1"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 ca="1"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 ca="1"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 ca="1"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 ca="1"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 ca="1"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 ca="1"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 ca="1"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 ca="1"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 ca="1"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 ca="1"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 ca="1"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 ca="1"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 ca="1"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 ca="1"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 ca="1"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 ca="1"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 ca="1"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 ca="1"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 ca="1"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 ca="1"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 ca="1"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 ca="1"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 ca="1"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 ca="1"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 ca="1"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 ca="1"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 ca="1"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 ca="1"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 ca="1"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 ca="1"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 ca="1"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 ca="1"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 ca="1"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 ca="1"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 ca="1"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 ca="1"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 ca="1"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 ca="1"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 ca="1"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 ca="1"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 ca="1"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 ca="1"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 ca="1"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 ca="1"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 ca="1"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 ca="1"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 ca="1"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 ca="1"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 ca="1"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 ca="1"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 ca="1"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 ca="1"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 ca="1"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 ca="1"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 ca="1"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 ca="1"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 ca="1"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 ca="1"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 ca="1"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 ca="1"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 ca="1"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 ca="1"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 ca="1"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 ca="1"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 ca="1"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 ca="1"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 ca="1"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 ca="1"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 ca="1"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 ca="1"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 ca="1"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 ca="1"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 ca="1"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 ca="1"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 ca="1"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 ca="1"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 ca="1"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 ca="1"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 ca="1"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 ca="1"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 ca="1"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 ca="1"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 ca="1"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 ca="1"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 ca="1"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 ca="1"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 ca="1"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 ca="1"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 ca="1"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 ca="1"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 ca="1"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 ca="1"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 ca="1"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 ca="1"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 ca="1"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 ca="1"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 ca="1"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 ca="1"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 ca="1"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 ca="1"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 ca="1"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 ca="1"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 ca="1"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 ca="1"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 ca="1"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 ca="1"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 ca="1"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 ca="1"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 ca="1"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 ca="1"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 ca="1"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 ca="1"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 ca="1"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 ca="1"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 ca="1"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 ca="1"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 ca="1"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 ca="1"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 ca="1"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 ca="1"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 ca="1"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 ca="1"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 ca="1"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 ca="1"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 ca="1"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 ca="1"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 ca="1"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 ca="1"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 ca="1"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 ca="1"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 ca="1"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 ca="1"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 ca="1"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 ca="1"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 ca="1"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 ca="1"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 ca="1"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 ca="1"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 ca="1"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 ca="1"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 ca="1"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 ca="1"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 ca="1"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 ca="1"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 ca="1"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 ca="1"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 ca="1"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 ca="1"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 ca="1"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 ca="1"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 ca="1"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 ca="1"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 ca="1"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 ca="1"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 ca="1"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 ca="1"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 ca="1"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 ca="1"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 ca="1"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 ca="1"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 ca="1"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 ca="1"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 ca="1"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 ca="1"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 ca="1"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 ca="1"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 ca="1"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 ca="1"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 ca="1"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 ca="1"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 ca="1"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 ca="1"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 ca="1"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 ca="1"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 ca="1"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 ca="1"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 ca="1"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 ca="1"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 ca="1"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 ca="1"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 ca="1"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 ca="1"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 ca="1"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 ca="1"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 ca="1"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 ca="1"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 ca="1"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 ca="1"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 ca="1"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 ca="1"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 ca="1"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 ca="1"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 ca="1"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 ca="1"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 ca="1"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 ca="1"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 ca="1"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 ca="1"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 ca="1"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 ca="1"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 ca="1"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 ca="1"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 ca="1"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 ca="1"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 ca="1"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 ca="1"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 ca="1"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 ca="1"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 ca="1"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 ca="1"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 ca="1"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 ca="1"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 ca="1"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 ca="1"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 ca="1"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 ca="1"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 ca="1"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 ca="1"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 ca="1"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 ca="1"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 ca="1"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 ca="1"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 ca="1"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 ca="1"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 ca="1"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 ca="1"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 ca="1"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 ca="1"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 ca="1"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 ca="1"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 ca="1"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 ca="1"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 ca="1"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 ca="1"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 ca="1"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 ca="1"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 ca="1"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 ca="1"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 ca="1"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 ca="1"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 ca="1"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 ca="1"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 ca="1"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 ca="1"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 ca="1"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 ca="1"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 ca="1"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 ca="1"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 ca="1"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 ca="1"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 ca="1"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 ca="1"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 ca="1"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 ca="1"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 ca="1"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 ca="1"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 ca="1"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 ca="1"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 ca="1"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 ca="1"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 ca="1"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 ca="1"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 ca="1"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 ca="1"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 ca="1"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 ca="1"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 ca="1"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 ca="1"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 ca="1"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 ca="1"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 ca="1"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 ca="1"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 ca="1"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 ca="1"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 ca="1"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 ca="1"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 ca="1"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 ca="1"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 ca="1"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 ca="1"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 ca="1"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 ca="1"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 ca="1"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 ca="1"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 ca="1"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 ca="1"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 ca="1"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 ca="1"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 ca="1"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 ca="1"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 ca="1"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 ca="1"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 ca="1"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 ca="1"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 ca="1"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 ca="1"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 ca="1"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 ca="1"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 ca="1"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 ca="1"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 ca="1"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 ca="1"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 ca="1"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 ca="1"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 ca="1"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 ca="1"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 ca="1"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 ca="1"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 ca="1"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 ca="1"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 ca="1"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 ca="1"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 ca="1"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 ca="1"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 ca="1"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 ca="1"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 ca="1"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 ca="1"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 ca="1"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 ca="1"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 ca="1"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 ca="1"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 ca="1"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 ca="1"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 ca="1"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 ca="1"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 ca="1"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 ca="1"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 ca="1"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 ca="1"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 ca="1"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 ca="1"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 ca="1"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 ca="1"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 ca="1"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 ca="1"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 ca="1"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 ca="1"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 ca="1"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 ca="1"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 ca="1"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 ca="1"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 ca="1"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 ca="1"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 ca="1"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 ca="1"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 ca="1"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 ca="1"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 ca="1"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 ca="1"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 ca="1"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 ca="1"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 ca="1"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 ca="1"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 ca="1"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 ca="1"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 ca="1"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 ca="1"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 ca="1"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 ca="1"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 ca="1"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 ca="1"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 ca="1"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 ca="1"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 ca="1"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 ca="1"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 ca="1"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 ca="1"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 ca="1"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 ca="1"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 ca="1"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 ca="1"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 ca="1"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 ca="1"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 ca="1"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 ca="1"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 ca="1"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 ca="1"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 ca="1"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 ca="1"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 ca="1"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 ca="1"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 ca="1"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 ca="1"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 ca="1"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 ca="1"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 ca="1"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 ca="1"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 ca="1"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 ca="1"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 ca="1"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 ca="1"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 ca="1"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 ca="1"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 ca="1"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 ca="1"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 ca="1"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 ca="1"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 ca="1"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 ca="1"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 ca="1"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 ca="1"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 ca="1"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 ca="1"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 ca="1"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 ca="1"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 ca="1"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 ca="1"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 ca="1"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 ca="1"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 ca="1"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 ca="1"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 ca="1"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 ca="1"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 ca="1"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 ca="1"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 ca="1"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 ca="1"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 ca="1"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 ca="1"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 ca="1"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 ca="1"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 ca="1"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 ca="1"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 ca="1"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 ca="1"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 ca="1"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 ca="1"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 ca="1"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 ca="1"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 ca="1"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 ca="1"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 ca="1"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 ca="1"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 ca="1"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 ca="1"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 ca="1"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 ca="1"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 ca="1"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 ca="1"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 ca="1"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 ca="1"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 ca="1"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 ca="1"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 ca="1"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 ca="1"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 ca="1"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 ca="1"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 ca="1"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 ca="1"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 ca="1"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 ca="1"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 ca="1"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 ca="1"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 ca="1"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 ca="1"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 ca="1"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 ca="1"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 ca="1"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 ca="1"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 ca="1"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 ca="1"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 ca="1"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 ca="1"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 ca="1"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 ca="1"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 ca="1"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 ca="1"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 ca="1"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 ca="1"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 ca="1"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 ca="1"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 ca="1"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 ca="1"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 ca="1"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 ca="1"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 ca="1"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 ca="1"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 ca="1"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 ca="1"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 ca="1"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 ca="1"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 ca="1"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 ca="1"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 ca="1"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 ca="1"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 ca="1"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 ca="1"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 ca="1"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 ca="1"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 ca="1"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 ca="1"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 ca="1"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 ca="1"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 ca="1"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 ca="1"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 ca="1"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 ca="1"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 ca="1"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 ca="1"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 ca="1"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 ca="1"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 ca="1"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 ca="1"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 ca="1"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 ca="1"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 ca="1"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 ca="1"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 ca="1"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 ca="1"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 ca="1"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 ca="1"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 ca="1"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 ca="1"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 ca="1"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 ca="1"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 ca="1"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 ca="1"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 ca="1"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 ca="1"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 ca="1"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 ca="1"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 ca="1"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 ca="1"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 ca="1"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 ca="1"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 ca="1"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 ca="1"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 ca="1"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 ca="1"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 ca="1"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 ca="1"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 ca="1"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 ca="1"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 ca="1"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 ca="1"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 ca="1"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 ca="1"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 ca="1"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 ca="1"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 ca="1"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 ca="1"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 ca="1"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 ca="1"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 ca="1"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 ca="1"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 ca="1"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 ca="1"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 ca="1"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 ca="1"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 ca="1"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 ca="1"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 ca="1"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 ca="1"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 ca="1"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 ca="1"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 ca="1"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 ca="1"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 ca="1"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 ca="1"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 ca="1"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 ca="1"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 ca="1"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 ca="1"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 ca="1"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 ca="1"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 ca="1"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 ca="1"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 ca="1"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 ca="1"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 ca="1"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 ca="1"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 ca="1"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 ca="1"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 ca="1"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 ca="1"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 ca="1"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 ca="1"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 ca="1"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 ca="1"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 ca="1"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 ca="1"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 ca="1"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 ca="1"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 ca="1"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 ca="1"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 ca="1"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 ca="1"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 ca="1"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 ca="1"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 ca="1"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 ca="1"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 ca="1"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 ca="1"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 ca="1"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 ca="1"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 ca="1"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 ca="1"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 ca="1"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 ca="1"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 ca="1"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 ca="1"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 ca="1"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 ca="1"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 ca="1"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 ca="1"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 ca="1"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 ca="1"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 ca="1"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 ca="1"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 ca="1"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 ca="1"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 ca="1"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 ca="1"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 ca="1"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 ca="1"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 ca="1"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 ca="1"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 ca="1"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 ca="1"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 ca="1"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 ca="1"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 ca="1"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 ca="1"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 ca="1"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 ca="1"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 ca="1"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 ca="1"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 ca="1"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 ca="1"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 ca="1"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 ca="1"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 ca="1"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 ca="1"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 ca="1"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 ca="1"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 ca="1"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 ca="1"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 ca="1"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 ca="1"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 ca="1"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 ca="1"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 ca="1"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 ca="1"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 ca="1"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 ca="1"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 ca="1"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 ca="1"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 ca="1"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 ca="1"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 ca="1"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 ca="1"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 ca="1"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 ca="1"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 ca="1"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 ca="1"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 ca="1"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 ca="1"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 ca="1"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 ca="1"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 ca="1"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 ca="1"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 ca="1"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 ca="1"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 ca="1"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 ca="1"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 ca="1"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 ca="1"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 ca="1"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 ca="1"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 ca="1"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 ca="1"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 ca="1"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 ca="1"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 ca="1"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 ca="1"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 ca="1"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 ca="1"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 ca="1"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 ca="1"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 ca="1"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 ca="1"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 ca="1"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 ca="1"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 ca="1"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 ca="1"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 ca="1"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 ca="1"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 ca="1"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 ca="1"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 ca="1"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 ca="1"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 ca="1"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 ca="1"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 ca="1"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 ca="1"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 ca="1"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 ca="1"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 ca="1"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 ca="1"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 ca="1"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 ca="1"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 ca="1"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 ca="1"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 ca="1"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 ca="1"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 ca="1"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 ca="1"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 ca="1"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 ca="1"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 ca="1"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 ca="1"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 ca="1"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 ca="1"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 ca="1"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 ca="1"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 ca="1"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 ca="1"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 ca="1"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 ca="1"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 ca="1"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 ca="1"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 ca="1"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 ca="1"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 ca="1"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 ca="1"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 ca="1"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 ca="1"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 ca="1"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 ca="1"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 ca="1"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 ca="1"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 ca="1"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 ca="1"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 ca="1"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 ca="1"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 ca="1"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 ca="1"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 ca="1"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 ca="1"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 ca="1"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 ca="1"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 ca="1"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 ca="1"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 ca="1"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 ca="1"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 ca="1"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 ca="1"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 ca="1"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 ca="1"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 ca="1"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 ca="1"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 ca="1"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 ca="1"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 ca="1"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 ca="1"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 ca="1"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 ca="1"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 ca="1"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 ca="1"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 ca="1"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 ca="1"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 ca="1"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 ca="1"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 ca="1"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 ca="1"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 ca="1"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 ca="1"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 ca="1"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 ca="1"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 ca="1"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 ca="1"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 ca="1"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 ca="1"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 ca="1"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 ca="1"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 ca="1"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 ca="1"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 ca="1"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 ca="1"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 ca="1"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 ca="1"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 ca="1"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 ca="1"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 ca="1"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 ca="1"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 ca="1"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 ca="1"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 ca="1"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 ca="1"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 ca="1"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 ca="1"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 ca="1"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 ca="1"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 ca="1"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 ca="1"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 ca="1"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 ca="1"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 ca="1"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 ca="1"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 ca="1"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 ca="1"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 ca="1"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 ca="1"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 ca="1"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 ca="1"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 ca="1"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 ca="1"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 ca="1"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 ca="1"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 ca="1"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 ca="1"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 ca="1"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 ca="1"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 ca="1"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 ca="1"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 ca="1"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 ca="1"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 ca="1"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 ca="1"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 ca="1"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 ca="1"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 ca="1"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 ca="1"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 ca="1"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 ca="1"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 ca="1"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 ca="1"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 ca="1"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 ca="1"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 ca="1"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 ca="1"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 ca="1"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 ca="1"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 ca="1"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 ca="1"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 ca="1"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 ca="1"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 ca="1"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 ca="1"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 ca="1"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 ca="1"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 ca="1"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 ca="1"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 ca="1"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 ca="1"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 ca="1"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 ca="1"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 ca="1"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 ca="1"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 ca="1"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 ca="1"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 ca="1"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 ca="1"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 ca="1"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 ca="1"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 ca="1"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 ca="1"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 ca="1"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 ca="1"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 ca="1"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 ca="1"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 ca="1"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 ca="1"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 ca="1"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 ca="1"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 ca="1"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 ca="1"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 ca="1"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 ca="1"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 ca="1"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 ca="1"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 ca="1"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 ca="1"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 ca="1"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 ca="1"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 ca="1"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 ca="1"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 ca="1"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 ca="1"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 ca="1"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 ca="1"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 ca="1"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 ca="1"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 ca="1"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 ca="1"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 ca="1"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 ca="1"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 ca="1"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 ca="1"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 ca="1"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 ca="1"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 ca="1"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 ca="1"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 ca="1"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 ca="1"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 ca="1"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 ca="1"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 ca="1"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 ca="1"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 ca="1"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 ca="1"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 ca="1"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 ca="1"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 ca="1"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 ca="1"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 ca="1"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 ca="1"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 ca="1"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 ca="1"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 ca="1"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 ca="1"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 ca="1"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 ca="1"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 ca="1"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 ca="1"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 ca="1"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 ca="1"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 ca="1"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 ca="1"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 ca="1"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 ca="1"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 ca="1"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 ca="1"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 ca="1"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 ca="1"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 ca="1"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 ca="1"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 ca="1"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 ca="1"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 ca="1"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 ca="1"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 ca="1"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 ca="1"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 ca="1"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 ca="1"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 ca="1"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 ca="1"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 ca="1"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 ca="1"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 ca="1"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 ca="1"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 ca="1"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 ca="1"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 ca="1"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 ca="1"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 ca="1"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 ca="1"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 ca="1"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 ca="1"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 ca="1"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 ca="1"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 ca="1"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 ca="1"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 ca="1"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 ca="1"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 ca="1"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 ca="1"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 ca="1"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 ca="1"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 ca="1"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 ca="1"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 ca="1"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 ca="1"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 ca="1"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 ca="1"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 ca="1"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 ca="1"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 ca="1"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 ca="1"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 ca="1"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 ca="1"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 ca="1"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 ca="1"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 ca="1"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 ca="1"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 ca="1"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 ca="1"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 ca="1"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 ca="1"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 ca="1"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 ca="1"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 ca="1"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 ca="1"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 ca="1"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 ca="1"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 ca="1"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 ca="1"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 ca="1"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 ca="1"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 ca="1"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 ca="1"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 ca="1"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 ca="1"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 ca="1"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 ca="1"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 ca="1"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 ca="1"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 ca="1"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 ca="1"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 ca="1"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 ca="1"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 ca="1"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 ca="1"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 ca="1"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 ca="1"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 ca="1"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 ca="1"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 ca="1"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 ca="1"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 ca="1"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 ca="1"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 ca="1"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 ca="1"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 ca="1"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 ca="1"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 ca="1"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 ca="1"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 ca="1"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 ca="1"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 ca="1"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 ca="1"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 ca="1"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 ca="1"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 ca="1"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 ca="1"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 ca="1"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 ca="1"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 ca="1"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 ca="1"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 ca="1"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 ca="1"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 ca="1"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 ca="1"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 ca="1"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 ca="1"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 ca="1"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 ca="1"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 ca="1"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 ca="1"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 ca="1"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 ca="1"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 ca="1"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 ca="1"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 ca="1"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 ca="1"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 ca="1"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 ca="1"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 ca="1"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 ca="1"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 ca="1"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 ca="1"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 ca="1"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 ca="1"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 ca="1"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 ca="1"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 ca="1"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 ca="1"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 ca="1"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 ca="1"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 ca="1"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 ca="1"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 ca="1"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 ca="1"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 ca="1"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 ca="1"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 ca="1"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 ca="1"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 ca="1"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 ca="1"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 ca="1"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 ca="1"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 ca="1"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 ca="1"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 ca="1"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 ca="1"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 ca="1"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 ca="1"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 ca="1"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 ca="1"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 ca="1"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 ca="1"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 ca="1"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 ca="1"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 ca="1"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 ca="1"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 ca="1"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 ca="1"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 ca="1"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 ca="1"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 ca="1"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 ca="1"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 ca="1"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 ca="1"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 ca="1"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 ca="1"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 ca="1"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 ca="1"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 ca="1"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 ca="1"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 ca="1"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 ca="1"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 ca="1"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 ca="1"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 ca="1"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 ca="1"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 ca="1"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 ca="1"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 ca="1"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 ca="1"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 ca="1"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 ca="1"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 ca="1"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 ca="1"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 ca="1"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 ca="1"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 ca="1"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 ca="1"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 ca="1"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 ca="1"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 ca="1"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 ca="1"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 ca="1"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 ca="1"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 ca="1"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 ca="1"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 ca="1"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 ca="1"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 ca="1"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 ca="1"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 ca="1"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 ca="1"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 ca="1"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 ca="1"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 ca="1"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 ca="1"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 ca="1"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 ca="1"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 ca="1"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 ca="1"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 ca="1"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 ca="1"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 ca="1"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 ca="1"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 ca="1"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 ca="1"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 ca="1"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 ca="1"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 ca="1"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 ca="1"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 ca="1"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 ca="1"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 ca="1"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 ca="1"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 ca="1"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 ca="1"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 ca="1"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 ca="1"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 ca="1"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 ca="1"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 ca="1"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 ca="1"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 ca="1"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 ca="1"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 ca="1"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 ca="1"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 ca="1"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 ca="1"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 ca="1"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 ca="1"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 ca="1"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 ca="1"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 ca="1"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 ca="1"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 ca="1"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 ca="1"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 ca="1"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 ca="1"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 ca="1"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 ca="1"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 ca="1"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 ca="1"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 ca="1"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 ca="1"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 ca="1"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 ca="1"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 ca="1"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 ca="1"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 ca="1"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 ca="1"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 ca="1"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 ca="1"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 ca="1"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 ca="1"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 ca="1"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 ca="1"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 ca="1"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 ca="1"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 ca="1"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 ca="1"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 ca="1"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 ca="1"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 ca="1"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 ca="1"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 ca="1"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 ca="1"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 ca="1"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 ca="1"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 ca="1"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 ca="1"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 ca="1"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 ca="1"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 ca="1"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 ca="1"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 ca="1"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 ca="1"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 ca="1"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 ca="1"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 ca="1"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 ca="1"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 ca="1"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 ca="1"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 ca="1"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 ca="1"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 ca="1"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 ca="1"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 ca="1"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 ca="1"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 ca="1"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 ca="1"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 ca="1"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 ca="1"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 ca="1"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 ca="1"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 ca="1"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 ca="1"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 ca="1"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 ca="1"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 ca="1"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 ca="1"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 ca="1"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 ca="1"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 ca="1"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 ca="1"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 ca="1"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 ca="1"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 ca="1"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 ca="1"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 ca="1"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 ca="1"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 ca="1"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 ca="1"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 ca="1"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 ca="1"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 ca="1"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 ca="1"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 ca="1"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 ca="1"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 ca="1"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 ca="1"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 ca="1"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 ca="1"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 ca="1"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 ca="1"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 ca="1"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 ca="1"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 ca="1"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 ca="1"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 ca="1"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 ca="1"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 ca="1"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 ca="1"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 ca="1"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 ca="1"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 ca="1"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 ca="1"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 ca="1"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 ca="1"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 ca="1"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 ca="1"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 ca="1"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 ca="1"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 ca="1"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 ca="1"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 ca="1"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 ca="1"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 ca="1"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 ca="1"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 ca="1"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 ca="1"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 ca="1"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 ca="1"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 ca="1"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 ca="1"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 ca="1"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 ca="1"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 ca="1"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 ca="1"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 ca="1"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 ca="1"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 ca="1"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 ca="1"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 ca="1"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 ca="1"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 ca="1"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 ca="1"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 ca="1"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 ca="1"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 ca="1"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 ca="1"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 ca="1"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 ca="1"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 ca="1"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 ca="1"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 ca="1"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 ca="1"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 ca="1"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 ca="1"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 ca="1"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 ca="1"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 ca="1"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 ca="1"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 ca="1"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 ca="1"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 ca="1"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 ca="1"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 ca="1"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 ca="1"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 ca="1"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 ca="1"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 ca="1"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 ca="1"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 ca="1"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 ca="1"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 ca="1"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 ca="1"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 ca="1"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 ca="1"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 ca="1"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 ca="1"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 ca="1"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 ca="1"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 ca="1"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 ca="1"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 ca="1"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 ca="1"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 ca="1"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 ca="1"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 ca="1"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 ca="1"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 ca="1"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 ca="1"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 ca="1"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 ca="1"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 ca="1"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 ca="1"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 ca="1"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 ca="1"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 ca="1"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 ca="1"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 ca="1"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 ca="1"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 ca="1"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 ca="1"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 ca="1"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 ca="1"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 ca="1"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 ca="1"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 ca="1"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 ca="1"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 ca="1"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 ca="1"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 ca="1"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 ca="1"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 ca="1"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 ca="1"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 ca="1"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 ca="1"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 ca="1"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 ca="1"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 ca="1"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 ca="1"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 ca="1"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 ca="1"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 ca="1"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 ca="1"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 ca="1"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 ca="1"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 ca="1"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 ca="1"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 ca="1"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 ca="1"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 ca="1"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 ca="1"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 ca="1"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 ca="1"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 ca="1"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 ca="1"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 ca="1"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 ca="1"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 ca="1"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 ca="1"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 ca="1"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 ca="1"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 ca="1"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 ca="1"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 ca="1"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 ca="1"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 ca="1"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 ca="1"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 ca="1"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 ca="1"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 ca="1"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 ca="1"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 ca="1"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 ca="1"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 ca="1"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 ca="1"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 ca="1"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 ca="1"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 ca="1"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 ca="1"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 ca="1"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 ca="1"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 ca="1"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 ca="1"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 ca="1"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 ca="1"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 ca="1"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 ca="1"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 ca="1"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 ca="1"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 ca="1"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 ca="1"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 ca="1"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 ca="1"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 ca="1"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 ca="1"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 ca="1"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 ca="1"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 ca="1"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 ca="1"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 ca="1"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 ca="1"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 ca="1"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 ca="1"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 ca="1"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 ca="1"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 ca="1"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 ca="1"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 ca="1"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 ca="1"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 ca="1"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 ca="1"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 ca="1"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 ca="1"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 ca="1"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 ca="1"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 ca="1"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 ca="1"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 ca="1"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 ca="1"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 ca="1"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 ca="1"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 ca="1"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 ca="1"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 ca="1"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 ca="1"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 ca="1"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 ca="1"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 ca="1"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 ca="1"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 ca="1"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 ca="1"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 ca="1"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 ca="1"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 ca="1"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 ca="1"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 ca="1"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 ca="1"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 ca="1"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 ca="1"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 ca="1"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 ca="1"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 ca="1"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 ca="1"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 ca="1"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 ca="1"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 ca="1"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 ca="1"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 ca="1"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 ca="1"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 ca="1"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 ca="1"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 ca="1"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 ca="1"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 ca="1"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 ca="1"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 ca="1"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 ca="1"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 ca="1"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 ca="1"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 ca="1"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 ca="1"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 ca="1"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 ca="1"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 ca="1"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 ca="1"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 ca="1"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 ca="1"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 ca="1"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 ca="1"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 ca="1"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 ca="1"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 ca="1"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 ca="1"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 ca="1"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 ca="1"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 ca="1"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 ca="1"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 ca="1"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 ca="1"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 ca="1"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 ca="1"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 ca="1"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 ca="1"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 ca="1"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 ca="1"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 ca="1"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 ca="1"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 ca="1"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 ca="1"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 ca="1"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 ca="1"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 ca="1"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 ca="1"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 ca="1"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 ca="1"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 ca="1"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 ca="1"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 ca="1"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 ca="1"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 ca="1"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 ca="1"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 ca="1"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 ca="1"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 ca="1"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 ca="1"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 ca="1"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 ca="1"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 ca="1"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 ca="1"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 ca="1"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 ca="1"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 ca="1"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 ca="1"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 ca="1"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 ca="1"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 ca="1"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 ca="1"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 ca="1"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 ca="1"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 ca="1"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 ca="1"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 ca="1"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 ca="1"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 ca="1"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 ca="1"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 ca="1"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 ca="1"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 ca="1"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 ca="1"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 ca="1"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 ca="1"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 ca="1"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 ca="1"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 ca="1"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 ca="1"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 ca="1"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 ca="1"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 ca="1"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 ca="1"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 ca="1"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 ca="1"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 ca="1"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 ca="1"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 ca="1"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 ca="1"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 ca="1"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 ca="1"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 ca="1"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 ca="1"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 ca="1"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 ca="1"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 ca="1"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 ca="1"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 ca="1"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 ca="1"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 ca="1"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 ca="1"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 ca="1"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 ca="1"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 ca="1"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 ca="1"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 ca="1"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 ca="1"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 ca="1"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 ca="1"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 ca="1"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 ca="1"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 ca="1"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 ca="1"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 ca="1"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 ca="1"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 ca="1"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 ca="1"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 ca="1"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 ca="1"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 ca="1"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 ca="1"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 ca="1"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 ca="1"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 ca="1"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 ca="1"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 ca="1"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 ca="1"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 ca="1"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 ca="1"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 ca="1"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 ca="1"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 ca="1"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 ca="1"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 ca="1"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 ca="1"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 ca="1"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 ca="1"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 ca="1"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 ca="1"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 ca="1"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 ca="1"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 ca="1"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 ca="1"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 ca="1"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 ca="1"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 ca="1"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 ca="1"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 ca="1"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 ca="1"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 ca="1"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 ca="1"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 ca="1"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 ca="1"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 ca="1"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 ca="1"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 ca="1"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 ca="1"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 ca="1"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 ca="1"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 ca="1"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 ca="1"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 ca="1"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 ca="1"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 ca="1"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 ca="1"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 ca="1"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 ca="1"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 ca="1"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 ca="1"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 ca="1"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 ca="1"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 ca="1"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 ca="1"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 ca="1"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 ca="1"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 ca="1"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 ca="1"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 ca="1"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 ca="1"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 ca="1"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 ca="1"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 ca="1"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 ca="1"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 ca="1"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 ca="1"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 ca="1"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 ca="1"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 ca="1"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 ca="1"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 ca="1"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 ca="1"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 ca="1"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 ca="1"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 ca="1"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 ca="1"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 ca="1"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 ca="1"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 ca="1"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 ca="1"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 ca="1"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 ca="1"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 ca="1"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 ca="1"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 ca="1"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 ca="1"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 ca="1"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 ca="1"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 ca="1"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 ca="1"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 ca="1"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 ca="1"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 ca="1"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 ca="1"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 ca="1"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 ca="1"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 ca="1"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 ca="1"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 ca="1"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 ca="1"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 ca="1"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 ca="1"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 ca="1"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 ca="1"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 ca="1"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 ca="1"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 ca="1"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 ca="1"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 ca="1"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 ca="1"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 ca="1"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 ca="1"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 ca="1"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 ca="1"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 ca="1"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 ca="1"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 ca="1"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 ca="1"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 ca="1"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 ca="1"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 ca="1"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 ca="1"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 ca="1"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 ca="1"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 ca="1"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 ca="1"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 ca="1"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 ca="1"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 ca="1"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 ca="1"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 ca="1"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 ca="1"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 ca="1"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 ca="1"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 ca="1"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 ca="1"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 ca="1"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 ca="1"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 ca="1"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 ca="1"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 ca="1"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 ca="1"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 ca="1"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 ca="1"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 ca="1"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 ca="1"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 ca="1"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 ca="1"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 ca="1"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 ca="1"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 ca="1"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 ca="1"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 ca="1"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 ca="1"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 ca="1"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 ca="1"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 ca="1"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 ca="1"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 ca="1"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 ca="1"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 ca="1"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 ca="1"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 ca="1"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 ca="1"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 ca="1"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 ca="1"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 ca="1"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 ca="1"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 ca="1"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 ca="1"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 ca="1"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 ca="1"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 ca="1"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 ca="1"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 ca="1"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 ca="1"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 ca="1"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 ca="1"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 ca="1"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 ca="1"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 ca="1"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 ca="1"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 ca="1"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 ca="1"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 ca="1"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 ca="1"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 ca="1"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 ca="1"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 ca="1"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 ca="1"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 ca="1"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 ca="1"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 ca="1"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 ca="1"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 ca="1"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 ca="1"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 ca="1"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 ca="1"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 ca="1"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 ca="1"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 ca="1"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 ca="1"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 ca="1"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 ca="1"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 ca="1"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 ca="1"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 ca="1"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 ca="1"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 ca="1"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 ca="1"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 ca="1"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 ca="1"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 ca="1"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 ca="1"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 ca="1"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 ca="1"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 ca="1"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 ca="1"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 ca="1"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 ca="1"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 ca="1"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 ca="1"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 ca="1"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 ca="1"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 ca="1"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 ca="1"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 ca="1"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 ca="1"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 ca="1"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 ca="1"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 ca="1"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 ca="1"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 ca="1"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 ca="1"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 ca="1"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 ca="1"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 ca="1"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 ca="1"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 ca="1"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 ca="1"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 ca="1"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 ca="1"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 ca="1"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 ca="1"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 ca="1"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 ca="1"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 ca="1"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 ca="1"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 ca="1"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 ca="1"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 ca="1"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 ca="1"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 ca="1"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 ca="1"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 ca="1"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 ca="1"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 ca="1"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 ca="1"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 ca="1"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 ca="1"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 ca="1"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 ca="1"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 ca="1"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 ca="1"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 ca="1"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 ca="1"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 ca="1"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 ca="1"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 ca="1"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 ca="1"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 ca="1"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 ca="1"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 ca="1"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 ca="1"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 ca="1"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 ca="1"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 ca="1"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 ca="1"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 ca="1"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 ca="1"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 ca="1"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 ca="1"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 ca="1"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 ca="1"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 ca="1"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 ca="1"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 ca="1"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 ca="1"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 ca="1"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 ca="1"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 ca="1"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 ca="1"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 ca="1"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 ca="1"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 ca="1"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 ca="1"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 ca="1"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 ca="1"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 ca="1"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 ca="1"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 ca="1"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 ca="1"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 ca="1"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 ca="1"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 ca="1"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 ca="1"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 ca="1"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 ca="1"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 ca="1"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 ca="1"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 ca="1"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 ca="1"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 ca="1"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 ca="1"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 ca="1"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 ca="1"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 ca="1"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 ca="1"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 ca="1"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 ca="1"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 ca="1"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 ca="1"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 ca="1"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 ca="1"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 ca="1"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 ca="1"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 ca="1"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 ca="1"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 ca="1"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 ca="1"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 ca="1"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 ca="1"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 ca="1"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 ca="1"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 ca="1"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 ca="1"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 ca="1"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 ca="1"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 ca="1"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 ca="1"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 ca="1"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 ca="1"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 ca="1"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 ca="1"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 ca="1"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 ca="1"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 ca="1"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 ca="1"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 ca="1"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 ca="1"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 ca="1"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 ca="1"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 ca="1"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 ca="1"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 ca="1"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 ca="1"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 ca="1"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 ca="1"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 ca="1"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 ca="1"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 ca="1"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 ca="1"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 ca="1"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 ca="1"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 ca="1"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 ca="1"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 ca="1"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 ca="1"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 ca="1"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 ca="1"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 ca="1"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 ca="1"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 ca="1"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 ca="1"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 ca="1"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 ca="1"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 ca="1"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 ca="1"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 ca="1"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 ca="1"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 ca="1"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 ca="1"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 ca="1"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 ca="1"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 ca="1"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 ca="1"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 ca="1"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 ca="1"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 ca="1"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 ca="1"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 ca="1"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 ca="1"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 ca="1"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 ca="1"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 ca="1"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 ca="1"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 ca="1"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 ca="1"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 ca="1"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 ca="1"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 ca="1"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 ca="1"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 ca="1"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 ca="1"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 ca="1"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 ca="1"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 ca="1"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 ca="1"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 ca="1"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 ca="1"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 ca="1"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 ca="1"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 ca="1"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 ca="1"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 ca="1"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 ca="1"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 ca="1"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 ca="1"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 ca="1"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 ca="1"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 ca="1"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 ca="1"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 ca="1"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 ca="1"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 ca="1"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 ca="1"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 ca="1"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 ca="1"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 ca="1"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 ca="1"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 ca="1"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 ca="1"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 ca="1"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 ca="1"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 ca="1"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 ca="1"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 ca="1"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 ca="1"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 ca="1"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 ca="1"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 ca="1"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 ca="1"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 ca="1"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 ca="1"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 ca="1"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 ca="1"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 ca="1"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 ca="1"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 ca="1"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 ca="1"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 ca="1"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 ca="1"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 ca="1"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 ca="1"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 ca="1"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 ca="1"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 ca="1"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 ca="1"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 ca="1"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 ca="1"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 ca="1"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 ca="1"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 ca="1"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 ca="1"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 ca="1"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 ca="1"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 ca="1"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 ca="1"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 ca="1"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 ca="1"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 ca="1"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 ca="1"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 ca="1"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 ca="1"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 ca="1"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 ca="1"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 ca="1"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 ca="1"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 ca="1"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 ca="1"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 ca="1"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 ca="1"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 ca="1"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 ca="1"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 ca="1"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 ca="1"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 ca="1"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 ca="1"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 ca="1"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 ca="1"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 ca="1"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 ca="1"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 ca="1"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 ca="1"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 ca="1"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 ca="1"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 ca="1"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 ca="1"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 ca="1"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 ca="1"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 ca="1"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 ca="1"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 ca="1"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 ca="1"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 ca="1"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 ca="1"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 ca="1"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 ca="1"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 ca="1"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 ca="1"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 ca="1"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 ca="1"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 ca="1"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 ca="1"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 ca="1"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 ca="1"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 ca="1"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 ca="1"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 ca="1"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 ca="1"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 ca="1"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 ca="1"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 ca="1"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 ca="1"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 ca="1"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 ca="1"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 ca="1"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 ca="1"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 ca="1"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 ca="1"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 ca="1"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 ca="1"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 ca="1"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 ca="1"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 ca="1"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 ca="1"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 ca="1"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 ca="1"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 ca="1"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 ca="1"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 ca="1"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 ca="1"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 ca="1"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 ca="1"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 ca="1"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 ca="1"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 ca="1"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 ca="1"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 ca="1"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 ca="1"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 ca="1"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 ca="1"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 ca="1"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 ca="1"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 ca="1"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 ca="1"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 ca="1"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 ca="1"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 ca="1"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 ca="1"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 ca="1"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 ca="1"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 ca="1"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 ca="1"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 ca="1"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 ca="1"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 ca="1"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 ca="1"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 ca="1"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 ca="1"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 ca="1"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 ca="1"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 ca="1"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 ca="1"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 ca="1"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 ca="1"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 ca="1"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 ca="1"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 ca="1"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 ca="1"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 ca="1"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 ca="1"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 ca="1"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 ca="1"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 ca="1"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 ca="1"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 ca="1"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 ca="1"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 ca="1"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 ca="1"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 ca="1"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 ca="1"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 ca="1"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 ca="1"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 ca="1"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 ca="1"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 ca="1"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 ca="1"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 ca="1"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 ca="1"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 ca="1"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 ca="1"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 ca="1"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 ca="1"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 ca="1"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 ca="1"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 ca="1"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 ca="1"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 ca="1"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 ca="1"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 ca="1"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 ca="1"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 ca="1"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 ca="1"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 ca="1"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 ca="1"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 ca="1"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 ca="1"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 ca="1"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 ca="1"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 ca="1"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 ca="1"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 ca="1"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 ca="1"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 ca="1"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 ca="1"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 ca="1"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 ca="1"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 ca="1"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 ca="1"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 ca="1"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 ca="1"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 ca="1"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 ca="1"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 ca="1"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 ca="1"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 ca="1"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 ca="1"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 ca="1"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 ca="1"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 ca="1"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 ca="1"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 ca="1"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 ca="1"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 ca="1"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 ca="1"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 ca="1"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 ca="1"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 ca="1"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 ca="1"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 ca="1"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 ca="1"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 ca="1"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 ca="1"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 ca="1"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 ca="1"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 ca="1"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 ca="1"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 ca="1"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 ca="1"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 ca="1"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 ca="1"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 ca="1"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 ca="1"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 ca="1"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 ca="1"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 ca="1"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 ca="1"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 ca="1"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 ca="1"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 ca="1"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 ca="1"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 ca="1"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 ca="1"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 ca="1"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 ca="1"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 ca="1"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 ca="1"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 ca="1"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 ca="1"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 ca="1"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 ca="1"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 ca="1"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 ca="1"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 ca="1"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 ca="1"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 ca="1"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 ca="1"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 ca="1"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 ca="1"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 ca="1"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 ca="1"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 ca="1"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 ca="1"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 ca="1"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 ca="1"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 ca="1"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 ca="1"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 ca="1"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 ca="1"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 ca="1"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 ca="1"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 ca="1"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 ca="1"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 ca="1"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 ca="1"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 ca="1"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 ca="1"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 ca="1"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 ca="1"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 ca="1"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 ca="1"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 ca="1"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 ca="1"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 ca="1"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 ca="1"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 ca="1"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 ca="1"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 ca="1"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 ca="1"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 ca="1"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 ca="1"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 ca="1"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 ca="1"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 ca="1"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 ca="1"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 ca="1"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 ca="1"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 ca="1"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 ca="1"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 ca="1"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 ca="1"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 ca="1"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 ca="1"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 ca="1"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 ca="1"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 ca="1"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 ca="1"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 ca="1"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 ca="1"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 ca="1"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 ca="1"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 ca="1"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 ca="1"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 ca="1"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 ca="1"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 ca="1"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 ca="1"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 ca="1"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 ca="1"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 ca="1"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 ca="1"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 ca="1"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 ca="1"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 ca="1"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 ca="1"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 ca="1"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 ca="1"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 ca="1"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 ca="1"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 ca="1"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 ca="1"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 ca="1"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 ca="1"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 ca="1"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 ca="1"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 ca="1"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 ca="1"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 ca="1"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 ca="1"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 ca="1"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 ca="1"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 ca="1"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 ca="1"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 ca="1"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 ca="1"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 ca="1"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 ca="1"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 ca="1"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 ca="1"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 ca="1"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 ca="1"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 ca="1"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 ca="1"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 ca="1"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 ca="1"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 ca="1"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 ca="1"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 ca="1"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 ca="1"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 ca="1"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 ca="1"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 ca="1"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 ca="1"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 ca="1"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 ca="1"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 ca="1"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 ca="1"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 ca="1"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 ca="1"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 ca="1"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 ca="1"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 ca="1"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 ca="1"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 ca="1"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 ca="1"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 ca="1"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 ca="1"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 ca="1"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 ca="1"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 ca="1"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 ca="1"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 ca="1"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 ca="1"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 ca="1"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 ca="1"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 ca="1"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 ca="1"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 ca="1"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 ca="1"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 ca="1"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 ca="1"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 ca="1"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 ca="1"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 ca="1"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 ca="1"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 ca="1"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 ca="1"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 ca="1"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 ca="1"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 ca="1"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 ca="1"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 ca="1"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 ca="1"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 ca="1"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 ca="1"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 ca="1"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 ca="1"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 ca="1"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 ca="1"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 ca="1"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 ca="1"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 ca="1"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 ca="1"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 ca="1"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 ca="1"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 ca="1"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 ca="1"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 ca="1"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 ca="1"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 ca="1"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 ca="1"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 ca="1"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 ca="1"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 ca="1"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 ca="1"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 ca="1"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 ca="1"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 ca="1"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 ca="1"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 ca="1"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 ca="1"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 ca="1"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 ca="1"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 ca="1"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 ca="1"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 ca="1"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 ca="1"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 ca="1"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 ca="1"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 ca="1"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 ca="1"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 ca="1"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 ca="1"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 ca="1"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 ca="1"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 ca="1"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 ca="1"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 ca="1"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 ca="1"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 ca="1"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 ca="1"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 ca="1"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 ca="1"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 ca="1"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 ca="1"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 ca="1"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 ca="1"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 ca="1"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 ca="1"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 ca="1"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 ca="1"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 ca="1"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 ca="1"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 ca="1"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 ca="1"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 ca="1"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 ca="1"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 ca="1"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 ca="1"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 ca="1"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 ca="1"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 ca="1"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 ca="1"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 ca="1"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 ca="1"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 ca="1"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 ca="1"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 ca="1"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 ca="1"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 ca="1"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 ca="1"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 ca="1"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 ca="1"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 ca="1"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 ca="1"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 ca="1"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 ca="1"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 ca="1"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 ca="1"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 ca="1"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 ca="1"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 ca="1"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 ca="1"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 ca="1"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 ca="1"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 ca="1"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 ca="1"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 ca="1"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 ca="1"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 ca="1"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 ca="1"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 ca="1"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 ca="1"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 ca="1"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 ca="1"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 ca="1"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 ca="1"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 ca="1"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 ca="1"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 ca="1"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 ca="1"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 ca="1"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 ca="1"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 ca="1"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 ca="1"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 ca="1"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 ca="1"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 ca="1"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 ca="1"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 ca="1"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 ca="1"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 ca="1"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 ca="1"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 ca="1"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 ca="1"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 ca="1"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 ca="1"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 ca="1"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 ca="1"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 ca="1"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 ca="1"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 ca="1"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 ca="1"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 ca="1"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 ca="1"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 ca="1"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 ca="1"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 ca="1"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 ca="1"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 ca="1"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 ca="1"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 ca="1"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 ca="1"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 ca="1"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 ca="1"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 ca="1"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 ca="1"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 ca="1"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 ca="1"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 ca="1"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 ca="1"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 ca="1"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 ca="1"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 ca="1"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 ca="1"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 ca="1"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 ca="1"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 ca="1"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 ca="1"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 ca="1"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 ca="1"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 ca="1"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 ca="1"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 ca="1"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 ca="1"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 ca="1"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 ca="1"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 ca="1"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 ca="1"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 ca="1"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 ca="1"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 ca="1"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 ca="1"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 ca="1"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 ca="1"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 ca="1"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 ca="1"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 ca="1"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 ca="1"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 ca="1"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 ca="1"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 ca="1"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 ca="1"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 ca="1"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 ca="1"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 ca="1"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 ca="1"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 ca="1"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 ca="1"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 ca="1"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 ca="1"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 ca="1"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 ca="1"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 ca="1"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 ca="1"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 ca="1"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 ca="1"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 ca="1"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 ca="1"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 ca="1"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 ca="1"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 ca="1"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 ca="1"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 ca="1"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 ca="1"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 ca="1"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 ca="1"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 ca="1"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 ca="1"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 ca="1"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 ca="1"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 ca="1"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 ca="1"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 ca="1"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 ca="1"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 ca="1"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 ca="1"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 ca="1"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 ca="1"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 ca="1"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 ca="1"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 ca="1"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 ca="1"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 ca="1"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 ca="1"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 ca="1"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 ca="1"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 ca="1"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 ca="1"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 ca="1"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 ca="1"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 ca="1"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 ca="1"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 ca="1"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 ca="1"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 ca="1"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 ca="1"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 ca="1"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 ca="1"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 ca="1"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 ca="1"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 ca="1"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 ca="1"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 ca="1"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 ca="1"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 ca="1"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 ca="1"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 ca="1"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 ca="1"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 ca="1">VLOOKUP(B4406,MICRO!E:L,8,0)</f>
        <v>#N/A</v>
      </c>
    </row>
    <row r="4407" spans="1:15" ht="20.25" x14ac:dyDescent="0.25">
      <c r="A4407" s="1">
        <v>1</v>
      </c>
      <c r="B4407" s="203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5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 ca="1"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3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3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3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3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3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3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3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3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3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3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3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3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3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3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3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3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3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3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3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3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3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3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3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3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 ca="1"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 ca="1"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 ca="1"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 ca="1"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 ca="1"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 ca="1"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 ca="1"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 ca="1"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 ca="1"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 ca="1"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 ca="1"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 ca="1"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 ca="1"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 ca="1"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 ca="1"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 ca="1"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 ca="1"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 ca="1"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 ca="1"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 ca="1"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 ca="1"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 ca="1"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 ca="1"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 ca="1"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 ca="1"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 ca="1"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 ca="1"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 ca="1"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 ca="1"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 ca="1"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 ca="1"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 ca="1">VLOOKUP(B4828,MICRO!E:L,8,0)</f>
        <v>P-188</v>
      </c>
      <c r="O4828" s="208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 ca="1">VLOOKUP(B4829,MICRO!E:L,8,0)</f>
        <v>P-188</v>
      </c>
      <c r="O4829" s="208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 ca="1">VLOOKUP(B4830,MICRO!E:L,8,0)</f>
        <v>P-188</v>
      </c>
      <c r="O4830" s="208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 ca="1">VLOOKUP(B4831,MICRO!E:L,8,0)</f>
        <v>P-188</v>
      </c>
      <c r="O4831" s="208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 ca="1">VLOOKUP(B4832,MICRO!E:L,8,0)</f>
        <v>P-188</v>
      </c>
      <c r="O4832" s="208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 ca="1">VLOOKUP(B4833,MICRO!E:L,8,0)</f>
        <v>P-188</v>
      </c>
      <c r="O4833" s="208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 ca="1">VLOOKUP(B4834,MICRO!E:L,8,0)</f>
        <v>P-188</v>
      </c>
      <c r="O4834" s="208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 ca="1">VLOOKUP(B4835,MICRO!E:L,8,0)</f>
        <v>P-188</v>
      </c>
      <c r="O4835" s="208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 ca="1">VLOOKUP(B4836,MICRO!E:L,8,0)</f>
        <v>P-188</v>
      </c>
      <c r="O4836" s="208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 ca="1">VLOOKUP(B4837,MICRO!E:L,8,0)</f>
        <v>P-188</v>
      </c>
      <c r="O4837" s="208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 ca="1">VLOOKUP(B4838,MICRO!E:L,8,0)</f>
        <v>P-188</v>
      </c>
      <c r="O4838" s="208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 ca="1">VLOOKUP(B4839,MICRO!E:L,8,0)</f>
        <v>P-188</v>
      </c>
      <c r="O4839" s="208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 ca="1">VLOOKUP(B4840,MICRO!E:L,8,0)</f>
        <v>P-188</v>
      </c>
      <c r="O4840" s="208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 ca="1">VLOOKUP(B4841,MICRO!E:L,8,0)</f>
        <v>P-188</v>
      </c>
      <c r="O4841" s="208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 ca="1">VLOOKUP(B4842,MICRO!E:L,8,0)</f>
        <v>P-188</v>
      </c>
      <c r="O4842" s="208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 ca="1">VLOOKUP(B4843,MICRO!E:L,8,0)</f>
        <v>P-188</v>
      </c>
      <c r="O4843" s="208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 ca="1">VLOOKUP(B4844,MICRO!E:L,8,0)</f>
        <v>P-188</v>
      </c>
      <c r="O4844" s="208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 ca="1">VLOOKUP(B4845,MICRO!E:L,8,0)</f>
        <v>P-188</v>
      </c>
      <c r="O4845" s="208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 ca="1">VLOOKUP(B4846,MICRO!E:L,8,0)</f>
        <v>P-188</v>
      </c>
      <c r="O4846" s="208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 ca="1">VLOOKUP(B4847,MICRO!E:L,8,0)</f>
        <v>P-188</v>
      </c>
      <c r="O4847" s="208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 ca="1">VLOOKUP(B4848,MICRO!E:L,8,0)</f>
        <v>P-188</v>
      </c>
      <c r="O4848" s="208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 ca="1">VLOOKUP(B4849,MICRO!E:L,8,0)</f>
        <v>P-188</v>
      </c>
      <c r="O4849" s="208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 ca="1">VLOOKUP(B4850,MICRO!E:L,8,0)</f>
        <v>P-188</v>
      </c>
      <c r="O4850" s="208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 ca="1">VLOOKUP(B4851,MICRO!E:L,8,0)</f>
        <v>P-188</v>
      </c>
      <c r="O4851" s="208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 ca="1">VLOOKUP(B4852,MICRO!E:L,8,0)</f>
        <v>P-188</v>
      </c>
      <c r="O4852" s="208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 ca="1">VLOOKUP(B4853,MICRO!E:L,8,0)</f>
        <v>P-188</v>
      </c>
      <c r="O4853" s="208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 ca="1">VLOOKUP(B4854,MICRO!E:L,8,0)</f>
        <v>P-188</v>
      </c>
      <c r="O4854" s="208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 ca="1">VLOOKUP(B4855,MICRO!E:L,8,0)</f>
        <v>P-188</v>
      </c>
      <c r="O4855" s="208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 ca="1">VLOOKUP(B4856,MICRO!E:L,8,0)</f>
        <v>P-188</v>
      </c>
      <c r="O4856" s="208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 ca="1">VLOOKUP(B4857,MICRO!E:L,8,0)</f>
        <v>P-188</v>
      </c>
      <c r="O4857" s="208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 ca="1">VLOOKUP(B4858,MICRO!E:L,8,0)</f>
        <v>P-188</v>
      </c>
      <c r="O4858" s="208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 ca="1">VLOOKUP(B4859,MICRO!E:L,8,0)</f>
        <v>P-188</v>
      </c>
      <c r="O4859" s="208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 ca="1">VLOOKUP(B4860,MICRO!E:L,8,0)</f>
        <v>P-188</v>
      </c>
      <c r="O4860" s="208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 ca="1">VLOOKUP(B4861,MICRO!E:L,8,0)</f>
        <v>P-188</v>
      </c>
      <c r="O4861" s="208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 ca="1">VLOOKUP(B4862,MICRO!E:L,8,0)</f>
        <v>P-188</v>
      </c>
      <c r="O4862" s="208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 ca="1">VLOOKUP(B4863,MICRO!E:L,8,0)</f>
        <v>P-188</v>
      </c>
      <c r="O4863" s="208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 ca="1">VLOOKUP(B4864,MICRO!E:L,8,0)</f>
        <v>P-188</v>
      </c>
      <c r="O4864" s="208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 ca="1">VLOOKUP(B4865,MICRO!E:L,8,0)</f>
        <v>P-188</v>
      </c>
      <c r="O4865" s="208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 ca="1">VLOOKUP(B4866,MICRO!E:L,8,0)</f>
        <v>P-188</v>
      </c>
      <c r="O4866" s="208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 ca="1">VLOOKUP(B4867,MICRO!E:L,8,0)</f>
        <v>P-188</v>
      </c>
      <c r="O4867" s="208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 ca="1">VLOOKUP(B4868,MICRO!E:L,8,0)</f>
        <v>P-188</v>
      </c>
      <c r="O4868" s="208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 ca="1">VLOOKUP(B4869,MICRO!E:L,8,0)</f>
        <v>P-188</v>
      </c>
      <c r="O4869" s="208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 ca="1">VLOOKUP(B4870,MICRO!E:L,8,0)</f>
        <v>P-188</v>
      </c>
      <c r="O4870" s="208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 ca="1">VLOOKUP(B4871,MICRO!E:L,8,0)</f>
        <v>P-188</v>
      </c>
      <c r="O4871" s="208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 ca="1">VLOOKUP(B4872,MICRO!E:L,8,0)</f>
        <v>P-188</v>
      </c>
      <c r="O4872" s="208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 ca="1">VLOOKUP(B4873,MICRO!E:L,8,0)</f>
        <v>P-188</v>
      </c>
      <c r="O4873" s="208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 ca="1">VLOOKUP(B4874,MICRO!E:L,8,0)</f>
        <v>P-188</v>
      </c>
      <c r="O4874" s="208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 ca="1">VLOOKUP(B4875,MICRO!E:L,8,0)</f>
        <v>P-188</v>
      </c>
      <c r="O4875" s="208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 ca="1">VLOOKUP(B4876,MICRO!E:L,8,0)</f>
        <v>P-188</v>
      </c>
      <c r="O4876" s="208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 ca="1">VLOOKUP(B4877,MICRO!E:L,8,0)</f>
        <v>P-188</v>
      </c>
      <c r="O4877" s="208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 ca="1">VLOOKUP(B4878,MICRO!E:L,8,0)</f>
        <v>P-188</v>
      </c>
      <c r="O4878" s="208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 ca="1">VLOOKUP(B4879,MICRO!E:L,8,0)</f>
        <v>P-188</v>
      </c>
      <c r="O4879" s="208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 ca="1">VLOOKUP(B4880,MICRO!E:L,8,0)</f>
        <v>P-188</v>
      </c>
      <c r="O4880" s="208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 ca="1">VLOOKUP(B4881,MICRO!E:L,8,0)</f>
        <v>P-188</v>
      </c>
      <c r="O4881" s="208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 ca="1">VLOOKUP(B4882,MICRO!E:L,8,0)</f>
        <v>P-188</v>
      </c>
      <c r="O4882" s="208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 ca="1">VLOOKUP(B4883,MICRO!E:L,8,0)</f>
        <v>P-188</v>
      </c>
      <c r="O4883" s="208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 ca="1">VLOOKUP(B4884,MICRO!E:L,8,0)</f>
        <v>P-188</v>
      </c>
      <c r="O4884" s="208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 ca="1">VLOOKUP(B4885,MICRO!E:L,8,0)</f>
        <v>P-188</v>
      </c>
      <c r="O4885" s="208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 ca="1">VLOOKUP(B4886,MICRO!E:L,8,0)</f>
        <v>P-188</v>
      </c>
      <c r="O4886" s="208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 ca="1">VLOOKUP(B4887,MICRO!E:L,8,0)</f>
        <v>P-188</v>
      </c>
      <c r="O4887" s="208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 ca="1">VLOOKUP(B4888,MICRO!E:L,8,0)</f>
        <v>P-188</v>
      </c>
      <c r="O4888" s="208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 ca="1">VLOOKUP(B4889,MICRO!E:L,8,0)</f>
        <v>P-188</v>
      </c>
      <c r="O4889" s="208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 ca="1">VLOOKUP(B4890,MICRO!E:L,8,0)</f>
        <v>P-188</v>
      </c>
      <c r="O4890" s="208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 ca="1">VLOOKUP(B4891,MICRO!E:L,8,0)</f>
        <v>P-188</v>
      </c>
      <c r="O4891" s="208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 ca="1">VLOOKUP(B4892,MICRO!E:L,8,0)</f>
        <v>P-188</v>
      </c>
      <c r="O4892" s="208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 ca="1">VLOOKUP(B4893,MICRO!E:L,8,0)</f>
        <v>P-188</v>
      </c>
      <c r="O4893" s="208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 ca="1">VLOOKUP(B4894,MICRO!E:L,8,0)</f>
        <v>P-188</v>
      </c>
      <c r="O4894" s="208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 ca="1">VLOOKUP(B4895,MICRO!E:L,8,0)</f>
        <v>P-188</v>
      </c>
      <c r="O4895" s="208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 ca="1">VLOOKUP(B4896,MICRO!E:L,8,0)</f>
        <v>P-188</v>
      </c>
      <c r="O4896" s="208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 ca="1">VLOOKUP(B4897,MICRO!E:L,8,0)</f>
        <v>P-188</v>
      </c>
      <c r="O4897" s="208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 ca="1">VLOOKUP(B4898,MICRO!E:L,8,0)</f>
        <v>P-188</v>
      </c>
      <c r="O4898" s="208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 ca="1">VLOOKUP(B4899,MICRO!E:L,8,0)</f>
        <v>P-188</v>
      </c>
      <c r="O4899" s="208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 ca="1">VLOOKUP(B4900,MICRO!E:L,8,0)</f>
        <v>P-188</v>
      </c>
      <c r="O4900" s="208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 ca="1">VLOOKUP(B4901,MICRO!E:L,8,0)</f>
        <v>P-188</v>
      </c>
      <c r="O4901" s="208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 ca="1">VLOOKUP(B4902,MICRO!E:L,8,0)</f>
        <v>P-188</v>
      </c>
      <c r="O4902" s="208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 ca="1">VLOOKUP(B4903,MICRO!E:L,8,0)</f>
        <v>P-188</v>
      </c>
      <c r="O4903" s="208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 ca="1">VLOOKUP(B4904,MICRO!E:L,8,0)</f>
        <v>P-188</v>
      </c>
      <c r="O4904" s="208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 ca="1">VLOOKUP(B4905,MICRO!E:L,8,0)</f>
        <v>P-188</v>
      </c>
      <c r="O4905" s="208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 ca="1">VLOOKUP(B4906,MICRO!E:L,8,0)</f>
        <v>P-188</v>
      </c>
      <c r="O4906" s="208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 ca="1">VLOOKUP(B4907,MICRO!E:L,8,0)</f>
        <v>P-188</v>
      </c>
      <c r="O4907" s="208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 ca="1">VLOOKUP(B4908,MICRO!E:L,8,0)</f>
        <v>P-188</v>
      </c>
      <c r="O4908" s="208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 ca="1">VLOOKUP(B4909,MICRO!E:L,8,0)</f>
        <v>P-188</v>
      </c>
      <c r="O4909" s="208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 ca="1">VLOOKUP(B4910,MICRO!E:L,8,0)</f>
        <v>P-188</v>
      </c>
      <c r="O4910" s="208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 ca="1">VLOOKUP(B4911,MICRO!E:L,8,0)</f>
        <v>P-188</v>
      </c>
      <c r="O4911" s="208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 ca="1">VLOOKUP(B4912,MICRO!E:L,8,0)</f>
        <v>P-188</v>
      </c>
      <c r="O4912" s="208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 ca="1">VLOOKUP(B4913,MICRO!E:L,8,0)</f>
        <v>P-188</v>
      </c>
      <c r="O4913" s="208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 ca="1">VLOOKUP(B4914,MICRO!E:L,8,0)</f>
        <v>P-188</v>
      </c>
      <c r="O4914" s="208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 ca="1">VLOOKUP(B4915,MICRO!E:L,8,0)</f>
        <v>P-188</v>
      </c>
      <c r="O4915" s="208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 ca="1">VLOOKUP(B4916,MICRO!E:L,8,0)</f>
        <v>P-188</v>
      </c>
      <c r="O4916" s="208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 ca="1">VLOOKUP(B4917,MICRO!E:L,8,0)</f>
        <v>P-188</v>
      </c>
      <c r="O4917" s="208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 ca="1">VLOOKUP(B4918,MICRO!E:L,8,0)</f>
        <v>P-188</v>
      </c>
      <c r="O4918" s="208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 ca="1">VLOOKUP(B4919,MICRO!E:L,8,0)</f>
        <v>P-188</v>
      </c>
      <c r="O4919" s="208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 ca="1">VLOOKUP(B4920,MICRO!E:L,8,0)</f>
        <v>P-188</v>
      </c>
      <c r="O4920" s="208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 ca="1">VLOOKUP(B4921,MICRO!E:L,8,0)</f>
        <v>P-188</v>
      </c>
      <c r="O4921" s="208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 ca="1">VLOOKUP(B4922,MICRO!E:L,8,0)</f>
        <v>P-188</v>
      </c>
      <c r="O4922" s="208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 ca="1">VLOOKUP(B4923,MICRO!E:L,8,0)</f>
        <v>P-188</v>
      </c>
      <c r="O4923" s="208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 ca="1">VLOOKUP(B4924,MICRO!E:L,8,0)</f>
        <v>P-188</v>
      </c>
      <c r="O4924" s="208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 ca="1">VLOOKUP(B4925,MICRO!E:L,8,0)</f>
        <v>P-188</v>
      </c>
      <c r="O4925" s="208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 ca="1">VLOOKUP(B4926,MICRO!E:L,8,0)</f>
        <v>P-188</v>
      </c>
      <c r="O4926" s="208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 ca="1">VLOOKUP(B4927,MICRO!E:L,8,0)</f>
        <v>P-188</v>
      </c>
      <c r="O4927" s="208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 ca="1">VLOOKUP(B4928,MICRO!E:L,8,0)</f>
        <v>P-188</v>
      </c>
      <c r="O4928" s="208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 ca="1">VLOOKUP(B4929,MICRO!E:L,8,0)</f>
        <v>P-188</v>
      </c>
      <c r="O4929" s="208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 ca="1">VLOOKUP(B4930,MICRO!E:L,8,0)</f>
        <v>P-188</v>
      </c>
      <c r="O4930" s="208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 ca="1">VLOOKUP(B4931,MICRO!E:L,8,0)</f>
        <v>P-188</v>
      </c>
      <c r="O4931" s="208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 ca="1">VLOOKUP(B4932,MICRO!E:L,8,0)</f>
        <v>P-188</v>
      </c>
      <c r="O4932" s="208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 ca="1">VLOOKUP(B4933,MICRO!E:L,8,0)</f>
        <v>P-188</v>
      </c>
      <c r="O4933" s="208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 ca="1">VLOOKUP(B4934,MICRO!E:L,8,0)</f>
        <v>P-188</v>
      </c>
      <c r="O4934" s="208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 ca="1">VLOOKUP(B4935,MICRO!E:L,8,0)</f>
        <v>P-188</v>
      </c>
      <c r="O4935" s="208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 ca="1">VLOOKUP(B4936,MICRO!E:L,8,0)</f>
        <v>P-188</v>
      </c>
      <c r="O4936" s="208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 ca="1">VLOOKUP(B4937,MICRO!E:L,8,0)</f>
        <v>P-188</v>
      </c>
      <c r="O4937" s="208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 ca="1">VLOOKUP(B4938,MICRO!E:L,8,0)</f>
        <v>P-188</v>
      </c>
      <c r="O4938" s="208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 ca="1">VLOOKUP(B4939,MICRO!E:L,8,0)</f>
        <v>P-188</v>
      </c>
      <c r="O4939" s="208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 ca="1">VLOOKUP(B4940,MICRO!E:L,8,0)</f>
        <v>P-188</v>
      </c>
      <c r="O4940" s="208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 ca="1">VLOOKUP(B4941,MICRO!E:L,8,0)</f>
        <v>P-188</v>
      </c>
      <c r="O4941" s="208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 ca="1">VLOOKUP(B4942,MICRO!E:L,8,0)</f>
        <v>P-188</v>
      </c>
      <c r="O4942" s="208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 ca="1">VLOOKUP(B4943,MICRO!E:L,8,0)</f>
        <v>P-188</v>
      </c>
      <c r="O4943" s="208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 ca="1">VLOOKUP(B4944,MICRO!E:L,8,0)</f>
        <v>P-188</v>
      </c>
      <c r="O4944" s="208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 ca="1">VLOOKUP(B4945,MICRO!E:L,8,0)</f>
        <v>P-188</v>
      </c>
      <c r="O4945" s="208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 ca="1">VLOOKUP(B4946,MICRO!E:L,8,0)</f>
        <v>P-188</v>
      </c>
      <c r="O4946" s="208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 ca="1">VLOOKUP(B4947,MICRO!E:L,8,0)</f>
        <v>P-188</v>
      </c>
      <c r="O4947" s="208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 ca="1">VLOOKUP(B4948,MICRO!E:L,8,0)</f>
        <v>P-188</v>
      </c>
      <c r="O4948" s="208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 ca="1">VLOOKUP(B4949,MICRO!E:L,8,0)</f>
        <v>P-188</v>
      </c>
      <c r="O4949" s="208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 ca="1">VLOOKUP(B4950,MICRO!E:L,8,0)</f>
        <v>P-188</v>
      </c>
      <c r="O4950" s="208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 ca="1">VLOOKUP(B4951,MICRO!E:L,8,0)</f>
        <v>P-188</v>
      </c>
      <c r="O4951" s="208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 ca="1">VLOOKUP(B4952,MICRO!E:L,8,0)</f>
        <v>P-188</v>
      </c>
      <c r="O4952" s="208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 ca="1">VLOOKUP(B4953,MICRO!E:L,8,0)</f>
        <v>P-188</v>
      </c>
      <c r="O4953" s="208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 ca="1">VLOOKUP(B4954,MICRO!E:L,8,0)</f>
        <v>P-188</v>
      </c>
      <c r="O4954" s="208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 ca="1">VLOOKUP(B4955,MICRO!E:L,8,0)</f>
        <v>P-188</v>
      </c>
      <c r="O4955" s="208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 ca="1">VLOOKUP(B4956,MICRO!E:L,8,0)</f>
        <v>P-188</v>
      </c>
      <c r="O4956" s="208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 ca="1">VLOOKUP(B4957,MICRO!E:L,8,0)</f>
        <v>P-188</v>
      </c>
      <c r="O4957" s="208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 ca="1">VLOOKUP(B4958,MICRO!E:L,8,0)</f>
        <v>P-188</v>
      </c>
      <c r="O4958" s="208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 ca="1">VLOOKUP(B4959,MICRO!E:L,8,0)</f>
        <v>P-188</v>
      </c>
      <c r="O4959" s="208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 ca="1">VLOOKUP(B4960,MICRO!E:L,8,0)</f>
        <v>P-188</v>
      </c>
      <c r="O4960" s="208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 ca="1">VLOOKUP(B4961,MICRO!E:L,8,0)</f>
        <v>P-188</v>
      </c>
      <c r="O4961" s="208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 ca="1">VLOOKUP(B4962,MICRO!E:L,8,0)</f>
        <v>P-188</v>
      </c>
      <c r="O4962" s="208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 ca="1">VLOOKUP(B4963,MICRO!E:L,8,0)</f>
        <v>P-188</v>
      </c>
      <c r="O4963" s="208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 ca="1">VLOOKUP(B4964,MICRO!E:L,8,0)</f>
        <v>P-188</v>
      </c>
      <c r="O4964" s="208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 ca="1">VLOOKUP(B4965,MICRO!E:L,8,0)</f>
        <v>P-188</v>
      </c>
      <c r="O4965" s="208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 ca="1">VLOOKUP(B4966,MICRO!E:L,8,0)</f>
        <v>P-188</v>
      </c>
      <c r="O4966" s="208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 ca="1">VLOOKUP(B4967,MICRO!E:L,8,0)</f>
        <v>P-188</v>
      </c>
      <c r="O4967" s="208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 ca="1">VLOOKUP(B4968,MICRO!E:L,8,0)</f>
        <v>P-188</v>
      </c>
      <c r="O4968" s="208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 ca="1">VLOOKUP(B4969,MICRO!E:L,8,0)</f>
        <v>P-188</v>
      </c>
      <c r="O4969" s="208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 ca="1">VLOOKUP(B4970,MICRO!E:L,8,0)</f>
        <v>P-188</v>
      </c>
      <c r="O4970" s="208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8"/>
      <c r="N4971" s="1" t="e">
        <f ca="1"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2"/>
      <c r="N4972" s="1" t="e">
        <f ca="1"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2"/>
      <c r="N4973" s="1" t="e">
        <f ca="1"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2"/>
      <c r="N4974" s="1" t="e">
        <f ca="1"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2"/>
      <c r="N4975" s="1" t="e">
        <f ca="1"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2"/>
      <c r="N4976" s="1" t="e">
        <f ca="1"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2"/>
      <c r="N4977" s="1" t="e">
        <f ca="1"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3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2"/>
      <c r="N4978" s="1" t="e">
        <f ca="1"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3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2"/>
      <c r="N4979" s="1" t="e">
        <f ca="1"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3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2"/>
      <c r="N4980" s="1" t="e">
        <f ca="1"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2"/>
      <c r="N4981" s="1" t="e">
        <f ca="1"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2"/>
      <c r="N4982" s="1" t="e">
        <f ca="1"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2"/>
      <c r="N4983" s="1" t="e">
        <f ca="1"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2"/>
      <c r="N4984" s="1" t="e">
        <f ca="1"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2"/>
      <c r="N4985" s="1" t="e">
        <f ca="1"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2"/>
      <c r="N4986" s="1" t="e">
        <f ca="1"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2"/>
      <c r="N4987" s="1" t="e">
        <f ca="1"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2"/>
      <c r="N4988" s="1" t="e">
        <f ca="1"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2"/>
      <c r="N4989" s="1" t="e">
        <f ca="1"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2"/>
      <c r="N4990" s="1" t="e">
        <f ca="1"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2"/>
      <c r="N4991" s="1" t="e">
        <f ca="1"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2"/>
      <c r="N4992" s="1" t="e">
        <f ca="1"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2"/>
      <c r="N4993" s="1" t="e">
        <f ca="1"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2"/>
      <c r="N4994" s="1" t="e">
        <f ca="1"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2"/>
      <c r="N4995" s="1" t="e">
        <f ca="1"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2"/>
      <c r="N4996" s="1" t="e">
        <f ca="1"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2"/>
      <c r="N4997" s="1" t="e">
        <f ca="1"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2"/>
      <c r="N4998" s="1" t="e">
        <f ca="1"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2"/>
      <c r="N4999" s="1" t="e">
        <f ca="1"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2"/>
      <c r="N5000" s="1" t="e">
        <f ca="1"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2"/>
      <c r="N5001" s="1" t="e">
        <f ca="1"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2"/>
      <c r="N5002" s="1" t="e">
        <f ca="1"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2"/>
      <c r="N5003" s="1" t="e">
        <f ca="1"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2"/>
      <c r="N5004" s="1" t="e">
        <f ca="1"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2"/>
      <c r="N5005" s="1" t="e">
        <f ca="1"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2"/>
      <c r="N5006" s="1" t="e">
        <f ca="1"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2"/>
      <c r="N5007" s="1" t="e">
        <f ca="1"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2"/>
      <c r="N5008" s="1" t="e">
        <f ca="1"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2"/>
      <c r="N5009" s="1" t="e">
        <f ca="1"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2"/>
      <c r="N5010" s="1" t="e">
        <f ca="1"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2"/>
      <c r="N5011" s="1" t="e">
        <f ca="1"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2"/>
      <c r="N5012" s="1" t="e">
        <f ca="1"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2"/>
      <c r="N5013" s="1" t="e">
        <f ca="1"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2"/>
      <c r="N5014" s="1" t="e">
        <f ca="1"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2"/>
      <c r="N5015" s="1" t="e">
        <f ca="1"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2"/>
      <c r="N5016" s="1" t="e">
        <f ca="1"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2"/>
      <c r="N5017" s="1" t="e">
        <f ca="1"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2"/>
      <c r="N5018" s="1" t="e">
        <f ca="1"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2"/>
      <c r="N5019" s="1" t="e">
        <f ca="1"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2"/>
      <c r="N5020" s="1" t="e">
        <f ca="1"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2"/>
      <c r="N5021" s="1" t="e">
        <f ca="1"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2"/>
      <c r="N5022" s="1" t="e">
        <f ca="1"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2"/>
      <c r="N5023" s="1" t="e">
        <f ca="1"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2"/>
      <c r="N5024" s="1" t="e">
        <f ca="1"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2"/>
      <c r="N5025" s="1" t="e">
        <f ca="1"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2"/>
      <c r="N5026" s="1" t="e">
        <f ca="1"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2"/>
      <c r="N5027" s="1" t="e">
        <f ca="1"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2"/>
      <c r="N5028" s="1" t="e">
        <f ca="1"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2"/>
      <c r="N5029" s="1" t="e">
        <f ca="1"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2"/>
      <c r="N5030" s="1" t="e">
        <f ca="1"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2"/>
      <c r="N5031" s="1" t="e">
        <f ca="1"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2"/>
      <c r="N5032" s="1" t="e">
        <f ca="1"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2"/>
      <c r="N5033" s="1" t="e">
        <f ca="1"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2"/>
      <c r="N5034" s="1" t="e">
        <f ca="1"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2"/>
      <c r="N5035" s="1" t="e">
        <f ca="1"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2"/>
      <c r="N5036" s="1" t="e">
        <f ca="1"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2"/>
      <c r="N5037" s="1" t="e">
        <f ca="1"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2"/>
      <c r="N5038" s="1" t="e">
        <f ca="1"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2"/>
      <c r="N5039" s="1" t="e">
        <f ca="1"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2"/>
      <c r="N5040" s="1" t="e">
        <f ca="1"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2"/>
      <c r="N5041" s="1" t="e">
        <f ca="1"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2"/>
      <c r="N5042" s="1" t="e">
        <f ca="1"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2"/>
      <c r="N5043" s="1" t="e">
        <f ca="1"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2"/>
      <c r="N5044" s="1" t="e">
        <f ca="1"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2"/>
      <c r="N5045" s="1" t="e">
        <f ca="1"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2"/>
      <c r="N5046" s="1" t="e">
        <f ca="1"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2"/>
      <c r="N5047" s="1" t="e">
        <f ca="1"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2"/>
      <c r="N5048" s="1" t="e">
        <f ca="1"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2"/>
      <c r="N5049" s="1" t="e">
        <f ca="1"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2"/>
      <c r="N5050" s="1" t="e">
        <f ca="1"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2"/>
      <c r="N5051" s="1" t="e">
        <f ca="1"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2"/>
      <c r="N5052" s="1" t="e">
        <f ca="1"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2"/>
      <c r="N5053" s="1" t="e">
        <f ca="1"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2"/>
      <c r="N5054" s="1" t="e">
        <f ca="1"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2"/>
      <c r="N5055" s="1" t="e">
        <f ca="1"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2"/>
      <c r="N5056" s="1" t="e">
        <f ca="1"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2"/>
      <c r="N5057" s="1" t="e">
        <f ca="1"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2"/>
      <c r="N5058" s="1" t="e">
        <f ca="1"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2"/>
      <c r="N5059" s="1" t="e">
        <f ca="1"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2"/>
      <c r="N5060" s="1" t="e">
        <f ca="1"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2"/>
      <c r="N5061" s="1" t="e">
        <f ca="1"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2"/>
      <c r="N5062" s="1" t="e">
        <f ca="1"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2"/>
      <c r="N5063" s="1" t="e">
        <f ca="1"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2"/>
      <c r="N5064" s="1" t="e">
        <f ca="1"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2"/>
      <c r="N5065" s="1" t="e">
        <f ca="1"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2"/>
      <c r="N5066" s="1" t="e">
        <f ca="1"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2"/>
      <c r="N5067" s="1" t="e">
        <f ca="1"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2"/>
      <c r="N5068" s="1" t="e">
        <f ca="1"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2"/>
      <c r="N5069" s="1" t="e">
        <f ca="1"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2"/>
      <c r="N5070" s="1" t="e">
        <f ca="1"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2"/>
      <c r="N5071" s="1" t="e">
        <f ca="1"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2"/>
      <c r="N5072" s="1" t="e">
        <f ca="1"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2"/>
      <c r="N5073" s="1" t="e">
        <f ca="1"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2"/>
      <c r="N5074" s="1" t="e">
        <f ca="1"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2"/>
      <c r="N5075" s="1" t="e">
        <f ca="1"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2"/>
      <c r="N5076" s="1" t="e">
        <f ca="1"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2"/>
      <c r="N5077" s="1" t="e">
        <f ca="1"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2"/>
      <c r="N5078" s="1" t="e">
        <f ca="1"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2"/>
      <c r="N5079" s="1" t="e">
        <f ca="1"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2"/>
      <c r="N5080" s="1" t="e">
        <f ca="1"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2"/>
      <c r="N5081" s="1" t="e">
        <f ca="1"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2"/>
      <c r="N5082" s="1" t="e">
        <f ca="1"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2"/>
      <c r="N5083" s="1" t="e">
        <f ca="1"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2"/>
      <c r="N5084" s="1" t="e">
        <f ca="1"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2"/>
      <c r="N5085" s="1" t="e">
        <f ca="1"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2"/>
      <c r="N5086" s="1" t="e">
        <f ca="1"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2"/>
      <c r="N5087" s="1" t="e">
        <f ca="1"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2"/>
      <c r="N5088" s="1" t="e">
        <f ca="1"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2"/>
      <c r="N5089" s="1" t="e">
        <f ca="1"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2"/>
      <c r="N5090" s="1" t="e">
        <f ca="1"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2"/>
      <c r="N5091" s="1" t="e">
        <f ca="1"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2"/>
      <c r="N5092" s="1" t="e">
        <f ca="1"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2"/>
      <c r="N5093" s="1" t="e">
        <f ca="1"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2"/>
      <c r="N5094" s="1" t="e">
        <f ca="1"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2"/>
      <c r="N5095" s="1" t="e">
        <f ca="1"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2"/>
      <c r="N5096" s="1" t="e">
        <f ca="1"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2"/>
      <c r="N5097" s="1" t="e">
        <f ca="1"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2"/>
      <c r="N5098" s="1" t="e">
        <f ca="1"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2"/>
      <c r="N5099" s="1" t="e">
        <f ca="1"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2"/>
      <c r="N5100" s="1" t="e">
        <f ca="1"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2"/>
      <c r="N5101" s="1" t="e">
        <f ca="1"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2"/>
      <c r="N5102" s="1" t="e">
        <f ca="1"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2"/>
      <c r="N5103" s="1" t="e">
        <f ca="1"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2"/>
      <c r="N5104" s="1" t="e">
        <f ca="1"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2"/>
      <c r="N5105" s="1" t="e">
        <f ca="1"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2"/>
      <c r="N5106" s="1" t="e">
        <f ca="1"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2"/>
      <c r="N5107" s="1" t="e">
        <f ca="1"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2"/>
      <c r="N5108" s="1" t="e">
        <f ca="1"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2"/>
      <c r="N5109" s="1" t="e">
        <f ca="1"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2"/>
      <c r="N5110" s="1" t="e">
        <f ca="1"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2"/>
      <c r="N5111" s="1" t="e">
        <f ca="1"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2"/>
      <c r="N5112" s="1" t="e">
        <f ca="1"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2"/>
      <c r="N5113" s="1" t="e">
        <f ca="1"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2"/>
      <c r="N5114" s="1" t="e">
        <f ca="1"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4966</v>
      </c>
      <c r="J5115" s="1">
        <v>41</v>
      </c>
      <c r="K5115" s="1">
        <v>164</v>
      </c>
      <c r="L5115" s="42">
        <v>1</v>
      </c>
      <c r="M5115" s="222">
        <v>46049</v>
      </c>
      <c r="N5115" s="1" t="str">
        <f ca="1"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4966</v>
      </c>
      <c r="J5116" s="1">
        <v>2.5</v>
      </c>
      <c r="K5116" s="1">
        <v>10</v>
      </c>
      <c r="L5116" s="42">
        <v>1</v>
      </c>
      <c r="M5116" s="222">
        <v>46049</v>
      </c>
      <c r="N5116" s="1" t="str">
        <f ca="1"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4966</v>
      </c>
      <c r="J5117" s="1">
        <v>1.8</v>
      </c>
      <c r="K5117" s="1">
        <v>7.2</v>
      </c>
      <c r="L5117" s="42">
        <v>1</v>
      </c>
      <c r="M5117" s="222">
        <v>46049</v>
      </c>
      <c r="N5117" s="1" t="str">
        <f ca="1"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4966</v>
      </c>
      <c r="J5118" s="1">
        <v>16</v>
      </c>
      <c r="K5118" s="1">
        <v>480</v>
      </c>
      <c r="L5118" s="42">
        <v>1</v>
      </c>
      <c r="M5118" s="222">
        <v>46049</v>
      </c>
      <c r="N5118" s="1" t="str">
        <f ca="1"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4966</v>
      </c>
      <c r="J5119" s="1">
        <v>16</v>
      </c>
      <c r="K5119" s="1">
        <v>192</v>
      </c>
      <c r="L5119" s="42">
        <v>1</v>
      </c>
      <c r="M5119" s="222">
        <v>46049</v>
      </c>
      <c r="N5119" s="1" t="str">
        <f ca="1"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4969</v>
      </c>
      <c r="J5120" s="1">
        <v>11.5</v>
      </c>
      <c r="K5120" s="1">
        <v>345</v>
      </c>
      <c r="L5120" s="42">
        <v>1</v>
      </c>
      <c r="M5120" s="222">
        <v>46230</v>
      </c>
      <c r="N5120" s="1" t="str">
        <f ca="1"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5021</v>
      </c>
      <c r="J5121" s="1">
        <v>4.0999999999999996</v>
      </c>
      <c r="K5121" s="1">
        <v>122.99999999999999</v>
      </c>
      <c r="L5121" s="42">
        <v>1</v>
      </c>
      <c r="M5121" s="222">
        <v>46227</v>
      </c>
      <c r="N5121" s="1" t="str">
        <f ca="1"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2">
        <v>46240</v>
      </c>
      <c r="N5122" s="1" t="str">
        <f ca="1"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2">
        <v>46240</v>
      </c>
      <c r="N5123" s="1" t="str">
        <f ca="1"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2">
        <v>46240</v>
      </c>
      <c r="N5124" s="1" t="str">
        <f ca="1"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2">
        <v>46240</v>
      </c>
      <c r="N5125" s="1" t="str">
        <f ca="1"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2">
        <v>46240</v>
      </c>
      <c r="N5126" s="1" t="str">
        <f ca="1"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2">
        <v>46240</v>
      </c>
      <c r="N5127" s="1" t="str">
        <f ca="1"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2">
        <v>46240</v>
      </c>
      <c r="N5128" s="1" t="str">
        <f ca="1"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2">
        <v>46240</v>
      </c>
      <c r="N5129" s="1" t="str">
        <f ca="1"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5022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2">
        <v>46240</v>
      </c>
      <c r="N5130" s="1" t="str">
        <f ca="1"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2">
        <v>46240</v>
      </c>
      <c r="N5131" s="1" t="str">
        <f ca="1"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2">
        <v>46240</v>
      </c>
      <c r="N5132" s="1" t="str">
        <f ca="1"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2">
        <v>46240</v>
      </c>
      <c r="N5133" s="1" t="str">
        <f ca="1"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2">
        <v>46240</v>
      </c>
      <c r="N5134" s="1" t="str">
        <f ca="1"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2">
        <v>46240</v>
      </c>
      <c r="N5135" s="1" t="str">
        <f ca="1"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5038</v>
      </c>
      <c r="J5136" s="1">
        <v>19.8</v>
      </c>
      <c r="K5136" s="1">
        <v>99</v>
      </c>
      <c r="L5136" s="42">
        <v>1</v>
      </c>
      <c r="M5136" s="222">
        <v>46238</v>
      </c>
      <c r="N5136" s="1" t="str">
        <f ca="1"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5039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2">
        <v>46247</v>
      </c>
      <c r="N5137" s="1" t="str">
        <f ca="1"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5040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2">
        <v>46247</v>
      </c>
      <c r="N5138" s="1" t="str">
        <f ca="1"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30">
        <v>46254</v>
      </c>
      <c r="N5139" s="1" t="str">
        <f ca="1"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30">
        <v>46254</v>
      </c>
      <c r="N5140" s="1" t="str">
        <f ca="1"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5387</v>
      </c>
      <c r="F5141" s="1" t="s">
        <v>5388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30">
        <v>46254</v>
      </c>
      <c r="N5141" s="1" t="e">
        <f ca="1"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5387</v>
      </c>
      <c r="F5142" s="1" t="s">
        <v>5388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30">
        <v>46254</v>
      </c>
      <c r="N5142" s="1" t="e">
        <f ca="1"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30">
        <v>46254</v>
      </c>
      <c r="N5143" s="1" t="str">
        <f ca="1"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30">
        <v>46254</v>
      </c>
      <c r="N5144" s="1" t="str">
        <f ca="1"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30">
        <v>46254</v>
      </c>
      <c r="N5145" s="1" t="str">
        <f ca="1"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30">
        <v>46254</v>
      </c>
      <c r="N5146" s="1" t="str">
        <f ca="1"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30">
        <v>46254</v>
      </c>
      <c r="N5147" s="1" t="str">
        <f ca="1"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30">
        <v>46254</v>
      </c>
      <c r="N5148" s="1" t="str">
        <f ca="1"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30">
        <v>46254</v>
      </c>
      <c r="N5149" s="1" t="str">
        <f ca="1"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5387</v>
      </c>
      <c r="F5150" s="1" t="s">
        <v>5388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30">
        <v>46254</v>
      </c>
      <c r="N5150" s="1" t="e">
        <f ca="1"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5387</v>
      </c>
      <c r="F5151" s="1" t="s">
        <v>5388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30">
        <v>46254</v>
      </c>
      <c r="N5151" s="1" t="e">
        <f ca="1"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30">
        <v>46254</v>
      </c>
      <c r="N5152" s="1" t="str">
        <f ca="1"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30">
        <v>46254</v>
      </c>
      <c r="N5153" s="1" t="str">
        <f ca="1"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30">
        <v>46254</v>
      </c>
      <c r="N5154" s="1" t="str">
        <f ca="1"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30">
        <v>46254</v>
      </c>
      <c r="N5155" s="1" t="str">
        <f ca="1"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30">
        <v>46254</v>
      </c>
      <c r="N5156" s="1" t="str">
        <f ca="1"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5389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30">
        <v>46254</v>
      </c>
      <c r="N5157" s="1" t="str">
        <f ca="1"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30">
        <v>46254</v>
      </c>
      <c r="N5158" s="1" t="str">
        <f ca="1"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5390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30">
        <v>46254</v>
      </c>
      <c r="N5159" s="1" t="str">
        <f ca="1"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30">
        <v>46254</v>
      </c>
      <c r="N5160" s="1" t="str">
        <f ca="1">VLOOKUP(B5160,MICRO!E:L,8,0)</f>
        <v>P-198</v>
      </c>
    </row>
    <row r="5161" spans="1:14" ht="20.25" x14ac:dyDescent="0.25">
      <c r="A5161" s="1">
        <v>23</v>
      </c>
      <c r="B5161" s="159"/>
      <c r="C5161" s="1" t="s">
        <v>4866</v>
      </c>
      <c r="D5161" s="1" t="s">
        <v>4867</v>
      </c>
      <c r="E5161" s="1" t="s">
        <v>173</v>
      </c>
      <c r="F5161" s="1" t="s">
        <v>5391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30">
        <v>46254</v>
      </c>
      <c r="N5161" s="1" t="e">
        <f ca="1">VLOOKUP(B5161,MICRO!E:L,8,0)</f>
        <v>#N/A</v>
      </c>
    </row>
    <row r="5162" spans="1:14" ht="20.25" x14ac:dyDescent="0.25">
      <c r="A5162" s="1">
        <v>24</v>
      </c>
      <c r="B5162" s="159"/>
      <c r="C5162" s="1" t="s">
        <v>4866</v>
      </c>
      <c r="D5162" s="1" t="s">
        <v>4867</v>
      </c>
      <c r="E5162" s="1" t="s">
        <v>461</v>
      </c>
      <c r="F5162" s="1" t="s">
        <v>5392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30">
        <v>46254</v>
      </c>
      <c r="N5162" s="1" t="e">
        <f ca="1">VLOOKUP(B5162,MICRO!E:L,8,0)</f>
        <v>#N/A</v>
      </c>
    </row>
    <row r="5163" spans="1:14" ht="20.25" x14ac:dyDescent="0.25">
      <c r="A5163" s="1">
        <v>25</v>
      </c>
      <c r="B5163" s="159"/>
      <c r="C5163" s="1" t="s">
        <v>4866</v>
      </c>
      <c r="D5163" s="1" t="s">
        <v>4867</v>
      </c>
      <c r="E5163" s="1" t="s">
        <v>464</v>
      </c>
      <c r="F5163" s="1" t="s">
        <v>5393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30">
        <v>46254</v>
      </c>
      <c r="N5163" s="1" t="e">
        <f ca="1"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4878</v>
      </c>
      <c r="D5164" s="1" t="s">
        <v>4879</v>
      </c>
      <c r="E5164" s="1" t="s">
        <v>173</v>
      </c>
      <c r="F5164" s="1" t="s">
        <v>5394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30">
        <v>46254</v>
      </c>
      <c r="N5164" s="1" t="str">
        <f ca="1"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4878</v>
      </c>
      <c r="D5165" s="1" t="s">
        <v>4879</v>
      </c>
      <c r="E5165" s="1" t="s">
        <v>1102</v>
      </c>
      <c r="F5165" s="1" t="s">
        <v>5395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30">
        <v>46254</v>
      </c>
      <c r="N5165" s="1" t="str">
        <f ca="1"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4878</v>
      </c>
      <c r="D5166" s="1" t="s">
        <v>4879</v>
      </c>
      <c r="E5166" s="1" t="s">
        <v>1103</v>
      </c>
      <c r="F5166" s="1" t="s">
        <v>5396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30">
        <v>46254</v>
      </c>
      <c r="N5166" s="1" t="str">
        <f ca="1"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4878</v>
      </c>
      <c r="D5167" s="1" t="s">
        <v>4879</v>
      </c>
      <c r="E5167" s="1" t="s">
        <v>1104</v>
      </c>
      <c r="F5167" s="1" t="s">
        <v>5397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30">
        <v>46254</v>
      </c>
      <c r="N5167" s="1" t="str">
        <f ca="1"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4878</v>
      </c>
      <c r="D5168" s="1" t="s">
        <v>4879</v>
      </c>
      <c r="E5168" s="1" t="s">
        <v>1105</v>
      </c>
      <c r="F5168" s="1" t="s">
        <v>5398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30">
        <v>46254</v>
      </c>
      <c r="N5168" s="1" t="str">
        <f ca="1"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4878</v>
      </c>
      <c r="D5169" s="1" t="s">
        <v>4879</v>
      </c>
      <c r="E5169" s="1" t="s">
        <v>1106</v>
      </c>
      <c r="F5169" s="1" t="s">
        <v>5399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30">
        <v>46254</v>
      </c>
      <c r="N5169" s="1" t="str">
        <f ca="1"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4878</v>
      </c>
      <c r="D5170" s="1" t="s">
        <v>4879</v>
      </c>
      <c r="E5170" s="1" t="s">
        <v>2310</v>
      </c>
      <c r="F5170" s="1" t="s">
        <v>5400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30">
        <v>46254</v>
      </c>
      <c r="N5170" s="1" t="str">
        <f ca="1"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4911</v>
      </c>
      <c r="D5171" s="1" t="s">
        <v>4912</v>
      </c>
      <c r="E5171" s="1" t="s">
        <v>461</v>
      </c>
      <c r="F5171" s="1" t="s">
        <v>5401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30">
        <v>46254</v>
      </c>
      <c r="N5171" s="1" t="str">
        <f ca="1">VLOOKUP(B5171,MICRO!E:L,8,0)</f>
        <v>P-198</v>
      </c>
    </row>
    <row r="5172" spans="1:14" ht="20.25" x14ac:dyDescent="0.25">
      <c r="A5172" s="1">
        <v>1</v>
      </c>
      <c r="B5172" s="159"/>
      <c r="C5172" s="1" t="s">
        <v>140</v>
      </c>
      <c r="D5172" s="1"/>
      <c r="E5172" s="1"/>
      <c r="F5172" s="1" t="s">
        <v>1190</v>
      </c>
      <c r="G5172" s="1">
        <v>12</v>
      </c>
      <c r="H5172" s="1" t="s">
        <v>19</v>
      </c>
      <c r="I5172" s="1" t="s">
        <v>2276</v>
      </c>
      <c r="J5172" s="1">
        <v>8.5</v>
      </c>
      <c r="K5172" s="1">
        <v>102</v>
      </c>
      <c r="L5172" s="42">
        <v>14</v>
      </c>
      <c r="M5172" s="43">
        <v>46261</v>
      </c>
      <c r="N5172" s="1" t="e">
        <f ca="1">VLOOKUP(B5172,MICRO!E:L,8,0)</f>
        <v>#N/A</v>
      </c>
    </row>
    <row r="5173" spans="1:14" ht="20.25" x14ac:dyDescent="0.25">
      <c r="A5173" s="1">
        <v>2</v>
      </c>
      <c r="B5173" s="159">
        <v>3415</v>
      </c>
      <c r="C5173" s="1" t="s">
        <v>2288</v>
      </c>
      <c r="D5173" s="1"/>
      <c r="E5173" s="1"/>
      <c r="F5173" s="1" t="s">
        <v>2289</v>
      </c>
      <c r="G5173" s="1">
        <v>14</v>
      </c>
      <c r="H5173" s="1" t="s">
        <v>19</v>
      </c>
      <c r="I5173" s="1" t="s">
        <v>2276</v>
      </c>
      <c r="J5173" s="1">
        <v>8.5</v>
      </c>
      <c r="K5173" s="1">
        <v>119</v>
      </c>
      <c r="L5173" s="42">
        <v>14</v>
      </c>
      <c r="M5173" s="43">
        <v>46261</v>
      </c>
      <c r="N5173" s="1" t="str">
        <f ca="1">VLOOKUP(B5173,MICRO!E:L,8,0)</f>
        <v>P-188</v>
      </c>
    </row>
    <row r="5174" spans="1:14" ht="20.25" x14ac:dyDescent="0.25">
      <c r="A5174" s="1">
        <v>3</v>
      </c>
      <c r="B5174" s="159">
        <v>3417</v>
      </c>
      <c r="C5174" s="1" t="s">
        <v>82</v>
      </c>
      <c r="D5174" s="1"/>
      <c r="E5174" s="1"/>
      <c r="F5174" s="1" t="s">
        <v>2290</v>
      </c>
      <c r="G5174" s="1">
        <v>2</v>
      </c>
      <c r="H5174" s="1" t="s">
        <v>19</v>
      </c>
      <c r="I5174" s="1" t="s">
        <v>2276</v>
      </c>
      <c r="J5174" s="1">
        <v>19.8</v>
      </c>
      <c r="K5174" s="1">
        <v>39.6</v>
      </c>
      <c r="L5174" s="42">
        <v>14</v>
      </c>
      <c r="M5174" s="43">
        <v>46261</v>
      </c>
      <c r="N5174" s="1" t="str">
        <f ca="1">VLOOKUP(B5174,MICRO!E:L,8,0)</f>
        <v>P-188</v>
      </c>
    </row>
    <row r="5175" spans="1:14" ht="20.25" x14ac:dyDescent="0.25">
      <c r="A5175" s="1">
        <v>4</v>
      </c>
      <c r="B5175" s="159"/>
      <c r="C5175" s="1" t="s">
        <v>5418</v>
      </c>
      <c r="D5175" s="1"/>
      <c r="E5175" s="1"/>
      <c r="F5175" s="1" t="s">
        <v>5419</v>
      </c>
      <c r="G5175" s="1">
        <v>4</v>
      </c>
      <c r="H5175" s="1" t="s">
        <v>19</v>
      </c>
      <c r="I5175" s="1" t="s">
        <v>4085</v>
      </c>
      <c r="J5175" s="1">
        <v>0.03</v>
      </c>
      <c r="K5175" s="1">
        <v>0.12</v>
      </c>
      <c r="L5175" s="42">
        <v>14</v>
      </c>
      <c r="M5175" s="43">
        <v>46261</v>
      </c>
      <c r="N5175" s="1" t="e">
        <f ca="1">VLOOKUP(B5175,MICRO!E:L,8,0)</f>
        <v>#N/A</v>
      </c>
    </row>
    <row r="5176" spans="1:14" ht="20.25" x14ac:dyDescent="0.25">
      <c r="A5176" s="1">
        <v>5</v>
      </c>
      <c r="B5176" s="159"/>
      <c r="C5176" s="1" t="s">
        <v>5418</v>
      </c>
      <c r="D5176" s="1"/>
      <c r="E5176" s="1"/>
      <c r="F5176" s="1" t="s">
        <v>5420</v>
      </c>
      <c r="G5176" s="1">
        <v>2</v>
      </c>
      <c r="H5176" s="1" t="s">
        <v>19</v>
      </c>
      <c r="I5176" s="1" t="s">
        <v>4085</v>
      </c>
      <c r="J5176" s="1">
        <v>0.05</v>
      </c>
      <c r="K5176" s="1">
        <v>0.1</v>
      </c>
      <c r="L5176" s="42">
        <v>14</v>
      </c>
      <c r="M5176" s="43">
        <v>46261</v>
      </c>
      <c r="N5176" s="1" t="e">
        <f ca="1">VLOOKUP(B5176,MICRO!E:L,8,0)</f>
        <v>#N/A</v>
      </c>
    </row>
    <row r="5177" spans="1:14" ht="20.25" x14ac:dyDescent="0.25">
      <c r="A5177" s="1">
        <v>6</v>
      </c>
      <c r="B5177" s="159"/>
      <c r="C5177" s="1" t="s">
        <v>5418</v>
      </c>
      <c r="D5177" s="1"/>
      <c r="E5177" s="1"/>
      <c r="F5177" s="1" t="s">
        <v>5421</v>
      </c>
      <c r="G5177" s="1">
        <v>4</v>
      </c>
      <c r="H5177" s="1" t="s">
        <v>19</v>
      </c>
      <c r="I5177" s="1" t="s">
        <v>4085</v>
      </c>
      <c r="J5177" s="1">
        <v>0.04</v>
      </c>
      <c r="K5177" s="1">
        <v>0.16</v>
      </c>
      <c r="L5177" s="42">
        <v>14</v>
      </c>
      <c r="M5177" s="43">
        <v>46261</v>
      </c>
      <c r="N5177" s="1" t="e">
        <f ca="1">VLOOKUP(B5177,MICRO!E:L,8,0)</f>
        <v>#N/A</v>
      </c>
    </row>
    <row r="5178" spans="1:14" ht="20.25" x14ac:dyDescent="0.25">
      <c r="A5178" s="1">
        <v>7</v>
      </c>
      <c r="B5178" s="159"/>
      <c r="C5178" s="1" t="s">
        <v>5422</v>
      </c>
      <c r="D5178" s="1"/>
      <c r="E5178" s="1"/>
      <c r="F5178" s="1" t="s">
        <v>5423</v>
      </c>
      <c r="G5178" s="1">
        <v>264</v>
      </c>
      <c r="H5178" s="1" t="s">
        <v>19</v>
      </c>
      <c r="I5178" s="1" t="s">
        <v>4085</v>
      </c>
      <c r="J5178" s="1">
        <v>0.05</v>
      </c>
      <c r="K5178" s="1">
        <v>13.200000000000001</v>
      </c>
      <c r="L5178" s="42">
        <v>14</v>
      </c>
      <c r="M5178" s="43">
        <v>46261</v>
      </c>
      <c r="N5178" s="1" t="e">
        <f ca="1">VLOOKUP(B5178,MICRO!E:L,8,0)</f>
        <v>#N/A</v>
      </c>
    </row>
    <row r="5179" spans="1:14" ht="20.25" x14ac:dyDescent="0.25">
      <c r="A5179" s="1">
        <v>8</v>
      </c>
      <c r="B5179" s="159"/>
      <c r="C5179" s="1" t="s">
        <v>5422</v>
      </c>
      <c r="D5179" s="1"/>
      <c r="E5179" s="1"/>
      <c r="F5179" s="1" t="s">
        <v>5424</v>
      </c>
      <c r="G5179" s="1">
        <v>264</v>
      </c>
      <c r="H5179" s="1" t="s">
        <v>19</v>
      </c>
      <c r="I5179" s="1" t="s">
        <v>4085</v>
      </c>
      <c r="J5179" s="1">
        <v>0.03</v>
      </c>
      <c r="K5179" s="1">
        <v>7.92</v>
      </c>
      <c r="L5179" s="42">
        <v>14</v>
      </c>
      <c r="M5179" s="43">
        <v>46261</v>
      </c>
      <c r="N5179" s="1" t="e">
        <f ca="1">VLOOKUP(B5179,MICRO!E:L,8,0)</f>
        <v>#N/A</v>
      </c>
    </row>
    <row r="5180" spans="1:14" ht="20.25" x14ac:dyDescent="0.25">
      <c r="A5180" s="1">
        <v>9</v>
      </c>
      <c r="B5180" s="159"/>
      <c r="C5180" s="1" t="s">
        <v>5422</v>
      </c>
      <c r="D5180" s="1"/>
      <c r="E5180" s="1"/>
      <c r="F5180" s="1" t="s">
        <v>5425</v>
      </c>
      <c r="G5180" s="1">
        <v>264</v>
      </c>
      <c r="H5180" s="1" t="s">
        <v>19</v>
      </c>
      <c r="I5180" s="1" t="s">
        <v>4085</v>
      </c>
      <c r="J5180" s="1">
        <v>0.01</v>
      </c>
      <c r="K5180" s="1">
        <v>2.64</v>
      </c>
      <c r="L5180" s="42">
        <v>14</v>
      </c>
      <c r="M5180" s="43">
        <v>46261</v>
      </c>
      <c r="N5180" s="1" t="e">
        <f ca="1">VLOOKUP(B5180,MICRO!E:L,8,0)</f>
        <v>#N/A</v>
      </c>
    </row>
    <row r="5181" spans="1:14" ht="20.25" x14ac:dyDescent="0.25">
      <c r="A5181" s="1">
        <v>10</v>
      </c>
      <c r="B5181" s="159"/>
      <c r="C5181" s="1" t="s">
        <v>5426</v>
      </c>
      <c r="D5181" s="1"/>
      <c r="E5181" s="1"/>
      <c r="F5181" s="1" t="s">
        <v>5427</v>
      </c>
      <c r="G5181" s="1">
        <v>264</v>
      </c>
      <c r="H5181" s="1" t="s">
        <v>19</v>
      </c>
      <c r="I5181" s="1" t="s">
        <v>4085</v>
      </c>
      <c r="J5181" s="1">
        <v>0.05</v>
      </c>
      <c r="K5181" s="1">
        <v>13.200000000000001</v>
      </c>
      <c r="L5181" s="42">
        <v>14</v>
      </c>
      <c r="M5181" s="43">
        <v>46261</v>
      </c>
      <c r="N5181" s="1" t="e">
        <f ca="1">VLOOKUP(B5181,MICRO!E:L,8,0)</f>
        <v>#N/A</v>
      </c>
    </row>
    <row r="5182" spans="1:14" ht="20.25" x14ac:dyDescent="0.25">
      <c r="A5182" s="1">
        <v>11</v>
      </c>
      <c r="B5182" s="159"/>
      <c r="C5182" s="1" t="s">
        <v>5426</v>
      </c>
      <c r="D5182" s="1"/>
      <c r="E5182" s="1"/>
      <c r="F5182" s="1" t="s">
        <v>5428</v>
      </c>
      <c r="G5182" s="1">
        <v>264</v>
      </c>
      <c r="H5182" s="1" t="s">
        <v>19</v>
      </c>
      <c r="I5182" s="1" t="s">
        <v>4085</v>
      </c>
      <c r="J5182" s="1">
        <v>0.03</v>
      </c>
      <c r="K5182" s="1">
        <v>7.92</v>
      </c>
      <c r="L5182" s="42">
        <v>14</v>
      </c>
      <c r="M5182" s="43">
        <v>46261</v>
      </c>
      <c r="N5182" s="1" t="e">
        <f ca="1">VLOOKUP(B5182,MICRO!E:L,8,0)</f>
        <v>#N/A</v>
      </c>
    </row>
    <row r="5183" spans="1:14" ht="20.25" x14ac:dyDescent="0.25">
      <c r="A5183" s="1">
        <v>12</v>
      </c>
      <c r="B5183" s="159"/>
      <c r="C5183" s="1" t="s">
        <v>5426</v>
      </c>
      <c r="D5183" s="1"/>
      <c r="E5183" s="1"/>
      <c r="F5183" s="1" t="s">
        <v>5429</v>
      </c>
      <c r="G5183" s="1">
        <v>264</v>
      </c>
      <c r="H5183" s="1" t="s">
        <v>19</v>
      </c>
      <c r="I5183" s="1" t="s">
        <v>4085</v>
      </c>
      <c r="J5183" s="1">
        <v>0.01</v>
      </c>
      <c r="K5183" s="1">
        <v>2.64</v>
      </c>
      <c r="L5183" s="42">
        <v>14</v>
      </c>
      <c r="M5183" s="43">
        <v>46261</v>
      </c>
      <c r="N5183" s="1" t="e">
        <f ca="1">VLOOKUP(B5183,MICRO!E:L,8,0)</f>
        <v>#N/A</v>
      </c>
    </row>
    <row r="5184" spans="1:14" ht="20.25" x14ac:dyDescent="0.25">
      <c r="A5184" s="1">
        <v>13</v>
      </c>
      <c r="B5184" s="159"/>
      <c r="C5184" s="1" t="s">
        <v>5430</v>
      </c>
      <c r="D5184" s="1"/>
      <c r="E5184" s="1"/>
      <c r="F5184" s="1" t="s">
        <v>5431</v>
      </c>
      <c r="G5184" s="1">
        <v>32</v>
      </c>
      <c r="H5184" s="1" t="s">
        <v>19</v>
      </c>
      <c r="I5184" s="1" t="s">
        <v>4085</v>
      </c>
      <c r="J5184" s="1">
        <v>0.05</v>
      </c>
      <c r="K5184" s="1">
        <v>1.6</v>
      </c>
      <c r="L5184" s="42">
        <v>14</v>
      </c>
      <c r="M5184" s="43">
        <v>46261</v>
      </c>
      <c r="N5184" s="1" t="e">
        <f ca="1">VLOOKUP(B5184,MICRO!E:L,8,0)</f>
        <v>#N/A</v>
      </c>
    </row>
    <row r="5185" spans="1:14" ht="20.25" x14ac:dyDescent="0.25">
      <c r="A5185" s="1">
        <v>14</v>
      </c>
      <c r="B5185" s="159"/>
      <c r="C5185" s="1" t="s">
        <v>5430</v>
      </c>
      <c r="D5185" s="1"/>
      <c r="E5185" s="1"/>
      <c r="F5185" s="1" t="s">
        <v>5432</v>
      </c>
      <c r="G5185" s="1">
        <v>16</v>
      </c>
      <c r="H5185" s="1" t="s">
        <v>19</v>
      </c>
      <c r="I5185" s="1" t="s">
        <v>4085</v>
      </c>
      <c r="J5185" s="1">
        <v>0.01</v>
      </c>
      <c r="K5185" s="1">
        <v>0.16</v>
      </c>
      <c r="L5185" s="42">
        <v>14</v>
      </c>
      <c r="M5185" s="43">
        <v>46261</v>
      </c>
      <c r="N5185" s="1" t="e">
        <f ca="1">VLOOKUP(B5185,MICRO!E:L,8,0)</f>
        <v>#N/A</v>
      </c>
    </row>
    <row r="5186" spans="1:14" ht="20.25" x14ac:dyDescent="0.25">
      <c r="A5186" s="1">
        <v>15</v>
      </c>
      <c r="B5186" s="159"/>
      <c r="C5186" s="1" t="s">
        <v>5433</v>
      </c>
      <c r="D5186" s="1"/>
      <c r="E5186" s="1"/>
      <c r="F5186" s="1" t="s">
        <v>5434</v>
      </c>
      <c r="G5186" s="1">
        <v>8</v>
      </c>
      <c r="H5186" s="1" t="s">
        <v>19</v>
      </c>
      <c r="I5186" s="1" t="s">
        <v>4085</v>
      </c>
      <c r="J5186" s="1">
        <v>0.05</v>
      </c>
      <c r="K5186" s="1">
        <v>0.4</v>
      </c>
      <c r="L5186" s="42">
        <v>14</v>
      </c>
      <c r="M5186" s="43">
        <v>46261</v>
      </c>
      <c r="N5186" s="1" t="e">
        <f ca="1">VLOOKUP(B5186,MICRO!E:L,8,0)</f>
        <v>#N/A</v>
      </c>
    </row>
    <row r="5187" spans="1:14" ht="20.25" x14ac:dyDescent="0.25">
      <c r="A5187" s="1">
        <v>16</v>
      </c>
      <c r="B5187" s="159"/>
      <c r="C5187" s="1" t="s">
        <v>5433</v>
      </c>
      <c r="D5187" s="1"/>
      <c r="E5187" s="1"/>
      <c r="F5187" s="1" t="s">
        <v>5435</v>
      </c>
      <c r="G5187" s="1">
        <v>8</v>
      </c>
      <c r="H5187" s="1" t="s">
        <v>19</v>
      </c>
      <c r="I5187" s="1" t="s">
        <v>4085</v>
      </c>
      <c r="J5187" s="1">
        <v>0.03</v>
      </c>
      <c r="K5187" s="1">
        <v>0.24</v>
      </c>
      <c r="L5187" s="42">
        <v>14</v>
      </c>
      <c r="M5187" s="43">
        <v>46261</v>
      </c>
      <c r="N5187" s="1" t="e">
        <f ca="1">VLOOKUP(B5187,MICRO!E:L,8,0)</f>
        <v>#N/A</v>
      </c>
    </row>
    <row r="5188" spans="1:14" ht="20.25" x14ac:dyDescent="0.25">
      <c r="A5188" s="1">
        <v>17</v>
      </c>
      <c r="B5188" s="159"/>
      <c r="C5188" s="1" t="s">
        <v>5433</v>
      </c>
      <c r="D5188" s="1"/>
      <c r="E5188" s="1"/>
      <c r="F5188" s="1" t="s">
        <v>5436</v>
      </c>
      <c r="G5188" s="1">
        <v>8</v>
      </c>
      <c r="H5188" s="1" t="s">
        <v>19</v>
      </c>
      <c r="I5188" s="1" t="s">
        <v>4085</v>
      </c>
      <c r="J5188" s="1">
        <v>0.01</v>
      </c>
      <c r="K5188" s="1">
        <v>0.08</v>
      </c>
      <c r="L5188" s="42">
        <v>14</v>
      </c>
      <c r="M5188" s="43">
        <v>46261</v>
      </c>
      <c r="N5188" s="1" t="e">
        <f ca="1">VLOOKUP(B5188,MICRO!E:L,8,0)</f>
        <v>#N/A</v>
      </c>
    </row>
    <row r="5189" spans="1:14" ht="20.25" x14ac:dyDescent="0.25">
      <c r="A5189" s="1">
        <v>18</v>
      </c>
      <c r="B5189" s="159"/>
      <c r="C5189" s="1" t="s">
        <v>5433</v>
      </c>
      <c r="D5189" s="1"/>
      <c r="E5189" s="1"/>
      <c r="F5189" s="1" t="s">
        <v>5437</v>
      </c>
      <c r="G5189" s="1">
        <v>8</v>
      </c>
      <c r="H5189" s="1" t="s">
        <v>19</v>
      </c>
      <c r="I5189" s="1" t="s">
        <v>4085</v>
      </c>
      <c r="J5189" s="1">
        <v>0.05</v>
      </c>
      <c r="K5189" s="1">
        <v>0.4</v>
      </c>
      <c r="L5189" s="42">
        <v>14</v>
      </c>
      <c r="M5189" s="43">
        <v>46261</v>
      </c>
      <c r="N5189" s="1" t="e">
        <f ca="1">VLOOKUP(B5189,MICRO!E:L,8,0)</f>
        <v>#N/A</v>
      </c>
    </row>
    <row r="5190" spans="1:14" ht="20.25" x14ac:dyDescent="0.25">
      <c r="A5190" s="1">
        <v>19</v>
      </c>
      <c r="B5190" s="159"/>
      <c r="C5190" s="1" t="s">
        <v>5433</v>
      </c>
      <c r="D5190" s="1"/>
      <c r="E5190" s="1"/>
      <c r="F5190" s="1" t="s">
        <v>5438</v>
      </c>
      <c r="G5190" s="1">
        <v>8</v>
      </c>
      <c r="H5190" s="1" t="s">
        <v>19</v>
      </c>
      <c r="I5190" s="1" t="s">
        <v>4085</v>
      </c>
      <c r="J5190" s="1">
        <v>0.03</v>
      </c>
      <c r="K5190" s="1">
        <v>0.24</v>
      </c>
      <c r="L5190" s="42">
        <v>14</v>
      </c>
      <c r="M5190" s="43">
        <v>46261</v>
      </c>
      <c r="N5190" s="1" t="e">
        <f ca="1">VLOOKUP(B5190,MICRO!E:L,8,0)</f>
        <v>#N/A</v>
      </c>
    </row>
    <row r="5191" spans="1:14" ht="20.25" x14ac:dyDescent="0.25">
      <c r="A5191" s="1">
        <v>20</v>
      </c>
      <c r="B5191" s="159"/>
      <c r="C5191" s="1" t="s">
        <v>5433</v>
      </c>
      <c r="D5191" s="1"/>
      <c r="E5191" s="1"/>
      <c r="F5191" s="1" t="s">
        <v>5439</v>
      </c>
      <c r="G5191" s="1">
        <v>8</v>
      </c>
      <c r="H5191" s="1" t="s">
        <v>19</v>
      </c>
      <c r="I5191" s="1" t="s">
        <v>4085</v>
      </c>
      <c r="J5191" s="1">
        <v>0.01</v>
      </c>
      <c r="K5191" s="1">
        <v>0.08</v>
      </c>
      <c r="L5191" s="42">
        <v>14</v>
      </c>
      <c r="M5191" s="43">
        <v>46261</v>
      </c>
      <c r="N5191" s="1" t="e">
        <f ca="1">VLOOKUP(B5191,MICRO!E:L,8,0)</f>
        <v>#N/A</v>
      </c>
    </row>
    <row r="5192" spans="1:14" ht="20.25" x14ac:dyDescent="0.25">
      <c r="A5192" s="1">
        <v>21</v>
      </c>
      <c r="B5192" s="159"/>
      <c r="C5192" s="1" t="s">
        <v>5433</v>
      </c>
      <c r="D5192" s="1"/>
      <c r="E5192" s="1"/>
      <c r="F5192" s="1" t="s">
        <v>5440</v>
      </c>
      <c r="G5192" s="1">
        <v>8</v>
      </c>
      <c r="H5192" s="1" t="s">
        <v>19</v>
      </c>
      <c r="I5192" s="1" t="s">
        <v>4085</v>
      </c>
      <c r="J5192" s="1">
        <v>0.05</v>
      </c>
      <c r="K5192" s="1">
        <v>0.4</v>
      </c>
      <c r="L5192" s="42">
        <v>14</v>
      </c>
      <c r="M5192" s="43">
        <v>46261</v>
      </c>
      <c r="N5192" s="1" t="e">
        <f ca="1">VLOOKUP(B5192,MICRO!E:L,8,0)</f>
        <v>#N/A</v>
      </c>
    </row>
    <row r="5193" spans="1:14" ht="20.25" x14ac:dyDescent="0.25">
      <c r="A5193" s="1">
        <v>22</v>
      </c>
      <c r="B5193" s="159"/>
      <c r="C5193" s="1" t="s">
        <v>5433</v>
      </c>
      <c r="D5193" s="1"/>
      <c r="E5193" s="1"/>
      <c r="F5193" s="1" t="s">
        <v>5441</v>
      </c>
      <c r="G5193" s="1">
        <v>8</v>
      </c>
      <c r="H5193" s="1" t="s">
        <v>19</v>
      </c>
      <c r="I5193" s="1" t="s">
        <v>4085</v>
      </c>
      <c r="J5193" s="1">
        <v>0.03</v>
      </c>
      <c r="K5193" s="1">
        <v>0.24</v>
      </c>
      <c r="L5193" s="42">
        <v>14</v>
      </c>
      <c r="M5193" s="43">
        <v>46261</v>
      </c>
      <c r="N5193" s="1" t="e">
        <f ca="1">VLOOKUP(B5193,MICRO!E:L,8,0)</f>
        <v>#N/A</v>
      </c>
    </row>
    <row r="5194" spans="1:14" ht="20.25" x14ac:dyDescent="0.25">
      <c r="A5194" s="1">
        <v>23</v>
      </c>
      <c r="B5194" s="159"/>
      <c r="C5194" s="1" t="s">
        <v>5433</v>
      </c>
      <c r="D5194" s="1"/>
      <c r="E5194" s="1"/>
      <c r="F5194" s="1" t="s">
        <v>5442</v>
      </c>
      <c r="G5194" s="1">
        <v>8</v>
      </c>
      <c r="H5194" s="1" t="s">
        <v>19</v>
      </c>
      <c r="I5194" s="1" t="s">
        <v>4085</v>
      </c>
      <c r="J5194" s="1">
        <v>0.01</v>
      </c>
      <c r="K5194" s="1">
        <v>0.08</v>
      </c>
      <c r="L5194" s="42">
        <v>14</v>
      </c>
      <c r="M5194" s="43">
        <v>46261</v>
      </c>
      <c r="N5194" s="1" t="e">
        <f ca="1">VLOOKUP(B5194,MICRO!E:L,8,0)</f>
        <v>#N/A</v>
      </c>
    </row>
    <row r="5195" spans="1:14" ht="20.25" x14ac:dyDescent="0.25">
      <c r="A5195" s="1">
        <v>24</v>
      </c>
      <c r="B5195" s="159"/>
      <c r="C5195" s="1" t="s">
        <v>5433</v>
      </c>
      <c r="D5195" s="1"/>
      <c r="E5195" s="1"/>
      <c r="F5195" s="1" t="s">
        <v>5443</v>
      </c>
      <c r="G5195" s="1">
        <v>20</v>
      </c>
      <c r="H5195" s="1" t="s">
        <v>19</v>
      </c>
      <c r="I5195" s="1" t="s">
        <v>4085</v>
      </c>
      <c r="J5195" s="1">
        <v>0.05</v>
      </c>
      <c r="K5195" s="1">
        <v>1</v>
      </c>
      <c r="L5195" s="42">
        <v>14</v>
      </c>
      <c r="M5195" s="43">
        <v>46261</v>
      </c>
      <c r="N5195" s="1" t="e">
        <f ca="1">VLOOKUP(B5195,MICRO!E:L,8,0)</f>
        <v>#N/A</v>
      </c>
    </row>
    <row r="5196" spans="1:14" ht="20.25" x14ac:dyDescent="0.25">
      <c r="A5196" s="1">
        <v>25</v>
      </c>
      <c r="B5196" s="159"/>
      <c r="C5196" s="1" t="s">
        <v>5433</v>
      </c>
      <c r="D5196" s="1"/>
      <c r="E5196" s="1"/>
      <c r="F5196" s="1" t="s">
        <v>5444</v>
      </c>
      <c r="G5196" s="1">
        <v>40</v>
      </c>
      <c r="H5196" s="1" t="s">
        <v>19</v>
      </c>
      <c r="I5196" s="1" t="s">
        <v>4085</v>
      </c>
      <c r="J5196" s="1">
        <v>0.03</v>
      </c>
      <c r="K5196" s="1">
        <v>1.2</v>
      </c>
      <c r="L5196" s="42">
        <v>14</v>
      </c>
      <c r="M5196" s="43">
        <v>46261</v>
      </c>
      <c r="N5196" s="1" t="e">
        <f ca="1">VLOOKUP(B5196,MICRO!E:L,8,0)</f>
        <v>#N/A</v>
      </c>
    </row>
    <row r="5197" spans="1:14" ht="20.25" x14ac:dyDescent="0.25">
      <c r="A5197" s="1">
        <v>26</v>
      </c>
      <c r="B5197" s="159"/>
      <c r="C5197" s="1" t="s">
        <v>5445</v>
      </c>
      <c r="D5197" s="1"/>
      <c r="E5197" s="1"/>
      <c r="F5197" s="1" t="s">
        <v>5446</v>
      </c>
      <c r="G5197" s="1">
        <v>32</v>
      </c>
      <c r="H5197" s="1" t="s">
        <v>19</v>
      </c>
      <c r="I5197" s="1" t="s">
        <v>4085</v>
      </c>
      <c r="J5197" s="1">
        <v>0.05</v>
      </c>
      <c r="K5197" s="1">
        <v>1.6</v>
      </c>
      <c r="L5197" s="42">
        <v>14</v>
      </c>
      <c r="M5197" s="43">
        <v>46261</v>
      </c>
      <c r="N5197" s="1" t="e">
        <f ca="1">VLOOKUP(B5197,MICRO!E:L,8,0)</f>
        <v>#N/A</v>
      </c>
    </row>
    <row r="5198" spans="1:14" ht="20.25" x14ac:dyDescent="0.25">
      <c r="A5198" s="1">
        <v>27</v>
      </c>
      <c r="B5198" s="159"/>
      <c r="C5198" s="1" t="s">
        <v>5445</v>
      </c>
      <c r="D5198" s="1"/>
      <c r="E5198" s="1"/>
      <c r="F5198" s="1" t="s">
        <v>5447</v>
      </c>
      <c r="G5198" s="1">
        <v>32</v>
      </c>
      <c r="H5198" s="1" t="s">
        <v>19</v>
      </c>
      <c r="I5198" s="1" t="s">
        <v>4085</v>
      </c>
      <c r="J5198" s="1">
        <v>0.03</v>
      </c>
      <c r="K5198" s="1">
        <v>0.96</v>
      </c>
      <c r="L5198" s="42">
        <v>14</v>
      </c>
      <c r="M5198" s="43">
        <v>46261</v>
      </c>
      <c r="N5198" s="1" t="e">
        <f ca="1">VLOOKUP(B5198,MICRO!E:L,8,0)</f>
        <v>#N/A</v>
      </c>
    </row>
    <row r="5199" spans="1:14" ht="20.25" x14ac:dyDescent="0.25">
      <c r="A5199" s="1">
        <v>28</v>
      </c>
      <c r="B5199" s="159"/>
      <c r="C5199" s="1" t="s">
        <v>5445</v>
      </c>
      <c r="D5199" s="1"/>
      <c r="E5199" s="1"/>
      <c r="F5199" s="1" t="s">
        <v>5448</v>
      </c>
      <c r="G5199" s="1">
        <v>32</v>
      </c>
      <c r="H5199" s="1" t="s">
        <v>19</v>
      </c>
      <c r="I5199" s="1" t="s">
        <v>4085</v>
      </c>
      <c r="J5199" s="1">
        <v>0.01</v>
      </c>
      <c r="K5199" s="1">
        <v>0.32</v>
      </c>
      <c r="L5199" s="42">
        <v>14</v>
      </c>
      <c r="M5199" s="43">
        <v>46261</v>
      </c>
      <c r="N5199" s="1" t="e">
        <f ca="1">VLOOKUP(B5199,MICRO!E:L,8,0)</f>
        <v>#N/A</v>
      </c>
    </row>
    <row r="5200" spans="1:14" ht="20.25" x14ac:dyDescent="0.25">
      <c r="A5200" s="1">
        <v>29</v>
      </c>
      <c r="B5200" s="159"/>
      <c r="C5200" s="1" t="s">
        <v>5449</v>
      </c>
      <c r="D5200" s="1"/>
      <c r="E5200" s="1"/>
      <c r="F5200" s="1" t="s">
        <v>5450</v>
      </c>
      <c r="G5200" s="1">
        <v>160</v>
      </c>
      <c r="H5200" s="1" t="s">
        <v>19</v>
      </c>
      <c r="I5200" s="1" t="s">
        <v>4085</v>
      </c>
      <c r="J5200" s="1">
        <v>0.05</v>
      </c>
      <c r="K5200" s="1">
        <v>8</v>
      </c>
      <c r="L5200" s="42">
        <v>14</v>
      </c>
      <c r="M5200" s="43">
        <v>46261</v>
      </c>
      <c r="N5200" s="1" t="e">
        <f ca="1">VLOOKUP(B5200,MICRO!E:L,8,0)</f>
        <v>#N/A</v>
      </c>
    </row>
    <row r="5201" spans="1:14" ht="20.25" x14ac:dyDescent="0.25">
      <c r="A5201" s="1">
        <v>30</v>
      </c>
      <c r="B5201" s="159"/>
      <c r="C5201" s="1" t="s">
        <v>5449</v>
      </c>
      <c r="D5201" s="1"/>
      <c r="E5201" s="1"/>
      <c r="F5201" s="1" t="s">
        <v>5451</v>
      </c>
      <c r="G5201" s="1">
        <v>160</v>
      </c>
      <c r="H5201" s="1" t="s">
        <v>19</v>
      </c>
      <c r="I5201" s="1" t="s">
        <v>4085</v>
      </c>
      <c r="J5201" s="1">
        <v>0.03</v>
      </c>
      <c r="K5201" s="1">
        <v>4.8</v>
      </c>
      <c r="L5201" s="42">
        <v>14</v>
      </c>
      <c r="M5201" s="43">
        <v>46261</v>
      </c>
      <c r="N5201" s="1" t="e">
        <f ca="1">VLOOKUP(B5201,MICRO!E:L,8,0)</f>
        <v>#N/A</v>
      </c>
    </row>
    <row r="5202" spans="1:14" ht="20.25" x14ac:dyDescent="0.25">
      <c r="A5202" s="1">
        <v>31</v>
      </c>
      <c r="B5202" s="159"/>
      <c r="C5202" s="1" t="s">
        <v>5449</v>
      </c>
      <c r="D5202" s="1"/>
      <c r="E5202" s="1"/>
      <c r="F5202" s="1" t="s">
        <v>5452</v>
      </c>
      <c r="G5202" s="1">
        <v>160</v>
      </c>
      <c r="H5202" s="1" t="s">
        <v>19</v>
      </c>
      <c r="I5202" s="1" t="s">
        <v>4085</v>
      </c>
      <c r="J5202" s="1">
        <v>0.01</v>
      </c>
      <c r="K5202" s="1">
        <v>1.6</v>
      </c>
      <c r="L5202" s="42">
        <v>14</v>
      </c>
      <c r="M5202" s="43">
        <v>46261</v>
      </c>
      <c r="N5202" s="1" t="e">
        <f ca="1">VLOOKUP(B5202,MICRO!E:L,8,0)</f>
        <v>#N/A</v>
      </c>
    </row>
    <row r="5203" spans="1:14" ht="20.25" x14ac:dyDescent="0.25">
      <c r="A5203" s="1">
        <v>32</v>
      </c>
      <c r="B5203" s="159">
        <v>4135</v>
      </c>
      <c r="C5203" s="1" t="s">
        <v>3885</v>
      </c>
      <c r="D5203" s="1" t="s">
        <v>5453</v>
      </c>
      <c r="E5203" s="1" t="s">
        <v>2</v>
      </c>
      <c r="F5203" s="1" t="s">
        <v>5454</v>
      </c>
      <c r="G5203" s="1">
        <v>1</v>
      </c>
      <c r="H5203" s="1" t="s">
        <v>19</v>
      </c>
      <c r="I5203" s="1" t="s">
        <v>2274</v>
      </c>
      <c r="J5203" s="1">
        <v>761.8</v>
      </c>
      <c r="K5203" s="1">
        <v>761.8</v>
      </c>
      <c r="L5203" s="42">
        <v>14</v>
      </c>
      <c r="M5203" s="43">
        <v>46261</v>
      </c>
      <c r="N5203" s="1" t="str">
        <f ca="1">VLOOKUP(B5203,MICRO!E:L,8,0)</f>
        <v>P-188</v>
      </c>
    </row>
    <row r="5204" spans="1:14" ht="20.25" x14ac:dyDescent="0.25">
      <c r="A5204" s="1">
        <v>33</v>
      </c>
      <c r="B5204" s="159">
        <v>4136</v>
      </c>
      <c r="C5204" s="1" t="s">
        <v>3885</v>
      </c>
      <c r="D5204" s="1" t="s">
        <v>5453</v>
      </c>
      <c r="E5204" s="1" t="s">
        <v>43</v>
      </c>
      <c r="F5204" s="1" t="s">
        <v>3890</v>
      </c>
      <c r="G5204" s="1">
        <v>4</v>
      </c>
      <c r="H5204" s="1" t="s">
        <v>19</v>
      </c>
      <c r="I5204" s="1" t="s">
        <v>2274</v>
      </c>
      <c r="J5204" s="1">
        <v>4.5</v>
      </c>
      <c r="K5204" s="1">
        <v>18</v>
      </c>
      <c r="L5204" s="42">
        <v>14</v>
      </c>
      <c r="M5204" s="43">
        <v>46261</v>
      </c>
      <c r="N5204" s="1" t="str">
        <f ca="1">VLOOKUP(B5204,MICRO!E:L,8,0)</f>
        <v>P-188</v>
      </c>
    </row>
    <row r="5205" spans="1:14" ht="20.25" x14ac:dyDescent="0.25">
      <c r="A5205" s="1">
        <v>34</v>
      </c>
      <c r="B5205" s="159">
        <v>4137</v>
      </c>
      <c r="C5205" s="1" t="s">
        <v>3885</v>
      </c>
      <c r="D5205" s="1" t="s">
        <v>5453</v>
      </c>
      <c r="E5205" s="1" t="s">
        <v>746</v>
      </c>
      <c r="F5205" s="1" t="s">
        <v>3892</v>
      </c>
      <c r="G5205" s="1">
        <v>4</v>
      </c>
      <c r="H5205" s="1" t="s">
        <v>19</v>
      </c>
      <c r="I5205" s="1" t="s">
        <v>2274</v>
      </c>
      <c r="J5205" s="1">
        <v>5.8</v>
      </c>
      <c r="K5205" s="1">
        <v>23.2</v>
      </c>
      <c r="L5205" s="42">
        <v>14</v>
      </c>
      <c r="M5205" s="43">
        <v>46261</v>
      </c>
      <c r="N5205" s="1" t="str">
        <f ca="1">VLOOKUP(B5205,MICRO!E:L,8,0)</f>
        <v>P-188</v>
      </c>
    </row>
    <row r="5206" spans="1:14" ht="20.25" x14ac:dyDescent="0.25">
      <c r="A5206" s="1">
        <v>35</v>
      </c>
      <c r="B5206" s="159">
        <v>4138</v>
      </c>
      <c r="C5206" s="1" t="s">
        <v>3885</v>
      </c>
      <c r="D5206" s="1" t="s">
        <v>5453</v>
      </c>
      <c r="E5206" s="1" t="s">
        <v>1101</v>
      </c>
      <c r="F5206" s="1" t="s">
        <v>3894</v>
      </c>
      <c r="G5206" s="1">
        <v>8</v>
      </c>
      <c r="H5206" s="1" t="s">
        <v>19</v>
      </c>
      <c r="I5206" s="1" t="s">
        <v>2274</v>
      </c>
      <c r="J5206" s="1">
        <v>0.1</v>
      </c>
      <c r="K5206" s="1">
        <v>0.8</v>
      </c>
      <c r="L5206" s="42">
        <v>14</v>
      </c>
      <c r="M5206" s="43">
        <v>46261</v>
      </c>
      <c r="N5206" s="1" t="str">
        <f ca="1">VLOOKUP(B5206,MICRO!E:L,8,0)</f>
        <v>P-188</v>
      </c>
    </row>
    <row r="5207" spans="1:14" ht="20.25" x14ac:dyDescent="0.25">
      <c r="A5207" s="1">
        <v>36</v>
      </c>
      <c r="B5207" s="159"/>
      <c r="C5207" s="1" t="s">
        <v>3885</v>
      </c>
      <c r="D5207" s="1" t="s">
        <v>5453</v>
      </c>
      <c r="E5207" s="1" t="s">
        <v>100</v>
      </c>
      <c r="F5207" s="1" t="s">
        <v>5455</v>
      </c>
      <c r="G5207" s="1">
        <v>8</v>
      </c>
      <c r="H5207" s="1" t="s">
        <v>19</v>
      </c>
      <c r="I5207" s="1" t="s">
        <v>2274</v>
      </c>
      <c r="J5207" s="1">
        <v>1.4</v>
      </c>
      <c r="K5207" s="1">
        <v>11.2</v>
      </c>
      <c r="L5207" s="42">
        <v>14</v>
      </c>
      <c r="M5207" s="43">
        <v>46261</v>
      </c>
      <c r="N5207" s="1" t="e">
        <f ca="1">VLOOKUP(B5207,MICRO!E:L,8,0)</f>
        <v>#N/A</v>
      </c>
    </row>
    <row r="5208" spans="1:14" ht="20.25" x14ac:dyDescent="0.25">
      <c r="A5208" s="1">
        <v>37</v>
      </c>
      <c r="B5208" s="159"/>
      <c r="C5208" s="1" t="s">
        <v>3885</v>
      </c>
      <c r="D5208" s="1" t="s">
        <v>5453</v>
      </c>
      <c r="E5208" s="1" t="s">
        <v>173</v>
      </c>
      <c r="F5208" s="1" t="s">
        <v>5456</v>
      </c>
      <c r="G5208" s="1">
        <v>4</v>
      </c>
      <c r="H5208" s="1" t="s">
        <v>19</v>
      </c>
      <c r="I5208" s="1" t="s">
        <v>2274</v>
      </c>
      <c r="J5208" s="1">
        <v>1.4</v>
      </c>
      <c r="K5208" s="1">
        <v>5.6</v>
      </c>
      <c r="L5208" s="42">
        <v>14</v>
      </c>
      <c r="M5208" s="43">
        <v>46261</v>
      </c>
      <c r="N5208" s="1" t="e">
        <f ca="1">VLOOKUP(B5208,MICRO!E:L,8,0)</f>
        <v>#N/A</v>
      </c>
    </row>
    <row r="5209" spans="1:14" ht="20.25" x14ac:dyDescent="0.25">
      <c r="A5209" s="1">
        <v>38</v>
      </c>
      <c r="B5209" s="159">
        <v>4139</v>
      </c>
      <c r="C5209" s="1" t="s">
        <v>3885</v>
      </c>
      <c r="D5209" s="1" t="s">
        <v>5453</v>
      </c>
      <c r="E5209" s="1" t="s">
        <v>461</v>
      </c>
      <c r="F5209" s="1" t="s">
        <v>5457</v>
      </c>
      <c r="G5209" s="1">
        <v>4</v>
      </c>
      <c r="H5209" s="1" t="s">
        <v>19</v>
      </c>
      <c r="I5209" s="1" t="s">
        <v>2274</v>
      </c>
      <c r="J5209" s="1">
        <v>1.3</v>
      </c>
      <c r="K5209" s="1">
        <v>5.2</v>
      </c>
      <c r="L5209" s="42">
        <v>14</v>
      </c>
      <c r="M5209" s="43">
        <v>46261</v>
      </c>
      <c r="N5209" s="1" t="str">
        <f ca="1">VLOOKUP(B5209,MICRO!E:L,8,0)</f>
        <v>P-188</v>
      </c>
    </row>
    <row r="5210" spans="1:14" ht="20.25" x14ac:dyDescent="0.25">
      <c r="A5210" s="1">
        <v>39</v>
      </c>
      <c r="B5210" s="159">
        <v>4140</v>
      </c>
      <c r="C5210" s="1" t="s">
        <v>3885</v>
      </c>
      <c r="D5210" s="1" t="s">
        <v>5453</v>
      </c>
      <c r="E5210" s="1" t="s">
        <v>464</v>
      </c>
      <c r="F5210" s="1" t="s">
        <v>5458</v>
      </c>
      <c r="G5210" s="1">
        <v>2</v>
      </c>
      <c r="H5210" s="1" t="s">
        <v>19</v>
      </c>
      <c r="I5210" s="1" t="s">
        <v>2274</v>
      </c>
      <c r="J5210" s="1">
        <v>11.8</v>
      </c>
      <c r="K5210" s="1">
        <v>23.6</v>
      </c>
      <c r="L5210" s="42">
        <v>14</v>
      </c>
      <c r="M5210" s="43">
        <v>46261</v>
      </c>
      <c r="N5210" s="1" t="str">
        <f ca="1">VLOOKUP(B5210,MICRO!E:L,8,0)</f>
        <v>P-188</v>
      </c>
    </row>
    <row r="5211" spans="1:14" ht="20.25" x14ac:dyDescent="0.25">
      <c r="A5211" s="1">
        <v>40</v>
      </c>
      <c r="B5211" s="159">
        <v>4141</v>
      </c>
      <c r="C5211" s="1" t="s">
        <v>3885</v>
      </c>
      <c r="D5211" s="1" t="s">
        <v>5453</v>
      </c>
      <c r="E5211" s="1" t="s">
        <v>1103</v>
      </c>
      <c r="F5211" s="1" t="s">
        <v>5459</v>
      </c>
      <c r="G5211" s="1">
        <v>2</v>
      </c>
      <c r="H5211" s="1" t="s">
        <v>19</v>
      </c>
      <c r="I5211" s="1" t="s">
        <v>2274</v>
      </c>
      <c r="J5211" s="1">
        <v>8.6</v>
      </c>
      <c r="K5211" s="1">
        <v>17.2</v>
      </c>
      <c r="L5211" s="42">
        <v>14</v>
      </c>
      <c r="M5211" s="43">
        <v>46261</v>
      </c>
      <c r="N5211" s="1" t="str">
        <f ca="1">VLOOKUP(B5211,MICRO!E:L,8,0)</f>
        <v>P-188</v>
      </c>
    </row>
    <row r="5212" spans="1:14" ht="20.25" x14ac:dyDescent="0.25">
      <c r="A5212" s="1">
        <v>41</v>
      </c>
      <c r="B5212" s="159">
        <v>4142</v>
      </c>
      <c r="C5212" s="1" t="s">
        <v>3885</v>
      </c>
      <c r="D5212" s="1" t="s">
        <v>5453</v>
      </c>
      <c r="E5212" s="1" t="s">
        <v>2</v>
      </c>
      <c r="F5212" s="1" t="s">
        <v>5454</v>
      </c>
      <c r="G5212" s="1">
        <v>1</v>
      </c>
      <c r="H5212" s="1" t="s">
        <v>19</v>
      </c>
      <c r="I5212" s="1" t="s">
        <v>2276</v>
      </c>
      <c r="J5212" s="1">
        <v>761.8</v>
      </c>
      <c r="K5212" s="1">
        <v>761.8</v>
      </c>
      <c r="L5212" s="42">
        <v>14</v>
      </c>
      <c r="M5212" s="43">
        <v>46261</v>
      </c>
      <c r="N5212" s="1" t="str">
        <f ca="1">VLOOKUP(B5212,MICRO!E:L,8,0)</f>
        <v>P-188</v>
      </c>
    </row>
    <row r="5213" spans="1:14" ht="20.25" x14ac:dyDescent="0.25">
      <c r="A5213" s="1">
        <v>42</v>
      </c>
      <c r="B5213" s="159">
        <v>4143</v>
      </c>
      <c r="C5213" s="1" t="s">
        <v>3885</v>
      </c>
      <c r="D5213" s="1" t="s">
        <v>5453</v>
      </c>
      <c r="E5213" s="1" t="s">
        <v>43</v>
      </c>
      <c r="F5213" s="1" t="s">
        <v>3890</v>
      </c>
      <c r="G5213" s="1">
        <v>4</v>
      </c>
      <c r="H5213" s="1" t="s">
        <v>19</v>
      </c>
      <c r="I5213" s="1" t="s">
        <v>2276</v>
      </c>
      <c r="J5213" s="1">
        <v>4.5</v>
      </c>
      <c r="K5213" s="1">
        <v>18</v>
      </c>
      <c r="L5213" s="42">
        <v>14</v>
      </c>
      <c r="M5213" s="43">
        <v>46261</v>
      </c>
      <c r="N5213" s="1" t="str">
        <f ca="1">VLOOKUP(B5213,MICRO!E:L,8,0)</f>
        <v>P-188</v>
      </c>
    </row>
    <row r="5214" spans="1:14" ht="20.25" x14ac:dyDescent="0.25">
      <c r="A5214" s="1">
        <v>43</v>
      </c>
      <c r="B5214" s="159">
        <v>4144</v>
      </c>
      <c r="C5214" s="1" t="s">
        <v>3885</v>
      </c>
      <c r="D5214" s="1" t="s">
        <v>5453</v>
      </c>
      <c r="E5214" s="1" t="s">
        <v>746</v>
      </c>
      <c r="F5214" s="1" t="s">
        <v>3892</v>
      </c>
      <c r="G5214" s="1">
        <v>4</v>
      </c>
      <c r="H5214" s="1" t="s">
        <v>19</v>
      </c>
      <c r="I5214" s="1" t="s">
        <v>2276</v>
      </c>
      <c r="J5214" s="1">
        <v>5.8</v>
      </c>
      <c r="K5214" s="1">
        <v>23.2</v>
      </c>
      <c r="L5214" s="42">
        <v>14</v>
      </c>
      <c r="M5214" s="43">
        <v>46261</v>
      </c>
      <c r="N5214" s="1" t="str">
        <f ca="1">VLOOKUP(B5214,MICRO!E:L,8,0)</f>
        <v>P-188</v>
      </c>
    </row>
    <row r="5215" spans="1:14" ht="20.25" x14ac:dyDescent="0.25">
      <c r="A5215" s="1">
        <v>44</v>
      </c>
      <c r="B5215" s="159">
        <v>4145</v>
      </c>
      <c r="C5215" s="1" t="s">
        <v>3885</v>
      </c>
      <c r="D5215" s="1" t="s">
        <v>5453</v>
      </c>
      <c r="E5215" s="1" t="s">
        <v>1101</v>
      </c>
      <c r="F5215" s="1" t="s">
        <v>3894</v>
      </c>
      <c r="G5215" s="1">
        <v>8</v>
      </c>
      <c r="H5215" s="1" t="s">
        <v>19</v>
      </c>
      <c r="I5215" s="1" t="s">
        <v>2276</v>
      </c>
      <c r="J5215" s="1">
        <v>0.1</v>
      </c>
      <c r="K5215" s="1">
        <v>0.8</v>
      </c>
      <c r="L5215" s="42">
        <v>14</v>
      </c>
      <c r="M5215" s="43">
        <v>46261</v>
      </c>
      <c r="N5215" s="1" t="str">
        <f ca="1">VLOOKUP(B5215,MICRO!E:L,8,0)</f>
        <v>P-188</v>
      </c>
    </row>
    <row r="5216" spans="1:14" ht="20.25" x14ac:dyDescent="0.25">
      <c r="A5216" s="1">
        <v>45</v>
      </c>
      <c r="B5216" s="159"/>
      <c r="C5216" s="1" t="s">
        <v>3885</v>
      </c>
      <c r="D5216" s="1" t="s">
        <v>5453</v>
      </c>
      <c r="E5216" s="1" t="s">
        <v>100</v>
      </c>
      <c r="F5216" s="1" t="s">
        <v>5455</v>
      </c>
      <c r="G5216" s="1">
        <v>8</v>
      </c>
      <c r="H5216" s="1" t="s">
        <v>19</v>
      </c>
      <c r="I5216" s="1" t="s">
        <v>2276</v>
      </c>
      <c r="J5216" s="1">
        <v>1.4</v>
      </c>
      <c r="K5216" s="1">
        <v>11.2</v>
      </c>
      <c r="L5216" s="42">
        <v>14</v>
      </c>
      <c r="M5216" s="43">
        <v>46261</v>
      </c>
      <c r="N5216" s="1" t="e">
        <f ca="1">VLOOKUP(B5216,MICRO!E:L,8,0)</f>
        <v>#N/A</v>
      </c>
    </row>
    <row r="5217" spans="1:14" ht="20.25" x14ac:dyDescent="0.25">
      <c r="A5217" s="1">
        <v>46</v>
      </c>
      <c r="B5217" s="159"/>
      <c r="C5217" s="1" t="s">
        <v>3885</v>
      </c>
      <c r="D5217" s="1" t="s">
        <v>5453</v>
      </c>
      <c r="E5217" s="1" t="s">
        <v>173</v>
      </c>
      <c r="F5217" s="1" t="s">
        <v>5456</v>
      </c>
      <c r="G5217" s="1">
        <v>4</v>
      </c>
      <c r="H5217" s="1" t="s">
        <v>19</v>
      </c>
      <c r="I5217" s="1" t="s">
        <v>2276</v>
      </c>
      <c r="J5217" s="1">
        <v>1.4</v>
      </c>
      <c r="K5217" s="1">
        <v>5.6</v>
      </c>
      <c r="L5217" s="42">
        <v>14</v>
      </c>
      <c r="M5217" s="43">
        <v>46261</v>
      </c>
      <c r="N5217" s="1" t="e">
        <f ca="1">VLOOKUP(B5217,MICRO!E:L,8,0)</f>
        <v>#N/A</v>
      </c>
    </row>
    <row r="5218" spans="1:14" ht="20.25" x14ac:dyDescent="0.25">
      <c r="A5218" s="1">
        <v>47</v>
      </c>
      <c r="B5218" s="159">
        <v>4139</v>
      </c>
      <c r="C5218" s="1" t="s">
        <v>3885</v>
      </c>
      <c r="D5218" s="1" t="s">
        <v>5453</v>
      </c>
      <c r="E5218" s="1" t="s">
        <v>461</v>
      </c>
      <c r="F5218" s="1" t="s">
        <v>5457</v>
      </c>
      <c r="G5218" s="1">
        <v>4</v>
      </c>
      <c r="H5218" s="1" t="s">
        <v>19</v>
      </c>
      <c r="I5218" s="1" t="s">
        <v>2276</v>
      </c>
      <c r="J5218" s="1">
        <v>1.3</v>
      </c>
      <c r="K5218" s="1">
        <v>5.2</v>
      </c>
      <c r="L5218" s="42">
        <v>14</v>
      </c>
      <c r="M5218" s="43">
        <v>46261</v>
      </c>
      <c r="N5218" s="1" t="str">
        <f ca="1">VLOOKUP(B5218,MICRO!E:L,8,0)</f>
        <v>P-188</v>
      </c>
    </row>
    <row r="5219" spans="1:14" ht="20.25" x14ac:dyDescent="0.25">
      <c r="A5219" s="1">
        <v>48</v>
      </c>
      <c r="B5219" s="159">
        <v>4140</v>
      </c>
      <c r="C5219" s="1" t="s">
        <v>3885</v>
      </c>
      <c r="D5219" s="1" t="s">
        <v>5453</v>
      </c>
      <c r="E5219" s="1" t="s">
        <v>464</v>
      </c>
      <c r="F5219" s="1" t="s">
        <v>5458</v>
      </c>
      <c r="G5219" s="1">
        <v>2</v>
      </c>
      <c r="H5219" s="1" t="s">
        <v>19</v>
      </c>
      <c r="I5219" s="1" t="s">
        <v>2276</v>
      </c>
      <c r="J5219" s="1">
        <v>11.8</v>
      </c>
      <c r="K5219" s="1">
        <v>23.6</v>
      </c>
      <c r="L5219" s="42">
        <v>14</v>
      </c>
      <c r="M5219" s="43">
        <v>46261</v>
      </c>
      <c r="N5219" s="1" t="str">
        <f ca="1">VLOOKUP(B5219,MICRO!E:L,8,0)</f>
        <v>P-188</v>
      </c>
    </row>
    <row r="5220" spans="1:14" ht="20.25" x14ac:dyDescent="0.25">
      <c r="A5220" s="1">
        <v>49</v>
      </c>
      <c r="B5220" s="159">
        <v>4141</v>
      </c>
      <c r="C5220" s="1" t="s">
        <v>3885</v>
      </c>
      <c r="D5220" s="1" t="s">
        <v>5453</v>
      </c>
      <c r="E5220" s="1" t="s">
        <v>1103</v>
      </c>
      <c r="F5220" s="1" t="s">
        <v>5459</v>
      </c>
      <c r="G5220" s="1">
        <v>2</v>
      </c>
      <c r="H5220" s="1" t="s">
        <v>19</v>
      </c>
      <c r="I5220" s="1" t="s">
        <v>2274</v>
      </c>
      <c r="J5220" s="1">
        <v>8.6</v>
      </c>
      <c r="K5220" s="1">
        <v>17.2</v>
      </c>
      <c r="L5220" s="42">
        <v>14</v>
      </c>
      <c r="M5220" s="43">
        <v>46261</v>
      </c>
      <c r="N5220" s="1" t="str">
        <f ca="1">VLOOKUP(B5220,MICRO!E:L,8,0)</f>
        <v>P-188</v>
      </c>
    </row>
    <row r="5221" spans="1:14" ht="20.25" x14ac:dyDescent="0.25">
      <c r="A5221" s="1">
        <v>50</v>
      </c>
      <c r="B5221" s="159">
        <v>4290</v>
      </c>
      <c r="C5221" s="1" t="s">
        <v>3827</v>
      </c>
      <c r="D5221" s="1"/>
      <c r="E5221" s="1" t="s">
        <v>746</v>
      </c>
      <c r="F5221" s="1" t="s">
        <v>4047</v>
      </c>
      <c r="G5221" s="1">
        <v>4</v>
      </c>
      <c r="H5221" s="1" t="s">
        <v>19</v>
      </c>
      <c r="I5221" s="1" t="s">
        <v>3789</v>
      </c>
      <c r="J5221" s="1">
        <v>50</v>
      </c>
      <c r="K5221" s="1">
        <v>200</v>
      </c>
      <c r="L5221" s="42">
        <v>14</v>
      </c>
      <c r="M5221" s="43">
        <v>46261</v>
      </c>
      <c r="N5221" s="1" t="str">
        <f ca="1">VLOOKUP(B5221,MICRO!E:L,8,0)</f>
        <v>P-188</v>
      </c>
    </row>
    <row r="5222" spans="1:14" ht="20.25" x14ac:dyDescent="0.25">
      <c r="A5222" s="1">
        <v>51</v>
      </c>
      <c r="B5222" s="159">
        <v>4289</v>
      </c>
      <c r="C5222" s="1" t="s">
        <v>3811</v>
      </c>
      <c r="D5222" s="1"/>
      <c r="E5222" s="1" t="s">
        <v>1101</v>
      </c>
      <c r="F5222" s="1" t="s">
        <v>4045</v>
      </c>
      <c r="G5222" s="1">
        <v>4</v>
      </c>
      <c r="H5222" s="1" t="s">
        <v>19</v>
      </c>
      <c r="I5222" s="1" t="s">
        <v>3789</v>
      </c>
      <c r="J5222" s="1">
        <v>49.87</v>
      </c>
      <c r="K5222" s="1">
        <v>199.48</v>
      </c>
      <c r="L5222" s="42">
        <v>14</v>
      </c>
      <c r="M5222" s="43">
        <v>46261</v>
      </c>
      <c r="N5222" s="1" t="str">
        <f ca="1">VLOOKUP(B5222,MICRO!E:L,8,0)</f>
        <v>P-188</v>
      </c>
    </row>
    <row r="5223" spans="1:14" ht="20.25" x14ac:dyDescent="0.25">
      <c r="A5223" s="1">
        <v>52</v>
      </c>
      <c r="B5223" s="159"/>
      <c r="C5223" s="1"/>
      <c r="D5223" s="1" t="s">
        <v>5460</v>
      </c>
      <c r="E5223" s="1"/>
      <c r="F5223" s="1" t="s">
        <v>5461</v>
      </c>
      <c r="G5223" s="1">
        <v>1</v>
      </c>
      <c r="H5223" s="1" t="s">
        <v>19</v>
      </c>
      <c r="I5223" s="1" t="s">
        <v>4575</v>
      </c>
      <c r="J5223" s="1">
        <v>21.5</v>
      </c>
      <c r="K5223" s="1">
        <v>21.5</v>
      </c>
      <c r="L5223" s="42">
        <v>14</v>
      </c>
      <c r="M5223" s="43">
        <v>46261</v>
      </c>
      <c r="N5223" s="1" t="e">
        <f ca="1">VLOOKUP(B5223,MICRO!E:L,8,0)</f>
        <v>#N/A</v>
      </c>
    </row>
    <row r="5224" spans="1:14" ht="20.25" x14ac:dyDescent="0.25">
      <c r="A5224" s="1">
        <v>53</v>
      </c>
      <c r="B5224" s="159"/>
      <c r="C5224" s="1"/>
      <c r="D5224" s="1" t="s">
        <v>5462</v>
      </c>
      <c r="E5224" s="1"/>
      <c r="F5224" s="1" t="s">
        <v>5463</v>
      </c>
      <c r="G5224" s="1">
        <v>1</v>
      </c>
      <c r="H5224" s="1" t="s">
        <v>19</v>
      </c>
      <c r="I5224" s="1" t="s">
        <v>4553</v>
      </c>
      <c r="J5224" s="1">
        <v>21.5</v>
      </c>
      <c r="K5224" s="1">
        <v>21.5</v>
      </c>
      <c r="L5224" s="42">
        <v>14</v>
      </c>
      <c r="M5224" s="43">
        <v>46261</v>
      </c>
      <c r="N5224" s="1" t="e">
        <f ca="1">VLOOKUP(B5224,MICRO!E:L,8,0)</f>
        <v>#N/A</v>
      </c>
    </row>
    <row r="5225" spans="1:14" ht="20.25" x14ac:dyDescent="0.25">
      <c r="A5225" s="1">
        <v>54</v>
      </c>
      <c r="B5225" s="159"/>
      <c r="C5225" s="1"/>
      <c r="D5225" s="1" t="s">
        <v>5460</v>
      </c>
      <c r="E5225" s="1"/>
      <c r="F5225" s="1" t="s">
        <v>5464</v>
      </c>
      <c r="G5225" s="1">
        <v>1</v>
      </c>
      <c r="H5225" s="1" t="s">
        <v>19</v>
      </c>
      <c r="I5225" s="1" t="s">
        <v>4575</v>
      </c>
      <c r="J5225" s="1">
        <v>0.5</v>
      </c>
      <c r="K5225" s="1">
        <v>0.5</v>
      </c>
      <c r="L5225" s="42">
        <v>14</v>
      </c>
      <c r="M5225" s="43">
        <v>46261</v>
      </c>
      <c r="N5225" s="1" t="e">
        <f ca="1">VLOOKUP(B5225,MICRO!E:L,8,0)</f>
        <v>#N/A</v>
      </c>
    </row>
    <row r="5226" spans="1:14" ht="20.25" x14ac:dyDescent="0.25">
      <c r="A5226" s="1">
        <v>55</v>
      </c>
      <c r="B5226" s="159"/>
      <c r="C5226" s="1"/>
      <c r="D5226" s="1" t="s">
        <v>5460</v>
      </c>
      <c r="E5226" s="1"/>
      <c r="F5226" s="1" t="s">
        <v>5465</v>
      </c>
      <c r="G5226" s="1">
        <v>1</v>
      </c>
      <c r="H5226" s="1" t="s">
        <v>19</v>
      </c>
      <c r="I5226" s="1" t="s">
        <v>4553</v>
      </c>
      <c r="J5226" s="1">
        <v>0.5</v>
      </c>
      <c r="K5226" s="1">
        <v>0.5</v>
      </c>
      <c r="L5226" s="42">
        <v>14</v>
      </c>
      <c r="M5226" s="43">
        <v>46261</v>
      </c>
      <c r="N5226" s="1" t="e">
        <f ca="1">VLOOKUP(B5226,MICRO!E:L,8,0)</f>
        <v>#N/A</v>
      </c>
    </row>
    <row r="5227" spans="1:14" ht="20.25" x14ac:dyDescent="0.25">
      <c r="A5227" s="1">
        <v>56</v>
      </c>
      <c r="B5227" s="159"/>
      <c r="C5227" s="1" t="s">
        <v>5466</v>
      </c>
      <c r="D5227" s="1"/>
      <c r="E5227" s="1"/>
      <c r="F5227" s="1" t="s">
        <v>5467</v>
      </c>
      <c r="G5227" s="1">
        <v>1</v>
      </c>
      <c r="H5227" s="1" t="s">
        <v>19</v>
      </c>
      <c r="I5227" s="1" t="s">
        <v>4687</v>
      </c>
      <c r="J5227" s="1">
        <v>350</v>
      </c>
      <c r="K5227" s="1">
        <v>350</v>
      </c>
      <c r="L5227" s="42">
        <v>14</v>
      </c>
      <c r="M5227" s="43">
        <v>46261</v>
      </c>
      <c r="N5227" s="1" t="e">
        <f ca="1">VLOOKUP(B5227,MICRO!E:L,8,0)</f>
        <v>#N/A</v>
      </c>
    </row>
    <row r="5228" spans="1:14" ht="20.25" x14ac:dyDescent="0.25">
      <c r="A5228" s="1">
        <v>57</v>
      </c>
      <c r="B5228" s="159"/>
      <c r="C5228" s="1" t="s">
        <v>5468</v>
      </c>
      <c r="D5228" s="1"/>
      <c r="E5228" s="1"/>
      <c r="F5228" s="1" t="s">
        <v>5469</v>
      </c>
      <c r="G5228" s="1">
        <v>1</v>
      </c>
      <c r="H5228" s="1" t="s">
        <v>19</v>
      </c>
      <c r="I5228" s="1" t="s">
        <v>4688</v>
      </c>
      <c r="J5228" s="1">
        <v>350</v>
      </c>
      <c r="K5228" s="1">
        <v>350</v>
      </c>
      <c r="L5228" s="42">
        <v>14</v>
      </c>
      <c r="M5228" s="43">
        <v>46261</v>
      </c>
      <c r="N5228" s="1" t="e">
        <f ca="1">VLOOKUP(B5228,MICRO!E:L,8,0)</f>
        <v>#N/A</v>
      </c>
    </row>
    <row r="5229" spans="1:14" ht="20.25" x14ac:dyDescent="0.25">
      <c r="A5229" s="1">
        <v>58</v>
      </c>
      <c r="B5229" s="159"/>
      <c r="C5229" s="1" t="s">
        <v>5470</v>
      </c>
      <c r="D5229" s="1"/>
      <c r="E5229" s="1" t="s">
        <v>2</v>
      </c>
      <c r="F5229" s="1" t="s">
        <v>5471</v>
      </c>
      <c r="G5229" s="1">
        <v>4</v>
      </c>
      <c r="H5229" s="1" t="s">
        <v>19</v>
      </c>
      <c r="I5229" s="1" t="s">
        <v>4687</v>
      </c>
      <c r="J5229" s="1">
        <v>106.4</v>
      </c>
      <c r="K5229" s="1">
        <v>425.6</v>
      </c>
      <c r="L5229" s="42">
        <v>14</v>
      </c>
      <c r="M5229" s="43">
        <v>46261</v>
      </c>
      <c r="N5229" s="1" t="e">
        <f ca="1">VLOOKUP(B5229,MICRO!E:L,8,0)</f>
        <v>#N/A</v>
      </c>
    </row>
    <row r="5230" spans="1:14" ht="20.25" x14ac:dyDescent="0.25">
      <c r="A5230" s="1">
        <v>59</v>
      </c>
      <c r="B5230" s="159"/>
      <c r="C5230" s="1" t="s">
        <v>5470</v>
      </c>
      <c r="D5230" s="1"/>
      <c r="E5230" s="1" t="s">
        <v>2</v>
      </c>
      <c r="F5230" s="1" t="s">
        <v>5471</v>
      </c>
      <c r="G5230" s="1">
        <v>4</v>
      </c>
      <c r="H5230" s="1" t="s">
        <v>19</v>
      </c>
      <c r="I5230" s="1" t="s">
        <v>4688</v>
      </c>
      <c r="J5230" s="1">
        <v>106.4</v>
      </c>
      <c r="K5230" s="1">
        <v>425.6</v>
      </c>
      <c r="L5230" s="42">
        <v>14</v>
      </c>
      <c r="M5230" s="43">
        <v>46261</v>
      </c>
      <c r="N5230" s="1" t="e">
        <f ca="1">VLOOKUP(B5230,MICRO!E:L,8,0)</f>
        <v>#N/A</v>
      </c>
    </row>
    <row r="5231" spans="1:14" ht="20.25" x14ac:dyDescent="0.25">
      <c r="A5231" s="1">
        <v>60</v>
      </c>
      <c r="B5231" s="159"/>
      <c r="C5231" s="1" t="s">
        <v>4269</v>
      </c>
      <c r="D5231" s="1"/>
      <c r="E5231" s="1" t="s">
        <v>2</v>
      </c>
      <c r="F5231" s="1" t="s">
        <v>5472</v>
      </c>
      <c r="G5231" s="1">
        <v>2</v>
      </c>
      <c r="H5231" s="1" t="s">
        <v>19</v>
      </c>
      <c r="I5231" s="1" t="s">
        <v>4687</v>
      </c>
      <c r="J5231" s="1">
        <v>47.7</v>
      </c>
      <c r="K5231" s="1">
        <v>95.4</v>
      </c>
      <c r="L5231" s="42">
        <v>14</v>
      </c>
      <c r="M5231" s="43">
        <v>46261</v>
      </c>
      <c r="N5231" s="1" t="e">
        <f ca="1">VLOOKUP(B5231,MICRO!E:L,8,0)</f>
        <v>#N/A</v>
      </c>
    </row>
    <row r="5232" spans="1:14" ht="20.25" x14ac:dyDescent="0.25">
      <c r="A5232" s="1">
        <v>61</v>
      </c>
      <c r="B5232" s="159"/>
      <c r="C5232" s="1" t="s">
        <v>4269</v>
      </c>
      <c r="D5232" s="1"/>
      <c r="E5232" s="1" t="s">
        <v>2</v>
      </c>
      <c r="F5232" s="1" t="s">
        <v>5472</v>
      </c>
      <c r="G5232" s="1">
        <v>2</v>
      </c>
      <c r="H5232" s="1" t="s">
        <v>19</v>
      </c>
      <c r="I5232" s="1" t="s">
        <v>4688</v>
      </c>
      <c r="J5232" s="1">
        <v>47.7</v>
      </c>
      <c r="K5232" s="1">
        <v>95.4</v>
      </c>
      <c r="L5232" s="42">
        <v>14</v>
      </c>
      <c r="M5232" s="43">
        <v>46261</v>
      </c>
      <c r="N5232" s="1" t="e">
        <f ca="1">VLOOKUP(B5232,MICRO!E:L,8,0)</f>
        <v>#N/A</v>
      </c>
    </row>
    <row r="5233" spans="1:14" ht="20.25" x14ac:dyDescent="0.25">
      <c r="A5233" s="1">
        <v>62</v>
      </c>
      <c r="B5233" s="159"/>
      <c r="C5233" s="1" t="s">
        <v>4257</v>
      </c>
      <c r="D5233" s="1" t="s">
        <v>4012</v>
      </c>
      <c r="E5233" s="1" t="s">
        <v>173</v>
      </c>
      <c r="F5233" s="1" t="s">
        <v>4013</v>
      </c>
      <c r="G5233" s="1">
        <v>1</v>
      </c>
      <c r="H5233" s="1" t="s">
        <v>19</v>
      </c>
      <c r="I5233" s="1" t="s">
        <v>4687</v>
      </c>
      <c r="J5233" s="1">
        <v>3</v>
      </c>
      <c r="K5233" s="1">
        <v>3</v>
      </c>
      <c r="L5233" s="42">
        <v>14</v>
      </c>
      <c r="M5233" s="43">
        <v>46261</v>
      </c>
      <c r="N5233" s="1" t="e">
        <f ca="1">VLOOKUP(B5233,MICRO!E:L,8,0)</f>
        <v>#N/A</v>
      </c>
    </row>
    <row r="5234" spans="1:14" ht="20.25" x14ac:dyDescent="0.25">
      <c r="A5234" s="1">
        <v>63</v>
      </c>
      <c r="B5234" s="159"/>
      <c r="C5234" s="1" t="s">
        <v>4257</v>
      </c>
      <c r="D5234" s="1" t="s">
        <v>4012</v>
      </c>
      <c r="E5234" s="1" t="s">
        <v>173</v>
      </c>
      <c r="F5234" s="1" t="s">
        <v>4013</v>
      </c>
      <c r="G5234" s="1">
        <v>1</v>
      </c>
      <c r="H5234" s="1" t="s">
        <v>19</v>
      </c>
      <c r="I5234" s="1" t="s">
        <v>4688</v>
      </c>
      <c r="J5234" s="1">
        <v>3</v>
      </c>
      <c r="K5234" s="1">
        <v>3</v>
      </c>
      <c r="L5234" s="42">
        <v>14</v>
      </c>
      <c r="M5234" s="43">
        <v>46261</v>
      </c>
      <c r="N5234" s="1" t="e">
        <f ca="1">VLOOKUP(B5234,MICRO!E:L,8,0)</f>
        <v>#N/A</v>
      </c>
    </row>
    <row r="5235" spans="1:14" ht="20.25" x14ac:dyDescent="0.25">
      <c r="A5235" s="1">
        <v>64</v>
      </c>
      <c r="B5235" s="159"/>
      <c r="C5235" s="1" t="s">
        <v>3800</v>
      </c>
      <c r="D5235" s="1"/>
      <c r="E5235" s="1" t="s">
        <v>3796</v>
      </c>
      <c r="F5235" s="1" t="s">
        <v>3794</v>
      </c>
      <c r="G5235" s="1">
        <v>6</v>
      </c>
      <c r="H5235" s="1" t="s">
        <v>19</v>
      </c>
      <c r="I5235" s="1" t="s">
        <v>4687</v>
      </c>
      <c r="J5235" s="1">
        <v>0.05</v>
      </c>
      <c r="K5235" s="1">
        <v>0.30000000000000004</v>
      </c>
      <c r="L5235" s="42">
        <v>14</v>
      </c>
      <c r="M5235" s="43">
        <v>46261</v>
      </c>
      <c r="N5235" s="1" t="e">
        <f ca="1">VLOOKUP(B5235,MICRO!E:L,8,0)</f>
        <v>#N/A</v>
      </c>
    </row>
    <row r="5236" spans="1:14" ht="20.25" x14ac:dyDescent="0.25">
      <c r="A5236" s="1">
        <v>65</v>
      </c>
      <c r="B5236" s="159"/>
      <c r="C5236" s="1" t="s">
        <v>3800</v>
      </c>
      <c r="D5236" s="1"/>
      <c r="E5236" s="1" t="s">
        <v>3796</v>
      </c>
      <c r="F5236" s="1" t="s">
        <v>3794</v>
      </c>
      <c r="G5236" s="1">
        <v>6</v>
      </c>
      <c r="H5236" s="1" t="s">
        <v>19</v>
      </c>
      <c r="I5236" s="1" t="s">
        <v>4688</v>
      </c>
      <c r="J5236" s="1">
        <v>0.05</v>
      </c>
      <c r="K5236" s="1">
        <v>0.30000000000000004</v>
      </c>
      <c r="L5236" s="42">
        <v>14</v>
      </c>
      <c r="M5236" s="43">
        <v>46261</v>
      </c>
      <c r="N5236" s="1" t="e">
        <f ca="1">VLOOKUP(B5236,MICRO!E:L,8,0)</f>
        <v>#N/A</v>
      </c>
    </row>
    <row r="5237" spans="1:14" ht="20.25" x14ac:dyDescent="0.25">
      <c r="A5237" s="1">
        <v>66</v>
      </c>
      <c r="B5237" s="159"/>
      <c r="C5237" s="1" t="s">
        <v>5473</v>
      </c>
      <c r="D5237" s="1"/>
      <c r="E5237" s="1" t="s">
        <v>2193</v>
      </c>
      <c r="F5237" s="1" t="s">
        <v>5474</v>
      </c>
      <c r="G5237" s="1">
        <v>6</v>
      </c>
      <c r="H5237" s="1" t="s">
        <v>19</v>
      </c>
      <c r="I5237" s="1" t="s">
        <v>4687</v>
      </c>
      <c r="J5237" s="1">
        <v>1</v>
      </c>
      <c r="K5237" s="1">
        <v>6</v>
      </c>
      <c r="L5237" s="42">
        <v>14</v>
      </c>
      <c r="M5237" s="43">
        <v>46261</v>
      </c>
      <c r="N5237" s="1" t="e">
        <f ca="1">VLOOKUP(B5237,MICRO!E:L,8,0)</f>
        <v>#N/A</v>
      </c>
    </row>
    <row r="5238" spans="1:14" ht="20.25" x14ac:dyDescent="0.25">
      <c r="A5238" s="1">
        <v>67</v>
      </c>
      <c r="B5238" s="159"/>
      <c r="C5238" s="1" t="s">
        <v>5473</v>
      </c>
      <c r="D5238" s="1"/>
      <c r="E5238" s="1" t="s">
        <v>2193</v>
      </c>
      <c r="F5238" s="1" t="s">
        <v>5474</v>
      </c>
      <c r="G5238" s="1">
        <v>6</v>
      </c>
      <c r="H5238" s="1" t="s">
        <v>19</v>
      </c>
      <c r="I5238" s="1" t="s">
        <v>4688</v>
      </c>
      <c r="J5238" s="1">
        <v>1</v>
      </c>
      <c r="K5238" s="1">
        <v>6</v>
      </c>
      <c r="L5238" s="42">
        <v>14</v>
      </c>
      <c r="M5238" s="43">
        <v>46261</v>
      </c>
      <c r="N5238" s="1" t="e">
        <f ca="1">VLOOKUP(B5238,MICRO!E:L,8,0)</f>
        <v>#N/A</v>
      </c>
    </row>
    <row r="5239" spans="1:14" ht="20.25" x14ac:dyDescent="0.25">
      <c r="A5239" s="1">
        <v>68</v>
      </c>
      <c r="B5239" s="159"/>
      <c r="C5239" s="1" t="s">
        <v>5475</v>
      </c>
      <c r="D5239" s="1"/>
      <c r="E5239" s="1" t="s">
        <v>5476</v>
      </c>
      <c r="F5239" s="1" t="s">
        <v>5474</v>
      </c>
      <c r="G5239" s="1">
        <v>2</v>
      </c>
      <c r="H5239" s="1" t="s">
        <v>19</v>
      </c>
      <c r="I5239" s="1" t="s">
        <v>4687</v>
      </c>
      <c r="J5239" s="1">
        <v>1</v>
      </c>
      <c r="K5239" s="1">
        <v>2</v>
      </c>
      <c r="L5239" s="42">
        <v>14</v>
      </c>
      <c r="M5239" s="43">
        <v>46261</v>
      </c>
      <c r="N5239" s="1" t="e">
        <f ca="1">VLOOKUP(B5239,MICRO!E:L,8,0)</f>
        <v>#N/A</v>
      </c>
    </row>
    <row r="5240" spans="1:14" ht="20.25" x14ac:dyDescent="0.25">
      <c r="A5240" s="1">
        <v>69</v>
      </c>
      <c r="B5240" s="159"/>
      <c r="C5240" s="1" t="s">
        <v>5475</v>
      </c>
      <c r="D5240" s="1"/>
      <c r="E5240" s="1" t="s">
        <v>5476</v>
      </c>
      <c r="F5240" s="1" t="s">
        <v>5474</v>
      </c>
      <c r="G5240" s="1">
        <v>2</v>
      </c>
      <c r="H5240" s="1" t="s">
        <v>19</v>
      </c>
      <c r="I5240" s="1" t="s">
        <v>4688</v>
      </c>
      <c r="J5240" s="1">
        <v>1</v>
      </c>
      <c r="K5240" s="1">
        <v>2</v>
      </c>
      <c r="L5240" s="42">
        <v>14</v>
      </c>
      <c r="M5240" s="43">
        <v>46261</v>
      </c>
      <c r="N5240" s="1" t="e">
        <f ca="1">VLOOKUP(B5240,MICRO!E:L,8,0)</f>
        <v>#N/A</v>
      </c>
    </row>
    <row r="5241" spans="1:14" ht="20.25" x14ac:dyDescent="0.25">
      <c r="A5241" s="1">
        <v>70</v>
      </c>
      <c r="B5241" s="159"/>
      <c r="C5241" s="1" t="s">
        <v>5477</v>
      </c>
      <c r="D5241" s="1"/>
      <c r="E5241" s="1" t="s">
        <v>5476</v>
      </c>
      <c r="F5241" s="1" t="s">
        <v>5474</v>
      </c>
      <c r="G5241" s="1">
        <v>2</v>
      </c>
      <c r="H5241" s="1" t="s">
        <v>19</v>
      </c>
      <c r="I5241" s="1" t="s">
        <v>4687</v>
      </c>
      <c r="J5241" s="1">
        <v>1</v>
      </c>
      <c r="K5241" s="1">
        <v>2</v>
      </c>
      <c r="L5241" s="42">
        <v>14</v>
      </c>
      <c r="M5241" s="43">
        <v>46261</v>
      </c>
      <c r="N5241" s="1" t="e">
        <f ca="1">VLOOKUP(B5241,MICRO!E:L,8,0)</f>
        <v>#N/A</v>
      </c>
    </row>
    <row r="5242" spans="1:14" ht="20.25" x14ac:dyDescent="0.25">
      <c r="A5242" s="1">
        <v>71</v>
      </c>
      <c r="B5242" s="159"/>
      <c r="C5242" s="1" t="s">
        <v>5477</v>
      </c>
      <c r="D5242" s="1"/>
      <c r="E5242" s="1" t="s">
        <v>5476</v>
      </c>
      <c r="F5242" s="1" t="s">
        <v>5474</v>
      </c>
      <c r="G5242" s="1">
        <v>2</v>
      </c>
      <c r="H5242" s="1" t="s">
        <v>19</v>
      </c>
      <c r="I5242" s="1" t="s">
        <v>4688</v>
      </c>
      <c r="J5242" s="1">
        <v>1</v>
      </c>
      <c r="K5242" s="1">
        <v>2</v>
      </c>
      <c r="L5242" s="42">
        <v>14</v>
      </c>
      <c r="M5242" s="43">
        <v>46261</v>
      </c>
      <c r="N5242" s="1" t="e">
        <f ca="1">VLOOKUP(B5242,MICRO!E:L,8,0)</f>
        <v>#N/A</v>
      </c>
    </row>
    <row r="5243" spans="1:14" ht="20.25" x14ac:dyDescent="0.25">
      <c r="A5243" s="1">
        <v>72</v>
      </c>
      <c r="B5243" s="159"/>
      <c r="C5243" s="1" t="s">
        <v>5478</v>
      </c>
      <c r="D5243" s="1"/>
      <c r="E5243" s="1" t="s">
        <v>5479</v>
      </c>
      <c r="F5243" s="1" t="s">
        <v>5480</v>
      </c>
      <c r="G5243" s="1">
        <v>2</v>
      </c>
      <c r="H5243" s="1" t="s">
        <v>19</v>
      </c>
      <c r="I5243" s="1" t="s">
        <v>4687</v>
      </c>
      <c r="J5243" s="1">
        <v>0.7</v>
      </c>
      <c r="K5243" s="1">
        <v>1.4</v>
      </c>
      <c r="L5243" s="42">
        <v>14</v>
      </c>
      <c r="M5243" s="43">
        <v>46261</v>
      </c>
      <c r="N5243" s="1" t="e">
        <f ca="1">VLOOKUP(B5243,MICRO!E:L,8,0)</f>
        <v>#N/A</v>
      </c>
    </row>
    <row r="5244" spans="1:14" ht="20.25" x14ac:dyDescent="0.25">
      <c r="A5244" s="1">
        <v>73</v>
      </c>
      <c r="B5244" s="159"/>
      <c r="C5244" s="1" t="s">
        <v>5478</v>
      </c>
      <c r="D5244" s="1"/>
      <c r="E5244" s="1" t="s">
        <v>5479</v>
      </c>
      <c r="F5244" s="1" t="s">
        <v>5480</v>
      </c>
      <c r="G5244" s="1">
        <v>2</v>
      </c>
      <c r="H5244" s="1" t="s">
        <v>19</v>
      </c>
      <c r="I5244" s="1" t="s">
        <v>4688</v>
      </c>
      <c r="J5244" s="1">
        <v>0.7</v>
      </c>
      <c r="K5244" s="1">
        <v>1.4</v>
      </c>
      <c r="L5244" s="42">
        <v>14</v>
      </c>
      <c r="M5244" s="43">
        <v>46261</v>
      </c>
      <c r="N5244" s="1" t="e">
        <f ca="1">VLOOKUP(B5244,MICRO!E:L,8,0)</f>
        <v>#N/A</v>
      </c>
    </row>
    <row r="5245" spans="1:14" ht="20.25" x14ac:dyDescent="0.25">
      <c r="A5245" s="1">
        <v>74</v>
      </c>
      <c r="B5245" s="159">
        <v>3398</v>
      </c>
      <c r="C5245" s="1" t="s">
        <v>2280</v>
      </c>
      <c r="D5245" s="1"/>
      <c r="E5245" s="1" t="s">
        <v>2</v>
      </c>
      <c r="F5245" s="1" t="s">
        <v>2281</v>
      </c>
      <c r="G5245" s="1">
        <v>1</v>
      </c>
      <c r="H5245" s="1" t="s">
        <v>19</v>
      </c>
      <c r="I5245" s="1" t="s">
        <v>2274</v>
      </c>
      <c r="J5245" s="1">
        <v>67</v>
      </c>
      <c r="K5245" s="1">
        <v>67</v>
      </c>
      <c r="L5245" s="42">
        <v>14</v>
      </c>
      <c r="M5245" s="43">
        <v>46261</v>
      </c>
      <c r="N5245" s="1" t="str">
        <f ca="1">VLOOKUP(B5245,MICRO!E:L,8,0)</f>
        <v>P-188</v>
      </c>
    </row>
    <row r="5246" spans="1:14" ht="20.25" x14ac:dyDescent="0.25">
      <c r="A5246" s="1">
        <v>75</v>
      </c>
      <c r="B5246" s="159">
        <v>3399</v>
      </c>
      <c r="C5246" s="1" t="s">
        <v>2280</v>
      </c>
      <c r="D5246" s="1"/>
      <c r="E5246" s="1" t="s">
        <v>2</v>
      </c>
      <c r="F5246" s="1" t="s">
        <v>2281</v>
      </c>
      <c r="G5246" s="1">
        <v>1</v>
      </c>
      <c r="H5246" s="1" t="s">
        <v>19</v>
      </c>
      <c r="I5246" s="1" t="s">
        <v>2276</v>
      </c>
      <c r="J5246" s="1">
        <v>67</v>
      </c>
      <c r="K5246" s="1">
        <v>67</v>
      </c>
      <c r="L5246" s="42">
        <v>14</v>
      </c>
      <c r="M5246" s="43">
        <v>46261</v>
      </c>
      <c r="N5246" s="1" t="str">
        <f ca="1">VLOOKUP(B5246,MICRO!E:L,8,0)</f>
        <v>P-188</v>
      </c>
    </row>
    <row r="5247" spans="1:14" ht="20.25" x14ac:dyDescent="0.25">
      <c r="A5247" s="1">
        <v>76</v>
      </c>
      <c r="B5247" s="159"/>
      <c r="C5247" s="1" t="s">
        <v>3820</v>
      </c>
      <c r="D5247" s="1"/>
      <c r="E5247" s="1" t="s">
        <v>3821</v>
      </c>
      <c r="F5247" s="1" t="s">
        <v>3803</v>
      </c>
      <c r="G5247" s="1">
        <v>1</v>
      </c>
      <c r="H5247" s="1" t="s">
        <v>19</v>
      </c>
      <c r="I5247" s="1" t="s">
        <v>3789</v>
      </c>
      <c r="J5247" s="1">
        <v>159.30000000000001</v>
      </c>
      <c r="K5247" s="1">
        <v>159.30000000000001</v>
      </c>
      <c r="L5247" s="42">
        <v>14</v>
      </c>
      <c r="M5247" s="43">
        <v>46261</v>
      </c>
      <c r="N5247" s="1" t="e">
        <f ca="1">VLOOKUP(B5247,MICRO!E:L,8,0)</f>
        <v>#N/A</v>
      </c>
    </row>
    <row r="5248" spans="1:14" ht="20.25" x14ac:dyDescent="0.25">
      <c r="A5248" s="1">
        <v>1</v>
      </c>
      <c r="B5248" s="159">
        <v>3812</v>
      </c>
      <c r="C5248" s="1" t="s">
        <v>149</v>
      </c>
      <c r="D5248" s="1"/>
      <c r="E5248" s="1"/>
      <c r="F5248" s="1" t="s">
        <v>3171</v>
      </c>
      <c r="G5248" s="1">
        <v>3</v>
      </c>
      <c r="H5248" s="1" t="s">
        <v>19</v>
      </c>
      <c r="I5248" s="1" t="s">
        <v>5481</v>
      </c>
      <c r="J5248" s="1">
        <v>32.4</v>
      </c>
      <c r="K5248" s="1">
        <v>97.199999999999989</v>
      </c>
      <c r="L5248" s="42">
        <v>1</v>
      </c>
      <c r="M5248" s="43">
        <v>46261</v>
      </c>
      <c r="N5248" s="1" t="str">
        <f ca="1">VLOOKUP(B5248,MICRO!E:L,8,0)</f>
        <v>P-205</v>
      </c>
    </row>
    <row r="5249" spans="1:14" ht="20.25" x14ac:dyDescent="0.25">
      <c r="A5249" s="1">
        <v>1</v>
      </c>
      <c r="B5249" s="159">
        <v>3791</v>
      </c>
      <c r="C5249" s="1" t="s">
        <v>3127</v>
      </c>
      <c r="D5249" s="1" t="s">
        <v>3128</v>
      </c>
      <c r="E5249" s="1" t="s">
        <v>100</v>
      </c>
      <c r="F5249" s="1" t="s">
        <v>3133</v>
      </c>
      <c r="G5249" s="1">
        <v>28</v>
      </c>
      <c r="H5249" s="1" t="s">
        <v>19</v>
      </c>
      <c r="I5249" s="1" t="s">
        <v>3034</v>
      </c>
      <c r="J5249" s="1">
        <v>4.8</v>
      </c>
      <c r="K5249" s="1">
        <v>134.4</v>
      </c>
      <c r="L5249" s="42">
        <v>6</v>
      </c>
      <c r="M5249" s="319">
        <v>46273</v>
      </c>
      <c r="N5249" s="1" t="str">
        <f>VLOOKUP(B5249,MICRO!E:L,8,0)</f>
        <v>P-198</v>
      </c>
    </row>
    <row r="5250" spans="1:14" ht="20.25" x14ac:dyDescent="0.25">
      <c r="A5250" s="1">
        <v>2</v>
      </c>
      <c r="B5250" s="159">
        <v>3795</v>
      </c>
      <c r="C5250" s="1" t="s">
        <v>3127</v>
      </c>
      <c r="D5250" s="1" t="s">
        <v>3128</v>
      </c>
      <c r="E5250" s="1" t="s">
        <v>1102</v>
      </c>
      <c r="F5250" s="1" t="s">
        <v>3137</v>
      </c>
      <c r="G5250" s="1">
        <v>1</v>
      </c>
      <c r="H5250" s="1" t="s">
        <v>19</v>
      </c>
      <c r="I5250" s="1" t="s">
        <v>3034</v>
      </c>
      <c r="J5250" s="1">
        <v>2.4</v>
      </c>
      <c r="K5250" s="1">
        <v>2.4</v>
      </c>
      <c r="L5250" s="42">
        <v>6</v>
      </c>
      <c r="M5250" s="319">
        <v>46273</v>
      </c>
      <c r="N5250" s="1" t="str">
        <f>VLOOKUP(B5250,MICRO!E:L,8,0)</f>
        <v>P-198</v>
      </c>
    </row>
    <row r="5251" spans="1:14" ht="20.25" x14ac:dyDescent="0.25">
      <c r="A5251" s="1">
        <v>3</v>
      </c>
      <c r="B5251" s="159">
        <v>4328</v>
      </c>
      <c r="C5251" s="1" t="s">
        <v>4310</v>
      </c>
      <c r="D5251" s="1" t="s">
        <v>4311</v>
      </c>
      <c r="E5251" s="1" t="s">
        <v>2</v>
      </c>
      <c r="F5251" s="1" t="s">
        <v>4313</v>
      </c>
      <c r="G5251" s="1">
        <v>8</v>
      </c>
      <c r="H5251" s="1" t="s">
        <v>19</v>
      </c>
      <c r="I5251" s="1" t="s">
        <v>3045</v>
      </c>
      <c r="J5251" s="1">
        <v>1.2</v>
      </c>
      <c r="K5251" s="1">
        <v>9.6</v>
      </c>
      <c r="L5251" s="42">
        <v>6</v>
      </c>
      <c r="M5251" s="319">
        <v>46273</v>
      </c>
      <c r="N5251" s="1" t="str">
        <f>VLOOKUP(B5251,MICRO!E:L,8,0)</f>
        <v>P-198</v>
      </c>
    </row>
    <row r="5252" spans="1:14" ht="20.25" x14ac:dyDescent="0.25">
      <c r="A5252" s="1">
        <v>4</v>
      </c>
      <c r="B5252" s="159">
        <v>4331</v>
      </c>
      <c r="C5252" s="1" t="s">
        <v>4310</v>
      </c>
      <c r="D5252" s="1" t="s">
        <v>4311</v>
      </c>
      <c r="E5252" s="1" t="s">
        <v>1101</v>
      </c>
      <c r="F5252" s="1" t="s">
        <v>4315</v>
      </c>
      <c r="G5252" s="1">
        <v>8</v>
      </c>
      <c r="H5252" s="1" t="s">
        <v>19</v>
      </c>
      <c r="I5252" s="1" t="s">
        <v>3045</v>
      </c>
      <c r="J5252" s="1">
        <v>4.8</v>
      </c>
      <c r="K5252" s="1">
        <v>38.4</v>
      </c>
      <c r="L5252" s="42">
        <v>6</v>
      </c>
      <c r="M5252" s="319">
        <v>46273</v>
      </c>
      <c r="N5252" s="1" t="str">
        <f>VLOOKUP(B5252,MICRO!E:L,8,0)</f>
        <v>P-198</v>
      </c>
    </row>
    <row r="5253" spans="1:14" ht="20.25" x14ac:dyDescent="0.25">
      <c r="A5253" s="1">
        <v>5</v>
      </c>
      <c r="B5253" s="159">
        <v>4335</v>
      </c>
      <c r="C5253" s="1" t="s">
        <v>4310</v>
      </c>
      <c r="D5253" s="1" t="s">
        <v>4311</v>
      </c>
      <c r="E5253" s="1" t="s">
        <v>464</v>
      </c>
      <c r="F5253" s="1" t="s">
        <v>4318</v>
      </c>
      <c r="G5253" s="1">
        <v>1</v>
      </c>
      <c r="H5253" s="1" t="s">
        <v>19</v>
      </c>
      <c r="I5253" s="1" t="s">
        <v>3045</v>
      </c>
      <c r="J5253" s="1">
        <v>2.6</v>
      </c>
      <c r="K5253" s="1">
        <v>2.6</v>
      </c>
      <c r="L5253" s="42">
        <v>6</v>
      </c>
      <c r="M5253" s="319">
        <v>46273</v>
      </c>
      <c r="N5253" s="1" t="str">
        <f>VLOOKUP(B5253,MICRO!E:L,8,0)</f>
        <v>P-198</v>
      </c>
    </row>
    <row r="5254" spans="1:14" ht="20.25" x14ac:dyDescent="0.25">
      <c r="A5254" s="1">
        <v>6</v>
      </c>
      <c r="B5254" s="159">
        <v>4396</v>
      </c>
      <c r="C5254" s="1" t="s">
        <v>4513</v>
      </c>
      <c r="D5254" s="1" t="s">
        <v>4514</v>
      </c>
      <c r="E5254" s="1" t="s">
        <v>2</v>
      </c>
      <c r="F5254" s="1" t="s">
        <v>4515</v>
      </c>
      <c r="G5254" s="1">
        <v>1</v>
      </c>
      <c r="H5254" s="1" t="s">
        <v>19</v>
      </c>
      <c r="I5254" s="1" t="s">
        <v>3140</v>
      </c>
      <c r="J5254" s="1">
        <v>1282.0999999999999</v>
      </c>
      <c r="K5254" s="1">
        <v>1282.0999999999999</v>
      </c>
      <c r="L5254" s="42">
        <v>6</v>
      </c>
      <c r="M5254" s="319">
        <v>46273</v>
      </c>
      <c r="N5254" s="1" t="str">
        <f>VLOOKUP(B5254,MICRO!E:L,8,0)</f>
        <v>P-198</v>
      </c>
    </row>
    <row r="5255" spans="1:14" ht="20.25" x14ac:dyDescent="0.25">
      <c r="A5255" s="1">
        <v>7</v>
      </c>
      <c r="B5255" s="159">
        <v>4397</v>
      </c>
      <c r="C5255" s="1" t="s">
        <v>4516</v>
      </c>
      <c r="D5255" s="1" t="s">
        <v>4517</v>
      </c>
      <c r="E5255" s="1" t="s">
        <v>2</v>
      </c>
      <c r="F5255" s="1" t="s">
        <v>4518</v>
      </c>
      <c r="G5255" s="1">
        <v>1</v>
      </c>
      <c r="H5255" s="1" t="s">
        <v>19</v>
      </c>
      <c r="I5255" s="1" t="s">
        <v>3140</v>
      </c>
      <c r="J5255" s="1">
        <v>395.4</v>
      </c>
      <c r="K5255" s="1">
        <v>395.4</v>
      </c>
      <c r="L5255" s="42">
        <v>6</v>
      </c>
      <c r="M5255" s="319">
        <v>46273</v>
      </c>
      <c r="N5255" s="1" t="str">
        <f>VLOOKUP(B5255,MICRO!E:L,8,0)</f>
        <v>P-198</v>
      </c>
    </row>
    <row r="5256" spans="1:14" ht="20.25" x14ac:dyDescent="0.25">
      <c r="A5256" s="1">
        <v>8</v>
      </c>
      <c r="B5256" s="159">
        <v>4407</v>
      </c>
      <c r="C5256" s="1" t="s">
        <v>4535</v>
      </c>
      <c r="D5256" s="1" t="s">
        <v>4536</v>
      </c>
      <c r="E5256" s="1" t="s">
        <v>2</v>
      </c>
      <c r="F5256" s="1" t="s">
        <v>4537</v>
      </c>
      <c r="G5256" s="1">
        <v>1</v>
      </c>
      <c r="H5256" s="1" t="s">
        <v>19</v>
      </c>
      <c r="I5256" s="1" t="s">
        <v>3140</v>
      </c>
      <c r="J5256" s="1">
        <v>753.9</v>
      </c>
      <c r="K5256" s="1">
        <v>753.9</v>
      </c>
      <c r="L5256" s="42">
        <v>6</v>
      </c>
      <c r="M5256" s="319">
        <v>46273</v>
      </c>
      <c r="N5256" s="1" t="str">
        <f>VLOOKUP(B5256,MICRO!E:L,8,0)</f>
        <v>P-198</v>
      </c>
    </row>
    <row r="5257" spans="1:14" ht="20.25" x14ac:dyDescent="0.25">
      <c r="A5257" s="1">
        <v>9</v>
      </c>
      <c r="B5257" s="159">
        <v>4408</v>
      </c>
      <c r="C5257" s="1" t="s">
        <v>4535</v>
      </c>
      <c r="D5257" s="1" t="s">
        <v>4536</v>
      </c>
      <c r="E5257" s="1" t="s">
        <v>43</v>
      </c>
      <c r="F5257" s="1" t="s">
        <v>4538</v>
      </c>
      <c r="G5257" s="1">
        <v>2</v>
      </c>
      <c r="H5257" s="1" t="s">
        <v>19</v>
      </c>
      <c r="I5257" s="1" t="s">
        <v>3140</v>
      </c>
      <c r="J5257" s="1">
        <v>81.099999999999994</v>
      </c>
      <c r="K5257" s="1">
        <v>162.19999999999999</v>
      </c>
      <c r="L5257" s="42">
        <v>6</v>
      </c>
      <c r="M5257" s="319">
        <v>46273</v>
      </c>
      <c r="N5257" s="1" t="str">
        <f>VLOOKUP(B5257,MICRO!E:L,8,0)</f>
        <v>P-198</v>
      </c>
    </row>
    <row r="5258" spans="1:14" ht="20.25" x14ac:dyDescent="0.25">
      <c r="A5258" s="1">
        <v>10</v>
      </c>
      <c r="B5258" s="159">
        <v>4436</v>
      </c>
      <c r="C5258" s="1" t="s">
        <v>4869</v>
      </c>
      <c r="D5258" s="1" t="s">
        <v>4870</v>
      </c>
      <c r="E5258" s="1" t="s">
        <v>2</v>
      </c>
      <c r="F5258" s="1" t="s">
        <v>4877</v>
      </c>
      <c r="G5258" s="1">
        <v>2</v>
      </c>
      <c r="H5258" s="1" t="s">
        <v>19</v>
      </c>
      <c r="I5258" s="1" t="s">
        <v>3093</v>
      </c>
      <c r="J5258" s="1">
        <v>72.8</v>
      </c>
      <c r="K5258" s="1">
        <v>145.6</v>
      </c>
      <c r="L5258" s="42">
        <v>6</v>
      </c>
      <c r="M5258" s="319">
        <v>46273</v>
      </c>
      <c r="N5258" s="1" t="str">
        <f>VLOOKUP(B5258,MICRO!E:L,8,0)</f>
        <v>P-198</v>
      </c>
    </row>
    <row r="5259" spans="1:14" ht="20.25" x14ac:dyDescent="0.25">
      <c r="A5259" s="1">
        <v>11</v>
      </c>
      <c r="B5259" s="159">
        <v>4437</v>
      </c>
      <c r="C5259" s="1" t="s">
        <v>4869</v>
      </c>
      <c r="D5259" s="1" t="s">
        <v>4870</v>
      </c>
      <c r="E5259" s="1" t="s">
        <v>43</v>
      </c>
      <c r="F5259" s="1" t="s">
        <v>4891</v>
      </c>
      <c r="G5259" s="1">
        <v>2</v>
      </c>
      <c r="H5259" s="1" t="s">
        <v>19</v>
      </c>
      <c r="I5259" s="1" t="s">
        <v>3093</v>
      </c>
      <c r="J5259" s="1">
        <v>8.1</v>
      </c>
      <c r="K5259" s="1">
        <v>16.2</v>
      </c>
      <c r="L5259" s="42">
        <v>6</v>
      </c>
      <c r="M5259" s="319">
        <v>46273</v>
      </c>
      <c r="N5259" s="1" t="str">
        <f>VLOOKUP(B5259,MICRO!E:L,8,0)</f>
        <v>P-198</v>
      </c>
    </row>
    <row r="5260" spans="1:14" ht="20.25" x14ac:dyDescent="0.25">
      <c r="A5260" s="1">
        <v>12</v>
      </c>
      <c r="B5260" s="159">
        <v>4438</v>
      </c>
      <c r="C5260" s="1" t="s">
        <v>4869</v>
      </c>
      <c r="D5260" s="1" t="s">
        <v>4870</v>
      </c>
      <c r="E5260" s="1" t="s">
        <v>746</v>
      </c>
      <c r="F5260" s="1" t="s">
        <v>4890</v>
      </c>
      <c r="G5260" s="1">
        <v>4</v>
      </c>
      <c r="H5260" s="1" t="s">
        <v>19</v>
      </c>
      <c r="I5260" s="1" t="s">
        <v>3093</v>
      </c>
      <c r="J5260" s="1">
        <v>0.6</v>
      </c>
      <c r="K5260" s="1">
        <v>2.4</v>
      </c>
      <c r="L5260" s="42">
        <v>6</v>
      </c>
      <c r="M5260" s="319">
        <v>46273</v>
      </c>
      <c r="N5260" s="1" t="str">
        <f>VLOOKUP(B5260,MICRO!E:L,8,0)</f>
        <v>P-198</v>
      </c>
    </row>
    <row r="5261" spans="1:14" ht="20.25" x14ac:dyDescent="0.25">
      <c r="A5261" s="1">
        <v>13</v>
      </c>
      <c r="B5261" s="159">
        <v>4448</v>
      </c>
      <c r="C5261" s="1" t="s">
        <v>4878</v>
      </c>
      <c r="D5261" s="1" t="s">
        <v>4879</v>
      </c>
      <c r="E5261" s="1" t="s">
        <v>2</v>
      </c>
      <c r="F5261" s="1" t="s">
        <v>4880</v>
      </c>
      <c r="G5261" s="1">
        <v>2</v>
      </c>
      <c r="H5261" s="1" t="s">
        <v>19</v>
      </c>
      <c r="I5261" s="1" t="s">
        <v>3093</v>
      </c>
      <c r="J5261" s="1">
        <v>71.099999999999994</v>
      </c>
      <c r="K5261" s="1">
        <v>142.19999999999999</v>
      </c>
      <c r="L5261" s="42">
        <v>6</v>
      </c>
      <c r="M5261" s="319">
        <v>46273</v>
      </c>
      <c r="N5261" s="1" t="str">
        <f>VLOOKUP(B5261,MICRO!E:L,8,0)</f>
        <v>P-198</v>
      </c>
    </row>
    <row r="5262" spans="1:14" ht="20.25" x14ac:dyDescent="0.25">
      <c r="A5262" s="1">
        <v>14</v>
      </c>
      <c r="B5262" s="159">
        <v>4449</v>
      </c>
      <c r="C5262" s="1" t="s">
        <v>4878</v>
      </c>
      <c r="D5262" s="1" t="s">
        <v>4879</v>
      </c>
      <c r="E5262" s="1" t="s">
        <v>43</v>
      </c>
      <c r="F5262" s="1" t="s">
        <v>4892</v>
      </c>
      <c r="G5262" s="1">
        <v>2</v>
      </c>
      <c r="H5262" s="1" t="s">
        <v>19</v>
      </c>
      <c r="I5262" s="1" t="s">
        <v>3093</v>
      </c>
      <c r="J5262" s="1">
        <v>8.1</v>
      </c>
      <c r="K5262" s="1">
        <v>16.2</v>
      </c>
      <c r="L5262" s="42">
        <v>6</v>
      </c>
      <c r="M5262" s="319">
        <v>46273</v>
      </c>
      <c r="N5262" s="1" t="str">
        <f>VLOOKUP(B5262,MICRO!E:L,8,0)</f>
        <v>P-198</v>
      </c>
    </row>
    <row r="5263" spans="1:14" ht="20.25" x14ac:dyDescent="0.25">
      <c r="A5263" s="1">
        <v>15</v>
      </c>
      <c r="B5263" s="159">
        <v>4450</v>
      </c>
      <c r="C5263" s="1" t="s">
        <v>4878</v>
      </c>
      <c r="D5263" s="1" t="s">
        <v>4879</v>
      </c>
      <c r="E5263" s="1" t="s">
        <v>746</v>
      </c>
      <c r="F5263" s="1" t="s">
        <v>4893</v>
      </c>
      <c r="G5263" s="1">
        <v>4</v>
      </c>
      <c r="H5263" s="1" t="s">
        <v>19</v>
      </c>
      <c r="I5263" s="1" t="s">
        <v>3093</v>
      </c>
      <c r="J5263" s="1">
        <v>0.6</v>
      </c>
      <c r="K5263" s="1">
        <v>2.4</v>
      </c>
      <c r="L5263" s="42">
        <v>6</v>
      </c>
      <c r="M5263" s="319">
        <v>46273</v>
      </c>
      <c r="N5263" s="1" t="str">
        <f>VLOOKUP(B5263,MICRO!E:L,8,0)</f>
        <v>P-198</v>
      </c>
    </row>
    <row r="5264" spans="1:14" ht="20.25" x14ac:dyDescent="0.25">
      <c r="A5264" s="1">
        <v>16</v>
      </c>
      <c r="B5264" s="159">
        <v>4461</v>
      </c>
      <c r="C5264" s="1" t="s">
        <v>4903</v>
      </c>
      <c r="D5264" s="1" t="s">
        <v>4904</v>
      </c>
      <c r="E5264" s="1" t="s">
        <v>43</v>
      </c>
      <c r="F5264" s="1" t="s">
        <v>4906</v>
      </c>
      <c r="G5264" s="1">
        <v>16</v>
      </c>
      <c r="H5264" s="1" t="s">
        <v>19</v>
      </c>
      <c r="I5264" s="1" t="s">
        <v>3093</v>
      </c>
      <c r="J5264" s="1">
        <v>8.1</v>
      </c>
      <c r="K5264" s="1">
        <v>129.6</v>
      </c>
      <c r="L5264" s="42">
        <v>6</v>
      </c>
      <c r="M5264" s="319">
        <v>46273</v>
      </c>
      <c r="N5264" s="1" t="str">
        <f>VLOOKUP(B5264,MICRO!E:L,8,0)</f>
        <v>P-198</v>
      </c>
    </row>
    <row r="5265" spans="1:14" ht="20.25" x14ac:dyDescent="0.25">
      <c r="A5265" s="1">
        <v>17</v>
      </c>
      <c r="B5265" s="159">
        <v>4462</v>
      </c>
      <c r="C5265" s="1" t="s">
        <v>4903</v>
      </c>
      <c r="D5265" s="1" t="s">
        <v>4904</v>
      </c>
      <c r="E5265" s="1" t="s">
        <v>746</v>
      </c>
      <c r="F5265" s="1" t="s">
        <v>4907</v>
      </c>
      <c r="G5265" s="1">
        <v>16</v>
      </c>
      <c r="H5265" s="1" t="s">
        <v>19</v>
      </c>
      <c r="I5265" s="1" t="s">
        <v>3093</v>
      </c>
      <c r="J5265" s="1">
        <v>0.6</v>
      </c>
      <c r="K5265" s="1">
        <v>9.6</v>
      </c>
      <c r="L5265" s="42">
        <v>6</v>
      </c>
      <c r="M5265" s="319">
        <v>46273</v>
      </c>
      <c r="N5265" s="1" t="str">
        <f>VLOOKUP(B5265,MICRO!E:L,8,0)</f>
        <v>P-198</v>
      </c>
    </row>
    <row r="5266" spans="1:14" ht="20.25" x14ac:dyDescent="0.25">
      <c r="A5266" s="1">
        <v>18</v>
      </c>
      <c r="B5266" s="159">
        <v>4463</v>
      </c>
      <c r="C5266" s="1" t="s">
        <v>4903</v>
      </c>
      <c r="D5266" s="1" t="s">
        <v>4904</v>
      </c>
      <c r="E5266" s="1" t="s">
        <v>1101</v>
      </c>
      <c r="F5266" s="1" t="s">
        <v>4908</v>
      </c>
      <c r="G5266" s="1">
        <v>8</v>
      </c>
      <c r="H5266" s="1" t="s">
        <v>19</v>
      </c>
      <c r="I5266" s="1" t="s">
        <v>3093</v>
      </c>
      <c r="J5266" s="1">
        <v>14.7</v>
      </c>
      <c r="K5266" s="1">
        <v>117.6</v>
      </c>
      <c r="L5266" s="42">
        <v>6</v>
      </c>
      <c r="M5266" s="319">
        <v>46273</v>
      </c>
      <c r="N5266" s="1" t="str">
        <f>VLOOKUP(B5266,MICRO!E:L,8,0)</f>
        <v>P-198</v>
      </c>
    </row>
    <row r="5267" spans="1:14" ht="20.25" x14ac:dyDescent="0.25">
      <c r="A5267" s="1">
        <v>19</v>
      </c>
      <c r="B5267" s="159">
        <v>4466</v>
      </c>
      <c r="C5267" s="1" t="s">
        <v>4911</v>
      </c>
      <c r="D5267" s="1" t="s">
        <v>4912</v>
      </c>
      <c r="E5267" s="1" t="s">
        <v>2</v>
      </c>
      <c r="F5267" s="1" t="s">
        <v>4913</v>
      </c>
      <c r="G5267" s="1">
        <v>2</v>
      </c>
      <c r="H5267" s="1" t="s">
        <v>19</v>
      </c>
      <c r="I5267" s="1" t="s">
        <v>3093</v>
      </c>
      <c r="J5267" s="1">
        <v>90.5</v>
      </c>
      <c r="K5267" s="1">
        <v>181</v>
      </c>
      <c r="L5267" s="42">
        <v>6</v>
      </c>
      <c r="M5267" s="319">
        <v>46273</v>
      </c>
      <c r="N5267" s="1" t="str">
        <f>VLOOKUP(B5267,MICRO!E:L,8,0)</f>
        <v>P-198</v>
      </c>
    </row>
    <row r="5268" spans="1:14" ht="20.25" x14ac:dyDescent="0.25">
      <c r="A5268" s="1">
        <v>20</v>
      </c>
      <c r="B5268" s="159">
        <v>4467</v>
      </c>
      <c r="C5268" s="1" t="s">
        <v>4911</v>
      </c>
      <c r="D5268" s="1" t="s">
        <v>4912</v>
      </c>
      <c r="E5268" s="1" t="s">
        <v>43</v>
      </c>
      <c r="F5268" s="1" t="s">
        <v>4914</v>
      </c>
      <c r="G5268" s="1">
        <v>2</v>
      </c>
      <c r="H5268" s="1" t="s">
        <v>19</v>
      </c>
      <c r="I5268" s="1" t="s">
        <v>3093</v>
      </c>
      <c r="J5268" s="1">
        <v>8.1</v>
      </c>
      <c r="K5268" s="1">
        <v>16.2</v>
      </c>
      <c r="L5268" s="42">
        <v>6</v>
      </c>
      <c r="M5268" s="319">
        <v>46273</v>
      </c>
      <c r="N5268" s="1" t="str">
        <f>VLOOKUP(B5268,MICRO!E:L,8,0)</f>
        <v>P-198</v>
      </c>
    </row>
    <row r="5269" spans="1:14" ht="20.25" x14ac:dyDescent="0.25">
      <c r="A5269" s="1">
        <v>21</v>
      </c>
      <c r="B5269" s="159">
        <v>4468</v>
      </c>
      <c r="C5269" s="1" t="s">
        <v>4911</v>
      </c>
      <c r="D5269" s="1" t="s">
        <v>4912</v>
      </c>
      <c r="E5269" s="1" t="s">
        <v>746</v>
      </c>
      <c r="F5269" s="1" t="s">
        <v>4915</v>
      </c>
      <c r="G5269" s="1">
        <v>4</v>
      </c>
      <c r="H5269" s="1" t="s">
        <v>19</v>
      </c>
      <c r="I5269" s="1" t="s">
        <v>3093</v>
      </c>
      <c r="J5269" s="1">
        <v>0.6</v>
      </c>
      <c r="K5269" s="1">
        <v>2.4</v>
      </c>
      <c r="L5269" s="42">
        <v>6</v>
      </c>
      <c r="M5269" s="319">
        <v>46273</v>
      </c>
      <c r="N5269" s="1" t="str">
        <f>VLOOKUP(B5269,MICRO!E:L,8,0)</f>
        <v>P-198</v>
      </c>
    </row>
    <row r="5270" spans="1:14" ht="20.25" x14ac:dyDescent="0.25">
      <c r="A5270" s="1">
        <v>22</v>
      </c>
      <c r="B5270" s="159">
        <v>4469</v>
      </c>
      <c r="C5270" s="1" t="s">
        <v>4911</v>
      </c>
      <c r="D5270" s="1" t="s">
        <v>4912</v>
      </c>
      <c r="E5270" s="1" t="s">
        <v>1101</v>
      </c>
      <c r="F5270" s="1" t="s">
        <v>4916</v>
      </c>
      <c r="G5270" s="1">
        <v>2</v>
      </c>
      <c r="H5270" s="1" t="s">
        <v>19</v>
      </c>
      <c r="I5270" s="1" t="s">
        <v>3093</v>
      </c>
      <c r="J5270" s="1">
        <v>14.7</v>
      </c>
      <c r="K5270" s="1">
        <v>29.4</v>
      </c>
      <c r="L5270" s="42">
        <v>6</v>
      </c>
      <c r="M5270" s="319">
        <v>46273</v>
      </c>
      <c r="N5270" s="1" t="str">
        <f>VLOOKUP(B5270,MICRO!E:L,8,0)</f>
        <v>P-198</v>
      </c>
    </row>
    <row r="5271" spans="1:14" ht="20.25" x14ac:dyDescent="0.25">
      <c r="A5271" s="1">
        <v>23</v>
      </c>
      <c r="B5271" s="159">
        <v>4476</v>
      </c>
      <c r="C5271" s="1" t="s">
        <v>4927</v>
      </c>
      <c r="D5271" s="1" t="s">
        <v>4928</v>
      </c>
      <c r="E5271" s="1" t="s">
        <v>2</v>
      </c>
      <c r="F5271" s="1" t="s">
        <v>4935</v>
      </c>
      <c r="G5271" s="1">
        <v>1</v>
      </c>
      <c r="H5271" s="1" t="s">
        <v>19</v>
      </c>
      <c r="I5271" s="1" t="s">
        <v>3140</v>
      </c>
      <c r="J5271" s="1">
        <v>1146.0999999999999</v>
      </c>
      <c r="K5271" s="1">
        <v>1146.0999999999999</v>
      </c>
      <c r="L5271" s="42">
        <v>6</v>
      </c>
      <c r="M5271" s="319">
        <v>46273</v>
      </c>
      <c r="N5271" s="1" t="str">
        <f>VLOOKUP(B5271,MICRO!E:L,8,0)</f>
        <v>P-198</v>
      </c>
    </row>
    <row r="5272" spans="1:14" ht="20.25" x14ac:dyDescent="0.25">
      <c r="A5272" s="1">
        <v>24</v>
      </c>
      <c r="B5272" s="159">
        <v>4492</v>
      </c>
      <c r="C5272" s="1" t="s">
        <v>4963</v>
      </c>
      <c r="D5272" s="1" t="s">
        <v>4962</v>
      </c>
      <c r="E5272" s="1" t="s">
        <v>2</v>
      </c>
      <c r="F5272" s="1" t="s">
        <v>4965</v>
      </c>
      <c r="G5272" s="1">
        <v>1</v>
      </c>
      <c r="H5272" s="1" t="s">
        <v>19</v>
      </c>
      <c r="I5272" s="1" t="s">
        <v>3045</v>
      </c>
      <c r="J5272" s="1">
        <v>670.6</v>
      </c>
      <c r="K5272" s="1">
        <v>670.6</v>
      </c>
      <c r="L5272" s="42">
        <v>6</v>
      </c>
      <c r="M5272" s="319">
        <v>46273</v>
      </c>
      <c r="N5272" s="1" t="str">
        <f>VLOOKUP(B5272,MICRO!E:L,8,0)</f>
        <v>P-198</v>
      </c>
    </row>
    <row r="5273" spans="1:14" ht="20.25" x14ac:dyDescent="0.25">
      <c r="A5273" s="1">
        <v>1</v>
      </c>
      <c r="B5273" s="159">
        <v>4340</v>
      </c>
      <c r="C5273" s="1" t="s">
        <v>101</v>
      </c>
      <c r="D5273" s="1"/>
      <c r="E5273" s="1"/>
      <c r="F5273" s="1" t="s">
        <v>146</v>
      </c>
      <c r="G5273" s="1">
        <v>18</v>
      </c>
      <c r="H5273" s="1" t="s">
        <v>19</v>
      </c>
      <c r="I5273" s="1" t="s">
        <v>5635</v>
      </c>
      <c r="J5273" s="1">
        <v>1</v>
      </c>
      <c r="K5273" s="1">
        <v>18</v>
      </c>
      <c r="L5273" s="42">
        <v>1</v>
      </c>
      <c r="M5273" s="319">
        <v>46273</v>
      </c>
      <c r="N5273" s="1" t="s">
        <v>4424</v>
      </c>
    </row>
    <row r="5274" spans="1:14" ht="20.25" x14ac:dyDescent="0.25">
      <c r="A5274" s="1">
        <v>2</v>
      </c>
      <c r="B5274" s="159">
        <v>4341</v>
      </c>
      <c r="C5274" s="1" t="s">
        <v>814</v>
      </c>
      <c r="D5274" s="1"/>
      <c r="E5274" s="1"/>
      <c r="F5274" s="1" t="s">
        <v>4425</v>
      </c>
      <c r="G5274" s="1">
        <v>53</v>
      </c>
      <c r="H5274" s="1" t="s">
        <v>19</v>
      </c>
      <c r="I5274" s="1" t="s">
        <v>5635</v>
      </c>
      <c r="J5274" s="1">
        <v>5.2</v>
      </c>
      <c r="K5274" s="1">
        <v>275.60000000000002</v>
      </c>
      <c r="L5274" s="42">
        <v>1</v>
      </c>
      <c r="M5274" s="319">
        <v>46273</v>
      </c>
      <c r="N5274" s="1" t="s">
        <v>4424</v>
      </c>
    </row>
    <row r="5275" spans="1:14" ht="20.25" x14ac:dyDescent="0.25">
      <c r="A5275" s="1">
        <v>3</v>
      </c>
      <c r="B5275" s="159">
        <v>4342</v>
      </c>
      <c r="C5275" s="1" t="s">
        <v>4426</v>
      </c>
      <c r="D5275" s="1" t="s">
        <v>4427</v>
      </c>
      <c r="E5275" s="1"/>
      <c r="F5275" s="1" t="s">
        <v>4428</v>
      </c>
      <c r="G5275" s="1">
        <v>7</v>
      </c>
      <c r="H5275" s="1" t="s">
        <v>19</v>
      </c>
      <c r="I5275" s="1" t="s">
        <v>5635</v>
      </c>
      <c r="J5275" s="1">
        <v>19.100000000000001</v>
      </c>
      <c r="K5275" s="1">
        <v>133.70000000000002</v>
      </c>
      <c r="L5275" s="42">
        <v>1</v>
      </c>
      <c r="M5275" s="319">
        <v>46273</v>
      </c>
      <c r="N5275" s="1" t="s">
        <v>4424</v>
      </c>
    </row>
    <row r="5276" spans="1:14" ht="20.25" x14ac:dyDescent="0.25">
      <c r="A5276" s="1">
        <v>4</v>
      </c>
      <c r="B5276" s="159">
        <v>4343</v>
      </c>
      <c r="C5276" s="1" t="s">
        <v>4429</v>
      </c>
      <c r="D5276" s="1" t="s">
        <v>4430</v>
      </c>
      <c r="E5276" s="1"/>
      <c r="F5276" s="1" t="s">
        <v>4431</v>
      </c>
      <c r="G5276" s="1">
        <v>6</v>
      </c>
      <c r="H5276" s="1" t="s">
        <v>19</v>
      </c>
      <c r="I5276" s="1" t="s">
        <v>5635</v>
      </c>
      <c r="J5276" s="1">
        <v>18.2</v>
      </c>
      <c r="K5276" s="1">
        <v>109.19999999999999</v>
      </c>
      <c r="L5276" s="42">
        <v>1</v>
      </c>
      <c r="M5276" s="319">
        <v>46273</v>
      </c>
      <c r="N5276" s="1" t="s">
        <v>4424</v>
      </c>
    </row>
    <row r="5277" spans="1:14" ht="20.25" x14ac:dyDescent="0.25">
      <c r="A5277" s="1">
        <v>5</v>
      </c>
      <c r="B5277" s="159">
        <v>4344</v>
      </c>
      <c r="C5277" s="1" t="s">
        <v>4432</v>
      </c>
      <c r="D5277" s="1" t="s">
        <v>4433</v>
      </c>
      <c r="E5277" s="1"/>
      <c r="F5277" s="1" t="s">
        <v>4437</v>
      </c>
      <c r="G5277" s="1">
        <v>8</v>
      </c>
      <c r="H5277" s="1" t="s">
        <v>19</v>
      </c>
      <c r="I5277" s="1" t="s">
        <v>5635</v>
      </c>
      <c r="J5277" s="1">
        <v>6</v>
      </c>
      <c r="K5277" s="1">
        <v>48</v>
      </c>
      <c r="L5277" s="42">
        <v>1</v>
      </c>
      <c r="M5277" s="319">
        <v>46273</v>
      </c>
      <c r="N5277" s="1" t="s">
        <v>4424</v>
      </c>
    </row>
    <row r="5278" spans="1:14" ht="20.25" x14ac:dyDescent="0.25">
      <c r="A5278" s="1">
        <v>6</v>
      </c>
      <c r="B5278" s="159">
        <v>4345</v>
      </c>
      <c r="C5278" s="1" t="s">
        <v>4434</v>
      </c>
      <c r="D5278" s="1" t="s">
        <v>4435</v>
      </c>
      <c r="E5278" s="1"/>
      <c r="F5278" s="1" t="s">
        <v>4436</v>
      </c>
      <c r="G5278" s="1">
        <v>14</v>
      </c>
      <c r="H5278" s="1" t="s">
        <v>19</v>
      </c>
      <c r="I5278" s="1" t="s">
        <v>5635</v>
      </c>
      <c r="J5278" s="1">
        <v>5</v>
      </c>
      <c r="K5278" s="1">
        <v>70</v>
      </c>
      <c r="L5278" s="42">
        <v>1</v>
      </c>
      <c r="M5278" s="319">
        <v>46273</v>
      </c>
      <c r="N5278" s="1" t="s">
        <v>4424</v>
      </c>
    </row>
    <row r="5279" spans="1:14" ht="20.25" x14ac:dyDescent="0.25">
      <c r="A5279" s="1">
        <v>7</v>
      </c>
      <c r="B5279" s="159">
        <v>4346</v>
      </c>
      <c r="C5279" s="1" t="s">
        <v>4438</v>
      </c>
      <c r="D5279" s="1" t="s">
        <v>4439</v>
      </c>
      <c r="E5279" s="1"/>
      <c r="F5279" s="1" t="s">
        <v>4440</v>
      </c>
      <c r="G5279" s="1">
        <v>23</v>
      </c>
      <c r="H5279" s="1" t="s">
        <v>19</v>
      </c>
      <c r="I5279" s="1" t="s">
        <v>5635</v>
      </c>
      <c r="J5279" s="1">
        <v>6</v>
      </c>
      <c r="K5279" s="1">
        <v>138</v>
      </c>
      <c r="L5279" s="42">
        <v>1</v>
      </c>
      <c r="M5279" s="319">
        <v>46273</v>
      </c>
      <c r="N5279" s="1" t="s">
        <v>4424</v>
      </c>
    </row>
    <row r="5280" spans="1:14" ht="20.25" x14ac:dyDescent="0.25">
      <c r="A5280" s="1">
        <v>1</v>
      </c>
      <c r="B5280" s="159">
        <v>4514</v>
      </c>
      <c r="C5280" s="1" t="s">
        <v>814</v>
      </c>
      <c r="D5280" s="1"/>
      <c r="E5280" s="1"/>
      <c r="F5280" s="1" t="s">
        <v>5010</v>
      </c>
      <c r="G5280" s="1">
        <v>2</v>
      </c>
      <c r="H5280" s="1" t="s">
        <v>19</v>
      </c>
      <c r="I5280" s="1" t="s">
        <v>5636</v>
      </c>
      <c r="J5280" s="1">
        <v>5.2</v>
      </c>
      <c r="K5280" s="1">
        <v>10.4</v>
      </c>
      <c r="L5280" s="42">
        <v>1</v>
      </c>
      <c r="M5280" s="319">
        <v>46273</v>
      </c>
      <c r="N5280" s="1" t="s">
        <v>5012</v>
      </c>
    </row>
    <row r="5281" spans="1:14" ht="20.25" x14ac:dyDescent="0.25">
      <c r="A5281" s="1">
        <v>1</v>
      </c>
      <c r="B5281" s="159">
        <v>4526</v>
      </c>
      <c r="C5281" s="1" t="s">
        <v>414</v>
      </c>
      <c r="D5281" s="1"/>
      <c r="E5281" s="1"/>
      <c r="F5281" s="1" t="s">
        <v>5035</v>
      </c>
      <c r="G5281" s="1">
        <v>10</v>
      </c>
      <c r="H5281" s="1" t="s">
        <v>19</v>
      </c>
      <c r="I5281" s="1" t="s">
        <v>5637</v>
      </c>
      <c r="J5281" s="1">
        <v>5</v>
      </c>
      <c r="K5281" s="1">
        <v>50</v>
      </c>
      <c r="L5281" s="42">
        <v>1</v>
      </c>
      <c r="M5281" s="319">
        <v>46273</v>
      </c>
      <c r="N5281" s="1" t="s">
        <v>5037</v>
      </c>
    </row>
  </sheetData>
  <autoFilter ref="A1:O5248" xr:uid="{E826462E-1715-45FB-827E-B16DF1FB20B2}"/>
  <phoneticPr fontId="6" type="noConversion"/>
  <conditionalFormatting sqref="B764:B4406">
    <cfRule type="expression" dxfId="324" priority="5">
      <formula>$AH764="OK"</formula>
    </cfRule>
  </conditionalFormatting>
  <conditionalFormatting sqref="B4407:B4408 B4749:B5281">
    <cfRule type="expression" dxfId="323" priority="4">
      <formula>$AI4407="OK"</formula>
    </cfRule>
  </conditionalFormatting>
  <conditionalFormatting sqref="B4409:B4748">
    <cfRule type="expression" dxfId="322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74" zoomScale="85" zoomScaleNormal="85" workbookViewId="0">
      <selection activeCell="G387" sqref="G387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 ca="1">VLOOKUP(Tabela2[[#This Row],[TAG]],MICRO!J:L,3,0)</f>
        <v>#N/A</v>
      </c>
      <c r="F4" s="44" t="s">
        <v>31</v>
      </c>
      <c r="G4" s="58">
        <f ca="1">SUMIF(MICRO!AP:AP,O:O,MICRO!H:H)</f>
        <v>0</v>
      </c>
      <c r="H4" s="1">
        <f ca="1">SUMIF(MICRO!AP:AP,O:O,MICRO!R:R)</f>
        <v>0</v>
      </c>
      <c r="I4" s="1">
        <f ca="1">SUMIF(MICRO!AP:AP,O:O,MICRO!T:T)</f>
        <v>0</v>
      </c>
      <c r="J4" s="59">
        <f ca="1">IF(G4 = 0,0,H4/G4)</f>
        <v>0</v>
      </c>
      <c r="K4" s="1">
        <f ca="1">SUMIF(MICRO!AP:AP,O:O,MICRO!X:X)</f>
        <v>0</v>
      </c>
      <c r="L4" s="59" t="str">
        <f ca="1">IF(G4&lt;&gt;0,SUM(K4/G4*1),"0%")</f>
        <v>0%</v>
      </c>
      <c r="M4" s="1">
        <f ca="1">G4-K4</f>
        <v>0</v>
      </c>
      <c r="N4" s="56" t="e">
        <f ca="1">E4&amp;F4</f>
        <v>#N/A</v>
      </c>
      <c r="O4" s="56" t="e">
        <f ca="1">D4&amp;E4&amp;F4</f>
        <v>#N/A</v>
      </c>
      <c r="P4" s="2">
        <f ca="1">SUMIF(MICRO!AP:AP,O4,MICRO!AS:AS)</f>
        <v>0</v>
      </c>
      <c r="Q4" s="2">
        <f ca="1">SUMIF(MICRO!AP:AP,O4,MICRO!AT:AT)</f>
        <v>0</v>
      </c>
      <c r="R4" s="2">
        <f ca="1"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 ca="1">VLOOKUP(Tabela2[[#This Row],[TAG]],MICRO!J:L,3,0)</f>
        <v>#N/A</v>
      </c>
      <c r="F5" s="44" t="s">
        <v>32</v>
      </c>
      <c r="G5" s="58">
        <f ca="1">SUMIF(MICRO!AP:AP,O:O,MICRO!H:H)</f>
        <v>0</v>
      </c>
      <c r="H5" s="1">
        <f ca="1">SUMIF(MICRO!AP:AP,O:O,MICRO!R:R)</f>
        <v>0</v>
      </c>
      <c r="I5" s="1">
        <f ca="1">SUMIF(MICRO!AP:AP,O:O,MICRO!T:T)</f>
        <v>0</v>
      </c>
      <c r="J5" s="59">
        <f t="shared" ref="J5:J68" ca="1" si="0">IF(G5 = 0,0,H5/G5)</f>
        <v>0</v>
      </c>
      <c r="K5" s="1">
        <f ca="1">SUMIF(MICRO!AP:AP,O:O,MICRO!X:X)</f>
        <v>0</v>
      </c>
      <c r="L5" s="59" t="str">
        <f t="shared" ref="L5:L68" ca="1" si="1">IF(G5&lt;&gt;0,SUM(K5/G5*1),"0%")</f>
        <v>0%</v>
      </c>
      <c r="M5" s="1">
        <f t="shared" ref="M5:M68" ca="1" si="2">G5-K5</f>
        <v>0</v>
      </c>
      <c r="N5" s="56" t="e">
        <f t="shared" ref="N5:N68" ca="1" si="3">E5&amp;F5</f>
        <v>#N/A</v>
      </c>
      <c r="O5" s="56" t="e">
        <f t="shared" ref="O5:O68" ca="1" si="4">D5&amp;E5&amp;F5</f>
        <v>#N/A</v>
      </c>
      <c r="P5" s="2">
        <f ca="1">SUMIF(MICRO!AP:AP,O5,MICRO!AS:AS)</f>
        <v>0</v>
      </c>
      <c r="Q5" s="2">
        <f ca="1">SUMIF(MICRO!AP:AP,O5,MICRO!AT:AT)</f>
        <v>0</v>
      </c>
      <c r="R5" s="2">
        <f ca="1"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 ca="1">VLOOKUP(Tabela2[[#This Row],[TAG]],MICRO!J:L,3,0)</f>
        <v>#N/A</v>
      </c>
      <c r="F6" s="44" t="s">
        <v>44</v>
      </c>
      <c r="G6" s="58">
        <f ca="1">SUMIF(MICRO!AP:AP,O:O,MICRO!H:H)</f>
        <v>0</v>
      </c>
      <c r="H6" s="1">
        <f ca="1">SUMIF(MICRO!AP:AP,O:O,MICRO!R:R)</f>
        <v>0</v>
      </c>
      <c r="I6" s="1">
        <f ca="1">SUMIF(MICRO!AP:AP,O:O,MICRO!T:T)</f>
        <v>0</v>
      </c>
      <c r="J6" s="59">
        <f t="shared" ca="1" si="0"/>
        <v>0</v>
      </c>
      <c r="K6" s="1">
        <f ca="1">SUMIF(MICRO!AP:AP,O:O,MICRO!X:X)</f>
        <v>0</v>
      </c>
      <c r="L6" s="59" t="str">
        <f t="shared" ca="1" si="1"/>
        <v>0%</v>
      </c>
      <c r="M6" s="1">
        <f t="shared" ca="1" si="2"/>
        <v>0</v>
      </c>
      <c r="N6" s="56" t="e">
        <f t="shared" ca="1" si="3"/>
        <v>#N/A</v>
      </c>
      <c r="O6" s="56" t="e">
        <f t="shared" ca="1" si="4"/>
        <v>#N/A</v>
      </c>
      <c r="P6" s="2">
        <f ca="1">SUMIF(MICRO!AP:AP,O6,MICRO!AS:AS)</f>
        <v>0</v>
      </c>
      <c r="Q6" s="2">
        <f ca="1">SUMIF(MICRO!AP:AP,O6,MICRO!AT:AT)</f>
        <v>0</v>
      </c>
      <c r="R6" s="2">
        <f ca="1"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 ca="1">VLOOKUP(Tabela2[[#This Row],[TAG]],MICRO!J:L,3,0)</f>
        <v>#N/A</v>
      </c>
      <c r="F7" s="44" t="s">
        <v>22</v>
      </c>
      <c r="G7" s="58">
        <f ca="1">SUMIF(MICRO!AP:AP,O:O,MICRO!H:H)</f>
        <v>0</v>
      </c>
      <c r="H7" s="1">
        <f ca="1">SUMIF(MICRO!AP:AP,O:O,MICRO!R:R)</f>
        <v>0</v>
      </c>
      <c r="I7" s="1">
        <f ca="1">SUMIF(MICRO!AP:AP,O:O,MICRO!T:T)</f>
        <v>0</v>
      </c>
      <c r="J7" s="59">
        <f t="shared" ca="1" si="0"/>
        <v>0</v>
      </c>
      <c r="K7" s="1">
        <f ca="1">SUMIF(MICRO!AP:AP,O:O,MICRO!X:X)</f>
        <v>0</v>
      </c>
      <c r="L7" s="59" t="str">
        <f t="shared" ca="1" si="1"/>
        <v>0%</v>
      </c>
      <c r="M7" s="1">
        <f t="shared" ca="1" si="2"/>
        <v>0</v>
      </c>
      <c r="N7" s="56" t="e">
        <f t="shared" ca="1" si="3"/>
        <v>#N/A</v>
      </c>
      <c r="O7" s="56" t="e">
        <f t="shared" ca="1" si="4"/>
        <v>#N/A</v>
      </c>
      <c r="P7" s="2">
        <f ca="1">SUMIF(MICRO!AP:AP,O7,MICRO!AS:AS)</f>
        <v>0</v>
      </c>
      <c r="Q7" s="2">
        <f ca="1">SUMIF(MICRO!AP:AP,O7,MICRO!AT:AT)</f>
        <v>0</v>
      </c>
      <c r="R7" s="2">
        <f ca="1"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 ca="1">VLOOKUP(Tabela2[[#This Row],[TAG]],MICRO!J:L,3,0)</f>
        <v>#N/A</v>
      </c>
      <c r="F8" s="44" t="s">
        <v>23</v>
      </c>
      <c r="G8" s="58">
        <f ca="1">SUMIF(MICRO!AP:AP,O:O,MICRO!H:H)</f>
        <v>0</v>
      </c>
      <c r="H8" s="1">
        <f ca="1">SUMIF(MICRO!AP:AP,O:O,MICRO!R:R)</f>
        <v>0</v>
      </c>
      <c r="I8" s="1">
        <f ca="1">SUMIF(MICRO!AP:AP,O:O,MICRO!T:T)</f>
        <v>0</v>
      </c>
      <c r="J8" s="59">
        <f t="shared" ca="1" si="0"/>
        <v>0</v>
      </c>
      <c r="K8" s="1">
        <f ca="1">SUMIF(MICRO!AP:AP,O:O,MICRO!X:X)</f>
        <v>0</v>
      </c>
      <c r="L8" s="59" t="str">
        <f t="shared" ca="1" si="1"/>
        <v>0%</v>
      </c>
      <c r="M8" s="1">
        <f t="shared" ca="1" si="2"/>
        <v>0</v>
      </c>
      <c r="N8" s="56" t="e">
        <f t="shared" ca="1" si="3"/>
        <v>#N/A</v>
      </c>
      <c r="O8" s="56" t="e">
        <f t="shared" ca="1" si="4"/>
        <v>#N/A</v>
      </c>
      <c r="P8" s="2">
        <f ca="1">SUMIF(MICRO!AP:AP,O8,MICRO!AS:AS)</f>
        <v>0</v>
      </c>
      <c r="Q8" s="2">
        <f ca="1">SUMIF(MICRO!AP:AP,O8,MICRO!AT:AT)</f>
        <v>0</v>
      </c>
      <c r="R8" s="2">
        <f ca="1"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 ca="1">VLOOKUP(Tabela2[[#This Row],[TAG]],MICRO!J:L,3,0)</f>
        <v>#N/A</v>
      </c>
      <c r="F9" s="44" t="s">
        <v>33</v>
      </c>
      <c r="G9" s="58">
        <f ca="1">SUMIF(MICRO!AP:AP,O:O,MICRO!H:H)</f>
        <v>0</v>
      </c>
      <c r="H9" s="1">
        <f ca="1">SUMIF(MICRO!AP:AP,O:O,MICRO!R:R)</f>
        <v>0</v>
      </c>
      <c r="I9" s="1">
        <f ca="1">SUMIF(MICRO!AP:AP,O:O,MICRO!T:T)</f>
        <v>0</v>
      </c>
      <c r="J9" s="59">
        <f t="shared" ca="1" si="0"/>
        <v>0</v>
      </c>
      <c r="K9" s="1">
        <f ca="1">SUMIF(MICRO!AP:AP,O:O,MICRO!X:X)</f>
        <v>0</v>
      </c>
      <c r="L9" s="59" t="str">
        <f t="shared" ca="1" si="1"/>
        <v>0%</v>
      </c>
      <c r="M9" s="1">
        <f t="shared" ca="1" si="2"/>
        <v>0</v>
      </c>
      <c r="N9" s="56" t="e">
        <f t="shared" ca="1" si="3"/>
        <v>#N/A</v>
      </c>
      <c r="O9" s="56" t="e">
        <f t="shared" ca="1" si="4"/>
        <v>#N/A</v>
      </c>
      <c r="P9" s="2">
        <f ca="1">SUMIF(MICRO!AP:AP,O9,MICRO!AS:AS)</f>
        <v>0</v>
      </c>
      <c r="Q9" s="2">
        <f ca="1">SUMIF(MICRO!AP:AP,O9,MICRO!AT:AT)</f>
        <v>0</v>
      </c>
      <c r="R9" s="2">
        <f ca="1"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 ca="1">VLOOKUP(Tabela2[[#This Row],[TAG]],MICRO!J:L,3,0)</f>
        <v>#N/A</v>
      </c>
      <c r="F10" s="44" t="s">
        <v>31</v>
      </c>
      <c r="G10" s="58">
        <f ca="1">SUMIF(MICRO!AP:AP,O:O,MICRO!H:H)</f>
        <v>0</v>
      </c>
      <c r="H10" s="1">
        <f ca="1">SUMIF(MICRO!AP:AP,O:O,MICRO!R:R)</f>
        <v>0</v>
      </c>
      <c r="I10" s="1">
        <f ca="1">SUMIF(MICRO!AP:AP,O:O,MICRO!T:T)</f>
        <v>0</v>
      </c>
      <c r="J10" s="59">
        <f t="shared" ca="1" si="0"/>
        <v>0</v>
      </c>
      <c r="K10" s="1">
        <f ca="1">SUMIF(MICRO!AP:AP,O:O,MICRO!X:X)</f>
        <v>0</v>
      </c>
      <c r="L10" s="59" t="str">
        <f t="shared" ca="1" si="1"/>
        <v>0%</v>
      </c>
      <c r="M10" s="1">
        <f t="shared" ca="1" si="2"/>
        <v>0</v>
      </c>
      <c r="N10" s="56" t="e">
        <f t="shared" ca="1" si="3"/>
        <v>#N/A</v>
      </c>
      <c r="O10" s="56" t="e">
        <f t="shared" ca="1" si="4"/>
        <v>#N/A</v>
      </c>
      <c r="P10" s="2">
        <f ca="1">SUMIF(MICRO!AP:AP,O10,MICRO!AS:AS)</f>
        <v>0</v>
      </c>
      <c r="Q10" s="2">
        <f ca="1">SUMIF(MICRO!AP:AP,O10,MICRO!AT:AT)</f>
        <v>0</v>
      </c>
      <c r="R10" s="2">
        <f ca="1"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 ca="1">VLOOKUP(Tabela2[[#This Row],[TAG]],MICRO!J:L,3,0)</f>
        <v>#N/A</v>
      </c>
      <c r="F11" s="44" t="s">
        <v>32</v>
      </c>
      <c r="G11" s="58">
        <f ca="1">SUMIF(MICRO!AP:AP,O:O,MICRO!H:H)</f>
        <v>0</v>
      </c>
      <c r="H11" s="1">
        <f ca="1">SUMIF(MICRO!AP:AP,O:O,MICRO!R:R)</f>
        <v>0</v>
      </c>
      <c r="I11" s="1">
        <f ca="1">SUMIF(MICRO!AP:AP,O:O,MICRO!T:T)</f>
        <v>0</v>
      </c>
      <c r="J11" s="59">
        <f t="shared" ca="1" si="0"/>
        <v>0</v>
      </c>
      <c r="K11" s="1">
        <f ca="1">SUMIF(MICRO!AP:AP,O:O,MICRO!X:X)</f>
        <v>0</v>
      </c>
      <c r="L11" s="59" t="str">
        <f t="shared" ca="1" si="1"/>
        <v>0%</v>
      </c>
      <c r="M11" s="1">
        <f t="shared" ca="1" si="2"/>
        <v>0</v>
      </c>
      <c r="N11" s="56" t="e">
        <f t="shared" ca="1" si="3"/>
        <v>#N/A</v>
      </c>
      <c r="O11" s="56" t="e">
        <f t="shared" ca="1" si="4"/>
        <v>#N/A</v>
      </c>
      <c r="P11" s="2">
        <f ca="1">SUMIF(MICRO!AP:AP,O11,MICRO!AS:AS)</f>
        <v>0</v>
      </c>
      <c r="Q11" s="2">
        <f ca="1">SUMIF(MICRO!AP:AP,O11,MICRO!AT:AT)</f>
        <v>0</v>
      </c>
      <c r="R11" s="2">
        <f ca="1"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 ca="1">VLOOKUP(Tabela2[[#This Row],[TAG]],MICRO!J:L,3,0)</f>
        <v>#N/A</v>
      </c>
      <c r="F12" s="44" t="s">
        <v>44</v>
      </c>
      <c r="G12" s="58">
        <f ca="1">SUMIF(MICRO!AP:AP,O:O,MICRO!H:H)</f>
        <v>0</v>
      </c>
      <c r="H12" s="1">
        <f ca="1">SUMIF(MICRO!AP:AP,O:O,MICRO!R:R)</f>
        <v>0</v>
      </c>
      <c r="I12" s="1">
        <f ca="1">SUMIF(MICRO!AP:AP,O:O,MICRO!T:T)</f>
        <v>0</v>
      </c>
      <c r="J12" s="59">
        <f t="shared" ca="1" si="0"/>
        <v>0</v>
      </c>
      <c r="K12" s="1">
        <f ca="1">SUMIF(MICRO!AP:AP,O:O,MICRO!X:X)</f>
        <v>0</v>
      </c>
      <c r="L12" s="59" t="str">
        <f t="shared" ca="1" si="1"/>
        <v>0%</v>
      </c>
      <c r="M12" s="1">
        <f t="shared" ca="1" si="2"/>
        <v>0</v>
      </c>
      <c r="N12" s="56" t="e">
        <f t="shared" ca="1" si="3"/>
        <v>#N/A</v>
      </c>
      <c r="O12" s="56" t="e">
        <f t="shared" ca="1" si="4"/>
        <v>#N/A</v>
      </c>
      <c r="P12" s="2">
        <f ca="1">SUMIF(MICRO!AP:AP,O12,MICRO!AS:AS)</f>
        <v>0</v>
      </c>
      <c r="Q12" s="2">
        <f ca="1">SUMIF(MICRO!AP:AP,O12,MICRO!AT:AT)</f>
        <v>0</v>
      </c>
      <c r="R12" s="2">
        <f ca="1"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 ca="1">VLOOKUP(Tabela2[[#This Row],[TAG]],MICRO!J:L,3,0)</f>
        <v>#N/A</v>
      </c>
      <c r="F13" s="44" t="s">
        <v>22</v>
      </c>
      <c r="G13" s="58">
        <f ca="1">SUMIF(MICRO!AP:AP,O:O,MICRO!H:H)</f>
        <v>0</v>
      </c>
      <c r="H13" s="1">
        <f ca="1">SUMIF(MICRO!AP:AP,O:O,MICRO!R:R)</f>
        <v>0</v>
      </c>
      <c r="I13" s="1">
        <f ca="1">SUMIF(MICRO!AP:AP,O:O,MICRO!T:T)</f>
        <v>0</v>
      </c>
      <c r="J13" s="59">
        <f t="shared" ca="1" si="0"/>
        <v>0</v>
      </c>
      <c r="K13" s="1">
        <f ca="1">SUMIF(MICRO!AP:AP,O:O,MICRO!X:X)</f>
        <v>0</v>
      </c>
      <c r="L13" s="59" t="str">
        <f t="shared" ca="1" si="1"/>
        <v>0%</v>
      </c>
      <c r="M13" s="1">
        <f t="shared" ca="1" si="2"/>
        <v>0</v>
      </c>
      <c r="N13" s="56" t="e">
        <f t="shared" ca="1" si="3"/>
        <v>#N/A</v>
      </c>
      <c r="O13" s="56" t="e">
        <f t="shared" ca="1" si="4"/>
        <v>#N/A</v>
      </c>
      <c r="P13" s="2">
        <f ca="1">SUMIF(MICRO!AP:AP,O13,MICRO!AS:AS)</f>
        <v>0</v>
      </c>
      <c r="Q13" s="2">
        <f ca="1">SUMIF(MICRO!AP:AP,O13,MICRO!AT:AT)</f>
        <v>0</v>
      </c>
      <c r="R13" s="2">
        <f ca="1"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 ca="1">VLOOKUP(Tabela2[[#This Row],[TAG]],MICRO!J:L,3,0)</f>
        <v>#N/A</v>
      </c>
      <c r="F14" s="44" t="s">
        <v>23</v>
      </c>
      <c r="G14" s="58">
        <f ca="1">SUMIF(MICRO!AP:AP,O:O,MICRO!H:H)</f>
        <v>0</v>
      </c>
      <c r="H14" s="1">
        <f ca="1">SUMIF(MICRO!AP:AP,O:O,MICRO!R:R)</f>
        <v>0</v>
      </c>
      <c r="I14" s="1">
        <f ca="1">SUMIF(MICRO!AP:AP,O:O,MICRO!T:T)</f>
        <v>0</v>
      </c>
      <c r="J14" s="59">
        <f t="shared" ca="1" si="0"/>
        <v>0</v>
      </c>
      <c r="K14" s="1">
        <f ca="1">SUMIF(MICRO!AP:AP,O:O,MICRO!X:X)</f>
        <v>0</v>
      </c>
      <c r="L14" s="59" t="str">
        <f t="shared" ca="1" si="1"/>
        <v>0%</v>
      </c>
      <c r="M14" s="1">
        <f t="shared" ca="1" si="2"/>
        <v>0</v>
      </c>
      <c r="N14" s="56" t="e">
        <f t="shared" ca="1" si="3"/>
        <v>#N/A</v>
      </c>
      <c r="O14" s="56" t="e">
        <f t="shared" ca="1" si="4"/>
        <v>#N/A</v>
      </c>
      <c r="P14" s="2">
        <f ca="1">SUMIF(MICRO!AP:AP,O14,MICRO!AS:AS)</f>
        <v>0</v>
      </c>
      <c r="Q14" s="2">
        <f ca="1">SUMIF(MICRO!AP:AP,O14,MICRO!AT:AT)</f>
        <v>0</v>
      </c>
      <c r="R14" s="2">
        <f ca="1"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 ca="1">VLOOKUP(Tabela2[[#This Row],[TAG]],MICRO!J:L,3,0)</f>
        <v>#N/A</v>
      </c>
      <c r="F15" s="44" t="s">
        <v>33</v>
      </c>
      <c r="G15" s="58">
        <f ca="1">SUMIF(MICRO!AP:AP,O:O,MICRO!H:H)</f>
        <v>0</v>
      </c>
      <c r="H15" s="1">
        <f ca="1">SUMIF(MICRO!AP:AP,O:O,MICRO!R:R)</f>
        <v>0</v>
      </c>
      <c r="I15" s="1">
        <f ca="1">SUMIF(MICRO!AP:AP,O:O,MICRO!T:T)</f>
        <v>0</v>
      </c>
      <c r="J15" s="59">
        <f t="shared" ca="1" si="0"/>
        <v>0</v>
      </c>
      <c r="K15" s="1">
        <f ca="1">SUMIF(MICRO!AP:AP,O:O,MICRO!X:X)</f>
        <v>0</v>
      </c>
      <c r="L15" s="59" t="str">
        <f t="shared" ca="1" si="1"/>
        <v>0%</v>
      </c>
      <c r="M15" s="1">
        <f t="shared" ca="1" si="2"/>
        <v>0</v>
      </c>
      <c r="N15" s="56" t="e">
        <f t="shared" ca="1" si="3"/>
        <v>#N/A</v>
      </c>
      <c r="O15" s="56" t="e">
        <f t="shared" ca="1" si="4"/>
        <v>#N/A</v>
      </c>
      <c r="P15" s="2">
        <f ca="1">SUMIF(MICRO!AP:AP,O15,MICRO!AS:AS)</f>
        <v>0</v>
      </c>
      <c r="Q15" s="2">
        <f ca="1">SUMIF(MICRO!AP:AP,O15,MICRO!AT:AT)</f>
        <v>0</v>
      </c>
      <c r="R15" s="2">
        <f ca="1"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 ca="1">VLOOKUP(Tabela2[[#This Row],[TAG]],MICRO!J:L,3,0)</f>
        <v>#N/A</v>
      </c>
      <c r="F16" s="44" t="s">
        <v>31</v>
      </c>
      <c r="G16" s="58">
        <f ca="1">SUMIF(MICRO!AP:AP,O:O,MICRO!H:H)</f>
        <v>0</v>
      </c>
      <c r="H16" s="1">
        <f ca="1">SUMIF(MICRO!AP:AP,O:O,MICRO!R:R)</f>
        <v>0</v>
      </c>
      <c r="I16" s="1">
        <f ca="1">SUMIF(MICRO!AP:AP,O:O,MICRO!T:T)</f>
        <v>0</v>
      </c>
      <c r="J16" s="59">
        <f t="shared" ca="1" si="0"/>
        <v>0</v>
      </c>
      <c r="K16" s="1">
        <f ca="1">SUMIF(MICRO!AP:AP,O:O,MICRO!X:X)</f>
        <v>0</v>
      </c>
      <c r="L16" s="59" t="str">
        <f t="shared" ca="1" si="1"/>
        <v>0%</v>
      </c>
      <c r="M16" s="1">
        <f t="shared" ca="1" si="2"/>
        <v>0</v>
      </c>
      <c r="N16" s="56" t="e">
        <f t="shared" ca="1" si="3"/>
        <v>#N/A</v>
      </c>
      <c r="O16" s="56" t="e">
        <f t="shared" ca="1" si="4"/>
        <v>#N/A</v>
      </c>
      <c r="P16" s="2">
        <f ca="1">SUMIF(MICRO!AP:AP,O16,MICRO!AS:AS)</f>
        <v>0</v>
      </c>
      <c r="Q16" s="2">
        <f ca="1">SUMIF(MICRO!AP:AP,O16,MICRO!AT:AT)</f>
        <v>0</v>
      </c>
      <c r="R16" s="2">
        <f ca="1"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 ca="1">VLOOKUP(Tabela2[[#This Row],[TAG]],MICRO!J:L,3,0)</f>
        <v>#N/A</v>
      </c>
      <c r="F17" s="44" t="s">
        <v>32</v>
      </c>
      <c r="G17" s="58">
        <f ca="1">SUMIF(MICRO!AP:AP,O:O,MICRO!H:H)</f>
        <v>0</v>
      </c>
      <c r="H17" s="1">
        <f ca="1">SUMIF(MICRO!AP:AP,O:O,MICRO!R:R)</f>
        <v>0</v>
      </c>
      <c r="I17" s="1">
        <f ca="1">SUMIF(MICRO!AP:AP,O:O,MICRO!T:T)</f>
        <v>0</v>
      </c>
      <c r="J17" s="59">
        <f t="shared" ca="1" si="0"/>
        <v>0</v>
      </c>
      <c r="K17" s="1">
        <f ca="1">SUMIF(MICRO!AP:AP,O:O,MICRO!X:X)</f>
        <v>0</v>
      </c>
      <c r="L17" s="59" t="str">
        <f t="shared" ca="1" si="1"/>
        <v>0%</v>
      </c>
      <c r="M17" s="1">
        <f t="shared" ca="1" si="2"/>
        <v>0</v>
      </c>
      <c r="N17" s="56" t="e">
        <f t="shared" ca="1" si="3"/>
        <v>#N/A</v>
      </c>
      <c r="O17" s="56" t="e">
        <f t="shared" ca="1" si="4"/>
        <v>#N/A</v>
      </c>
      <c r="P17" s="2">
        <f ca="1">SUMIF(MICRO!AP:AP,O17,MICRO!AS:AS)</f>
        <v>0</v>
      </c>
      <c r="Q17" s="2">
        <f ca="1">SUMIF(MICRO!AP:AP,O17,MICRO!AT:AT)</f>
        <v>0</v>
      </c>
      <c r="R17" s="2">
        <f ca="1"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 ca="1">VLOOKUP(Tabela2[[#This Row],[TAG]],MICRO!J:L,3,0)</f>
        <v>#N/A</v>
      </c>
      <c r="F18" s="44" t="s">
        <v>44</v>
      </c>
      <c r="G18" s="58">
        <f ca="1">SUMIF(MICRO!AP:AP,O:O,MICRO!H:H)</f>
        <v>0</v>
      </c>
      <c r="H18" s="1">
        <f ca="1">SUMIF(MICRO!AP:AP,O:O,MICRO!R:R)</f>
        <v>0</v>
      </c>
      <c r="I18" s="1">
        <f ca="1">SUMIF(MICRO!AP:AP,O:O,MICRO!T:T)</f>
        <v>0</v>
      </c>
      <c r="J18" s="59">
        <f t="shared" ca="1" si="0"/>
        <v>0</v>
      </c>
      <c r="K18" s="1">
        <f ca="1">SUMIF(MICRO!AP:AP,O:O,MICRO!X:X)</f>
        <v>0</v>
      </c>
      <c r="L18" s="59" t="str">
        <f t="shared" ca="1" si="1"/>
        <v>0%</v>
      </c>
      <c r="M18" s="1">
        <f t="shared" ca="1" si="2"/>
        <v>0</v>
      </c>
      <c r="N18" s="56" t="e">
        <f t="shared" ca="1" si="3"/>
        <v>#N/A</v>
      </c>
      <c r="O18" s="56" t="e">
        <f t="shared" ca="1" si="4"/>
        <v>#N/A</v>
      </c>
      <c r="P18" s="2">
        <f ca="1">SUMIF(MICRO!AP:AP,O18,MICRO!AS:AS)</f>
        <v>0</v>
      </c>
      <c r="Q18" s="2">
        <f ca="1">SUMIF(MICRO!AP:AP,O18,MICRO!AT:AT)</f>
        <v>0</v>
      </c>
      <c r="R18" s="2">
        <f ca="1"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 ca="1">VLOOKUP(Tabela2[[#This Row],[TAG]],MICRO!J:L,3,0)</f>
        <v>#N/A</v>
      </c>
      <c r="F19" s="44" t="s">
        <v>22</v>
      </c>
      <c r="G19" s="58">
        <f ca="1">SUMIF(MICRO!AP:AP,O:O,MICRO!H:H)</f>
        <v>0</v>
      </c>
      <c r="H19" s="1">
        <f ca="1">SUMIF(MICRO!AP:AP,O:O,MICRO!R:R)</f>
        <v>0</v>
      </c>
      <c r="I19" s="1">
        <f ca="1">SUMIF(MICRO!AP:AP,O:O,MICRO!T:T)</f>
        <v>0</v>
      </c>
      <c r="J19" s="59">
        <f t="shared" ca="1" si="0"/>
        <v>0</v>
      </c>
      <c r="K19" s="1">
        <f ca="1">SUMIF(MICRO!AP:AP,O:O,MICRO!X:X)</f>
        <v>0</v>
      </c>
      <c r="L19" s="59" t="str">
        <f t="shared" ca="1" si="1"/>
        <v>0%</v>
      </c>
      <c r="M19" s="1">
        <f t="shared" ca="1" si="2"/>
        <v>0</v>
      </c>
      <c r="N19" s="56" t="e">
        <f t="shared" ca="1" si="3"/>
        <v>#N/A</v>
      </c>
      <c r="O19" s="56" t="e">
        <f t="shared" ca="1" si="4"/>
        <v>#N/A</v>
      </c>
      <c r="P19" s="2">
        <f ca="1">SUMIF(MICRO!AP:AP,O19,MICRO!AS:AS)</f>
        <v>0</v>
      </c>
      <c r="Q19" s="2">
        <f ca="1">SUMIF(MICRO!AP:AP,O19,MICRO!AT:AT)</f>
        <v>0</v>
      </c>
      <c r="R19" s="2">
        <f ca="1"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 ca="1">VLOOKUP(Tabela2[[#This Row],[TAG]],MICRO!J:L,3,0)</f>
        <v>#N/A</v>
      </c>
      <c r="F20" s="44" t="s">
        <v>23</v>
      </c>
      <c r="G20" s="58">
        <f ca="1">SUMIF(MICRO!AP:AP,O:O,MICRO!H:H)</f>
        <v>0</v>
      </c>
      <c r="H20" s="1">
        <f ca="1">SUMIF(MICRO!AP:AP,O:O,MICRO!R:R)</f>
        <v>0</v>
      </c>
      <c r="I20" s="1">
        <f ca="1">SUMIF(MICRO!AP:AP,O:O,MICRO!T:T)</f>
        <v>0</v>
      </c>
      <c r="J20" s="59">
        <f t="shared" ca="1" si="0"/>
        <v>0</v>
      </c>
      <c r="K20" s="1">
        <f ca="1">SUMIF(MICRO!AP:AP,O:O,MICRO!X:X)</f>
        <v>0</v>
      </c>
      <c r="L20" s="59" t="str">
        <f t="shared" ca="1" si="1"/>
        <v>0%</v>
      </c>
      <c r="M20" s="1">
        <f t="shared" ca="1" si="2"/>
        <v>0</v>
      </c>
      <c r="N20" s="56" t="e">
        <f t="shared" ca="1" si="3"/>
        <v>#N/A</v>
      </c>
      <c r="O20" s="56" t="e">
        <f t="shared" ca="1" si="4"/>
        <v>#N/A</v>
      </c>
      <c r="P20" s="2">
        <f ca="1">SUMIF(MICRO!AP:AP,O20,MICRO!AS:AS)</f>
        <v>0</v>
      </c>
      <c r="Q20" s="2">
        <f ca="1">SUMIF(MICRO!AP:AP,O20,MICRO!AT:AT)</f>
        <v>0</v>
      </c>
      <c r="R20" s="2">
        <f ca="1"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 ca="1">VLOOKUP(Tabela2[[#This Row],[TAG]],MICRO!J:L,3,0)</f>
        <v>#N/A</v>
      </c>
      <c r="F21" s="44" t="s">
        <v>33</v>
      </c>
      <c r="G21" s="58">
        <f ca="1">SUMIF(MICRO!AP:AP,O:O,MICRO!H:H)</f>
        <v>0</v>
      </c>
      <c r="H21" s="1">
        <f ca="1">SUMIF(MICRO!AP:AP,O:O,MICRO!R:R)</f>
        <v>0</v>
      </c>
      <c r="I21" s="1">
        <f ca="1">SUMIF(MICRO!AP:AP,O:O,MICRO!T:T)</f>
        <v>0</v>
      </c>
      <c r="J21" s="59">
        <f t="shared" ca="1" si="0"/>
        <v>0</v>
      </c>
      <c r="K21" s="1">
        <f ca="1">SUMIF(MICRO!AP:AP,O:O,MICRO!X:X)</f>
        <v>0</v>
      </c>
      <c r="L21" s="59" t="str">
        <f t="shared" ca="1" si="1"/>
        <v>0%</v>
      </c>
      <c r="M21" s="1">
        <f t="shared" ca="1" si="2"/>
        <v>0</v>
      </c>
      <c r="N21" s="56" t="e">
        <f t="shared" ca="1" si="3"/>
        <v>#N/A</v>
      </c>
      <c r="O21" s="56" t="e">
        <f t="shared" ca="1" si="4"/>
        <v>#N/A</v>
      </c>
      <c r="P21" s="2">
        <f ca="1">SUMIF(MICRO!AP:AP,O21,MICRO!AS:AS)</f>
        <v>0</v>
      </c>
      <c r="Q21" s="2">
        <f ca="1">SUMIF(MICRO!AP:AP,O21,MICRO!AT:AT)</f>
        <v>0</v>
      </c>
      <c r="R21" s="2">
        <f ca="1"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 ca="1">VLOOKUP(Tabela2[[#This Row],[TAG]],MICRO!J:L,3,0)</f>
        <v>#N/A</v>
      </c>
      <c r="F22" s="44" t="s">
        <v>31</v>
      </c>
      <c r="G22" s="58">
        <f ca="1">SUMIF(MICRO!AP:AP,O:O,MICRO!H:H)</f>
        <v>0</v>
      </c>
      <c r="H22" s="1">
        <f ca="1">SUMIF(MICRO!AP:AP,O:O,MICRO!R:R)</f>
        <v>0</v>
      </c>
      <c r="I22" s="1">
        <f ca="1">SUMIF(MICRO!AP:AP,O:O,MICRO!T:T)</f>
        <v>0</v>
      </c>
      <c r="J22" s="59">
        <f t="shared" ca="1" si="0"/>
        <v>0</v>
      </c>
      <c r="K22" s="1">
        <f ca="1">SUMIF(MICRO!AP:AP,O:O,MICRO!X:X)</f>
        <v>0</v>
      </c>
      <c r="L22" s="59" t="str">
        <f t="shared" ca="1" si="1"/>
        <v>0%</v>
      </c>
      <c r="M22" s="1">
        <f t="shared" ca="1" si="2"/>
        <v>0</v>
      </c>
      <c r="N22" s="56" t="e">
        <f t="shared" ca="1" si="3"/>
        <v>#N/A</v>
      </c>
      <c r="O22" s="56" t="e">
        <f t="shared" ca="1" si="4"/>
        <v>#N/A</v>
      </c>
      <c r="P22" s="2">
        <f ca="1">SUMIF(MICRO!AP:AP,O22,MICRO!AS:AS)</f>
        <v>0</v>
      </c>
      <c r="Q22" s="2">
        <f ca="1">SUMIF(MICRO!AP:AP,O22,MICRO!AT:AT)</f>
        <v>0</v>
      </c>
      <c r="R22" s="2">
        <f ca="1"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 ca="1">VLOOKUP(Tabela2[[#This Row],[TAG]],MICRO!J:L,3,0)</f>
        <v>#N/A</v>
      </c>
      <c r="F23" s="44" t="s">
        <v>31</v>
      </c>
      <c r="G23" s="58">
        <f ca="1">SUMIF(MICRO!AP:AP,O:O,MICRO!H:H)</f>
        <v>0</v>
      </c>
      <c r="H23" s="1">
        <f ca="1">SUMIF(MICRO!AP:AP,O:O,MICRO!R:R)</f>
        <v>0</v>
      </c>
      <c r="I23" s="1">
        <f ca="1">SUMIF(MICRO!AP:AP,O:O,MICRO!T:T)</f>
        <v>0</v>
      </c>
      <c r="J23" s="59">
        <f t="shared" ca="1" si="0"/>
        <v>0</v>
      </c>
      <c r="K23" s="1">
        <f ca="1">SUMIF(MICRO!AP:AP,O:O,MICRO!X:X)</f>
        <v>0</v>
      </c>
      <c r="L23" s="59" t="str">
        <f t="shared" ca="1" si="1"/>
        <v>0%</v>
      </c>
      <c r="M23" s="1">
        <f t="shared" ca="1" si="2"/>
        <v>0</v>
      </c>
      <c r="N23" s="56" t="e">
        <f t="shared" ca="1" si="3"/>
        <v>#N/A</v>
      </c>
      <c r="O23" s="56" t="e">
        <f t="shared" ca="1" si="4"/>
        <v>#N/A</v>
      </c>
      <c r="P23" s="2">
        <f ca="1">SUMIF(MICRO!AP:AP,O23,MICRO!AS:AS)</f>
        <v>0</v>
      </c>
      <c r="Q23" s="2">
        <f ca="1">SUMIF(MICRO!AP:AP,O23,MICRO!AT:AT)</f>
        <v>0</v>
      </c>
      <c r="R23" s="2">
        <f ca="1"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 ca="1">VLOOKUP(Tabela2[[#This Row],[TAG]],MICRO!J:L,3,0)</f>
        <v>#N/A</v>
      </c>
      <c r="F24" s="44" t="s">
        <v>31</v>
      </c>
      <c r="G24" s="58">
        <f ca="1">SUMIF(MICRO!AP:AP,O:O,MICRO!H:H)</f>
        <v>0</v>
      </c>
      <c r="H24" s="1">
        <f ca="1">SUMIF(MICRO!AP:AP,O:O,MICRO!R:R)</f>
        <v>0</v>
      </c>
      <c r="I24" s="1">
        <f ca="1">SUMIF(MICRO!AP:AP,O:O,MICRO!T:T)</f>
        <v>0</v>
      </c>
      <c r="J24" s="59">
        <f t="shared" ca="1" si="0"/>
        <v>0</v>
      </c>
      <c r="K24" s="1">
        <f ca="1">SUMIF(MICRO!AP:AP,O:O,MICRO!X:X)</f>
        <v>0</v>
      </c>
      <c r="L24" s="59" t="str">
        <f t="shared" ca="1" si="1"/>
        <v>0%</v>
      </c>
      <c r="M24" s="1">
        <f t="shared" ca="1" si="2"/>
        <v>0</v>
      </c>
      <c r="N24" s="56" t="e">
        <f t="shared" ca="1" si="3"/>
        <v>#N/A</v>
      </c>
      <c r="O24" s="56" t="e">
        <f t="shared" ca="1" si="4"/>
        <v>#N/A</v>
      </c>
      <c r="P24" s="2">
        <f ca="1">SUMIF(MICRO!AP:AP,O24,MICRO!AS:AS)</f>
        <v>0</v>
      </c>
      <c r="Q24" s="2">
        <f ca="1">SUMIF(MICRO!AP:AP,O24,MICRO!AT:AT)</f>
        <v>0</v>
      </c>
      <c r="R24" s="2">
        <f ca="1"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 ca="1">VLOOKUP(Tabela2[[#This Row],[TAG]],MICRO!J:L,3,0)</f>
        <v>#N/A</v>
      </c>
      <c r="F25" s="44" t="s">
        <v>31</v>
      </c>
      <c r="G25" s="58">
        <f ca="1">SUMIF(MICRO!AP:AP,O:O,MICRO!H:H)</f>
        <v>0</v>
      </c>
      <c r="H25" s="1">
        <f ca="1">SUMIF(MICRO!AP:AP,O:O,MICRO!R:R)</f>
        <v>0</v>
      </c>
      <c r="I25" s="1">
        <f ca="1">SUMIF(MICRO!AP:AP,O:O,MICRO!T:T)</f>
        <v>0</v>
      </c>
      <c r="J25" s="59">
        <f t="shared" ca="1" si="0"/>
        <v>0</v>
      </c>
      <c r="K25" s="1">
        <f ca="1">SUMIF(MICRO!AP:AP,O:O,MICRO!X:X)</f>
        <v>0</v>
      </c>
      <c r="L25" s="59" t="str">
        <f t="shared" ca="1" si="1"/>
        <v>0%</v>
      </c>
      <c r="M25" s="1">
        <f t="shared" ca="1" si="2"/>
        <v>0</v>
      </c>
      <c r="N25" s="56" t="e">
        <f t="shared" ca="1" si="3"/>
        <v>#N/A</v>
      </c>
      <c r="O25" s="56" t="e">
        <f t="shared" ca="1" si="4"/>
        <v>#N/A</v>
      </c>
      <c r="P25" s="2">
        <f ca="1">SUMIF(MICRO!AP:AP,O25,MICRO!AS:AS)</f>
        <v>0</v>
      </c>
      <c r="Q25" s="2">
        <f ca="1">SUMIF(MICRO!AP:AP,O25,MICRO!AT:AT)</f>
        <v>0</v>
      </c>
      <c r="R25" s="2">
        <f ca="1"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 ca="1">VLOOKUP(Tabela2[[#This Row],[TAG]],MICRO!J:L,3,0)</f>
        <v>#N/A</v>
      </c>
      <c r="F26" s="44" t="s">
        <v>31</v>
      </c>
      <c r="G26" s="58">
        <f ca="1">SUMIF(MICRO!AP:AP,O:O,MICRO!H:H)</f>
        <v>0</v>
      </c>
      <c r="H26" s="1">
        <f ca="1">SUMIF(MICRO!AP:AP,O:O,MICRO!R:R)</f>
        <v>0</v>
      </c>
      <c r="I26" s="1">
        <f ca="1">SUMIF(MICRO!AP:AP,O:O,MICRO!T:T)</f>
        <v>0</v>
      </c>
      <c r="J26" s="59">
        <f t="shared" ca="1" si="0"/>
        <v>0</v>
      </c>
      <c r="K26" s="1">
        <f ca="1">SUMIF(MICRO!AP:AP,O:O,MICRO!X:X)</f>
        <v>0</v>
      </c>
      <c r="L26" s="59" t="str">
        <f t="shared" ca="1" si="1"/>
        <v>0%</v>
      </c>
      <c r="M26" s="1">
        <f t="shared" ca="1" si="2"/>
        <v>0</v>
      </c>
      <c r="N26" s="56" t="e">
        <f t="shared" ca="1" si="3"/>
        <v>#N/A</v>
      </c>
      <c r="O26" s="56" t="e">
        <f t="shared" ca="1" si="4"/>
        <v>#N/A</v>
      </c>
      <c r="P26" s="2">
        <f ca="1">SUMIF(MICRO!AP:AP,O26,MICRO!AS:AS)</f>
        <v>0</v>
      </c>
      <c r="Q26" s="2">
        <f ca="1">SUMIF(MICRO!AP:AP,O26,MICRO!AT:AT)</f>
        <v>0</v>
      </c>
      <c r="R26" s="2">
        <f ca="1"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 ca="1">VLOOKUP(Tabela2[[#This Row],[TAG]],MICRO!J:L,3,0)</f>
        <v>#N/A</v>
      </c>
      <c r="F27" s="44" t="s">
        <v>31</v>
      </c>
      <c r="G27" s="58">
        <f ca="1">SUMIF(MICRO!AP:AP,O:O,MICRO!H:H)</f>
        <v>0</v>
      </c>
      <c r="H27" s="1">
        <f ca="1">SUMIF(MICRO!AP:AP,O:O,MICRO!R:R)</f>
        <v>0</v>
      </c>
      <c r="I27" s="1">
        <f ca="1">SUMIF(MICRO!AP:AP,O:O,MICRO!T:T)</f>
        <v>0</v>
      </c>
      <c r="J27" s="59">
        <f t="shared" ca="1" si="0"/>
        <v>0</v>
      </c>
      <c r="K27" s="1">
        <f ca="1">SUMIF(MICRO!AP:AP,O:O,MICRO!X:X)</f>
        <v>0</v>
      </c>
      <c r="L27" s="59" t="str">
        <f t="shared" ca="1" si="1"/>
        <v>0%</v>
      </c>
      <c r="M27" s="1">
        <f t="shared" ca="1" si="2"/>
        <v>0</v>
      </c>
      <c r="N27" s="56" t="e">
        <f t="shared" ca="1" si="3"/>
        <v>#N/A</v>
      </c>
      <c r="O27" s="56" t="e">
        <f t="shared" ca="1" si="4"/>
        <v>#N/A</v>
      </c>
      <c r="P27" s="2">
        <f ca="1">SUMIF(MICRO!AP:AP,O27,MICRO!AS:AS)</f>
        <v>0</v>
      </c>
      <c r="Q27" s="2">
        <f ca="1">SUMIF(MICRO!AP:AP,O27,MICRO!AT:AT)</f>
        <v>0</v>
      </c>
      <c r="R27" s="2">
        <f ca="1"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 ca="1">VLOOKUP(Tabela2[[#This Row],[TAG]],MICRO!J:L,3,0)</f>
        <v>#N/A</v>
      </c>
      <c r="F28" s="44" t="s">
        <v>31</v>
      </c>
      <c r="G28" s="58">
        <f ca="1">SUMIF(MICRO!AP:AP,O:O,MICRO!H:H)</f>
        <v>0</v>
      </c>
      <c r="H28" s="1">
        <f ca="1">SUMIF(MICRO!AP:AP,O:O,MICRO!R:R)</f>
        <v>0</v>
      </c>
      <c r="I28" s="1">
        <f ca="1">SUMIF(MICRO!AP:AP,O:O,MICRO!T:T)</f>
        <v>0</v>
      </c>
      <c r="J28" s="59">
        <f t="shared" ca="1" si="0"/>
        <v>0</v>
      </c>
      <c r="K28" s="1">
        <f ca="1">SUMIF(MICRO!AP:AP,O:O,MICRO!X:X)</f>
        <v>0</v>
      </c>
      <c r="L28" s="59" t="str">
        <f t="shared" ca="1" si="1"/>
        <v>0%</v>
      </c>
      <c r="M28" s="1">
        <f t="shared" ca="1" si="2"/>
        <v>0</v>
      </c>
      <c r="N28" s="56" t="e">
        <f t="shared" ca="1" si="3"/>
        <v>#N/A</v>
      </c>
      <c r="O28" s="56" t="e">
        <f t="shared" ca="1" si="4"/>
        <v>#N/A</v>
      </c>
      <c r="P28" s="2">
        <f ca="1">SUMIF(MICRO!AP:AP,O28,MICRO!AS:AS)</f>
        <v>0</v>
      </c>
      <c r="Q28" s="2">
        <f ca="1">SUMIF(MICRO!AP:AP,O28,MICRO!AT:AT)</f>
        <v>0</v>
      </c>
      <c r="R28" s="2">
        <f ca="1"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 ca="1">VLOOKUP(Tabela2[[#This Row],[TAG]],MICRO!J:L,3,0)</f>
        <v>#N/A</v>
      </c>
      <c r="F29" s="44" t="s">
        <v>31</v>
      </c>
      <c r="G29" s="58">
        <f ca="1">SUMIF(MICRO!AP:AP,O:O,MICRO!H:H)</f>
        <v>0</v>
      </c>
      <c r="H29" s="1">
        <f ca="1">SUMIF(MICRO!AP:AP,O:O,MICRO!R:R)</f>
        <v>0</v>
      </c>
      <c r="I29" s="1">
        <f ca="1">SUMIF(MICRO!AP:AP,O:O,MICRO!T:T)</f>
        <v>0</v>
      </c>
      <c r="J29" s="59">
        <f t="shared" ca="1" si="0"/>
        <v>0</v>
      </c>
      <c r="K29" s="1">
        <f ca="1">SUMIF(MICRO!AP:AP,O:O,MICRO!X:X)</f>
        <v>0</v>
      </c>
      <c r="L29" s="59" t="str">
        <f t="shared" ca="1" si="1"/>
        <v>0%</v>
      </c>
      <c r="M29" s="1">
        <f t="shared" ca="1" si="2"/>
        <v>0</v>
      </c>
      <c r="N29" s="56" t="e">
        <f t="shared" ca="1" si="3"/>
        <v>#N/A</v>
      </c>
      <c r="O29" s="56" t="e">
        <f t="shared" ca="1" si="4"/>
        <v>#N/A</v>
      </c>
      <c r="P29" s="2">
        <f ca="1">SUMIF(MICRO!AP:AP,O29,MICRO!AS:AS)</f>
        <v>0</v>
      </c>
      <c r="Q29" s="2">
        <f ca="1">SUMIF(MICRO!AP:AP,O29,MICRO!AT:AT)</f>
        <v>0</v>
      </c>
      <c r="R29" s="2">
        <f ca="1"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 ca="1">VLOOKUP(Tabela2[[#This Row],[TAG]],MICRO!J:L,3,0)</f>
        <v>#N/A</v>
      </c>
      <c r="F30" s="44" t="s">
        <v>31</v>
      </c>
      <c r="G30" s="58">
        <f ca="1">SUMIF(MICRO!AP:AP,O:O,MICRO!H:H)</f>
        <v>0</v>
      </c>
      <c r="H30" s="1">
        <f ca="1">SUMIF(MICRO!AP:AP,O:O,MICRO!R:R)</f>
        <v>0</v>
      </c>
      <c r="I30" s="1">
        <f ca="1">SUMIF(MICRO!AP:AP,O:O,MICRO!T:T)</f>
        <v>0</v>
      </c>
      <c r="J30" s="59">
        <f t="shared" ca="1" si="0"/>
        <v>0</v>
      </c>
      <c r="K30" s="1">
        <f ca="1">SUMIF(MICRO!AP:AP,O:O,MICRO!X:X)</f>
        <v>0</v>
      </c>
      <c r="L30" s="59" t="str">
        <f t="shared" ca="1" si="1"/>
        <v>0%</v>
      </c>
      <c r="M30" s="1">
        <f t="shared" ca="1" si="2"/>
        <v>0</v>
      </c>
      <c r="N30" s="56" t="e">
        <f t="shared" ca="1" si="3"/>
        <v>#N/A</v>
      </c>
      <c r="O30" s="56" t="e">
        <f t="shared" ca="1" si="4"/>
        <v>#N/A</v>
      </c>
      <c r="P30" s="2">
        <f ca="1">SUMIF(MICRO!AP:AP,O30,MICRO!AS:AS)</f>
        <v>0</v>
      </c>
      <c r="Q30" s="2">
        <f ca="1">SUMIF(MICRO!AP:AP,O30,MICRO!AT:AT)</f>
        <v>0</v>
      </c>
      <c r="R30" s="2">
        <f ca="1"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 ca="1">VLOOKUP(Tabela2[[#This Row],[TAG]],MICRO!J:L,3,0)</f>
        <v>#N/A</v>
      </c>
      <c r="F31" s="44" t="s">
        <v>31</v>
      </c>
      <c r="G31" s="58">
        <f ca="1">SUMIF(MICRO!AP:AP,O:O,MICRO!H:H)</f>
        <v>0</v>
      </c>
      <c r="H31" s="1">
        <f ca="1">SUMIF(MICRO!AP:AP,O:O,MICRO!R:R)</f>
        <v>0</v>
      </c>
      <c r="I31" s="1">
        <f ca="1">SUMIF(MICRO!AP:AP,O:O,MICRO!T:T)</f>
        <v>0</v>
      </c>
      <c r="J31" s="59">
        <f t="shared" ca="1" si="0"/>
        <v>0</v>
      </c>
      <c r="K31" s="1">
        <f ca="1">SUMIF(MICRO!AP:AP,O:O,MICRO!X:X)</f>
        <v>0</v>
      </c>
      <c r="L31" s="59" t="str">
        <f t="shared" ca="1" si="1"/>
        <v>0%</v>
      </c>
      <c r="M31" s="1">
        <f t="shared" ca="1" si="2"/>
        <v>0</v>
      </c>
      <c r="N31" s="56" t="e">
        <f t="shared" ca="1" si="3"/>
        <v>#N/A</v>
      </c>
      <c r="O31" s="56" t="e">
        <f t="shared" ca="1" si="4"/>
        <v>#N/A</v>
      </c>
      <c r="P31" s="2">
        <f ca="1">SUMIF(MICRO!AP:AP,O31,MICRO!AS:AS)</f>
        <v>0</v>
      </c>
      <c r="Q31" s="2">
        <f ca="1">SUMIF(MICRO!AP:AP,O31,MICRO!AT:AT)</f>
        <v>0</v>
      </c>
      <c r="R31" s="2">
        <f ca="1"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 ca="1">VLOOKUP(Tabela2[[#This Row],[TAG]],MICRO!J:L,3,0)</f>
        <v>#N/A</v>
      </c>
      <c r="F32" s="44" t="s">
        <v>31</v>
      </c>
      <c r="G32" s="58">
        <f ca="1">SUMIF(MICRO!AP:AP,O:O,MICRO!H:H)</f>
        <v>0</v>
      </c>
      <c r="H32" s="1">
        <f ca="1">SUMIF(MICRO!AP:AP,O:O,MICRO!R:R)</f>
        <v>0</v>
      </c>
      <c r="I32" s="1">
        <f ca="1">SUMIF(MICRO!AP:AP,O:O,MICRO!T:T)</f>
        <v>0</v>
      </c>
      <c r="J32" s="59">
        <f t="shared" ca="1" si="0"/>
        <v>0</v>
      </c>
      <c r="K32" s="1">
        <f ca="1">SUMIF(MICRO!AP:AP,O:O,MICRO!X:X)</f>
        <v>0</v>
      </c>
      <c r="L32" s="59" t="str">
        <f t="shared" ca="1" si="1"/>
        <v>0%</v>
      </c>
      <c r="M32" s="1">
        <f t="shared" ca="1" si="2"/>
        <v>0</v>
      </c>
      <c r="N32" s="56" t="e">
        <f t="shared" ca="1" si="3"/>
        <v>#N/A</v>
      </c>
      <c r="O32" s="56" t="e">
        <f t="shared" ca="1" si="4"/>
        <v>#N/A</v>
      </c>
      <c r="P32" s="2">
        <f ca="1">SUMIF(MICRO!AP:AP,O32,MICRO!AS:AS)</f>
        <v>0</v>
      </c>
      <c r="Q32" s="2">
        <f ca="1">SUMIF(MICRO!AP:AP,O32,MICRO!AT:AT)</f>
        <v>0</v>
      </c>
      <c r="R32" s="2">
        <f ca="1"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 ca="1">VLOOKUP(Tabela2[[#This Row],[TAG]],MICRO!J:L,3,0)</f>
        <v>#N/A</v>
      </c>
      <c r="F33" s="44" t="s">
        <v>31</v>
      </c>
      <c r="G33" s="58">
        <f ca="1">SUMIF(MICRO!AP:AP,O:O,MICRO!H:H)</f>
        <v>0</v>
      </c>
      <c r="H33" s="1">
        <f ca="1">SUMIF(MICRO!AP:AP,O:O,MICRO!R:R)</f>
        <v>0</v>
      </c>
      <c r="I33" s="1">
        <f ca="1">SUMIF(MICRO!AP:AP,O:O,MICRO!T:T)</f>
        <v>0</v>
      </c>
      <c r="J33" s="59">
        <f t="shared" ca="1" si="0"/>
        <v>0</v>
      </c>
      <c r="K33" s="1">
        <f ca="1">SUMIF(MICRO!AP:AP,O:O,MICRO!X:X)</f>
        <v>0</v>
      </c>
      <c r="L33" s="59" t="str">
        <f t="shared" ca="1" si="1"/>
        <v>0%</v>
      </c>
      <c r="M33" s="1">
        <f t="shared" ca="1" si="2"/>
        <v>0</v>
      </c>
      <c r="N33" s="56" t="e">
        <f t="shared" ca="1" si="3"/>
        <v>#N/A</v>
      </c>
      <c r="O33" s="56" t="e">
        <f t="shared" ca="1" si="4"/>
        <v>#N/A</v>
      </c>
      <c r="P33" s="2">
        <f ca="1">SUMIF(MICRO!AP:AP,O33,MICRO!AS:AS)</f>
        <v>0</v>
      </c>
      <c r="Q33" s="2">
        <f ca="1">SUMIF(MICRO!AP:AP,O33,MICRO!AT:AT)</f>
        <v>0</v>
      </c>
      <c r="R33" s="2">
        <f ca="1"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 ca="1">VLOOKUP(Tabela2[[#This Row],[TAG]],MICRO!J:L,3,0)</f>
        <v>#N/A</v>
      </c>
      <c r="F34" s="44" t="s">
        <v>31</v>
      </c>
      <c r="G34" s="58">
        <f ca="1">SUMIF(MICRO!AP:AP,O:O,MICRO!H:H)</f>
        <v>0</v>
      </c>
      <c r="H34" s="1">
        <f ca="1">SUMIF(MICRO!AP:AP,O:O,MICRO!R:R)</f>
        <v>0</v>
      </c>
      <c r="I34" s="1">
        <f ca="1">SUMIF(MICRO!AP:AP,O:O,MICRO!T:T)</f>
        <v>0</v>
      </c>
      <c r="J34" s="59">
        <f t="shared" ca="1" si="0"/>
        <v>0</v>
      </c>
      <c r="K34" s="1">
        <f ca="1">SUMIF(MICRO!AP:AP,O:O,MICRO!X:X)</f>
        <v>0</v>
      </c>
      <c r="L34" s="59" t="str">
        <f t="shared" ca="1" si="1"/>
        <v>0%</v>
      </c>
      <c r="M34" s="1">
        <f t="shared" ca="1" si="2"/>
        <v>0</v>
      </c>
      <c r="N34" s="56" t="e">
        <f t="shared" ca="1" si="3"/>
        <v>#N/A</v>
      </c>
      <c r="O34" s="56" t="e">
        <f t="shared" ca="1" si="4"/>
        <v>#N/A</v>
      </c>
      <c r="P34" s="2">
        <f ca="1">SUMIF(MICRO!AP:AP,O34,MICRO!AS:AS)</f>
        <v>0</v>
      </c>
      <c r="Q34" s="2">
        <f ca="1">SUMIF(MICRO!AP:AP,O34,MICRO!AT:AT)</f>
        <v>0</v>
      </c>
      <c r="R34" s="2">
        <f ca="1"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 ca="1">VLOOKUP(Tabela2[[#This Row],[TAG]],MICRO!J:L,3,0)</f>
        <v>#N/A</v>
      </c>
      <c r="F35" s="44" t="s">
        <v>31</v>
      </c>
      <c r="G35" s="58">
        <f ca="1">SUMIF(MICRO!AP:AP,O:O,MICRO!H:H)</f>
        <v>0</v>
      </c>
      <c r="H35" s="1">
        <f ca="1">SUMIF(MICRO!AP:AP,O:O,MICRO!R:R)</f>
        <v>0</v>
      </c>
      <c r="I35" s="1">
        <f ca="1">SUMIF(MICRO!AP:AP,O:O,MICRO!T:T)</f>
        <v>0</v>
      </c>
      <c r="J35" s="59">
        <f t="shared" ca="1" si="0"/>
        <v>0</v>
      </c>
      <c r="K35" s="1">
        <f ca="1">SUMIF(MICRO!AP:AP,O:O,MICRO!X:X)</f>
        <v>0</v>
      </c>
      <c r="L35" s="59" t="str">
        <f t="shared" ca="1" si="1"/>
        <v>0%</v>
      </c>
      <c r="M35" s="1">
        <f t="shared" ca="1" si="2"/>
        <v>0</v>
      </c>
      <c r="N35" s="56" t="e">
        <f t="shared" ca="1" si="3"/>
        <v>#N/A</v>
      </c>
      <c r="O35" s="56" t="e">
        <f t="shared" ca="1" si="4"/>
        <v>#N/A</v>
      </c>
      <c r="P35" s="2">
        <f ca="1">SUMIF(MICRO!AP:AP,O35,MICRO!AS:AS)</f>
        <v>0</v>
      </c>
      <c r="Q35" s="2">
        <f ca="1">SUMIF(MICRO!AP:AP,O35,MICRO!AT:AT)</f>
        <v>0</v>
      </c>
      <c r="R35" s="2">
        <f ca="1"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 ca="1">VLOOKUP(Tabela2[[#This Row],[TAG]],MICRO!J:L,3,0)</f>
        <v>#N/A</v>
      </c>
      <c r="F36" s="44" t="s">
        <v>31</v>
      </c>
      <c r="G36" s="58">
        <f ca="1">SUMIF(MICRO!AP:AP,O:O,MICRO!H:H)</f>
        <v>0</v>
      </c>
      <c r="H36" s="1">
        <f ca="1">SUMIF(MICRO!AP:AP,O:O,MICRO!R:R)</f>
        <v>0</v>
      </c>
      <c r="I36" s="1">
        <f ca="1">SUMIF(MICRO!AP:AP,O:O,MICRO!T:T)</f>
        <v>0</v>
      </c>
      <c r="J36" s="59">
        <f t="shared" ca="1" si="0"/>
        <v>0</v>
      </c>
      <c r="K36" s="1">
        <f ca="1">SUMIF(MICRO!AP:AP,O:O,MICRO!X:X)</f>
        <v>0</v>
      </c>
      <c r="L36" s="59" t="str">
        <f t="shared" ca="1" si="1"/>
        <v>0%</v>
      </c>
      <c r="M36" s="1">
        <f t="shared" ca="1" si="2"/>
        <v>0</v>
      </c>
      <c r="N36" s="56" t="e">
        <f t="shared" ca="1" si="3"/>
        <v>#N/A</v>
      </c>
      <c r="O36" s="56" t="e">
        <f t="shared" ca="1" si="4"/>
        <v>#N/A</v>
      </c>
      <c r="P36" s="2">
        <f ca="1">SUMIF(MICRO!AP:AP,O36,MICRO!AS:AS)</f>
        <v>0</v>
      </c>
      <c r="Q36" s="2">
        <f ca="1">SUMIF(MICRO!AP:AP,O36,MICRO!AT:AT)</f>
        <v>0</v>
      </c>
      <c r="R36" s="2">
        <f ca="1"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 ca="1">VLOOKUP(Tabela2[[#This Row],[TAG]],MICRO!J:L,3,0)</f>
        <v>#N/A</v>
      </c>
      <c r="F37" s="44" t="s">
        <v>31</v>
      </c>
      <c r="G37" s="58">
        <f ca="1">SUMIF(MICRO!AP:AP,O:O,MICRO!H:H)</f>
        <v>0</v>
      </c>
      <c r="H37" s="1">
        <f ca="1">SUMIF(MICRO!AP:AP,O:O,MICRO!R:R)</f>
        <v>0</v>
      </c>
      <c r="I37" s="1">
        <f ca="1">SUMIF(MICRO!AP:AP,O:O,MICRO!T:T)</f>
        <v>0</v>
      </c>
      <c r="J37" s="59">
        <f t="shared" ca="1" si="0"/>
        <v>0</v>
      </c>
      <c r="K37" s="1">
        <f ca="1">SUMIF(MICRO!AP:AP,O:O,MICRO!X:X)</f>
        <v>0</v>
      </c>
      <c r="L37" s="59" t="str">
        <f t="shared" ca="1" si="1"/>
        <v>0%</v>
      </c>
      <c r="M37" s="1">
        <f t="shared" ca="1" si="2"/>
        <v>0</v>
      </c>
      <c r="N37" s="56" t="e">
        <f t="shared" ca="1" si="3"/>
        <v>#N/A</v>
      </c>
      <c r="O37" s="56" t="e">
        <f t="shared" ca="1" si="4"/>
        <v>#N/A</v>
      </c>
      <c r="P37" s="2">
        <f ca="1">SUMIF(MICRO!AP:AP,O37,MICRO!AS:AS)</f>
        <v>0</v>
      </c>
      <c r="Q37" s="2">
        <f ca="1">SUMIF(MICRO!AP:AP,O37,MICRO!AT:AT)</f>
        <v>0</v>
      </c>
      <c r="R37" s="2">
        <f ca="1"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 ca="1">VLOOKUP(Tabela2[[#This Row],[TAG]],MICRO!J:L,3,0)</f>
        <v>#N/A</v>
      </c>
      <c r="F38" s="44" t="s">
        <v>44</v>
      </c>
      <c r="G38" s="58">
        <f ca="1">SUMIF(MICRO!AP:AP,O:O,MICRO!H:H)</f>
        <v>0</v>
      </c>
      <c r="H38" s="1">
        <f ca="1">SUMIF(MICRO!AP:AP,O:O,MICRO!R:R)</f>
        <v>0</v>
      </c>
      <c r="I38" s="1">
        <f ca="1">SUMIF(MICRO!AP:AP,O:O,MICRO!T:T)</f>
        <v>0</v>
      </c>
      <c r="J38" s="59">
        <f t="shared" ca="1" si="0"/>
        <v>0</v>
      </c>
      <c r="K38" s="1">
        <f ca="1">SUMIF(MICRO!AP:AP,O:O,MICRO!X:X)</f>
        <v>0</v>
      </c>
      <c r="L38" s="59" t="str">
        <f t="shared" ca="1" si="1"/>
        <v>0%</v>
      </c>
      <c r="M38" s="1">
        <f t="shared" ca="1" si="2"/>
        <v>0</v>
      </c>
      <c r="N38" s="56" t="e">
        <f t="shared" ca="1" si="3"/>
        <v>#N/A</v>
      </c>
      <c r="O38" s="56" t="e">
        <f t="shared" ca="1" si="4"/>
        <v>#N/A</v>
      </c>
      <c r="P38" s="2">
        <f ca="1">SUMIF(MICRO!AP:AP,O38,MICRO!AS:AS)</f>
        <v>0</v>
      </c>
      <c r="Q38" s="2">
        <f ca="1">SUMIF(MICRO!AP:AP,O38,MICRO!AT:AT)</f>
        <v>0</v>
      </c>
      <c r="R38" s="2">
        <f ca="1"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 ca="1">VLOOKUP(Tabela2[[#This Row],[TAG]],MICRO!J:L,3,0)</f>
        <v>#N/A</v>
      </c>
      <c r="F39" s="44" t="s">
        <v>44</v>
      </c>
      <c r="G39" s="58">
        <f ca="1">SUMIF(MICRO!AP:AP,O:O,MICRO!H:H)</f>
        <v>0</v>
      </c>
      <c r="H39" s="1">
        <f ca="1">SUMIF(MICRO!AP:AP,O:O,MICRO!R:R)</f>
        <v>0</v>
      </c>
      <c r="I39" s="1">
        <f ca="1">SUMIF(MICRO!AP:AP,O:O,MICRO!T:T)</f>
        <v>0</v>
      </c>
      <c r="J39" s="59">
        <f t="shared" ca="1" si="0"/>
        <v>0</v>
      </c>
      <c r="K39" s="1">
        <f ca="1">SUMIF(MICRO!AP:AP,O:O,MICRO!X:X)</f>
        <v>0</v>
      </c>
      <c r="L39" s="59" t="str">
        <f t="shared" ca="1" si="1"/>
        <v>0%</v>
      </c>
      <c r="M39" s="1">
        <f t="shared" ca="1" si="2"/>
        <v>0</v>
      </c>
      <c r="N39" s="56" t="e">
        <f t="shared" ca="1" si="3"/>
        <v>#N/A</v>
      </c>
      <c r="O39" s="56" t="e">
        <f t="shared" ca="1" si="4"/>
        <v>#N/A</v>
      </c>
      <c r="P39" s="2">
        <f ca="1">SUMIF(MICRO!AP:AP,O39,MICRO!AS:AS)</f>
        <v>0</v>
      </c>
      <c r="Q39" s="2">
        <f ca="1">SUMIF(MICRO!AP:AP,O39,MICRO!AT:AT)</f>
        <v>0</v>
      </c>
      <c r="R39" s="2">
        <f ca="1"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 ca="1">VLOOKUP(Tabela2[[#This Row],[TAG]],MICRO!J:L,3,0)</f>
        <v>#N/A</v>
      </c>
      <c r="F40" s="44" t="s">
        <v>44</v>
      </c>
      <c r="G40" s="58">
        <f ca="1">SUMIF(MICRO!AP:AP,O:O,MICRO!H:H)</f>
        <v>0</v>
      </c>
      <c r="H40" s="1">
        <f ca="1">SUMIF(MICRO!AP:AP,O:O,MICRO!R:R)</f>
        <v>0</v>
      </c>
      <c r="I40" s="1">
        <f ca="1">SUMIF(MICRO!AP:AP,O:O,MICRO!T:T)</f>
        <v>0</v>
      </c>
      <c r="J40" s="59">
        <f t="shared" ca="1" si="0"/>
        <v>0</v>
      </c>
      <c r="K40" s="1">
        <f ca="1">SUMIF(MICRO!AP:AP,O:O,MICRO!X:X)</f>
        <v>0</v>
      </c>
      <c r="L40" s="59" t="str">
        <f t="shared" ca="1" si="1"/>
        <v>0%</v>
      </c>
      <c r="M40" s="1">
        <f t="shared" ca="1" si="2"/>
        <v>0</v>
      </c>
      <c r="N40" s="56" t="e">
        <f t="shared" ca="1" si="3"/>
        <v>#N/A</v>
      </c>
      <c r="O40" s="56" t="e">
        <f t="shared" ca="1" si="4"/>
        <v>#N/A</v>
      </c>
      <c r="P40" s="2">
        <f ca="1">SUMIF(MICRO!AP:AP,O40,MICRO!AS:AS)</f>
        <v>0</v>
      </c>
      <c r="Q40" s="2">
        <f ca="1">SUMIF(MICRO!AP:AP,O40,MICRO!AT:AT)</f>
        <v>0</v>
      </c>
      <c r="R40" s="2">
        <f ca="1"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 ca="1">VLOOKUP(Tabela2[[#This Row],[TAG]],MICRO!J:L,3,0)</f>
        <v>#N/A</v>
      </c>
      <c r="F41" s="44" t="s">
        <v>44</v>
      </c>
      <c r="G41" s="58">
        <f ca="1">SUMIF(MICRO!AP:AP,O:O,MICRO!H:H)</f>
        <v>0</v>
      </c>
      <c r="H41" s="1">
        <f ca="1">SUMIF(MICRO!AP:AP,O:O,MICRO!R:R)</f>
        <v>0</v>
      </c>
      <c r="I41" s="1">
        <f ca="1">SUMIF(MICRO!AP:AP,O:O,MICRO!T:T)</f>
        <v>0</v>
      </c>
      <c r="J41" s="59">
        <f t="shared" ca="1" si="0"/>
        <v>0</v>
      </c>
      <c r="K41" s="1">
        <f ca="1">SUMIF(MICRO!AP:AP,O:O,MICRO!X:X)</f>
        <v>0</v>
      </c>
      <c r="L41" s="59" t="str">
        <f t="shared" ca="1" si="1"/>
        <v>0%</v>
      </c>
      <c r="M41" s="1">
        <f t="shared" ca="1" si="2"/>
        <v>0</v>
      </c>
      <c r="N41" s="56" t="e">
        <f t="shared" ca="1" si="3"/>
        <v>#N/A</v>
      </c>
      <c r="O41" s="56" t="e">
        <f t="shared" ca="1" si="4"/>
        <v>#N/A</v>
      </c>
      <c r="P41" s="2">
        <f ca="1">SUMIF(MICRO!AP:AP,O41,MICRO!AS:AS)</f>
        <v>0</v>
      </c>
      <c r="Q41" s="2">
        <f ca="1">SUMIF(MICRO!AP:AP,O41,MICRO!AT:AT)</f>
        <v>0</v>
      </c>
      <c r="R41" s="2">
        <f ca="1"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 ca="1">VLOOKUP(Tabela2[[#This Row],[TAG]],MICRO!J:L,3,0)</f>
        <v>#N/A</v>
      </c>
      <c r="F42" s="44" t="s">
        <v>44</v>
      </c>
      <c r="G42" s="58">
        <f ca="1">SUMIF(MICRO!AP:AP,O:O,MICRO!H:H)</f>
        <v>0</v>
      </c>
      <c r="H42" s="1">
        <f ca="1">SUMIF(MICRO!AP:AP,O:O,MICRO!R:R)</f>
        <v>0</v>
      </c>
      <c r="I42" s="1">
        <f ca="1">SUMIF(MICRO!AP:AP,O:O,MICRO!T:T)</f>
        <v>0</v>
      </c>
      <c r="J42" s="59">
        <f t="shared" ca="1" si="0"/>
        <v>0</v>
      </c>
      <c r="K42" s="1">
        <f ca="1">SUMIF(MICRO!AP:AP,O:O,MICRO!X:X)</f>
        <v>0</v>
      </c>
      <c r="L42" s="59" t="str">
        <f t="shared" ca="1" si="1"/>
        <v>0%</v>
      </c>
      <c r="M42" s="1">
        <f t="shared" ca="1" si="2"/>
        <v>0</v>
      </c>
      <c r="N42" s="56" t="e">
        <f t="shared" ca="1" si="3"/>
        <v>#N/A</v>
      </c>
      <c r="O42" s="56" t="e">
        <f t="shared" ca="1" si="4"/>
        <v>#N/A</v>
      </c>
      <c r="P42" s="2">
        <f ca="1">SUMIF(MICRO!AP:AP,O42,MICRO!AS:AS)</f>
        <v>0</v>
      </c>
      <c r="Q42" s="2">
        <f ca="1">SUMIF(MICRO!AP:AP,O42,MICRO!AT:AT)</f>
        <v>0</v>
      </c>
      <c r="R42" s="2">
        <f ca="1"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 ca="1">VLOOKUP(Tabela2[[#This Row],[TAG]],MICRO!J:L,3,0)</f>
        <v>#N/A</v>
      </c>
      <c r="F43" s="44" t="s">
        <v>44</v>
      </c>
      <c r="G43" s="58">
        <f ca="1">SUMIF(MICRO!AP:AP,O:O,MICRO!H:H)</f>
        <v>0</v>
      </c>
      <c r="H43" s="1">
        <f ca="1">SUMIF(MICRO!AP:AP,O:O,MICRO!R:R)</f>
        <v>0</v>
      </c>
      <c r="I43" s="1">
        <f ca="1">SUMIF(MICRO!AP:AP,O:O,MICRO!T:T)</f>
        <v>0</v>
      </c>
      <c r="J43" s="59">
        <f t="shared" ca="1" si="0"/>
        <v>0</v>
      </c>
      <c r="K43" s="1">
        <f ca="1">SUMIF(MICRO!AP:AP,O:O,MICRO!X:X)</f>
        <v>0</v>
      </c>
      <c r="L43" s="59" t="str">
        <f t="shared" ca="1" si="1"/>
        <v>0%</v>
      </c>
      <c r="M43" s="1">
        <f t="shared" ca="1" si="2"/>
        <v>0</v>
      </c>
      <c r="N43" s="56" t="e">
        <f t="shared" ca="1" si="3"/>
        <v>#N/A</v>
      </c>
      <c r="O43" s="56" t="e">
        <f t="shared" ca="1" si="4"/>
        <v>#N/A</v>
      </c>
      <c r="P43" s="2">
        <f ca="1">SUMIF(MICRO!AP:AP,O43,MICRO!AS:AS)</f>
        <v>0</v>
      </c>
      <c r="Q43" s="2">
        <f ca="1">SUMIF(MICRO!AP:AP,O43,MICRO!AT:AT)</f>
        <v>0</v>
      </c>
      <c r="R43" s="2">
        <f ca="1"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 ca="1">VLOOKUP(Tabela2[[#This Row],[TAG]],MICRO!J:L,3,0)</f>
        <v>#N/A</v>
      </c>
      <c r="F44" s="44" t="s">
        <v>44</v>
      </c>
      <c r="G44" s="58">
        <f ca="1">SUMIF(MICRO!AP:AP,O:O,MICRO!H:H)</f>
        <v>0</v>
      </c>
      <c r="H44" s="1">
        <f ca="1">SUMIF(MICRO!AP:AP,O:O,MICRO!R:R)</f>
        <v>0</v>
      </c>
      <c r="I44" s="1">
        <f ca="1">SUMIF(MICRO!AP:AP,O:O,MICRO!T:T)</f>
        <v>0</v>
      </c>
      <c r="J44" s="59">
        <f t="shared" ca="1" si="0"/>
        <v>0</v>
      </c>
      <c r="K44" s="1">
        <f ca="1">SUMIF(MICRO!AP:AP,O:O,MICRO!X:X)</f>
        <v>0</v>
      </c>
      <c r="L44" s="59" t="str">
        <f t="shared" ca="1" si="1"/>
        <v>0%</v>
      </c>
      <c r="M44" s="1">
        <f t="shared" ca="1" si="2"/>
        <v>0</v>
      </c>
      <c r="N44" s="56" t="e">
        <f t="shared" ca="1" si="3"/>
        <v>#N/A</v>
      </c>
      <c r="O44" s="56" t="e">
        <f t="shared" ca="1" si="4"/>
        <v>#N/A</v>
      </c>
      <c r="P44" s="2">
        <f ca="1">SUMIF(MICRO!AP:AP,O44,MICRO!AS:AS)</f>
        <v>0</v>
      </c>
      <c r="Q44" s="2">
        <f ca="1">SUMIF(MICRO!AP:AP,O44,MICRO!AT:AT)</f>
        <v>0</v>
      </c>
      <c r="R44" s="2">
        <f ca="1"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 ca="1">VLOOKUP(Tabela2[[#This Row],[TAG]],MICRO!J:L,3,0)</f>
        <v>#N/A</v>
      </c>
      <c r="F45" s="44" t="s">
        <v>44</v>
      </c>
      <c r="G45" s="58">
        <f ca="1">SUMIF(MICRO!AP:AP,O:O,MICRO!H:H)</f>
        <v>0</v>
      </c>
      <c r="H45" s="1">
        <f ca="1">SUMIF(MICRO!AP:AP,O:O,MICRO!R:R)</f>
        <v>0</v>
      </c>
      <c r="I45" s="1">
        <f ca="1">SUMIF(MICRO!AP:AP,O:O,MICRO!T:T)</f>
        <v>0</v>
      </c>
      <c r="J45" s="59">
        <f t="shared" ca="1" si="0"/>
        <v>0</v>
      </c>
      <c r="K45" s="1">
        <f ca="1">SUMIF(MICRO!AP:AP,O:O,MICRO!X:X)</f>
        <v>0</v>
      </c>
      <c r="L45" s="59" t="str">
        <f t="shared" ca="1" si="1"/>
        <v>0%</v>
      </c>
      <c r="M45" s="1">
        <f t="shared" ca="1" si="2"/>
        <v>0</v>
      </c>
      <c r="N45" s="56" t="e">
        <f t="shared" ca="1" si="3"/>
        <v>#N/A</v>
      </c>
      <c r="O45" s="56" t="e">
        <f t="shared" ca="1" si="4"/>
        <v>#N/A</v>
      </c>
      <c r="P45" s="2">
        <f ca="1">SUMIF(MICRO!AP:AP,O45,MICRO!AS:AS)</f>
        <v>0</v>
      </c>
      <c r="Q45" s="2">
        <f ca="1">SUMIF(MICRO!AP:AP,O45,MICRO!AT:AT)</f>
        <v>0</v>
      </c>
      <c r="R45" s="2">
        <f ca="1"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 ca="1">VLOOKUP(Tabela2[[#This Row],[TAG]],MICRO!J:L,3,0)</f>
        <v>#N/A</v>
      </c>
      <c r="F46" s="44" t="s">
        <v>44</v>
      </c>
      <c r="G46" s="58">
        <f ca="1">SUMIF(MICRO!AP:AP,O:O,MICRO!H:H)</f>
        <v>0</v>
      </c>
      <c r="H46" s="1">
        <f ca="1">SUMIF(MICRO!AP:AP,O:O,MICRO!R:R)</f>
        <v>0</v>
      </c>
      <c r="I46" s="1">
        <f ca="1">SUMIF(MICRO!AP:AP,O:O,MICRO!T:T)</f>
        <v>0</v>
      </c>
      <c r="J46" s="59">
        <f t="shared" ca="1" si="0"/>
        <v>0</v>
      </c>
      <c r="K46" s="1">
        <f ca="1">SUMIF(MICRO!AP:AP,O:O,MICRO!X:X)</f>
        <v>0</v>
      </c>
      <c r="L46" s="59" t="str">
        <f t="shared" ca="1" si="1"/>
        <v>0%</v>
      </c>
      <c r="M46" s="1">
        <f t="shared" ca="1" si="2"/>
        <v>0</v>
      </c>
      <c r="N46" s="56" t="e">
        <f t="shared" ca="1" si="3"/>
        <v>#N/A</v>
      </c>
      <c r="O46" s="56" t="e">
        <f t="shared" ca="1" si="4"/>
        <v>#N/A</v>
      </c>
      <c r="P46" s="2">
        <f ca="1">SUMIF(MICRO!AP:AP,O46,MICRO!AS:AS)</f>
        <v>0</v>
      </c>
      <c r="Q46" s="2">
        <f ca="1">SUMIF(MICRO!AP:AP,O46,MICRO!AT:AT)</f>
        <v>0</v>
      </c>
      <c r="R46" s="2">
        <f ca="1"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 ca="1">VLOOKUP(Tabela2[[#This Row],[TAG]],MICRO!J:L,3,0)</f>
        <v>#N/A</v>
      </c>
      <c r="F47" s="44" t="s">
        <v>44</v>
      </c>
      <c r="G47" s="58">
        <f ca="1">SUMIF(MICRO!AP:AP,O:O,MICRO!H:H)</f>
        <v>0</v>
      </c>
      <c r="H47" s="1">
        <f ca="1">SUMIF(MICRO!AP:AP,O:O,MICRO!R:R)</f>
        <v>0</v>
      </c>
      <c r="I47" s="1">
        <f ca="1">SUMIF(MICRO!AP:AP,O:O,MICRO!T:T)</f>
        <v>0</v>
      </c>
      <c r="J47" s="59">
        <f t="shared" ca="1" si="0"/>
        <v>0</v>
      </c>
      <c r="K47" s="1">
        <f ca="1">SUMIF(MICRO!AP:AP,O:O,MICRO!X:X)</f>
        <v>0</v>
      </c>
      <c r="L47" s="59" t="str">
        <f t="shared" ca="1" si="1"/>
        <v>0%</v>
      </c>
      <c r="M47" s="1">
        <f t="shared" ca="1" si="2"/>
        <v>0</v>
      </c>
      <c r="N47" s="56" t="e">
        <f t="shared" ca="1" si="3"/>
        <v>#N/A</v>
      </c>
      <c r="O47" s="56" t="e">
        <f t="shared" ca="1" si="4"/>
        <v>#N/A</v>
      </c>
      <c r="P47" s="2">
        <f ca="1">SUMIF(MICRO!AP:AP,O47,MICRO!AS:AS)</f>
        <v>0</v>
      </c>
      <c r="Q47" s="2">
        <f ca="1">SUMIF(MICRO!AP:AP,O47,MICRO!AT:AT)</f>
        <v>0</v>
      </c>
      <c r="R47" s="2">
        <f ca="1"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 ca="1">VLOOKUP(Tabela2[[#This Row],[TAG]],MICRO!J:L,3,0)</f>
        <v>#N/A</v>
      </c>
      <c r="F48" s="44" t="s">
        <v>44</v>
      </c>
      <c r="G48" s="58">
        <f ca="1">SUMIF(MICRO!AP:AP,O:O,MICRO!H:H)</f>
        <v>0</v>
      </c>
      <c r="H48" s="1">
        <f ca="1">SUMIF(MICRO!AP:AP,O:O,MICRO!R:R)</f>
        <v>0</v>
      </c>
      <c r="I48" s="1">
        <f ca="1">SUMIF(MICRO!AP:AP,O:O,MICRO!T:T)</f>
        <v>0</v>
      </c>
      <c r="J48" s="59">
        <f t="shared" ca="1" si="0"/>
        <v>0</v>
      </c>
      <c r="K48" s="1">
        <f ca="1">SUMIF(MICRO!AP:AP,O:O,MICRO!X:X)</f>
        <v>0</v>
      </c>
      <c r="L48" s="59" t="str">
        <f t="shared" ca="1" si="1"/>
        <v>0%</v>
      </c>
      <c r="M48" s="1">
        <f t="shared" ca="1" si="2"/>
        <v>0</v>
      </c>
      <c r="N48" s="56" t="e">
        <f t="shared" ca="1" si="3"/>
        <v>#N/A</v>
      </c>
      <c r="O48" s="56" t="e">
        <f t="shared" ca="1" si="4"/>
        <v>#N/A</v>
      </c>
      <c r="P48" s="2">
        <f ca="1">SUMIF(MICRO!AP:AP,O48,MICRO!AS:AS)</f>
        <v>0</v>
      </c>
      <c r="Q48" s="2">
        <f ca="1">SUMIF(MICRO!AP:AP,O48,MICRO!AT:AT)</f>
        <v>0</v>
      </c>
      <c r="R48" s="2">
        <f ca="1"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 ca="1">VLOOKUP(Tabela2[[#This Row],[TAG]],MICRO!J:L,3,0)</f>
        <v>#N/A</v>
      </c>
      <c r="F49" s="44" t="s">
        <v>44</v>
      </c>
      <c r="G49" s="58">
        <f ca="1">SUMIF(MICRO!AP:AP,O:O,MICRO!H:H)</f>
        <v>0</v>
      </c>
      <c r="H49" s="1">
        <f ca="1">SUMIF(MICRO!AP:AP,O:O,MICRO!R:R)</f>
        <v>0</v>
      </c>
      <c r="I49" s="1">
        <f ca="1">SUMIF(MICRO!AP:AP,O:O,MICRO!T:T)</f>
        <v>0</v>
      </c>
      <c r="J49" s="59">
        <f t="shared" ca="1" si="0"/>
        <v>0</v>
      </c>
      <c r="K49" s="1">
        <f ca="1">SUMIF(MICRO!AP:AP,O:O,MICRO!X:X)</f>
        <v>0</v>
      </c>
      <c r="L49" s="59" t="str">
        <f t="shared" ca="1" si="1"/>
        <v>0%</v>
      </c>
      <c r="M49" s="1">
        <f t="shared" ca="1" si="2"/>
        <v>0</v>
      </c>
      <c r="N49" s="56" t="e">
        <f t="shared" ca="1" si="3"/>
        <v>#N/A</v>
      </c>
      <c r="O49" s="56" t="e">
        <f t="shared" ca="1" si="4"/>
        <v>#N/A</v>
      </c>
      <c r="P49" s="2">
        <f ca="1">SUMIF(MICRO!AP:AP,O49,MICRO!AS:AS)</f>
        <v>0</v>
      </c>
      <c r="Q49" s="2">
        <f ca="1">SUMIF(MICRO!AP:AP,O49,MICRO!AT:AT)</f>
        <v>0</v>
      </c>
      <c r="R49" s="2">
        <f ca="1"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 ca="1">VLOOKUP(Tabela2[[#This Row],[TAG]],MICRO!J:L,3,0)</f>
        <v>#N/A</v>
      </c>
      <c r="F50" s="44" t="s">
        <v>44</v>
      </c>
      <c r="G50" s="58">
        <f ca="1">SUMIF(MICRO!AP:AP,O:O,MICRO!H:H)</f>
        <v>0</v>
      </c>
      <c r="H50" s="1">
        <f ca="1">SUMIF(MICRO!AP:AP,O:O,MICRO!R:R)</f>
        <v>0</v>
      </c>
      <c r="I50" s="1">
        <f ca="1">SUMIF(MICRO!AP:AP,O:O,MICRO!T:T)</f>
        <v>0</v>
      </c>
      <c r="J50" s="59">
        <f t="shared" ca="1" si="0"/>
        <v>0</v>
      </c>
      <c r="K50" s="1">
        <f ca="1">SUMIF(MICRO!AP:AP,O:O,MICRO!X:X)</f>
        <v>0</v>
      </c>
      <c r="L50" s="59" t="str">
        <f t="shared" ca="1" si="1"/>
        <v>0%</v>
      </c>
      <c r="M50" s="1">
        <f t="shared" ca="1" si="2"/>
        <v>0</v>
      </c>
      <c r="N50" s="56" t="e">
        <f t="shared" ca="1" si="3"/>
        <v>#N/A</v>
      </c>
      <c r="O50" s="56" t="e">
        <f t="shared" ca="1" si="4"/>
        <v>#N/A</v>
      </c>
      <c r="P50" s="2">
        <f ca="1">SUMIF(MICRO!AP:AP,O50,MICRO!AS:AS)</f>
        <v>0</v>
      </c>
      <c r="Q50" s="2">
        <f ca="1">SUMIF(MICRO!AP:AP,O50,MICRO!AT:AT)</f>
        <v>0</v>
      </c>
      <c r="R50" s="2">
        <f ca="1"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 ca="1">VLOOKUP(Tabela2[[#This Row],[TAG]],MICRO!J:L,3,0)</f>
        <v>#N/A</v>
      </c>
      <c r="F51" s="44" t="s">
        <v>44</v>
      </c>
      <c r="G51" s="58">
        <f ca="1">SUMIF(MICRO!AP:AP,O:O,MICRO!H:H)</f>
        <v>0</v>
      </c>
      <c r="H51" s="1">
        <f ca="1">SUMIF(MICRO!AP:AP,O:O,MICRO!R:R)</f>
        <v>0</v>
      </c>
      <c r="I51" s="1">
        <f ca="1">SUMIF(MICRO!AP:AP,O:O,MICRO!T:T)</f>
        <v>0</v>
      </c>
      <c r="J51" s="59">
        <f t="shared" ca="1" si="0"/>
        <v>0</v>
      </c>
      <c r="K51" s="1">
        <f ca="1">SUMIF(MICRO!AP:AP,O:O,MICRO!X:X)</f>
        <v>0</v>
      </c>
      <c r="L51" s="59" t="str">
        <f t="shared" ca="1" si="1"/>
        <v>0%</v>
      </c>
      <c r="M51" s="1">
        <f t="shared" ca="1" si="2"/>
        <v>0</v>
      </c>
      <c r="N51" s="56" t="e">
        <f t="shared" ca="1" si="3"/>
        <v>#N/A</v>
      </c>
      <c r="O51" s="56" t="e">
        <f t="shared" ca="1" si="4"/>
        <v>#N/A</v>
      </c>
      <c r="P51" s="2">
        <f ca="1">SUMIF(MICRO!AP:AP,O51,MICRO!AS:AS)</f>
        <v>0</v>
      </c>
      <c r="Q51" s="2">
        <f ca="1">SUMIF(MICRO!AP:AP,O51,MICRO!AT:AT)</f>
        <v>0</v>
      </c>
      <c r="R51" s="2">
        <f ca="1"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 ca="1">VLOOKUP(Tabela2[[#This Row],[TAG]],MICRO!J:L,3,0)</f>
        <v>#N/A</v>
      </c>
      <c r="F52" s="44" t="s">
        <v>44</v>
      </c>
      <c r="G52" s="58">
        <f ca="1">SUMIF(MICRO!AP:AP,O:O,MICRO!H:H)</f>
        <v>0</v>
      </c>
      <c r="H52" s="1">
        <f ca="1">SUMIF(MICRO!AP:AP,O:O,MICRO!R:R)</f>
        <v>0</v>
      </c>
      <c r="I52" s="1">
        <f ca="1">SUMIF(MICRO!AP:AP,O:O,MICRO!T:T)</f>
        <v>0</v>
      </c>
      <c r="J52" s="59">
        <f t="shared" ca="1" si="0"/>
        <v>0</v>
      </c>
      <c r="K52" s="1">
        <f ca="1">SUMIF(MICRO!AP:AP,O:O,MICRO!X:X)</f>
        <v>0</v>
      </c>
      <c r="L52" s="59" t="str">
        <f t="shared" ca="1" si="1"/>
        <v>0%</v>
      </c>
      <c r="M52" s="1">
        <f t="shared" ca="1" si="2"/>
        <v>0</v>
      </c>
      <c r="N52" s="56" t="e">
        <f t="shared" ca="1" si="3"/>
        <v>#N/A</v>
      </c>
      <c r="O52" s="56" t="e">
        <f t="shared" ca="1" si="4"/>
        <v>#N/A</v>
      </c>
      <c r="P52" s="2">
        <f ca="1">SUMIF(MICRO!AP:AP,O52,MICRO!AS:AS)</f>
        <v>0</v>
      </c>
      <c r="Q52" s="2">
        <f ca="1">SUMIF(MICRO!AP:AP,O52,MICRO!AT:AT)</f>
        <v>0</v>
      </c>
      <c r="R52" s="2">
        <f ca="1"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 ca="1">VLOOKUP(Tabela2[[#This Row],[TAG]],MICRO!J:L,3,0)</f>
        <v>#N/A</v>
      </c>
      <c r="F53" s="44" t="s">
        <v>44</v>
      </c>
      <c r="G53" s="58">
        <f ca="1">SUMIF(MICRO!AP:AP,O:O,MICRO!H:H)</f>
        <v>0</v>
      </c>
      <c r="H53" s="1">
        <f ca="1">SUMIF(MICRO!AP:AP,O:O,MICRO!R:R)</f>
        <v>0</v>
      </c>
      <c r="I53" s="1">
        <f ca="1">SUMIF(MICRO!AP:AP,O:O,MICRO!T:T)</f>
        <v>0</v>
      </c>
      <c r="J53" s="59">
        <f t="shared" ca="1" si="0"/>
        <v>0</v>
      </c>
      <c r="K53" s="1">
        <f ca="1">SUMIF(MICRO!AP:AP,O:O,MICRO!X:X)</f>
        <v>0</v>
      </c>
      <c r="L53" s="59" t="str">
        <f t="shared" ca="1" si="1"/>
        <v>0%</v>
      </c>
      <c r="M53" s="1">
        <f t="shared" ca="1" si="2"/>
        <v>0</v>
      </c>
      <c r="N53" s="56" t="e">
        <f t="shared" ca="1" si="3"/>
        <v>#N/A</v>
      </c>
      <c r="O53" s="56" t="e">
        <f t="shared" ca="1" si="4"/>
        <v>#N/A</v>
      </c>
      <c r="P53" s="2">
        <f ca="1">SUMIF(MICRO!AP:AP,O53,MICRO!AS:AS)</f>
        <v>0</v>
      </c>
      <c r="Q53" s="2">
        <f ca="1">SUMIF(MICRO!AP:AP,O53,MICRO!AT:AT)</f>
        <v>0</v>
      </c>
      <c r="R53" s="2">
        <f ca="1"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 ca="1">VLOOKUP(Tabela2[[#This Row],[TAG]],MICRO!J:L,3,0)</f>
        <v>#N/A</v>
      </c>
      <c r="F54" s="44" t="s">
        <v>31</v>
      </c>
      <c r="G54" s="58">
        <f ca="1">SUMIF(MICRO!AP:AP,O:O,MICRO!H:H)</f>
        <v>0</v>
      </c>
      <c r="H54" s="1">
        <f ca="1">SUMIF(MICRO!AP:AP,O:O,MICRO!R:R)</f>
        <v>0</v>
      </c>
      <c r="I54" s="1">
        <f ca="1">SUMIF(MICRO!AP:AP,O:O,MICRO!T:T)</f>
        <v>0</v>
      </c>
      <c r="J54" s="59">
        <f t="shared" ca="1" si="0"/>
        <v>0</v>
      </c>
      <c r="K54" s="1">
        <f ca="1">SUMIF(MICRO!AP:AP,O:O,MICRO!X:X)</f>
        <v>0</v>
      </c>
      <c r="L54" s="59" t="str">
        <f t="shared" ca="1" si="1"/>
        <v>0%</v>
      </c>
      <c r="M54" s="1">
        <f t="shared" ca="1" si="2"/>
        <v>0</v>
      </c>
      <c r="N54" s="56" t="e">
        <f t="shared" ca="1" si="3"/>
        <v>#N/A</v>
      </c>
      <c r="O54" s="56" t="e">
        <f t="shared" ca="1" si="4"/>
        <v>#N/A</v>
      </c>
      <c r="P54" s="2">
        <f ca="1">SUMIF(MICRO!AP:AP,O54,MICRO!AS:AS)</f>
        <v>0</v>
      </c>
      <c r="Q54" s="2">
        <f ca="1">SUMIF(MICRO!AP:AP,O54,MICRO!AT:AT)</f>
        <v>0</v>
      </c>
      <c r="R54" s="2">
        <f ca="1"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 ca="1">VLOOKUP(Tabela2[[#This Row],[TAG]],MICRO!J:L,3,0)</f>
        <v>#N/A</v>
      </c>
      <c r="F55" s="44" t="s">
        <v>31</v>
      </c>
      <c r="G55" s="58">
        <f ca="1">SUMIF(MICRO!AP:AP,O:O,MICRO!H:H)</f>
        <v>0</v>
      </c>
      <c r="H55" s="1">
        <f ca="1">SUMIF(MICRO!AP:AP,O:O,MICRO!R:R)</f>
        <v>0</v>
      </c>
      <c r="I55" s="1">
        <f ca="1">SUMIF(MICRO!AP:AP,O:O,MICRO!T:T)</f>
        <v>0</v>
      </c>
      <c r="J55" s="59">
        <f t="shared" ca="1" si="0"/>
        <v>0</v>
      </c>
      <c r="K55" s="1">
        <f ca="1">SUMIF(MICRO!AP:AP,O:O,MICRO!X:X)</f>
        <v>0</v>
      </c>
      <c r="L55" s="59" t="str">
        <f t="shared" ca="1" si="1"/>
        <v>0%</v>
      </c>
      <c r="M55" s="1">
        <f t="shared" ca="1" si="2"/>
        <v>0</v>
      </c>
      <c r="N55" s="56" t="e">
        <f t="shared" ca="1" si="3"/>
        <v>#N/A</v>
      </c>
      <c r="O55" s="56" t="e">
        <f t="shared" ca="1" si="4"/>
        <v>#N/A</v>
      </c>
      <c r="P55" s="2">
        <f ca="1">SUMIF(MICRO!AP:AP,O55,MICRO!AS:AS)</f>
        <v>0</v>
      </c>
      <c r="Q55" s="2">
        <f ca="1">SUMIF(MICRO!AP:AP,O55,MICRO!AT:AT)</f>
        <v>0</v>
      </c>
      <c r="R55" s="2">
        <f ca="1"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 ca="1">VLOOKUP(Tabela2[[#This Row],[TAG]],MICRO!J:L,3,0)</f>
        <v>#N/A</v>
      </c>
      <c r="F56" s="44" t="s">
        <v>32</v>
      </c>
      <c r="G56" s="58">
        <f ca="1">SUMIF(MICRO!AP:AP,O:O,MICRO!H:H)</f>
        <v>0</v>
      </c>
      <c r="H56" s="1">
        <f ca="1">SUMIF(MICRO!AP:AP,O:O,MICRO!R:R)</f>
        <v>0</v>
      </c>
      <c r="I56" s="1">
        <f ca="1">SUMIF(MICRO!AP:AP,O:O,MICRO!T:T)</f>
        <v>0</v>
      </c>
      <c r="J56" s="59">
        <f t="shared" ca="1" si="0"/>
        <v>0</v>
      </c>
      <c r="K56" s="1">
        <f ca="1">SUMIF(MICRO!AP:AP,O:O,MICRO!X:X)</f>
        <v>0</v>
      </c>
      <c r="L56" s="59" t="str">
        <f t="shared" ca="1" si="1"/>
        <v>0%</v>
      </c>
      <c r="M56" s="1">
        <f t="shared" ca="1" si="2"/>
        <v>0</v>
      </c>
      <c r="N56" s="56" t="e">
        <f t="shared" ca="1" si="3"/>
        <v>#N/A</v>
      </c>
      <c r="O56" s="56" t="e">
        <f t="shared" ca="1" si="4"/>
        <v>#N/A</v>
      </c>
      <c r="P56" s="2">
        <f ca="1">SUMIF(MICRO!AP:AP,O56,MICRO!AS:AS)</f>
        <v>0</v>
      </c>
      <c r="Q56" s="2">
        <f ca="1">SUMIF(MICRO!AP:AP,O56,MICRO!AT:AT)</f>
        <v>0</v>
      </c>
      <c r="R56" s="2">
        <f ca="1"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 ca="1">VLOOKUP(Tabela2[[#This Row],[TAG]],MICRO!J:L,3,0)</f>
        <v>#N/A</v>
      </c>
      <c r="F57" s="44" t="s">
        <v>23</v>
      </c>
      <c r="G57" s="58">
        <f ca="1">SUMIF(MICRO!AP:AP,O:O,MICRO!H:H)</f>
        <v>0</v>
      </c>
      <c r="H57" s="1">
        <f ca="1">SUMIF(MICRO!AP:AP,O:O,MICRO!R:R)</f>
        <v>0</v>
      </c>
      <c r="I57" s="1">
        <f ca="1">SUMIF(MICRO!AP:AP,O:O,MICRO!T:T)</f>
        <v>0</v>
      </c>
      <c r="J57" s="59">
        <f t="shared" ca="1" si="0"/>
        <v>0</v>
      </c>
      <c r="K57" s="1">
        <f ca="1">SUMIF(MICRO!AP:AP,O:O,MICRO!X:X)</f>
        <v>0</v>
      </c>
      <c r="L57" s="59" t="str">
        <f t="shared" ca="1" si="1"/>
        <v>0%</v>
      </c>
      <c r="M57" s="1">
        <f t="shared" ca="1" si="2"/>
        <v>0</v>
      </c>
      <c r="N57" s="56" t="e">
        <f t="shared" ca="1" si="3"/>
        <v>#N/A</v>
      </c>
      <c r="O57" s="56" t="e">
        <f t="shared" ca="1" si="4"/>
        <v>#N/A</v>
      </c>
      <c r="P57" s="2">
        <f ca="1">SUMIF(MICRO!AP:AP,O57,MICRO!AS:AS)</f>
        <v>0</v>
      </c>
      <c r="Q57" s="2">
        <f ca="1">SUMIF(MICRO!AP:AP,O57,MICRO!AT:AT)</f>
        <v>0</v>
      </c>
      <c r="R57" s="2">
        <f ca="1"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 ca="1">VLOOKUP(Tabela2[[#This Row],[TAG]],MICRO!J:L,3,0)</f>
        <v>#N/A</v>
      </c>
      <c r="F58" s="44" t="s">
        <v>33</v>
      </c>
      <c r="G58" s="58">
        <f ca="1">SUMIF(MICRO!AP:AP,O:O,MICRO!H:H)</f>
        <v>0</v>
      </c>
      <c r="H58" s="1">
        <f ca="1">SUMIF(MICRO!AP:AP,O:O,MICRO!R:R)</f>
        <v>0</v>
      </c>
      <c r="I58" s="1">
        <f ca="1">SUMIF(MICRO!AP:AP,O:O,MICRO!T:T)</f>
        <v>0</v>
      </c>
      <c r="J58" s="59">
        <f t="shared" ca="1" si="0"/>
        <v>0</v>
      </c>
      <c r="K58" s="1">
        <f ca="1">SUMIF(MICRO!AP:AP,O:O,MICRO!X:X)</f>
        <v>0</v>
      </c>
      <c r="L58" s="59" t="str">
        <f t="shared" ca="1" si="1"/>
        <v>0%</v>
      </c>
      <c r="M58" s="1">
        <f t="shared" ca="1" si="2"/>
        <v>0</v>
      </c>
      <c r="N58" s="56" t="e">
        <f t="shared" ca="1" si="3"/>
        <v>#N/A</v>
      </c>
      <c r="O58" s="56" t="e">
        <f t="shared" ca="1" si="4"/>
        <v>#N/A</v>
      </c>
      <c r="P58" s="2">
        <f ca="1">SUMIF(MICRO!AP:AP,O58,MICRO!AS:AS)</f>
        <v>0</v>
      </c>
      <c r="Q58" s="2">
        <f ca="1">SUMIF(MICRO!AP:AP,O58,MICRO!AT:AT)</f>
        <v>0</v>
      </c>
      <c r="R58" s="2">
        <f ca="1"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 ca="1">VLOOKUP(Tabela2[[#This Row],[TAG]],MICRO!J:L,3,0)</f>
        <v>#N/A</v>
      </c>
      <c r="F59" s="44" t="s">
        <v>23</v>
      </c>
      <c r="G59" s="58">
        <f ca="1">SUMIF(MICRO!AP:AP,O:O,MICRO!H:H)</f>
        <v>0</v>
      </c>
      <c r="H59" s="1">
        <f ca="1">SUMIF(MICRO!AP:AP,O:O,MICRO!R:R)</f>
        <v>0</v>
      </c>
      <c r="I59" s="1">
        <f ca="1">SUMIF(MICRO!AP:AP,O:O,MICRO!T:T)</f>
        <v>0</v>
      </c>
      <c r="J59" s="59">
        <f t="shared" ca="1" si="0"/>
        <v>0</v>
      </c>
      <c r="K59" s="1">
        <f ca="1">SUMIF(MICRO!AP:AP,O:O,MICRO!X:X)</f>
        <v>0</v>
      </c>
      <c r="L59" s="59" t="str">
        <f t="shared" ca="1" si="1"/>
        <v>0%</v>
      </c>
      <c r="M59" s="1">
        <f t="shared" ca="1" si="2"/>
        <v>0</v>
      </c>
      <c r="N59" s="56" t="e">
        <f t="shared" ca="1" si="3"/>
        <v>#N/A</v>
      </c>
      <c r="O59" s="56" t="e">
        <f t="shared" ca="1" si="4"/>
        <v>#N/A</v>
      </c>
      <c r="P59" s="2">
        <f ca="1">SUMIF(MICRO!AP:AP,O59,MICRO!AS:AS)</f>
        <v>0</v>
      </c>
      <c r="Q59" s="2">
        <f ca="1">SUMIF(MICRO!AP:AP,O59,MICRO!AT:AT)</f>
        <v>0</v>
      </c>
      <c r="R59" s="2">
        <f ca="1"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 ca="1">VLOOKUP(Tabela2[[#This Row],[TAG]],MICRO!J:L,3,0)</f>
        <v>#N/A</v>
      </c>
      <c r="F60" s="44" t="s">
        <v>23</v>
      </c>
      <c r="G60" s="58">
        <f ca="1">SUMIF(MICRO!AP:AP,O:O,MICRO!H:H)</f>
        <v>0</v>
      </c>
      <c r="H60" s="1">
        <f ca="1">SUMIF(MICRO!AP:AP,O:O,MICRO!R:R)</f>
        <v>0</v>
      </c>
      <c r="I60" s="1">
        <f ca="1">SUMIF(MICRO!AP:AP,O:O,MICRO!T:T)</f>
        <v>0</v>
      </c>
      <c r="J60" s="59">
        <f t="shared" ca="1" si="0"/>
        <v>0</v>
      </c>
      <c r="K60" s="1">
        <f ca="1">SUMIF(MICRO!AP:AP,O:O,MICRO!X:X)</f>
        <v>0</v>
      </c>
      <c r="L60" s="59" t="str">
        <f t="shared" ca="1" si="1"/>
        <v>0%</v>
      </c>
      <c r="M60" s="1">
        <f t="shared" ca="1" si="2"/>
        <v>0</v>
      </c>
      <c r="N60" s="56" t="e">
        <f t="shared" ca="1" si="3"/>
        <v>#N/A</v>
      </c>
      <c r="O60" s="56" t="e">
        <f t="shared" ca="1" si="4"/>
        <v>#N/A</v>
      </c>
      <c r="P60" s="2">
        <f ca="1">SUMIF(MICRO!AP:AP,O60,MICRO!AS:AS)</f>
        <v>0</v>
      </c>
      <c r="Q60" s="2">
        <f ca="1">SUMIF(MICRO!AP:AP,O60,MICRO!AT:AT)</f>
        <v>0</v>
      </c>
      <c r="R60" s="2">
        <f ca="1"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 ca="1">VLOOKUP(Tabela2[[#This Row],[TAG]],MICRO!J:L,3,0)</f>
        <v>#N/A</v>
      </c>
      <c r="F61" s="44" t="s">
        <v>23</v>
      </c>
      <c r="G61" s="58">
        <f ca="1">SUMIF(MICRO!AP:AP,O:O,MICRO!H:H)</f>
        <v>0</v>
      </c>
      <c r="H61" s="1">
        <f ca="1">SUMIF(MICRO!AP:AP,O:O,MICRO!R:R)</f>
        <v>0</v>
      </c>
      <c r="I61" s="1">
        <f ca="1">SUMIF(MICRO!AP:AP,O:O,MICRO!T:T)</f>
        <v>0</v>
      </c>
      <c r="J61" s="59">
        <f t="shared" ca="1" si="0"/>
        <v>0</v>
      </c>
      <c r="K61" s="1">
        <f ca="1">SUMIF(MICRO!AP:AP,O:O,MICRO!X:X)</f>
        <v>0</v>
      </c>
      <c r="L61" s="59" t="str">
        <f t="shared" ca="1" si="1"/>
        <v>0%</v>
      </c>
      <c r="M61" s="1">
        <f t="shared" ca="1" si="2"/>
        <v>0</v>
      </c>
      <c r="N61" s="56" t="e">
        <f t="shared" ca="1" si="3"/>
        <v>#N/A</v>
      </c>
      <c r="O61" s="56" t="e">
        <f t="shared" ca="1" si="4"/>
        <v>#N/A</v>
      </c>
      <c r="P61" s="2">
        <f ca="1">SUMIF(MICRO!AP:AP,O61,MICRO!AS:AS)</f>
        <v>0</v>
      </c>
      <c r="Q61" s="2">
        <f ca="1">SUMIF(MICRO!AP:AP,O61,MICRO!AT:AT)</f>
        <v>0</v>
      </c>
      <c r="R61" s="2">
        <f ca="1"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 ca="1">VLOOKUP(Tabela2[[#This Row],[TAG]],MICRO!J:L,3,0)</f>
        <v>#N/A</v>
      </c>
      <c r="F62" s="44" t="s">
        <v>23</v>
      </c>
      <c r="G62" s="58">
        <f ca="1">SUMIF(MICRO!AP:AP,O:O,MICRO!H:H)</f>
        <v>0</v>
      </c>
      <c r="H62" s="1">
        <f ca="1">SUMIF(MICRO!AP:AP,O:O,MICRO!R:R)</f>
        <v>0</v>
      </c>
      <c r="I62" s="1">
        <f ca="1">SUMIF(MICRO!AP:AP,O:O,MICRO!T:T)</f>
        <v>0</v>
      </c>
      <c r="J62" s="59">
        <f t="shared" ca="1" si="0"/>
        <v>0</v>
      </c>
      <c r="K62" s="1">
        <f ca="1">SUMIF(MICRO!AP:AP,O:O,MICRO!X:X)</f>
        <v>0</v>
      </c>
      <c r="L62" s="59" t="str">
        <f t="shared" ca="1" si="1"/>
        <v>0%</v>
      </c>
      <c r="M62" s="1">
        <f t="shared" ca="1" si="2"/>
        <v>0</v>
      </c>
      <c r="N62" s="56" t="e">
        <f t="shared" ca="1" si="3"/>
        <v>#N/A</v>
      </c>
      <c r="O62" s="56" t="e">
        <f t="shared" ca="1" si="4"/>
        <v>#N/A</v>
      </c>
      <c r="P62" s="2">
        <f ca="1">SUMIF(MICRO!AP:AP,O62,MICRO!AS:AS)</f>
        <v>0</v>
      </c>
      <c r="Q62" s="2">
        <f ca="1">SUMIF(MICRO!AP:AP,O62,MICRO!AT:AT)</f>
        <v>0</v>
      </c>
      <c r="R62" s="2">
        <f ca="1"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 ca="1">VLOOKUP(Tabela2[[#This Row],[TAG]],MICRO!J:L,3,0)</f>
        <v>#N/A</v>
      </c>
      <c r="F63" s="44" t="s">
        <v>23</v>
      </c>
      <c r="G63" s="58">
        <f ca="1">SUMIF(MICRO!AP:AP,O:O,MICRO!H:H)</f>
        <v>0</v>
      </c>
      <c r="H63" s="1">
        <f ca="1">SUMIF(MICRO!AP:AP,O:O,MICRO!R:R)</f>
        <v>0</v>
      </c>
      <c r="I63" s="1">
        <f ca="1">SUMIF(MICRO!AP:AP,O:O,MICRO!T:T)</f>
        <v>0</v>
      </c>
      <c r="J63" s="59">
        <f t="shared" ca="1" si="0"/>
        <v>0</v>
      </c>
      <c r="K63" s="1">
        <f ca="1">SUMIF(MICRO!AP:AP,O:O,MICRO!X:X)</f>
        <v>0</v>
      </c>
      <c r="L63" s="59" t="str">
        <f t="shared" ca="1" si="1"/>
        <v>0%</v>
      </c>
      <c r="M63" s="1">
        <f t="shared" ca="1" si="2"/>
        <v>0</v>
      </c>
      <c r="N63" s="56" t="e">
        <f t="shared" ca="1" si="3"/>
        <v>#N/A</v>
      </c>
      <c r="O63" s="56" t="e">
        <f t="shared" ca="1" si="4"/>
        <v>#N/A</v>
      </c>
      <c r="P63" s="2">
        <f ca="1">SUMIF(MICRO!AP:AP,O63,MICRO!AS:AS)</f>
        <v>0</v>
      </c>
      <c r="Q63" s="2">
        <f ca="1">SUMIF(MICRO!AP:AP,O63,MICRO!AT:AT)</f>
        <v>0</v>
      </c>
      <c r="R63" s="2">
        <f ca="1"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 ca="1">VLOOKUP(Tabela2[[#This Row],[TAG]],MICRO!J:L,3,0)</f>
        <v>#N/A</v>
      </c>
      <c r="F64" s="44" t="s">
        <v>23</v>
      </c>
      <c r="G64" s="58">
        <f ca="1">SUMIF(MICRO!AP:AP,O:O,MICRO!H:H)</f>
        <v>0</v>
      </c>
      <c r="H64" s="1">
        <f ca="1">SUMIF(MICRO!AP:AP,O:O,MICRO!R:R)</f>
        <v>0</v>
      </c>
      <c r="I64" s="1">
        <f ca="1">SUMIF(MICRO!AP:AP,O:O,MICRO!T:T)</f>
        <v>0</v>
      </c>
      <c r="J64" s="59">
        <f t="shared" ca="1" si="0"/>
        <v>0</v>
      </c>
      <c r="K64" s="1">
        <f ca="1">SUMIF(MICRO!AP:AP,O:O,MICRO!X:X)</f>
        <v>0</v>
      </c>
      <c r="L64" s="59" t="str">
        <f t="shared" ca="1" si="1"/>
        <v>0%</v>
      </c>
      <c r="M64" s="1">
        <f t="shared" ca="1" si="2"/>
        <v>0</v>
      </c>
      <c r="N64" s="56" t="e">
        <f t="shared" ca="1" si="3"/>
        <v>#N/A</v>
      </c>
      <c r="O64" s="56" t="e">
        <f t="shared" ca="1" si="4"/>
        <v>#N/A</v>
      </c>
      <c r="P64" s="2">
        <f ca="1">SUMIF(MICRO!AP:AP,O64,MICRO!AS:AS)</f>
        <v>0</v>
      </c>
      <c r="Q64" s="2">
        <f ca="1">SUMIF(MICRO!AP:AP,O64,MICRO!AT:AT)</f>
        <v>0</v>
      </c>
      <c r="R64" s="2">
        <f ca="1"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 ca="1">VLOOKUP(Tabela2[[#This Row],[TAG]],MICRO!J:L,3,0)</f>
        <v>#N/A</v>
      </c>
      <c r="F65" s="44" t="s">
        <v>23</v>
      </c>
      <c r="G65" s="58">
        <f ca="1">SUMIF(MICRO!AP:AP,O:O,MICRO!H:H)</f>
        <v>0</v>
      </c>
      <c r="H65" s="1">
        <f ca="1">SUMIF(MICRO!AP:AP,O:O,MICRO!R:R)</f>
        <v>0</v>
      </c>
      <c r="I65" s="1">
        <f ca="1">SUMIF(MICRO!AP:AP,O:O,MICRO!T:T)</f>
        <v>0</v>
      </c>
      <c r="J65" s="59">
        <f t="shared" ca="1" si="0"/>
        <v>0</v>
      </c>
      <c r="K65" s="1">
        <f ca="1">SUMIF(MICRO!AP:AP,O:O,MICRO!X:X)</f>
        <v>0</v>
      </c>
      <c r="L65" s="59" t="str">
        <f t="shared" ca="1" si="1"/>
        <v>0%</v>
      </c>
      <c r="M65" s="1">
        <f t="shared" ca="1" si="2"/>
        <v>0</v>
      </c>
      <c r="N65" s="56" t="e">
        <f t="shared" ca="1" si="3"/>
        <v>#N/A</v>
      </c>
      <c r="O65" s="56" t="e">
        <f t="shared" ca="1" si="4"/>
        <v>#N/A</v>
      </c>
      <c r="P65" s="2">
        <f ca="1">SUMIF(MICRO!AP:AP,O65,MICRO!AS:AS)</f>
        <v>0</v>
      </c>
      <c r="Q65" s="2">
        <f ca="1">SUMIF(MICRO!AP:AP,O65,MICRO!AT:AT)</f>
        <v>0</v>
      </c>
      <c r="R65" s="2">
        <f ca="1"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 ca="1">VLOOKUP(Tabela2[[#This Row],[TAG]],MICRO!J:L,3,0)</f>
        <v>#N/A</v>
      </c>
      <c r="F66" s="44" t="s">
        <v>23</v>
      </c>
      <c r="G66" s="58">
        <f ca="1">SUMIF(MICRO!AP:AP,O:O,MICRO!H:H)</f>
        <v>0</v>
      </c>
      <c r="H66" s="1">
        <f ca="1">SUMIF(MICRO!AP:AP,O:O,MICRO!R:R)</f>
        <v>0</v>
      </c>
      <c r="I66" s="1">
        <f ca="1">SUMIF(MICRO!AP:AP,O:O,MICRO!T:T)</f>
        <v>0</v>
      </c>
      <c r="J66" s="59">
        <f t="shared" ca="1" si="0"/>
        <v>0</v>
      </c>
      <c r="K66" s="1">
        <f ca="1">SUMIF(MICRO!AP:AP,O:O,MICRO!X:X)</f>
        <v>0</v>
      </c>
      <c r="L66" s="59" t="str">
        <f t="shared" ca="1" si="1"/>
        <v>0%</v>
      </c>
      <c r="M66" s="1">
        <f t="shared" ca="1" si="2"/>
        <v>0</v>
      </c>
      <c r="N66" s="56" t="e">
        <f t="shared" ca="1" si="3"/>
        <v>#N/A</v>
      </c>
      <c r="O66" s="56" t="e">
        <f t="shared" ca="1" si="4"/>
        <v>#N/A</v>
      </c>
      <c r="P66" s="2">
        <f ca="1">SUMIF(MICRO!AP:AP,O66,MICRO!AS:AS)</f>
        <v>0</v>
      </c>
      <c r="Q66" s="2">
        <f ca="1">SUMIF(MICRO!AP:AP,O66,MICRO!AT:AT)</f>
        <v>0</v>
      </c>
      <c r="R66" s="2">
        <f ca="1"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 ca="1">VLOOKUP(Tabela2[[#This Row],[TAG]],MICRO!J:L,3,0)</f>
        <v>#N/A</v>
      </c>
      <c r="F67" s="44" t="s">
        <v>23</v>
      </c>
      <c r="G67" s="58">
        <f ca="1">SUMIF(MICRO!AP:AP,O:O,MICRO!H:H)</f>
        <v>0</v>
      </c>
      <c r="H67" s="1">
        <f ca="1">SUMIF(MICRO!AP:AP,O:O,MICRO!R:R)</f>
        <v>0</v>
      </c>
      <c r="I67" s="1">
        <f ca="1">SUMIF(MICRO!AP:AP,O:O,MICRO!T:T)</f>
        <v>0</v>
      </c>
      <c r="J67" s="59">
        <f t="shared" ca="1" si="0"/>
        <v>0</v>
      </c>
      <c r="K67" s="1">
        <f ca="1">SUMIF(MICRO!AP:AP,O:O,MICRO!X:X)</f>
        <v>0</v>
      </c>
      <c r="L67" s="59" t="str">
        <f t="shared" ca="1" si="1"/>
        <v>0%</v>
      </c>
      <c r="M67" s="1">
        <f t="shared" ca="1" si="2"/>
        <v>0</v>
      </c>
      <c r="N67" s="56" t="e">
        <f t="shared" ca="1" si="3"/>
        <v>#N/A</v>
      </c>
      <c r="O67" s="56" t="e">
        <f t="shared" ca="1" si="4"/>
        <v>#N/A</v>
      </c>
      <c r="P67" s="2">
        <f ca="1">SUMIF(MICRO!AP:AP,O67,MICRO!AS:AS)</f>
        <v>0</v>
      </c>
      <c r="Q67" s="2">
        <f ca="1">SUMIF(MICRO!AP:AP,O67,MICRO!AT:AT)</f>
        <v>0</v>
      </c>
      <c r="R67" s="2">
        <f ca="1"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 ca="1">VLOOKUP(Tabela2[[#This Row],[TAG]],MICRO!J:L,3,0)</f>
        <v>#N/A</v>
      </c>
      <c r="F68" s="44" t="s">
        <v>23</v>
      </c>
      <c r="G68" s="58">
        <f ca="1">SUMIF(MICRO!AP:AP,O:O,MICRO!H:H)</f>
        <v>0</v>
      </c>
      <c r="H68" s="1">
        <f ca="1">SUMIF(MICRO!AP:AP,O:O,MICRO!R:R)</f>
        <v>0</v>
      </c>
      <c r="I68" s="1">
        <f ca="1">SUMIF(MICRO!AP:AP,O:O,MICRO!T:T)</f>
        <v>0</v>
      </c>
      <c r="J68" s="59">
        <f t="shared" ca="1" si="0"/>
        <v>0</v>
      </c>
      <c r="K68" s="1">
        <f ca="1">SUMIF(MICRO!AP:AP,O:O,MICRO!X:X)</f>
        <v>0</v>
      </c>
      <c r="L68" s="59" t="str">
        <f t="shared" ca="1" si="1"/>
        <v>0%</v>
      </c>
      <c r="M68" s="1">
        <f t="shared" ca="1" si="2"/>
        <v>0</v>
      </c>
      <c r="N68" s="56" t="e">
        <f t="shared" ca="1" si="3"/>
        <v>#N/A</v>
      </c>
      <c r="O68" s="56" t="e">
        <f t="shared" ca="1" si="4"/>
        <v>#N/A</v>
      </c>
      <c r="P68" s="2">
        <f ca="1">SUMIF(MICRO!AP:AP,O68,MICRO!AS:AS)</f>
        <v>0</v>
      </c>
      <c r="Q68" s="2">
        <f ca="1">SUMIF(MICRO!AP:AP,O68,MICRO!AT:AT)</f>
        <v>0</v>
      </c>
      <c r="R68" s="2">
        <f ca="1"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 ca="1">VLOOKUP(Tabela2[[#This Row],[TAG]],MICRO!J:L,3,0)</f>
        <v>#N/A</v>
      </c>
      <c r="F69" s="44" t="s">
        <v>33</v>
      </c>
      <c r="G69" s="58">
        <f ca="1">SUMIF(MICRO!AP:AP,O:O,MICRO!H:H)</f>
        <v>0</v>
      </c>
      <c r="H69" s="1">
        <f ca="1">SUMIF(MICRO!AP:AP,O:O,MICRO!R:R)</f>
        <v>0</v>
      </c>
      <c r="I69" s="1">
        <f ca="1">SUMIF(MICRO!AP:AP,O:O,MICRO!T:T)</f>
        <v>0</v>
      </c>
      <c r="J69" s="59">
        <f t="shared" ref="J69:J132" ca="1" si="5">IF(G69 = 0,0,H69/G69)</f>
        <v>0</v>
      </c>
      <c r="K69" s="1">
        <f ca="1">SUMIF(MICRO!AP:AP,O:O,MICRO!X:X)</f>
        <v>0</v>
      </c>
      <c r="L69" s="59" t="str">
        <f t="shared" ref="L69:L132" ca="1" si="6">IF(G69&lt;&gt;0,SUM(K69/G69*1),"0%")</f>
        <v>0%</v>
      </c>
      <c r="M69" s="1">
        <f t="shared" ref="M69:M132" ca="1" si="7">G69-K69</f>
        <v>0</v>
      </c>
      <c r="N69" s="56" t="e">
        <f t="shared" ref="N69:N132" ca="1" si="8">E69&amp;F69</f>
        <v>#N/A</v>
      </c>
      <c r="O69" s="56" t="e">
        <f t="shared" ref="O69:O132" ca="1" si="9">D69&amp;E69&amp;F69</f>
        <v>#N/A</v>
      </c>
      <c r="P69" s="2">
        <f ca="1">SUMIF(MICRO!AP:AP,O69,MICRO!AS:AS)</f>
        <v>0</v>
      </c>
      <c r="Q69" s="2">
        <f ca="1">SUMIF(MICRO!AP:AP,O69,MICRO!AT:AT)</f>
        <v>0</v>
      </c>
      <c r="R69" s="2">
        <f ca="1"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 ca="1">VLOOKUP(Tabela2[[#This Row],[TAG]],MICRO!J:L,3,0)</f>
        <v>#N/A</v>
      </c>
      <c r="F70" s="44" t="s">
        <v>23</v>
      </c>
      <c r="G70" s="58">
        <f ca="1">SUMIF(MICRO!AP:AP,O:O,MICRO!H:H)</f>
        <v>0</v>
      </c>
      <c r="H70" s="1">
        <f ca="1">SUMIF(MICRO!AP:AP,O:O,MICRO!R:R)</f>
        <v>0</v>
      </c>
      <c r="I70" s="1">
        <f ca="1">SUMIF(MICRO!AP:AP,O:O,MICRO!T:T)</f>
        <v>0</v>
      </c>
      <c r="J70" s="59">
        <f t="shared" ca="1" si="5"/>
        <v>0</v>
      </c>
      <c r="K70" s="1">
        <f ca="1">SUMIF(MICRO!AP:AP,O:O,MICRO!X:X)</f>
        <v>0</v>
      </c>
      <c r="L70" s="59" t="str">
        <f t="shared" ca="1" si="6"/>
        <v>0%</v>
      </c>
      <c r="M70" s="1">
        <f t="shared" ca="1" si="7"/>
        <v>0</v>
      </c>
      <c r="N70" s="56" t="e">
        <f t="shared" ca="1" si="8"/>
        <v>#N/A</v>
      </c>
      <c r="O70" s="56" t="e">
        <f t="shared" ca="1" si="9"/>
        <v>#N/A</v>
      </c>
      <c r="P70" s="2">
        <f ca="1">SUMIF(MICRO!AP:AP,O70,MICRO!AS:AS)</f>
        <v>0</v>
      </c>
      <c r="Q70" s="2">
        <f ca="1">SUMIF(MICRO!AP:AP,O70,MICRO!AT:AT)</f>
        <v>0</v>
      </c>
      <c r="R70" s="2">
        <f ca="1"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 ca="1">VLOOKUP(Tabela2[[#This Row],[TAG]],MICRO!J:L,3,0)</f>
        <v>#N/A</v>
      </c>
      <c r="F71" s="44" t="s">
        <v>23</v>
      </c>
      <c r="G71" s="58">
        <f ca="1">SUMIF(MICRO!AP:AP,O:O,MICRO!H:H)</f>
        <v>0</v>
      </c>
      <c r="H71" s="1">
        <f ca="1">SUMIF(MICRO!AP:AP,O:O,MICRO!R:R)</f>
        <v>0</v>
      </c>
      <c r="I71" s="1">
        <f ca="1">SUMIF(MICRO!AP:AP,O:O,MICRO!T:T)</f>
        <v>0</v>
      </c>
      <c r="J71" s="59">
        <f t="shared" ca="1" si="5"/>
        <v>0</v>
      </c>
      <c r="K71" s="1">
        <f ca="1">SUMIF(MICRO!AP:AP,O:O,MICRO!X:X)</f>
        <v>0</v>
      </c>
      <c r="L71" s="59" t="str">
        <f t="shared" ca="1" si="6"/>
        <v>0%</v>
      </c>
      <c r="M71" s="1">
        <f t="shared" ca="1" si="7"/>
        <v>0</v>
      </c>
      <c r="N71" s="56" t="e">
        <f t="shared" ca="1" si="8"/>
        <v>#N/A</v>
      </c>
      <c r="O71" s="56" t="e">
        <f t="shared" ca="1" si="9"/>
        <v>#N/A</v>
      </c>
      <c r="P71" s="2">
        <f ca="1">SUMIF(MICRO!AP:AP,O71,MICRO!AS:AS)</f>
        <v>0</v>
      </c>
      <c r="Q71" s="2">
        <f ca="1">SUMIF(MICRO!AP:AP,O71,MICRO!AT:AT)</f>
        <v>0</v>
      </c>
      <c r="R71" s="2">
        <f ca="1"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 ca="1">VLOOKUP(Tabela2[[#This Row],[TAG]],MICRO!J:L,3,0)</f>
        <v>#N/A</v>
      </c>
      <c r="F72" s="44" t="s">
        <v>33</v>
      </c>
      <c r="G72" s="58">
        <f ca="1">SUMIF(MICRO!AP:AP,O:O,MICRO!H:H)</f>
        <v>0</v>
      </c>
      <c r="H72" s="1">
        <f ca="1">SUMIF(MICRO!AP:AP,O:O,MICRO!R:R)</f>
        <v>0</v>
      </c>
      <c r="I72" s="1">
        <f ca="1">SUMIF(MICRO!AP:AP,O:O,MICRO!T:T)</f>
        <v>0</v>
      </c>
      <c r="J72" s="59">
        <f t="shared" ca="1" si="5"/>
        <v>0</v>
      </c>
      <c r="K72" s="1">
        <f ca="1">SUMIF(MICRO!AP:AP,O:O,MICRO!X:X)</f>
        <v>0</v>
      </c>
      <c r="L72" s="59" t="str">
        <f t="shared" ca="1" si="6"/>
        <v>0%</v>
      </c>
      <c r="M72" s="1">
        <f t="shared" ca="1" si="7"/>
        <v>0</v>
      </c>
      <c r="N72" s="56" t="e">
        <f t="shared" ca="1" si="8"/>
        <v>#N/A</v>
      </c>
      <c r="O72" s="56" t="e">
        <f t="shared" ca="1" si="9"/>
        <v>#N/A</v>
      </c>
      <c r="P72" s="2">
        <f ca="1">SUMIF(MICRO!AP:AP,O72,MICRO!AS:AS)</f>
        <v>0</v>
      </c>
      <c r="Q72" s="2">
        <f ca="1">SUMIF(MICRO!AP:AP,O72,MICRO!AT:AT)</f>
        <v>0</v>
      </c>
      <c r="R72" s="2">
        <f ca="1"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 ca="1">VLOOKUP(Tabela2[[#This Row],[TAG]],MICRO!J:L,3,0)</f>
        <v>#N/A</v>
      </c>
      <c r="F73" s="44" t="s">
        <v>31</v>
      </c>
      <c r="G73" s="58">
        <f ca="1">SUMIF(MICRO!AP:AP,O:O,MICRO!H:H)</f>
        <v>0</v>
      </c>
      <c r="H73" s="1">
        <f ca="1">SUMIF(MICRO!AP:AP,O:O,MICRO!R:R)</f>
        <v>0</v>
      </c>
      <c r="I73" s="1">
        <f ca="1">SUMIF(MICRO!AP:AP,O:O,MICRO!T:T)</f>
        <v>0</v>
      </c>
      <c r="J73" s="59">
        <f t="shared" ca="1" si="5"/>
        <v>0</v>
      </c>
      <c r="K73" s="1">
        <f ca="1">SUMIF(MICRO!AP:AP,O:O,MICRO!X:X)</f>
        <v>0</v>
      </c>
      <c r="L73" s="59" t="str">
        <f t="shared" ca="1" si="6"/>
        <v>0%</v>
      </c>
      <c r="M73" s="1">
        <f t="shared" ca="1" si="7"/>
        <v>0</v>
      </c>
      <c r="N73" s="56" t="e">
        <f t="shared" ca="1" si="8"/>
        <v>#N/A</v>
      </c>
      <c r="O73" s="56" t="e">
        <f t="shared" ca="1" si="9"/>
        <v>#N/A</v>
      </c>
      <c r="P73" s="2">
        <f ca="1">SUMIF(MICRO!AP:AP,O73,MICRO!AS:AS)</f>
        <v>0</v>
      </c>
      <c r="Q73" s="2">
        <f ca="1">SUMIF(MICRO!AP:AP,O73,MICRO!AT:AT)</f>
        <v>0</v>
      </c>
      <c r="R73" s="2">
        <f ca="1"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 ca="1">VLOOKUP(Tabela2[[#This Row],[TAG]],MICRO!J:L,3,0)</f>
        <v>#N/A</v>
      </c>
      <c r="F74" s="44" t="s">
        <v>23</v>
      </c>
      <c r="G74" s="58">
        <f ca="1">SUMIF(MICRO!AP:AP,O:O,MICRO!H:H)</f>
        <v>0</v>
      </c>
      <c r="H74" s="1">
        <f ca="1">SUMIF(MICRO!AP:AP,O:O,MICRO!R:R)</f>
        <v>0</v>
      </c>
      <c r="I74" s="1">
        <f ca="1">SUMIF(MICRO!AP:AP,O:O,MICRO!T:T)</f>
        <v>0</v>
      </c>
      <c r="J74" s="59">
        <f t="shared" ca="1" si="5"/>
        <v>0</v>
      </c>
      <c r="K74" s="1">
        <f ca="1">SUMIF(MICRO!AP:AP,O:O,MICRO!X:X)</f>
        <v>0</v>
      </c>
      <c r="L74" s="59" t="str">
        <f t="shared" ca="1" si="6"/>
        <v>0%</v>
      </c>
      <c r="M74" s="1">
        <f t="shared" ca="1" si="7"/>
        <v>0</v>
      </c>
      <c r="N74" s="56" t="e">
        <f t="shared" ca="1" si="8"/>
        <v>#N/A</v>
      </c>
      <c r="O74" s="56" t="e">
        <f t="shared" ca="1" si="9"/>
        <v>#N/A</v>
      </c>
      <c r="P74" s="2">
        <f ca="1">SUMIF(MICRO!AP:AP,O74,MICRO!AS:AS)</f>
        <v>0</v>
      </c>
      <c r="Q74" s="2">
        <f ca="1">SUMIF(MICRO!AP:AP,O74,MICRO!AT:AT)</f>
        <v>0</v>
      </c>
      <c r="R74" s="2">
        <f ca="1"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 ca="1">VLOOKUP(Tabela2[[#This Row],[TAG]],MICRO!J:L,3,0)</f>
        <v>#N/A</v>
      </c>
      <c r="F75" s="44" t="s">
        <v>23</v>
      </c>
      <c r="G75" s="58">
        <f ca="1">SUMIF(MICRO!AP:AP,O:O,MICRO!H:H)</f>
        <v>0</v>
      </c>
      <c r="H75" s="1">
        <f ca="1">SUMIF(MICRO!AP:AP,O:O,MICRO!R:R)</f>
        <v>0</v>
      </c>
      <c r="I75" s="1">
        <f ca="1">SUMIF(MICRO!AP:AP,O:O,MICRO!T:T)</f>
        <v>0</v>
      </c>
      <c r="J75" s="59">
        <f t="shared" ca="1" si="5"/>
        <v>0</v>
      </c>
      <c r="K75" s="1">
        <f ca="1">SUMIF(MICRO!AP:AP,O:O,MICRO!X:X)</f>
        <v>0</v>
      </c>
      <c r="L75" s="59" t="str">
        <f t="shared" ca="1" si="6"/>
        <v>0%</v>
      </c>
      <c r="M75" s="1">
        <f t="shared" ca="1" si="7"/>
        <v>0</v>
      </c>
      <c r="N75" s="56" t="e">
        <f t="shared" ca="1" si="8"/>
        <v>#N/A</v>
      </c>
      <c r="O75" s="56" t="e">
        <f t="shared" ca="1" si="9"/>
        <v>#N/A</v>
      </c>
      <c r="P75" s="2">
        <f ca="1">SUMIF(MICRO!AP:AP,O75,MICRO!AS:AS)</f>
        <v>0</v>
      </c>
      <c r="Q75" s="2">
        <f ca="1">SUMIF(MICRO!AP:AP,O75,MICRO!AT:AT)</f>
        <v>0</v>
      </c>
      <c r="R75" s="2">
        <f ca="1"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 ca="1">VLOOKUP(Tabela2[[#This Row],[TAG]],MICRO!J:L,3,0)</f>
        <v>#N/A</v>
      </c>
      <c r="F76" s="44" t="s">
        <v>23</v>
      </c>
      <c r="G76" s="58">
        <f ca="1">SUMIF(MICRO!AP:AP,O:O,MICRO!H:H)</f>
        <v>0</v>
      </c>
      <c r="H76" s="1">
        <f ca="1">SUMIF(MICRO!AP:AP,O:O,MICRO!R:R)</f>
        <v>0</v>
      </c>
      <c r="I76" s="1">
        <f ca="1">SUMIF(MICRO!AP:AP,O:O,MICRO!T:T)</f>
        <v>0</v>
      </c>
      <c r="J76" s="59">
        <f t="shared" ca="1" si="5"/>
        <v>0</v>
      </c>
      <c r="K76" s="1">
        <f ca="1">SUMIF(MICRO!AP:AP,O:O,MICRO!X:X)</f>
        <v>0</v>
      </c>
      <c r="L76" s="59" t="str">
        <f t="shared" ca="1" si="6"/>
        <v>0%</v>
      </c>
      <c r="M76" s="1">
        <f t="shared" ca="1" si="7"/>
        <v>0</v>
      </c>
      <c r="N76" s="56" t="e">
        <f t="shared" ca="1" si="8"/>
        <v>#N/A</v>
      </c>
      <c r="O76" s="56" t="e">
        <f t="shared" ca="1" si="9"/>
        <v>#N/A</v>
      </c>
      <c r="P76" s="2">
        <f ca="1">SUMIF(MICRO!AP:AP,O76,MICRO!AS:AS)</f>
        <v>0</v>
      </c>
      <c r="Q76" s="2">
        <f ca="1">SUMIF(MICRO!AP:AP,O76,MICRO!AT:AT)</f>
        <v>0</v>
      </c>
      <c r="R76" s="2">
        <f ca="1"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 ca="1">VLOOKUP(Tabela2[[#This Row],[TAG]],MICRO!J:L,3,0)</f>
        <v>#N/A</v>
      </c>
      <c r="F77" s="44" t="s">
        <v>23</v>
      </c>
      <c r="G77" s="58">
        <f ca="1">SUMIF(MICRO!AP:AP,O:O,MICRO!H:H)</f>
        <v>0</v>
      </c>
      <c r="H77" s="1">
        <f ca="1">SUMIF(MICRO!AP:AP,O:O,MICRO!R:R)</f>
        <v>0</v>
      </c>
      <c r="I77" s="1">
        <f ca="1">SUMIF(MICRO!AP:AP,O:O,MICRO!T:T)</f>
        <v>0</v>
      </c>
      <c r="J77" s="59">
        <f t="shared" ca="1" si="5"/>
        <v>0</v>
      </c>
      <c r="K77" s="1">
        <f ca="1">SUMIF(MICRO!AP:AP,O:O,MICRO!X:X)</f>
        <v>0</v>
      </c>
      <c r="L77" s="59" t="str">
        <f t="shared" ca="1" si="6"/>
        <v>0%</v>
      </c>
      <c r="M77" s="1">
        <f t="shared" ca="1" si="7"/>
        <v>0</v>
      </c>
      <c r="N77" s="56" t="e">
        <f t="shared" ca="1" si="8"/>
        <v>#N/A</v>
      </c>
      <c r="O77" s="56" t="e">
        <f t="shared" ca="1" si="9"/>
        <v>#N/A</v>
      </c>
      <c r="P77" s="2">
        <f ca="1">SUMIF(MICRO!AP:AP,O77,MICRO!AS:AS)</f>
        <v>0</v>
      </c>
      <c r="Q77" s="2">
        <f ca="1">SUMIF(MICRO!AP:AP,O77,MICRO!AT:AT)</f>
        <v>0</v>
      </c>
      <c r="R77" s="2">
        <f ca="1"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 ca="1">VLOOKUP(Tabela2[[#This Row],[TAG]],MICRO!J:L,3,0)</f>
        <v>#N/A</v>
      </c>
      <c r="F78" s="44" t="s">
        <v>23</v>
      </c>
      <c r="G78" s="58">
        <f ca="1">SUMIF(MICRO!AP:AP,O:O,MICRO!H:H)</f>
        <v>0</v>
      </c>
      <c r="H78" s="1">
        <f ca="1">SUMIF(MICRO!AP:AP,O:O,MICRO!R:R)</f>
        <v>0</v>
      </c>
      <c r="I78" s="1">
        <f ca="1">SUMIF(MICRO!AP:AP,O:O,MICRO!T:T)</f>
        <v>0</v>
      </c>
      <c r="J78" s="59">
        <f t="shared" ca="1" si="5"/>
        <v>0</v>
      </c>
      <c r="K78" s="1">
        <f ca="1">SUMIF(MICRO!AP:AP,O:O,MICRO!X:X)</f>
        <v>0</v>
      </c>
      <c r="L78" s="59" t="str">
        <f t="shared" ca="1" si="6"/>
        <v>0%</v>
      </c>
      <c r="M78" s="1">
        <f t="shared" ca="1" si="7"/>
        <v>0</v>
      </c>
      <c r="N78" s="56" t="e">
        <f t="shared" ca="1" si="8"/>
        <v>#N/A</v>
      </c>
      <c r="O78" s="56" t="e">
        <f t="shared" ca="1" si="9"/>
        <v>#N/A</v>
      </c>
      <c r="P78" s="2">
        <f ca="1">SUMIF(MICRO!AP:AP,O78,MICRO!AS:AS)</f>
        <v>0</v>
      </c>
      <c r="Q78" s="2">
        <f ca="1">SUMIF(MICRO!AP:AP,O78,MICRO!AT:AT)</f>
        <v>0</v>
      </c>
      <c r="R78" s="2">
        <f ca="1"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 ca="1">VLOOKUP(Tabela2[[#This Row],[TAG]],MICRO!J:L,3,0)</f>
        <v>#N/A</v>
      </c>
      <c r="F79" s="44" t="s">
        <v>31</v>
      </c>
      <c r="G79" s="58">
        <f ca="1">SUMIF(MICRO!AP:AP,O:O,MICRO!H:H)</f>
        <v>0</v>
      </c>
      <c r="H79" s="1">
        <f ca="1">SUMIF(MICRO!AP:AP,O:O,MICRO!R:R)</f>
        <v>0</v>
      </c>
      <c r="I79" s="1">
        <f ca="1">SUMIF(MICRO!AP:AP,O:O,MICRO!T:T)</f>
        <v>0</v>
      </c>
      <c r="J79" s="59">
        <f t="shared" ca="1" si="5"/>
        <v>0</v>
      </c>
      <c r="K79" s="1">
        <f ca="1">SUMIF(MICRO!AP:AP,O:O,MICRO!X:X)</f>
        <v>0</v>
      </c>
      <c r="L79" s="59" t="str">
        <f t="shared" ca="1" si="6"/>
        <v>0%</v>
      </c>
      <c r="M79" s="1">
        <f t="shared" ca="1" si="7"/>
        <v>0</v>
      </c>
      <c r="N79" s="56" t="e">
        <f t="shared" ca="1" si="8"/>
        <v>#N/A</v>
      </c>
      <c r="O79" s="56" t="e">
        <f t="shared" ca="1" si="9"/>
        <v>#N/A</v>
      </c>
      <c r="P79" s="2">
        <f ca="1">SUMIF(MICRO!AP:AP,O79,MICRO!AS:AS)</f>
        <v>0</v>
      </c>
      <c r="Q79" s="2">
        <f ca="1">SUMIF(MICRO!AP:AP,O79,MICRO!AT:AT)</f>
        <v>0</v>
      </c>
      <c r="R79" s="2">
        <f ca="1"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 ca="1">VLOOKUP(Tabela2[[#This Row],[TAG]],MICRO!J:L,3,0)</f>
        <v>#N/A</v>
      </c>
      <c r="F80" s="44" t="s">
        <v>22</v>
      </c>
      <c r="G80" s="58">
        <f ca="1">SUMIF(MICRO!AP:AP,O:O,MICRO!H:H)</f>
        <v>0</v>
      </c>
      <c r="H80" s="1">
        <f ca="1">SUMIF(MICRO!AP:AP,O:O,MICRO!R:R)</f>
        <v>0</v>
      </c>
      <c r="I80" s="1">
        <f ca="1">SUMIF(MICRO!AP:AP,O:O,MICRO!T:T)</f>
        <v>0</v>
      </c>
      <c r="J80" s="59">
        <f t="shared" ca="1" si="5"/>
        <v>0</v>
      </c>
      <c r="K80" s="1">
        <f ca="1">SUMIF(MICRO!AP:AP,O:O,MICRO!X:X)</f>
        <v>0</v>
      </c>
      <c r="L80" s="59" t="str">
        <f t="shared" ca="1" si="6"/>
        <v>0%</v>
      </c>
      <c r="M80" s="1">
        <f t="shared" ca="1" si="7"/>
        <v>0</v>
      </c>
      <c r="N80" s="56" t="e">
        <f t="shared" ca="1" si="8"/>
        <v>#N/A</v>
      </c>
      <c r="O80" s="56" t="e">
        <f t="shared" ca="1" si="9"/>
        <v>#N/A</v>
      </c>
      <c r="P80" s="2">
        <f ca="1">SUMIF(MICRO!AP:AP,O80,MICRO!AS:AS)</f>
        <v>0</v>
      </c>
      <c r="Q80" s="2">
        <f ca="1">SUMIF(MICRO!AP:AP,O80,MICRO!AT:AT)</f>
        <v>0</v>
      </c>
      <c r="R80" s="2">
        <f ca="1"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 ca="1">VLOOKUP(Tabela2[[#This Row],[TAG]],MICRO!J:L,3,0)</f>
        <v>#N/A</v>
      </c>
      <c r="F81" s="44" t="s">
        <v>22</v>
      </c>
      <c r="G81" s="58">
        <f ca="1">SUMIF(MICRO!AP:AP,O:O,MICRO!H:H)</f>
        <v>0</v>
      </c>
      <c r="H81" s="1">
        <f ca="1">SUMIF(MICRO!AP:AP,O:O,MICRO!R:R)</f>
        <v>0</v>
      </c>
      <c r="I81" s="1">
        <f ca="1">SUMIF(MICRO!AP:AP,O:O,MICRO!T:T)</f>
        <v>0</v>
      </c>
      <c r="J81" s="59">
        <f t="shared" ca="1" si="5"/>
        <v>0</v>
      </c>
      <c r="K81" s="1">
        <f ca="1">SUMIF(MICRO!AP:AP,O:O,MICRO!X:X)</f>
        <v>0</v>
      </c>
      <c r="L81" s="59" t="str">
        <f t="shared" ca="1" si="6"/>
        <v>0%</v>
      </c>
      <c r="M81" s="1">
        <f t="shared" ca="1" si="7"/>
        <v>0</v>
      </c>
      <c r="N81" s="56" t="e">
        <f t="shared" ca="1" si="8"/>
        <v>#N/A</v>
      </c>
      <c r="O81" s="56" t="e">
        <f t="shared" ca="1" si="9"/>
        <v>#N/A</v>
      </c>
      <c r="P81" s="2">
        <f ca="1">SUMIF(MICRO!AP:AP,O81,MICRO!AS:AS)</f>
        <v>0</v>
      </c>
      <c r="Q81" s="2">
        <f ca="1">SUMIF(MICRO!AP:AP,O81,MICRO!AT:AT)</f>
        <v>0</v>
      </c>
      <c r="R81" s="2">
        <f ca="1"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 ca="1">VLOOKUP(Tabela2[[#This Row],[TAG]],MICRO!J:L,3,0)</f>
        <v>#N/A</v>
      </c>
      <c r="F82" s="44" t="s">
        <v>23</v>
      </c>
      <c r="G82" s="58">
        <f ca="1">SUMIF(MICRO!AP:AP,O:O,MICRO!H:H)</f>
        <v>0</v>
      </c>
      <c r="H82" s="1">
        <f ca="1">SUMIF(MICRO!AP:AP,O:O,MICRO!R:R)</f>
        <v>0</v>
      </c>
      <c r="I82" s="1">
        <f ca="1">SUMIF(MICRO!AP:AP,O:O,MICRO!T:T)</f>
        <v>0</v>
      </c>
      <c r="J82" s="59">
        <f t="shared" ca="1" si="5"/>
        <v>0</v>
      </c>
      <c r="K82" s="1">
        <f ca="1">SUMIF(MICRO!AP:AP,O:O,MICRO!X:X)</f>
        <v>0</v>
      </c>
      <c r="L82" s="59" t="str">
        <f t="shared" ca="1" si="6"/>
        <v>0%</v>
      </c>
      <c r="M82" s="1">
        <f t="shared" ca="1" si="7"/>
        <v>0</v>
      </c>
      <c r="N82" s="56" t="e">
        <f t="shared" ca="1" si="8"/>
        <v>#N/A</v>
      </c>
      <c r="O82" s="56" t="e">
        <f t="shared" ca="1" si="9"/>
        <v>#N/A</v>
      </c>
      <c r="P82" s="2">
        <f ca="1">SUMIF(MICRO!AP:AP,O82,MICRO!AS:AS)</f>
        <v>0</v>
      </c>
      <c r="Q82" s="2">
        <f ca="1">SUMIF(MICRO!AP:AP,O82,MICRO!AT:AT)</f>
        <v>0</v>
      </c>
      <c r="R82" s="2">
        <f ca="1"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 ca="1">VLOOKUP(Tabela2[[#This Row],[TAG]],MICRO!J:L,3,0)</f>
        <v>#N/A</v>
      </c>
      <c r="F83" s="44" t="s">
        <v>23</v>
      </c>
      <c r="G83" s="58">
        <f ca="1">SUMIF(MICRO!AP:AP,O:O,MICRO!H:H)</f>
        <v>0</v>
      </c>
      <c r="H83" s="1">
        <f ca="1">SUMIF(MICRO!AP:AP,O:O,MICRO!R:R)</f>
        <v>0</v>
      </c>
      <c r="I83" s="1">
        <f ca="1">SUMIF(MICRO!AP:AP,O:O,MICRO!T:T)</f>
        <v>0</v>
      </c>
      <c r="J83" s="59">
        <f t="shared" ca="1" si="5"/>
        <v>0</v>
      </c>
      <c r="K83" s="1">
        <f ca="1">SUMIF(MICRO!AP:AP,O:O,MICRO!X:X)</f>
        <v>0</v>
      </c>
      <c r="L83" s="59" t="str">
        <f t="shared" ca="1" si="6"/>
        <v>0%</v>
      </c>
      <c r="M83" s="1">
        <f t="shared" ca="1" si="7"/>
        <v>0</v>
      </c>
      <c r="N83" s="56" t="e">
        <f t="shared" ca="1" si="8"/>
        <v>#N/A</v>
      </c>
      <c r="O83" s="56" t="e">
        <f t="shared" ca="1" si="9"/>
        <v>#N/A</v>
      </c>
      <c r="P83" s="2">
        <f ca="1">SUMIF(MICRO!AP:AP,O83,MICRO!AS:AS)</f>
        <v>0</v>
      </c>
      <c r="Q83" s="2">
        <f ca="1">SUMIF(MICRO!AP:AP,O83,MICRO!AT:AT)</f>
        <v>0</v>
      </c>
      <c r="R83" s="2">
        <f ca="1"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 ca="1">VLOOKUP(Tabela2[[#This Row],[TAG]],MICRO!J:L,3,0)</f>
        <v>#N/A</v>
      </c>
      <c r="F84" s="44" t="s">
        <v>23</v>
      </c>
      <c r="G84" s="58">
        <f ca="1">SUMIF(MICRO!AP:AP,O:O,MICRO!H:H)</f>
        <v>0</v>
      </c>
      <c r="H84" s="1">
        <f ca="1">SUMIF(MICRO!AP:AP,O:O,MICRO!R:R)</f>
        <v>0</v>
      </c>
      <c r="I84" s="1">
        <f ca="1">SUMIF(MICRO!AP:AP,O:O,MICRO!T:T)</f>
        <v>0</v>
      </c>
      <c r="J84" s="59">
        <f t="shared" ca="1" si="5"/>
        <v>0</v>
      </c>
      <c r="K84" s="1">
        <f ca="1">SUMIF(MICRO!AP:AP,O:O,MICRO!X:X)</f>
        <v>0</v>
      </c>
      <c r="L84" s="59" t="str">
        <f t="shared" ca="1" si="6"/>
        <v>0%</v>
      </c>
      <c r="M84" s="1">
        <f t="shared" ca="1" si="7"/>
        <v>0</v>
      </c>
      <c r="N84" s="56" t="e">
        <f t="shared" ca="1" si="8"/>
        <v>#N/A</v>
      </c>
      <c r="O84" s="56" t="e">
        <f t="shared" ca="1" si="9"/>
        <v>#N/A</v>
      </c>
      <c r="P84" s="2">
        <f ca="1">SUMIF(MICRO!AP:AP,O84,MICRO!AS:AS)</f>
        <v>0</v>
      </c>
      <c r="Q84" s="2">
        <f ca="1">SUMIF(MICRO!AP:AP,O84,MICRO!AT:AT)</f>
        <v>0</v>
      </c>
      <c r="R84" s="2">
        <f ca="1"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 ca="1">VLOOKUP(Tabela2[[#This Row],[TAG]],MICRO!J:L,3,0)</f>
        <v>#N/A</v>
      </c>
      <c r="F85" s="44" t="s">
        <v>31</v>
      </c>
      <c r="G85" s="58">
        <f ca="1">SUMIF(MICRO!AP:AP,O:O,MICRO!H:H)</f>
        <v>0</v>
      </c>
      <c r="H85" s="1">
        <f ca="1">SUMIF(MICRO!AP:AP,O:O,MICRO!R:R)</f>
        <v>0</v>
      </c>
      <c r="I85" s="1">
        <f ca="1">SUMIF(MICRO!AP:AP,O:O,MICRO!T:T)</f>
        <v>0</v>
      </c>
      <c r="J85" s="59">
        <f t="shared" ca="1" si="5"/>
        <v>0</v>
      </c>
      <c r="K85" s="1">
        <f ca="1">SUMIF(MICRO!AP:AP,O:O,MICRO!X:X)</f>
        <v>0</v>
      </c>
      <c r="L85" s="59" t="str">
        <f t="shared" ca="1" si="6"/>
        <v>0%</v>
      </c>
      <c r="M85" s="1">
        <f t="shared" ca="1" si="7"/>
        <v>0</v>
      </c>
      <c r="N85" s="56" t="e">
        <f t="shared" ca="1" si="8"/>
        <v>#N/A</v>
      </c>
      <c r="O85" s="56" t="e">
        <f t="shared" ca="1" si="9"/>
        <v>#N/A</v>
      </c>
      <c r="P85" s="2">
        <f ca="1">SUMIF(MICRO!AP:AP,O85,MICRO!AS:AS)</f>
        <v>0</v>
      </c>
      <c r="Q85" s="2">
        <f ca="1">SUMIF(MICRO!AP:AP,O85,MICRO!AT:AT)</f>
        <v>0</v>
      </c>
      <c r="R85" s="2">
        <f ca="1"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 ca="1">VLOOKUP(Tabela2[[#This Row],[TAG]],MICRO!J:L,3,0)</f>
        <v>#N/A</v>
      </c>
      <c r="F86" s="44" t="s">
        <v>33</v>
      </c>
      <c r="G86" s="58">
        <f ca="1">SUMIF(MICRO!AP:AP,O:O,MICRO!H:H)</f>
        <v>0</v>
      </c>
      <c r="H86" s="1">
        <f ca="1">SUMIF(MICRO!AP:AP,O:O,MICRO!R:R)</f>
        <v>0</v>
      </c>
      <c r="I86" s="1">
        <f ca="1">SUMIF(MICRO!AP:AP,O:O,MICRO!T:T)</f>
        <v>0</v>
      </c>
      <c r="J86" s="59">
        <f t="shared" ca="1" si="5"/>
        <v>0</v>
      </c>
      <c r="K86" s="1">
        <f ca="1">SUMIF(MICRO!AP:AP,O:O,MICRO!X:X)</f>
        <v>0</v>
      </c>
      <c r="L86" s="59" t="str">
        <f t="shared" ca="1" si="6"/>
        <v>0%</v>
      </c>
      <c r="M86" s="1">
        <f t="shared" ca="1" si="7"/>
        <v>0</v>
      </c>
      <c r="N86" s="56" t="e">
        <f t="shared" ca="1" si="8"/>
        <v>#N/A</v>
      </c>
      <c r="O86" s="56" t="e">
        <f t="shared" ca="1" si="9"/>
        <v>#N/A</v>
      </c>
      <c r="P86" s="2">
        <f ca="1">SUMIF(MICRO!AP:AP,O86,MICRO!AS:AS)</f>
        <v>0</v>
      </c>
      <c r="Q86" s="2">
        <f ca="1">SUMIF(MICRO!AP:AP,O86,MICRO!AT:AT)</f>
        <v>0</v>
      </c>
      <c r="R86" s="2">
        <f ca="1"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 ca="1">VLOOKUP(Tabela2[[#This Row],[TAG]],MICRO!J:L,3,0)</f>
        <v>#N/A</v>
      </c>
      <c r="F87" s="44" t="s">
        <v>22</v>
      </c>
      <c r="G87" s="58">
        <f ca="1">SUMIF(MICRO!AP:AP,O:O,MICRO!H:H)</f>
        <v>0</v>
      </c>
      <c r="H87" s="1">
        <f ca="1">SUMIF(MICRO!AP:AP,O:O,MICRO!R:R)</f>
        <v>0</v>
      </c>
      <c r="I87" s="1">
        <f ca="1">SUMIF(MICRO!AP:AP,O:O,MICRO!T:T)</f>
        <v>0</v>
      </c>
      <c r="J87" s="59">
        <f t="shared" ca="1" si="5"/>
        <v>0</v>
      </c>
      <c r="K87" s="1">
        <f ca="1">SUMIF(MICRO!AP:AP,O:O,MICRO!X:X)</f>
        <v>0</v>
      </c>
      <c r="L87" s="59" t="str">
        <f t="shared" ca="1" si="6"/>
        <v>0%</v>
      </c>
      <c r="M87" s="1">
        <f t="shared" ca="1" si="7"/>
        <v>0</v>
      </c>
      <c r="N87" s="56" t="e">
        <f t="shared" ca="1" si="8"/>
        <v>#N/A</v>
      </c>
      <c r="O87" s="56" t="e">
        <f t="shared" ca="1" si="9"/>
        <v>#N/A</v>
      </c>
      <c r="P87" s="2">
        <f ca="1">SUMIF(MICRO!AP:AP,O87,MICRO!AS:AS)</f>
        <v>0</v>
      </c>
      <c r="Q87" s="2">
        <f ca="1">SUMIF(MICRO!AP:AP,O87,MICRO!AT:AT)</f>
        <v>0</v>
      </c>
      <c r="R87" s="2">
        <f ca="1"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 ca="1">VLOOKUP(Tabela2[[#This Row],[TAG]],MICRO!J:L,3,0)</f>
        <v>#N/A</v>
      </c>
      <c r="F88" s="44" t="s">
        <v>44</v>
      </c>
      <c r="G88" s="58">
        <f ca="1">SUMIF(MICRO!AP:AP,O:O,MICRO!H:H)</f>
        <v>0</v>
      </c>
      <c r="H88" s="1">
        <f ca="1">SUMIF(MICRO!AP:AP,O:O,MICRO!R:R)</f>
        <v>0</v>
      </c>
      <c r="I88" s="1">
        <f ca="1">SUMIF(MICRO!AP:AP,O:O,MICRO!T:T)</f>
        <v>0</v>
      </c>
      <c r="J88" s="59">
        <f t="shared" ca="1" si="5"/>
        <v>0</v>
      </c>
      <c r="K88" s="1">
        <f ca="1">SUMIF(MICRO!AP:AP,O:O,MICRO!X:X)</f>
        <v>0</v>
      </c>
      <c r="L88" s="59" t="str">
        <f t="shared" ca="1" si="6"/>
        <v>0%</v>
      </c>
      <c r="M88" s="1">
        <f t="shared" ca="1" si="7"/>
        <v>0</v>
      </c>
      <c r="N88" s="56" t="e">
        <f t="shared" ca="1" si="8"/>
        <v>#N/A</v>
      </c>
      <c r="O88" s="56" t="e">
        <f t="shared" ca="1" si="9"/>
        <v>#N/A</v>
      </c>
      <c r="P88" s="2">
        <f ca="1">SUMIF(MICRO!AP:AP,O88,MICRO!AS:AS)</f>
        <v>0</v>
      </c>
      <c r="Q88" s="2">
        <f ca="1">SUMIF(MICRO!AP:AP,O88,MICRO!AT:AT)</f>
        <v>0</v>
      </c>
      <c r="R88" s="2">
        <f ca="1"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 ca="1">VLOOKUP(Tabela2[[#This Row],[TAG]],MICRO!J:L,3,0)</f>
        <v>#N/A</v>
      </c>
      <c r="F89" s="44" t="s">
        <v>23</v>
      </c>
      <c r="G89" s="58">
        <f ca="1">SUMIF(MICRO!AP:AP,O:O,MICRO!H:H)</f>
        <v>0</v>
      </c>
      <c r="H89" s="1">
        <f ca="1">SUMIF(MICRO!AP:AP,O:O,MICRO!R:R)</f>
        <v>0</v>
      </c>
      <c r="I89" s="1">
        <f ca="1">SUMIF(MICRO!AP:AP,O:O,MICRO!T:T)</f>
        <v>0</v>
      </c>
      <c r="J89" s="59">
        <f t="shared" ca="1" si="5"/>
        <v>0</v>
      </c>
      <c r="K89" s="1">
        <f ca="1">SUMIF(MICRO!AP:AP,O:O,MICRO!X:X)</f>
        <v>0</v>
      </c>
      <c r="L89" s="59" t="str">
        <f t="shared" ca="1" si="6"/>
        <v>0%</v>
      </c>
      <c r="M89" s="1">
        <f t="shared" ca="1" si="7"/>
        <v>0</v>
      </c>
      <c r="N89" s="56" t="e">
        <f t="shared" ca="1" si="8"/>
        <v>#N/A</v>
      </c>
      <c r="O89" s="56" t="e">
        <f t="shared" ca="1" si="9"/>
        <v>#N/A</v>
      </c>
      <c r="P89" s="2">
        <f ca="1">SUMIF(MICRO!AP:AP,O89,MICRO!AS:AS)</f>
        <v>0</v>
      </c>
      <c r="Q89" s="2">
        <f ca="1">SUMIF(MICRO!AP:AP,O89,MICRO!AT:AT)</f>
        <v>0</v>
      </c>
      <c r="R89" s="2">
        <f ca="1"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 ca="1">VLOOKUP(Tabela2[[#This Row],[TAG]],MICRO!J:L,3,0)</f>
        <v>#N/A</v>
      </c>
      <c r="F90" s="44" t="s">
        <v>31</v>
      </c>
      <c r="G90" s="58">
        <f ca="1">SUMIF(MICRO!AP:AP,O:O,MICRO!H:H)</f>
        <v>0</v>
      </c>
      <c r="H90" s="1">
        <f ca="1">SUMIF(MICRO!AP:AP,O:O,MICRO!R:R)</f>
        <v>0</v>
      </c>
      <c r="I90" s="1">
        <f ca="1">SUMIF(MICRO!AP:AP,O:O,MICRO!T:T)</f>
        <v>0</v>
      </c>
      <c r="J90" s="59">
        <f t="shared" ca="1" si="5"/>
        <v>0</v>
      </c>
      <c r="K90" s="1">
        <f ca="1">SUMIF(MICRO!AP:AP,O:O,MICRO!X:X)</f>
        <v>0</v>
      </c>
      <c r="L90" s="59" t="str">
        <f t="shared" ca="1" si="6"/>
        <v>0%</v>
      </c>
      <c r="M90" s="1">
        <f t="shared" ca="1" si="7"/>
        <v>0</v>
      </c>
      <c r="N90" s="56" t="e">
        <f t="shared" ca="1" si="8"/>
        <v>#N/A</v>
      </c>
      <c r="O90" s="56" t="e">
        <f t="shared" ca="1" si="9"/>
        <v>#N/A</v>
      </c>
      <c r="P90" s="2">
        <f ca="1">SUMIF(MICRO!AP:AP,O90,MICRO!AS:AS)</f>
        <v>0</v>
      </c>
      <c r="Q90" s="2">
        <f ca="1">SUMIF(MICRO!AP:AP,O90,MICRO!AT:AT)</f>
        <v>0</v>
      </c>
      <c r="R90" s="2">
        <f ca="1"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 ca="1">VLOOKUP(Tabela2[[#This Row],[TAG]],MICRO!J:L,3,0)</f>
        <v>#N/A</v>
      </c>
      <c r="F91" s="44" t="s">
        <v>33</v>
      </c>
      <c r="G91" s="58">
        <f ca="1">SUMIF(MICRO!AP:AP,O:O,MICRO!H:H)</f>
        <v>0</v>
      </c>
      <c r="H91" s="1">
        <f ca="1">SUMIF(MICRO!AP:AP,O:O,MICRO!R:R)</f>
        <v>0</v>
      </c>
      <c r="I91" s="1">
        <f ca="1">SUMIF(MICRO!AP:AP,O:O,MICRO!T:T)</f>
        <v>0</v>
      </c>
      <c r="J91" s="59">
        <f t="shared" ca="1" si="5"/>
        <v>0</v>
      </c>
      <c r="K91" s="1">
        <f ca="1">SUMIF(MICRO!AP:AP,O:O,MICRO!X:X)</f>
        <v>0</v>
      </c>
      <c r="L91" s="59" t="str">
        <f t="shared" ca="1" si="6"/>
        <v>0%</v>
      </c>
      <c r="M91" s="1">
        <f t="shared" ca="1" si="7"/>
        <v>0</v>
      </c>
      <c r="N91" s="56" t="e">
        <f t="shared" ca="1" si="8"/>
        <v>#N/A</v>
      </c>
      <c r="O91" s="56" t="e">
        <f t="shared" ca="1" si="9"/>
        <v>#N/A</v>
      </c>
      <c r="P91" s="2">
        <f ca="1">SUMIF(MICRO!AP:AP,O91,MICRO!AS:AS)</f>
        <v>0</v>
      </c>
      <c r="Q91" s="2">
        <f ca="1">SUMIF(MICRO!AP:AP,O91,MICRO!AT:AT)</f>
        <v>0</v>
      </c>
      <c r="R91" s="2">
        <f ca="1"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 ca="1">VLOOKUP(Tabela2[[#This Row],[TAG]],MICRO!J:L,3,0)</f>
        <v>#N/A</v>
      </c>
      <c r="F92" s="44" t="s">
        <v>22</v>
      </c>
      <c r="G92" s="58">
        <f ca="1">SUMIF(MICRO!AP:AP,O:O,MICRO!H:H)</f>
        <v>0</v>
      </c>
      <c r="H92" s="1">
        <f ca="1">SUMIF(MICRO!AP:AP,O:O,MICRO!R:R)</f>
        <v>0</v>
      </c>
      <c r="I92" s="1">
        <f ca="1">SUMIF(MICRO!AP:AP,O:O,MICRO!T:T)</f>
        <v>0</v>
      </c>
      <c r="J92" s="59">
        <f t="shared" ca="1" si="5"/>
        <v>0</v>
      </c>
      <c r="K92" s="1">
        <f ca="1">SUMIF(MICRO!AP:AP,O:O,MICRO!X:X)</f>
        <v>0</v>
      </c>
      <c r="L92" s="59" t="str">
        <f t="shared" ca="1" si="6"/>
        <v>0%</v>
      </c>
      <c r="M92" s="1">
        <f t="shared" ca="1" si="7"/>
        <v>0</v>
      </c>
      <c r="N92" s="56" t="e">
        <f t="shared" ca="1" si="8"/>
        <v>#N/A</v>
      </c>
      <c r="O92" s="56" t="e">
        <f t="shared" ca="1" si="9"/>
        <v>#N/A</v>
      </c>
      <c r="P92" s="2">
        <f ca="1">SUMIF(MICRO!AP:AP,O92,MICRO!AS:AS)</f>
        <v>0</v>
      </c>
      <c r="Q92" s="2">
        <f ca="1">SUMIF(MICRO!AP:AP,O92,MICRO!AT:AT)</f>
        <v>0</v>
      </c>
      <c r="R92" s="2">
        <f ca="1"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 ca="1">VLOOKUP(Tabela2[[#This Row],[TAG]],MICRO!J:L,3,0)</f>
        <v>#N/A</v>
      </c>
      <c r="F93" s="44" t="s">
        <v>23</v>
      </c>
      <c r="G93" s="58">
        <f ca="1">SUMIF(MICRO!AP:AP,O:O,MICRO!H:H)</f>
        <v>0</v>
      </c>
      <c r="H93" s="1">
        <f ca="1">SUMIF(MICRO!AP:AP,O:O,MICRO!R:R)</f>
        <v>0</v>
      </c>
      <c r="I93" s="1">
        <f ca="1">SUMIF(MICRO!AP:AP,O:O,MICRO!T:T)</f>
        <v>0</v>
      </c>
      <c r="J93" s="59">
        <f t="shared" ca="1" si="5"/>
        <v>0</v>
      </c>
      <c r="K93" s="1">
        <f ca="1">SUMIF(MICRO!AP:AP,O:O,MICRO!X:X)</f>
        <v>0</v>
      </c>
      <c r="L93" s="59" t="str">
        <f t="shared" ca="1" si="6"/>
        <v>0%</v>
      </c>
      <c r="M93" s="1">
        <f t="shared" ca="1" si="7"/>
        <v>0</v>
      </c>
      <c r="N93" s="56" t="e">
        <f t="shared" ca="1" si="8"/>
        <v>#N/A</v>
      </c>
      <c r="O93" s="56" t="e">
        <f t="shared" ca="1" si="9"/>
        <v>#N/A</v>
      </c>
      <c r="P93" s="2">
        <f ca="1">SUMIF(MICRO!AP:AP,O93,MICRO!AS:AS)</f>
        <v>0</v>
      </c>
      <c r="Q93" s="2">
        <f ca="1">SUMIF(MICRO!AP:AP,O93,MICRO!AT:AT)</f>
        <v>0</v>
      </c>
      <c r="R93" s="2">
        <f ca="1"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 ca="1">VLOOKUP(Tabela2[[#This Row],[TAG]],MICRO!J:L,3,0)</f>
        <v>#N/A</v>
      </c>
      <c r="F94" s="44" t="s">
        <v>31</v>
      </c>
      <c r="G94" s="58">
        <f ca="1">SUMIF(MICRO!AP:AP,O:O,MICRO!H:H)</f>
        <v>0</v>
      </c>
      <c r="H94" s="1">
        <f ca="1">SUMIF(MICRO!AP:AP,O:O,MICRO!R:R)</f>
        <v>0</v>
      </c>
      <c r="I94" s="1">
        <f ca="1">SUMIF(MICRO!AP:AP,O:O,MICRO!T:T)</f>
        <v>0</v>
      </c>
      <c r="J94" s="59">
        <f t="shared" ca="1" si="5"/>
        <v>0</v>
      </c>
      <c r="K94" s="1">
        <f ca="1">SUMIF(MICRO!AP:AP,O:O,MICRO!X:X)</f>
        <v>0</v>
      </c>
      <c r="L94" s="59" t="str">
        <f t="shared" ca="1" si="6"/>
        <v>0%</v>
      </c>
      <c r="M94" s="1">
        <f t="shared" ca="1" si="7"/>
        <v>0</v>
      </c>
      <c r="N94" s="56" t="e">
        <f t="shared" ca="1" si="8"/>
        <v>#N/A</v>
      </c>
      <c r="O94" s="56" t="e">
        <f t="shared" ca="1" si="9"/>
        <v>#N/A</v>
      </c>
      <c r="P94" s="2">
        <f ca="1">SUMIF(MICRO!AP:AP,O94,MICRO!AS:AS)</f>
        <v>0</v>
      </c>
      <c r="Q94" s="2">
        <f ca="1">SUMIF(MICRO!AP:AP,O94,MICRO!AT:AT)</f>
        <v>0</v>
      </c>
      <c r="R94" s="2">
        <f ca="1"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 ca="1">VLOOKUP(Tabela2[[#This Row],[TAG]],MICRO!J:L,3,0)</f>
        <v>#N/A</v>
      </c>
      <c r="F95" s="44" t="s">
        <v>33</v>
      </c>
      <c r="G95" s="58">
        <f ca="1">SUMIF(MICRO!AP:AP,O:O,MICRO!H:H)</f>
        <v>0</v>
      </c>
      <c r="H95" s="1">
        <f ca="1">SUMIF(MICRO!AP:AP,O:O,MICRO!R:R)</f>
        <v>0</v>
      </c>
      <c r="I95" s="1">
        <f ca="1">SUMIF(MICRO!AP:AP,O:O,MICRO!T:T)</f>
        <v>0</v>
      </c>
      <c r="J95" s="59">
        <f t="shared" ca="1" si="5"/>
        <v>0</v>
      </c>
      <c r="K95" s="1">
        <f ca="1">SUMIF(MICRO!AP:AP,O:O,MICRO!X:X)</f>
        <v>0</v>
      </c>
      <c r="L95" s="59" t="str">
        <f t="shared" ca="1" si="6"/>
        <v>0%</v>
      </c>
      <c r="M95" s="1">
        <f t="shared" ca="1" si="7"/>
        <v>0</v>
      </c>
      <c r="N95" s="56" t="e">
        <f t="shared" ca="1" si="8"/>
        <v>#N/A</v>
      </c>
      <c r="O95" s="56" t="e">
        <f t="shared" ca="1" si="9"/>
        <v>#N/A</v>
      </c>
      <c r="P95" s="2">
        <f ca="1">SUMIF(MICRO!AP:AP,O95,MICRO!AS:AS)</f>
        <v>0</v>
      </c>
      <c r="Q95" s="2">
        <f ca="1">SUMIF(MICRO!AP:AP,O95,MICRO!AT:AT)</f>
        <v>0</v>
      </c>
      <c r="R95" s="2">
        <f ca="1"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 ca="1">VLOOKUP(Tabela2[[#This Row],[TAG]],MICRO!J:L,3,0)</f>
        <v>#N/A</v>
      </c>
      <c r="F96" s="44" t="s">
        <v>23</v>
      </c>
      <c r="G96" s="58">
        <f ca="1">SUMIF(MICRO!AP:AP,O:O,MICRO!H:H)</f>
        <v>0</v>
      </c>
      <c r="H96" s="1">
        <f ca="1">SUMIF(MICRO!AP:AP,O:O,MICRO!R:R)</f>
        <v>0</v>
      </c>
      <c r="I96" s="1">
        <f ca="1">SUMIF(MICRO!AP:AP,O:O,MICRO!T:T)</f>
        <v>0</v>
      </c>
      <c r="J96" s="59">
        <f t="shared" ca="1" si="5"/>
        <v>0</v>
      </c>
      <c r="K96" s="1">
        <f ca="1">SUMIF(MICRO!AP:AP,O:O,MICRO!X:X)</f>
        <v>0</v>
      </c>
      <c r="L96" s="59" t="str">
        <f t="shared" ca="1" si="6"/>
        <v>0%</v>
      </c>
      <c r="M96" s="1">
        <f t="shared" ca="1" si="7"/>
        <v>0</v>
      </c>
      <c r="N96" s="56" t="e">
        <f t="shared" ca="1" si="8"/>
        <v>#N/A</v>
      </c>
      <c r="O96" s="56" t="e">
        <f t="shared" ca="1" si="9"/>
        <v>#N/A</v>
      </c>
      <c r="P96" s="2">
        <f ca="1">SUMIF(MICRO!AP:AP,O96,MICRO!AS:AS)</f>
        <v>0</v>
      </c>
      <c r="Q96" s="2">
        <f ca="1">SUMIF(MICRO!AP:AP,O96,MICRO!AT:AT)</f>
        <v>0</v>
      </c>
      <c r="R96" s="2">
        <f ca="1"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 ca="1">VLOOKUP(Tabela2[[#This Row],[TAG]],MICRO!J:L,3,0)</f>
        <v>#N/A</v>
      </c>
      <c r="F97" s="44" t="s">
        <v>22</v>
      </c>
      <c r="G97" s="58">
        <f ca="1">SUMIF(MICRO!AP:AP,O:O,MICRO!H:H)</f>
        <v>0</v>
      </c>
      <c r="H97" s="1">
        <f ca="1">SUMIF(MICRO!AP:AP,O:O,MICRO!R:R)</f>
        <v>0</v>
      </c>
      <c r="I97" s="1">
        <f ca="1">SUMIF(MICRO!AP:AP,O:O,MICRO!T:T)</f>
        <v>0</v>
      </c>
      <c r="J97" s="59">
        <f t="shared" ca="1" si="5"/>
        <v>0</v>
      </c>
      <c r="K97" s="1">
        <f ca="1">SUMIF(MICRO!AP:AP,O:O,MICRO!X:X)</f>
        <v>0</v>
      </c>
      <c r="L97" s="59" t="str">
        <f t="shared" ca="1" si="6"/>
        <v>0%</v>
      </c>
      <c r="M97" s="1">
        <f t="shared" ca="1" si="7"/>
        <v>0</v>
      </c>
      <c r="N97" s="56" t="e">
        <f t="shared" ca="1" si="8"/>
        <v>#N/A</v>
      </c>
      <c r="O97" s="56" t="e">
        <f t="shared" ca="1" si="9"/>
        <v>#N/A</v>
      </c>
      <c r="P97" s="2">
        <f ca="1">SUMIF(MICRO!AP:AP,O97,MICRO!AS:AS)</f>
        <v>0</v>
      </c>
      <c r="Q97" s="2">
        <f ca="1">SUMIF(MICRO!AP:AP,O97,MICRO!AT:AT)</f>
        <v>0</v>
      </c>
      <c r="R97" s="2">
        <f ca="1"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 ca="1">VLOOKUP(Tabela2[[#This Row],[TAG]],MICRO!J:L,3,0)</f>
        <v>#N/A</v>
      </c>
      <c r="F98" s="44" t="s">
        <v>31</v>
      </c>
      <c r="G98" s="58">
        <f ca="1">SUMIF(MICRO!AP:AP,O:O,MICRO!H:H)</f>
        <v>0</v>
      </c>
      <c r="H98" s="1">
        <f ca="1">SUMIF(MICRO!AP:AP,O:O,MICRO!R:R)</f>
        <v>0</v>
      </c>
      <c r="I98" s="1">
        <f ca="1">SUMIF(MICRO!AP:AP,O:O,MICRO!T:T)</f>
        <v>0</v>
      </c>
      <c r="J98" s="59">
        <f t="shared" ca="1" si="5"/>
        <v>0</v>
      </c>
      <c r="K98" s="1">
        <f ca="1">SUMIF(MICRO!AP:AP,O:O,MICRO!X:X)</f>
        <v>0</v>
      </c>
      <c r="L98" s="59" t="str">
        <f t="shared" ca="1" si="6"/>
        <v>0%</v>
      </c>
      <c r="M98" s="1">
        <f t="shared" ca="1" si="7"/>
        <v>0</v>
      </c>
      <c r="N98" s="56" t="e">
        <f t="shared" ca="1" si="8"/>
        <v>#N/A</v>
      </c>
      <c r="O98" s="56" t="e">
        <f t="shared" ca="1" si="9"/>
        <v>#N/A</v>
      </c>
      <c r="P98" s="2">
        <f ca="1">SUMIF(MICRO!AP:AP,O98,MICRO!AS:AS)</f>
        <v>0</v>
      </c>
      <c r="Q98" s="2">
        <f ca="1">SUMIF(MICRO!AP:AP,O98,MICRO!AT:AT)</f>
        <v>0</v>
      </c>
      <c r="R98" s="2">
        <f ca="1"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 ca="1">VLOOKUP(Tabela2[[#This Row],[TAG]],MICRO!J:L,3,0)</f>
        <v>#N/A</v>
      </c>
      <c r="F99" s="44" t="s">
        <v>22</v>
      </c>
      <c r="G99" s="58">
        <f ca="1">SUMIF(MICRO!AP:AP,O:O,MICRO!H:H)</f>
        <v>0</v>
      </c>
      <c r="H99" s="1">
        <f ca="1">SUMIF(MICRO!AP:AP,O:O,MICRO!R:R)</f>
        <v>0</v>
      </c>
      <c r="I99" s="1">
        <f ca="1">SUMIF(MICRO!AP:AP,O:O,MICRO!T:T)</f>
        <v>0</v>
      </c>
      <c r="J99" s="59">
        <f t="shared" ca="1" si="5"/>
        <v>0</v>
      </c>
      <c r="K99" s="1">
        <f ca="1">SUMIF(MICRO!AP:AP,O:O,MICRO!X:X)</f>
        <v>0</v>
      </c>
      <c r="L99" s="59" t="str">
        <f t="shared" ca="1" si="6"/>
        <v>0%</v>
      </c>
      <c r="M99" s="1">
        <f t="shared" ca="1" si="7"/>
        <v>0</v>
      </c>
      <c r="N99" s="56" t="e">
        <f t="shared" ca="1" si="8"/>
        <v>#N/A</v>
      </c>
      <c r="O99" s="56" t="e">
        <f t="shared" ca="1" si="9"/>
        <v>#N/A</v>
      </c>
      <c r="P99" s="2">
        <f ca="1">SUMIF(MICRO!AP:AP,O99,MICRO!AS:AS)</f>
        <v>0</v>
      </c>
      <c r="Q99" s="2">
        <f ca="1">SUMIF(MICRO!AP:AP,O99,MICRO!AT:AT)</f>
        <v>0</v>
      </c>
      <c r="R99" s="2">
        <f ca="1"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 ca="1">VLOOKUP(Tabela2[[#This Row],[TAG]],MICRO!J:L,3,0)</f>
        <v>#N/A</v>
      </c>
      <c r="F100" s="44" t="s">
        <v>33</v>
      </c>
      <c r="G100" s="58">
        <f ca="1">SUMIF(MICRO!AP:AP,O:O,MICRO!H:H)</f>
        <v>0</v>
      </c>
      <c r="H100" s="1">
        <f ca="1">SUMIF(MICRO!AP:AP,O:O,MICRO!R:R)</f>
        <v>0</v>
      </c>
      <c r="I100" s="1">
        <f ca="1">SUMIF(MICRO!AP:AP,O:O,MICRO!T:T)</f>
        <v>0</v>
      </c>
      <c r="J100" s="59">
        <f t="shared" ca="1" si="5"/>
        <v>0</v>
      </c>
      <c r="K100" s="1">
        <f ca="1">SUMIF(MICRO!AP:AP,O:O,MICRO!X:X)</f>
        <v>0</v>
      </c>
      <c r="L100" s="59" t="str">
        <f t="shared" ca="1" si="6"/>
        <v>0%</v>
      </c>
      <c r="M100" s="1">
        <f t="shared" ca="1" si="7"/>
        <v>0</v>
      </c>
      <c r="N100" s="56" t="e">
        <f t="shared" ca="1" si="8"/>
        <v>#N/A</v>
      </c>
      <c r="O100" s="56" t="e">
        <f t="shared" ca="1" si="9"/>
        <v>#N/A</v>
      </c>
      <c r="P100" s="2">
        <f ca="1">SUMIF(MICRO!AP:AP,O100,MICRO!AS:AS)</f>
        <v>0</v>
      </c>
      <c r="Q100" s="2">
        <f ca="1">SUMIF(MICRO!AP:AP,O100,MICRO!AT:AT)</f>
        <v>0</v>
      </c>
      <c r="R100" s="2">
        <f ca="1"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 ca="1">VLOOKUP(Tabela2[[#This Row],[TAG]],MICRO!J:L,3,0)</f>
        <v>#N/A</v>
      </c>
      <c r="F101" s="44" t="s">
        <v>23</v>
      </c>
      <c r="G101" s="58">
        <f ca="1">SUMIF(MICRO!AP:AP,O:O,MICRO!H:H)</f>
        <v>0</v>
      </c>
      <c r="H101" s="1">
        <f ca="1">SUMIF(MICRO!AP:AP,O:O,MICRO!R:R)</f>
        <v>0</v>
      </c>
      <c r="I101" s="1">
        <f ca="1">SUMIF(MICRO!AP:AP,O:O,MICRO!T:T)</f>
        <v>0</v>
      </c>
      <c r="J101" s="59">
        <f t="shared" ca="1" si="5"/>
        <v>0</v>
      </c>
      <c r="K101" s="1">
        <f ca="1">SUMIF(MICRO!AP:AP,O:O,MICRO!X:X)</f>
        <v>0</v>
      </c>
      <c r="L101" s="59" t="str">
        <f t="shared" ca="1" si="6"/>
        <v>0%</v>
      </c>
      <c r="M101" s="1">
        <f t="shared" ca="1" si="7"/>
        <v>0</v>
      </c>
      <c r="N101" s="56" t="e">
        <f t="shared" ca="1" si="8"/>
        <v>#N/A</v>
      </c>
      <c r="O101" s="56" t="e">
        <f t="shared" ca="1" si="9"/>
        <v>#N/A</v>
      </c>
      <c r="P101" s="2">
        <f ca="1">SUMIF(MICRO!AP:AP,O101,MICRO!AS:AS)</f>
        <v>0</v>
      </c>
      <c r="Q101" s="2">
        <f ca="1">SUMIF(MICRO!AP:AP,O101,MICRO!AT:AT)</f>
        <v>0</v>
      </c>
      <c r="R101" s="2">
        <f ca="1"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 ca="1">VLOOKUP(Tabela2[[#This Row],[TAG]],MICRO!J:L,3,0)</f>
        <v>#N/A</v>
      </c>
      <c r="F102" s="44" t="s">
        <v>22</v>
      </c>
      <c r="G102" s="58">
        <f ca="1">SUMIF(MICRO!AP:AP,O:O,MICRO!H:H)</f>
        <v>0</v>
      </c>
      <c r="H102" s="1">
        <f ca="1">SUMIF(MICRO!AP:AP,O:O,MICRO!R:R)</f>
        <v>0</v>
      </c>
      <c r="I102" s="1">
        <f ca="1">SUMIF(MICRO!AP:AP,O:O,MICRO!T:T)</f>
        <v>0</v>
      </c>
      <c r="J102" s="59">
        <f t="shared" ca="1" si="5"/>
        <v>0</v>
      </c>
      <c r="K102" s="1">
        <f ca="1">SUMIF(MICRO!AP:AP,O:O,MICRO!X:X)</f>
        <v>0</v>
      </c>
      <c r="L102" s="59" t="str">
        <f t="shared" ca="1" si="6"/>
        <v>0%</v>
      </c>
      <c r="M102" s="1">
        <f t="shared" ca="1" si="7"/>
        <v>0</v>
      </c>
      <c r="N102" s="56" t="e">
        <f t="shared" ca="1" si="8"/>
        <v>#N/A</v>
      </c>
      <c r="O102" s="56" t="e">
        <f t="shared" ca="1" si="9"/>
        <v>#N/A</v>
      </c>
      <c r="P102" s="2">
        <f ca="1">SUMIF(MICRO!AP:AP,O102,MICRO!AS:AS)</f>
        <v>0</v>
      </c>
      <c r="Q102" s="2">
        <f ca="1">SUMIF(MICRO!AP:AP,O102,MICRO!AT:AT)</f>
        <v>0</v>
      </c>
      <c r="R102" s="2">
        <f ca="1"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 ca="1">VLOOKUP(Tabela2[[#This Row],[TAG]],MICRO!J:L,3,0)</f>
        <v>#N/A</v>
      </c>
      <c r="F103" s="44" t="s">
        <v>22</v>
      </c>
      <c r="G103" s="58">
        <f ca="1">SUMIF(MICRO!AP:AP,O:O,MICRO!H:H)</f>
        <v>0</v>
      </c>
      <c r="H103" s="1">
        <f ca="1">SUMIF(MICRO!AP:AP,O:O,MICRO!R:R)</f>
        <v>0</v>
      </c>
      <c r="I103" s="1">
        <f ca="1">SUMIF(MICRO!AP:AP,O:O,MICRO!T:T)</f>
        <v>0</v>
      </c>
      <c r="J103" s="59">
        <f t="shared" ca="1" si="5"/>
        <v>0</v>
      </c>
      <c r="K103" s="1">
        <f ca="1">SUMIF(MICRO!AP:AP,O:O,MICRO!X:X)</f>
        <v>0</v>
      </c>
      <c r="L103" s="59" t="str">
        <f t="shared" ca="1" si="6"/>
        <v>0%</v>
      </c>
      <c r="M103" s="1">
        <f t="shared" ca="1" si="7"/>
        <v>0</v>
      </c>
      <c r="N103" s="56" t="e">
        <f t="shared" ca="1" si="8"/>
        <v>#N/A</v>
      </c>
      <c r="O103" s="56" t="e">
        <f t="shared" ca="1" si="9"/>
        <v>#N/A</v>
      </c>
      <c r="P103" s="2">
        <f ca="1">SUMIF(MICRO!AP:AP,O103,MICRO!AS:AS)</f>
        <v>0</v>
      </c>
      <c r="Q103" s="2">
        <f ca="1">SUMIF(MICRO!AP:AP,O103,MICRO!AT:AT)</f>
        <v>0</v>
      </c>
      <c r="R103" s="2">
        <f ca="1"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 ca="1">VLOOKUP(Tabela2[[#This Row],[TAG]],MICRO!J:L,3,0)</f>
        <v>#N/A</v>
      </c>
      <c r="F104" s="44" t="s">
        <v>31</v>
      </c>
      <c r="G104" s="58">
        <f ca="1">SUMIF(MICRO!AP:AP,O:O,MICRO!H:H)</f>
        <v>0</v>
      </c>
      <c r="H104" s="1">
        <f ca="1">SUMIF(MICRO!AP:AP,O:O,MICRO!R:R)</f>
        <v>0</v>
      </c>
      <c r="I104" s="1">
        <f ca="1">SUMIF(MICRO!AP:AP,O:O,MICRO!T:T)</f>
        <v>0</v>
      </c>
      <c r="J104" s="59">
        <f t="shared" ca="1" si="5"/>
        <v>0</v>
      </c>
      <c r="K104" s="1">
        <f ca="1">SUMIF(MICRO!AP:AP,O:O,MICRO!X:X)</f>
        <v>0</v>
      </c>
      <c r="L104" s="59" t="str">
        <f t="shared" ca="1" si="6"/>
        <v>0%</v>
      </c>
      <c r="M104" s="1">
        <f t="shared" ca="1" si="7"/>
        <v>0</v>
      </c>
      <c r="N104" s="56" t="e">
        <f t="shared" ca="1" si="8"/>
        <v>#N/A</v>
      </c>
      <c r="O104" s="56" t="e">
        <f t="shared" ca="1" si="9"/>
        <v>#N/A</v>
      </c>
      <c r="P104" s="2">
        <f ca="1">SUMIF(MICRO!AP:AP,O104,MICRO!AS:AS)</f>
        <v>0</v>
      </c>
      <c r="Q104" s="2">
        <f ca="1">SUMIF(MICRO!AP:AP,O104,MICRO!AT:AT)</f>
        <v>0</v>
      </c>
      <c r="R104" s="2">
        <f ca="1"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 ca="1">VLOOKUP(Tabela2[[#This Row],[TAG]],MICRO!J:L,3,0)</f>
        <v>#N/A</v>
      </c>
      <c r="F105" s="44" t="s">
        <v>33</v>
      </c>
      <c r="G105" s="58">
        <f ca="1">SUMIF(MICRO!AP:AP,O:O,MICRO!H:H)</f>
        <v>0</v>
      </c>
      <c r="H105" s="1">
        <f ca="1">SUMIF(MICRO!AP:AP,O:O,MICRO!R:R)</f>
        <v>0</v>
      </c>
      <c r="I105" s="1">
        <f ca="1">SUMIF(MICRO!AP:AP,O:O,MICRO!T:T)</f>
        <v>0</v>
      </c>
      <c r="J105" s="59">
        <f t="shared" ca="1" si="5"/>
        <v>0</v>
      </c>
      <c r="K105" s="1">
        <f ca="1">SUMIF(MICRO!AP:AP,O:O,MICRO!X:X)</f>
        <v>0</v>
      </c>
      <c r="L105" s="59" t="str">
        <f t="shared" ca="1" si="6"/>
        <v>0%</v>
      </c>
      <c r="M105" s="1">
        <f t="shared" ca="1" si="7"/>
        <v>0</v>
      </c>
      <c r="N105" s="56" t="e">
        <f t="shared" ca="1" si="8"/>
        <v>#N/A</v>
      </c>
      <c r="O105" s="56" t="e">
        <f t="shared" ca="1" si="9"/>
        <v>#N/A</v>
      </c>
      <c r="P105" s="2">
        <f ca="1">SUMIF(MICRO!AP:AP,O105,MICRO!AS:AS)</f>
        <v>0</v>
      </c>
      <c r="Q105" s="2">
        <f ca="1">SUMIF(MICRO!AP:AP,O105,MICRO!AT:AT)</f>
        <v>0</v>
      </c>
      <c r="R105" s="2">
        <f ca="1"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 ca="1">VLOOKUP(Tabela2[[#This Row],[TAG]],MICRO!J:L,3,0)</f>
        <v>#N/A</v>
      </c>
      <c r="F106" s="44" t="s">
        <v>33</v>
      </c>
      <c r="G106" s="58">
        <f ca="1">SUMIF(MICRO!AP:AP,O:O,MICRO!H:H)</f>
        <v>0</v>
      </c>
      <c r="H106" s="1">
        <f ca="1">SUMIF(MICRO!AP:AP,O:O,MICRO!R:R)</f>
        <v>0</v>
      </c>
      <c r="I106" s="1">
        <f ca="1">SUMIF(MICRO!AP:AP,O:O,MICRO!T:T)</f>
        <v>0</v>
      </c>
      <c r="J106" s="59">
        <f t="shared" ca="1" si="5"/>
        <v>0</v>
      </c>
      <c r="K106" s="1">
        <f ca="1">SUMIF(MICRO!AP:AP,O:O,MICRO!X:X)</f>
        <v>0</v>
      </c>
      <c r="L106" s="59" t="str">
        <f t="shared" ca="1" si="6"/>
        <v>0%</v>
      </c>
      <c r="M106" s="1">
        <f t="shared" ca="1" si="7"/>
        <v>0</v>
      </c>
      <c r="N106" s="56" t="e">
        <f t="shared" ca="1" si="8"/>
        <v>#N/A</v>
      </c>
      <c r="O106" s="56" t="e">
        <f t="shared" ca="1" si="9"/>
        <v>#N/A</v>
      </c>
      <c r="P106" s="2">
        <f ca="1">SUMIF(MICRO!AP:AP,O106,MICRO!AS:AS)</f>
        <v>0</v>
      </c>
      <c r="Q106" s="2">
        <f ca="1">SUMIF(MICRO!AP:AP,O106,MICRO!AT:AT)</f>
        <v>0</v>
      </c>
      <c r="R106" s="2">
        <f ca="1"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 ca="1">VLOOKUP(Tabela2[[#This Row],[TAG]],MICRO!J:L,3,0)</f>
        <v>#N/A</v>
      </c>
      <c r="F107" s="44" t="s">
        <v>31</v>
      </c>
      <c r="G107" s="58">
        <f ca="1">SUMIF(MICRO!AP:AP,O:O,MICRO!H:H)</f>
        <v>0</v>
      </c>
      <c r="H107" s="1">
        <f ca="1">SUMIF(MICRO!AP:AP,O:O,MICRO!R:R)</f>
        <v>0</v>
      </c>
      <c r="I107" s="1">
        <f ca="1">SUMIF(MICRO!AP:AP,O:O,MICRO!T:T)</f>
        <v>0</v>
      </c>
      <c r="J107" s="59">
        <f t="shared" ca="1" si="5"/>
        <v>0</v>
      </c>
      <c r="K107" s="1">
        <f ca="1">SUMIF(MICRO!AP:AP,O:O,MICRO!X:X)</f>
        <v>0</v>
      </c>
      <c r="L107" s="59" t="str">
        <f t="shared" ca="1" si="6"/>
        <v>0%</v>
      </c>
      <c r="M107" s="1">
        <f t="shared" ca="1" si="7"/>
        <v>0</v>
      </c>
      <c r="N107" s="56" t="e">
        <f t="shared" ca="1" si="8"/>
        <v>#N/A</v>
      </c>
      <c r="O107" s="56" t="e">
        <f t="shared" ca="1" si="9"/>
        <v>#N/A</v>
      </c>
      <c r="P107" s="2">
        <f ca="1">SUMIF(MICRO!AP:AP,O107,MICRO!AS:AS)</f>
        <v>0</v>
      </c>
      <c r="Q107" s="2">
        <f ca="1">SUMIF(MICRO!AP:AP,O107,MICRO!AT:AT)</f>
        <v>0</v>
      </c>
      <c r="R107" s="2">
        <f ca="1"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 ca="1">VLOOKUP(Tabela2[[#This Row],[TAG]],MICRO!J:L,3,0)</f>
        <v>#N/A</v>
      </c>
      <c r="F108" s="44" t="s">
        <v>33</v>
      </c>
      <c r="G108" s="58">
        <f ca="1">SUMIF(MICRO!AP:AP,O:O,MICRO!H:H)</f>
        <v>0</v>
      </c>
      <c r="H108" s="1">
        <f ca="1">SUMIF(MICRO!AP:AP,O:O,MICRO!R:R)</f>
        <v>0</v>
      </c>
      <c r="I108" s="1">
        <f ca="1">SUMIF(MICRO!AP:AP,O:O,MICRO!T:T)</f>
        <v>0</v>
      </c>
      <c r="J108" s="59">
        <f t="shared" ca="1" si="5"/>
        <v>0</v>
      </c>
      <c r="K108" s="1">
        <f ca="1">SUMIF(MICRO!AP:AP,O:O,MICRO!X:X)</f>
        <v>0</v>
      </c>
      <c r="L108" s="59" t="str">
        <f t="shared" ca="1" si="6"/>
        <v>0%</v>
      </c>
      <c r="M108" s="1">
        <f t="shared" ca="1" si="7"/>
        <v>0</v>
      </c>
      <c r="N108" s="56" t="e">
        <f t="shared" ca="1" si="8"/>
        <v>#N/A</v>
      </c>
      <c r="O108" s="56" t="e">
        <f t="shared" ca="1" si="9"/>
        <v>#N/A</v>
      </c>
      <c r="P108" s="2">
        <f ca="1">SUMIF(MICRO!AP:AP,O108,MICRO!AS:AS)</f>
        <v>0</v>
      </c>
      <c r="Q108" s="2">
        <f ca="1">SUMIF(MICRO!AP:AP,O108,MICRO!AT:AT)</f>
        <v>0</v>
      </c>
      <c r="R108" s="2">
        <f ca="1"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 ca="1">VLOOKUP(Tabela2[[#This Row],[TAG]],MICRO!J:L,3,0)</f>
        <v>#N/A</v>
      </c>
      <c r="F109" s="44" t="s">
        <v>23</v>
      </c>
      <c r="G109" s="58">
        <f ca="1">SUMIF(MICRO!AP:AP,O:O,MICRO!H:H)</f>
        <v>0</v>
      </c>
      <c r="H109" s="1">
        <f ca="1">SUMIF(MICRO!AP:AP,O:O,MICRO!R:R)</f>
        <v>0</v>
      </c>
      <c r="I109" s="1">
        <f ca="1">SUMIF(MICRO!AP:AP,O:O,MICRO!T:T)</f>
        <v>0</v>
      </c>
      <c r="J109" s="59">
        <f t="shared" ca="1" si="5"/>
        <v>0</v>
      </c>
      <c r="K109" s="1">
        <f ca="1">SUMIF(MICRO!AP:AP,O:O,MICRO!X:X)</f>
        <v>0</v>
      </c>
      <c r="L109" s="59" t="str">
        <f t="shared" ca="1" si="6"/>
        <v>0%</v>
      </c>
      <c r="M109" s="1">
        <f t="shared" ca="1" si="7"/>
        <v>0</v>
      </c>
      <c r="N109" s="56" t="e">
        <f t="shared" ca="1" si="8"/>
        <v>#N/A</v>
      </c>
      <c r="O109" s="56" t="e">
        <f t="shared" ca="1" si="9"/>
        <v>#N/A</v>
      </c>
      <c r="P109" s="2">
        <f ca="1">SUMIF(MICRO!AP:AP,O109,MICRO!AS:AS)</f>
        <v>0</v>
      </c>
      <c r="Q109" s="2">
        <f ca="1">SUMIF(MICRO!AP:AP,O109,MICRO!AT:AT)</f>
        <v>0</v>
      </c>
      <c r="R109" s="2">
        <f ca="1"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 ca="1">VLOOKUP(Tabela2[[#This Row],[TAG]],MICRO!J:L,3,0)</f>
        <v>#N/A</v>
      </c>
      <c r="F110" s="44" t="s">
        <v>33</v>
      </c>
      <c r="G110" s="58">
        <f ca="1">SUMIF(MICRO!AP:AP,O:O,MICRO!H:H)</f>
        <v>0</v>
      </c>
      <c r="H110" s="1">
        <f ca="1">SUMIF(MICRO!AP:AP,O:O,MICRO!R:R)</f>
        <v>0</v>
      </c>
      <c r="I110" s="1">
        <f ca="1">SUMIF(MICRO!AP:AP,O:O,MICRO!T:T)</f>
        <v>0</v>
      </c>
      <c r="J110" s="59">
        <f t="shared" ca="1" si="5"/>
        <v>0</v>
      </c>
      <c r="K110" s="1">
        <f ca="1">SUMIF(MICRO!AP:AP,O:O,MICRO!X:X)</f>
        <v>0</v>
      </c>
      <c r="L110" s="59" t="str">
        <f t="shared" ca="1" si="6"/>
        <v>0%</v>
      </c>
      <c r="M110" s="1">
        <f t="shared" ca="1" si="7"/>
        <v>0</v>
      </c>
      <c r="N110" s="56" t="e">
        <f t="shared" ca="1" si="8"/>
        <v>#N/A</v>
      </c>
      <c r="O110" s="56" t="e">
        <f t="shared" ca="1" si="9"/>
        <v>#N/A</v>
      </c>
      <c r="P110" s="2">
        <f ca="1">SUMIF(MICRO!AP:AP,O110,MICRO!AS:AS)</f>
        <v>0</v>
      </c>
      <c r="Q110" s="2">
        <f ca="1">SUMIF(MICRO!AP:AP,O110,MICRO!AT:AT)</f>
        <v>0</v>
      </c>
      <c r="R110" s="2">
        <f ca="1"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 ca="1">VLOOKUP(Tabela2[[#This Row],[TAG]],MICRO!J:L,3,0)</f>
        <v>#N/A</v>
      </c>
      <c r="F111" s="44" t="s">
        <v>31</v>
      </c>
      <c r="G111" s="58">
        <f ca="1">SUMIF(MICRO!AP:AP,O:O,MICRO!H:H)</f>
        <v>0</v>
      </c>
      <c r="H111" s="1">
        <f ca="1">SUMIF(MICRO!AP:AP,O:O,MICRO!R:R)</f>
        <v>0</v>
      </c>
      <c r="I111" s="1">
        <f ca="1">SUMIF(MICRO!AP:AP,O:O,MICRO!T:T)</f>
        <v>0</v>
      </c>
      <c r="J111" s="59">
        <f t="shared" ca="1" si="5"/>
        <v>0</v>
      </c>
      <c r="K111" s="1">
        <f ca="1">SUMIF(MICRO!AP:AP,O:O,MICRO!X:X)</f>
        <v>0</v>
      </c>
      <c r="L111" s="59" t="str">
        <f t="shared" ca="1" si="6"/>
        <v>0%</v>
      </c>
      <c r="M111" s="1">
        <f t="shared" ca="1" si="7"/>
        <v>0</v>
      </c>
      <c r="N111" s="56" t="e">
        <f t="shared" ca="1" si="8"/>
        <v>#N/A</v>
      </c>
      <c r="O111" s="56" t="e">
        <f t="shared" ca="1" si="9"/>
        <v>#N/A</v>
      </c>
      <c r="P111" s="2">
        <f ca="1">SUMIF(MICRO!AP:AP,O111,MICRO!AS:AS)</f>
        <v>0</v>
      </c>
      <c r="Q111" s="2">
        <f ca="1">SUMIF(MICRO!AP:AP,O111,MICRO!AT:AT)</f>
        <v>0</v>
      </c>
      <c r="R111" s="2">
        <f ca="1"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 ca="1">VLOOKUP(Tabela2[[#This Row],[TAG]],MICRO!J:L,3,0)</f>
        <v>#N/A</v>
      </c>
      <c r="F112" s="44" t="s">
        <v>31</v>
      </c>
      <c r="G112" s="58">
        <f ca="1">SUMIF(MICRO!AP:AP,O:O,MICRO!H:H)</f>
        <v>0</v>
      </c>
      <c r="H112" s="1">
        <f ca="1">SUMIF(MICRO!AP:AP,O:O,MICRO!R:R)</f>
        <v>0</v>
      </c>
      <c r="I112" s="1">
        <f ca="1">SUMIF(MICRO!AP:AP,O:O,MICRO!T:T)</f>
        <v>0</v>
      </c>
      <c r="J112" s="59">
        <f t="shared" ca="1" si="5"/>
        <v>0</v>
      </c>
      <c r="K112" s="1">
        <f ca="1">SUMIF(MICRO!AP:AP,O:O,MICRO!X:X)</f>
        <v>0</v>
      </c>
      <c r="L112" s="59" t="str">
        <f t="shared" ca="1" si="6"/>
        <v>0%</v>
      </c>
      <c r="M112" s="1">
        <f t="shared" ca="1" si="7"/>
        <v>0</v>
      </c>
      <c r="N112" s="56" t="e">
        <f t="shared" ca="1" si="8"/>
        <v>#N/A</v>
      </c>
      <c r="O112" s="56" t="e">
        <f t="shared" ca="1" si="9"/>
        <v>#N/A</v>
      </c>
      <c r="P112" s="2">
        <f ca="1">SUMIF(MICRO!AP:AP,O112,MICRO!AS:AS)</f>
        <v>0</v>
      </c>
      <c r="Q112" s="2">
        <f ca="1">SUMIF(MICRO!AP:AP,O112,MICRO!AT:AT)</f>
        <v>0</v>
      </c>
      <c r="R112" s="2">
        <f ca="1"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 ca="1">VLOOKUP(Tabela2[[#This Row],[TAG]],MICRO!J:L,3,0)</f>
        <v>#N/A</v>
      </c>
      <c r="F113" s="44" t="s">
        <v>23</v>
      </c>
      <c r="G113" s="58">
        <f ca="1">SUMIF(MICRO!AP:AP,O:O,MICRO!H:H)</f>
        <v>0</v>
      </c>
      <c r="H113" s="1">
        <f ca="1">SUMIF(MICRO!AP:AP,O:O,MICRO!R:R)</f>
        <v>0</v>
      </c>
      <c r="I113" s="1">
        <f ca="1">SUMIF(MICRO!AP:AP,O:O,MICRO!T:T)</f>
        <v>0</v>
      </c>
      <c r="J113" s="59">
        <f t="shared" ca="1" si="5"/>
        <v>0</v>
      </c>
      <c r="K113" s="1">
        <f ca="1">SUMIF(MICRO!AP:AP,O:O,MICRO!X:X)</f>
        <v>0</v>
      </c>
      <c r="L113" s="59" t="str">
        <f t="shared" ca="1" si="6"/>
        <v>0%</v>
      </c>
      <c r="M113" s="1">
        <f t="shared" ca="1" si="7"/>
        <v>0</v>
      </c>
      <c r="N113" s="56" t="e">
        <f t="shared" ca="1" si="8"/>
        <v>#N/A</v>
      </c>
      <c r="O113" s="56" t="e">
        <f t="shared" ca="1" si="9"/>
        <v>#N/A</v>
      </c>
      <c r="P113" s="2">
        <f ca="1">SUMIF(MICRO!AP:AP,O113,MICRO!AS:AS)</f>
        <v>0</v>
      </c>
      <c r="Q113" s="2">
        <f ca="1">SUMIF(MICRO!AP:AP,O113,MICRO!AT:AT)</f>
        <v>0</v>
      </c>
      <c r="R113" s="2">
        <f ca="1"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 ca="1">VLOOKUP(Tabela2[[#This Row],[TAG]],MICRO!J:L,3,0)</f>
        <v>#N/A</v>
      </c>
      <c r="F114" s="44" t="s">
        <v>23</v>
      </c>
      <c r="G114" s="58">
        <f ca="1">SUMIF(MICRO!AP:AP,O:O,MICRO!H:H)</f>
        <v>0</v>
      </c>
      <c r="H114" s="1">
        <f ca="1">SUMIF(MICRO!AP:AP,O:O,MICRO!R:R)</f>
        <v>0</v>
      </c>
      <c r="I114" s="1">
        <f ca="1">SUMIF(MICRO!AP:AP,O:O,MICRO!T:T)</f>
        <v>0</v>
      </c>
      <c r="J114" s="59">
        <f t="shared" ca="1" si="5"/>
        <v>0</v>
      </c>
      <c r="K114" s="1">
        <f ca="1">SUMIF(MICRO!AP:AP,O:O,MICRO!X:X)</f>
        <v>0</v>
      </c>
      <c r="L114" s="59" t="str">
        <f t="shared" ca="1" si="6"/>
        <v>0%</v>
      </c>
      <c r="M114" s="1">
        <f t="shared" ca="1" si="7"/>
        <v>0</v>
      </c>
      <c r="N114" s="56" t="e">
        <f t="shared" ca="1" si="8"/>
        <v>#N/A</v>
      </c>
      <c r="O114" s="56" t="e">
        <f t="shared" ca="1" si="9"/>
        <v>#N/A</v>
      </c>
      <c r="P114" s="2">
        <f ca="1">SUMIF(MICRO!AP:AP,O114,MICRO!AS:AS)</f>
        <v>0</v>
      </c>
      <c r="Q114" s="2">
        <f ca="1">SUMIF(MICRO!AP:AP,O114,MICRO!AT:AT)</f>
        <v>0</v>
      </c>
      <c r="R114" s="2">
        <f ca="1"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 ca="1">VLOOKUP(Tabela2[[#This Row],[TAG]],MICRO!J:L,3,0)</f>
        <v>#N/A</v>
      </c>
      <c r="F115" s="44" t="s">
        <v>22</v>
      </c>
      <c r="G115" s="58">
        <f ca="1">SUMIF(MICRO!AP:AP,O:O,MICRO!H:H)</f>
        <v>0</v>
      </c>
      <c r="H115" s="1">
        <f ca="1">SUMIF(MICRO!AP:AP,O:O,MICRO!R:R)</f>
        <v>0</v>
      </c>
      <c r="I115" s="1">
        <f ca="1">SUMIF(MICRO!AP:AP,O:O,MICRO!T:T)</f>
        <v>0</v>
      </c>
      <c r="J115" s="59">
        <f t="shared" ca="1" si="5"/>
        <v>0</v>
      </c>
      <c r="K115" s="1">
        <f ca="1">SUMIF(MICRO!AP:AP,O:O,MICRO!X:X)</f>
        <v>0</v>
      </c>
      <c r="L115" s="59" t="str">
        <f t="shared" ca="1" si="6"/>
        <v>0%</v>
      </c>
      <c r="M115" s="1">
        <f t="shared" ca="1" si="7"/>
        <v>0</v>
      </c>
      <c r="N115" s="56" t="e">
        <f t="shared" ca="1" si="8"/>
        <v>#N/A</v>
      </c>
      <c r="O115" s="56" t="e">
        <f t="shared" ca="1" si="9"/>
        <v>#N/A</v>
      </c>
      <c r="P115" s="2">
        <f ca="1">SUMIF(MICRO!AP:AP,O115,MICRO!AS:AS)</f>
        <v>0</v>
      </c>
      <c r="Q115" s="2">
        <f ca="1">SUMIF(MICRO!AP:AP,O115,MICRO!AT:AT)</f>
        <v>0</v>
      </c>
      <c r="R115" s="2">
        <f ca="1"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 ca="1">VLOOKUP(Tabela2[[#This Row],[TAG]],MICRO!J:L,3,0)</f>
        <v>#N/A</v>
      </c>
      <c r="F116" s="44" t="s">
        <v>22</v>
      </c>
      <c r="G116" s="58">
        <f ca="1">SUMIF(MICRO!AP:AP,O:O,MICRO!H:H)</f>
        <v>0</v>
      </c>
      <c r="H116" s="1">
        <f ca="1">SUMIF(MICRO!AP:AP,O:O,MICRO!R:R)</f>
        <v>0</v>
      </c>
      <c r="I116" s="1">
        <f ca="1">SUMIF(MICRO!AP:AP,O:O,MICRO!T:T)</f>
        <v>0</v>
      </c>
      <c r="J116" s="59">
        <f t="shared" ca="1" si="5"/>
        <v>0</v>
      </c>
      <c r="K116" s="1">
        <f ca="1">SUMIF(MICRO!AP:AP,O:O,MICRO!X:X)</f>
        <v>0</v>
      </c>
      <c r="L116" s="59" t="str">
        <f t="shared" ca="1" si="6"/>
        <v>0%</v>
      </c>
      <c r="M116" s="1">
        <f t="shared" ca="1" si="7"/>
        <v>0</v>
      </c>
      <c r="N116" s="56" t="e">
        <f t="shared" ca="1" si="8"/>
        <v>#N/A</v>
      </c>
      <c r="O116" s="56" t="e">
        <f t="shared" ca="1" si="9"/>
        <v>#N/A</v>
      </c>
      <c r="P116" s="2">
        <f ca="1">SUMIF(MICRO!AP:AP,O116,MICRO!AS:AS)</f>
        <v>0</v>
      </c>
      <c r="Q116" s="2">
        <f ca="1">SUMIF(MICRO!AP:AP,O116,MICRO!AT:AT)</f>
        <v>0</v>
      </c>
      <c r="R116" s="2">
        <f ca="1"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 ca="1">VLOOKUP(Tabela2[[#This Row],[TAG]],MICRO!J:L,3,0)</f>
        <v>#N/A</v>
      </c>
      <c r="F117" s="44" t="s">
        <v>44</v>
      </c>
      <c r="G117" s="58">
        <f ca="1">SUMIF(MICRO!AP:AP,O:O,MICRO!H:H)</f>
        <v>0</v>
      </c>
      <c r="H117" s="1">
        <f ca="1">SUMIF(MICRO!AP:AP,O:O,MICRO!R:R)</f>
        <v>0</v>
      </c>
      <c r="I117" s="1">
        <f ca="1">SUMIF(MICRO!AP:AP,O:O,MICRO!T:T)</f>
        <v>0</v>
      </c>
      <c r="J117" s="59">
        <f t="shared" ca="1" si="5"/>
        <v>0</v>
      </c>
      <c r="K117" s="1">
        <f ca="1">SUMIF(MICRO!AP:AP,O:O,MICRO!X:X)</f>
        <v>0</v>
      </c>
      <c r="L117" s="59" t="str">
        <f t="shared" ca="1" si="6"/>
        <v>0%</v>
      </c>
      <c r="M117" s="1">
        <f t="shared" ca="1" si="7"/>
        <v>0</v>
      </c>
      <c r="N117" s="56" t="e">
        <f t="shared" ca="1" si="8"/>
        <v>#N/A</v>
      </c>
      <c r="O117" s="56" t="e">
        <f t="shared" ca="1" si="9"/>
        <v>#N/A</v>
      </c>
      <c r="P117" s="2">
        <f ca="1">SUMIF(MICRO!AP:AP,O117,MICRO!AS:AS)</f>
        <v>0</v>
      </c>
      <c r="Q117" s="2">
        <f ca="1">SUMIF(MICRO!AP:AP,O117,MICRO!AT:AT)</f>
        <v>0</v>
      </c>
      <c r="R117" s="2">
        <f ca="1"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 ca="1">VLOOKUP(Tabela2[[#This Row],[TAG]],MICRO!J:L,3,0)</f>
        <v>#N/A</v>
      </c>
      <c r="F118" s="44" t="s">
        <v>44</v>
      </c>
      <c r="G118" s="58">
        <f ca="1">SUMIF(MICRO!AP:AP,O:O,MICRO!H:H)</f>
        <v>0</v>
      </c>
      <c r="H118" s="1">
        <f ca="1">SUMIF(MICRO!AP:AP,O:O,MICRO!R:R)</f>
        <v>0</v>
      </c>
      <c r="I118" s="1">
        <f ca="1">SUMIF(MICRO!AP:AP,O:O,MICRO!T:T)</f>
        <v>0</v>
      </c>
      <c r="J118" s="59">
        <f t="shared" ca="1" si="5"/>
        <v>0</v>
      </c>
      <c r="K118" s="1">
        <f ca="1">SUMIF(MICRO!AP:AP,O:O,MICRO!X:X)</f>
        <v>0</v>
      </c>
      <c r="L118" s="59" t="str">
        <f t="shared" ca="1" si="6"/>
        <v>0%</v>
      </c>
      <c r="M118" s="1">
        <f t="shared" ca="1" si="7"/>
        <v>0</v>
      </c>
      <c r="N118" s="56" t="e">
        <f t="shared" ca="1" si="8"/>
        <v>#N/A</v>
      </c>
      <c r="O118" s="56" t="e">
        <f t="shared" ca="1" si="9"/>
        <v>#N/A</v>
      </c>
      <c r="P118" s="2">
        <f ca="1">SUMIF(MICRO!AP:AP,O118,MICRO!AS:AS)</f>
        <v>0</v>
      </c>
      <c r="Q118" s="2">
        <f ca="1">SUMIF(MICRO!AP:AP,O118,MICRO!AT:AT)</f>
        <v>0</v>
      </c>
      <c r="R118" s="2">
        <f ca="1"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 ca="1">VLOOKUP(Tabela2[[#This Row],[TAG]],MICRO!J:L,3,0)</f>
        <v>#N/A</v>
      </c>
      <c r="F119" s="44" t="s">
        <v>33</v>
      </c>
      <c r="G119" s="58">
        <f ca="1">SUMIF(MICRO!AP:AP,O:O,MICRO!H:H)</f>
        <v>0</v>
      </c>
      <c r="H119" s="1">
        <f ca="1">SUMIF(MICRO!AP:AP,O:O,MICRO!R:R)</f>
        <v>0</v>
      </c>
      <c r="I119" s="1">
        <f ca="1">SUMIF(MICRO!AP:AP,O:O,MICRO!T:T)</f>
        <v>0</v>
      </c>
      <c r="J119" s="59">
        <f t="shared" ca="1" si="5"/>
        <v>0</v>
      </c>
      <c r="K119" s="1">
        <f ca="1">SUMIF(MICRO!AP:AP,O:O,MICRO!X:X)</f>
        <v>0</v>
      </c>
      <c r="L119" s="59" t="str">
        <f t="shared" ca="1" si="6"/>
        <v>0%</v>
      </c>
      <c r="M119" s="1">
        <f t="shared" ca="1" si="7"/>
        <v>0</v>
      </c>
      <c r="N119" s="56" t="e">
        <f t="shared" ca="1" si="8"/>
        <v>#N/A</v>
      </c>
      <c r="O119" s="56" t="e">
        <f t="shared" ca="1" si="9"/>
        <v>#N/A</v>
      </c>
      <c r="P119" s="2">
        <f ca="1">SUMIF(MICRO!AP:AP,O119,MICRO!AS:AS)</f>
        <v>0</v>
      </c>
      <c r="Q119" s="2">
        <f ca="1">SUMIF(MICRO!AP:AP,O119,MICRO!AT:AT)</f>
        <v>0</v>
      </c>
      <c r="R119" s="2">
        <f ca="1"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 ca="1">VLOOKUP(Tabela2[[#This Row],[TAG]],MICRO!J:L,3,0)</f>
        <v>#N/A</v>
      </c>
      <c r="F120" s="44" t="s">
        <v>33</v>
      </c>
      <c r="G120" s="58">
        <f ca="1">SUMIF(MICRO!AP:AP,O:O,MICRO!H:H)</f>
        <v>0</v>
      </c>
      <c r="H120" s="1">
        <f ca="1">SUMIF(MICRO!AP:AP,O:O,MICRO!R:R)</f>
        <v>0</v>
      </c>
      <c r="I120" s="1">
        <f ca="1">SUMIF(MICRO!AP:AP,O:O,MICRO!T:T)</f>
        <v>0</v>
      </c>
      <c r="J120" s="59">
        <f t="shared" ca="1" si="5"/>
        <v>0</v>
      </c>
      <c r="K120" s="1">
        <f ca="1">SUMIF(MICRO!AP:AP,O:O,MICRO!X:X)</f>
        <v>0</v>
      </c>
      <c r="L120" s="59" t="str">
        <f t="shared" ca="1" si="6"/>
        <v>0%</v>
      </c>
      <c r="M120" s="1">
        <f t="shared" ca="1" si="7"/>
        <v>0</v>
      </c>
      <c r="N120" s="56" t="e">
        <f t="shared" ca="1" si="8"/>
        <v>#N/A</v>
      </c>
      <c r="O120" s="56" t="e">
        <f t="shared" ca="1" si="9"/>
        <v>#N/A</v>
      </c>
      <c r="P120" s="2">
        <f ca="1">SUMIF(MICRO!AP:AP,O120,MICRO!AS:AS)</f>
        <v>0</v>
      </c>
      <c r="Q120" s="2">
        <f ca="1">SUMIF(MICRO!AP:AP,O120,MICRO!AT:AT)</f>
        <v>0</v>
      </c>
      <c r="R120" s="2">
        <f ca="1"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 ca="1">VLOOKUP(Tabela2[[#This Row],[TAG]],MICRO!J:L,3,0)</f>
        <v>#N/A</v>
      </c>
      <c r="F121" s="44" t="s">
        <v>31</v>
      </c>
      <c r="G121" s="58">
        <f ca="1">SUMIF(MICRO!AP:AP,O:O,MICRO!H:H)</f>
        <v>0</v>
      </c>
      <c r="H121" s="1">
        <f ca="1">SUMIF(MICRO!AP:AP,O:O,MICRO!R:R)</f>
        <v>0</v>
      </c>
      <c r="I121" s="1">
        <f ca="1">SUMIF(MICRO!AP:AP,O:O,MICRO!T:T)</f>
        <v>0</v>
      </c>
      <c r="J121" s="59">
        <f t="shared" ca="1" si="5"/>
        <v>0</v>
      </c>
      <c r="K121" s="1">
        <f ca="1">SUMIF(MICRO!AP:AP,O:O,MICRO!X:X)</f>
        <v>0</v>
      </c>
      <c r="L121" s="59" t="str">
        <f t="shared" ca="1" si="6"/>
        <v>0%</v>
      </c>
      <c r="M121" s="1">
        <f t="shared" ca="1" si="7"/>
        <v>0</v>
      </c>
      <c r="N121" s="56" t="e">
        <f t="shared" ca="1" si="8"/>
        <v>#N/A</v>
      </c>
      <c r="O121" s="56" t="e">
        <f t="shared" ca="1" si="9"/>
        <v>#N/A</v>
      </c>
      <c r="P121" s="2">
        <f ca="1">SUMIF(MICRO!AP:AP,O121,MICRO!AS:AS)</f>
        <v>0</v>
      </c>
      <c r="Q121" s="2">
        <f ca="1">SUMIF(MICRO!AP:AP,O121,MICRO!AT:AT)</f>
        <v>0</v>
      </c>
      <c r="R121" s="2">
        <f ca="1"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 ca="1">VLOOKUP(Tabela2[[#This Row],[TAG]],MICRO!J:L,3,0)</f>
        <v>#N/A</v>
      </c>
      <c r="F122" s="44" t="s">
        <v>31</v>
      </c>
      <c r="G122" s="58">
        <f ca="1">SUMIF(MICRO!AP:AP,O:O,MICRO!H:H)</f>
        <v>0</v>
      </c>
      <c r="H122" s="1">
        <f ca="1">SUMIF(MICRO!AP:AP,O:O,MICRO!R:R)</f>
        <v>0</v>
      </c>
      <c r="I122" s="1">
        <f ca="1">SUMIF(MICRO!AP:AP,O:O,MICRO!T:T)</f>
        <v>0</v>
      </c>
      <c r="J122" s="59">
        <f t="shared" ca="1" si="5"/>
        <v>0</v>
      </c>
      <c r="K122" s="1">
        <f ca="1">SUMIF(MICRO!AP:AP,O:O,MICRO!X:X)</f>
        <v>0</v>
      </c>
      <c r="L122" s="59" t="str">
        <f t="shared" ca="1" si="6"/>
        <v>0%</v>
      </c>
      <c r="M122" s="1">
        <f t="shared" ca="1" si="7"/>
        <v>0</v>
      </c>
      <c r="N122" s="56" t="e">
        <f t="shared" ca="1" si="8"/>
        <v>#N/A</v>
      </c>
      <c r="O122" s="56" t="e">
        <f t="shared" ca="1" si="9"/>
        <v>#N/A</v>
      </c>
      <c r="P122" s="2">
        <f ca="1">SUMIF(MICRO!AP:AP,O122,MICRO!AS:AS)</f>
        <v>0</v>
      </c>
      <c r="Q122" s="2">
        <f ca="1">SUMIF(MICRO!AP:AP,O122,MICRO!AT:AT)</f>
        <v>0</v>
      </c>
      <c r="R122" s="2">
        <f ca="1"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 ca="1">VLOOKUP(Tabela2[[#This Row],[TAG]],MICRO!J:L,3,0)</f>
        <v>#N/A</v>
      </c>
      <c r="F123" s="44" t="s">
        <v>23</v>
      </c>
      <c r="G123" s="58">
        <f ca="1">SUMIF(MICRO!AP:AP,O:O,MICRO!H:H)</f>
        <v>0</v>
      </c>
      <c r="H123" s="1">
        <f ca="1">SUMIF(MICRO!AP:AP,O:O,MICRO!R:R)</f>
        <v>0</v>
      </c>
      <c r="I123" s="1">
        <f ca="1">SUMIF(MICRO!AP:AP,O:O,MICRO!T:T)</f>
        <v>0</v>
      </c>
      <c r="J123" s="59">
        <f t="shared" ca="1" si="5"/>
        <v>0</v>
      </c>
      <c r="K123" s="1">
        <f ca="1">SUMIF(MICRO!AP:AP,O:O,MICRO!X:X)</f>
        <v>0</v>
      </c>
      <c r="L123" s="59" t="str">
        <f t="shared" ca="1" si="6"/>
        <v>0%</v>
      </c>
      <c r="M123" s="1">
        <f t="shared" ca="1" si="7"/>
        <v>0</v>
      </c>
      <c r="N123" s="56" t="e">
        <f t="shared" ca="1" si="8"/>
        <v>#N/A</v>
      </c>
      <c r="O123" s="56" t="e">
        <f t="shared" ca="1" si="9"/>
        <v>#N/A</v>
      </c>
      <c r="P123" s="2">
        <f ca="1">SUMIF(MICRO!AP:AP,O123,MICRO!AS:AS)</f>
        <v>0</v>
      </c>
      <c r="Q123" s="2">
        <f ca="1">SUMIF(MICRO!AP:AP,O123,MICRO!AT:AT)</f>
        <v>0</v>
      </c>
      <c r="R123" s="2">
        <f ca="1"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 ca="1">VLOOKUP(Tabela2[[#This Row],[TAG]],MICRO!J:L,3,0)</f>
        <v>#N/A</v>
      </c>
      <c r="F124" s="44" t="s">
        <v>22</v>
      </c>
      <c r="G124" s="58">
        <f ca="1">SUMIF(MICRO!AP:AP,O:O,MICRO!H:H)</f>
        <v>0</v>
      </c>
      <c r="H124" s="1">
        <f ca="1">SUMIF(MICRO!AP:AP,O:O,MICRO!R:R)</f>
        <v>0</v>
      </c>
      <c r="I124" s="1">
        <f ca="1">SUMIF(MICRO!AP:AP,O:O,MICRO!T:T)</f>
        <v>0</v>
      </c>
      <c r="J124" s="59">
        <f t="shared" ca="1" si="5"/>
        <v>0</v>
      </c>
      <c r="K124" s="1">
        <f ca="1">SUMIF(MICRO!AP:AP,O:O,MICRO!X:X)</f>
        <v>0</v>
      </c>
      <c r="L124" s="59" t="str">
        <f t="shared" ca="1" si="6"/>
        <v>0%</v>
      </c>
      <c r="M124" s="1">
        <f t="shared" ca="1" si="7"/>
        <v>0</v>
      </c>
      <c r="N124" s="56" t="e">
        <f t="shared" ca="1" si="8"/>
        <v>#N/A</v>
      </c>
      <c r="O124" s="56" t="e">
        <f t="shared" ca="1" si="9"/>
        <v>#N/A</v>
      </c>
      <c r="P124" s="2">
        <f ca="1">SUMIF(MICRO!AP:AP,O124,MICRO!AS:AS)</f>
        <v>0</v>
      </c>
      <c r="Q124" s="2">
        <f ca="1">SUMIF(MICRO!AP:AP,O124,MICRO!AT:AT)</f>
        <v>0</v>
      </c>
      <c r="R124" s="2">
        <f ca="1"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 ca="1">VLOOKUP(Tabela2[[#This Row],[TAG]],MICRO!J:L,3,0)</f>
        <v>#N/A</v>
      </c>
      <c r="F125" s="44" t="s">
        <v>23</v>
      </c>
      <c r="G125" s="58">
        <f ca="1">SUMIF(MICRO!AP:AP,O:O,MICRO!H:H)</f>
        <v>0</v>
      </c>
      <c r="H125" s="1">
        <f ca="1">SUMIF(MICRO!AP:AP,O:O,MICRO!R:R)</f>
        <v>0</v>
      </c>
      <c r="I125" s="1">
        <f ca="1">SUMIF(MICRO!AP:AP,O:O,MICRO!T:T)</f>
        <v>0</v>
      </c>
      <c r="J125" s="59">
        <f t="shared" ca="1" si="5"/>
        <v>0</v>
      </c>
      <c r="K125" s="1">
        <f ca="1">SUMIF(MICRO!AP:AP,O:O,MICRO!X:X)</f>
        <v>0</v>
      </c>
      <c r="L125" s="59" t="str">
        <f t="shared" ca="1" si="6"/>
        <v>0%</v>
      </c>
      <c r="M125" s="1">
        <f t="shared" ca="1" si="7"/>
        <v>0</v>
      </c>
      <c r="N125" s="56" t="e">
        <f t="shared" ca="1" si="8"/>
        <v>#N/A</v>
      </c>
      <c r="O125" s="56" t="e">
        <f t="shared" ca="1" si="9"/>
        <v>#N/A</v>
      </c>
      <c r="P125" s="2">
        <f ca="1">SUMIF(MICRO!AP:AP,O125,MICRO!AS:AS)</f>
        <v>0</v>
      </c>
      <c r="Q125" s="2">
        <f ca="1">SUMIF(MICRO!AP:AP,O125,MICRO!AT:AT)</f>
        <v>0</v>
      </c>
      <c r="R125" s="2">
        <f ca="1"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 ca="1">VLOOKUP(Tabela2[[#This Row],[TAG]],MICRO!J:L,3,0)</f>
        <v>#N/A</v>
      </c>
      <c r="F126" s="44" t="s">
        <v>22</v>
      </c>
      <c r="G126" s="58">
        <f ca="1">SUMIF(MICRO!AP:AP,O:O,MICRO!H:H)</f>
        <v>0</v>
      </c>
      <c r="H126" s="1">
        <f ca="1">SUMIF(MICRO!AP:AP,O:O,MICRO!R:R)</f>
        <v>0</v>
      </c>
      <c r="I126" s="1">
        <f ca="1">SUMIF(MICRO!AP:AP,O:O,MICRO!T:T)</f>
        <v>0</v>
      </c>
      <c r="J126" s="59">
        <f t="shared" ca="1" si="5"/>
        <v>0</v>
      </c>
      <c r="K126" s="1">
        <f ca="1">SUMIF(MICRO!AP:AP,O:O,MICRO!X:X)</f>
        <v>0</v>
      </c>
      <c r="L126" s="59" t="str">
        <f t="shared" ca="1" si="6"/>
        <v>0%</v>
      </c>
      <c r="M126" s="1">
        <f t="shared" ca="1" si="7"/>
        <v>0</v>
      </c>
      <c r="N126" s="56" t="e">
        <f t="shared" ca="1" si="8"/>
        <v>#N/A</v>
      </c>
      <c r="O126" s="56" t="e">
        <f t="shared" ca="1" si="9"/>
        <v>#N/A</v>
      </c>
      <c r="P126" s="2">
        <f ca="1">SUMIF(MICRO!AP:AP,O126,MICRO!AS:AS)</f>
        <v>0</v>
      </c>
      <c r="Q126" s="2">
        <f ca="1">SUMIF(MICRO!AP:AP,O126,MICRO!AT:AT)</f>
        <v>0</v>
      </c>
      <c r="R126" s="2">
        <f ca="1"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 ca="1">VLOOKUP(Tabela2[[#This Row],[TAG]],MICRO!J:L,3,0)</f>
        <v>#N/A</v>
      </c>
      <c r="F127" s="44" t="s">
        <v>32</v>
      </c>
      <c r="G127" s="58">
        <f ca="1">SUMIF(MICRO!AP:AP,O:O,MICRO!H:H)</f>
        <v>0</v>
      </c>
      <c r="H127" s="1">
        <f ca="1">SUMIF(MICRO!AP:AP,O:O,MICRO!R:R)</f>
        <v>0</v>
      </c>
      <c r="I127" s="1">
        <f ca="1">SUMIF(MICRO!AP:AP,O:O,MICRO!T:T)</f>
        <v>0</v>
      </c>
      <c r="J127" s="59">
        <f t="shared" ca="1" si="5"/>
        <v>0</v>
      </c>
      <c r="K127" s="1">
        <f ca="1">SUMIF(MICRO!AP:AP,O:O,MICRO!X:X)</f>
        <v>0</v>
      </c>
      <c r="L127" s="59" t="str">
        <f t="shared" ca="1" si="6"/>
        <v>0%</v>
      </c>
      <c r="M127" s="1">
        <f t="shared" ca="1" si="7"/>
        <v>0</v>
      </c>
      <c r="N127" s="56" t="e">
        <f t="shared" ca="1" si="8"/>
        <v>#N/A</v>
      </c>
      <c r="O127" s="56" t="e">
        <f t="shared" ca="1" si="9"/>
        <v>#N/A</v>
      </c>
      <c r="P127" s="2">
        <f ca="1">SUMIF(MICRO!AP:AP,O127,MICRO!AS:AS)</f>
        <v>0</v>
      </c>
      <c r="Q127" s="2">
        <f ca="1">SUMIF(MICRO!AP:AP,O127,MICRO!AT:AT)</f>
        <v>0</v>
      </c>
      <c r="R127" s="2">
        <f ca="1"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 ca="1">VLOOKUP(Tabela2[[#This Row],[TAG]],MICRO!J:L,3,0)</f>
        <v>#N/A</v>
      </c>
      <c r="F128" s="44" t="s">
        <v>23</v>
      </c>
      <c r="G128" s="58">
        <f ca="1">SUMIF(MICRO!AP:AP,O:O,MICRO!H:H)</f>
        <v>0</v>
      </c>
      <c r="H128" s="1">
        <f ca="1">SUMIF(MICRO!AP:AP,O:O,MICRO!R:R)</f>
        <v>0</v>
      </c>
      <c r="I128" s="1">
        <f ca="1">SUMIF(MICRO!AP:AP,O:O,MICRO!T:T)</f>
        <v>0</v>
      </c>
      <c r="J128" s="59">
        <f t="shared" ca="1" si="5"/>
        <v>0</v>
      </c>
      <c r="K128" s="1">
        <f ca="1">SUMIF(MICRO!AP:AP,O:O,MICRO!X:X)</f>
        <v>0</v>
      </c>
      <c r="L128" s="59" t="str">
        <f t="shared" ca="1" si="6"/>
        <v>0%</v>
      </c>
      <c r="M128" s="1">
        <f t="shared" ca="1" si="7"/>
        <v>0</v>
      </c>
      <c r="N128" s="56" t="e">
        <f t="shared" ca="1" si="8"/>
        <v>#N/A</v>
      </c>
      <c r="O128" s="56" t="e">
        <f t="shared" ca="1" si="9"/>
        <v>#N/A</v>
      </c>
      <c r="P128" s="2">
        <f ca="1">SUMIF(MICRO!AP:AP,O128,MICRO!AS:AS)</f>
        <v>0</v>
      </c>
      <c r="Q128" s="2">
        <f ca="1">SUMIF(MICRO!AP:AP,O128,MICRO!AT:AT)</f>
        <v>0</v>
      </c>
      <c r="R128" s="2">
        <f ca="1"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 ca="1">VLOOKUP(Tabela2[[#This Row],[TAG]],MICRO!J:L,3,0)</f>
        <v>#N/A</v>
      </c>
      <c r="F129" s="44" t="s">
        <v>22</v>
      </c>
      <c r="G129" s="58">
        <f ca="1">SUMIF(MICRO!AP:AP,O:O,MICRO!H:H)</f>
        <v>0</v>
      </c>
      <c r="H129" s="1">
        <f ca="1">SUMIF(MICRO!AP:AP,O:O,MICRO!R:R)</f>
        <v>0</v>
      </c>
      <c r="I129" s="1">
        <f ca="1">SUMIF(MICRO!AP:AP,O:O,MICRO!T:T)</f>
        <v>0</v>
      </c>
      <c r="J129" s="59">
        <f t="shared" ca="1" si="5"/>
        <v>0</v>
      </c>
      <c r="K129" s="1">
        <f ca="1">SUMIF(MICRO!AP:AP,O:O,MICRO!X:X)</f>
        <v>0</v>
      </c>
      <c r="L129" s="59" t="str">
        <f t="shared" ca="1" si="6"/>
        <v>0%</v>
      </c>
      <c r="M129" s="1">
        <f t="shared" ca="1" si="7"/>
        <v>0</v>
      </c>
      <c r="N129" s="56" t="e">
        <f t="shared" ca="1" si="8"/>
        <v>#N/A</v>
      </c>
      <c r="O129" s="56" t="e">
        <f t="shared" ca="1" si="9"/>
        <v>#N/A</v>
      </c>
      <c r="P129" s="2">
        <f ca="1">SUMIF(MICRO!AP:AP,O129,MICRO!AS:AS)</f>
        <v>0</v>
      </c>
      <c r="Q129" s="2">
        <f ca="1">SUMIF(MICRO!AP:AP,O129,MICRO!AT:AT)</f>
        <v>0</v>
      </c>
      <c r="R129" s="2">
        <f ca="1"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 ca="1">VLOOKUP(Tabela2[[#This Row],[TAG]],MICRO!J:L,3,0)</f>
        <v>#N/A</v>
      </c>
      <c r="F130" s="44" t="s">
        <v>23</v>
      </c>
      <c r="G130" s="58">
        <f ca="1">SUMIF(MICRO!AP:AP,O:O,MICRO!H:H)</f>
        <v>0</v>
      </c>
      <c r="H130" s="1">
        <f ca="1">SUMIF(MICRO!AP:AP,O:O,MICRO!R:R)</f>
        <v>0</v>
      </c>
      <c r="I130" s="1">
        <f ca="1">SUMIF(MICRO!AP:AP,O:O,MICRO!T:T)</f>
        <v>0</v>
      </c>
      <c r="J130" s="59">
        <f t="shared" ca="1" si="5"/>
        <v>0</v>
      </c>
      <c r="K130" s="1">
        <f ca="1">SUMIF(MICRO!AP:AP,O:O,MICRO!X:X)</f>
        <v>0</v>
      </c>
      <c r="L130" s="59" t="str">
        <f t="shared" ca="1" si="6"/>
        <v>0%</v>
      </c>
      <c r="M130" s="1">
        <f t="shared" ca="1" si="7"/>
        <v>0</v>
      </c>
      <c r="N130" s="56" t="e">
        <f t="shared" ca="1" si="8"/>
        <v>#N/A</v>
      </c>
      <c r="O130" s="56" t="e">
        <f t="shared" ca="1" si="9"/>
        <v>#N/A</v>
      </c>
      <c r="P130" s="2">
        <f ca="1">SUMIF(MICRO!AP:AP,O130,MICRO!AS:AS)</f>
        <v>0</v>
      </c>
      <c r="Q130" s="2">
        <f ca="1">SUMIF(MICRO!AP:AP,O130,MICRO!AT:AT)</f>
        <v>0</v>
      </c>
      <c r="R130" s="2">
        <f ca="1"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 ca="1">VLOOKUP(Tabela2[[#This Row],[TAG]],MICRO!J:L,3,0)</f>
        <v>#N/A</v>
      </c>
      <c r="F131" s="44" t="s">
        <v>31</v>
      </c>
      <c r="G131" s="58">
        <f ca="1">SUMIF(MICRO!AP:AP,O:O,MICRO!H:H)</f>
        <v>0</v>
      </c>
      <c r="H131" s="1">
        <f ca="1">SUMIF(MICRO!AP:AP,O:O,MICRO!R:R)</f>
        <v>0</v>
      </c>
      <c r="I131" s="1">
        <f ca="1">SUMIF(MICRO!AP:AP,O:O,MICRO!T:T)</f>
        <v>0</v>
      </c>
      <c r="J131" s="59">
        <f t="shared" ca="1" si="5"/>
        <v>0</v>
      </c>
      <c r="K131" s="1">
        <f ca="1">SUMIF(MICRO!AP:AP,O:O,MICRO!X:X)</f>
        <v>0</v>
      </c>
      <c r="L131" s="59" t="str">
        <f t="shared" ca="1" si="6"/>
        <v>0%</v>
      </c>
      <c r="M131" s="1">
        <f t="shared" ca="1" si="7"/>
        <v>0</v>
      </c>
      <c r="N131" s="56" t="e">
        <f t="shared" ca="1" si="8"/>
        <v>#N/A</v>
      </c>
      <c r="O131" s="56" t="e">
        <f t="shared" ca="1" si="9"/>
        <v>#N/A</v>
      </c>
      <c r="P131" s="2">
        <f ca="1">SUMIF(MICRO!AP:AP,O131,MICRO!AS:AS)</f>
        <v>0</v>
      </c>
      <c r="Q131" s="2">
        <f ca="1">SUMIF(MICRO!AP:AP,O131,MICRO!AT:AT)</f>
        <v>0</v>
      </c>
      <c r="R131" s="2">
        <f ca="1"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 ca="1">VLOOKUP(Tabela2[[#This Row],[TAG]],MICRO!J:L,3,0)</f>
        <v>#N/A</v>
      </c>
      <c r="F132" s="44" t="s">
        <v>33</v>
      </c>
      <c r="G132" s="58">
        <f ca="1">SUMIF(MICRO!AP:AP,O:O,MICRO!H:H)</f>
        <v>0</v>
      </c>
      <c r="H132" s="1">
        <f ca="1">SUMIF(MICRO!AP:AP,O:O,MICRO!R:R)</f>
        <v>0</v>
      </c>
      <c r="I132" s="1">
        <f ca="1">SUMIF(MICRO!AP:AP,O:O,MICRO!T:T)</f>
        <v>0</v>
      </c>
      <c r="J132" s="59">
        <f t="shared" ca="1" si="5"/>
        <v>0</v>
      </c>
      <c r="K132" s="1">
        <f ca="1">SUMIF(MICRO!AP:AP,O:O,MICRO!X:X)</f>
        <v>0</v>
      </c>
      <c r="L132" s="59" t="str">
        <f t="shared" ca="1" si="6"/>
        <v>0%</v>
      </c>
      <c r="M132" s="1">
        <f t="shared" ca="1" si="7"/>
        <v>0</v>
      </c>
      <c r="N132" s="56" t="e">
        <f t="shared" ca="1" si="8"/>
        <v>#N/A</v>
      </c>
      <c r="O132" s="56" t="e">
        <f t="shared" ca="1" si="9"/>
        <v>#N/A</v>
      </c>
      <c r="P132" s="2">
        <f ca="1">SUMIF(MICRO!AP:AP,O132,MICRO!AS:AS)</f>
        <v>0</v>
      </c>
      <c r="Q132" s="2">
        <f ca="1">SUMIF(MICRO!AP:AP,O132,MICRO!AT:AT)</f>
        <v>0</v>
      </c>
      <c r="R132" s="2">
        <f ca="1"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 ca="1">VLOOKUP(Tabela2[[#This Row],[TAG]],MICRO!J:L,3,0)</f>
        <v>#N/A</v>
      </c>
      <c r="F133" s="44" t="s">
        <v>23</v>
      </c>
      <c r="G133" s="58">
        <f ca="1">SUMIF(MICRO!AP:AP,O:O,MICRO!H:H)</f>
        <v>0</v>
      </c>
      <c r="H133" s="1">
        <f ca="1">SUMIF(MICRO!AP:AP,O:O,MICRO!R:R)</f>
        <v>0</v>
      </c>
      <c r="I133" s="1">
        <f ca="1">SUMIF(MICRO!AP:AP,O:O,MICRO!T:T)</f>
        <v>0</v>
      </c>
      <c r="J133" s="59">
        <f t="shared" ref="J133:J183" ca="1" si="10">IF(G133 = 0,0,H133/G133)</f>
        <v>0</v>
      </c>
      <c r="K133" s="1">
        <f ca="1">SUMIF(MICRO!AP:AP,O:O,MICRO!X:X)</f>
        <v>0</v>
      </c>
      <c r="L133" s="59" t="str">
        <f t="shared" ref="L133:L183" ca="1" si="11">IF(G133&lt;&gt;0,SUM(K133/G133*1),"0%")</f>
        <v>0%</v>
      </c>
      <c r="M133" s="1">
        <f t="shared" ref="M133:M183" ca="1" si="12">G133-K133</f>
        <v>0</v>
      </c>
      <c r="N133" s="56" t="e">
        <f t="shared" ref="N133:N183" ca="1" si="13">E133&amp;F133</f>
        <v>#N/A</v>
      </c>
      <c r="O133" s="56" t="e">
        <f t="shared" ref="O133:O183" ca="1" si="14">D133&amp;E133&amp;F133</f>
        <v>#N/A</v>
      </c>
      <c r="P133" s="2">
        <f ca="1">SUMIF(MICRO!AP:AP,O133,MICRO!AS:AS)</f>
        <v>0</v>
      </c>
      <c r="Q133" s="2">
        <f ca="1">SUMIF(MICRO!AP:AP,O133,MICRO!AT:AT)</f>
        <v>0</v>
      </c>
      <c r="R133" s="2">
        <f ca="1"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 ca="1">VLOOKUP(Tabela2[[#This Row],[TAG]],MICRO!J:L,3,0)</f>
        <v>#N/A</v>
      </c>
      <c r="F134" s="44" t="s">
        <v>44</v>
      </c>
      <c r="G134" s="58">
        <f ca="1">SUMIF(MICRO!AP:AP,O:O,MICRO!H:H)</f>
        <v>0</v>
      </c>
      <c r="H134" s="1">
        <f ca="1">SUMIF(MICRO!AP:AP,O:O,MICRO!R:R)</f>
        <v>0</v>
      </c>
      <c r="I134" s="1">
        <f ca="1">SUMIF(MICRO!AP:AP,O:O,MICRO!T:T)</f>
        <v>0</v>
      </c>
      <c r="J134" s="59">
        <f t="shared" ca="1" si="10"/>
        <v>0</v>
      </c>
      <c r="K134" s="1">
        <f ca="1">SUMIF(MICRO!AP:AP,O:O,MICRO!X:X)</f>
        <v>0</v>
      </c>
      <c r="L134" s="59" t="str">
        <f t="shared" ca="1" si="11"/>
        <v>0%</v>
      </c>
      <c r="M134" s="1">
        <f t="shared" ca="1" si="12"/>
        <v>0</v>
      </c>
      <c r="N134" s="56" t="e">
        <f t="shared" ca="1" si="13"/>
        <v>#N/A</v>
      </c>
      <c r="O134" s="56" t="e">
        <f t="shared" ca="1" si="14"/>
        <v>#N/A</v>
      </c>
      <c r="P134" s="2">
        <f ca="1">SUMIF(MICRO!AP:AP,O134,MICRO!AS:AS)</f>
        <v>0</v>
      </c>
      <c r="Q134" s="2">
        <f ca="1">SUMIF(MICRO!AP:AP,O134,MICRO!AT:AT)</f>
        <v>0</v>
      </c>
      <c r="R134" s="2">
        <f ca="1"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 ca="1">VLOOKUP(Tabela2[[#This Row],[TAG]],MICRO!J:L,3,0)</f>
        <v>#N/A</v>
      </c>
      <c r="F135" s="44" t="s">
        <v>33</v>
      </c>
      <c r="G135" s="58">
        <f ca="1">SUMIF(MICRO!AP:AP,O:O,MICRO!H:H)</f>
        <v>0</v>
      </c>
      <c r="H135" s="1">
        <f ca="1">SUMIF(MICRO!AP:AP,O:O,MICRO!R:R)</f>
        <v>0</v>
      </c>
      <c r="I135" s="1">
        <f ca="1">SUMIF(MICRO!AP:AP,O:O,MICRO!T:T)</f>
        <v>0</v>
      </c>
      <c r="J135" s="59">
        <f t="shared" ca="1" si="10"/>
        <v>0</v>
      </c>
      <c r="K135" s="1">
        <f ca="1">SUMIF(MICRO!AP:AP,O:O,MICRO!X:X)</f>
        <v>0</v>
      </c>
      <c r="L135" s="59" t="str">
        <f t="shared" ca="1" si="11"/>
        <v>0%</v>
      </c>
      <c r="M135" s="1">
        <f t="shared" ca="1" si="12"/>
        <v>0</v>
      </c>
      <c r="N135" s="56" t="e">
        <f t="shared" ca="1" si="13"/>
        <v>#N/A</v>
      </c>
      <c r="O135" s="56" t="e">
        <f t="shared" ca="1" si="14"/>
        <v>#N/A</v>
      </c>
      <c r="P135" s="2">
        <f ca="1">SUMIF(MICRO!AP:AP,O135,MICRO!AS:AS)</f>
        <v>0</v>
      </c>
      <c r="Q135" s="2">
        <f ca="1">SUMIF(MICRO!AP:AP,O135,MICRO!AT:AT)</f>
        <v>0</v>
      </c>
      <c r="R135" s="2">
        <f ca="1"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 ca="1">VLOOKUP(Tabela2[[#This Row],[TAG]],MICRO!J:L,3,0)</f>
        <v>#N/A</v>
      </c>
      <c r="F136" s="44" t="s">
        <v>23</v>
      </c>
      <c r="G136" s="58">
        <f ca="1">SUMIF(MICRO!AP:AP,O:O,MICRO!H:H)</f>
        <v>0</v>
      </c>
      <c r="H136" s="1">
        <f ca="1">SUMIF(MICRO!AP:AP,O:O,MICRO!R:R)</f>
        <v>0</v>
      </c>
      <c r="I136" s="1">
        <f ca="1">SUMIF(MICRO!AP:AP,O:O,MICRO!T:T)</f>
        <v>0</v>
      </c>
      <c r="J136" s="59">
        <f t="shared" ca="1" si="10"/>
        <v>0</v>
      </c>
      <c r="K136" s="1">
        <f ca="1">SUMIF(MICRO!AP:AP,O:O,MICRO!X:X)</f>
        <v>0</v>
      </c>
      <c r="L136" s="59" t="str">
        <f t="shared" ca="1" si="11"/>
        <v>0%</v>
      </c>
      <c r="M136" s="1">
        <f t="shared" ca="1" si="12"/>
        <v>0</v>
      </c>
      <c r="N136" s="56" t="e">
        <f t="shared" ca="1" si="13"/>
        <v>#N/A</v>
      </c>
      <c r="O136" s="56" t="e">
        <f t="shared" ca="1" si="14"/>
        <v>#N/A</v>
      </c>
      <c r="P136" s="2">
        <f ca="1">SUMIF(MICRO!AP:AP,O136,MICRO!AS:AS)</f>
        <v>0</v>
      </c>
      <c r="Q136" s="2">
        <f ca="1">SUMIF(MICRO!AP:AP,O136,MICRO!AT:AT)</f>
        <v>0</v>
      </c>
      <c r="R136" s="2">
        <f ca="1"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 ca="1">VLOOKUP(Tabela2[[#This Row],[TAG]],MICRO!J:L,3,0)</f>
        <v>#N/A</v>
      </c>
      <c r="F137" s="44" t="s">
        <v>23</v>
      </c>
      <c r="G137" s="58">
        <f ca="1">SUMIF(MICRO!AP:AP,O:O,MICRO!H:H)</f>
        <v>0</v>
      </c>
      <c r="H137" s="1">
        <f ca="1">SUMIF(MICRO!AP:AP,O:O,MICRO!R:R)</f>
        <v>0</v>
      </c>
      <c r="I137" s="1">
        <f ca="1">SUMIF(MICRO!AP:AP,O:O,MICRO!T:T)</f>
        <v>0</v>
      </c>
      <c r="J137" s="59">
        <f t="shared" ca="1" si="10"/>
        <v>0</v>
      </c>
      <c r="K137" s="1">
        <f ca="1">SUMIF(MICRO!AP:AP,O:O,MICRO!X:X)</f>
        <v>0</v>
      </c>
      <c r="L137" s="59" t="str">
        <f t="shared" ca="1" si="11"/>
        <v>0%</v>
      </c>
      <c r="M137" s="1">
        <f t="shared" ca="1" si="12"/>
        <v>0</v>
      </c>
      <c r="N137" s="56" t="e">
        <f t="shared" ca="1" si="13"/>
        <v>#N/A</v>
      </c>
      <c r="O137" s="56" t="e">
        <f t="shared" ca="1" si="14"/>
        <v>#N/A</v>
      </c>
      <c r="P137" s="2">
        <f ca="1">SUMIF(MICRO!AP:AP,O137,MICRO!AS:AS)</f>
        <v>0</v>
      </c>
      <c r="Q137" s="2">
        <f ca="1">SUMIF(MICRO!AP:AP,O137,MICRO!AT:AT)</f>
        <v>0</v>
      </c>
      <c r="R137" s="2">
        <f ca="1"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 ca="1">VLOOKUP(Tabela2[[#This Row],[TAG]],MICRO!J:L,3,0)</f>
        <v>#N/A</v>
      </c>
      <c r="F138" s="44" t="s">
        <v>23</v>
      </c>
      <c r="G138" s="58">
        <f ca="1">SUMIF(MICRO!AP:AP,O:O,MICRO!H:H)</f>
        <v>0</v>
      </c>
      <c r="H138" s="1">
        <f ca="1">SUMIF(MICRO!AP:AP,O:O,MICRO!R:R)</f>
        <v>0</v>
      </c>
      <c r="I138" s="1">
        <f ca="1">SUMIF(MICRO!AP:AP,O:O,MICRO!T:T)</f>
        <v>0</v>
      </c>
      <c r="J138" s="59">
        <f t="shared" ca="1" si="10"/>
        <v>0</v>
      </c>
      <c r="K138" s="1">
        <f ca="1">SUMIF(MICRO!AP:AP,O:O,MICRO!X:X)</f>
        <v>0</v>
      </c>
      <c r="L138" s="59" t="str">
        <f t="shared" ca="1" si="11"/>
        <v>0%</v>
      </c>
      <c r="M138" s="1">
        <f t="shared" ca="1" si="12"/>
        <v>0</v>
      </c>
      <c r="N138" s="56" t="e">
        <f t="shared" ca="1" si="13"/>
        <v>#N/A</v>
      </c>
      <c r="O138" s="56" t="e">
        <f t="shared" ca="1" si="14"/>
        <v>#N/A</v>
      </c>
      <c r="P138" s="2">
        <f ca="1">SUMIF(MICRO!AP:AP,O138,MICRO!AS:AS)</f>
        <v>0</v>
      </c>
      <c r="Q138" s="2">
        <f ca="1">SUMIF(MICRO!AP:AP,O138,MICRO!AT:AT)</f>
        <v>0</v>
      </c>
      <c r="R138" s="2">
        <f ca="1"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 ca="1">VLOOKUP(Tabela2[[#This Row],[TAG]],MICRO!J:L,3,0)</f>
        <v>#N/A</v>
      </c>
      <c r="F139" s="44" t="s">
        <v>23</v>
      </c>
      <c r="G139" s="58">
        <f ca="1">SUMIF(MICRO!AP:AP,O:O,MICRO!H:H)</f>
        <v>0</v>
      </c>
      <c r="H139" s="1">
        <f ca="1">SUMIF(MICRO!AP:AP,O:O,MICRO!R:R)</f>
        <v>0</v>
      </c>
      <c r="I139" s="1">
        <f ca="1">SUMIF(MICRO!AP:AP,O:O,MICRO!T:T)</f>
        <v>0</v>
      </c>
      <c r="J139" s="59">
        <f t="shared" ca="1" si="10"/>
        <v>0</v>
      </c>
      <c r="K139" s="1">
        <f ca="1">SUMIF(MICRO!AP:AP,O:O,MICRO!X:X)</f>
        <v>0</v>
      </c>
      <c r="L139" s="59" t="str">
        <f t="shared" ca="1" si="11"/>
        <v>0%</v>
      </c>
      <c r="M139" s="1">
        <f t="shared" ca="1" si="12"/>
        <v>0</v>
      </c>
      <c r="N139" s="56" t="e">
        <f t="shared" ca="1" si="13"/>
        <v>#N/A</v>
      </c>
      <c r="O139" s="56" t="e">
        <f t="shared" ca="1" si="14"/>
        <v>#N/A</v>
      </c>
      <c r="P139" s="2">
        <f ca="1">SUMIF(MICRO!AP:AP,O139,MICRO!AS:AS)</f>
        <v>0</v>
      </c>
      <c r="Q139" s="2">
        <f ca="1">SUMIF(MICRO!AP:AP,O139,MICRO!AT:AT)</f>
        <v>0</v>
      </c>
      <c r="R139" s="2">
        <f ca="1"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 ca="1">VLOOKUP(Tabela2[[#This Row],[TAG]],MICRO!J:L,3,0)</f>
        <v>#N/A</v>
      </c>
      <c r="F140" s="44" t="s">
        <v>23</v>
      </c>
      <c r="G140" s="58">
        <f ca="1">SUMIF(MICRO!AP:AP,O:O,MICRO!H:H)</f>
        <v>0</v>
      </c>
      <c r="H140" s="1">
        <f ca="1">SUMIF(MICRO!AP:AP,O:O,MICRO!R:R)</f>
        <v>0</v>
      </c>
      <c r="I140" s="1">
        <f ca="1">SUMIF(MICRO!AP:AP,O:O,MICRO!T:T)</f>
        <v>0</v>
      </c>
      <c r="J140" s="59">
        <f t="shared" ca="1" si="10"/>
        <v>0</v>
      </c>
      <c r="K140" s="1">
        <f ca="1">SUMIF(MICRO!AP:AP,O:O,MICRO!X:X)</f>
        <v>0</v>
      </c>
      <c r="L140" s="59" t="str">
        <f t="shared" ca="1" si="11"/>
        <v>0%</v>
      </c>
      <c r="M140" s="1">
        <f t="shared" ca="1" si="12"/>
        <v>0</v>
      </c>
      <c r="N140" s="56" t="e">
        <f t="shared" ca="1" si="13"/>
        <v>#N/A</v>
      </c>
      <c r="O140" s="56" t="e">
        <f t="shared" ca="1" si="14"/>
        <v>#N/A</v>
      </c>
      <c r="P140" s="2">
        <f ca="1">SUMIF(MICRO!AP:AP,O140,MICRO!AS:AS)</f>
        <v>0</v>
      </c>
      <c r="Q140" s="2">
        <f ca="1">SUMIF(MICRO!AP:AP,O140,MICRO!AT:AT)</f>
        <v>0</v>
      </c>
      <c r="R140" s="2">
        <f ca="1"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 ca="1">VLOOKUP(Tabela2[[#This Row],[TAG]],MICRO!J:L,3,0)</f>
        <v>#N/A</v>
      </c>
      <c r="F141" s="44" t="s">
        <v>23</v>
      </c>
      <c r="G141" s="58">
        <f ca="1">SUMIF(MICRO!AP:AP,O:O,MICRO!H:H)</f>
        <v>0</v>
      </c>
      <c r="H141" s="1">
        <f ca="1">SUMIF(MICRO!AP:AP,O:O,MICRO!R:R)</f>
        <v>0</v>
      </c>
      <c r="I141" s="1">
        <f ca="1">SUMIF(MICRO!AP:AP,O:O,MICRO!T:T)</f>
        <v>0</v>
      </c>
      <c r="J141" s="59">
        <f t="shared" ca="1" si="10"/>
        <v>0</v>
      </c>
      <c r="K141" s="1">
        <f ca="1">SUMIF(MICRO!AP:AP,O:O,MICRO!X:X)</f>
        <v>0</v>
      </c>
      <c r="L141" s="59" t="str">
        <f t="shared" ca="1" si="11"/>
        <v>0%</v>
      </c>
      <c r="M141" s="1">
        <f t="shared" ca="1" si="12"/>
        <v>0</v>
      </c>
      <c r="N141" s="56" t="e">
        <f t="shared" ca="1" si="13"/>
        <v>#N/A</v>
      </c>
      <c r="O141" s="56" t="e">
        <f t="shared" ca="1" si="14"/>
        <v>#N/A</v>
      </c>
      <c r="P141" s="2">
        <f ca="1">SUMIF(MICRO!AP:AP,O141,MICRO!AS:AS)</f>
        <v>0</v>
      </c>
      <c r="Q141" s="2">
        <f ca="1">SUMIF(MICRO!AP:AP,O141,MICRO!AT:AT)</f>
        <v>0</v>
      </c>
      <c r="R141" s="2">
        <f ca="1"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 ca="1">VLOOKUP(Tabela2[[#This Row],[TAG]],MICRO!J:L,3,0)</f>
        <v>#N/A</v>
      </c>
      <c r="F142" s="44" t="s">
        <v>23</v>
      </c>
      <c r="G142" s="58">
        <f ca="1">SUMIF(MICRO!AP:AP,O:O,MICRO!H:H)</f>
        <v>0</v>
      </c>
      <c r="H142" s="1">
        <f ca="1">SUMIF(MICRO!AP:AP,O:O,MICRO!R:R)</f>
        <v>0</v>
      </c>
      <c r="I142" s="1">
        <f ca="1">SUMIF(MICRO!AP:AP,O:O,MICRO!T:T)</f>
        <v>0</v>
      </c>
      <c r="J142" s="59">
        <f t="shared" ca="1" si="10"/>
        <v>0</v>
      </c>
      <c r="K142" s="1">
        <f ca="1">SUMIF(MICRO!AP:AP,O:O,MICRO!X:X)</f>
        <v>0</v>
      </c>
      <c r="L142" s="59" t="str">
        <f t="shared" ca="1" si="11"/>
        <v>0%</v>
      </c>
      <c r="M142" s="1">
        <f t="shared" ca="1" si="12"/>
        <v>0</v>
      </c>
      <c r="N142" s="56" t="e">
        <f t="shared" ca="1" si="13"/>
        <v>#N/A</v>
      </c>
      <c r="O142" s="56" t="e">
        <f t="shared" ca="1" si="14"/>
        <v>#N/A</v>
      </c>
      <c r="P142" s="2">
        <f ca="1">SUMIF(MICRO!AP:AP,O142,MICRO!AS:AS)</f>
        <v>0</v>
      </c>
      <c r="Q142" s="2">
        <f ca="1">SUMIF(MICRO!AP:AP,O142,MICRO!AT:AT)</f>
        <v>0</v>
      </c>
      <c r="R142" s="2">
        <f ca="1"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 ca="1">VLOOKUP(Tabela2[[#This Row],[TAG]],MICRO!J:L,3,0)</f>
        <v>#N/A</v>
      </c>
      <c r="F143" s="44" t="s">
        <v>23</v>
      </c>
      <c r="G143" s="58">
        <f ca="1">SUMIF(MICRO!AP:AP,O:O,MICRO!H:H)</f>
        <v>0</v>
      </c>
      <c r="H143" s="1">
        <f ca="1">SUMIF(MICRO!AP:AP,O:O,MICRO!R:R)</f>
        <v>0</v>
      </c>
      <c r="I143" s="1">
        <f ca="1">SUMIF(MICRO!AP:AP,O:O,MICRO!T:T)</f>
        <v>0</v>
      </c>
      <c r="J143" s="59">
        <f t="shared" ca="1" si="10"/>
        <v>0</v>
      </c>
      <c r="K143" s="1">
        <f ca="1">SUMIF(MICRO!AP:AP,O:O,MICRO!X:X)</f>
        <v>0</v>
      </c>
      <c r="L143" s="59" t="str">
        <f t="shared" ca="1" si="11"/>
        <v>0%</v>
      </c>
      <c r="M143" s="1">
        <f t="shared" ca="1" si="12"/>
        <v>0</v>
      </c>
      <c r="N143" s="56" t="e">
        <f t="shared" ca="1" si="13"/>
        <v>#N/A</v>
      </c>
      <c r="O143" s="56" t="e">
        <f t="shared" ca="1" si="14"/>
        <v>#N/A</v>
      </c>
      <c r="P143" s="2">
        <f ca="1">SUMIF(MICRO!AP:AP,O143,MICRO!AS:AS)</f>
        <v>0</v>
      </c>
      <c r="Q143" s="2">
        <f ca="1">SUMIF(MICRO!AP:AP,O143,MICRO!AT:AT)</f>
        <v>0</v>
      </c>
      <c r="R143" s="2">
        <f ca="1"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 ca="1">VLOOKUP(Tabela2[[#This Row],[TAG]],MICRO!J:L,3,0)</f>
        <v>#N/A</v>
      </c>
      <c r="F144" s="44" t="s">
        <v>23</v>
      </c>
      <c r="G144" s="58">
        <f ca="1">SUMIF(MICRO!AP:AP,O:O,MICRO!H:H)</f>
        <v>0</v>
      </c>
      <c r="H144" s="1">
        <f ca="1">SUMIF(MICRO!AP:AP,O:O,MICRO!R:R)</f>
        <v>0</v>
      </c>
      <c r="I144" s="1">
        <f ca="1">SUMIF(MICRO!AP:AP,O:O,MICRO!T:T)</f>
        <v>0</v>
      </c>
      <c r="J144" s="59">
        <f t="shared" ca="1" si="10"/>
        <v>0</v>
      </c>
      <c r="K144" s="1">
        <f ca="1">SUMIF(MICRO!AP:AP,O:O,MICRO!X:X)</f>
        <v>0</v>
      </c>
      <c r="L144" s="59" t="str">
        <f t="shared" ca="1" si="11"/>
        <v>0%</v>
      </c>
      <c r="M144" s="1">
        <f t="shared" ca="1" si="12"/>
        <v>0</v>
      </c>
      <c r="N144" s="56" t="e">
        <f t="shared" ca="1" si="13"/>
        <v>#N/A</v>
      </c>
      <c r="O144" s="56" t="e">
        <f t="shared" ca="1" si="14"/>
        <v>#N/A</v>
      </c>
      <c r="P144" s="2">
        <f ca="1">SUMIF(MICRO!AP:AP,O144,MICRO!AS:AS)</f>
        <v>0</v>
      </c>
      <c r="Q144" s="2">
        <f ca="1">SUMIF(MICRO!AP:AP,O144,MICRO!AT:AT)</f>
        <v>0</v>
      </c>
      <c r="R144" s="2">
        <f ca="1"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 ca="1">VLOOKUP(Tabela2[[#This Row],[TAG]],MICRO!J:L,3,0)</f>
        <v>#N/A</v>
      </c>
      <c r="F145" s="44" t="s">
        <v>23</v>
      </c>
      <c r="G145" s="58">
        <f ca="1">SUMIF(MICRO!AP:AP,O:O,MICRO!H:H)</f>
        <v>0</v>
      </c>
      <c r="H145" s="1">
        <f ca="1">SUMIF(MICRO!AP:AP,O:O,MICRO!R:R)</f>
        <v>0</v>
      </c>
      <c r="I145" s="1">
        <f ca="1">SUMIF(MICRO!AP:AP,O:O,MICRO!T:T)</f>
        <v>0</v>
      </c>
      <c r="J145" s="59">
        <f t="shared" ca="1" si="10"/>
        <v>0</v>
      </c>
      <c r="K145" s="1">
        <f ca="1">SUMIF(MICRO!AP:AP,O:O,MICRO!X:X)</f>
        <v>0</v>
      </c>
      <c r="L145" s="59" t="str">
        <f t="shared" ca="1" si="11"/>
        <v>0%</v>
      </c>
      <c r="M145" s="1">
        <f t="shared" ca="1" si="12"/>
        <v>0</v>
      </c>
      <c r="N145" s="56" t="e">
        <f t="shared" ca="1" si="13"/>
        <v>#N/A</v>
      </c>
      <c r="O145" s="56" t="e">
        <f t="shared" ca="1" si="14"/>
        <v>#N/A</v>
      </c>
      <c r="P145" s="2">
        <f ca="1">SUMIF(MICRO!AP:AP,O145,MICRO!AS:AS)</f>
        <v>0</v>
      </c>
      <c r="Q145" s="2">
        <f ca="1">SUMIF(MICRO!AP:AP,O145,MICRO!AT:AT)</f>
        <v>0</v>
      </c>
      <c r="R145" s="2">
        <f ca="1"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 ca="1">VLOOKUP(Tabela2[[#This Row],[TAG]],MICRO!J:L,3,0)</f>
        <v>#N/A</v>
      </c>
      <c r="F146" s="44" t="s">
        <v>23</v>
      </c>
      <c r="G146" s="58">
        <f ca="1">SUMIF(MICRO!AP:AP,O:O,MICRO!H:H)</f>
        <v>0</v>
      </c>
      <c r="H146" s="1">
        <f ca="1">SUMIF(MICRO!AP:AP,O:O,MICRO!R:R)</f>
        <v>0</v>
      </c>
      <c r="I146" s="1">
        <f ca="1">SUMIF(MICRO!AP:AP,O:O,MICRO!T:T)</f>
        <v>0</v>
      </c>
      <c r="J146" s="59">
        <f t="shared" ca="1" si="10"/>
        <v>0</v>
      </c>
      <c r="K146" s="1">
        <f ca="1">SUMIF(MICRO!AP:AP,O:O,MICRO!X:X)</f>
        <v>0</v>
      </c>
      <c r="L146" s="59" t="str">
        <f t="shared" ca="1" si="11"/>
        <v>0%</v>
      </c>
      <c r="M146" s="1">
        <f t="shared" ca="1" si="12"/>
        <v>0</v>
      </c>
      <c r="N146" s="56" t="e">
        <f t="shared" ca="1" si="13"/>
        <v>#N/A</v>
      </c>
      <c r="O146" s="56" t="e">
        <f t="shared" ca="1" si="14"/>
        <v>#N/A</v>
      </c>
      <c r="P146" s="2">
        <f ca="1">SUMIF(MICRO!AP:AP,O146,MICRO!AS:AS)</f>
        <v>0</v>
      </c>
      <c r="Q146" s="2">
        <f ca="1">SUMIF(MICRO!AP:AP,O146,MICRO!AT:AT)</f>
        <v>0</v>
      </c>
      <c r="R146" s="2">
        <f ca="1"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 ca="1">VLOOKUP(Tabela2[[#This Row],[TAG]],MICRO!J:L,3,0)</f>
        <v>#N/A</v>
      </c>
      <c r="F147" s="44" t="s">
        <v>45</v>
      </c>
      <c r="G147" s="58">
        <f ca="1">SUMIF(MICRO!AP:AP,O:O,MICRO!H:H)</f>
        <v>0</v>
      </c>
      <c r="H147" s="1">
        <f ca="1">SUMIF(MICRO!AP:AP,O:O,MICRO!R:R)</f>
        <v>0</v>
      </c>
      <c r="I147" s="1">
        <f ca="1">SUMIF(MICRO!AP:AP,O:O,MICRO!T:T)</f>
        <v>0</v>
      </c>
      <c r="J147" s="59">
        <f t="shared" ca="1" si="10"/>
        <v>0</v>
      </c>
      <c r="K147" s="1">
        <f ca="1">SUMIF(MICRO!AP:AP,O:O,MICRO!X:X)</f>
        <v>0</v>
      </c>
      <c r="L147" s="59" t="str">
        <f t="shared" ca="1" si="11"/>
        <v>0%</v>
      </c>
      <c r="M147" s="1">
        <f t="shared" ca="1" si="12"/>
        <v>0</v>
      </c>
      <c r="N147" s="56" t="e">
        <f t="shared" ca="1" si="13"/>
        <v>#N/A</v>
      </c>
      <c r="O147" s="56" t="e">
        <f t="shared" ca="1" si="14"/>
        <v>#N/A</v>
      </c>
      <c r="P147" s="2">
        <f ca="1">SUMIF(MICRO!AP:AP,O147,MICRO!AS:AS)</f>
        <v>0</v>
      </c>
      <c r="Q147" s="2">
        <f ca="1">SUMIF(MICRO!AP:AP,O147,MICRO!AT:AT)</f>
        <v>0</v>
      </c>
      <c r="R147" s="2">
        <f ca="1"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 ca="1">VLOOKUP(Tabela2[[#This Row],[TAG]],MICRO!J:L,3,0)</f>
        <v>#N/A</v>
      </c>
      <c r="F148" s="44" t="s">
        <v>23</v>
      </c>
      <c r="G148" s="58">
        <f ca="1">SUMIF(MICRO!AP:AP,O:O,MICRO!H:H)</f>
        <v>0</v>
      </c>
      <c r="H148" s="1">
        <f ca="1">SUMIF(MICRO!AP:AP,O:O,MICRO!R:R)</f>
        <v>0</v>
      </c>
      <c r="I148" s="1">
        <f ca="1">SUMIF(MICRO!AP:AP,O:O,MICRO!T:T)</f>
        <v>0</v>
      </c>
      <c r="J148" s="59">
        <f t="shared" ca="1" si="10"/>
        <v>0</v>
      </c>
      <c r="K148" s="1">
        <f ca="1">SUMIF(MICRO!AP:AP,O:O,MICRO!X:X)</f>
        <v>0</v>
      </c>
      <c r="L148" s="59" t="str">
        <f t="shared" ca="1" si="11"/>
        <v>0%</v>
      </c>
      <c r="M148" s="1">
        <f t="shared" ca="1" si="12"/>
        <v>0</v>
      </c>
      <c r="N148" s="56" t="e">
        <f t="shared" ca="1" si="13"/>
        <v>#N/A</v>
      </c>
      <c r="O148" s="56" t="e">
        <f t="shared" ca="1" si="14"/>
        <v>#N/A</v>
      </c>
      <c r="P148" s="2">
        <f ca="1">SUMIF(MICRO!AP:AP,O148,MICRO!AS:AS)</f>
        <v>0</v>
      </c>
      <c r="Q148" s="2">
        <f ca="1">SUMIF(MICRO!AP:AP,O148,MICRO!AT:AT)</f>
        <v>0</v>
      </c>
      <c r="R148" s="2">
        <f ca="1"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 ca="1">VLOOKUP(Tabela2[[#This Row],[TAG]],MICRO!J:L,3,0)</f>
        <v>#N/A</v>
      </c>
      <c r="F149" s="44" t="s">
        <v>23</v>
      </c>
      <c r="G149" s="58">
        <f ca="1">SUMIF(MICRO!AP:AP,O:O,MICRO!H:H)</f>
        <v>0</v>
      </c>
      <c r="H149" s="1">
        <f ca="1">SUMIF(MICRO!AP:AP,O:O,MICRO!R:R)</f>
        <v>0</v>
      </c>
      <c r="I149" s="1">
        <f ca="1">SUMIF(MICRO!AP:AP,O:O,MICRO!T:T)</f>
        <v>0</v>
      </c>
      <c r="J149" s="59">
        <f t="shared" ca="1" si="10"/>
        <v>0</v>
      </c>
      <c r="K149" s="1">
        <f ca="1">SUMIF(MICRO!AP:AP,O:O,MICRO!X:X)</f>
        <v>0</v>
      </c>
      <c r="L149" s="59" t="str">
        <f t="shared" ca="1" si="11"/>
        <v>0%</v>
      </c>
      <c r="M149" s="1">
        <f t="shared" ca="1" si="12"/>
        <v>0</v>
      </c>
      <c r="N149" s="56" t="e">
        <f t="shared" ca="1" si="13"/>
        <v>#N/A</v>
      </c>
      <c r="O149" s="56" t="e">
        <f t="shared" ca="1" si="14"/>
        <v>#N/A</v>
      </c>
      <c r="P149" s="2">
        <f ca="1">SUMIF(MICRO!AP:AP,O149,MICRO!AS:AS)</f>
        <v>0</v>
      </c>
      <c r="Q149" s="2">
        <f ca="1">SUMIF(MICRO!AP:AP,O149,MICRO!AT:AT)</f>
        <v>0</v>
      </c>
      <c r="R149" s="2">
        <f ca="1"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 ca="1">VLOOKUP(Tabela2[[#This Row],[TAG]],MICRO!J:L,3,0)</f>
        <v>#N/A</v>
      </c>
      <c r="F150" s="44" t="s">
        <v>23</v>
      </c>
      <c r="G150" s="58">
        <f ca="1">SUMIF(MICRO!AP:AP,O:O,MICRO!H:H)</f>
        <v>0</v>
      </c>
      <c r="H150" s="1">
        <f ca="1">SUMIF(MICRO!AP:AP,O:O,MICRO!R:R)</f>
        <v>0</v>
      </c>
      <c r="I150" s="1">
        <f ca="1">SUMIF(MICRO!AP:AP,O:O,MICRO!T:T)</f>
        <v>0</v>
      </c>
      <c r="J150" s="59">
        <f t="shared" ca="1" si="10"/>
        <v>0</v>
      </c>
      <c r="K150" s="1">
        <f ca="1">SUMIF(MICRO!AP:AP,O:O,MICRO!X:X)</f>
        <v>0</v>
      </c>
      <c r="L150" s="59" t="str">
        <f t="shared" ca="1" si="11"/>
        <v>0%</v>
      </c>
      <c r="M150" s="1">
        <f t="shared" ca="1" si="12"/>
        <v>0</v>
      </c>
      <c r="N150" s="56" t="e">
        <f t="shared" ca="1" si="13"/>
        <v>#N/A</v>
      </c>
      <c r="O150" s="56" t="e">
        <f t="shared" ca="1" si="14"/>
        <v>#N/A</v>
      </c>
      <c r="P150" s="2">
        <f ca="1">SUMIF(MICRO!AP:AP,O150,MICRO!AS:AS)</f>
        <v>0</v>
      </c>
      <c r="Q150" s="2">
        <f ca="1">SUMIF(MICRO!AP:AP,O150,MICRO!AT:AT)</f>
        <v>0</v>
      </c>
      <c r="R150" s="2">
        <f ca="1"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 ca="1">VLOOKUP(Tabela2[[#This Row],[TAG]],MICRO!J:L,3,0)</f>
        <v>#N/A</v>
      </c>
      <c r="F151" s="44" t="s">
        <v>23</v>
      </c>
      <c r="G151" s="58">
        <f ca="1">SUMIF(MICRO!AP:AP,O:O,MICRO!H:H)</f>
        <v>0</v>
      </c>
      <c r="H151" s="1">
        <f ca="1">SUMIF(MICRO!AP:AP,O:O,MICRO!R:R)</f>
        <v>0</v>
      </c>
      <c r="I151" s="1">
        <f ca="1">SUMIF(MICRO!AP:AP,O:O,MICRO!T:T)</f>
        <v>0</v>
      </c>
      <c r="J151" s="59">
        <f t="shared" ca="1" si="10"/>
        <v>0</v>
      </c>
      <c r="K151" s="1">
        <f ca="1">SUMIF(MICRO!AP:AP,O:O,MICRO!X:X)</f>
        <v>0</v>
      </c>
      <c r="L151" s="59" t="str">
        <f t="shared" ca="1" si="11"/>
        <v>0%</v>
      </c>
      <c r="M151" s="1">
        <f t="shared" ca="1" si="12"/>
        <v>0</v>
      </c>
      <c r="N151" s="56" t="e">
        <f t="shared" ca="1" si="13"/>
        <v>#N/A</v>
      </c>
      <c r="O151" s="56" t="e">
        <f t="shared" ca="1" si="14"/>
        <v>#N/A</v>
      </c>
      <c r="P151" s="2">
        <f ca="1">SUMIF(MICRO!AP:AP,O151,MICRO!AS:AS)</f>
        <v>0</v>
      </c>
      <c r="Q151" s="2">
        <f ca="1">SUMIF(MICRO!AP:AP,O151,MICRO!AT:AT)</f>
        <v>0</v>
      </c>
      <c r="R151" s="2">
        <f ca="1"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 ca="1">VLOOKUP(Tabela2[[#This Row],[TAG]],MICRO!J:L,3,0)</f>
        <v>#N/A</v>
      </c>
      <c r="F152" s="44" t="s">
        <v>31</v>
      </c>
      <c r="G152" s="58">
        <f ca="1">SUMIF(MICRO!AP:AP,O:O,MICRO!H:H)</f>
        <v>0</v>
      </c>
      <c r="H152" s="1">
        <f ca="1">SUMIF(MICRO!AP:AP,O:O,MICRO!R:R)</f>
        <v>0</v>
      </c>
      <c r="I152" s="1">
        <f ca="1">SUMIF(MICRO!AP:AP,O:O,MICRO!T:T)</f>
        <v>0</v>
      </c>
      <c r="J152" s="59">
        <f t="shared" ca="1" si="10"/>
        <v>0</v>
      </c>
      <c r="K152" s="1">
        <f ca="1">SUMIF(MICRO!AP:AP,O:O,MICRO!X:X)</f>
        <v>0</v>
      </c>
      <c r="L152" s="59" t="str">
        <f t="shared" ca="1" si="11"/>
        <v>0%</v>
      </c>
      <c r="M152" s="1">
        <f t="shared" ca="1" si="12"/>
        <v>0</v>
      </c>
      <c r="N152" s="56" t="e">
        <f t="shared" ca="1" si="13"/>
        <v>#N/A</v>
      </c>
      <c r="O152" s="56" t="e">
        <f t="shared" ca="1" si="14"/>
        <v>#N/A</v>
      </c>
      <c r="P152" s="2">
        <f ca="1">SUMIF(MICRO!AP:AP,O152,MICRO!AS:AS)</f>
        <v>0</v>
      </c>
      <c r="Q152" s="2">
        <f ca="1">SUMIF(MICRO!AP:AP,O152,MICRO!AT:AT)</f>
        <v>0</v>
      </c>
      <c r="R152" s="2">
        <f ca="1"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 ca="1">VLOOKUP(Tabela2[[#This Row],[TAG]],MICRO!J:L,3,0)</f>
        <v>#N/A</v>
      </c>
      <c r="F153" s="44" t="s">
        <v>32</v>
      </c>
      <c r="G153" s="58">
        <f ca="1">SUMIF(MICRO!AP:AP,O:O,MICRO!H:H)</f>
        <v>0</v>
      </c>
      <c r="H153" s="1">
        <f ca="1">SUMIF(MICRO!AP:AP,O:O,MICRO!R:R)</f>
        <v>0</v>
      </c>
      <c r="I153" s="1">
        <f ca="1">SUMIF(MICRO!AP:AP,O:O,MICRO!T:T)</f>
        <v>0</v>
      </c>
      <c r="J153" s="59">
        <f t="shared" ca="1" si="10"/>
        <v>0</v>
      </c>
      <c r="K153" s="1">
        <f ca="1">SUMIF(MICRO!AP:AP,O:O,MICRO!X:X)</f>
        <v>0</v>
      </c>
      <c r="L153" s="59" t="str">
        <f t="shared" ca="1" si="11"/>
        <v>0%</v>
      </c>
      <c r="M153" s="1">
        <f t="shared" ca="1" si="12"/>
        <v>0</v>
      </c>
      <c r="N153" s="56" t="e">
        <f t="shared" ca="1" si="13"/>
        <v>#N/A</v>
      </c>
      <c r="O153" s="56" t="e">
        <f t="shared" ca="1" si="14"/>
        <v>#N/A</v>
      </c>
      <c r="P153" s="2">
        <f ca="1">SUMIF(MICRO!AP:AP,O153,MICRO!AS:AS)</f>
        <v>0</v>
      </c>
      <c r="Q153" s="2">
        <f ca="1">SUMIF(MICRO!AP:AP,O153,MICRO!AT:AT)</f>
        <v>0</v>
      </c>
      <c r="R153" s="2">
        <f ca="1"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 ca="1">VLOOKUP(Tabela2[[#This Row],[TAG]],MICRO!J:L,3,0)</f>
        <v>#N/A</v>
      </c>
      <c r="F154" s="44" t="s">
        <v>31</v>
      </c>
      <c r="G154" s="58">
        <f ca="1">SUMIF(MICRO!AP:AP,O:O,MICRO!H:H)</f>
        <v>0</v>
      </c>
      <c r="H154" s="1">
        <f ca="1">SUMIF(MICRO!AP:AP,O:O,MICRO!R:R)</f>
        <v>0</v>
      </c>
      <c r="I154" s="1">
        <f ca="1">SUMIF(MICRO!AP:AP,O:O,MICRO!T:T)</f>
        <v>0</v>
      </c>
      <c r="J154" s="59">
        <f t="shared" ca="1" si="10"/>
        <v>0</v>
      </c>
      <c r="K154" s="1">
        <f ca="1">SUMIF(MICRO!AP:AP,O:O,MICRO!X:X)</f>
        <v>0</v>
      </c>
      <c r="L154" s="59" t="str">
        <f t="shared" ca="1" si="11"/>
        <v>0%</v>
      </c>
      <c r="M154" s="1">
        <f t="shared" ca="1" si="12"/>
        <v>0</v>
      </c>
      <c r="N154" s="56" t="e">
        <f t="shared" ca="1" si="13"/>
        <v>#N/A</v>
      </c>
      <c r="O154" s="56" t="e">
        <f t="shared" ca="1" si="14"/>
        <v>#N/A</v>
      </c>
      <c r="P154" s="2">
        <f ca="1">SUMIF(MICRO!AP:AP,O154,MICRO!AS:AS)</f>
        <v>0</v>
      </c>
      <c r="Q154" s="2">
        <f ca="1">SUMIF(MICRO!AP:AP,O154,MICRO!AT:AT)</f>
        <v>0</v>
      </c>
      <c r="R154" s="2">
        <f ca="1"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 ca="1">VLOOKUP(Tabela2[[#This Row],[TAG]],MICRO!J:L,3,0)</f>
        <v>#N/A</v>
      </c>
      <c r="F155" s="44" t="s">
        <v>45</v>
      </c>
      <c r="G155" s="58">
        <f ca="1">SUMIF(MICRO!AP:AP,O:O,MICRO!H:H)</f>
        <v>0</v>
      </c>
      <c r="H155" s="1">
        <f ca="1">SUMIF(MICRO!AP:AP,O:O,MICRO!R:R)</f>
        <v>0</v>
      </c>
      <c r="I155" s="1">
        <f ca="1">SUMIF(MICRO!AP:AP,O:O,MICRO!T:T)</f>
        <v>0</v>
      </c>
      <c r="J155" s="59">
        <f t="shared" ca="1" si="10"/>
        <v>0</v>
      </c>
      <c r="K155" s="1">
        <f ca="1">SUMIF(MICRO!AP:AP,O:O,MICRO!X:X)</f>
        <v>0</v>
      </c>
      <c r="L155" s="59" t="str">
        <f t="shared" ca="1" si="11"/>
        <v>0%</v>
      </c>
      <c r="M155" s="1">
        <f t="shared" ca="1" si="12"/>
        <v>0</v>
      </c>
      <c r="N155" s="56" t="e">
        <f t="shared" ca="1" si="13"/>
        <v>#N/A</v>
      </c>
      <c r="O155" s="56" t="e">
        <f t="shared" ca="1" si="14"/>
        <v>#N/A</v>
      </c>
      <c r="P155" s="2">
        <f ca="1">SUMIF(MICRO!AP:AP,O155,MICRO!AS:AS)</f>
        <v>0</v>
      </c>
      <c r="Q155" s="2">
        <f ca="1">SUMIF(MICRO!AP:AP,O155,MICRO!AT:AT)</f>
        <v>0</v>
      </c>
      <c r="R155" s="2">
        <f ca="1"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 ca="1">VLOOKUP(Tabela2[[#This Row],[TAG]],MICRO!J:L,3,0)</f>
        <v>#N/A</v>
      </c>
      <c r="F156" s="44" t="s">
        <v>32</v>
      </c>
      <c r="G156" s="58">
        <f ca="1">SUMIF(MICRO!AP:AP,O:O,MICRO!H:H)</f>
        <v>0</v>
      </c>
      <c r="H156" s="1">
        <f ca="1">SUMIF(MICRO!AP:AP,O:O,MICRO!R:R)</f>
        <v>0</v>
      </c>
      <c r="I156" s="1">
        <f ca="1">SUMIF(MICRO!AP:AP,O:O,MICRO!T:T)</f>
        <v>0</v>
      </c>
      <c r="J156" s="59">
        <f t="shared" ca="1" si="10"/>
        <v>0</v>
      </c>
      <c r="K156" s="1">
        <f ca="1">SUMIF(MICRO!AP:AP,O:O,MICRO!X:X)</f>
        <v>0</v>
      </c>
      <c r="L156" s="59" t="str">
        <f t="shared" ca="1" si="11"/>
        <v>0%</v>
      </c>
      <c r="M156" s="1">
        <f t="shared" ca="1" si="12"/>
        <v>0</v>
      </c>
      <c r="N156" s="56" t="e">
        <f t="shared" ca="1" si="13"/>
        <v>#N/A</v>
      </c>
      <c r="O156" s="56" t="e">
        <f t="shared" ca="1" si="14"/>
        <v>#N/A</v>
      </c>
      <c r="P156" s="2">
        <f ca="1">SUMIF(MICRO!AP:AP,O156,MICRO!AS:AS)</f>
        <v>0</v>
      </c>
      <c r="Q156" s="2">
        <f ca="1">SUMIF(MICRO!AP:AP,O156,MICRO!AT:AT)</f>
        <v>0</v>
      </c>
      <c r="R156" s="2">
        <f ca="1"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 ca="1">VLOOKUP(Tabela2[[#This Row],[TAG]],MICRO!J:L,3,0)</f>
        <v>#N/A</v>
      </c>
      <c r="F157" s="44"/>
      <c r="G157" s="58">
        <f ca="1">SUMIF(MICRO!AP:AP,O:O,MICRO!H:H)</f>
        <v>0</v>
      </c>
      <c r="H157" s="1">
        <f ca="1">SUMIF(MICRO!AP:AP,O:O,MICRO!R:R)</f>
        <v>0</v>
      </c>
      <c r="I157" s="1">
        <f ca="1">SUMIF(MICRO!AP:AP,O:O,MICRO!T:T)</f>
        <v>0</v>
      </c>
      <c r="J157" s="59">
        <f t="shared" ca="1" si="10"/>
        <v>0</v>
      </c>
      <c r="K157" s="1">
        <f ca="1">SUMIF(MICRO!AP:AP,O:O,MICRO!X:X)</f>
        <v>0</v>
      </c>
      <c r="L157" s="59" t="str">
        <f t="shared" ca="1" si="11"/>
        <v>0%</v>
      </c>
      <c r="M157" s="1">
        <f t="shared" ca="1" si="12"/>
        <v>0</v>
      </c>
      <c r="N157" s="56" t="e">
        <f t="shared" ca="1" si="13"/>
        <v>#N/A</v>
      </c>
      <c r="O157" s="56" t="e">
        <f t="shared" ca="1" si="14"/>
        <v>#N/A</v>
      </c>
      <c r="P157" s="2">
        <f ca="1">SUMIF(MICRO!AP:AP,O157,MICRO!AS:AS)</f>
        <v>0</v>
      </c>
      <c r="Q157" s="2">
        <f ca="1">SUMIF(MICRO!AP:AP,O157,MICRO!AT:AT)</f>
        <v>0</v>
      </c>
      <c r="R157" s="2">
        <f ca="1"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 ca="1">VLOOKUP(Tabela2[[#This Row],[TAG]],MICRO!J:L,3,0)</f>
        <v>#N/A</v>
      </c>
      <c r="F158" s="44" t="s">
        <v>23</v>
      </c>
      <c r="G158" s="58">
        <f ca="1">SUMIF(MICRO!AP:AP,O:O,MICRO!H:H)</f>
        <v>0</v>
      </c>
      <c r="H158" s="1">
        <f ca="1">SUMIF(MICRO!AP:AP,O:O,MICRO!R:R)</f>
        <v>0</v>
      </c>
      <c r="I158" s="1">
        <f ca="1">SUMIF(MICRO!AP:AP,O:O,MICRO!T:T)</f>
        <v>0</v>
      </c>
      <c r="J158" s="59">
        <f t="shared" ca="1" si="10"/>
        <v>0</v>
      </c>
      <c r="K158" s="1">
        <f ca="1">SUMIF(MICRO!AP:AP,O:O,MICRO!X:X)</f>
        <v>0</v>
      </c>
      <c r="L158" s="59" t="str">
        <f t="shared" ca="1" si="11"/>
        <v>0%</v>
      </c>
      <c r="M158" s="1">
        <f t="shared" ca="1" si="12"/>
        <v>0</v>
      </c>
      <c r="N158" s="56" t="e">
        <f t="shared" ca="1" si="13"/>
        <v>#N/A</v>
      </c>
      <c r="O158" s="56" t="e">
        <f t="shared" ca="1" si="14"/>
        <v>#N/A</v>
      </c>
      <c r="P158" s="2">
        <f ca="1">SUMIF(MICRO!AP:AP,O158,MICRO!AS:AS)</f>
        <v>0</v>
      </c>
      <c r="Q158" s="2">
        <f ca="1">SUMIF(MICRO!AP:AP,O158,MICRO!AT:AT)</f>
        <v>0</v>
      </c>
      <c r="R158" s="2">
        <f ca="1"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 ca="1">VLOOKUP(Tabela2[[#This Row],[TAG]],MICRO!J:L,3,0)</f>
        <v>#N/A</v>
      </c>
      <c r="F159" s="44" t="s">
        <v>23</v>
      </c>
      <c r="G159" s="58">
        <f ca="1">SUMIF(MICRO!AP:AP,O:O,MICRO!H:H)</f>
        <v>0</v>
      </c>
      <c r="H159" s="1">
        <f ca="1">SUMIF(MICRO!AP:AP,O:O,MICRO!R:R)</f>
        <v>0</v>
      </c>
      <c r="I159" s="1">
        <f ca="1">SUMIF(MICRO!AP:AP,O:O,MICRO!T:T)</f>
        <v>0</v>
      </c>
      <c r="J159" s="59">
        <f t="shared" ca="1" si="10"/>
        <v>0</v>
      </c>
      <c r="K159" s="1">
        <f ca="1">SUMIF(MICRO!AP:AP,O:O,MICRO!X:X)</f>
        <v>0</v>
      </c>
      <c r="L159" s="59" t="str">
        <f t="shared" ca="1" si="11"/>
        <v>0%</v>
      </c>
      <c r="M159" s="1">
        <f t="shared" ca="1" si="12"/>
        <v>0</v>
      </c>
      <c r="N159" s="56" t="e">
        <f t="shared" ca="1" si="13"/>
        <v>#N/A</v>
      </c>
      <c r="O159" s="56" t="e">
        <f t="shared" ca="1" si="14"/>
        <v>#N/A</v>
      </c>
      <c r="P159" s="2">
        <f ca="1">SUMIF(MICRO!AP:AP,O159,MICRO!AS:AS)</f>
        <v>0</v>
      </c>
      <c r="Q159" s="2">
        <f ca="1">SUMIF(MICRO!AP:AP,O159,MICRO!AT:AT)</f>
        <v>0</v>
      </c>
      <c r="R159" s="2">
        <f ca="1"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 ca="1">VLOOKUP(Tabela2[[#This Row],[TAG]],MICRO!J:L,3,0)</f>
        <v>#N/A</v>
      </c>
      <c r="F160" s="44" t="s">
        <v>33</v>
      </c>
      <c r="G160" s="58">
        <f ca="1">SUMIF(MICRO!AP:AP,O:O,MICRO!H:H)</f>
        <v>0</v>
      </c>
      <c r="H160" s="1">
        <f ca="1">SUMIF(MICRO!AP:AP,O:O,MICRO!R:R)</f>
        <v>0</v>
      </c>
      <c r="I160" s="1">
        <f ca="1">SUMIF(MICRO!AP:AP,O:O,MICRO!T:T)</f>
        <v>0</v>
      </c>
      <c r="J160" s="59">
        <f t="shared" ca="1" si="10"/>
        <v>0</v>
      </c>
      <c r="K160" s="1">
        <f ca="1">SUMIF(MICRO!AP:AP,O:O,MICRO!X:X)</f>
        <v>0</v>
      </c>
      <c r="L160" s="59" t="str">
        <f t="shared" ca="1" si="11"/>
        <v>0%</v>
      </c>
      <c r="M160" s="1">
        <f t="shared" ca="1" si="12"/>
        <v>0</v>
      </c>
      <c r="N160" s="56" t="e">
        <f t="shared" ca="1" si="13"/>
        <v>#N/A</v>
      </c>
      <c r="O160" s="56" t="e">
        <f t="shared" ca="1" si="14"/>
        <v>#N/A</v>
      </c>
      <c r="P160" s="2">
        <f ca="1">SUMIF(MICRO!AP:AP,O160,MICRO!AS:AS)</f>
        <v>0</v>
      </c>
      <c r="Q160" s="2">
        <f ca="1">SUMIF(MICRO!AP:AP,O160,MICRO!AT:AT)</f>
        <v>0</v>
      </c>
      <c r="R160" s="2">
        <f ca="1"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 ca="1">VLOOKUP(Tabela2[[#This Row],[TAG]],MICRO!J:L,3,0)</f>
        <v>#N/A</v>
      </c>
      <c r="F161" s="44" t="s">
        <v>44</v>
      </c>
      <c r="G161" s="58">
        <f ca="1">SUMIF(MICRO!AP:AP,O:O,MICRO!H:H)</f>
        <v>0</v>
      </c>
      <c r="H161" s="1">
        <f ca="1">SUMIF(MICRO!AP:AP,O:O,MICRO!R:R)</f>
        <v>0</v>
      </c>
      <c r="I161" s="1">
        <f ca="1">SUMIF(MICRO!AP:AP,O:O,MICRO!T:T)</f>
        <v>0</v>
      </c>
      <c r="J161" s="59">
        <f t="shared" ca="1" si="10"/>
        <v>0</v>
      </c>
      <c r="K161" s="1">
        <f ca="1">SUMIF(MICRO!AP:AP,O:O,MICRO!X:X)</f>
        <v>0</v>
      </c>
      <c r="L161" s="59" t="str">
        <f t="shared" ca="1" si="11"/>
        <v>0%</v>
      </c>
      <c r="M161" s="1">
        <f t="shared" ca="1" si="12"/>
        <v>0</v>
      </c>
      <c r="N161" s="56" t="e">
        <f t="shared" ca="1" si="13"/>
        <v>#N/A</v>
      </c>
      <c r="O161" s="56" t="e">
        <f t="shared" ca="1" si="14"/>
        <v>#N/A</v>
      </c>
      <c r="P161" s="2">
        <f ca="1">SUMIF(MICRO!AP:AP,O161,MICRO!AS:AS)</f>
        <v>0</v>
      </c>
      <c r="Q161" s="2">
        <f ca="1">SUMIF(MICRO!AP:AP,O161,MICRO!AT:AT)</f>
        <v>0</v>
      </c>
      <c r="R161" s="2">
        <f ca="1"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 ca="1">VLOOKUP(Tabela2[[#This Row],[TAG]],MICRO!J:L,3,0)</f>
        <v>#N/A</v>
      </c>
      <c r="F162" s="44" t="s">
        <v>22</v>
      </c>
      <c r="G162" s="58">
        <f ca="1">SUMIF(MICRO!AP:AP,O:O,MICRO!H:H)</f>
        <v>0</v>
      </c>
      <c r="H162" s="1">
        <f ca="1">SUMIF(MICRO!AP:AP,O:O,MICRO!R:R)</f>
        <v>0</v>
      </c>
      <c r="I162" s="1">
        <f ca="1">SUMIF(MICRO!AP:AP,O:O,MICRO!T:T)</f>
        <v>0</v>
      </c>
      <c r="J162" s="59">
        <f t="shared" ca="1" si="10"/>
        <v>0</v>
      </c>
      <c r="K162" s="1">
        <f ca="1">SUMIF(MICRO!AP:AP,O:O,MICRO!X:X)</f>
        <v>0</v>
      </c>
      <c r="L162" s="59" t="str">
        <f t="shared" ca="1" si="11"/>
        <v>0%</v>
      </c>
      <c r="M162" s="1">
        <f t="shared" ca="1" si="12"/>
        <v>0</v>
      </c>
      <c r="N162" s="56" t="e">
        <f t="shared" ca="1" si="13"/>
        <v>#N/A</v>
      </c>
      <c r="O162" s="56" t="e">
        <f t="shared" ca="1" si="14"/>
        <v>#N/A</v>
      </c>
      <c r="P162" s="2">
        <f ca="1">SUMIF(MICRO!AP:AP,O162,MICRO!AS:AS)</f>
        <v>0</v>
      </c>
      <c r="Q162" s="2">
        <f ca="1">SUMIF(MICRO!AP:AP,O162,MICRO!AT:AT)</f>
        <v>0</v>
      </c>
      <c r="R162" s="2">
        <f ca="1"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 ca="1">VLOOKUP(Tabela2[[#This Row],[TAG]],MICRO!J:L,3,0)</f>
        <v>#N/A</v>
      </c>
      <c r="F163" s="44" t="s">
        <v>32</v>
      </c>
      <c r="G163" s="58">
        <f ca="1">SUMIF(MICRO!AP:AP,O:O,MICRO!H:H)</f>
        <v>0</v>
      </c>
      <c r="H163" s="1">
        <f ca="1">SUMIF(MICRO!AP:AP,O:O,MICRO!R:R)</f>
        <v>0</v>
      </c>
      <c r="I163" s="1">
        <f ca="1">SUMIF(MICRO!AP:AP,O:O,MICRO!T:T)</f>
        <v>0</v>
      </c>
      <c r="J163" s="59">
        <f t="shared" ca="1" si="10"/>
        <v>0</v>
      </c>
      <c r="K163" s="1">
        <f ca="1">SUMIF(MICRO!AP:AP,O:O,MICRO!X:X)</f>
        <v>0</v>
      </c>
      <c r="L163" s="59" t="str">
        <f t="shared" ca="1" si="11"/>
        <v>0%</v>
      </c>
      <c r="M163" s="1">
        <f t="shared" ca="1" si="12"/>
        <v>0</v>
      </c>
      <c r="N163" s="56" t="e">
        <f t="shared" ca="1" si="13"/>
        <v>#N/A</v>
      </c>
      <c r="O163" s="56" t="e">
        <f t="shared" ca="1" si="14"/>
        <v>#N/A</v>
      </c>
      <c r="P163" s="2">
        <f ca="1">SUMIF(MICRO!AP:AP,O163,MICRO!AS:AS)</f>
        <v>0</v>
      </c>
      <c r="Q163" s="2">
        <f ca="1">SUMIF(MICRO!AP:AP,O163,MICRO!AT:AT)</f>
        <v>0</v>
      </c>
      <c r="R163" s="2">
        <f ca="1"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 ca="1">VLOOKUP(Tabela2[[#This Row],[TAG]],MICRO!J:L,3,0)</f>
        <v>#N/A</v>
      </c>
      <c r="F164" s="44" t="s">
        <v>23</v>
      </c>
      <c r="G164" s="58">
        <f ca="1">SUMIF(MICRO!AP:AP,O:O,MICRO!H:H)</f>
        <v>0</v>
      </c>
      <c r="H164" s="1">
        <f ca="1">SUMIF(MICRO!AP:AP,O:O,MICRO!R:R)</f>
        <v>0</v>
      </c>
      <c r="I164" s="1">
        <f ca="1">SUMIF(MICRO!AP:AP,O:O,MICRO!T:T)</f>
        <v>0</v>
      </c>
      <c r="J164" s="59">
        <f t="shared" ca="1" si="10"/>
        <v>0</v>
      </c>
      <c r="K164" s="1">
        <f ca="1">SUMIF(MICRO!AP:AP,O:O,MICRO!X:X)</f>
        <v>0</v>
      </c>
      <c r="L164" s="59" t="str">
        <f t="shared" ca="1" si="11"/>
        <v>0%</v>
      </c>
      <c r="M164" s="1">
        <f t="shared" ca="1" si="12"/>
        <v>0</v>
      </c>
      <c r="N164" s="56" t="e">
        <f t="shared" ca="1" si="13"/>
        <v>#N/A</v>
      </c>
      <c r="O164" s="56" t="e">
        <f t="shared" ca="1" si="14"/>
        <v>#N/A</v>
      </c>
      <c r="P164" s="2">
        <f ca="1">SUMIF(MICRO!AP:AP,O164,MICRO!AS:AS)</f>
        <v>0</v>
      </c>
      <c r="Q164" s="2">
        <f ca="1">SUMIF(MICRO!AP:AP,O164,MICRO!AT:AT)</f>
        <v>0</v>
      </c>
      <c r="R164" s="2">
        <f ca="1"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 ca="1">VLOOKUP(Tabela2[[#This Row],[TAG]],MICRO!J:L,3,0)</f>
        <v>#N/A</v>
      </c>
      <c r="F165" s="44" t="s">
        <v>45</v>
      </c>
      <c r="G165" s="58">
        <f ca="1">SUMIF(MICRO!AP:AP,O:O,MICRO!H:H)</f>
        <v>0</v>
      </c>
      <c r="H165" s="1">
        <f ca="1">SUMIF(MICRO!AP:AP,O:O,MICRO!R:R)</f>
        <v>0</v>
      </c>
      <c r="I165" s="1">
        <f ca="1">SUMIF(MICRO!AP:AP,O:O,MICRO!T:T)</f>
        <v>0</v>
      </c>
      <c r="J165" s="59">
        <f t="shared" ca="1" si="10"/>
        <v>0</v>
      </c>
      <c r="K165" s="1">
        <f ca="1">SUMIF(MICRO!AP:AP,O:O,MICRO!X:X)</f>
        <v>0</v>
      </c>
      <c r="L165" s="59" t="str">
        <f t="shared" ca="1" si="11"/>
        <v>0%</v>
      </c>
      <c r="M165" s="1">
        <f t="shared" ca="1" si="12"/>
        <v>0</v>
      </c>
      <c r="N165" s="56" t="e">
        <f t="shared" ca="1" si="13"/>
        <v>#N/A</v>
      </c>
      <c r="O165" s="56" t="e">
        <f t="shared" ca="1" si="14"/>
        <v>#N/A</v>
      </c>
      <c r="P165" s="2">
        <f ca="1">SUMIF(MICRO!AP:AP,O165,MICRO!AS:AS)</f>
        <v>0</v>
      </c>
      <c r="Q165" s="2">
        <f ca="1">SUMIF(MICRO!AP:AP,O165,MICRO!AT:AT)</f>
        <v>0</v>
      </c>
      <c r="R165" s="2">
        <f ca="1"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 ca="1">VLOOKUP(Tabela2[[#This Row],[TAG]],MICRO!J:L,3,0)</f>
        <v>#N/A</v>
      </c>
      <c r="F166" s="44" t="s">
        <v>32</v>
      </c>
      <c r="G166" s="58">
        <f ca="1">SUMIF(MICRO!AP:AP,O:O,MICRO!H:H)</f>
        <v>0</v>
      </c>
      <c r="H166" s="1">
        <f ca="1">SUMIF(MICRO!AP:AP,O:O,MICRO!R:R)</f>
        <v>0</v>
      </c>
      <c r="I166" s="1">
        <f ca="1">SUMIF(MICRO!AP:AP,O:O,MICRO!T:T)</f>
        <v>0</v>
      </c>
      <c r="J166" s="59">
        <f t="shared" ca="1" si="10"/>
        <v>0</v>
      </c>
      <c r="K166" s="1">
        <f ca="1">SUMIF(MICRO!AP:AP,O:O,MICRO!X:X)</f>
        <v>0</v>
      </c>
      <c r="L166" s="59" t="str">
        <f t="shared" ca="1" si="11"/>
        <v>0%</v>
      </c>
      <c r="M166" s="1">
        <f t="shared" ca="1" si="12"/>
        <v>0</v>
      </c>
      <c r="N166" s="56" t="e">
        <f t="shared" ca="1" si="13"/>
        <v>#N/A</v>
      </c>
      <c r="O166" s="56" t="e">
        <f t="shared" ca="1" si="14"/>
        <v>#N/A</v>
      </c>
      <c r="P166" s="2">
        <f ca="1">SUMIF(MICRO!AP:AP,O166,MICRO!AS:AS)</f>
        <v>0</v>
      </c>
      <c r="Q166" s="2">
        <f ca="1">SUMIF(MICRO!AP:AP,O166,MICRO!AT:AT)</f>
        <v>0</v>
      </c>
      <c r="R166" s="2">
        <f ca="1"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 ca="1">VLOOKUP(Tabela2[[#This Row],[TAG]],MICRO!J:L,3,0)</f>
        <v>#N/A</v>
      </c>
      <c r="F167" s="44" t="s">
        <v>31</v>
      </c>
      <c r="G167" s="58">
        <f ca="1">SUMIF(MICRO!AP:AP,O:O,MICRO!H:H)</f>
        <v>0</v>
      </c>
      <c r="H167" s="1">
        <f ca="1">SUMIF(MICRO!AP:AP,O:O,MICRO!R:R)</f>
        <v>0</v>
      </c>
      <c r="I167" s="1">
        <f ca="1">SUMIF(MICRO!AP:AP,O:O,MICRO!T:T)</f>
        <v>0</v>
      </c>
      <c r="J167" s="59">
        <f t="shared" ca="1" si="10"/>
        <v>0</v>
      </c>
      <c r="K167" s="1">
        <f ca="1">SUMIF(MICRO!AP:AP,O:O,MICRO!X:X)</f>
        <v>0</v>
      </c>
      <c r="L167" s="59" t="str">
        <f t="shared" ca="1" si="11"/>
        <v>0%</v>
      </c>
      <c r="M167" s="1">
        <f t="shared" ca="1" si="12"/>
        <v>0</v>
      </c>
      <c r="N167" s="56" t="e">
        <f t="shared" ca="1" si="13"/>
        <v>#N/A</v>
      </c>
      <c r="O167" s="56" t="e">
        <f t="shared" ca="1" si="14"/>
        <v>#N/A</v>
      </c>
      <c r="P167" s="2">
        <f ca="1">SUMIF(MICRO!AP:AP,O167,MICRO!AS:AS)</f>
        <v>0</v>
      </c>
      <c r="Q167" s="2">
        <f ca="1">SUMIF(MICRO!AP:AP,O167,MICRO!AT:AT)</f>
        <v>0</v>
      </c>
      <c r="R167" s="2">
        <f ca="1"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 ca="1">VLOOKUP(Tabela2[[#This Row],[TAG]],MICRO!J:L,3,0)</f>
        <v>#N/A</v>
      </c>
      <c r="F168" s="44" t="s">
        <v>31</v>
      </c>
      <c r="G168" s="58">
        <f ca="1">SUMIF(MICRO!AP:AP,O:O,MICRO!H:H)</f>
        <v>0</v>
      </c>
      <c r="H168" s="1">
        <f ca="1">SUMIF(MICRO!AP:AP,O:O,MICRO!R:R)</f>
        <v>0</v>
      </c>
      <c r="I168" s="1">
        <f ca="1">SUMIF(MICRO!AP:AP,O:O,MICRO!T:T)</f>
        <v>0</v>
      </c>
      <c r="J168" s="59">
        <f t="shared" ca="1" si="10"/>
        <v>0</v>
      </c>
      <c r="K168" s="1">
        <f ca="1">SUMIF(MICRO!AP:AP,O:O,MICRO!X:X)</f>
        <v>0</v>
      </c>
      <c r="L168" s="59" t="str">
        <f t="shared" ca="1" si="11"/>
        <v>0%</v>
      </c>
      <c r="M168" s="1">
        <f t="shared" ca="1" si="12"/>
        <v>0</v>
      </c>
      <c r="N168" s="56" t="e">
        <f t="shared" ca="1" si="13"/>
        <v>#N/A</v>
      </c>
      <c r="O168" s="56" t="e">
        <f t="shared" ca="1" si="14"/>
        <v>#N/A</v>
      </c>
      <c r="P168" s="2">
        <f ca="1">SUMIF(MICRO!AP:AP,O168,MICRO!AS:AS)</f>
        <v>0</v>
      </c>
      <c r="Q168" s="2">
        <f ca="1">SUMIF(MICRO!AP:AP,O168,MICRO!AT:AT)</f>
        <v>0</v>
      </c>
      <c r="R168" s="2">
        <f ca="1"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 ca="1">VLOOKUP(Tabela2[[#This Row],[TAG]],MICRO!J:L,3,0)</f>
        <v>#N/A</v>
      </c>
      <c r="F169" s="44" t="s">
        <v>44</v>
      </c>
      <c r="G169" s="58">
        <f ca="1">SUMIF(MICRO!AP:AP,O:O,MICRO!H:H)</f>
        <v>0</v>
      </c>
      <c r="H169" s="1">
        <f ca="1">SUMIF(MICRO!AP:AP,O:O,MICRO!R:R)</f>
        <v>0</v>
      </c>
      <c r="I169" s="1">
        <f ca="1">SUMIF(MICRO!AP:AP,O:O,MICRO!T:T)</f>
        <v>0</v>
      </c>
      <c r="J169" s="59">
        <f t="shared" ca="1" si="10"/>
        <v>0</v>
      </c>
      <c r="K169" s="1">
        <f ca="1">SUMIF(MICRO!AP:AP,O:O,MICRO!X:X)</f>
        <v>0</v>
      </c>
      <c r="L169" s="59" t="str">
        <f t="shared" ca="1" si="11"/>
        <v>0%</v>
      </c>
      <c r="M169" s="1">
        <f t="shared" ca="1" si="12"/>
        <v>0</v>
      </c>
      <c r="N169" s="56" t="e">
        <f t="shared" ca="1" si="13"/>
        <v>#N/A</v>
      </c>
      <c r="O169" s="56" t="e">
        <f t="shared" ca="1" si="14"/>
        <v>#N/A</v>
      </c>
      <c r="P169" s="2">
        <f ca="1">SUMIF(MICRO!AP:AP,O169,MICRO!AS:AS)</f>
        <v>0</v>
      </c>
      <c r="Q169" s="2">
        <f ca="1">SUMIF(MICRO!AP:AP,O169,MICRO!AT:AT)</f>
        <v>0</v>
      </c>
      <c r="R169" s="2">
        <f ca="1"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 ca="1">VLOOKUP(Tabela2[[#This Row],[TAG]],MICRO!J:L,3,0)</f>
        <v>#N/A</v>
      </c>
      <c r="F170" s="44" t="s">
        <v>23</v>
      </c>
      <c r="G170" s="58">
        <f ca="1">SUMIF(MICRO!AP:AP,O:O,MICRO!H:H)</f>
        <v>0</v>
      </c>
      <c r="H170" s="1">
        <f ca="1">SUMIF(MICRO!AP:AP,O:O,MICRO!R:R)</f>
        <v>0</v>
      </c>
      <c r="I170" s="1">
        <f ca="1">SUMIF(MICRO!AP:AP,O:O,MICRO!T:T)</f>
        <v>0</v>
      </c>
      <c r="J170" s="59">
        <f t="shared" ca="1" si="10"/>
        <v>0</v>
      </c>
      <c r="K170" s="1">
        <f ca="1">SUMIF(MICRO!AP:AP,O:O,MICRO!X:X)</f>
        <v>0</v>
      </c>
      <c r="L170" s="59" t="str">
        <f t="shared" ca="1" si="11"/>
        <v>0%</v>
      </c>
      <c r="M170" s="1">
        <f t="shared" ca="1" si="12"/>
        <v>0</v>
      </c>
      <c r="N170" s="56" t="e">
        <f t="shared" ca="1" si="13"/>
        <v>#N/A</v>
      </c>
      <c r="O170" s="56" t="e">
        <f t="shared" ca="1" si="14"/>
        <v>#N/A</v>
      </c>
      <c r="P170" s="2">
        <f ca="1">SUMIF(MICRO!AP:AP,O170,MICRO!AS:AS)</f>
        <v>0</v>
      </c>
      <c r="Q170" s="2">
        <f ca="1">SUMIF(MICRO!AP:AP,O170,MICRO!AT:AT)</f>
        <v>0</v>
      </c>
      <c r="R170" s="2">
        <f ca="1"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 ca="1">VLOOKUP(Tabela2[[#This Row],[TAG]],MICRO!J:L,3,0)</f>
        <v>#N/A</v>
      </c>
      <c r="F171" s="44" t="s">
        <v>44</v>
      </c>
      <c r="G171" s="58">
        <f ca="1">SUMIF(MICRO!AP:AP,O:O,MICRO!H:H)</f>
        <v>0</v>
      </c>
      <c r="H171" s="1">
        <f ca="1">SUMIF(MICRO!AP:AP,O:O,MICRO!R:R)</f>
        <v>0</v>
      </c>
      <c r="I171" s="1">
        <f ca="1">SUMIF(MICRO!AP:AP,O:O,MICRO!T:T)</f>
        <v>0</v>
      </c>
      <c r="J171" s="59">
        <f t="shared" ca="1" si="10"/>
        <v>0</v>
      </c>
      <c r="K171" s="1">
        <f ca="1">SUMIF(MICRO!AP:AP,O:O,MICRO!X:X)</f>
        <v>0</v>
      </c>
      <c r="L171" s="59" t="str">
        <f t="shared" ca="1" si="11"/>
        <v>0%</v>
      </c>
      <c r="M171" s="1">
        <f t="shared" ca="1" si="12"/>
        <v>0</v>
      </c>
      <c r="N171" s="56" t="e">
        <f t="shared" ca="1" si="13"/>
        <v>#N/A</v>
      </c>
      <c r="O171" s="56" t="e">
        <f t="shared" ca="1" si="14"/>
        <v>#N/A</v>
      </c>
      <c r="P171" s="2">
        <f ca="1">SUMIF(MICRO!AP:AP,O171,MICRO!AS:AS)</f>
        <v>0</v>
      </c>
      <c r="Q171" s="2">
        <f ca="1">SUMIF(MICRO!AP:AP,O171,MICRO!AT:AT)</f>
        <v>0</v>
      </c>
      <c r="R171" s="2">
        <f ca="1"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 ca="1">VLOOKUP(Tabela2[[#This Row],[TAG]],MICRO!J:L,3,0)</f>
        <v>#N/A</v>
      </c>
      <c r="F172" s="44" t="s">
        <v>22</v>
      </c>
      <c r="G172" s="58">
        <f ca="1">SUMIF(MICRO!AP:AP,O:O,MICRO!H:H)</f>
        <v>0</v>
      </c>
      <c r="H172" s="1">
        <f ca="1">SUMIF(MICRO!AP:AP,O:O,MICRO!R:R)</f>
        <v>0</v>
      </c>
      <c r="I172" s="1">
        <f ca="1">SUMIF(MICRO!AP:AP,O:O,MICRO!T:T)</f>
        <v>0</v>
      </c>
      <c r="J172" s="59">
        <f t="shared" ca="1" si="10"/>
        <v>0</v>
      </c>
      <c r="K172" s="1">
        <f ca="1">SUMIF(MICRO!AP:AP,O:O,MICRO!X:X)</f>
        <v>0</v>
      </c>
      <c r="L172" s="59" t="str">
        <f t="shared" ca="1" si="11"/>
        <v>0%</v>
      </c>
      <c r="M172" s="1">
        <f t="shared" ca="1" si="12"/>
        <v>0</v>
      </c>
      <c r="N172" s="56" t="e">
        <f t="shared" ca="1" si="13"/>
        <v>#N/A</v>
      </c>
      <c r="O172" s="56" t="e">
        <f t="shared" ca="1" si="14"/>
        <v>#N/A</v>
      </c>
      <c r="P172" s="2">
        <f ca="1">SUMIF(MICRO!AP:AP,O172,MICRO!AS:AS)</f>
        <v>0</v>
      </c>
      <c r="Q172" s="2">
        <f ca="1">SUMIF(MICRO!AP:AP,O172,MICRO!AT:AT)</f>
        <v>0</v>
      </c>
      <c r="R172" s="2">
        <f ca="1"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 ca="1">VLOOKUP(Tabela2[[#This Row],[TAG]],MICRO!J:L,3,0)</f>
        <v>#N/A</v>
      </c>
      <c r="F173" s="44" t="s">
        <v>22</v>
      </c>
      <c r="G173" s="58">
        <f ca="1">SUMIF(MICRO!AP:AP,O:O,MICRO!H:H)</f>
        <v>0</v>
      </c>
      <c r="H173" s="1">
        <f ca="1">SUMIF(MICRO!AP:AP,O:O,MICRO!R:R)</f>
        <v>0</v>
      </c>
      <c r="I173" s="1">
        <f ca="1">SUMIF(MICRO!AP:AP,O:O,MICRO!T:T)</f>
        <v>0</v>
      </c>
      <c r="J173" s="59">
        <f t="shared" ca="1" si="10"/>
        <v>0</v>
      </c>
      <c r="K173" s="1">
        <f ca="1">SUMIF(MICRO!AP:AP,O:O,MICRO!X:X)</f>
        <v>0</v>
      </c>
      <c r="L173" s="59" t="str">
        <f t="shared" ca="1" si="11"/>
        <v>0%</v>
      </c>
      <c r="M173" s="1">
        <f t="shared" ca="1" si="12"/>
        <v>0</v>
      </c>
      <c r="N173" s="56" t="e">
        <f t="shared" ca="1" si="13"/>
        <v>#N/A</v>
      </c>
      <c r="O173" s="56" t="e">
        <f t="shared" ca="1" si="14"/>
        <v>#N/A</v>
      </c>
      <c r="P173" s="2">
        <f ca="1">SUMIF(MICRO!AP:AP,O173,MICRO!AS:AS)</f>
        <v>0</v>
      </c>
      <c r="Q173" s="2">
        <f ca="1">SUMIF(MICRO!AP:AP,O173,MICRO!AT:AT)</f>
        <v>0</v>
      </c>
      <c r="R173" s="2">
        <f ca="1"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 ca="1">VLOOKUP(Tabela2[[#This Row],[TAG]],MICRO!J:L,3,0)</f>
        <v>#N/A</v>
      </c>
      <c r="F174" s="44" t="s">
        <v>22</v>
      </c>
      <c r="G174" s="58">
        <f ca="1">SUMIF(MICRO!AP:AP,O:O,MICRO!H:H)</f>
        <v>0</v>
      </c>
      <c r="H174" s="1">
        <f ca="1">SUMIF(MICRO!AP:AP,O:O,MICRO!R:R)</f>
        <v>0</v>
      </c>
      <c r="I174" s="1">
        <f ca="1">SUMIF(MICRO!AP:AP,O:O,MICRO!T:T)</f>
        <v>0</v>
      </c>
      <c r="J174" s="59">
        <f t="shared" ca="1" si="10"/>
        <v>0</v>
      </c>
      <c r="K174" s="1">
        <f ca="1">SUMIF(MICRO!AP:AP,O:O,MICRO!X:X)</f>
        <v>0</v>
      </c>
      <c r="L174" s="59" t="str">
        <f t="shared" ca="1" si="11"/>
        <v>0%</v>
      </c>
      <c r="M174" s="1">
        <f t="shared" ca="1" si="12"/>
        <v>0</v>
      </c>
      <c r="N174" s="56" t="e">
        <f t="shared" ca="1" si="13"/>
        <v>#N/A</v>
      </c>
      <c r="O174" s="56" t="e">
        <f t="shared" ca="1" si="14"/>
        <v>#N/A</v>
      </c>
      <c r="P174" s="2">
        <f ca="1">SUMIF(MICRO!AP:AP,O174,MICRO!AS:AS)</f>
        <v>0</v>
      </c>
      <c r="Q174" s="2">
        <f ca="1">SUMIF(MICRO!AP:AP,O174,MICRO!AT:AT)</f>
        <v>0</v>
      </c>
      <c r="R174" s="2">
        <f ca="1"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 ca="1">VLOOKUP(Tabela2[[#This Row],[TAG]],MICRO!J:L,3,0)</f>
        <v>#N/A</v>
      </c>
      <c r="F175" s="44" t="s">
        <v>22</v>
      </c>
      <c r="G175" s="58">
        <f ca="1">SUMIF(MICRO!AP:AP,O:O,MICRO!H:H)</f>
        <v>0</v>
      </c>
      <c r="H175" s="1">
        <f ca="1">SUMIF(MICRO!AP:AP,O:O,MICRO!R:R)</f>
        <v>0</v>
      </c>
      <c r="I175" s="1">
        <f ca="1">SUMIF(MICRO!AP:AP,O:O,MICRO!T:T)</f>
        <v>0</v>
      </c>
      <c r="J175" s="59">
        <f t="shared" ca="1" si="10"/>
        <v>0</v>
      </c>
      <c r="K175" s="1">
        <f ca="1">SUMIF(MICRO!AP:AP,O:O,MICRO!X:X)</f>
        <v>0</v>
      </c>
      <c r="L175" s="59" t="str">
        <f t="shared" ca="1" si="11"/>
        <v>0%</v>
      </c>
      <c r="M175" s="1">
        <f t="shared" ca="1" si="12"/>
        <v>0</v>
      </c>
      <c r="N175" s="56" t="e">
        <f t="shared" ca="1" si="13"/>
        <v>#N/A</v>
      </c>
      <c r="O175" s="56" t="e">
        <f t="shared" ca="1" si="14"/>
        <v>#N/A</v>
      </c>
      <c r="P175" s="2">
        <f ca="1">SUMIF(MICRO!AP:AP,O175,MICRO!AS:AS)</f>
        <v>0</v>
      </c>
      <c r="Q175" s="2">
        <f ca="1">SUMIF(MICRO!AP:AP,O175,MICRO!AT:AT)</f>
        <v>0</v>
      </c>
      <c r="R175" s="2">
        <f ca="1"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 ca="1">VLOOKUP(Tabela2[[#This Row],[TAG]],MICRO!J:L,3,0)</f>
        <v>#N/A</v>
      </c>
      <c r="F176" s="44" t="s">
        <v>31</v>
      </c>
      <c r="G176" s="58">
        <f ca="1">SUMIF(MICRO!AP:AP,O:O,MICRO!H:H)</f>
        <v>0</v>
      </c>
      <c r="H176" s="1">
        <f ca="1">SUMIF(MICRO!AP:AP,O:O,MICRO!R:R)</f>
        <v>0</v>
      </c>
      <c r="I176" s="1">
        <f ca="1">SUMIF(MICRO!AP:AP,O:O,MICRO!T:T)</f>
        <v>0</v>
      </c>
      <c r="J176" s="59">
        <f t="shared" ca="1" si="10"/>
        <v>0</v>
      </c>
      <c r="K176" s="1">
        <f ca="1">SUMIF(MICRO!AP:AP,O:O,MICRO!X:X)</f>
        <v>0</v>
      </c>
      <c r="L176" s="59" t="str">
        <f t="shared" ca="1" si="11"/>
        <v>0%</v>
      </c>
      <c r="M176" s="1">
        <f t="shared" ca="1" si="12"/>
        <v>0</v>
      </c>
      <c r="N176" s="56" t="e">
        <f t="shared" ca="1" si="13"/>
        <v>#N/A</v>
      </c>
      <c r="O176" s="56" t="e">
        <f t="shared" ca="1" si="14"/>
        <v>#N/A</v>
      </c>
      <c r="P176" s="2">
        <f ca="1">SUMIF(MICRO!AP:AP,O176,MICRO!AS:AS)</f>
        <v>0</v>
      </c>
      <c r="Q176" s="2">
        <f ca="1">SUMIF(MICRO!AP:AP,O176,MICRO!AT:AT)</f>
        <v>0</v>
      </c>
      <c r="R176" s="2">
        <f ca="1"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 ca="1">VLOOKUP(Tabela2[[#This Row],[TAG]],MICRO!J:L,3,0)</f>
        <v>#N/A</v>
      </c>
      <c r="F177" s="44" t="s">
        <v>23</v>
      </c>
      <c r="G177" s="58">
        <f ca="1">SUMIF(MICRO!AP:AP,O:O,MICRO!H:H)</f>
        <v>0</v>
      </c>
      <c r="H177" s="1">
        <f ca="1">SUMIF(MICRO!AP:AP,O:O,MICRO!R:R)</f>
        <v>0</v>
      </c>
      <c r="I177" s="1">
        <f ca="1">SUMIF(MICRO!AP:AP,O:O,MICRO!T:T)</f>
        <v>0</v>
      </c>
      <c r="J177" s="59">
        <f t="shared" ca="1" si="10"/>
        <v>0</v>
      </c>
      <c r="K177" s="1">
        <f ca="1">SUMIF(MICRO!AP:AP,O:O,MICRO!X:X)</f>
        <v>0</v>
      </c>
      <c r="L177" s="59" t="str">
        <f t="shared" ca="1" si="11"/>
        <v>0%</v>
      </c>
      <c r="M177" s="1">
        <f t="shared" ca="1" si="12"/>
        <v>0</v>
      </c>
      <c r="N177" s="56" t="e">
        <f t="shared" ca="1" si="13"/>
        <v>#N/A</v>
      </c>
      <c r="O177" s="56" t="e">
        <f t="shared" ca="1" si="14"/>
        <v>#N/A</v>
      </c>
      <c r="P177" s="2">
        <f ca="1">SUMIF(MICRO!AP:AP,O177,MICRO!AS:AS)</f>
        <v>0</v>
      </c>
      <c r="Q177" s="2">
        <f ca="1">SUMIF(MICRO!AP:AP,O177,MICRO!AT:AT)</f>
        <v>0</v>
      </c>
      <c r="R177" s="2">
        <f ca="1"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 ca="1">VLOOKUP(Tabela2[[#This Row],[TAG]],MICRO!J:L,3,0)</f>
        <v>#N/A</v>
      </c>
      <c r="F178" s="44" t="s">
        <v>23</v>
      </c>
      <c r="G178" s="58">
        <f ca="1">SUMIF(MICRO!AP:AP,O:O,MICRO!H:H)</f>
        <v>0</v>
      </c>
      <c r="H178" s="1">
        <f ca="1">SUMIF(MICRO!AP:AP,O:O,MICRO!R:R)</f>
        <v>0</v>
      </c>
      <c r="I178" s="1">
        <f ca="1">SUMIF(MICRO!AP:AP,O:O,MICRO!T:T)</f>
        <v>0</v>
      </c>
      <c r="J178" s="59">
        <f t="shared" ca="1" si="10"/>
        <v>0</v>
      </c>
      <c r="K178" s="1">
        <f ca="1">SUMIF(MICRO!AP:AP,O:O,MICRO!X:X)</f>
        <v>0</v>
      </c>
      <c r="L178" s="59" t="str">
        <f t="shared" ca="1" si="11"/>
        <v>0%</v>
      </c>
      <c r="M178" s="1">
        <f t="shared" ca="1" si="12"/>
        <v>0</v>
      </c>
      <c r="N178" s="56" t="e">
        <f t="shared" ca="1" si="13"/>
        <v>#N/A</v>
      </c>
      <c r="O178" s="56" t="e">
        <f t="shared" ca="1" si="14"/>
        <v>#N/A</v>
      </c>
      <c r="P178" s="2">
        <f ca="1">SUMIF(MICRO!AP:AP,O178,MICRO!AS:AS)</f>
        <v>0</v>
      </c>
      <c r="Q178" s="2">
        <f ca="1">SUMIF(MICRO!AP:AP,O178,MICRO!AT:AT)</f>
        <v>0</v>
      </c>
      <c r="R178" s="2">
        <f ca="1"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 ca="1">VLOOKUP(Tabela2[[#This Row],[TAG]],MICRO!J:L,3,0)</f>
        <v>#N/A</v>
      </c>
      <c r="F179" s="44" t="s">
        <v>23</v>
      </c>
      <c r="G179" s="58">
        <f ca="1">SUMIF(MICRO!AP:AP,O:O,MICRO!H:H)</f>
        <v>0</v>
      </c>
      <c r="H179" s="1">
        <f ca="1">SUMIF(MICRO!AP:AP,O:O,MICRO!R:R)</f>
        <v>0</v>
      </c>
      <c r="I179" s="1">
        <f ca="1">SUMIF(MICRO!AP:AP,O:O,MICRO!T:T)</f>
        <v>0</v>
      </c>
      <c r="J179" s="59">
        <f t="shared" ca="1" si="10"/>
        <v>0</v>
      </c>
      <c r="K179" s="1">
        <f ca="1">SUMIF(MICRO!AP:AP,O:O,MICRO!X:X)</f>
        <v>0</v>
      </c>
      <c r="L179" s="59" t="str">
        <f t="shared" ca="1" si="11"/>
        <v>0%</v>
      </c>
      <c r="M179" s="1">
        <f t="shared" ca="1" si="12"/>
        <v>0</v>
      </c>
      <c r="N179" s="56" t="e">
        <f t="shared" ca="1" si="13"/>
        <v>#N/A</v>
      </c>
      <c r="O179" s="56" t="e">
        <f t="shared" ca="1" si="14"/>
        <v>#N/A</v>
      </c>
      <c r="P179" s="2">
        <f ca="1">SUMIF(MICRO!AP:AP,O179,MICRO!AS:AS)</f>
        <v>0</v>
      </c>
      <c r="Q179" s="2">
        <f ca="1">SUMIF(MICRO!AP:AP,O179,MICRO!AT:AT)</f>
        <v>0</v>
      </c>
      <c r="R179" s="2">
        <f ca="1"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 ca="1">VLOOKUP(Tabela2[[#This Row],[TAG]],MICRO!J:L,3,0)</f>
        <v>#N/A</v>
      </c>
      <c r="F180" s="44" t="s">
        <v>31</v>
      </c>
      <c r="G180" s="58">
        <f ca="1">SUMIF(MICRO!AP:AP,O:O,MICRO!H:H)</f>
        <v>0</v>
      </c>
      <c r="H180" s="1">
        <f ca="1">SUMIF(MICRO!AP:AP,O:O,MICRO!R:R)</f>
        <v>0</v>
      </c>
      <c r="I180" s="1">
        <f ca="1">SUMIF(MICRO!AP:AP,O:O,MICRO!T:T)</f>
        <v>0</v>
      </c>
      <c r="J180" s="59">
        <f t="shared" ca="1" si="10"/>
        <v>0</v>
      </c>
      <c r="K180" s="1">
        <f ca="1">SUMIF(MICRO!AP:AP,O:O,MICRO!X:X)</f>
        <v>0</v>
      </c>
      <c r="L180" s="59" t="str">
        <f t="shared" ca="1" si="11"/>
        <v>0%</v>
      </c>
      <c r="M180" s="1">
        <f t="shared" ca="1" si="12"/>
        <v>0</v>
      </c>
      <c r="N180" s="56" t="e">
        <f t="shared" ca="1" si="13"/>
        <v>#N/A</v>
      </c>
      <c r="O180" s="56" t="e">
        <f t="shared" ca="1" si="14"/>
        <v>#N/A</v>
      </c>
      <c r="P180" s="2">
        <f ca="1">SUMIF(MICRO!AP:AP,O180,MICRO!AS:AS)</f>
        <v>0</v>
      </c>
      <c r="Q180" s="2">
        <f ca="1">SUMIF(MICRO!AP:AP,O180,MICRO!AT:AT)</f>
        <v>0</v>
      </c>
      <c r="R180" s="2">
        <f ca="1"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 ca="1">VLOOKUP(Tabela2[[#This Row],[TAG]],MICRO!J:L,3,0)</f>
        <v>#N/A</v>
      </c>
      <c r="F181" s="44" t="s">
        <v>23</v>
      </c>
      <c r="G181" s="58">
        <f ca="1">SUMIF(MICRO!AP:AP,O:O,MICRO!H:H)</f>
        <v>0</v>
      </c>
      <c r="H181" s="1">
        <f ca="1">SUMIF(MICRO!AP:AP,O:O,MICRO!R:R)</f>
        <v>0</v>
      </c>
      <c r="I181" s="1">
        <f ca="1">SUMIF(MICRO!AP:AP,O:O,MICRO!T:T)</f>
        <v>0</v>
      </c>
      <c r="J181" s="59">
        <f t="shared" ca="1" si="10"/>
        <v>0</v>
      </c>
      <c r="K181" s="1">
        <f ca="1">SUMIF(MICRO!AP:AP,O:O,MICRO!X:X)</f>
        <v>0</v>
      </c>
      <c r="L181" s="59" t="str">
        <f t="shared" ca="1" si="11"/>
        <v>0%</v>
      </c>
      <c r="M181" s="1">
        <f t="shared" ca="1" si="12"/>
        <v>0</v>
      </c>
      <c r="N181" s="56" t="e">
        <f t="shared" ca="1" si="13"/>
        <v>#N/A</v>
      </c>
      <c r="O181" s="56" t="e">
        <f t="shared" ca="1" si="14"/>
        <v>#N/A</v>
      </c>
      <c r="P181" s="2">
        <f ca="1">SUMIF(MICRO!AP:AP,O181,MICRO!AS:AS)</f>
        <v>0</v>
      </c>
      <c r="Q181" s="2">
        <f ca="1">SUMIF(MICRO!AP:AP,O181,MICRO!AT:AT)</f>
        <v>0</v>
      </c>
      <c r="R181" s="2">
        <f ca="1"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 ca="1">VLOOKUP(Tabela2[[#This Row],[TAG]],MICRO!J:L,3,0)</f>
        <v>#N/A</v>
      </c>
      <c r="F182" s="44" t="s">
        <v>31</v>
      </c>
      <c r="G182" s="58">
        <f ca="1">SUMIF(MICRO!AP:AP,O:O,MICRO!H:H)</f>
        <v>0</v>
      </c>
      <c r="H182" s="1">
        <f ca="1">SUMIF(MICRO!AP:AP,O:O,MICRO!R:R)</f>
        <v>0</v>
      </c>
      <c r="I182" s="1">
        <f ca="1">SUMIF(MICRO!AP:AP,O:O,MICRO!T:T)</f>
        <v>0</v>
      </c>
      <c r="J182" s="59">
        <f t="shared" ca="1" si="10"/>
        <v>0</v>
      </c>
      <c r="K182" s="1">
        <f ca="1">SUMIF(MICRO!AP:AP,O:O,MICRO!X:X)</f>
        <v>0</v>
      </c>
      <c r="L182" s="59" t="str">
        <f t="shared" ca="1" si="11"/>
        <v>0%</v>
      </c>
      <c r="M182" s="1">
        <f t="shared" ca="1" si="12"/>
        <v>0</v>
      </c>
      <c r="N182" s="56" t="e">
        <f t="shared" ca="1" si="13"/>
        <v>#N/A</v>
      </c>
      <c r="O182" s="56" t="e">
        <f t="shared" ca="1" si="14"/>
        <v>#N/A</v>
      </c>
      <c r="P182" s="2">
        <f ca="1">SUMIF(MICRO!AP:AP,O182,MICRO!AS:AS)</f>
        <v>0</v>
      </c>
      <c r="Q182" s="2">
        <f ca="1">SUMIF(MICRO!AP:AP,O182,MICRO!AT:AT)</f>
        <v>0</v>
      </c>
      <c r="R182" s="2">
        <f ca="1"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 ca="1">VLOOKUP(Tabela2[[#This Row],[TAG]],MICRO!J:L,3,0)</f>
        <v>#N/A</v>
      </c>
      <c r="F183" s="44" t="s">
        <v>31</v>
      </c>
      <c r="G183" s="58">
        <f ca="1">SUMIF(MICRO!AP:AP,O:O,MICRO!H:H)</f>
        <v>0</v>
      </c>
      <c r="H183" s="1">
        <f ca="1">SUMIF(MICRO!AP:AP,O:O,MICRO!R:R)</f>
        <v>0</v>
      </c>
      <c r="I183" s="1">
        <f ca="1">SUMIF(MICRO!AP:AP,O:O,MICRO!T:T)</f>
        <v>0</v>
      </c>
      <c r="J183" s="59">
        <f t="shared" ca="1" si="10"/>
        <v>0</v>
      </c>
      <c r="K183" s="1">
        <f ca="1">SUMIF(MICRO!AP:AP,O:O,MICRO!X:X)</f>
        <v>0</v>
      </c>
      <c r="L183" s="59" t="str">
        <f t="shared" ca="1" si="11"/>
        <v>0%</v>
      </c>
      <c r="M183" s="1">
        <f t="shared" ca="1" si="12"/>
        <v>0</v>
      </c>
      <c r="N183" s="56" t="e">
        <f t="shared" ca="1" si="13"/>
        <v>#N/A</v>
      </c>
      <c r="O183" s="56" t="e">
        <f t="shared" ca="1" si="14"/>
        <v>#N/A</v>
      </c>
      <c r="P183" s="2">
        <f ca="1">SUMIF(MICRO!AP:AP,O183,MICRO!AS:AS)</f>
        <v>0</v>
      </c>
      <c r="Q183" s="2">
        <f ca="1">SUMIF(MICRO!AP:AP,O183,MICRO!AT:AT)</f>
        <v>0</v>
      </c>
      <c r="R183" s="2">
        <f ca="1">SUMIF(MICRO!AP:AP,O:O,MICRO!AU:AU)</f>
        <v>0</v>
      </c>
    </row>
    <row r="184" spans="3:22" ht="18.75" thickBot="1" x14ac:dyDescent="0.3">
      <c r="D184" s="110" t="s">
        <v>425</v>
      </c>
      <c r="E184" s="111" t="e">
        <f ca="1">VLOOKUP(Tabela2[[#This Row],[TAG]],MICRO!J:L,3,0)</f>
        <v>#N/A</v>
      </c>
      <c r="F184" s="44" t="s">
        <v>31</v>
      </c>
      <c r="G184" s="112">
        <f ca="1">SUMIF(MICRO!AP:AP,O:O,MICRO!H:H)</f>
        <v>0</v>
      </c>
      <c r="H184" s="113">
        <f ca="1">SUMIF(MICRO!AP:AP,O:O,MICRO!R:R)</f>
        <v>0</v>
      </c>
      <c r="I184" s="113">
        <f ca="1">SUMIF(MICRO!AP:AP,O:O,MICRO!T:T)</f>
        <v>0</v>
      </c>
      <c r="J184" s="114">
        <f t="shared" ref="J184:J189" ca="1" si="15">IF(G184 = 0,0,H184/G184)</f>
        <v>0</v>
      </c>
      <c r="K184" s="113">
        <f ca="1">SUMIF(MICRO!AP:AP,O:O,MICRO!X:X)</f>
        <v>0</v>
      </c>
      <c r="L184" s="114" t="str">
        <f t="shared" ref="L184:L189" ca="1" si="16">IF(G184&lt;&gt;0,SUM(K184/G184*1),"0%")</f>
        <v>0%</v>
      </c>
      <c r="M184" s="113">
        <f t="shared" ref="M184:M189" ca="1" si="17">G184-K184</f>
        <v>0</v>
      </c>
      <c r="N184" s="56" t="e">
        <f t="shared" ref="N184:N189" ca="1" si="18">E184&amp;F184</f>
        <v>#N/A</v>
      </c>
      <c r="O184" s="56" t="e">
        <f t="shared" ref="O184:O189" ca="1" si="19">D184&amp;E184&amp;F184</f>
        <v>#N/A</v>
      </c>
      <c r="P184" s="2">
        <f ca="1">SUMIF(MICRO!AP:AP,O184,MICRO!AS:AS)</f>
        <v>0</v>
      </c>
      <c r="Q184">
        <f ca="1">SUMIF(MICRO!AP:AP,O184,MICRO!AT:AT)</f>
        <v>0</v>
      </c>
      <c r="R184">
        <f ca="1"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 ca="1">VLOOKUP(Tabela2[[#This Row],[TAG]],MICRO!J:L,3,0)</f>
        <v>#N/A</v>
      </c>
      <c r="F185" s="44" t="s">
        <v>31</v>
      </c>
      <c r="G185" s="112">
        <f ca="1">SUMIF(MICRO!AP:AP,O:O,MICRO!H:H)</f>
        <v>0</v>
      </c>
      <c r="H185" s="113">
        <f ca="1">SUMIF(MICRO!AP:AP,O:O,MICRO!R:R)</f>
        <v>0</v>
      </c>
      <c r="I185" s="113">
        <f ca="1">SUMIF(MICRO!AP:AP,O:O,MICRO!T:T)</f>
        <v>0</v>
      </c>
      <c r="J185" s="114">
        <f t="shared" ca="1" si="15"/>
        <v>0</v>
      </c>
      <c r="K185" s="113">
        <f ca="1">SUMIF(MICRO!AP:AP,O:O,MICRO!X:X)</f>
        <v>0</v>
      </c>
      <c r="L185" s="114" t="str">
        <f t="shared" ca="1" si="16"/>
        <v>0%</v>
      </c>
      <c r="M185" s="113">
        <f t="shared" ca="1" si="17"/>
        <v>0</v>
      </c>
      <c r="N185" s="56" t="e">
        <f t="shared" ca="1" si="18"/>
        <v>#N/A</v>
      </c>
      <c r="O185" s="56" t="e">
        <f t="shared" ca="1" si="19"/>
        <v>#N/A</v>
      </c>
      <c r="P185" s="2">
        <f ca="1">SUMIF(MICRO!AP:AP,O185,MICRO!AS:AS)</f>
        <v>0</v>
      </c>
      <c r="Q185">
        <f ca="1">SUMIF(MICRO!AP:AP,O185,MICRO!AT:AT)</f>
        <v>0</v>
      </c>
      <c r="R185">
        <f ca="1"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 ca="1">VLOOKUP(Tabela2[[#This Row],[TAG]],MICRO!J:L,3,0)</f>
        <v>#N/A</v>
      </c>
      <c r="F186" s="44" t="s">
        <v>31</v>
      </c>
      <c r="G186" s="112">
        <f ca="1">SUMIF(MICRO!AP:AP,O:O,MICRO!H:H)</f>
        <v>0</v>
      </c>
      <c r="H186" s="113">
        <f ca="1">SUMIF(MICRO!AP:AP,O:O,MICRO!R:R)</f>
        <v>0</v>
      </c>
      <c r="I186" s="113">
        <f ca="1">SUMIF(MICRO!AP:AP,O:O,MICRO!T:T)</f>
        <v>0</v>
      </c>
      <c r="J186" s="114">
        <f t="shared" ca="1" si="15"/>
        <v>0</v>
      </c>
      <c r="K186" s="113">
        <f ca="1">SUMIF(MICRO!AP:AP,O:O,MICRO!X:X)</f>
        <v>0</v>
      </c>
      <c r="L186" s="114" t="str">
        <f t="shared" ca="1" si="16"/>
        <v>0%</v>
      </c>
      <c r="M186" s="113">
        <f t="shared" ca="1" si="17"/>
        <v>0</v>
      </c>
      <c r="N186" s="56" t="e">
        <f t="shared" ca="1" si="18"/>
        <v>#N/A</v>
      </c>
      <c r="O186" s="56" t="e">
        <f t="shared" ca="1" si="19"/>
        <v>#N/A</v>
      </c>
      <c r="P186" s="2">
        <f ca="1">SUMIF(MICRO!AP:AP,O186,MICRO!AS:AS)</f>
        <v>0</v>
      </c>
      <c r="Q186">
        <f ca="1">SUMIF(MICRO!AP:AP,O186,MICRO!AT:AT)</f>
        <v>0</v>
      </c>
      <c r="R186">
        <f ca="1"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 ca="1">VLOOKUP(Tabela2[[#This Row],[TAG]],MICRO!J:L,3,0)</f>
        <v>#N/A</v>
      </c>
      <c r="F187" s="109" t="s">
        <v>23</v>
      </c>
      <c r="G187" s="112">
        <f ca="1">SUMIF(MICRO!AP:AP,O:O,MICRO!H:H)</f>
        <v>0</v>
      </c>
      <c r="H187" s="113">
        <f ca="1">SUMIF(MICRO!AP:AP,O:O,MICRO!R:R)</f>
        <v>0</v>
      </c>
      <c r="I187" s="113">
        <f ca="1">SUMIF(MICRO!AP:AP,O:O,MICRO!T:T)</f>
        <v>0</v>
      </c>
      <c r="J187" s="114">
        <f t="shared" ca="1" si="15"/>
        <v>0</v>
      </c>
      <c r="K187" s="113">
        <f ca="1">SUMIF(MICRO!AP:AP,O:O,MICRO!X:X)</f>
        <v>0</v>
      </c>
      <c r="L187" s="114" t="str">
        <f t="shared" ca="1" si="16"/>
        <v>0%</v>
      </c>
      <c r="M187" s="113">
        <f t="shared" ca="1" si="17"/>
        <v>0</v>
      </c>
      <c r="N187" s="56" t="e">
        <f t="shared" ca="1" si="18"/>
        <v>#N/A</v>
      </c>
      <c r="O187" s="56" t="e">
        <f t="shared" ca="1" si="19"/>
        <v>#N/A</v>
      </c>
      <c r="P187" s="2">
        <f ca="1">SUMIF(MICRO!AP:AP,O187,MICRO!AS:AS)</f>
        <v>0</v>
      </c>
      <c r="Q187">
        <f ca="1">SUMIF(MICRO!AP:AP,O187,MICRO!AT:AT)</f>
        <v>0</v>
      </c>
      <c r="R187">
        <f ca="1"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 ca="1">VLOOKUP(Tabela2[[#This Row],[TAG]],MICRO!J:L,3,0)</f>
        <v>#N/A</v>
      </c>
      <c r="F188" s="109" t="s">
        <v>33</v>
      </c>
      <c r="G188" s="112">
        <f ca="1">SUMIF(MICRO!AP:AP,O:O,MICRO!H:H)</f>
        <v>0</v>
      </c>
      <c r="H188" s="113">
        <f ca="1">SUMIF(MICRO!AP:AP,O:O,MICRO!R:R)</f>
        <v>0</v>
      </c>
      <c r="I188" s="113">
        <f ca="1">SUMIF(MICRO!AP:AP,O:O,MICRO!T:T)</f>
        <v>0</v>
      </c>
      <c r="J188" s="114">
        <f t="shared" ca="1" si="15"/>
        <v>0</v>
      </c>
      <c r="K188" s="113">
        <f ca="1">SUMIF(MICRO!AP:AP,O:O,MICRO!X:X)</f>
        <v>0</v>
      </c>
      <c r="L188" s="114" t="str">
        <f t="shared" ca="1" si="16"/>
        <v>0%</v>
      </c>
      <c r="M188" s="113">
        <f t="shared" ca="1" si="17"/>
        <v>0</v>
      </c>
      <c r="N188" s="56" t="e">
        <f t="shared" ca="1" si="18"/>
        <v>#N/A</v>
      </c>
      <c r="O188" s="56" t="e">
        <f t="shared" ca="1" si="19"/>
        <v>#N/A</v>
      </c>
      <c r="P188" s="2">
        <f ca="1">SUMIF(MICRO!AP:AP,O188,MICRO!AS:AS)</f>
        <v>0</v>
      </c>
      <c r="Q188">
        <f ca="1">SUMIF(MICRO!AP:AP,O188,MICRO!AT:AT)</f>
        <v>0</v>
      </c>
      <c r="R188">
        <f ca="1"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 ca="1">VLOOKUP(Tabela2[[#This Row],[TAG]],MICRO!J:L,3,0)</f>
        <v>#N/A</v>
      </c>
      <c r="F189" s="109" t="s">
        <v>23</v>
      </c>
      <c r="G189" s="112">
        <f ca="1">SUMIF(MICRO!AP:AP,O:O,MICRO!H:H)</f>
        <v>0</v>
      </c>
      <c r="H189" s="113">
        <f ca="1">SUMIF(MICRO!AP:AP,O:O,MICRO!R:R)</f>
        <v>0</v>
      </c>
      <c r="I189" s="113">
        <f ca="1">SUMIF(MICRO!AP:AP,O:O,MICRO!T:T)</f>
        <v>0</v>
      </c>
      <c r="J189" s="114">
        <f t="shared" ca="1" si="15"/>
        <v>0</v>
      </c>
      <c r="K189" s="113">
        <f ca="1">SUMIF(MICRO!AP:AP,O:O,MICRO!X:X)</f>
        <v>0</v>
      </c>
      <c r="L189" s="114" t="str">
        <f t="shared" ca="1" si="16"/>
        <v>0%</v>
      </c>
      <c r="M189" s="113">
        <f t="shared" ca="1" si="17"/>
        <v>0</v>
      </c>
      <c r="N189" s="56" t="e">
        <f t="shared" ca="1" si="18"/>
        <v>#N/A</v>
      </c>
      <c r="O189" s="56" t="e">
        <f t="shared" ca="1" si="19"/>
        <v>#N/A</v>
      </c>
      <c r="P189" s="2">
        <f ca="1">SUMIF(MICRO!AP:AP,O189,MICRO!AS:AS)</f>
        <v>0</v>
      </c>
      <c r="Q189">
        <f ca="1">SUMIF(MICRO!AP:AP,O189,MICRO!AT:AT)</f>
        <v>0</v>
      </c>
      <c r="R189">
        <f ca="1"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 ca="1">VLOOKUP(Tabela2[[#This Row],[TAG]],MICRO!J:L,3,0)</f>
        <v>#N/A</v>
      </c>
      <c r="F190" s="109" t="s">
        <v>23</v>
      </c>
      <c r="G190" s="112">
        <f ca="1">SUMIF(MICRO!AP:AP,O:O,MICRO!H:H)</f>
        <v>0</v>
      </c>
      <c r="H190" s="113">
        <f ca="1">SUMIF(MICRO!AP:AP,O:O,MICRO!R:R)</f>
        <v>0</v>
      </c>
      <c r="I190" s="113">
        <f ca="1">SUMIF(MICRO!AP:AP,O:O,MICRO!T:T)</f>
        <v>0</v>
      </c>
      <c r="J190" s="114">
        <f t="shared" ref="J190:J199" ca="1" si="20">IF(G190 = 0,0,H190/G190)</f>
        <v>0</v>
      </c>
      <c r="K190" s="113">
        <f ca="1">SUMIF(MICRO!AP:AP,O:O,MICRO!X:X)</f>
        <v>0</v>
      </c>
      <c r="L190" s="114" t="str">
        <f t="shared" ref="L190:L199" ca="1" si="21">IF(G190&lt;&gt;0,SUM(K190/G190*1),"0%")</f>
        <v>0%</v>
      </c>
      <c r="M190" s="113">
        <f t="shared" ref="M190:M199" ca="1" si="22">G190-K190</f>
        <v>0</v>
      </c>
      <c r="N190" s="56" t="e">
        <f t="shared" ref="N190:N199" ca="1" si="23">E190&amp;F190</f>
        <v>#N/A</v>
      </c>
      <c r="O190" s="56" t="e">
        <f t="shared" ref="O190:O199" ca="1" si="24">D190&amp;E190&amp;F190</f>
        <v>#N/A</v>
      </c>
      <c r="P190" s="2">
        <f ca="1">SUMIF(MICRO!AP:AP,O190,MICRO!AS:AS)</f>
        <v>0</v>
      </c>
      <c r="Q190">
        <f ca="1">SUMIF(MICRO!AP:AP,O190,MICRO!AT:AT)</f>
        <v>0</v>
      </c>
      <c r="R190">
        <f ca="1"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 ca="1">VLOOKUP(Tabela2[[#This Row],[TAG]],MICRO!J:L,3,0)</f>
        <v>#N/A</v>
      </c>
      <c r="F191" s="109" t="s">
        <v>23</v>
      </c>
      <c r="G191" s="112">
        <f ca="1">SUMIF(MICRO!AP:AP,O:O,MICRO!H:H)</f>
        <v>0</v>
      </c>
      <c r="H191" s="113">
        <f ca="1">SUMIF(MICRO!AP:AP,O:O,MICRO!R:R)</f>
        <v>0</v>
      </c>
      <c r="I191" s="113">
        <f ca="1">SUMIF(MICRO!AP:AP,O:O,MICRO!T:T)</f>
        <v>0</v>
      </c>
      <c r="J191" s="114">
        <f t="shared" ca="1" si="20"/>
        <v>0</v>
      </c>
      <c r="K191" s="113">
        <f ca="1">SUMIF(MICRO!AP:AP,O:O,MICRO!X:X)</f>
        <v>0</v>
      </c>
      <c r="L191" s="114" t="str">
        <f t="shared" ca="1" si="21"/>
        <v>0%</v>
      </c>
      <c r="M191" s="113">
        <f t="shared" ca="1" si="22"/>
        <v>0</v>
      </c>
      <c r="N191" s="56" t="e">
        <f t="shared" ca="1" si="23"/>
        <v>#N/A</v>
      </c>
      <c r="O191" s="56" t="e">
        <f t="shared" ca="1" si="24"/>
        <v>#N/A</v>
      </c>
      <c r="P191" s="2">
        <f ca="1">SUMIF(MICRO!AP:AP,O191,MICRO!AS:AS)</f>
        <v>0</v>
      </c>
      <c r="Q191">
        <f ca="1">SUMIF(MICRO!AP:AP,O191,MICRO!AT:AT)</f>
        <v>0</v>
      </c>
      <c r="R191">
        <f ca="1"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 ca="1">VLOOKUP(Tabela2[[#This Row],[TAG]],MICRO!J:L,3,0)</f>
        <v>#N/A</v>
      </c>
      <c r="F192" s="8" t="s">
        <v>45</v>
      </c>
      <c r="G192" s="112">
        <f ca="1">SUMIF(MICRO!AP:AP,O:O,MICRO!H:H)</f>
        <v>0</v>
      </c>
      <c r="H192" s="113">
        <f ca="1">SUMIF(MICRO!AP:AP,O:O,MICRO!R:R)</f>
        <v>0</v>
      </c>
      <c r="I192" s="113">
        <f ca="1">SUMIF(MICRO!AP:AP,O:O,MICRO!T:T)</f>
        <v>0</v>
      </c>
      <c r="J192" s="114">
        <f t="shared" ca="1" si="20"/>
        <v>0</v>
      </c>
      <c r="K192" s="113">
        <f ca="1">SUMIF(MICRO!AP:AP,O:O,MICRO!X:X)</f>
        <v>0</v>
      </c>
      <c r="L192" s="114" t="str">
        <f t="shared" ca="1" si="21"/>
        <v>0%</v>
      </c>
      <c r="M192" s="113">
        <f t="shared" ca="1" si="22"/>
        <v>0</v>
      </c>
      <c r="N192" s="56" t="e">
        <f t="shared" ca="1" si="23"/>
        <v>#N/A</v>
      </c>
      <c r="O192" s="56" t="e">
        <f t="shared" ca="1" si="24"/>
        <v>#N/A</v>
      </c>
      <c r="P192" s="2">
        <f ca="1">SUMIF(MICRO!AP:AP,O192,MICRO!AS:AS)</f>
        <v>0</v>
      </c>
      <c r="Q192">
        <f ca="1">SUMIF(MICRO!AP:AP,O192,MICRO!AT:AT)</f>
        <v>0</v>
      </c>
      <c r="R192">
        <f ca="1"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 ca="1">VLOOKUP(Tabela2[[#This Row],[TAG]],MICRO!J:L,3,0)</f>
        <v>#N/A</v>
      </c>
      <c r="F193" s="44" t="s">
        <v>31</v>
      </c>
      <c r="G193" s="112">
        <f ca="1">SUMIF(MICRO!AP:AP,O:O,MICRO!H:H)</f>
        <v>0</v>
      </c>
      <c r="H193" s="113">
        <f ca="1">SUMIF(MICRO!AP:AP,O:O,MICRO!R:R)</f>
        <v>0</v>
      </c>
      <c r="I193" s="113">
        <f ca="1">SUMIF(MICRO!AP:AP,O:O,MICRO!T:T)</f>
        <v>0</v>
      </c>
      <c r="J193" s="114">
        <f t="shared" ca="1" si="20"/>
        <v>0</v>
      </c>
      <c r="K193" s="113">
        <f ca="1">SUMIF(MICRO!AP:AP,O:O,MICRO!X:X)</f>
        <v>0</v>
      </c>
      <c r="L193" s="114" t="str">
        <f t="shared" ca="1" si="21"/>
        <v>0%</v>
      </c>
      <c r="M193" s="113">
        <f t="shared" ca="1" si="22"/>
        <v>0</v>
      </c>
      <c r="N193" s="56" t="e">
        <f t="shared" ca="1" si="23"/>
        <v>#N/A</v>
      </c>
      <c r="O193" s="56" t="e">
        <f t="shared" ca="1" si="24"/>
        <v>#N/A</v>
      </c>
      <c r="P193" s="2">
        <f ca="1">SUMIF(MICRO!AP:AP,O193,MICRO!AS:AS)</f>
        <v>0</v>
      </c>
      <c r="Q193">
        <f ca="1">SUMIF(MICRO!AP:AP,O193,MICRO!AT:AT)</f>
        <v>0</v>
      </c>
      <c r="R193">
        <f ca="1"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 ca="1">VLOOKUP(Tabela2[[#This Row],[TAG]],MICRO!J:L,3,0)</f>
        <v>#N/A</v>
      </c>
      <c r="F194" s="44" t="s">
        <v>32</v>
      </c>
      <c r="G194" s="112">
        <f ca="1">SUMIF(MICRO!AP:AP,O:O,MICRO!H:H)</f>
        <v>0</v>
      </c>
      <c r="H194" s="113">
        <f ca="1">SUMIF(MICRO!AP:AP,O:O,MICRO!R:R)</f>
        <v>0</v>
      </c>
      <c r="I194" s="113">
        <f ca="1">SUMIF(MICRO!AP:AP,O:O,MICRO!T:T)</f>
        <v>0</v>
      </c>
      <c r="J194" s="114">
        <f t="shared" ca="1" si="20"/>
        <v>0</v>
      </c>
      <c r="K194" s="113">
        <f ca="1">SUMIF(MICRO!AP:AP,O:O,MICRO!X:X)</f>
        <v>0</v>
      </c>
      <c r="L194" s="114" t="str">
        <f t="shared" ca="1" si="21"/>
        <v>0%</v>
      </c>
      <c r="M194" s="113">
        <f t="shared" ca="1" si="22"/>
        <v>0</v>
      </c>
      <c r="N194" s="56" t="e">
        <f t="shared" ca="1" si="23"/>
        <v>#N/A</v>
      </c>
      <c r="O194" s="56" t="e">
        <f t="shared" ca="1" si="24"/>
        <v>#N/A</v>
      </c>
      <c r="P194" s="2">
        <f ca="1">SUMIF(MICRO!AP:AP,O194,MICRO!AS:AS)</f>
        <v>0</v>
      </c>
      <c r="Q194">
        <f ca="1">SUMIF(MICRO!AP:AP,O194,MICRO!AT:AT)</f>
        <v>0</v>
      </c>
      <c r="R194">
        <f ca="1"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 ca="1">VLOOKUP(Tabela2[[#This Row],[TAG]],MICRO!J:L,3,0)</f>
        <v>#N/A</v>
      </c>
      <c r="F195" s="109" t="s">
        <v>23</v>
      </c>
      <c r="G195" s="112">
        <f ca="1">SUMIF(MICRO!AP:AP,O:O,MICRO!H:H)</f>
        <v>0</v>
      </c>
      <c r="H195" s="113">
        <f ca="1">SUMIF(MICRO!AP:AP,O:O,MICRO!R:R)</f>
        <v>0</v>
      </c>
      <c r="I195" s="113">
        <f ca="1">SUMIF(MICRO!AP:AP,O:O,MICRO!T:T)</f>
        <v>0</v>
      </c>
      <c r="J195" s="114">
        <f t="shared" ca="1" si="20"/>
        <v>0</v>
      </c>
      <c r="K195" s="113">
        <f ca="1">SUMIF(MICRO!AP:AP,O:O,MICRO!X:X)</f>
        <v>0</v>
      </c>
      <c r="L195" s="114" t="str">
        <f t="shared" ca="1" si="21"/>
        <v>0%</v>
      </c>
      <c r="M195" s="113">
        <f t="shared" ca="1" si="22"/>
        <v>0</v>
      </c>
      <c r="N195" s="56" t="e">
        <f t="shared" ca="1" si="23"/>
        <v>#N/A</v>
      </c>
      <c r="O195" s="56" t="e">
        <f t="shared" ca="1" si="24"/>
        <v>#N/A</v>
      </c>
      <c r="P195" s="2">
        <f ca="1">SUMIF(MICRO!AP:AP,O195,MICRO!AS:AS)</f>
        <v>0</v>
      </c>
      <c r="Q195">
        <f ca="1">SUMIF(MICRO!AP:AP,O195,MICRO!AT:AT)</f>
        <v>0</v>
      </c>
      <c r="R195">
        <f ca="1"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 ca="1">VLOOKUP(Tabela2[[#This Row],[TAG]],MICRO!J:L,3,0)</f>
        <v>#N/A</v>
      </c>
      <c r="F196" s="109" t="s">
        <v>23</v>
      </c>
      <c r="G196" s="112">
        <f ca="1">SUMIF(MICRO!AP:AP,O:O,MICRO!H:H)</f>
        <v>0</v>
      </c>
      <c r="H196" s="113">
        <f ca="1">SUMIF(MICRO!AP:AP,O:O,MICRO!R:R)</f>
        <v>0</v>
      </c>
      <c r="I196" s="113">
        <f ca="1">SUMIF(MICRO!AP:AP,O:O,MICRO!T:T)</f>
        <v>0</v>
      </c>
      <c r="J196" s="114">
        <f t="shared" ca="1" si="20"/>
        <v>0</v>
      </c>
      <c r="K196" s="113">
        <f ca="1">SUMIF(MICRO!AP:AP,O:O,MICRO!X:X)</f>
        <v>0</v>
      </c>
      <c r="L196" s="114" t="str">
        <f t="shared" ca="1" si="21"/>
        <v>0%</v>
      </c>
      <c r="M196" s="113">
        <f t="shared" ca="1" si="22"/>
        <v>0</v>
      </c>
      <c r="N196" s="56" t="e">
        <f t="shared" ca="1" si="23"/>
        <v>#N/A</v>
      </c>
      <c r="O196" s="56" t="e">
        <f t="shared" ca="1" si="24"/>
        <v>#N/A</v>
      </c>
      <c r="P196" s="2">
        <f ca="1">SUMIF(MICRO!AP:AP,O196,MICRO!AS:AS)</f>
        <v>0</v>
      </c>
      <c r="Q196">
        <f ca="1">SUMIF(MICRO!AP:AP,O196,MICRO!AT:AT)</f>
        <v>0</v>
      </c>
      <c r="R196">
        <f ca="1"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 ca="1">VLOOKUP(Tabela2[[#This Row],[TAG]],MICRO!J:L,3,0)</f>
        <v>#N/A</v>
      </c>
      <c r="F197" s="109" t="s">
        <v>23</v>
      </c>
      <c r="G197" s="112">
        <f ca="1">SUMIF(MICRO!AP:AP,O:O,MICRO!H:H)</f>
        <v>0</v>
      </c>
      <c r="H197" s="113">
        <f ca="1">SUMIF(MICRO!AP:AP,O:O,MICRO!R:R)</f>
        <v>0</v>
      </c>
      <c r="I197" s="113">
        <f ca="1">SUMIF(MICRO!AP:AP,O:O,MICRO!T:T)</f>
        <v>0</v>
      </c>
      <c r="J197" s="114">
        <f t="shared" ca="1" si="20"/>
        <v>0</v>
      </c>
      <c r="K197" s="113">
        <f ca="1">SUMIF(MICRO!AP:AP,O:O,MICRO!X:X)</f>
        <v>0</v>
      </c>
      <c r="L197" s="114" t="str">
        <f t="shared" ca="1" si="21"/>
        <v>0%</v>
      </c>
      <c r="M197" s="113">
        <f t="shared" ca="1" si="22"/>
        <v>0</v>
      </c>
      <c r="N197" s="56" t="e">
        <f t="shared" ca="1" si="23"/>
        <v>#N/A</v>
      </c>
      <c r="O197" s="56" t="e">
        <f t="shared" ca="1" si="24"/>
        <v>#N/A</v>
      </c>
      <c r="P197" s="2">
        <f ca="1">SUMIF(MICRO!AP:AP,O197,MICRO!AS:AS)</f>
        <v>0</v>
      </c>
      <c r="Q197">
        <f ca="1">SUMIF(MICRO!AP:AP,O197,MICRO!AT:AT)</f>
        <v>0</v>
      </c>
      <c r="R197">
        <f ca="1"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 ca="1">VLOOKUP(Tabela2[[#This Row],[TAG]],MICRO!J:L,3,0)</f>
        <v>#N/A</v>
      </c>
      <c r="F198" s="109" t="s">
        <v>23</v>
      </c>
      <c r="G198" s="112">
        <f ca="1">SUMIF(MICRO!AP:AP,O:O,MICRO!H:H)</f>
        <v>0</v>
      </c>
      <c r="H198" s="113">
        <f ca="1">SUMIF(MICRO!AP:AP,O:O,MICRO!R:R)</f>
        <v>0</v>
      </c>
      <c r="I198" s="113">
        <f ca="1">SUMIF(MICRO!AP:AP,O:O,MICRO!T:T)</f>
        <v>0</v>
      </c>
      <c r="J198" s="114">
        <f t="shared" ca="1" si="20"/>
        <v>0</v>
      </c>
      <c r="K198" s="113">
        <f ca="1">SUMIF(MICRO!AP:AP,O:O,MICRO!X:X)</f>
        <v>0</v>
      </c>
      <c r="L198" s="114" t="str">
        <f t="shared" ca="1" si="21"/>
        <v>0%</v>
      </c>
      <c r="M198" s="113">
        <f t="shared" ca="1" si="22"/>
        <v>0</v>
      </c>
      <c r="N198" s="56" t="e">
        <f t="shared" ca="1" si="23"/>
        <v>#N/A</v>
      </c>
      <c r="O198" s="56" t="e">
        <f t="shared" ca="1" si="24"/>
        <v>#N/A</v>
      </c>
      <c r="P198" s="2">
        <f ca="1">SUMIF(MICRO!AP:AP,O198,MICRO!AS:AS)</f>
        <v>0</v>
      </c>
      <c r="Q198">
        <f ca="1">SUMIF(MICRO!AP:AP,O198,MICRO!AT:AT)</f>
        <v>0</v>
      </c>
      <c r="R198">
        <f ca="1"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 ca="1">VLOOKUP(Tabela2[[#This Row],[TAG]],MICRO!J:L,3,0)</f>
        <v>#N/A</v>
      </c>
      <c r="F199" s="109" t="s">
        <v>23</v>
      </c>
      <c r="G199" s="112">
        <f ca="1">SUMIF(MICRO!AP:AP,O:O,MICRO!H:H)</f>
        <v>0</v>
      </c>
      <c r="H199" s="113">
        <f ca="1">SUMIF(MICRO!AP:AP,O:O,MICRO!R:R)</f>
        <v>0</v>
      </c>
      <c r="I199" s="113">
        <f ca="1">SUMIF(MICRO!AP:AP,O:O,MICRO!T:T)</f>
        <v>0</v>
      </c>
      <c r="J199" s="114">
        <f t="shared" ca="1" si="20"/>
        <v>0</v>
      </c>
      <c r="K199" s="113">
        <f ca="1">SUMIF(MICRO!AP:AP,O:O,MICRO!X:X)</f>
        <v>0</v>
      </c>
      <c r="L199" s="114" t="str">
        <f t="shared" ca="1" si="21"/>
        <v>0%</v>
      </c>
      <c r="M199" s="113">
        <f t="shared" ca="1" si="22"/>
        <v>0</v>
      </c>
      <c r="N199" s="56" t="e">
        <f t="shared" ca="1" si="23"/>
        <v>#N/A</v>
      </c>
      <c r="O199" s="56" t="e">
        <f t="shared" ca="1" si="24"/>
        <v>#N/A</v>
      </c>
      <c r="P199" s="2">
        <f ca="1">SUMIF(MICRO!AP:AP,O199,MICRO!AS:AS)</f>
        <v>0</v>
      </c>
      <c r="Q199">
        <f ca="1">SUMIF(MICRO!AP:AP,O199,MICRO!AT:AT)</f>
        <v>0</v>
      </c>
      <c r="R199">
        <f ca="1"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 ca="1">VLOOKUP(Tabela2[[#This Row],[TAG]],MICRO!J:L,3,0)</f>
        <v>#N/A</v>
      </c>
      <c r="F200" s="109" t="s">
        <v>33</v>
      </c>
      <c r="G200" s="58">
        <f ca="1">SUMIF(MICRO!AP:AP,O:O,MICRO!H:H)</f>
        <v>0</v>
      </c>
      <c r="H200" s="1">
        <f ca="1">SUMIF(MICRO!AP:AP,O:O,MICRO!R:R)</f>
        <v>0</v>
      </c>
      <c r="I200" s="1">
        <f ca="1">SUMIF(MICRO!AP:AP,O:O,MICRO!T:T)</f>
        <v>0</v>
      </c>
      <c r="J200" s="59">
        <f t="shared" ref="J200:J205" ca="1" si="25">IF(G200 = 0,0,H200/G200)</f>
        <v>0</v>
      </c>
      <c r="K200" s="1">
        <f ca="1">SUMIF(MICRO!AP:AP,O:O,MICRO!X:X)</f>
        <v>0</v>
      </c>
      <c r="L200" s="59" t="str">
        <f t="shared" ref="L200:L205" ca="1" si="26">IF(G200&lt;&gt;0,SUM(K200/G200*1),"0%")</f>
        <v>0%</v>
      </c>
      <c r="M200" s="1">
        <f t="shared" ref="M200:M205" ca="1" si="27">G200-K200</f>
        <v>0</v>
      </c>
      <c r="N200" s="56" t="e">
        <f t="shared" ref="N200:N205" ca="1" si="28">E200&amp;F200</f>
        <v>#N/A</v>
      </c>
      <c r="O200" s="56" t="e">
        <f t="shared" ref="O200:O205" ca="1" si="29">D200&amp;E200&amp;F200</f>
        <v>#N/A</v>
      </c>
      <c r="P200" s="2">
        <f ca="1">SUMIF(MICRO!AP:AP,O200,MICRO!AS:AS)</f>
        <v>0</v>
      </c>
      <c r="Q200">
        <f ca="1">SUMIF(MICRO!AP:AP,O200,MICRO!AT:AT)</f>
        <v>0</v>
      </c>
      <c r="R200">
        <f ca="1"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 ca="1">VLOOKUP(Tabela2[[#This Row],[TAG]],MICRO!J:L,3,0)</f>
        <v>#N/A</v>
      </c>
      <c r="F201" s="109" t="s">
        <v>23</v>
      </c>
      <c r="G201" s="58">
        <f ca="1">SUMIF(MICRO!AP:AP,O:O,MICRO!H:H)</f>
        <v>0</v>
      </c>
      <c r="H201" s="1">
        <f ca="1">SUMIF(MICRO!AP:AP,O:O,MICRO!R:R)</f>
        <v>0</v>
      </c>
      <c r="I201" s="1">
        <f ca="1">SUMIF(MICRO!AP:AP,O:O,MICRO!T:T)</f>
        <v>0</v>
      </c>
      <c r="J201" s="59">
        <f t="shared" ca="1" si="25"/>
        <v>0</v>
      </c>
      <c r="K201" s="1">
        <f ca="1">SUMIF(MICRO!AP:AP,O:O,MICRO!X:X)</f>
        <v>0</v>
      </c>
      <c r="L201" s="59" t="str">
        <f t="shared" ca="1" si="26"/>
        <v>0%</v>
      </c>
      <c r="M201" s="1">
        <f t="shared" ca="1" si="27"/>
        <v>0</v>
      </c>
      <c r="N201" s="56" t="e">
        <f t="shared" ca="1" si="28"/>
        <v>#N/A</v>
      </c>
      <c r="O201" s="56" t="e">
        <f t="shared" ca="1" si="29"/>
        <v>#N/A</v>
      </c>
      <c r="P201" s="2">
        <f ca="1">SUMIF(MICRO!AP:AP,O201,MICRO!AS:AS)</f>
        <v>0</v>
      </c>
      <c r="Q201">
        <f ca="1">SUMIF(MICRO!AP:AP,O201,MICRO!AT:AT)</f>
        <v>0</v>
      </c>
      <c r="R201">
        <f ca="1"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 ca="1">VLOOKUP(Tabela2[[#This Row],[TAG]],MICRO!J:L,3,0)</f>
        <v>#N/A</v>
      </c>
      <c r="F202" s="44" t="s">
        <v>31</v>
      </c>
      <c r="G202" s="58">
        <f ca="1">SUMIF(MICRO!AP:AP,O:O,MICRO!H:H)</f>
        <v>0</v>
      </c>
      <c r="H202" s="1">
        <f ca="1">SUMIF(MICRO!AP:AP,O:O,MICRO!R:R)</f>
        <v>0</v>
      </c>
      <c r="I202" s="1">
        <f ca="1">SUMIF(MICRO!AP:AP,O:O,MICRO!T:T)</f>
        <v>0</v>
      </c>
      <c r="J202" s="59">
        <f t="shared" ca="1" si="25"/>
        <v>0</v>
      </c>
      <c r="K202" s="1">
        <f ca="1">SUMIF(MICRO!AP:AP,O:O,MICRO!X:X)</f>
        <v>0</v>
      </c>
      <c r="L202" s="59" t="str">
        <f t="shared" ca="1" si="26"/>
        <v>0%</v>
      </c>
      <c r="M202" s="1">
        <f t="shared" ca="1" si="27"/>
        <v>0</v>
      </c>
      <c r="N202" s="56" t="e">
        <f t="shared" ca="1" si="28"/>
        <v>#N/A</v>
      </c>
      <c r="O202" s="56" t="e">
        <f t="shared" ca="1" si="29"/>
        <v>#N/A</v>
      </c>
      <c r="P202" s="2">
        <f ca="1">SUMIF(MICRO!AP:AP,O202,MICRO!AS:AS)</f>
        <v>0</v>
      </c>
      <c r="Q202">
        <f ca="1">SUMIF(MICRO!AP:AP,O202,MICRO!AT:AT)</f>
        <v>0</v>
      </c>
      <c r="R202">
        <f ca="1"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 ca="1">VLOOKUP(Tabela2[[#This Row],[TAG]],MICRO!J:L,3,0)</f>
        <v>#N/A</v>
      </c>
      <c r="F203" s="44" t="s">
        <v>31</v>
      </c>
      <c r="G203" s="58">
        <f ca="1">SUMIF(MICRO!AP:AP,O:O,MICRO!H:H)</f>
        <v>0</v>
      </c>
      <c r="H203" s="1">
        <f ca="1">SUMIF(MICRO!AP:AP,O:O,MICRO!R:R)</f>
        <v>0</v>
      </c>
      <c r="I203" s="1">
        <f ca="1">SUMIF(MICRO!AP:AP,O:O,MICRO!T:T)</f>
        <v>0</v>
      </c>
      <c r="J203" s="59">
        <f t="shared" ca="1" si="25"/>
        <v>0</v>
      </c>
      <c r="K203" s="1">
        <f ca="1">SUMIF(MICRO!AP:AP,O:O,MICRO!X:X)</f>
        <v>0</v>
      </c>
      <c r="L203" s="59" t="str">
        <f t="shared" ca="1" si="26"/>
        <v>0%</v>
      </c>
      <c r="M203" s="1">
        <f t="shared" ca="1" si="27"/>
        <v>0</v>
      </c>
      <c r="N203" s="56" t="e">
        <f t="shared" ca="1" si="28"/>
        <v>#N/A</v>
      </c>
      <c r="O203" s="56" t="e">
        <f t="shared" ca="1" si="29"/>
        <v>#N/A</v>
      </c>
      <c r="P203" s="2">
        <f ca="1">SUMIF(MICRO!AP:AP,O203,MICRO!AS:AS)</f>
        <v>0</v>
      </c>
      <c r="Q203">
        <f ca="1">SUMIF(MICRO!AP:AP,O203,MICRO!AT:AT)</f>
        <v>0</v>
      </c>
      <c r="R203">
        <f ca="1"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 ca="1">VLOOKUP(Tabela2[[#This Row],[TAG]],MICRO!J:L,3,0)</f>
        <v>#N/A</v>
      </c>
      <c r="F204" s="44" t="s">
        <v>31</v>
      </c>
      <c r="G204" s="58">
        <f ca="1">SUMIF(MICRO!AP:AP,O:O,MICRO!H:H)</f>
        <v>0</v>
      </c>
      <c r="H204" s="1">
        <f ca="1">SUMIF(MICRO!AP:AP,O:O,MICRO!R:R)</f>
        <v>0</v>
      </c>
      <c r="I204" s="1">
        <f ca="1">SUMIF(MICRO!AP:AP,O:O,MICRO!T:T)</f>
        <v>0</v>
      </c>
      <c r="J204" s="59">
        <f t="shared" ca="1" si="25"/>
        <v>0</v>
      </c>
      <c r="K204" s="1">
        <f ca="1">SUMIF(MICRO!AP:AP,O:O,MICRO!X:X)</f>
        <v>0</v>
      </c>
      <c r="L204" s="59" t="str">
        <f t="shared" ca="1" si="26"/>
        <v>0%</v>
      </c>
      <c r="M204" s="1">
        <f t="shared" ca="1" si="27"/>
        <v>0</v>
      </c>
      <c r="N204" s="56" t="e">
        <f t="shared" ca="1" si="28"/>
        <v>#N/A</v>
      </c>
      <c r="O204" s="56" t="e">
        <f t="shared" ca="1" si="29"/>
        <v>#N/A</v>
      </c>
      <c r="P204" s="2">
        <f ca="1">SUMIF(MICRO!AP:AP,O204,MICRO!AS:AS)</f>
        <v>0</v>
      </c>
      <c r="Q204">
        <f ca="1">SUMIF(MICRO!AP:AP,O204,MICRO!AT:AT)</f>
        <v>0</v>
      </c>
      <c r="R204">
        <f ca="1"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 ca="1">VLOOKUP(Tabela2[[#This Row],[TAG]],MICRO!J:L,3,0)</f>
        <v>#N/A</v>
      </c>
      <c r="F205" s="44" t="s">
        <v>31</v>
      </c>
      <c r="G205" s="58">
        <f ca="1">SUMIF(MICRO!AP:AP,O:O,MICRO!H:H)</f>
        <v>0</v>
      </c>
      <c r="H205" s="1">
        <f ca="1">SUMIF(MICRO!AP:AP,O:O,MICRO!R:R)</f>
        <v>0</v>
      </c>
      <c r="I205" s="1">
        <f ca="1">SUMIF(MICRO!AP:AP,O:O,MICRO!T:T)</f>
        <v>0</v>
      </c>
      <c r="J205" s="59">
        <f t="shared" ca="1" si="25"/>
        <v>0</v>
      </c>
      <c r="K205" s="1">
        <f ca="1">SUMIF(MICRO!AP:AP,O:O,MICRO!X:X)</f>
        <v>0</v>
      </c>
      <c r="L205" s="59" t="str">
        <f t="shared" ca="1" si="26"/>
        <v>0%</v>
      </c>
      <c r="M205" s="1">
        <f t="shared" ca="1" si="27"/>
        <v>0</v>
      </c>
      <c r="N205" s="56" t="e">
        <f t="shared" ca="1" si="28"/>
        <v>#N/A</v>
      </c>
      <c r="O205" s="56" t="e">
        <f t="shared" ca="1" si="29"/>
        <v>#N/A</v>
      </c>
      <c r="P205" s="2">
        <f ca="1">SUMIF(MICRO!AP:AP,O205,MICRO!AS:AS)</f>
        <v>0</v>
      </c>
      <c r="Q205">
        <f ca="1">SUMIF(MICRO!AP:AP,O205,MICRO!AT:AT)</f>
        <v>0</v>
      </c>
      <c r="R205">
        <f ca="1"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 ca="1">VLOOKUP(Tabela2[[#This Row],[TAG]],MICRO!J:L,3,0)</f>
        <v>#N/A</v>
      </c>
      <c r="F206" s="44" t="s">
        <v>31</v>
      </c>
      <c r="G206" s="58">
        <f ca="1">SUMIF(MICRO!AP:AP,O:O,MICRO!H:H)</f>
        <v>0</v>
      </c>
      <c r="H206" s="1">
        <f ca="1">SUMIF(MICRO!AP:AP,O:O,MICRO!R:R)</f>
        <v>0</v>
      </c>
      <c r="I206" s="1">
        <f ca="1">SUMIF(MICRO!AP:AP,O:O,MICRO!T:T)</f>
        <v>0</v>
      </c>
      <c r="J206" s="59">
        <f t="shared" ref="J206:J217" ca="1" si="30">IF(G206 = 0,0,H206/G206)</f>
        <v>0</v>
      </c>
      <c r="K206" s="1">
        <f ca="1">SUMIF(MICRO!AP:AP,O:O,MICRO!X:X)</f>
        <v>0</v>
      </c>
      <c r="L206" s="59" t="str">
        <f t="shared" ref="L206:L217" ca="1" si="31">IF(G206&lt;&gt;0,SUM(K206/G206*1),"0%")</f>
        <v>0%</v>
      </c>
      <c r="M206" s="1">
        <f t="shared" ref="M206:M217" ca="1" si="32">G206-K206</f>
        <v>0</v>
      </c>
      <c r="N206" s="56" t="e">
        <f t="shared" ref="N206:N217" ca="1" si="33">E206&amp;F206</f>
        <v>#N/A</v>
      </c>
      <c r="O206" s="56" t="e">
        <f t="shared" ref="O206:O217" ca="1" si="34">D206&amp;E206&amp;F206</f>
        <v>#N/A</v>
      </c>
      <c r="P206" s="2">
        <f ca="1">SUMIF(MICRO!AP:AP,O206,MICRO!AS:AS)</f>
        <v>0</v>
      </c>
      <c r="Q206">
        <f ca="1">SUMIF(MICRO!AP:AP,O206,MICRO!AT:AT)</f>
        <v>0</v>
      </c>
      <c r="R206">
        <f ca="1"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 ca="1">VLOOKUP(Tabela2[[#This Row],[TAG]],MICRO!J:L,3,0)</f>
        <v>#N/A</v>
      </c>
      <c r="F207" s="44" t="s">
        <v>31</v>
      </c>
      <c r="G207" s="112">
        <f ca="1">SUMIF(MICRO!AP:AP,O:O,MICRO!H:H)</f>
        <v>0</v>
      </c>
      <c r="H207" s="113">
        <f ca="1">SUMIF(MICRO!AP:AP,O:O,MICRO!R:R)</f>
        <v>0</v>
      </c>
      <c r="I207" s="113">
        <f ca="1">SUMIF(MICRO!AP:AP,O:O,MICRO!T:T)</f>
        <v>0</v>
      </c>
      <c r="J207" s="114">
        <f t="shared" ca="1" si="30"/>
        <v>0</v>
      </c>
      <c r="K207" s="113">
        <f ca="1">SUMIF(MICRO!AP:AP,O:O,MICRO!X:X)</f>
        <v>0</v>
      </c>
      <c r="L207" s="114" t="str">
        <f t="shared" ca="1" si="31"/>
        <v>0%</v>
      </c>
      <c r="M207" s="113">
        <f t="shared" ca="1" si="32"/>
        <v>0</v>
      </c>
      <c r="N207" s="56" t="e">
        <f t="shared" ca="1" si="33"/>
        <v>#N/A</v>
      </c>
      <c r="O207" s="56" t="e">
        <f t="shared" ca="1" si="34"/>
        <v>#N/A</v>
      </c>
      <c r="P207" s="2">
        <f ca="1">SUMIF(MICRO!AP:AP,O207,MICRO!AS:AS)</f>
        <v>0</v>
      </c>
      <c r="Q207">
        <f ca="1">SUMIF(MICRO!AP:AP,O207,MICRO!AT:AT)</f>
        <v>0</v>
      </c>
      <c r="R207">
        <f ca="1"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 ca="1">VLOOKUP(Tabela2[[#This Row],[TAG]],MICRO!J:L,3,0)</f>
        <v>P-133</v>
      </c>
      <c r="F208" s="44" t="s">
        <v>31</v>
      </c>
      <c r="G208" s="112">
        <f ca="1">SUMIF(MICRO!AP:AP,O:O,MICRO!H:H)</f>
        <v>0</v>
      </c>
      <c r="H208" s="113">
        <f ca="1">SUMIF(MICRO!AP:AP,O:O,MICRO!R:R)</f>
        <v>0</v>
      </c>
      <c r="I208" s="113">
        <f ca="1">SUMIF(MICRO!AP:AP,O:O,MICRO!T:T)</f>
        <v>0</v>
      </c>
      <c r="J208" s="114">
        <f t="shared" ca="1" si="30"/>
        <v>0</v>
      </c>
      <c r="K208" s="113">
        <f ca="1">SUMIF(MICRO!AP:AP,O:O,MICRO!X:X)</f>
        <v>0</v>
      </c>
      <c r="L208" s="114" t="str">
        <f t="shared" ca="1" si="31"/>
        <v>0%</v>
      </c>
      <c r="M208" s="113">
        <f t="shared" ca="1" si="32"/>
        <v>0</v>
      </c>
      <c r="N208" s="56" t="str">
        <f t="shared" ca="1" si="33"/>
        <v>P-133ESTRUTURA</v>
      </c>
      <c r="O208" s="56" t="str">
        <f t="shared" ca="1" si="34"/>
        <v>120-AL-001P-133ESTRUTURA</v>
      </c>
      <c r="P208" s="2">
        <f ca="1">SUMIF(MICRO!AP:AP,O208,MICRO!AS:AS)</f>
        <v>0</v>
      </c>
      <c r="Q208">
        <f ca="1">SUMIF(MICRO!AP:AP,O208,MICRO!AT:AT)</f>
        <v>0</v>
      </c>
      <c r="R208">
        <f ca="1"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 ca="1">VLOOKUP(Tabela2[[#This Row],[TAG]],MICRO!J:L,3,0)</f>
        <v>#N/A</v>
      </c>
      <c r="F209" s="44" t="s">
        <v>31</v>
      </c>
      <c r="G209" s="112">
        <f ca="1">SUMIF(MICRO!AP:AP,O:O,MICRO!H:H)</f>
        <v>0</v>
      </c>
      <c r="H209" s="113">
        <f ca="1">SUMIF(MICRO!AP:AP,O:O,MICRO!R:R)</f>
        <v>0</v>
      </c>
      <c r="I209" s="113">
        <f ca="1">SUMIF(MICRO!AP:AP,O:O,MICRO!T:T)</f>
        <v>0</v>
      </c>
      <c r="J209" s="114">
        <f t="shared" ca="1" si="30"/>
        <v>0</v>
      </c>
      <c r="K209" s="113">
        <f ca="1">SUMIF(MICRO!AP:AP,O:O,MICRO!X:X)</f>
        <v>0</v>
      </c>
      <c r="L209" s="114" t="str">
        <f t="shared" ca="1" si="31"/>
        <v>0%</v>
      </c>
      <c r="M209" s="113">
        <f t="shared" ca="1" si="32"/>
        <v>0</v>
      </c>
      <c r="N209" s="56" t="e">
        <f t="shared" ca="1" si="33"/>
        <v>#N/A</v>
      </c>
      <c r="O209" s="56" t="e">
        <f t="shared" ca="1" si="34"/>
        <v>#N/A</v>
      </c>
      <c r="P209" s="2">
        <f ca="1">SUMIF(MICRO!AP:AP,O209,MICRO!AS:AS)</f>
        <v>0</v>
      </c>
      <c r="Q209">
        <f ca="1">SUMIF(MICRO!AP:AP,O209,MICRO!AT:AT)</f>
        <v>0</v>
      </c>
      <c r="R209">
        <f ca="1"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 ca="1">VLOOKUP(Tabela2[[#This Row],[TAG]],MICRO!J:L,3,0)</f>
        <v>#N/A</v>
      </c>
      <c r="F210" s="109" t="s">
        <v>23</v>
      </c>
      <c r="G210" s="58">
        <f ca="1">SUMIF(MICRO!AP:AP,O:O,MICRO!H:H)</f>
        <v>0</v>
      </c>
      <c r="H210" s="1">
        <f ca="1">SUMIF(MICRO!AP:AP,O:O,MICRO!R:R)</f>
        <v>0</v>
      </c>
      <c r="I210" s="1">
        <f ca="1">SUMIF(MICRO!AP:AP,O:O,MICRO!T:T)</f>
        <v>0</v>
      </c>
      <c r="J210" s="59">
        <f t="shared" ca="1" si="30"/>
        <v>0</v>
      </c>
      <c r="K210" s="1">
        <f ca="1">SUMIF(MICRO!AP:AP,O:O,MICRO!X:X)</f>
        <v>0</v>
      </c>
      <c r="L210" s="59" t="str">
        <f t="shared" ca="1" si="31"/>
        <v>0%</v>
      </c>
      <c r="M210" s="1">
        <f t="shared" ca="1" si="32"/>
        <v>0</v>
      </c>
      <c r="N210" s="56" t="e">
        <f t="shared" ca="1" si="33"/>
        <v>#N/A</v>
      </c>
      <c r="O210" s="56" t="e">
        <f t="shared" ca="1" si="34"/>
        <v>#N/A</v>
      </c>
      <c r="P210" s="2">
        <f ca="1">SUMIF(MICRO!AP:AP,O210,MICRO!AS:AS)</f>
        <v>0</v>
      </c>
      <c r="Q210">
        <f ca="1">SUMIF(MICRO!AP:AP,O210,MICRO!AT:AT)</f>
        <v>0</v>
      </c>
      <c r="R210">
        <f ca="1"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 ca="1">VLOOKUP(Tabela2[[#This Row],[TAG]],MICRO!J:L,3,0)</f>
        <v>#N/A</v>
      </c>
      <c r="F211" s="109" t="s">
        <v>23</v>
      </c>
      <c r="G211" s="58">
        <f ca="1">SUMIF(MICRO!AP:AP,O:O,MICRO!H:H)</f>
        <v>0</v>
      </c>
      <c r="H211" s="1">
        <f ca="1">SUMIF(MICRO!AP:AP,O:O,MICRO!R:R)</f>
        <v>0</v>
      </c>
      <c r="I211" s="1">
        <f ca="1">SUMIF(MICRO!AP:AP,O:O,MICRO!T:T)</f>
        <v>0</v>
      </c>
      <c r="J211" s="59">
        <f t="shared" ca="1" si="30"/>
        <v>0</v>
      </c>
      <c r="K211" s="1">
        <f ca="1">SUMIF(MICRO!AP:AP,O:O,MICRO!X:X)</f>
        <v>0</v>
      </c>
      <c r="L211" s="59" t="str">
        <f t="shared" ca="1" si="31"/>
        <v>0%</v>
      </c>
      <c r="M211" s="1">
        <f t="shared" ca="1" si="32"/>
        <v>0</v>
      </c>
      <c r="N211" s="56" t="e">
        <f t="shared" ca="1" si="33"/>
        <v>#N/A</v>
      </c>
      <c r="O211" s="56" t="e">
        <f t="shared" ca="1" si="34"/>
        <v>#N/A</v>
      </c>
      <c r="P211" s="2">
        <f ca="1">SUMIF(MICRO!AP:AP,O211,MICRO!AS:AS)</f>
        <v>0</v>
      </c>
      <c r="Q211">
        <f ca="1">SUMIF(MICRO!AP:AP,O211,MICRO!AT:AT)</f>
        <v>0</v>
      </c>
      <c r="R211">
        <f ca="1"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 ca="1">VLOOKUP(Tabela2[[#This Row],[TAG]],MICRO!J:L,3,0)</f>
        <v>P-133</v>
      </c>
      <c r="F212" s="109" t="s">
        <v>23</v>
      </c>
      <c r="G212" s="58">
        <f ca="1">SUMIF(MICRO!AP:AP,O:O,MICRO!H:H)</f>
        <v>0</v>
      </c>
      <c r="H212" s="1">
        <f ca="1">SUMIF(MICRO!AP:AP,O:O,MICRO!R:R)</f>
        <v>0</v>
      </c>
      <c r="I212" s="1">
        <f ca="1">SUMIF(MICRO!AP:AP,O:O,MICRO!T:T)</f>
        <v>0</v>
      </c>
      <c r="J212" s="59">
        <f t="shared" ca="1" si="30"/>
        <v>0</v>
      </c>
      <c r="K212" s="1">
        <f ca="1">SUMIF(MICRO!AP:AP,O:O,MICRO!X:X)</f>
        <v>0</v>
      </c>
      <c r="L212" s="59" t="str">
        <f t="shared" ca="1" si="31"/>
        <v>0%</v>
      </c>
      <c r="M212" s="1">
        <f t="shared" ca="1" si="32"/>
        <v>0</v>
      </c>
      <c r="N212" s="56" t="str">
        <f t="shared" ca="1" si="33"/>
        <v>P-133ROLOS</v>
      </c>
      <c r="O212" s="56" t="str">
        <f t="shared" ca="1" si="34"/>
        <v>120-AL-001P-133ROLOS</v>
      </c>
      <c r="P212" s="2">
        <f ca="1">SUMIF(MICRO!AP:AP,O212,MICRO!AS:AS)</f>
        <v>0</v>
      </c>
      <c r="Q212">
        <f ca="1">SUMIF(MICRO!AP:AP,O212,MICRO!AT:AT)</f>
        <v>0</v>
      </c>
      <c r="R212">
        <f ca="1"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 ca="1">VLOOKUP(Tabela2[[#This Row],[TAG]],MICRO!J:L,3,0)</f>
        <v>#N/A</v>
      </c>
      <c r="F213" s="109" t="s">
        <v>23</v>
      </c>
      <c r="G213" s="112">
        <f ca="1">SUMIF(MICRO!AP:AP,O:O,MICRO!H:H)</f>
        <v>0</v>
      </c>
      <c r="H213" s="113">
        <f ca="1">SUMIF(MICRO!AP:AP,O:O,MICRO!R:R)</f>
        <v>0</v>
      </c>
      <c r="I213" s="113">
        <f ca="1">SUMIF(MICRO!AP:AP,O:O,MICRO!T:T)</f>
        <v>0</v>
      </c>
      <c r="J213" s="114">
        <f t="shared" ca="1" si="30"/>
        <v>0</v>
      </c>
      <c r="K213" s="113">
        <f ca="1">SUMIF(MICRO!AP:AP,O:O,MICRO!X:X)</f>
        <v>0</v>
      </c>
      <c r="L213" s="114" t="str">
        <f t="shared" ca="1" si="31"/>
        <v>0%</v>
      </c>
      <c r="M213" s="113">
        <f t="shared" ca="1" si="32"/>
        <v>0</v>
      </c>
      <c r="N213" s="56" t="e">
        <f t="shared" ca="1" si="33"/>
        <v>#N/A</v>
      </c>
      <c r="O213" s="56" t="e">
        <f t="shared" ca="1" si="34"/>
        <v>#N/A</v>
      </c>
      <c r="P213" s="2">
        <f ca="1">SUMIF(MICRO!AP:AP,O213,MICRO!AS:AS)</f>
        <v>0</v>
      </c>
      <c r="Q213">
        <f ca="1">SUMIF(MICRO!AP:AP,O213,MICRO!AT:AT)</f>
        <v>0</v>
      </c>
      <c r="R213">
        <f ca="1"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 ca="1">VLOOKUP(Tabela2[[#This Row],[TAG]],MICRO!J:L,3,0)</f>
        <v>#N/A</v>
      </c>
      <c r="F214" s="109" t="s">
        <v>33</v>
      </c>
      <c r="G214" s="58">
        <f ca="1">SUMIF(MICRO!AP:AP,O:O,MICRO!H:H)</f>
        <v>0</v>
      </c>
      <c r="H214" s="1">
        <f ca="1">SUMIF(MICRO!AP:AP,O:O,MICRO!R:R)</f>
        <v>0</v>
      </c>
      <c r="I214" s="1">
        <f ca="1">SUMIF(MICRO!AP:AP,O:O,MICRO!T:T)</f>
        <v>0</v>
      </c>
      <c r="J214" s="59">
        <f t="shared" ca="1" si="30"/>
        <v>0</v>
      </c>
      <c r="K214" s="1">
        <f ca="1">SUMIF(MICRO!AP:AP,O:O,MICRO!X:X)</f>
        <v>0</v>
      </c>
      <c r="L214" s="59" t="str">
        <f t="shared" ca="1" si="31"/>
        <v>0%</v>
      </c>
      <c r="M214" s="1">
        <f t="shared" ca="1" si="32"/>
        <v>0</v>
      </c>
      <c r="N214" s="56" t="e">
        <f t="shared" ca="1" si="33"/>
        <v>#N/A</v>
      </c>
      <c r="O214" s="56" t="e">
        <f t="shared" ca="1" si="34"/>
        <v>#N/A</v>
      </c>
      <c r="P214" s="2">
        <f ca="1">SUMIF(MICRO!AP:AP,O214,MICRO!AS:AS)</f>
        <v>0</v>
      </c>
      <c r="Q214">
        <f ca="1">SUMIF(MICRO!AP:AP,O214,MICRO!AT:AT)</f>
        <v>0</v>
      </c>
      <c r="R214">
        <f ca="1"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 ca="1">VLOOKUP(Tabela2[[#This Row],[TAG]],MICRO!J:L,3,0)</f>
        <v>#N/A</v>
      </c>
      <c r="F215" s="109" t="s">
        <v>33</v>
      </c>
      <c r="G215" s="58">
        <f ca="1">SUMIF(MICRO!AP:AP,O:O,MICRO!H:H)</f>
        <v>0</v>
      </c>
      <c r="H215" s="1">
        <f ca="1">SUMIF(MICRO!AP:AP,O:O,MICRO!R:R)</f>
        <v>0</v>
      </c>
      <c r="I215" s="1">
        <f ca="1">SUMIF(MICRO!AP:AP,O:O,MICRO!T:T)</f>
        <v>0</v>
      </c>
      <c r="J215" s="59">
        <f t="shared" ca="1" si="30"/>
        <v>0</v>
      </c>
      <c r="K215" s="1">
        <f ca="1">SUMIF(MICRO!AP:AP,O:O,MICRO!X:X)</f>
        <v>0</v>
      </c>
      <c r="L215" s="59" t="str">
        <f t="shared" ca="1" si="31"/>
        <v>0%</v>
      </c>
      <c r="M215" s="1">
        <f t="shared" ca="1" si="32"/>
        <v>0</v>
      </c>
      <c r="N215" s="56" t="e">
        <f t="shared" ca="1" si="33"/>
        <v>#N/A</v>
      </c>
      <c r="O215" s="56" t="e">
        <f t="shared" ca="1" si="34"/>
        <v>#N/A</v>
      </c>
      <c r="P215" s="2">
        <f ca="1">SUMIF(MICRO!AP:AP,O215,MICRO!AS:AS)</f>
        <v>0</v>
      </c>
      <c r="Q215">
        <f ca="1">SUMIF(MICRO!AP:AP,O215,MICRO!AT:AT)</f>
        <v>0</v>
      </c>
      <c r="R215">
        <f ca="1"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 ca="1">VLOOKUP(Tabela2[[#This Row],[TAG]],MICRO!J:L,3,0)</f>
        <v>P-133</v>
      </c>
      <c r="F216" s="109" t="s">
        <v>33</v>
      </c>
      <c r="G216" s="58">
        <f ca="1">SUMIF(MICRO!AP:AP,O:O,MICRO!H:H)</f>
        <v>0</v>
      </c>
      <c r="H216" s="1">
        <f ca="1">SUMIF(MICRO!AP:AP,O:O,MICRO!R:R)</f>
        <v>0</v>
      </c>
      <c r="I216" s="1">
        <f ca="1">SUMIF(MICRO!AP:AP,O:O,MICRO!T:T)</f>
        <v>0</v>
      </c>
      <c r="J216" s="59">
        <f t="shared" ca="1" si="30"/>
        <v>0</v>
      </c>
      <c r="K216" s="1">
        <f ca="1">SUMIF(MICRO!AP:AP,O:O,MICRO!X:X)</f>
        <v>0</v>
      </c>
      <c r="L216" s="59" t="str">
        <f t="shared" ca="1" si="31"/>
        <v>0%</v>
      </c>
      <c r="M216" s="1">
        <f t="shared" ca="1" si="32"/>
        <v>0</v>
      </c>
      <c r="N216" s="56" t="str">
        <f t="shared" ca="1" si="33"/>
        <v>P-133BASES ROLETES</v>
      </c>
      <c r="O216" s="56" t="str">
        <f t="shared" ca="1" si="34"/>
        <v>120-AL-001P-133BASES ROLETES</v>
      </c>
      <c r="P216" s="2">
        <f ca="1">SUMIF(MICRO!AP:AP,O216,MICRO!AS:AS)</f>
        <v>0</v>
      </c>
      <c r="Q216">
        <f ca="1">SUMIF(MICRO!AP:AP,O216,MICRO!AT:AT)</f>
        <v>0</v>
      </c>
      <c r="R216">
        <f ca="1"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 ca="1">VLOOKUP(Tabela2[[#This Row],[TAG]],MICRO!J:L,3,0)</f>
        <v>#N/A</v>
      </c>
      <c r="F217" s="109" t="s">
        <v>33</v>
      </c>
      <c r="G217" s="112">
        <f ca="1">SUMIF(MICRO!AP:AP,O:O,MICRO!H:H)</f>
        <v>0</v>
      </c>
      <c r="H217" s="113">
        <f ca="1">SUMIF(MICRO!AP:AP,O:O,MICRO!R:R)</f>
        <v>0</v>
      </c>
      <c r="I217" s="113">
        <f ca="1">SUMIF(MICRO!AP:AP,O:O,MICRO!T:T)</f>
        <v>0</v>
      </c>
      <c r="J217" s="114">
        <f t="shared" ca="1" si="30"/>
        <v>0</v>
      </c>
      <c r="K217" s="113">
        <f ca="1">SUMIF(MICRO!AP:AP,O:O,MICRO!X:X)</f>
        <v>0</v>
      </c>
      <c r="L217" s="114" t="str">
        <f t="shared" ca="1" si="31"/>
        <v>0%</v>
      </c>
      <c r="M217" s="113">
        <f t="shared" ca="1" si="32"/>
        <v>0</v>
      </c>
      <c r="N217" s="56" t="e">
        <f t="shared" ca="1" si="33"/>
        <v>#N/A</v>
      </c>
      <c r="O217" s="56" t="e">
        <f t="shared" ca="1" si="34"/>
        <v>#N/A</v>
      </c>
      <c r="P217" s="2">
        <f ca="1">SUMIF(MICRO!AP:AP,O217,MICRO!AS:AS)</f>
        <v>0</v>
      </c>
      <c r="Q217">
        <f ca="1">SUMIF(MICRO!AP:AP,O217,MICRO!AT:AT)</f>
        <v>0</v>
      </c>
      <c r="R217">
        <f ca="1"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 ca="1">VLOOKUP(Tabela2[[#This Row],[TAG]],MICRO!J:L,3,0)</f>
        <v>#N/A</v>
      </c>
      <c r="F218" s="109" t="s">
        <v>23</v>
      </c>
      <c r="G218" s="112">
        <f ca="1">SUMIF(MICRO!AP:AP,O:O,MICRO!H:H)</f>
        <v>0</v>
      </c>
      <c r="H218" s="113">
        <f ca="1">SUMIF(MICRO!AP:AP,O:O,MICRO!R:R)</f>
        <v>0</v>
      </c>
      <c r="I218" s="113">
        <f ca="1">SUMIF(MICRO!AP:AP,O:O,MICRO!T:T)</f>
        <v>0</v>
      </c>
      <c r="J218" s="114">
        <f t="shared" ref="J218:J223" ca="1" si="35">IF(G218 = 0,0,H218/G218)</f>
        <v>0</v>
      </c>
      <c r="K218" s="113">
        <f ca="1">SUMIF(MICRO!AP:AP,O:O,MICRO!X:X)</f>
        <v>0</v>
      </c>
      <c r="L218" s="114" t="str">
        <f t="shared" ref="L218:L223" ca="1" si="36">IF(G218&lt;&gt;0,SUM(K218/G218*1),"0%")</f>
        <v>0%</v>
      </c>
      <c r="M218" s="113">
        <f t="shared" ref="M218:M223" ca="1" si="37">G218-K218</f>
        <v>0</v>
      </c>
      <c r="N218" s="56" t="e">
        <f t="shared" ref="N218:N223" ca="1" si="38">E218&amp;F218</f>
        <v>#N/A</v>
      </c>
      <c r="O218" s="56" t="e">
        <f t="shared" ref="O218:O223" ca="1" si="39">D218&amp;E218&amp;F218</f>
        <v>#N/A</v>
      </c>
      <c r="P218" s="2">
        <f ca="1">SUMIF(MICRO!AP:AP,O218,MICRO!AS:AS)</f>
        <v>0</v>
      </c>
      <c r="Q218">
        <f ca="1">SUMIF(MICRO!AP:AP,O218,MICRO!AT:AT)</f>
        <v>0</v>
      </c>
      <c r="R218">
        <f ca="1"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 ca="1">VLOOKUP(Tabela2[[#This Row],[TAG]],MICRO!J:L,3,0)</f>
        <v>#N/A</v>
      </c>
      <c r="F219" s="109" t="s">
        <v>23</v>
      </c>
      <c r="G219" s="112">
        <f ca="1">SUMIF(MICRO!AP:AP,O:O,MICRO!H:H)</f>
        <v>0</v>
      </c>
      <c r="H219" s="113">
        <f ca="1">SUMIF(MICRO!AP:AP,O:O,MICRO!R:R)</f>
        <v>0</v>
      </c>
      <c r="I219" s="113">
        <f ca="1">SUMIF(MICRO!AP:AP,O:O,MICRO!T:T)</f>
        <v>0</v>
      </c>
      <c r="J219" s="114">
        <f t="shared" ca="1" si="35"/>
        <v>0</v>
      </c>
      <c r="K219" s="113">
        <f ca="1">SUMIF(MICRO!AP:AP,O:O,MICRO!X:X)</f>
        <v>0</v>
      </c>
      <c r="L219" s="114" t="str">
        <f t="shared" ca="1" si="36"/>
        <v>0%</v>
      </c>
      <c r="M219" s="113">
        <f t="shared" ca="1" si="37"/>
        <v>0</v>
      </c>
      <c r="N219" s="56" t="e">
        <f t="shared" ca="1" si="38"/>
        <v>#N/A</v>
      </c>
      <c r="O219" s="56" t="e">
        <f t="shared" ca="1" si="39"/>
        <v>#N/A</v>
      </c>
      <c r="P219" s="2">
        <f ca="1">SUMIF(MICRO!AP:AP,O219,MICRO!AS:AS)</f>
        <v>0</v>
      </c>
      <c r="Q219">
        <f ca="1">SUMIF(MICRO!AP:AP,O219,MICRO!AT:AT)</f>
        <v>0</v>
      </c>
      <c r="R219">
        <f ca="1"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 ca="1">VLOOKUP(Tabela2[[#This Row],[TAG]],MICRO!J:L,3,0)</f>
        <v>#N/A</v>
      </c>
      <c r="F220" s="109" t="s">
        <v>23</v>
      </c>
      <c r="G220" s="112">
        <f ca="1">SUMIF(MICRO!AP:AP,O:O,MICRO!H:H)</f>
        <v>0</v>
      </c>
      <c r="H220" s="113">
        <f ca="1">SUMIF(MICRO!AP:AP,O:O,MICRO!R:R)</f>
        <v>0</v>
      </c>
      <c r="I220" s="113">
        <f ca="1">SUMIF(MICRO!AP:AP,O:O,MICRO!T:T)</f>
        <v>0</v>
      </c>
      <c r="J220" s="114">
        <f t="shared" ca="1" si="35"/>
        <v>0</v>
      </c>
      <c r="K220" s="113">
        <f ca="1">SUMIF(MICRO!AP:AP,O:O,MICRO!X:X)</f>
        <v>0</v>
      </c>
      <c r="L220" s="114" t="str">
        <f t="shared" ca="1" si="36"/>
        <v>0%</v>
      </c>
      <c r="M220" s="113">
        <f t="shared" ca="1" si="37"/>
        <v>0</v>
      </c>
      <c r="N220" s="56" t="e">
        <f t="shared" ca="1" si="38"/>
        <v>#N/A</v>
      </c>
      <c r="O220" s="56" t="e">
        <f t="shared" ca="1" si="39"/>
        <v>#N/A</v>
      </c>
      <c r="P220" s="2">
        <f ca="1">SUMIF(MICRO!AP:AP,O220,MICRO!AS:AS)</f>
        <v>0</v>
      </c>
      <c r="Q220">
        <f ca="1">SUMIF(MICRO!AP:AP,O220,MICRO!AT:AT)</f>
        <v>0</v>
      </c>
      <c r="R220">
        <f ca="1"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 ca="1">VLOOKUP(Tabela2[[#This Row],[TAG]],MICRO!J:L,3,0)</f>
        <v>#N/A</v>
      </c>
      <c r="F221" s="109" t="s">
        <v>33</v>
      </c>
      <c r="G221" s="112">
        <f ca="1">SUMIF(MICRO!AP:AP,O:O,MICRO!H:H)</f>
        <v>0</v>
      </c>
      <c r="H221" s="113">
        <f ca="1">SUMIF(MICRO!AP:AP,O:O,MICRO!R:R)</f>
        <v>0</v>
      </c>
      <c r="I221" s="113">
        <f ca="1">SUMIF(MICRO!AP:AP,O:O,MICRO!T:T)</f>
        <v>0</v>
      </c>
      <c r="J221" s="114">
        <f t="shared" ca="1" si="35"/>
        <v>0</v>
      </c>
      <c r="K221" s="113">
        <f ca="1">SUMIF(MICRO!AP:AP,O:O,MICRO!X:X)</f>
        <v>0</v>
      </c>
      <c r="L221" s="114" t="str">
        <f t="shared" ca="1" si="36"/>
        <v>0%</v>
      </c>
      <c r="M221" s="113">
        <f t="shared" ca="1" si="37"/>
        <v>0</v>
      </c>
      <c r="N221" s="56" t="e">
        <f t="shared" ca="1" si="38"/>
        <v>#N/A</v>
      </c>
      <c r="O221" s="56" t="e">
        <f t="shared" ca="1" si="39"/>
        <v>#N/A</v>
      </c>
      <c r="P221" s="2">
        <f ca="1">SUMIF(MICRO!AP:AP,O221,MICRO!AS:AS)</f>
        <v>0</v>
      </c>
      <c r="Q221">
        <f ca="1">SUMIF(MICRO!AP:AP,O221,MICRO!AT:AT)</f>
        <v>0</v>
      </c>
      <c r="R221">
        <f ca="1"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 ca="1">VLOOKUP(Tabela2[[#This Row],[TAG]],MICRO!J:L,3,0)</f>
        <v>#N/A</v>
      </c>
      <c r="F222" s="44" t="s">
        <v>22</v>
      </c>
      <c r="G222" s="112">
        <f ca="1">SUMIF(MICRO!AP:AP,O:O,MICRO!H:H)</f>
        <v>0</v>
      </c>
      <c r="H222" s="113">
        <f ca="1">SUMIF(MICRO!AP:AP,O:O,MICRO!R:R)</f>
        <v>0</v>
      </c>
      <c r="I222" s="113">
        <f ca="1">SUMIF(MICRO!AP:AP,O:O,MICRO!T:T)</f>
        <v>0</v>
      </c>
      <c r="J222" s="114">
        <f t="shared" ca="1" si="35"/>
        <v>0</v>
      </c>
      <c r="K222" s="113">
        <f ca="1">SUMIF(MICRO!AP:AP,O:O,MICRO!X:X)</f>
        <v>0</v>
      </c>
      <c r="L222" s="114" t="str">
        <f t="shared" ca="1" si="36"/>
        <v>0%</v>
      </c>
      <c r="M222" s="113">
        <f t="shared" ca="1" si="37"/>
        <v>0</v>
      </c>
      <c r="N222" s="56" t="e">
        <f t="shared" ca="1" si="38"/>
        <v>#N/A</v>
      </c>
      <c r="O222" s="56" t="e">
        <f t="shared" ca="1" si="39"/>
        <v>#N/A</v>
      </c>
      <c r="P222" s="2">
        <f ca="1">SUMIF(MICRO!AP:AP,O222,MICRO!AS:AS)</f>
        <v>0</v>
      </c>
      <c r="Q222">
        <f ca="1">SUMIF(MICRO!AP:AP,O222,MICRO!AT:AT)</f>
        <v>0</v>
      </c>
      <c r="R222">
        <f ca="1"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 ca="1">VLOOKUP(Tabela2[[#This Row],[TAG]],MICRO!J:L,3,0)</f>
        <v>#N/A</v>
      </c>
      <c r="F223" s="109" t="s">
        <v>23</v>
      </c>
      <c r="G223" s="112">
        <f ca="1">SUMIF(MICRO!AP:AP,O:O,MICRO!H:H)</f>
        <v>0</v>
      </c>
      <c r="H223" s="113">
        <f ca="1">SUMIF(MICRO!AP:AP,O:O,MICRO!R:R)</f>
        <v>0</v>
      </c>
      <c r="I223" s="113">
        <f ca="1">SUMIF(MICRO!AP:AP,O:O,MICRO!T:T)</f>
        <v>0</v>
      </c>
      <c r="J223" s="114">
        <f t="shared" ca="1" si="35"/>
        <v>0</v>
      </c>
      <c r="K223" s="113">
        <f ca="1">SUMIF(MICRO!AP:AP,O:O,MICRO!X:X)</f>
        <v>0</v>
      </c>
      <c r="L223" s="114" t="str">
        <f t="shared" ca="1" si="36"/>
        <v>0%</v>
      </c>
      <c r="M223" s="113">
        <f t="shared" ca="1" si="37"/>
        <v>0</v>
      </c>
      <c r="N223" s="56" t="e">
        <f t="shared" ca="1" si="38"/>
        <v>#N/A</v>
      </c>
      <c r="O223" s="56" t="e">
        <f t="shared" ca="1" si="39"/>
        <v>#N/A</v>
      </c>
      <c r="P223" s="2">
        <f ca="1">SUMIF(MICRO!AP:AP,O223,MICRO!AS:AS)</f>
        <v>0</v>
      </c>
      <c r="Q223">
        <f ca="1">SUMIF(MICRO!AP:AP,O223,MICRO!AT:AT)</f>
        <v>0</v>
      </c>
      <c r="R223">
        <f ca="1"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 ca="1">VLOOKUP(Tabela2[[#This Row],[TAG]],MICRO!J:L,3,0)</f>
        <v>#N/A</v>
      </c>
      <c r="F224" s="109" t="s">
        <v>23</v>
      </c>
      <c r="G224" s="58">
        <f ca="1">SUMIF(MICRO!AP:AP,O:O,MICRO!H:H)</f>
        <v>0</v>
      </c>
      <c r="H224" s="1">
        <f ca="1">SUMIF(MICRO!AP:AP,O:O,MICRO!R:R)</f>
        <v>0</v>
      </c>
      <c r="I224" s="1">
        <f ca="1">SUMIF(MICRO!AP:AP,O:O,MICRO!T:T)</f>
        <v>0</v>
      </c>
      <c r="J224" s="59">
        <f t="shared" ref="J224:J228" ca="1" si="40">IF(G224 = 0,0,H224/G224)</f>
        <v>0</v>
      </c>
      <c r="K224" s="1">
        <f ca="1">SUMIF(MICRO!AP:AP,O:O,MICRO!X:X)</f>
        <v>0</v>
      </c>
      <c r="L224" s="59" t="str">
        <f t="shared" ref="L224:L228" ca="1" si="41">IF(G224&lt;&gt;0,SUM(K224/G224*1),"0%")</f>
        <v>0%</v>
      </c>
      <c r="M224" s="1">
        <f t="shared" ref="M224:M228" ca="1" si="42">G224-K224</f>
        <v>0</v>
      </c>
      <c r="N224" s="56" t="e">
        <f t="shared" ref="N224:N228" ca="1" si="43">E224&amp;F224</f>
        <v>#N/A</v>
      </c>
      <c r="O224" s="56" t="e">
        <f t="shared" ref="O224:O228" ca="1" si="44">D224&amp;E224&amp;F224</f>
        <v>#N/A</v>
      </c>
      <c r="P224" s="2">
        <f ca="1">SUMIF(MICRO!AP:AP,O224,MICRO!AS:AS)</f>
        <v>0</v>
      </c>
      <c r="Q224">
        <f ca="1">SUMIF(MICRO!AP:AP,O224,MICRO!AT:AT)</f>
        <v>0</v>
      </c>
      <c r="R224">
        <f ca="1"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 ca="1">VLOOKUP(Tabela2[[#This Row],[TAG]],MICRO!J:L,3,0)</f>
        <v>#N/A</v>
      </c>
      <c r="F225" s="109" t="s">
        <v>23</v>
      </c>
      <c r="G225" s="58">
        <f ca="1">SUMIF(MICRO!AP:AP,O:O,MICRO!H:H)</f>
        <v>0</v>
      </c>
      <c r="H225" s="1">
        <f ca="1">SUMIF(MICRO!AP:AP,O:O,MICRO!R:R)</f>
        <v>0</v>
      </c>
      <c r="I225" s="1">
        <f ca="1">SUMIF(MICRO!AP:AP,O:O,MICRO!T:T)</f>
        <v>0</v>
      </c>
      <c r="J225" s="59">
        <f t="shared" ca="1" si="40"/>
        <v>0</v>
      </c>
      <c r="K225" s="1">
        <f ca="1">SUMIF(MICRO!AP:AP,O:O,MICRO!X:X)</f>
        <v>0</v>
      </c>
      <c r="L225" s="59" t="str">
        <f t="shared" ca="1" si="41"/>
        <v>0%</v>
      </c>
      <c r="M225" s="1">
        <f t="shared" ca="1" si="42"/>
        <v>0</v>
      </c>
      <c r="N225" s="56" t="e">
        <f t="shared" ca="1" si="43"/>
        <v>#N/A</v>
      </c>
      <c r="O225" s="56" t="e">
        <f t="shared" ca="1" si="44"/>
        <v>#N/A</v>
      </c>
      <c r="P225" s="2">
        <f ca="1">SUMIF(MICRO!AP:AP,O225,MICRO!AS:AS)</f>
        <v>0</v>
      </c>
      <c r="Q225">
        <f ca="1">SUMIF(MICRO!AP:AP,O225,MICRO!AT:AT)</f>
        <v>0</v>
      </c>
      <c r="R225">
        <f ca="1"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 ca="1">VLOOKUP(Tabela2[[#This Row],[TAG]],MICRO!J:L,3,0)</f>
        <v>#N/A</v>
      </c>
      <c r="F226" s="109" t="s">
        <v>23</v>
      </c>
      <c r="G226" s="58">
        <f ca="1">SUMIF(MICRO!AP:AP,O:O,MICRO!H:H)</f>
        <v>0</v>
      </c>
      <c r="H226" s="1">
        <f ca="1">SUMIF(MICRO!AP:AP,O:O,MICRO!R:R)</f>
        <v>0</v>
      </c>
      <c r="I226" s="1">
        <f ca="1">SUMIF(MICRO!AP:AP,O:O,MICRO!T:T)</f>
        <v>0</v>
      </c>
      <c r="J226" s="59">
        <f t="shared" ca="1" si="40"/>
        <v>0</v>
      </c>
      <c r="K226" s="1">
        <f ca="1">SUMIF(MICRO!AP:AP,O:O,MICRO!X:X)</f>
        <v>0</v>
      </c>
      <c r="L226" s="59" t="str">
        <f t="shared" ca="1" si="41"/>
        <v>0%</v>
      </c>
      <c r="M226" s="1">
        <f t="shared" ca="1" si="42"/>
        <v>0</v>
      </c>
      <c r="N226" s="56" t="e">
        <f t="shared" ca="1" si="43"/>
        <v>#N/A</v>
      </c>
      <c r="O226" s="56" t="e">
        <f t="shared" ca="1" si="44"/>
        <v>#N/A</v>
      </c>
      <c r="P226" s="2">
        <f ca="1">SUMIF(MICRO!AP:AP,O226,MICRO!AS:AS)</f>
        <v>0</v>
      </c>
      <c r="Q226">
        <f ca="1">SUMIF(MICRO!AP:AP,O226,MICRO!AT:AT)</f>
        <v>0</v>
      </c>
      <c r="R226">
        <f ca="1"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 ca="1">VLOOKUP(Tabela2[[#This Row],[TAG]],MICRO!J:L,3,0)</f>
        <v>#N/A</v>
      </c>
      <c r="F227" s="109" t="s">
        <v>23</v>
      </c>
      <c r="G227" s="58">
        <f ca="1">SUMIF(MICRO!AP:AP,O:O,MICRO!H:H)</f>
        <v>0</v>
      </c>
      <c r="H227" s="1">
        <f ca="1">SUMIF(MICRO!AP:AP,O:O,MICRO!R:R)</f>
        <v>0</v>
      </c>
      <c r="I227" s="1">
        <f ca="1">SUMIF(MICRO!AP:AP,O:O,MICRO!T:T)</f>
        <v>0</v>
      </c>
      <c r="J227" s="59">
        <f t="shared" ca="1" si="40"/>
        <v>0</v>
      </c>
      <c r="K227" s="1">
        <f ca="1">SUMIF(MICRO!AP:AP,O:O,MICRO!X:X)</f>
        <v>0</v>
      </c>
      <c r="L227" s="59" t="str">
        <f t="shared" ca="1" si="41"/>
        <v>0%</v>
      </c>
      <c r="M227" s="1">
        <f t="shared" ca="1" si="42"/>
        <v>0</v>
      </c>
      <c r="N227" s="56" t="e">
        <f t="shared" ca="1" si="43"/>
        <v>#N/A</v>
      </c>
      <c r="O227" s="56" t="e">
        <f t="shared" ca="1" si="44"/>
        <v>#N/A</v>
      </c>
      <c r="P227" s="2">
        <f ca="1">SUMIF(MICRO!AP:AP,O227,MICRO!AS:AS)</f>
        <v>0</v>
      </c>
      <c r="Q227">
        <f ca="1">SUMIF(MICRO!AP:AP,O227,MICRO!AT:AT)</f>
        <v>0</v>
      </c>
      <c r="R227">
        <f ca="1"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 ca="1">VLOOKUP(Tabela2[[#This Row],[TAG]],MICRO!J:L,3,0)</f>
        <v>#N/A</v>
      </c>
      <c r="F228" s="109" t="s">
        <v>23</v>
      </c>
      <c r="G228" s="112">
        <f ca="1">SUMIF(MICRO!AP:AP,O:O,MICRO!H:H)</f>
        <v>0</v>
      </c>
      <c r="H228" s="113">
        <f ca="1">SUMIF(MICRO!AP:AP,O:O,MICRO!R:R)</f>
        <v>0</v>
      </c>
      <c r="I228" s="113">
        <f ca="1">SUMIF(MICRO!AP:AP,O:O,MICRO!T:T)</f>
        <v>0</v>
      </c>
      <c r="J228" s="114">
        <f t="shared" ca="1" si="40"/>
        <v>0</v>
      </c>
      <c r="K228" s="113">
        <f ca="1">SUMIF(MICRO!AP:AP,O:O,MICRO!X:X)</f>
        <v>0</v>
      </c>
      <c r="L228" s="114" t="str">
        <f t="shared" ca="1" si="41"/>
        <v>0%</v>
      </c>
      <c r="M228" s="113">
        <f t="shared" ca="1" si="42"/>
        <v>0</v>
      </c>
      <c r="N228" s="56" t="e">
        <f t="shared" ca="1" si="43"/>
        <v>#N/A</v>
      </c>
      <c r="O228" s="56" t="e">
        <f t="shared" ca="1" si="44"/>
        <v>#N/A</v>
      </c>
      <c r="P228" s="2">
        <f ca="1">SUMIF(MICRO!AP:AP,O228,MICRO!AS:AS)</f>
        <v>0</v>
      </c>
      <c r="Q228">
        <f ca="1">SUMIF(MICRO!AP:AP,O228,MICRO!AT:AT)</f>
        <v>0</v>
      </c>
      <c r="R228">
        <f ca="1"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 ca="1">VLOOKUP(Tabela2[[#This Row],[TAG]],MICRO!J:L,3,0)</f>
        <v>#N/A</v>
      </c>
      <c r="F229" s="109" t="s">
        <v>32</v>
      </c>
      <c r="G229" s="58">
        <f ca="1">SUMIF(MICRO!AP:AP,O:O,MICRO!H:H)</f>
        <v>0</v>
      </c>
      <c r="H229" s="1">
        <f ca="1">SUMIF(MICRO!AP:AP,O:O,MICRO!R:R)</f>
        <v>0</v>
      </c>
      <c r="I229" s="1">
        <f ca="1">SUMIF(MICRO!AP:AP,O:O,MICRO!T:T)</f>
        <v>0</v>
      </c>
      <c r="J229" s="59">
        <f t="shared" ref="J229:J233" ca="1" si="45">IF(G229 = 0,0,H229/G229)</f>
        <v>0</v>
      </c>
      <c r="K229" s="113">
        <f ca="1">SUMIF(MICRO!AP:AP,O:O,MICRO!X:X)</f>
        <v>0</v>
      </c>
      <c r="L229" s="59" t="str">
        <f t="shared" ref="L229:L233" ca="1" si="46">IF(G229&lt;&gt;0,SUM(K229/G229*1),"0%")</f>
        <v>0%</v>
      </c>
      <c r="M229" s="1">
        <f t="shared" ref="M229:M233" ca="1" si="47">G229-K229</f>
        <v>0</v>
      </c>
      <c r="N229" s="56" t="e">
        <f t="shared" ref="N229:N233" ca="1" si="48">E229&amp;F229</f>
        <v>#N/A</v>
      </c>
      <c r="O229" s="56" t="e">
        <f t="shared" ref="O229:O233" ca="1" si="49">D229&amp;E229&amp;F229</f>
        <v>#N/A</v>
      </c>
      <c r="P229" s="2">
        <f ca="1">SUMIF(MICRO!AP:AP,O229,MICRO!AS:AS)</f>
        <v>0</v>
      </c>
      <c r="Q229">
        <f ca="1">SUMIF(MICRO!AP:AP,O229,MICRO!AT:AT)</f>
        <v>0</v>
      </c>
      <c r="R229">
        <f ca="1"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 ca="1">VLOOKUP(Tabela2[[#This Row],[TAG]],MICRO!J:L,3,0)</f>
        <v>#N/A</v>
      </c>
      <c r="F230" s="109" t="s">
        <v>32</v>
      </c>
      <c r="G230" s="58">
        <f ca="1">SUMIF(MICRO!AP:AP,O:O,MICRO!H:H)</f>
        <v>0</v>
      </c>
      <c r="H230" s="1">
        <f ca="1">SUMIF(MICRO!AP:AP,O:O,MICRO!R:R)</f>
        <v>0</v>
      </c>
      <c r="I230" s="1">
        <f ca="1">SUMIF(MICRO!AP:AP,O:O,MICRO!T:T)</f>
        <v>0</v>
      </c>
      <c r="J230" s="59">
        <f t="shared" ca="1" si="45"/>
        <v>0</v>
      </c>
      <c r="K230" s="113">
        <f ca="1">SUMIF(MICRO!AP:AP,O:O,MICRO!X:X)</f>
        <v>0</v>
      </c>
      <c r="L230" s="59" t="str">
        <f t="shared" ca="1" si="46"/>
        <v>0%</v>
      </c>
      <c r="M230" s="1">
        <f t="shared" ca="1" si="47"/>
        <v>0</v>
      </c>
      <c r="N230" s="56" t="e">
        <f t="shared" ca="1" si="48"/>
        <v>#N/A</v>
      </c>
      <c r="O230" s="56" t="e">
        <f t="shared" ca="1" si="49"/>
        <v>#N/A</v>
      </c>
      <c r="P230" s="2">
        <f ca="1">SUMIF(MICRO!AP:AP,O230,MICRO!AS:AS)</f>
        <v>0</v>
      </c>
      <c r="Q230">
        <f ca="1">SUMIF(MICRO!AP:AP,O230,MICRO!AT:AT)</f>
        <v>0</v>
      </c>
      <c r="R230">
        <f ca="1"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 ca="1">VLOOKUP(Tabela2[[#This Row],[TAG]],MICRO!J:L,3,0)</f>
        <v>#N/A</v>
      </c>
      <c r="F231" s="109" t="s">
        <v>32</v>
      </c>
      <c r="G231" s="58">
        <f ca="1">SUMIF(MICRO!AP:AP,O:O,MICRO!H:H)</f>
        <v>0</v>
      </c>
      <c r="H231" s="1">
        <f ca="1">SUMIF(MICRO!AP:AP,O:O,MICRO!R:R)</f>
        <v>0</v>
      </c>
      <c r="I231" s="1">
        <f ca="1">SUMIF(MICRO!AP:AP,O:O,MICRO!T:T)</f>
        <v>0</v>
      </c>
      <c r="J231" s="59">
        <f t="shared" ca="1" si="45"/>
        <v>0</v>
      </c>
      <c r="K231" s="113">
        <f ca="1">SUMIF(MICRO!AP:AP,O:O,MICRO!X:X)</f>
        <v>0</v>
      </c>
      <c r="L231" s="59" t="str">
        <f t="shared" ca="1" si="46"/>
        <v>0%</v>
      </c>
      <c r="M231" s="1">
        <f t="shared" ca="1" si="47"/>
        <v>0</v>
      </c>
      <c r="N231" s="56" t="e">
        <f t="shared" ca="1" si="48"/>
        <v>#N/A</v>
      </c>
      <c r="O231" s="56" t="e">
        <f t="shared" ca="1" si="49"/>
        <v>#N/A</v>
      </c>
      <c r="P231" s="2">
        <f ca="1">SUMIF(MICRO!AP:AP,O231,MICRO!AS:AS)</f>
        <v>0</v>
      </c>
      <c r="Q231">
        <f ca="1">SUMIF(MICRO!AP:AP,O231,MICRO!AT:AT)</f>
        <v>0</v>
      </c>
      <c r="R231">
        <f ca="1"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 ca="1">VLOOKUP(Tabela2[[#This Row],[TAG]],MICRO!J:L,3,0)</f>
        <v>#N/A</v>
      </c>
      <c r="F232" s="109" t="s">
        <v>32</v>
      </c>
      <c r="G232" s="58">
        <f ca="1">SUMIF(MICRO!AP:AP,O:O,MICRO!H:H)</f>
        <v>0</v>
      </c>
      <c r="H232" s="1">
        <f ca="1">SUMIF(MICRO!AP:AP,O:O,MICRO!R:R)</f>
        <v>0</v>
      </c>
      <c r="I232" s="1">
        <f ca="1">SUMIF(MICRO!AP:AP,O:O,MICRO!T:T)</f>
        <v>0</v>
      </c>
      <c r="J232" s="59">
        <f t="shared" ca="1" si="45"/>
        <v>0</v>
      </c>
      <c r="K232" s="113">
        <f ca="1">SUMIF(MICRO!AP:AP,O:O,MICRO!X:X)</f>
        <v>0</v>
      </c>
      <c r="L232" s="59" t="str">
        <f t="shared" ca="1" si="46"/>
        <v>0%</v>
      </c>
      <c r="M232" s="1">
        <f t="shared" ca="1" si="47"/>
        <v>0</v>
      </c>
      <c r="N232" s="56" t="e">
        <f t="shared" ca="1" si="48"/>
        <v>#N/A</v>
      </c>
      <c r="O232" s="56" t="e">
        <f t="shared" ca="1" si="49"/>
        <v>#N/A</v>
      </c>
      <c r="P232" s="2">
        <f ca="1">SUMIF(MICRO!AP:AP,O232,MICRO!AS:AS)</f>
        <v>0</v>
      </c>
      <c r="Q232">
        <f ca="1">SUMIF(MICRO!AP:AP,O232,MICRO!AT:AT)</f>
        <v>0</v>
      </c>
      <c r="R232">
        <f ca="1"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 ca="1">VLOOKUP(Tabela2[[#This Row],[TAG]],MICRO!J:L,3,0)</f>
        <v>#N/A</v>
      </c>
      <c r="F233" s="109" t="s">
        <v>32</v>
      </c>
      <c r="G233" s="112">
        <f ca="1">SUMIF(MICRO!AP:AP,O:O,MICRO!H:H)</f>
        <v>0</v>
      </c>
      <c r="H233" s="113">
        <f ca="1">SUMIF(MICRO!AP:AP,O:O,MICRO!R:R)</f>
        <v>0</v>
      </c>
      <c r="I233" s="113">
        <f ca="1">SUMIF(MICRO!AP:AP,O:O,MICRO!T:T)</f>
        <v>0</v>
      </c>
      <c r="J233" s="114">
        <f t="shared" ca="1" si="45"/>
        <v>0</v>
      </c>
      <c r="K233" s="113">
        <f ca="1">SUMIF(MICRO!AP:AP,O:O,MICRO!X:X)</f>
        <v>0</v>
      </c>
      <c r="L233" s="114" t="str">
        <f t="shared" ca="1" si="46"/>
        <v>0%</v>
      </c>
      <c r="M233" s="113">
        <f t="shared" ca="1" si="47"/>
        <v>0</v>
      </c>
      <c r="N233" s="56" t="e">
        <f t="shared" ca="1" si="48"/>
        <v>#N/A</v>
      </c>
      <c r="O233" s="56" t="e">
        <f t="shared" ca="1" si="49"/>
        <v>#N/A</v>
      </c>
      <c r="P233" s="2">
        <f ca="1">SUMIF(MICRO!AP:AP,O233,MICRO!AS:AS)</f>
        <v>0</v>
      </c>
      <c r="Q233">
        <f ca="1">SUMIF(MICRO!AP:AP,O233,MICRO!AT:AT)</f>
        <v>0</v>
      </c>
      <c r="R233">
        <f ca="1"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 ca="1">VLOOKUP(Tabela2[[#This Row],[TAG]],MICRO!J:L,3,0)</f>
        <v>#N/A</v>
      </c>
      <c r="F234" s="109" t="s">
        <v>33</v>
      </c>
      <c r="G234" s="58">
        <f ca="1">SUMIF(MICRO!AP:AP,O:O,MICRO!H:H)</f>
        <v>0</v>
      </c>
      <c r="H234" s="1">
        <f ca="1">SUMIF(MICRO!AP:AP,O:O,MICRO!R:R)</f>
        <v>0</v>
      </c>
      <c r="I234" s="1">
        <f ca="1">SUMIF(MICRO!AP:AP,O:O,MICRO!T:T)</f>
        <v>0</v>
      </c>
      <c r="J234" s="59">
        <f t="shared" ref="J234:J238" ca="1" si="50">IF(G234 = 0,0,H234/G234)</f>
        <v>0</v>
      </c>
      <c r="K234" s="1">
        <f ca="1">SUMIF(MICRO!AP:AP,O:O,MICRO!X:X)</f>
        <v>0</v>
      </c>
      <c r="L234" s="59" t="str">
        <f t="shared" ref="L234:L238" ca="1" si="51">IF(G234&lt;&gt;0,SUM(K234/G234*1),"0%")</f>
        <v>0%</v>
      </c>
      <c r="M234" s="1">
        <f t="shared" ref="M234:M238" ca="1" si="52">G234-K234</f>
        <v>0</v>
      </c>
      <c r="N234" s="56" t="e">
        <f t="shared" ref="N234:N238" ca="1" si="53">E234&amp;F234</f>
        <v>#N/A</v>
      </c>
      <c r="O234" s="56" t="e">
        <f t="shared" ref="O234:O238" ca="1" si="54">D234&amp;E234&amp;F234</f>
        <v>#N/A</v>
      </c>
      <c r="P234" s="2">
        <f ca="1">SUMIF(MICRO!AP:AP,O234,MICRO!AS:AS)</f>
        <v>0</v>
      </c>
      <c r="Q234">
        <f ca="1">SUMIF(MICRO!AP:AP,O234,MICRO!AT:AT)</f>
        <v>0</v>
      </c>
      <c r="R234">
        <f ca="1"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 ca="1">VLOOKUP(Tabela2[[#This Row],[TAG]],MICRO!J:L,3,0)</f>
        <v>#N/A</v>
      </c>
      <c r="F235" s="109" t="s">
        <v>33</v>
      </c>
      <c r="G235" s="58">
        <f ca="1">SUMIF(MICRO!AP:AP,O:O,MICRO!H:H)</f>
        <v>0</v>
      </c>
      <c r="H235" s="1">
        <f ca="1">SUMIF(MICRO!AP:AP,O:O,MICRO!R:R)</f>
        <v>0</v>
      </c>
      <c r="I235" s="1">
        <f ca="1">SUMIF(MICRO!AP:AP,O:O,MICRO!T:T)</f>
        <v>0</v>
      </c>
      <c r="J235" s="59">
        <f t="shared" ca="1" si="50"/>
        <v>0</v>
      </c>
      <c r="K235" s="1">
        <f ca="1">SUMIF(MICRO!AP:AP,O:O,MICRO!X:X)</f>
        <v>0</v>
      </c>
      <c r="L235" s="59" t="str">
        <f t="shared" ca="1" si="51"/>
        <v>0%</v>
      </c>
      <c r="M235" s="1">
        <f t="shared" ca="1" si="52"/>
        <v>0</v>
      </c>
      <c r="N235" s="56" t="e">
        <f t="shared" ca="1" si="53"/>
        <v>#N/A</v>
      </c>
      <c r="O235" s="56" t="e">
        <f t="shared" ca="1" si="54"/>
        <v>#N/A</v>
      </c>
      <c r="P235" s="2">
        <f ca="1">SUMIF(MICRO!AP:AP,O235,MICRO!AS:AS)</f>
        <v>0</v>
      </c>
      <c r="Q235">
        <f ca="1">SUMIF(MICRO!AP:AP,O235,MICRO!AT:AT)</f>
        <v>0</v>
      </c>
      <c r="R235">
        <f ca="1"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 ca="1">VLOOKUP(Tabela2[[#This Row],[TAG]],MICRO!J:L,3,0)</f>
        <v>#N/A</v>
      </c>
      <c r="F236" s="109" t="s">
        <v>33</v>
      </c>
      <c r="G236" s="58">
        <f ca="1">SUMIF(MICRO!AP:AP,O:O,MICRO!H:H)</f>
        <v>0</v>
      </c>
      <c r="H236" s="1">
        <f ca="1">SUMIF(MICRO!AP:AP,O:O,MICRO!R:R)</f>
        <v>0</v>
      </c>
      <c r="I236" s="1">
        <f ca="1">SUMIF(MICRO!AP:AP,O:O,MICRO!T:T)</f>
        <v>0</v>
      </c>
      <c r="J236" s="59">
        <f t="shared" ca="1" si="50"/>
        <v>0</v>
      </c>
      <c r="K236" s="1">
        <f ca="1">SUMIF(MICRO!AP:AP,O:O,MICRO!X:X)</f>
        <v>0</v>
      </c>
      <c r="L236" s="59" t="str">
        <f t="shared" ca="1" si="51"/>
        <v>0%</v>
      </c>
      <c r="M236" s="1">
        <f t="shared" ca="1" si="52"/>
        <v>0</v>
      </c>
      <c r="N236" s="56" t="e">
        <f t="shared" ca="1" si="53"/>
        <v>#N/A</v>
      </c>
      <c r="O236" s="56" t="e">
        <f t="shared" ca="1" si="54"/>
        <v>#N/A</v>
      </c>
      <c r="P236" s="2">
        <f ca="1">SUMIF(MICRO!AP:AP,O236,MICRO!AS:AS)</f>
        <v>0</v>
      </c>
      <c r="Q236">
        <f ca="1">SUMIF(MICRO!AP:AP,O236,MICRO!AT:AT)</f>
        <v>0</v>
      </c>
      <c r="R236">
        <f ca="1"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 ca="1">VLOOKUP(Tabela2[[#This Row],[TAG]],MICRO!J:L,3,0)</f>
        <v>#N/A</v>
      </c>
      <c r="F237" s="109" t="s">
        <v>33</v>
      </c>
      <c r="G237" s="58">
        <f ca="1">SUMIF(MICRO!AP:AP,O:O,MICRO!H:H)</f>
        <v>0</v>
      </c>
      <c r="H237" s="1">
        <f ca="1">SUMIF(MICRO!AP:AP,O:O,MICRO!R:R)</f>
        <v>0</v>
      </c>
      <c r="I237" s="1">
        <f ca="1">SUMIF(MICRO!AP:AP,O:O,MICRO!T:T)</f>
        <v>0</v>
      </c>
      <c r="J237" s="59">
        <f t="shared" ca="1" si="50"/>
        <v>0</v>
      </c>
      <c r="K237" s="1">
        <f ca="1">SUMIF(MICRO!AP:AP,O:O,MICRO!X:X)</f>
        <v>0</v>
      </c>
      <c r="L237" s="59" t="str">
        <f t="shared" ca="1" si="51"/>
        <v>0%</v>
      </c>
      <c r="M237" s="1">
        <f t="shared" ca="1" si="52"/>
        <v>0</v>
      </c>
      <c r="N237" s="56" t="e">
        <f t="shared" ca="1" si="53"/>
        <v>#N/A</v>
      </c>
      <c r="O237" s="56" t="e">
        <f t="shared" ca="1" si="54"/>
        <v>#N/A</v>
      </c>
      <c r="P237" s="2">
        <f ca="1">SUMIF(MICRO!AP:AP,O237,MICRO!AS:AS)</f>
        <v>0</v>
      </c>
      <c r="Q237">
        <f ca="1">SUMIF(MICRO!AP:AP,O237,MICRO!AT:AT)</f>
        <v>0</v>
      </c>
      <c r="R237">
        <f ca="1"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 ca="1">VLOOKUP(Tabela2[[#This Row],[TAG]],MICRO!J:L,3,0)</f>
        <v>#N/A</v>
      </c>
      <c r="F238" s="109" t="s">
        <v>33</v>
      </c>
      <c r="G238" s="112">
        <f ca="1">SUMIF(MICRO!AP:AP,O:O,MICRO!H:H)</f>
        <v>0</v>
      </c>
      <c r="H238" s="113">
        <f ca="1">SUMIF(MICRO!AP:AP,O:O,MICRO!R:R)</f>
        <v>0</v>
      </c>
      <c r="I238" s="113">
        <f ca="1">SUMIF(MICRO!AP:AP,O:O,MICRO!T:T)</f>
        <v>0</v>
      </c>
      <c r="J238" s="114">
        <f t="shared" ca="1" si="50"/>
        <v>0</v>
      </c>
      <c r="K238" s="113">
        <f ca="1">SUMIF(MICRO!AP:AP,O:O,MICRO!X:X)</f>
        <v>0</v>
      </c>
      <c r="L238" s="114" t="str">
        <f t="shared" ca="1" si="51"/>
        <v>0%</v>
      </c>
      <c r="M238" s="113">
        <f t="shared" ca="1" si="52"/>
        <v>0</v>
      </c>
      <c r="N238" s="56" t="e">
        <f t="shared" ca="1" si="53"/>
        <v>#N/A</v>
      </c>
      <c r="O238" s="56" t="e">
        <f t="shared" ca="1" si="54"/>
        <v>#N/A</v>
      </c>
      <c r="P238" s="2">
        <f ca="1">SUMIF(MICRO!AP:AP,O238,MICRO!AS:AS)</f>
        <v>0</v>
      </c>
      <c r="Q238">
        <f ca="1">SUMIF(MICRO!AP:AP,O238,MICRO!AT:AT)</f>
        <v>0</v>
      </c>
      <c r="R238">
        <f ca="1"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 ca="1">VLOOKUP(Tabela2[[#This Row],[TAG]],MICRO!J:L,3,0)</f>
        <v>#N/A</v>
      </c>
      <c r="F239" s="109" t="s">
        <v>22</v>
      </c>
      <c r="G239" s="58">
        <f ca="1">SUMIF(MICRO!AP:AP,O:O,MICRO!H:H)</f>
        <v>0</v>
      </c>
      <c r="H239" s="1">
        <f ca="1">SUMIF(MICRO!AP:AP,O:O,MICRO!R:R)</f>
        <v>0</v>
      </c>
      <c r="I239" s="1">
        <f ca="1">SUMIF(MICRO!AP:AP,O:O,MICRO!T:T)</f>
        <v>0</v>
      </c>
      <c r="J239" s="59">
        <f t="shared" ref="J239:J243" ca="1" si="55">IF(G239 = 0,0,H239/G239)</f>
        <v>0</v>
      </c>
      <c r="K239" s="1">
        <f ca="1">SUMIF(MICRO!AP:AP,O:O,MICRO!X:X)</f>
        <v>0</v>
      </c>
      <c r="L239" s="59" t="str">
        <f t="shared" ref="L239:L243" ca="1" si="56">IF(G239&lt;&gt;0,SUM(K239/G239*1),"0%")</f>
        <v>0%</v>
      </c>
      <c r="M239" s="1">
        <f t="shared" ref="M239:M243" ca="1" si="57">G239-K239</f>
        <v>0</v>
      </c>
      <c r="N239" s="56" t="e">
        <f t="shared" ref="N239:N243" ca="1" si="58">E239&amp;F239</f>
        <v>#N/A</v>
      </c>
      <c r="O239" s="56" t="e">
        <f t="shared" ref="O239:O243" ca="1" si="59">D239&amp;E239&amp;F239</f>
        <v>#N/A</v>
      </c>
      <c r="P239" s="2">
        <f ca="1">SUMIF(MICRO!AP:AP,O239,MICRO!AS:AS)</f>
        <v>0</v>
      </c>
      <c r="Q239">
        <f ca="1">SUMIF(MICRO!AP:AP,O239,MICRO!AT:AT)</f>
        <v>0</v>
      </c>
      <c r="R239">
        <f ca="1"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 ca="1">VLOOKUP(Tabela2[[#This Row],[TAG]],MICRO!J:L,3,0)</f>
        <v>#N/A</v>
      </c>
      <c r="F240" s="109" t="s">
        <v>22</v>
      </c>
      <c r="G240" s="58">
        <f ca="1">SUMIF(MICRO!AP:AP,O:O,MICRO!H:H)</f>
        <v>0</v>
      </c>
      <c r="H240" s="1">
        <f ca="1">SUMIF(MICRO!AP:AP,O:O,MICRO!R:R)</f>
        <v>0</v>
      </c>
      <c r="I240" s="1">
        <f ca="1">SUMIF(MICRO!AP:AP,O:O,MICRO!T:T)</f>
        <v>0</v>
      </c>
      <c r="J240" s="59">
        <f t="shared" ca="1" si="55"/>
        <v>0</v>
      </c>
      <c r="K240" s="1">
        <f ca="1">SUMIF(MICRO!AP:AP,O:O,MICRO!X:X)</f>
        <v>0</v>
      </c>
      <c r="L240" s="59" t="str">
        <f t="shared" ca="1" si="56"/>
        <v>0%</v>
      </c>
      <c r="M240" s="1">
        <f t="shared" ca="1" si="57"/>
        <v>0</v>
      </c>
      <c r="N240" s="56" t="e">
        <f t="shared" ca="1" si="58"/>
        <v>#N/A</v>
      </c>
      <c r="O240" s="56" t="e">
        <f t="shared" ca="1" si="59"/>
        <v>#N/A</v>
      </c>
      <c r="P240" s="2">
        <f ca="1">SUMIF(MICRO!AP:AP,O240,MICRO!AS:AS)</f>
        <v>0</v>
      </c>
      <c r="Q240">
        <f ca="1">SUMIF(MICRO!AP:AP,O240,MICRO!AT:AT)</f>
        <v>0</v>
      </c>
      <c r="R240">
        <f ca="1"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 ca="1">VLOOKUP(Tabela2[[#This Row],[TAG]],MICRO!J:L,3,0)</f>
        <v>#N/A</v>
      </c>
      <c r="F241" s="109" t="s">
        <v>22</v>
      </c>
      <c r="G241" s="58">
        <f ca="1">SUMIF(MICRO!AP:AP,O:O,MICRO!H:H)</f>
        <v>0</v>
      </c>
      <c r="H241" s="1">
        <f ca="1">SUMIF(MICRO!AP:AP,O:O,MICRO!R:R)</f>
        <v>0</v>
      </c>
      <c r="I241" s="1">
        <f ca="1">SUMIF(MICRO!AP:AP,O:O,MICRO!T:T)</f>
        <v>0</v>
      </c>
      <c r="J241" s="59">
        <f t="shared" ca="1" si="55"/>
        <v>0</v>
      </c>
      <c r="K241" s="1">
        <f ca="1">SUMIF(MICRO!AP:AP,O:O,MICRO!X:X)</f>
        <v>0</v>
      </c>
      <c r="L241" s="59" t="str">
        <f t="shared" ca="1" si="56"/>
        <v>0%</v>
      </c>
      <c r="M241" s="1">
        <f t="shared" ca="1" si="57"/>
        <v>0</v>
      </c>
      <c r="N241" s="56" t="e">
        <f t="shared" ca="1" si="58"/>
        <v>#N/A</v>
      </c>
      <c r="O241" s="56" t="e">
        <f t="shared" ca="1" si="59"/>
        <v>#N/A</v>
      </c>
      <c r="P241" s="2">
        <f ca="1">SUMIF(MICRO!AP:AP,O241,MICRO!AS:AS)</f>
        <v>0</v>
      </c>
      <c r="Q241">
        <f ca="1">SUMIF(MICRO!AP:AP,O241,MICRO!AT:AT)</f>
        <v>0</v>
      </c>
      <c r="R241">
        <f ca="1"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 ca="1">VLOOKUP(Tabela2[[#This Row],[TAG]],MICRO!J:L,3,0)</f>
        <v>#N/A</v>
      </c>
      <c r="F242" s="109" t="s">
        <v>22</v>
      </c>
      <c r="G242" s="58">
        <f ca="1">SUMIF(MICRO!AP:AP,O:O,MICRO!H:H)</f>
        <v>0</v>
      </c>
      <c r="H242" s="1">
        <f ca="1">SUMIF(MICRO!AP:AP,O:O,MICRO!R:R)</f>
        <v>0</v>
      </c>
      <c r="I242" s="1">
        <f ca="1">SUMIF(MICRO!AP:AP,O:O,MICRO!T:T)</f>
        <v>0</v>
      </c>
      <c r="J242" s="59">
        <f t="shared" ca="1" si="55"/>
        <v>0</v>
      </c>
      <c r="K242" s="1">
        <f ca="1">SUMIF(MICRO!AP:AP,O:O,MICRO!X:X)</f>
        <v>0</v>
      </c>
      <c r="L242" s="59" t="str">
        <f t="shared" ca="1" si="56"/>
        <v>0%</v>
      </c>
      <c r="M242" s="1">
        <f t="shared" ca="1" si="57"/>
        <v>0</v>
      </c>
      <c r="N242" s="56" t="e">
        <f t="shared" ca="1" si="58"/>
        <v>#N/A</v>
      </c>
      <c r="O242" s="56" t="e">
        <f t="shared" ca="1" si="59"/>
        <v>#N/A</v>
      </c>
      <c r="P242" s="2">
        <f ca="1">SUMIF(MICRO!AP:AP,O242,MICRO!AS:AS)</f>
        <v>0</v>
      </c>
      <c r="Q242">
        <f ca="1">SUMIF(MICRO!AP:AP,O242,MICRO!AT:AT)</f>
        <v>0</v>
      </c>
      <c r="R242">
        <f ca="1"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 ca="1">VLOOKUP(Tabela2[[#This Row],[TAG]],MICRO!J:L,3,0)</f>
        <v>#N/A</v>
      </c>
      <c r="F243" s="109" t="s">
        <v>22</v>
      </c>
      <c r="G243" s="112">
        <f ca="1">SUMIF(MICRO!AP:AP,O:O,MICRO!H:H)</f>
        <v>0</v>
      </c>
      <c r="H243" s="113">
        <f ca="1">SUMIF(MICRO!AP:AP,O:O,MICRO!R:R)</f>
        <v>0</v>
      </c>
      <c r="I243" s="113">
        <f ca="1">SUMIF(MICRO!AP:AP,O:O,MICRO!T:T)</f>
        <v>0</v>
      </c>
      <c r="J243" s="114">
        <f t="shared" ca="1" si="55"/>
        <v>0</v>
      </c>
      <c r="K243" s="113">
        <f ca="1">SUMIF(MICRO!AP:AP,O:O,MICRO!X:X)</f>
        <v>0</v>
      </c>
      <c r="L243" s="114" t="str">
        <f t="shared" ca="1" si="56"/>
        <v>0%</v>
      </c>
      <c r="M243" s="113">
        <f t="shared" ca="1" si="57"/>
        <v>0</v>
      </c>
      <c r="N243" s="56" t="e">
        <f t="shared" ca="1" si="58"/>
        <v>#N/A</v>
      </c>
      <c r="O243" s="56" t="e">
        <f t="shared" ca="1" si="59"/>
        <v>#N/A</v>
      </c>
      <c r="P243" s="2">
        <f ca="1">SUMIF(MICRO!AP:AP,O243,MICRO!AS:AS)</f>
        <v>0</v>
      </c>
      <c r="Q243">
        <f ca="1">SUMIF(MICRO!AP:AP,O243,MICRO!AT:AT)</f>
        <v>0</v>
      </c>
      <c r="R243">
        <f ca="1"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 ca="1">VLOOKUP(Tabela2[[#This Row],[TAG]],MICRO!J:L,3,0)</f>
        <v>#N/A</v>
      </c>
      <c r="F244" s="109" t="s">
        <v>44</v>
      </c>
      <c r="G244" s="58">
        <f ca="1">SUMIF(MICRO!AP:AP,O:O,MICRO!H:H)</f>
        <v>0</v>
      </c>
      <c r="H244" s="1">
        <f ca="1">SUMIF(MICRO!AP:AP,O:O,MICRO!R:R)</f>
        <v>0</v>
      </c>
      <c r="I244" s="1">
        <f ca="1">SUMIF(MICRO!AP:AP,O:O,MICRO!T:T)</f>
        <v>0</v>
      </c>
      <c r="J244" s="59">
        <f t="shared" ref="J244:J248" ca="1" si="60">IF(G244 = 0,0,H244/G244)</f>
        <v>0</v>
      </c>
      <c r="K244" s="1">
        <f ca="1">SUMIF(MICRO!AP:AP,O:O,MICRO!X:X)</f>
        <v>0</v>
      </c>
      <c r="L244" s="59" t="str">
        <f t="shared" ref="L244:L248" ca="1" si="61">IF(G244&lt;&gt;0,SUM(K244/G244*1),"0%")</f>
        <v>0%</v>
      </c>
      <c r="M244" s="1">
        <f t="shared" ref="M244:M248" ca="1" si="62">G244-K244</f>
        <v>0</v>
      </c>
      <c r="N244" s="56" t="e">
        <f t="shared" ref="N244:N248" ca="1" si="63">E244&amp;F244</f>
        <v>#N/A</v>
      </c>
      <c r="O244" s="56" t="e">
        <f t="shared" ref="O244:O248" ca="1" si="64">D244&amp;E244&amp;F244</f>
        <v>#N/A</v>
      </c>
      <c r="P244" s="2">
        <f ca="1">SUMIF(MICRO!AP:AP,O244,MICRO!AS:AS)</f>
        <v>0</v>
      </c>
      <c r="Q244">
        <f ca="1">SUMIF(MICRO!AP:AP,O244,MICRO!AT:AT)</f>
        <v>0</v>
      </c>
      <c r="R244">
        <f ca="1"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 ca="1">VLOOKUP(Tabela2[[#This Row],[TAG]],MICRO!J:L,3,0)</f>
        <v>#N/A</v>
      </c>
      <c r="F245" s="109" t="s">
        <v>44</v>
      </c>
      <c r="G245" s="58">
        <f ca="1">SUMIF(MICRO!AP:AP,O:O,MICRO!H:H)</f>
        <v>0</v>
      </c>
      <c r="H245" s="1">
        <f ca="1">SUMIF(MICRO!AP:AP,O:O,MICRO!R:R)</f>
        <v>0</v>
      </c>
      <c r="I245" s="1">
        <f ca="1">SUMIF(MICRO!AP:AP,O:O,MICRO!T:T)</f>
        <v>0</v>
      </c>
      <c r="J245" s="59">
        <f t="shared" ca="1" si="60"/>
        <v>0</v>
      </c>
      <c r="K245" s="1">
        <f ca="1">SUMIF(MICRO!AP:AP,O:O,MICRO!X:X)</f>
        <v>0</v>
      </c>
      <c r="L245" s="59" t="str">
        <f t="shared" ca="1" si="61"/>
        <v>0%</v>
      </c>
      <c r="M245" s="1">
        <f t="shared" ca="1" si="62"/>
        <v>0</v>
      </c>
      <c r="N245" s="56" t="e">
        <f t="shared" ca="1" si="63"/>
        <v>#N/A</v>
      </c>
      <c r="O245" s="56" t="e">
        <f t="shared" ca="1" si="64"/>
        <v>#N/A</v>
      </c>
      <c r="P245" s="2">
        <f ca="1">SUMIF(MICRO!AP:AP,O245,MICRO!AS:AS)</f>
        <v>0</v>
      </c>
      <c r="Q245">
        <f ca="1">SUMIF(MICRO!AP:AP,O245,MICRO!AT:AT)</f>
        <v>0</v>
      </c>
      <c r="R245">
        <f ca="1"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 ca="1">VLOOKUP(Tabela2[[#This Row],[TAG]],MICRO!J:L,3,0)</f>
        <v>#N/A</v>
      </c>
      <c r="F246" s="109" t="s">
        <v>44</v>
      </c>
      <c r="G246" s="58">
        <f ca="1">SUMIF(MICRO!AP:AP,O:O,MICRO!H:H)</f>
        <v>0</v>
      </c>
      <c r="H246" s="1">
        <f ca="1">SUMIF(MICRO!AP:AP,O:O,MICRO!R:R)</f>
        <v>0</v>
      </c>
      <c r="I246" s="1">
        <f ca="1">SUMIF(MICRO!AP:AP,O:O,MICRO!T:T)</f>
        <v>0</v>
      </c>
      <c r="J246" s="59">
        <f t="shared" ca="1" si="60"/>
        <v>0</v>
      </c>
      <c r="K246" s="1">
        <f ca="1">SUMIF(MICRO!AP:AP,O:O,MICRO!X:X)</f>
        <v>0</v>
      </c>
      <c r="L246" s="59" t="str">
        <f t="shared" ca="1" si="61"/>
        <v>0%</v>
      </c>
      <c r="M246" s="1">
        <f t="shared" ca="1" si="62"/>
        <v>0</v>
      </c>
      <c r="N246" s="56" t="e">
        <f t="shared" ca="1" si="63"/>
        <v>#N/A</v>
      </c>
      <c r="O246" s="56" t="e">
        <f t="shared" ca="1" si="64"/>
        <v>#N/A</v>
      </c>
      <c r="P246" s="2">
        <f ca="1">SUMIF(MICRO!AP:AP,O246,MICRO!AS:AS)</f>
        <v>0</v>
      </c>
      <c r="Q246">
        <f ca="1">SUMIF(MICRO!AP:AP,O246,MICRO!AT:AT)</f>
        <v>0</v>
      </c>
      <c r="R246">
        <f ca="1"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 ca="1">VLOOKUP(Tabela2[[#This Row],[TAG]],MICRO!J:L,3,0)</f>
        <v>#N/A</v>
      </c>
      <c r="F247" s="109" t="s">
        <v>44</v>
      </c>
      <c r="G247" s="58">
        <f ca="1">SUMIF(MICRO!AP:AP,O:O,MICRO!H:H)</f>
        <v>0</v>
      </c>
      <c r="H247" s="1">
        <f ca="1">SUMIF(MICRO!AP:AP,O:O,MICRO!R:R)</f>
        <v>0</v>
      </c>
      <c r="I247" s="1">
        <f ca="1">SUMIF(MICRO!AP:AP,O:O,MICRO!T:T)</f>
        <v>0</v>
      </c>
      <c r="J247" s="59">
        <f t="shared" ca="1" si="60"/>
        <v>0</v>
      </c>
      <c r="K247" s="1">
        <f ca="1">SUMIF(MICRO!AP:AP,O:O,MICRO!X:X)</f>
        <v>0</v>
      </c>
      <c r="L247" s="59" t="str">
        <f t="shared" ca="1" si="61"/>
        <v>0%</v>
      </c>
      <c r="M247" s="1">
        <f t="shared" ca="1" si="62"/>
        <v>0</v>
      </c>
      <c r="N247" s="56" t="e">
        <f t="shared" ca="1" si="63"/>
        <v>#N/A</v>
      </c>
      <c r="O247" s="56" t="e">
        <f t="shared" ca="1" si="64"/>
        <v>#N/A</v>
      </c>
      <c r="P247" s="2">
        <f ca="1">SUMIF(MICRO!AP:AP,O247,MICRO!AS:AS)</f>
        <v>0</v>
      </c>
      <c r="Q247">
        <f ca="1">SUMIF(MICRO!AP:AP,O247,MICRO!AT:AT)</f>
        <v>0</v>
      </c>
      <c r="R247">
        <f ca="1"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 ca="1">VLOOKUP(Tabela2[[#This Row],[TAG]],MICRO!J:L,3,0)</f>
        <v>#N/A</v>
      </c>
      <c r="F248" s="109" t="s">
        <v>44</v>
      </c>
      <c r="G248" s="112">
        <f ca="1">SUMIF(MICRO!AP:AP,O:O,MICRO!H:H)</f>
        <v>0</v>
      </c>
      <c r="H248" s="113">
        <f ca="1">SUMIF(MICRO!AP:AP,O:O,MICRO!R:R)</f>
        <v>0</v>
      </c>
      <c r="I248" s="113">
        <f ca="1">SUMIF(MICRO!AP:AP,O:O,MICRO!T:T)</f>
        <v>0</v>
      </c>
      <c r="J248" s="114">
        <f t="shared" ca="1" si="60"/>
        <v>0</v>
      </c>
      <c r="K248" s="113">
        <f ca="1">SUMIF(MICRO!AP:AP,O:O,MICRO!X:X)</f>
        <v>0</v>
      </c>
      <c r="L248" s="114" t="str">
        <f t="shared" ca="1" si="61"/>
        <v>0%</v>
      </c>
      <c r="M248" s="113">
        <f t="shared" ca="1" si="62"/>
        <v>0</v>
      </c>
      <c r="N248" s="56" t="e">
        <f t="shared" ca="1" si="63"/>
        <v>#N/A</v>
      </c>
      <c r="O248" s="56" t="e">
        <f t="shared" ca="1" si="64"/>
        <v>#N/A</v>
      </c>
      <c r="P248" s="2">
        <f ca="1">SUMIF(MICRO!AP:AP,O248,MICRO!AS:AS)</f>
        <v>0</v>
      </c>
      <c r="Q248">
        <f ca="1">SUMIF(MICRO!AP:AP,O248,MICRO!AT:AT)</f>
        <v>0</v>
      </c>
      <c r="R248">
        <f ca="1"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 ca="1">VLOOKUP(Tabela2[[#This Row],[TAG]],MICRO!J:L,3,0)</f>
        <v>#N/A</v>
      </c>
      <c r="F249" s="118" t="s">
        <v>23</v>
      </c>
      <c r="G249" s="58">
        <f ca="1">SUMIF(MICRO!AP:AP,O:O,MICRO!H:H)</f>
        <v>0</v>
      </c>
      <c r="H249" s="1">
        <f ca="1">SUMIF(MICRO!AP:AP,O:O,MICRO!R:R)</f>
        <v>0</v>
      </c>
      <c r="I249" s="1">
        <f ca="1">SUMIF(MICRO!AP:AP,O:O,MICRO!T:T)</f>
        <v>0</v>
      </c>
      <c r="J249" s="59">
        <f t="shared" ref="J249:J252" ca="1" si="65">IF(G249 = 0,0,H249/G249)</f>
        <v>0</v>
      </c>
      <c r="K249" s="1">
        <f ca="1">SUMIF(MICRO!AP:AP,O:O,MICRO!X:X)</f>
        <v>0</v>
      </c>
      <c r="L249" s="59" t="str">
        <f t="shared" ref="L249:L252" ca="1" si="66">IF(G249&lt;&gt;0,SUM(K249/G249*1),"0%")</f>
        <v>0%</v>
      </c>
      <c r="M249" s="1">
        <f t="shared" ref="M249:M252" ca="1" si="67">G249-K249</f>
        <v>0</v>
      </c>
      <c r="N249" s="56" t="e">
        <f t="shared" ref="N249:N252" ca="1" si="68">E249&amp;F249</f>
        <v>#N/A</v>
      </c>
      <c r="O249" s="56" t="e">
        <f t="shared" ref="O249:O252" ca="1" si="69">D249&amp;E249&amp;F249</f>
        <v>#N/A</v>
      </c>
      <c r="P249" s="2">
        <f ca="1">SUMIF(MICRO!AP:AP,O249,MICRO!AS:AS)</f>
        <v>0</v>
      </c>
      <c r="Q249">
        <f ca="1">SUMIF(MICRO!AP:AP,O249,MICRO!AT:AT)</f>
        <v>0</v>
      </c>
      <c r="R249">
        <f ca="1">SUMIF(MICRO!AP:AP,O:O,MICRO!AU:AU)</f>
        <v>0</v>
      </c>
    </row>
    <row r="250" spans="4:22" ht="18.75" thickBot="1" x14ac:dyDescent="0.3">
      <c r="D250" s="110" t="s">
        <v>570</v>
      </c>
      <c r="E250" s="111" t="e">
        <f ca="1">VLOOKUP(Tabela2[[#This Row],[TAG]],MICRO!J:L,3,0)</f>
        <v>#N/A</v>
      </c>
      <c r="F250" s="118" t="s">
        <v>23</v>
      </c>
      <c r="G250" s="58">
        <f ca="1">SUMIF(MICRO!AP:AP,O:O,MICRO!H:H)</f>
        <v>0</v>
      </c>
      <c r="H250" s="1">
        <f ca="1">SUMIF(MICRO!AP:AP,O:O,MICRO!R:R)</f>
        <v>0</v>
      </c>
      <c r="I250" s="1">
        <f ca="1">SUMIF(MICRO!AP:AP,O:O,MICRO!T:T)</f>
        <v>0</v>
      </c>
      <c r="J250" s="59">
        <f t="shared" ca="1" si="65"/>
        <v>0</v>
      </c>
      <c r="K250" s="1">
        <f ca="1">SUMIF(MICRO!AP:AP,O:O,MICRO!X:X)</f>
        <v>0</v>
      </c>
      <c r="L250" s="59" t="str">
        <f t="shared" ca="1" si="66"/>
        <v>0%</v>
      </c>
      <c r="M250" s="1">
        <f t="shared" ca="1" si="67"/>
        <v>0</v>
      </c>
      <c r="N250" s="56" t="e">
        <f t="shared" ca="1" si="68"/>
        <v>#N/A</v>
      </c>
      <c r="O250" s="56" t="e">
        <f t="shared" ca="1" si="69"/>
        <v>#N/A</v>
      </c>
      <c r="P250" s="2">
        <f ca="1">SUMIF(MICRO!AP:AP,O250,MICRO!AS:AS)</f>
        <v>0</v>
      </c>
      <c r="Q250">
        <f ca="1">SUMIF(MICRO!AP:AP,O250,MICRO!AT:AT)</f>
        <v>0</v>
      </c>
      <c r="R250">
        <f ca="1">SUMIF(MICRO!AP:AP,O:O,MICRO!AU:AU)</f>
        <v>0</v>
      </c>
    </row>
    <row r="251" spans="4:22" ht="18.75" thickBot="1" x14ac:dyDescent="0.3">
      <c r="D251" s="110" t="s">
        <v>571</v>
      </c>
      <c r="E251" s="111" t="e">
        <f ca="1">VLOOKUP(Tabela2[[#This Row],[TAG]],MICRO!J:L,3,0)</f>
        <v>#N/A</v>
      </c>
      <c r="F251" s="118" t="s">
        <v>23</v>
      </c>
      <c r="G251" s="58">
        <f ca="1">SUMIF(MICRO!AP:AP,O:O,MICRO!H:H)</f>
        <v>0</v>
      </c>
      <c r="H251" s="1">
        <f ca="1">SUMIF(MICRO!AP:AP,O:O,MICRO!R:R)</f>
        <v>0</v>
      </c>
      <c r="I251" s="1">
        <f ca="1">SUMIF(MICRO!AP:AP,O:O,MICRO!T:T)</f>
        <v>0</v>
      </c>
      <c r="J251" s="59">
        <f t="shared" ca="1" si="65"/>
        <v>0</v>
      </c>
      <c r="K251" s="1">
        <f ca="1">SUMIF(MICRO!AP:AP,O:O,MICRO!X:X)</f>
        <v>0</v>
      </c>
      <c r="L251" s="59" t="str">
        <f t="shared" ca="1" si="66"/>
        <v>0%</v>
      </c>
      <c r="M251" s="1">
        <f t="shared" ca="1" si="67"/>
        <v>0</v>
      </c>
      <c r="N251" s="56" t="e">
        <f t="shared" ca="1" si="68"/>
        <v>#N/A</v>
      </c>
      <c r="O251" s="56" t="e">
        <f t="shared" ca="1" si="69"/>
        <v>#N/A</v>
      </c>
      <c r="P251" s="2">
        <f ca="1">SUMIF(MICRO!AP:AP,O251,MICRO!AS:AS)</f>
        <v>0</v>
      </c>
      <c r="Q251">
        <f ca="1">SUMIF(MICRO!AP:AP,O251,MICRO!AT:AT)</f>
        <v>0</v>
      </c>
      <c r="R251">
        <f ca="1">SUMIF(MICRO!AP:AP,O:O,MICRO!AU:AU)</f>
        <v>0</v>
      </c>
    </row>
    <row r="252" spans="4:22" ht="18.75" thickBot="1" x14ac:dyDescent="0.3">
      <c r="D252" s="110" t="s">
        <v>572</v>
      </c>
      <c r="E252" s="111" t="e">
        <f ca="1">VLOOKUP(Tabela2[[#This Row],[TAG]],MICRO!J:L,3,0)</f>
        <v>#N/A</v>
      </c>
      <c r="F252" s="118" t="s">
        <v>23</v>
      </c>
      <c r="G252" s="112">
        <f ca="1">SUMIF(MICRO!AP:AP,O:O,MICRO!H:H)</f>
        <v>0</v>
      </c>
      <c r="H252" s="113">
        <f ca="1">SUMIF(MICRO!AP:AP,O:O,MICRO!R:R)</f>
        <v>0</v>
      </c>
      <c r="I252" s="113">
        <f ca="1">SUMIF(MICRO!AP:AP,O:O,MICRO!T:T)</f>
        <v>0</v>
      </c>
      <c r="J252" s="114">
        <f t="shared" ca="1" si="65"/>
        <v>0</v>
      </c>
      <c r="K252" s="113">
        <f ca="1">SUMIF(MICRO!AP:AP,O:O,MICRO!X:X)</f>
        <v>0</v>
      </c>
      <c r="L252" s="114" t="str">
        <f t="shared" ca="1" si="66"/>
        <v>0%</v>
      </c>
      <c r="M252" s="113">
        <f t="shared" ca="1" si="67"/>
        <v>0</v>
      </c>
      <c r="N252" s="56" t="e">
        <f t="shared" ca="1" si="68"/>
        <v>#N/A</v>
      </c>
      <c r="O252" s="56" t="e">
        <f t="shared" ca="1" si="69"/>
        <v>#N/A</v>
      </c>
      <c r="P252" s="2">
        <f ca="1">SUMIF(MICRO!AP:AP,O252,MICRO!AS:AS)</f>
        <v>0</v>
      </c>
      <c r="Q252">
        <f ca="1">SUMIF(MICRO!AP:AP,O252,MICRO!AT:AT)</f>
        <v>0</v>
      </c>
      <c r="R252">
        <f ca="1">SUMIF(MICRO!AP:AP,O:O,MICRO!AU:AU)</f>
        <v>0</v>
      </c>
    </row>
    <row r="253" spans="4:22" ht="18.75" thickBot="1" x14ac:dyDescent="0.3">
      <c r="D253" s="110" t="s">
        <v>569</v>
      </c>
      <c r="E253" s="111" t="e">
        <f ca="1">VLOOKUP(Tabela2[[#This Row],[TAG]],MICRO!J:L,3,0)</f>
        <v>#N/A</v>
      </c>
      <c r="F253" s="109" t="s">
        <v>33</v>
      </c>
      <c r="G253" s="58">
        <f ca="1">SUMIF(MICRO!AP:AP,O:O,MICRO!H:H)</f>
        <v>0</v>
      </c>
      <c r="H253" s="1">
        <f ca="1">SUMIF(MICRO!AP:AP,O:O,MICRO!R:R)</f>
        <v>0</v>
      </c>
      <c r="I253" s="1">
        <f ca="1">SUMIF(MICRO!AP:AP,O:O,MICRO!T:T)</f>
        <v>0</v>
      </c>
      <c r="J253" s="59">
        <f t="shared" ref="J253:J256" ca="1" si="70">IF(G253 = 0,0,H253/G253)</f>
        <v>0</v>
      </c>
      <c r="K253" s="1">
        <f ca="1">SUMIF(MICRO!AP:AP,O:O,MICRO!X:X)</f>
        <v>0</v>
      </c>
      <c r="L253" s="59" t="str">
        <f t="shared" ref="L253:L256" ca="1" si="71">IF(G253&lt;&gt;0,SUM(K253/G253*1),"0%")</f>
        <v>0%</v>
      </c>
      <c r="M253" s="1">
        <f t="shared" ref="M253:M256" ca="1" si="72">G253-K253</f>
        <v>0</v>
      </c>
      <c r="N253" s="56" t="e">
        <f t="shared" ref="N253:N256" ca="1" si="73">E253&amp;F253</f>
        <v>#N/A</v>
      </c>
      <c r="O253" s="56" t="e">
        <f t="shared" ref="O253:O256" ca="1" si="74">D253&amp;E253&amp;F253</f>
        <v>#N/A</v>
      </c>
      <c r="P253" s="2">
        <f ca="1">SUMIF(MICRO!AP:AP,O253,MICRO!AS:AS)</f>
        <v>0</v>
      </c>
      <c r="Q253">
        <f ca="1">SUMIF(MICRO!AP:AP,O253,MICRO!AT:AT)</f>
        <v>0</v>
      </c>
      <c r="R253">
        <f ca="1">SUMIF(MICRO!AP:AP,O:O,MICRO!AU:AU)</f>
        <v>0</v>
      </c>
    </row>
    <row r="254" spans="4:22" ht="18.75" thickBot="1" x14ac:dyDescent="0.3">
      <c r="D254" s="110" t="s">
        <v>570</v>
      </c>
      <c r="E254" s="111" t="e">
        <f ca="1">VLOOKUP(Tabela2[[#This Row],[TAG]],MICRO!J:L,3,0)</f>
        <v>#N/A</v>
      </c>
      <c r="F254" s="109" t="s">
        <v>33</v>
      </c>
      <c r="G254" s="58">
        <f ca="1">SUMIF(MICRO!AP:AP,O:O,MICRO!H:H)</f>
        <v>0</v>
      </c>
      <c r="H254" s="1">
        <f ca="1">SUMIF(MICRO!AP:AP,O:O,MICRO!R:R)</f>
        <v>0</v>
      </c>
      <c r="I254" s="1">
        <f ca="1">SUMIF(MICRO!AP:AP,O:O,MICRO!T:T)</f>
        <v>0</v>
      </c>
      <c r="J254" s="59">
        <f t="shared" ca="1" si="70"/>
        <v>0</v>
      </c>
      <c r="K254" s="1">
        <f ca="1">SUMIF(MICRO!AP:AP,O:O,MICRO!X:X)</f>
        <v>0</v>
      </c>
      <c r="L254" s="59" t="str">
        <f t="shared" ca="1" si="71"/>
        <v>0%</v>
      </c>
      <c r="M254" s="1">
        <f t="shared" ca="1" si="72"/>
        <v>0</v>
      </c>
      <c r="N254" s="56" t="e">
        <f t="shared" ca="1" si="73"/>
        <v>#N/A</v>
      </c>
      <c r="O254" s="56" t="e">
        <f t="shared" ca="1" si="74"/>
        <v>#N/A</v>
      </c>
      <c r="P254" s="2">
        <f ca="1">SUMIF(MICRO!AP:AP,O254,MICRO!AS:AS)</f>
        <v>0</v>
      </c>
      <c r="Q254">
        <f ca="1">SUMIF(MICRO!AP:AP,O254,MICRO!AT:AT)</f>
        <v>0</v>
      </c>
      <c r="R254">
        <f ca="1">SUMIF(MICRO!AP:AP,O:O,MICRO!AU:AU)</f>
        <v>0</v>
      </c>
    </row>
    <row r="255" spans="4:22" ht="18.75" thickBot="1" x14ac:dyDescent="0.3">
      <c r="D255" s="110" t="s">
        <v>571</v>
      </c>
      <c r="E255" s="111" t="e">
        <f ca="1">VLOOKUP(Tabela2[[#This Row],[TAG]],MICRO!J:L,3,0)</f>
        <v>#N/A</v>
      </c>
      <c r="F255" s="109" t="s">
        <v>33</v>
      </c>
      <c r="G255" s="58">
        <f ca="1">SUMIF(MICRO!AP:AP,O:O,MICRO!H:H)</f>
        <v>0</v>
      </c>
      <c r="H255" s="1">
        <f ca="1">SUMIF(MICRO!AP:AP,O:O,MICRO!R:R)</f>
        <v>0</v>
      </c>
      <c r="I255" s="1">
        <f ca="1">SUMIF(MICRO!AP:AP,O:O,MICRO!T:T)</f>
        <v>0</v>
      </c>
      <c r="J255" s="59">
        <f t="shared" ca="1" si="70"/>
        <v>0</v>
      </c>
      <c r="K255" s="1">
        <f ca="1">SUMIF(MICRO!AP:AP,O:O,MICRO!X:X)</f>
        <v>0</v>
      </c>
      <c r="L255" s="59" t="str">
        <f t="shared" ca="1" si="71"/>
        <v>0%</v>
      </c>
      <c r="M255" s="1">
        <f t="shared" ca="1" si="72"/>
        <v>0</v>
      </c>
      <c r="N255" s="56" t="e">
        <f t="shared" ca="1" si="73"/>
        <v>#N/A</v>
      </c>
      <c r="O255" s="56" t="e">
        <f t="shared" ca="1" si="74"/>
        <v>#N/A</v>
      </c>
      <c r="P255" s="2">
        <f ca="1">SUMIF(MICRO!AP:AP,O255,MICRO!AS:AS)</f>
        <v>0</v>
      </c>
      <c r="Q255">
        <f ca="1">SUMIF(MICRO!AP:AP,O255,MICRO!AT:AT)</f>
        <v>0</v>
      </c>
      <c r="R255">
        <f ca="1">SUMIF(MICRO!AP:AP,O:O,MICRO!AU:AU)</f>
        <v>0</v>
      </c>
    </row>
    <row r="256" spans="4:22" ht="18.75" thickBot="1" x14ac:dyDescent="0.3">
      <c r="D256" s="110" t="s">
        <v>572</v>
      </c>
      <c r="E256" s="111" t="e">
        <f ca="1">VLOOKUP(Tabela2[[#This Row],[TAG]],MICRO!J:L,3,0)</f>
        <v>#N/A</v>
      </c>
      <c r="F256" s="109" t="s">
        <v>33</v>
      </c>
      <c r="G256" s="112">
        <f ca="1">SUMIF(MICRO!AP:AP,O:O,MICRO!H:H)</f>
        <v>0</v>
      </c>
      <c r="H256" s="113">
        <f ca="1">SUMIF(MICRO!AP:AP,O:O,MICRO!R:R)</f>
        <v>0</v>
      </c>
      <c r="I256" s="113">
        <f ca="1">SUMIF(MICRO!AP:AP,O:O,MICRO!T:T)</f>
        <v>0</v>
      </c>
      <c r="J256" s="114">
        <f t="shared" ca="1" si="70"/>
        <v>0</v>
      </c>
      <c r="K256" s="113">
        <f ca="1">SUMIF(MICRO!AP:AP,O:O,MICRO!X:X)</f>
        <v>0</v>
      </c>
      <c r="L256" s="114" t="str">
        <f t="shared" ca="1" si="71"/>
        <v>0%</v>
      </c>
      <c r="M256" s="113">
        <f t="shared" ca="1" si="72"/>
        <v>0</v>
      </c>
      <c r="N256" s="56" t="e">
        <f t="shared" ca="1" si="73"/>
        <v>#N/A</v>
      </c>
      <c r="O256" s="56" t="e">
        <f t="shared" ca="1" si="74"/>
        <v>#N/A</v>
      </c>
      <c r="P256" s="2">
        <f ca="1">SUMIF(MICRO!AP:AP,O256,MICRO!AS:AS)</f>
        <v>0</v>
      </c>
      <c r="Q256">
        <f ca="1">SUMIF(MICRO!AP:AP,O256,MICRO!AT:AT)</f>
        <v>0</v>
      </c>
      <c r="R256">
        <f ca="1">SUMIF(MICRO!AP:AP,O:O,MICRO!AU:AU)</f>
        <v>0</v>
      </c>
    </row>
    <row r="257" spans="4:18" ht="18.75" thickBot="1" x14ac:dyDescent="0.3">
      <c r="D257" s="110" t="s">
        <v>569</v>
      </c>
      <c r="E257" s="111" t="e">
        <f ca="1">VLOOKUP(Tabela2[[#This Row],[TAG]],MICRO!J:L,3,0)</f>
        <v>#N/A</v>
      </c>
      <c r="F257" s="109" t="s">
        <v>22</v>
      </c>
      <c r="G257" s="58">
        <f ca="1">SUMIF(MICRO!AP:AP,O:O,MICRO!H:H)</f>
        <v>0</v>
      </c>
      <c r="H257" s="1">
        <f ca="1">SUMIF(MICRO!AP:AP,O:O,MICRO!R:R)</f>
        <v>0</v>
      </c>
      <c r="I257" s="1">
        <f ca="1">SUMIF(MICRO!AP:AP,O:O,MICRO!T:T)</f>
        <v>0</v>
      </c>
      <c r="J257" s="59">
        <f t="shared" ref="J257:J260" ca="1" si="75">IF(G257 = 0,0,H257/G257)</f>
        <v>0</v>
      </c>
      <c r="K257" s="1">
        <f ca="1">SUMIF(MICRO!AP:AP,O:O,MICRO!X:X)</f>
        <v>0</v>
      </c>
      <c r="L257" s="59" t="str">
        <f t="shared" ref="L257:L260" ca="1" si="76">IF(G257&lt;&gt;0,SUM(K257/G257*1),"0%")</f>
        <v>0%</v>
      </c>
      <c r="M257" s="1">
        <f t="shared" ref="M257:M260" ca="1" si="77">G257-K257</f>
        <v>0</v>
      </c>
      <c r="N257" s="56" t="e">
        <f t="shared" ref="N257:N260" ca="1" si="78">E257&amp;F257</f>
        <v>#N/A</v>
      </c>
      <c r="O257" s="56" t="e">
        <f t="shared" ref="O257:O260" ca="1" si="79">D257&amp;E257&amp;F257</f>
        <v>#N/A</v>
      </c>
      <c r="P257" s="2">
        <f ca="1">SUMIF(MICRO!AP:AP,O257,MICRO!AS:AS)</f>
        <v>0</v>
      </c>
      <c r="Q257">
        <f ca="1">SUMIF(MICRO!AP:AP,O257,MICRO!AT:AT)</f>
        <v>0</v>
      </c>
      <c r="R257">
        <f ca="1">SUMIF(MICRO!AP:AP,O:O,MICRO!AU:AU)</f>
        <v>0</v>
      </c>
    </row>
    <row r="258" spans="4:18" ht="18.75" thickBot="1" x14ac:dyDescent="0.3">
      <c r="D258" s="110" t="s">
        <v>570</v>
      </c>
      <c r="E258" s="111" t="e">
        <f ca="1">VLOOKUP(Tabela2[[#This Row],[TAG]],MICRO!J:L,3,0)</f>
        <v>#N/A</v>
      </c>
      <c r="F258" s="109" t="s">
        <v>22</v>
      </c>
      <c r="G258" s="58">
        <f ca="1">SUMIF(MICRO!AP:AP,O:O,MICRO!H:H)</f>
        <v>0</v>
      </c>
      <c r="H258" s="1">
        <f ca="1">SUMIF(MICRO!AP:AP,O:O,MICRO!R:R)</f>
        <v>0</v>
      </c>
      <c r="I258" s="1">
        <f ca="1">SUMIF(MICRO!AP:AP,O:O,MICRO!T:T)</f>
        <v>0</v>
      </c>
      <c r="J258" s="59">
        <f t="shared" ca="1" si="75"/>
        <v>0</v>
      </c>
      <c r="K258" s="1">
        <f ca="1">SUMIF(MICRO!AP:AP,O:O,MICRO!X:X)</f>
        <v>0</v>
      </c>
      <c r="L258" s="59" t="str">
        <f t="shared" ca="1" si="76"/>
        <v>0%</v>
      </c>
      <c r="M258" s="1">
        <f t="shared" ca="1" si="77"/>
        <v>0</v>
      </c>
      <c r="N258" s="56" t="e">
        <f t="shared" ca="1" si="78"/>
        <v>#N/A</v>
      </c>
      <c r="O258" s="56" t="e">
        <f t="shared" ca="1" si="79"/>
        <v>#N/A</v>
      </c>
      <c r="P258" s="2">
        <f ca="1">SUMIF(MICRO!AP:AP,O258,MICRO!AS:AS)</f>
        <v>0</v>
      </c>
      <c r="Q258">
        <f ca="1">SUMIF(MICRO!AP:AP,O258,MICRO!AT:AT)</f>
        <v>0</v>
      </c>
      <c r="R258">
        <f ca="1">SUMIF(MICRO!AP:AP,O:O,MICRO!AU:AU)</f>
        <v>0</v>
      </c>
    </row>
    <row r="259" spans="4:18" ht="18.75" thickBot="1" x14ac:dyDescent="0.3">
      <c r="D259" s="110" t="s">
        <v>571</v>
      </c>
      <c r="E259" s="111" t="e">
        <f ca="1">VLOOKUP(Tabela2[[#This Row],[TAG]],MICRO!J:L,3,0)</f>
        <v>#N/A</v>
      </c>
      <c r="F259" s="109" t="s">
        <v>22</v>
      </c>
      <c r="G259" s="58">
        <f ca="1">SUMIF(MICRO!AP:AP,O:O,MICRO!H:H)</f>
        <v>0</v>
      </c>
      <c r="H259" s="1">
        <f ca="1">SUMIF(MICRO!AP:AP,O:O,MICRO!R:R)</f>
        <v>0</v>
      </c>
      <c r="I259" s="1">
        <f ca="1">SUMIF(MICRO!AP:AP,O:O,MICRO!T:T)</f>
        <v>0</v>
      </c>
      <c r="J259" s="59">
        <f t="shared" ca="1" si="75"/>
        <v>0</v>
      </c>
      <c r="K259" s="1">
        <f ca="1">SUMIF(MICRO!AP:AP,O:O,MICRO!X:X)</f>
        <v>0</v>
      </c>
      <c r="L259" s="59" t="str">
        <f t="shared" ca="1" si="76"/>
        <v>0%</v>
      </c>
      <c r="M259" s="1">
        <f t="shared" ca="1" si="77"/>
        <v>0</v>
      </c>
      <c r="N259" s="56" t="e">
        <f t="shared" ca="1" si="78"/>
        <v>#N/A</v>
      </c>
      <c r="O259" s="56" t="e">
        <f t="shared" ca="1" si="79"/>
        <v>#N/A</v>
      </c>
      <c r="P259" s="2">
        <f ca="1">SUMIF(MICRO!AP:AP,O259,MICRO!AS:AS)</f>
        <v>0</v>
      </c>
      <c r="Q259">
        <f ca="1">SUMIF(MICRO!AP:AP,O259,MICRO!AT:AT)</f>
        <v>0</v>
      </c>
      <c r="R259">
        <f ca="1">SUMIF(MICRO!AP:AP,O:O,MICRO!AU:AU)</f>
        <v>0</v>
      </c>
    </row>
    <row r="260" spans="4:18" ht="18.75" thickBot="1" x14ac:dyDescent="0.3">
      <c r="D260" s="110" t="s">
        <v>572</v>
      </c>
      <c r="E260" s="111" t="e">
        <f ca="1">VLOOKUP(Tabela2[[#This Row],[TAG]],MICRO!J:L,3,0)</f>
        <v>#N/A</v>
      </c>
      <c r="F260" s="109" t="s">
        <v>22</v>
      </c>
      <c r="G260" s="112">
        <f ca="1">SUMIF(MICRO!AP:AP,O:O,MICRO!H:H)</f>
        <v>0</v>
      </c>
      <c r="H260" s="113">
        <f ca="1">SUMIF(MICRO!AP:AP,O:O,MICRO!R:R)</f>
        <v>0</v>
      </c>
      <c r="I260" s="113">
        <f ca="1">SUMIF(MICRO!AP:AP,O:O,MICRO!T:T)</f>
        <v>0</v>
      </c>
      <c r="J260" s="114">
        <f t="shared" ca="1" si="75"/>
        <v>0</v>
      </c>
      <c r="K260" s="113">
        <f ca="1">SUMIF(MICRO!AP:AP,O:O,MICRO!X:X)</f>
        <v>0</v>
      </c>
      <c r="L260" s="114" t="str">
        <f t="shared" ca="1" si="76"/>
        <v>0%</v>
      </c>
      <c r="M260" s="113">
        <f t="shared" ca="1" si="77"/>
        <v>0</v>
      </c>
      <c r="N260" s="56" t="e">
        <f t="shared" ca="1" si="78"/>
        <v>#N/A</v>
      </c>
      <c r="O260" s="56" t="e">
        <f t="shared" ca="1" si="79"/>
        <v>#N/A</v>
      </c>
      <c r="P260" s="2">
        <f ca="1">SUMIF(MICRO!AP:AP,O260,MICRO!AS:AS)</f>
        <v>0</v>
      </c>
      <c r="Q260">
        <f ca="1">SUMIF(MICRO!AP:AP,O260,MICRO!AT:AT)</f>
        <v>0</v>
      </c>
      <c r="R260">
        <f ca="1">SUMIF(MICRO!AP:AP,O:O,MICRO!AU:AU)</f>
        <v>0</v>
      </c>
    </row>
    <row r="261" spans="4:18" ht="18.75" thickBot="1" x14ac:dyDescent="0.3">
      <c r="D261" s="110" t="s">
        <v>569</v>
      </c>
      <c r="E261" s="111" t="e">
        <f ca="1">VLOOKUP(Tabela2[[#This Row],[TAG]],MICRO!J:L,3,0)</f>
        <v>#N/A</v>
      </c>
      <c r="F261" s="109" t="s">
        <v>44</v>
      </c>
      <c r="G261" s="58">
        <f ca="1">SUMIF(MICRO!AP:AP,O:O,MICRO!H:H)</f>
        <v>0</v>
      </c>
      <c r="H261" s="1">
        <f ca="1">SUMIF(MICRO!AP:AP,O:O,MICRO!R:R)</f>
        <v>0</v>
      </c>
      <c r="I261" s="1">
        <f ca="1">SUMIF(MICRO!AP:AP,O:O,MICRO!T:T)</f>
        <v>0</v>
      </c>
      <c r="J261" s="59">
        <f t="shared" ref="J261:J264" ca="1" si="80">IF(G261 = 0,0,H261/G261)</f>
        <v>0</v>
      </c>
      <c r="K261" s="1">
        <f ca="1">SUMIF(MICRO!AP:AP,O:O,MICRO!X:X)</f>
        <v>0</v>
      </c>
      <c r="L261" s="59" t="str">
        <f t="shared" ref="L261:L264" ca="1" si="81">IF(G261&lt;&gt;0,SUM(K261/G261*1),"0%")</f>
        <v>0%</v>
      </c>
      <c r="M261" s="1">
        <f t="shared" ref="M261:M264" ca="1" si="82">G261-K261</f>
        <v>0</v>
      </c>
      <c r="N261" s="56" t="e">
        <f t="shared" ref="N261:N264" ca="1" si="83">E261&amp;F261</f>
        <v>#N/A</v>
      </c>
      <c r="O261" s="56" t="e">
        <f t="shared" ref="O261:O264" ca="1" si="84">D261&amp;E261&amp;F261</f>
        <v>#N/A</v>
      </c>
      <c r="P261" s="2">
        <f ca="1">SUMIF(MICRO!AP:AP,O261,MICRO!AS:AS)</f>
        <v>0</v>
      </c>
      <c r="Q261">
        <f ca="1">SUMIF(MICRO!AP:AP,O261,MICRO!AT:AT)</f>
        <v>0</v>
      </c>
      <c r="R261">
        <f ca="1">SUMIF(MICRO!AP:AP,O:O,MICRO!AU:AU)</f>
        <v>0</v>
      </c>
    </row>
    <row r="262" spans="4:18" ht="18.75" thickBot="1" x14ac:dyDescent="0.3">
      <c r="D262" s="110" t="s">
        <v>570</v>
      </c>
      <c r="E262" s="111" t="e">
        <f ca="1">VLOOKUP(Tabela2[[#This Row],[TAG]],MICRO!J:L,3,0)</f>
        <v>#N/A</v>
      </c>
      <c r="F262" s="109" t="s">
        <v>44</v>
      </c>
      <c r="G262" s="58">
        <f ca="1">SUMIF(MICRO!AP:AP,O:O,MICRO!H:H)</f>
        <v>0</v>
      </c>
      <c r="H262" s="1">
        <f ca="1">SUMIF(MICRO!AP:AP,O:O,MICRO!R:R)</f>
        <v>0</v>
      </c>
      <c r="I262" s="1">
        <f ca="1">SUMIF(MICRO!AP:AP,O:O,MICRO!T:T)</f>
        <v>0</v>
      </c>
      <c r="J262" s="59">
        <f t="shared" ca="1" si="80"/>
        <v>0</v>
      </c>
      <c r="K262" s="1">
        <f ca="1">SUMIF(MICRO!AP:AP,O:O,MICRO!X:X)</f>
        <v>0</v>
      </c>
      <c r="L262" s="59" t="str">
        <f t="shared" ca="1" si="81"/>
        <v>0%</v>
      </c>
      <c r="M262" s="1">
        <f t="shared" ca="1" si="82"/>
        <v>0</v>
      </c>
      <c r="N262" s="56" t="e">
        <f t="shared" ca="1" si="83"/>
        <v>#N/A</v>
      </c>
      <c r="O262" s="56" t="e">
        <f t="shared" ca="1" si="84"/>
        <v>#N/A</v>
      </c>
      <c r="P262" s="2">
        <f ca="1">SUMIF(MICRO!AP:AP,O262,MICRO!AS:AS)</f>
        <v>0</v>
      </c>
      <c r="Q262">
        <f ca="1">SUMIF(MICRO!AP:AP,O262,MICRO!AT:AT)</f>
        <v>0</v>
      </c>
      <c r="R262">
        <f ca="1">SUMIF(MICRO!AP:AP,O:O,MICRO!AU:AU)</f>
        <v>0</v>
      </c>
    </row>
    <row r="263" spans="4:18" ht="18.75" thickBot="1" x14ac:dyDescent="0.3">
      <c r="D263" s="110" t="s">
        <v>571</v>
      </c>
      <c r="E263" s="111" t="e">
        <f ca="1">VLOOKUP(Tabela2[[#This Row],[TAG]],MICRO!J:L,3,0)</f>
        <v>#N/A</v>
      </c>
      <c r="F263" s="109" t="s">
        <v>44</v>
      </c>
      <c r="G263" s="58">
        <f ca="1">SUMIF(MICRO!AP:AP,O:O,MICRO!H:H)</f>
        <v>0</v>
      </c>
      <c r="H263" s="1">
        <f ca="1">SUMIF(MICRO!AP:AP,O:O,MICRO!R:R)</f>
        <v>0</v>
      </c>
      <c r="I263" s="1">
        <f ca="1">SUMIF(MICRO!AP:AP,O:O,MICRO!T:T)</f>
        <v>0</v>
      </c>
      <c r="J263" s="59">
        <f t="shared" ca="1" si="80"/>
        <v>0</v>
      </c>
      <c r="K263" s="1">
        <f ca="1">SUMIF(MICRO!AP:AP,O:O,MICRO!X:X)</f>
        <v>0</v>
      </c>
      <c r="L263" s="59" t="str">
        <f t="shared" ca="1" si="81"/>
        <v>0%</v>
      </c>
      <c r="M263" s="1">
        <f t="shared" ca="1" si="82"/>
        <v>0</v>
      </c>
      <c r="N263" s="56" t="e">
        <f t="shared" ca="1" si="83"/>
        <v>#N/A</v>
      </c>
      <c r="O263" s="56" t="e">
        <f t="shared" ca="1" si="84"/>
        <v>#N/A</v>
      </c>
      <c r="P263" s="2">
        <f ca="1">SUMIF(MICRO!AP:AP,O263,MICRO!AS:AS)</f>
        <v>0</v>
      </c>
      <c r="Q263">
        <f ca="1">SUMIF(MICRO!AP:AP,O263,MICRO!AT:AT)</f>
        <v>0</v>
      </c>
      <c r="R263">
        <f ca="1">SUMIF(MICRO!AP:AP,O:O,MICRO!AU:AU)</f>
        <v>0</v>
      </c>
    </row>
    <row r="264" spans="4:18" ht="18.75" thickBot="1" x14ac:dyDescent="0.3">
      <c r="D264" s="110" t="s">
        <v>572</v>
      </c>
      <c r="E264" s="111" t="e">
        <f ca="1">VLOOKUP(Tabela2[[#This Row],[TAG]],MICRO!J:L,3,0)</f>
        <v>#N/A</v>
      </c>
      <c r="F264" s="109" t="s">
        <v>44</v>
      </c>
      <c r="G264" s="112">
        <f ca="1">SUMIF(MICRO!AP:AP,O:O,MICRO!H:H)</f>
        <v>0</v>
      </c>
      <c r="H264" s="113">
        <f ca="1">SUMIF(MICRO!AP:AP,O:O,MICRO!R:R)</f>
        <v>0</v>
      </c>
      <c r="I264" s="113">
        <f ca="1">SUMIF(MICRO!AP:AP,O:O,MICRO!T:T)</f>
        <v>0</v>
      </c>
      <c r="J264" s="114">
        <f t="shared" ca="1" si="80"/>
        <v>0</v>
      </c>
      <c r="K264" s="113">
        <f ca="1">SUMIF(MICRO!AP:AP,O:O,MICRO!X:X)</f>
        <v>0</v>
      </c>
      <c r="L264" s="114" t="str">
        <f t="shared" ca="1" si="81"/>
        <v>0%</v>
      </c>
      <c r="M264" s="113">
        <f t="shared" ca="1" si="82"/>
        <v>0</v>
      </c>
      <c r="N264" s="56" t="e">
        <f t="shared" ca="1" si="83"/>
        <v>#N/A</v>
      </c>
      <c r="O264" s="56" t="e">
        <f t="shared" ca="1" si="84"/>
        <v>#N/A</v>
      </c>
      <c r="P264" s="2">
        <f ca="1">SUMIF(MICRO!AP:AP,O264,MICRO!AS:AS)</f>
        <v>0</v>
      </c>
      <c r="Q264">
        <f ca="1">SUMIF(MICRO!AP:AP,O264,MICRO!AT:AT)</f>
        <v>0</v>
      </c>
      <c r="R264">
        <f ca="1">SUMIF(MICRO!AP:AP,O:O,MICRO!AU:AU)</f>
        <v>0</v>
      </c>
    </row>
    <row r="265" spans="4:18" ht="18.75" thickBot="1" x14ac:dyDescent="0.3">
      <c r="D265" s="110" t="s">
        <v>569</v>
      </c>
      <c r="E265" s="111" t="e">
        <f ca="1">VLOOKUP(Tabela2[[#This Row],[TAG]],MICRO!J:L,3,0)</f>
        <v>#N/A</v>
      </c>
      <c r="F265" s="109" t="s">
        <v>32</v>
      </c>
      <c r="G265" s="58">
        <f ca="1">SUMIF(MICRO!AP:AP,O:O,MICRO!H:H)</f>
        <v>0</v>
      </c>
      <c r="H265" s="1">
        <f ca="1">SUMIF(MICRO!AP:AP,O:O,MICRO!R:R)</f>
        <v>0</v>
      </c>
      <c r="I265" s="1">
        <f ca="1">SUMIF(MICRO!AP:AP,O:O,MICRO!T:T)</f>
        <v>0</v>
      </c>
      <c r="J265" s="59">
        <f t="shared" ref="J265:J268" ca="1" si="85">IF(G265 = 0,0,H265/G265)</f>
        <v>0</v>
      </c>
      <c r="K265" s="1">
        <f ca="1">SUMIF(MICRO!AP:AP,O:O,MICRO!X:X)</f>
        <v>0</v>
      </c>
      <c r="L265" s="59" t="str">
        <f t="shared" ref="L265:L268" ca="1" si="86">IF(G265&lt;&gt;0,SUM(K265/G265*1),"0%")</f>
        <v>0%</v>
      </c>
      <c r="M265" s="1">
        <f t="shared" ref="M265:M268" ca="1" si="87">G265-K265</f>
        <v>0</v>
      </c>
      <c r="N265" s="56" t="e">
        <f t="shared" ref="N265:N268" ca="1" si="88">E265&amp;F265</f>
        <v>#N/A</v>
      </c>
      <c r="O265" s="56" t="e">
        <f t="shared" ref="O265:O268" ca="1" si="89">D265&amp;E265&amp;F265</f>
        <v>#N/A</v>
      </c>
      <c r="P265" s="2">
        <f ca="1">SUMIF(MICRO!AP:AP,O265,MICRO!AS:AS)</f>
        <v>0</v>
      </c>
      <c r="Q265">
        <f ca="1">SUMIF(MICRO!AP:AP,O265,MICRO!AT:AT)</f>
        <v>0</v>
      </c>
      <c r="R265">
        <f ca="1">SUMIF(MICRO!AP:AP,O:O,MICRO!AU:AU)</f>
        <v>0</v>
      </c>
    </row>
    <row r="266" spans="4:18" ht="18.75" thickBot="1" x14ac:dyDescent="0.3">
      <c r="D266" s="110" t="s">
        <v>570</v>
      </c>
      <c r="E266" s="111" t="e">
        <f ca="1">VLOOKUP(Tabela2[[#This Row],[TAG]],MICRO!J:L,3,0)</f>
        <v>#N/A</v>
      </c>
      <c r="F266" s="109" t="s">
        <v>32</v>
      </c>
      <c r="G266" s="58">
        <f ca="1">SUMIF(MICRO!AP:AP,O:O,MICRO!H:H)</f>
        <v>0</v>
      </c>
      <c r="H266" s="1">
        <f ca="1">SUMIF(MICRO!AP:AP,O:O,MICRO!R:R)</f>
        <v>0</v>
      </c>
      <c r="I266" s="1">
        <f ca="1">SUMIF(MICRO!AP:AP,O:O,MICRO!T:T)</f>
        <v>0</v>
      </c>
      <c r="J266" s="59">
        <f t="shared" ca="1" si="85"/>
        <v>0</v>
      </c>
      <c r="K266" s="1">
        <f ca="1">SUMIF(MICRO!AP:AP,O:O,MICRO!X:X)</f>
        <v>0</v>
      </c>
      <c r="L266" s="59" t="str">
        <f t="shared" ca="1" si="86"/>
        <v>0%</v>
      </c>
      <c r="M266" s="1">
        <f t="shared" ca="1" si="87"/>
        <v>0</v>
      </c>
      <c r="N266" s="56" t="e">
        <f t="shared" ca="1" si="88"/>
        <v>#N/A</v>
      </c>
      <c r="O266" s="56" t="e">
        <f t="shared" ca="1" si="89"/>
        <v>#N/A</v>
      </c>
      <c r="P266" s="2">
        <f ca="1">SUMIF(MICRO!AP:AP,O266,MICRO!AS:AS)</f>
        <v>0</v>
      </c>
      <c r="Q266">
        <f ca="1">SUMIF(MICRO!AP:AP,O266,MICRO!AT:AT)</f>
        <v>0</v>
      </c>
      <c r="R266">
        <f ca="1">SUMIF(MICRO!AP:AP,O:O,MICRO!AU:AU)</f>
        <v>0</v>
      </c>
    </row>
    <row r="267" spans="4:18" ht="18.75" thickBot="1" x14ac:dyDescent="0.3">
      <c r="D267" s="110" t="s">
        <v>571</v>
      </c>
      <c r="E267" s="111" t="e">
        <f ca="1">VLOOKUP(Tabela2[[#This Row],[TAG]],MICRO!J:L,3,0)</f>
        <v>#N/A</v>
      </c>
      <c r="F267" s="109" t="s">
        <v>32</v>
      </c>
      <c r="G267" s="58">
        <f ca="1">SUMIF(MICRO!AP:AP,O:O,MICRO!H:H)</f>
        <v>0</v>
      </c>
      <c r="H267" s="1">
        <f ca="1">SUMIF(MICRO!AP:AP,O:O,MICRO!R:R)</f>
        <v>0</v>
      </c>
      <c r="I267" s="1">
        <f ca="1">SUMIF(MICRO!AP:AP,O:O,MICRO!T:T)</f>
        <v>0</v>
      </c>
      <c r="J267" s="59">
        <f t="shared" ca="1" si="85"/>
        <v>0</v>
      </c>
      <c r="K267" s="1">
        <f ca="1">SUMIF(MICRO!AP:AP,O:O,MICRO!X:X)</f>
        <v>0</v>
      </c>
      <c r="L267" s="59" t="str">
        <f t="shared" ca="1" si="86"/>
        <v>0%</v>
      </c>
      <c r="M267" s="1">
        <f t="shared" ca="1" si="87"/>
        <v>0</v>
      </c>
      <c r="N267" s="56" t="e">
        <f t="shared" ca="1" si="88"/>
        <v>#N/A</v>
      </c>
      <c r="O267" s="56" t="e">
        <f t="shared" ca="1" si="89"/>
        <v>#N/A</v>
      </c>
      <c r="P267" s="2">
        <f ca="1">SUMIF(MICRO!AP:AP,O267,MICRO!AS:AS)</f>
        <v>0</v>
      </c>
      <c r="Q267">
        <f ca="1">SUMIF(MICRO!AP:AP,O267,MICRO!AT:AT)</f>
        <v>0</v>
      </c>
      <c r="R267">
        <f ca="1">SUMIF(MICRO!AP:AP,O:O,MICRO!AU:AU)</f>
        <v>0</v>
      </c>
    </row>
    <row r="268" spans="4:18" ht="18.75" thickBot="1" x14ac:dyDescent="0.3">
      <c r="D268" s="110" t="s">
        <v>572</v>
      </c>
      <c r="E268" s="111" t="e">
        <f ca="1">VLOOKUP(Tabela2[[#This Row],[TAG]],MICRO!J:L,3,0)</f>
        <v>#N/A</v>
      </c>
      <c r="F268" s="109" t="s">
        <v>32</v>
      </c>
      <c r="G268" s="112">
        <f ca="1">SUMIF(MICRO!AP:AP,O:O,MICRO!H:H)</f>
        <v>0</v>
      </c>
      <c r="H268" s="113">
        <f ca="1">SUMIF(MICRO!AP:AP,O:O,MICRO!R:R)</f>
        <v>0</v>
      </c>
      <c r="I268" s="113">
        <f ca="1">SUMIF(MICRO!AP:AP,O:O,MICRO!T:T)</f>
        <v>0</v>
      </c>
      <c r="J268" s="114">
        <f t="shared" ca="1" si="85"/>
        <v>0</v>
      </c>
      <c r="K268" s="113">
        <f ca="1">SUMIF(MICRO!AP:AP,O:O,MICRO!X:X)</f>
        <v>0</v>
      </c>
      <c r="L268" s="114" t="str">
        <f t="shared" ca="1" si="86"/>
        <v>0%</v>
      </c>
      <c r="M268" s="113">
        <f t="shared" ca="1" si="87"/>
        <v>0</v>
      </c>
      <c r="N268" s="56" t="e">
        <f t="shared" ca="1" si="88"/>
        <v>#N/A</v>
      </c>
      <c r="O268" s="56" t="e">
        <f t="shared" ca="1" si="89"/>
        <v>#N/A</v>
      </c>
      <c r="P268" s="2">
        <f ca="1">SUMIF(MICRO!AP:AP,O268,MICRO!AS:AS)</f>
        <v>0</v>
      </c>
      <c r="Q268">
        <f ca="1">SUMIF(MICRO!AP:AP,O268,MICRO!AT:AT)</f>
        <v>0</v>
      </c>
      <c r="R268">
        <f ca="1">SUMIF(MICRO!AP:AP,O:O,MICRO!AU:AU)</f>
        <v>0</v>
      </c>
    </row>
    <row r="269" spans="4:18" ht="18.75" thickBot="1" x14ac:dyDescent="0.3">
      <c r="D269" s="110" t="s">
        <v>811</v>
      </c>
      <c r="E269" s="111" t="e">
        <f ca="1">VLOOKUP(Tabela2[[#This Row],[TAG]],MICRO!J:L,3,0)</f>
        <v>#N/A</v>
      </c>
      <c r="F269" s="109" t="s">
        <v>23</v>
      </c>
      <c r="G269" s="112">
        <f ca="1">SUMIF(MICRO!AP:AP,O:O,MICRO!H:H)</f>
        <v>0</v>
      </c>
      <c r="H269" s="113">
        <f ca="1">SUMIF(MICRO!AP:AP,O:O,MICRO!R:R)</f>
        <v>0</v>
      </c>
      <c r="I269" s="113">
        <f ca="1">SUMIF(MICRO!AP:AP,O:O,MICRO!T:T)</f>
        <v>0</v>
      </c>
      <c r="J269" s="114">
        <f t="shared" ref="J269:J287" ca="1" si="90">IF(G269 = 0,0,H269/G269)</f>
        <v>0</v>
      </c>
      <c r="K269" s="113">
        <f ca="1">SUMIF(MICRO!AP:AP,O:O,MICRO!X:X)</f>
        <v>0</v>
      </c>
      <c r="L269" s="114" t="str">
        <f t="shared" ref="L269:L287" ca="1" si="91">IF(G269&lt;&gt;0,SUM(K269/G269*1),"0%")</f>
        <v>0%</v>
      </c>
      <c r="M269" s="113">
        <f t="shared" ref="M269:M287" ca="1" si="92">G269-K269</f>
        <v>0</v>
      </c>
      <c r="N269" s="56" t="e">
        <f t="shared" ref="N269:N287" ca="1" si="93">E269&amp;F269</f>
        <v>#N/A</v>
      </c>
      <c r="O269" s="56" t="e">
        <f t="shared" ref="O269:O287" ca="1" si="94">D269&amp;E269&amp;F269</f>
        <v>#N/A</v>
      </c>
      <c r="P269" s="2">
        <f ca="1">SUMIF(MICRO!AP:AP,O269,MICRO!AS:AS)</f>
        <v>0</v>
      </c>
      <c r="Q269">
        <f ca="1">SUMIF(MICRO!AP:AP,O269,MICRO!AT:AT)</f>
        <v>0</v>
      </c>
      <c r="R269">
        <f ca="1">SUMIF(MICRO!AP:AP,O:O,MICRO!AU:AU)</f>
        <v>0</v>
      </c>
    </row>
    <row r="270" spans="4:18" ht="18.75" thickBot="1" x14ac:dyDescent="0.3">
      <c r="D270" s="110" t="s">
        <v>812</v>
      </c>
      <c r="E270" s="111" t="e">
        <f ca="1">VLOOKUP(Tabela2[[#This Row],[TAG]],MICRO!J:L,3,0)</f>
        <v>#N/A</v>
      </c>
      <c r="F270" s="109" t="s">
        <v>23</v>
      </c>
      <c r="G270" s="112">
        <f ca="1">SUMIF(MICRO!AP:AP,O:O,MICRO!H:H)</f>
        <v>0</v>
      </c>
      <c r="H270" s="113">
        <f ca="1">SUMIF(MICRO!AP:AP,O:O,MICRO!R:R)</f>
        <v>0</v>
      </c>
      <c r="I270" s="113">
        <f ca="1">SUMIF(MICRO!AP:AP,O:O,MICRO!T:T)</f>
        <v>0</v>
      </c>
      <c r="J270" s="114">
        <f t="shared" ca="1" si="90"/>
        <v>0</v>
      </c>
      <c r="K270" s="113">
        <f ca="1">SUMIF(MICRO!AP:AP,O:O,MICRO!X:X)</f>
        <v>0</v>
      </c>
      <c r="L270" s="114" t="str">
        <f t="shared" ca="1" si="91"/>
        <v>0%</v>
      </c>
      <c r="M270" s="113">
        <f t="shared" ca="1" si="92"/>
        <v>0</v>
      </c>
      <c r="N270" s="56" t="e">
        <f t="shared" ca="1" si="93"/>
        <v>#N/A</v>
      </c>
      <c r="O270" s="56" t="e">
        <f t="shared" ca="1" si="94"/>
        <v>#N/A</v>
      </c>
      <c r="P270" s="2">
        <f ca="1">SUMIF(MICRO!AP:AP,O270,MICRO!AS:AS)</f>
        <v>0</v>
      </c>
      <c r="Q270">
        <f ca="1">SUMIF(MICRO!AP:AP,O270,MICRO!AT:AT)</f>
        <v>0</v>
      </c>
      <c r="R270">
        <f ca="1">SUMIF(MICRO!AP:AP,O:O,MICRO!AU:AU)</f>
        <v>0</v>
      </c>
    </row>
    <row r="271" spans="4:18" ht="18.75" thickBot="1" x14ac:dyDescent="0.3">
      <c r="D271" s="110" t="s">
        <v>810</v>
      </c>
      <c r="E271" s="111" t="e">
        <f ca="1">VLOOKUP(Tabela2[[#This Row],[TAG]],MICRO!J:L,3,0)</f>
        <v>#N/A</v>
      </c>
      <c r="F271" s="109" t="s">
        <v>33</v>
      </c>
      <c r="G271" s="112">
        <f ca="1">SUMIF(MICRO!AP:AP,O:O,MICRO!H:H)</f>
        <v>0</v>
      </c>
      <c r="H271" s="113">
        <f ca="1">SUMIF(MICRO!AP:AP,O:O,MICRO!R:R)</f>
        <v>0</v>
      </c>
      <c r="I271" s="113">
        <f ca="1">SUMIF(MICRO!AP:AP,O:O,MICRO!T:T)</f>
        <v>0</v>
      </c>
      <c r="J271" s="114">
        <f t="shared" ca="1" si="90"/>
        <v>0</v>
      </c>
      <c r="K271" s="113">
        <f ca="1">SUMIF(MICRO!AP:AP,O:O,MICRO!X:X)</f>
        <v>0</v>
      </c>
      <c r="L271" s="114" t="str">
        <f t="shared" ca="1" si="91"/>
        <v>0%</v>
      </c>
      <c r="M271" s="113">
        <f t="shared" ca="1" si="92"/>
        <v>0</v>
      </c>
      <c r="N271" s="56" t="e">
        <f t="shared" ca="1" si="93"/>
        <v>#N/A</v>
      </c>
      <c r="O271" s="56" t="e">
        <f t="shared" ca="1" si="94"/>
        <v>#N/A</v>
      </c>
      <c r="P271" s="2">
        <f ca="1">SUMIF(MICRO!AP:AP,O271,MICRO!AS:AS)</f>
        <v>0</v>
      </c>
      <c r="Q271">
        <f ca="1">SUMIF(MICRO!AP:AP,O271,MICRO!AT:AT)</f>
        <v>0</v>
      </c>
      <c r="R271">
        <f ca="1">SUMIF(MICRO!AP:AP,O:O,MICRO!AU:AU)</f>
        <v>0</v>
      </c>
    </row>
    <row r="272" spans="4:18" ht="18.75" thickBot="1" x14ac:dyDescent="0.3">
      <c r="D272" s="110" t="s">
        <v>813</v>
      </c>
      <c r="E272" s="111" t="e">
        <f ca="1">VLOOKUP(Tabela2[[#This Row],[TAG]],MICRO!J:L,3,0)</f>
        <v>#N/A</v>
      </c>
      <c r="F272" s="109" t="s">
        <v>45</v>
      </c>
      <c r="G272" s="112">
        <f ca="1">SUMIF(MICRO!AP:AP,O:O,MICRO!H:H)</f>
        <v>0</v>
      </c>
      <c r="H272" s="113">
        <f ca="1">SUMIF(MICRO!AP:AP,O:O,MICRO!R:R)</f>
        <v>0</v>
      </c>
      <c r="I272" s="113">
        <f ca="1">SUMIF(MICRO!AP:AP,O:O,MICRO!T:T)</f>
        <v>0</v>
      </c>
      <c r="J272" s="114">
        <f t="shared" ca="1" si="90"/>
        <v>0</v>
      </c>
      <c r="K272" s="113">
        <f ca="1">SUMIF(MICRO!AP:AP,O:O,MICRO!X:X)</f>
        <v>0</v>
      </c>
      <c r="L272" s="114" t="str">
        <f t="shared" ca="1" si="91"/>
        <v>0%</v>
      </c>
      <c r="M272" s="113">
        <f t="shared" ca="1" si="92"/>
        <v>0</v>
      </c>
      <c r="N272" s="56" t="e">
        <f t="shared" ca="1" si="93"/>
        <v>#N/A</v>
      </c>
      <c r="O272" s="56" t="e">
        <f t="shared" ca="1" si="94"/>
        <v>#N/A</v>
      </c>
      <c r="P272" s="2">
        <f ca="1">SUMIF(MICRO!AP:AP,O272,MICRO!AS:AS)</f>
        <v>0</v>
      </c>
      <c r="Q272">
        <f ca="1">SUMIF(MICRO!AP:AP,O272,MICRO!AT:AT)</f>
        <v>0</v>
      </c>
      <c r="R272">
        <f ca="1">SUMIF(MICRO!AP:AP,O:O,MICRO!AU:AU)</f>
        <v>0</v>
      </c>
    </row>
    <row r="273" spans="4:18" ht="16.5" thickBot="1" x14ac:dyDescent="0.3">
      <c r="D273" s="110" t="s">
        <v>1126</v>
      </c>
      <c r="E273" s="111" t="e">
        <f ca="1">VLOOKUP(Tabela2[[#This Row],[TAG]],MICRO!J:L,3,0)</f>
        <v>#N/A</v>
      </c>
      <c r="F273" s="111" t="e">
        <f ca="1">_xlfn.XLOOKUP(Tabela2[[#This Row],[PEDIDO]],MICRO!L:L,MICRO!K:K,)</f>
        <v>#N/A</v>
      </c>
      <c r="G273" s="112">
        <f ca="1">SUMIF(MICRO!AP:AP,O:O,MICRO!H:H)</f>
        <v>0</v>
      </c>
      <c r="H273" s="113">
        <f ca="1">SUMIF(MICRO!AP:AP,O:O,MICRO!R:R)</f>
        <v>0</v>
      </c>
      <c r="I273" s="113">
        <f ca="1">SUMIF(MICRO!AP:AP,O:O,MICRO!T:T)</f>
        <v>0</v>
      </c>
      <c r="J273" s="114">
        <f t="shared" ca="1" si="90"/>
        <v>0</v>
      </c>
      <c r="K273" s="113">
        <f ca="1">SUMIF(MICRO!AP:AP,O:O,MICRO!X:X)</f>
        <v>0</v>
      </c>
      <c r="L273" s="114" t="str">
        <f t="shared" ca="1" si="91"/>
        <v>0%</v>
      </c>
      <c r="M273" s="113">
        <f t="shared" ca="1" si="92"/>
        <v>0</v>
      </c>
      <c r="N273" s="56" t="e">
        <f t="shared" ca="1" si="93"/>
        <v>#N/A</v>
      </c>
      <c r="O273" s="56" t="e">
        <f t="shared" ca="1" si="94"/>
        <v>#N/A</v>
      </c>
      <c r="P273" s="2">
        <f ca="1">SUMIF(MICRO!AP:AP,O273,MICRO!AS:AS)</f>
        <v>0</v>
      </c>
      <c r="Q273">
        <f ca="1">SUMIF(MICRO!AP:AP,O273,MICRO!AT:AT)</f>
        <v>0</v>
      </c>
      <c r="R273">
        <f ca="1">SUMIF(MICRO!AP:AP,O:O,MICRO!AU:AU)</f>
        <v>0</v>
      </c>
    </row>
    <row r="274" spans="4:18" ht="16.5" thickBot="1" x14ac:dyDescent="0.3">
      <c r="D274" s="110" t="s">
        <v>1127</v>
      </c>
      <c r="E274" s="111" t="e">
        <f ca="1">VLOOKUP(Tabela2[[#This Row],[TAG]],MICRO!J:L,3,0)</f>
        <v>#N/A</v>
      </c>
      <c r="F274" s="111" t="e">
        <f ca="1">_xlfn.XLOOKUP(Tabela2[[#This Row],[PEDIDO]],MICRO!L:L,MICRO!K:K,)</f>
        <v>#N/A</v>
      </c>
      <c r="G274" s="112">
        <f ca="1">SUMIF(MICRO!AP:AP,O:O,MICRO!H:H)</f>
        <v>0</v>
      </c>
      <c r="H274" s="113">
        <f ca="1">SUMIF(MICRO!AP:AP,O:O,MICRO!R:R)</f>
        <v>0</v>
      </c>
      <c r="I274" s="113">
        <f ca="1">SUMIF(MICRO!AP:AP,O:O,MICRO!T:T)</f>
        <v>0</v>
      </c>
      <c r="J274" s="114">
        <f t="shared" ca="1" si="90"/>
        <v>0</v>
      </c>
      <c r="K274" s="113">
        <f ca="1">SUMIF(MICRO!AP:AP,O:O,MICRO!X:X)</f>
        <v>0</v>
      </c>
      <c r="L274" s="114" t="str">
        <f t="shared" ca="1" si="91"/>
        <v>0%</v>
      </c>
      <c r="M274" s="113">
        <f t="shared" ca="1" si="92"/>
        <v>0</v>
      </c>
      <c r="N274" s="56" t="e">
        <f t="shared" ca="1" si="93"/>
        <v>#N/A</v>
      </c>
      <c r="O274" s="56" t="e">
        <f t="shared" ca="1" si="94"/>
        <v>#N/A</v>
      </c>
      <c r="P274" s="2">
        <f ca="1">SUMIF(MICRO!AP:AP,O274,MICRO!AS:AS)</f>
        <v>0</v>
      </c>
      <c r="Q274">
        <f ca="1">SUMIF(MICRO!AP:AP,O274,MICRO!AT:AT)</f>
        <v>0</v>
      </c>
      <c r="R274">
        <f ca="1">SUMIF(MICRO!AP:AP,O:O,MICRO!AU:AU)</f>
        <v>0</v>
      </c>
    </row>
    <row r="275" spans="4:18" ht="16.5" thickBot="1" x14ac:dyDescent="0.3">
      <c r="D275" s="110" t="s">
        <v>1131</v>
      </c>
      <c r="E275" s="111" t="e">
        <f ca="1">VLOOKUP(Tabela2[[#This Row],[TAG]],MICRO!J:L,3,0)</f>
        <v>#N/A</v>
      </c>
      <c r="F275" s="111" t="e">
        <f ca="1">_xlfn.XLOOKUP(Tabela2[[#This Row],[PEDIDO]],MICRO!L:L,MICRO!K:K,)</f>
        <v>#N/A</v>
      </c>
      <c r="G275" s="112">
        <f ca="1">SUMIF(MICRO!AP:AP,O:O,MICRO!H:H)</f>
        <v>0</v>
      </c>
      <c r="H275" s="113">
        <f ca="1">SUMIF(MICRO!AP:AP,O:O,MICRO!R:R)</f>
        <v>0</v>
      </c>
      <c r="I275" s="113">
        <f ca="1">SUMIF(MICRO!AP:AP,O:O,MICRO!T:T)</f>
        <v>0</v>
      </c>
      <c r="J275" s="114">
        <f t="shared" ca="1" si="90"/>
        <v>0</v>
      </c>
      <c r="K275" s="113">
        <f ca="1">SUMIF(MICRO!AP:AP,O:O,MICRO!X:X)</f>
        <v>0</v>
      </c>
      <c r="L275" s="114" t="str">
        <f t="shared" ca="1" si="91"/>
        <v>0%</v>
      </c>
      <c r="M275" s="113">
        <f t="shared" ca="1" si="92"/>
        <v>0</v>
      </c>
      <c r="N275" s="56" t="e">
        <f t="shared" ca="1" si="93"/>
        <v>#N/A</v>
      </c>
      <c r="O275" s="56" t="e">
        <f t="shared" ca="1" si="94"/>
        <v>#N/A</v>
      </c>
      <c r="P275" s="2">
        <f ca="1">SUMIF(MICRO!AP:AP,O275,MICRO!AS:AS)</f>
        <v>0</v>
      </c>
      <c r="Q275">
        <f ca="1">SUMIF(MICRO!AP:AP,O275,MICRO!AT:AT)</f>
        <v>0</v>
      </c>
      <c r="R275">
        <f ca="1">SUMIF(MICRO!AP:AP,O:O,MICRO!AU:AU)</f>
        <v>0</v>
      </c>
    </row>
    <row r="276" spans="4:18" ht="16.5" thickBot="1" x14ac:dyDescent="0.3">
      <c r="D276" s="110" t="s">
        <v>1199</v>
      </c>
      <c r="E276" s="111" t="e">
        <f ca="1">VLOOKUP(Tabela2[[#This Row],[TAG]],MICRO!J:L,3,0)</f>
        <v>#N/A</v>
      </c>
      <c r="F276" s="111" t="e">
        <f ca="1">_xlfn.XLOOKUP(Tabela2[[#This Row],[PEDIDO]],MICRO!L:L,MICRO!K:K,)</f>
        <v>#N/A</v>
      </c>
      <c r="G276" s="112">
        <f ca="1">SUMIF(MICRO!AP:AP,O:O,MICRO!H:H)</f>
        <v>0</v>
      </c>
      <c r="H276" s="113">
        <f ca="1">SUMIF(MICRO!AP:AP,O:O,MICRO!R:R)</f>
        <v>0</v>
      </c>
      <c r="I276" s="113">
        <f ca="1">SUMIF(MICRO!AP:AP,O:O,MICRO!T:T)</f>
        <v>0</v>
      </c>
      <c r="J276" s="114">
        <f t="shared" ca="1" si="90"/>
        <v>0</v>
      </c>
      <c r="K276" s="113">
        <f ca="1">SUMIF(MICRO!AP:AP,O:O,MICRO!X:X)</f>
        <v>0</v>
      </c>
      <c r="L276" s="114" t="str">
        <f t="shared" ca="1" si="91"/>
        <v>0%</v>
      </c>
      <c r="M276" s="113">
        <f t="shared" ca="1" si="92"/>
        <v>0</v>
      </c>
      <c r="N276" s="56" t="e">
        <f t="shared" ca="1" si="93"/>
        <v>#N/A</v>
      </c>
      <c r="O276" s="56" t="e">
        <f t="shared" ca="1" si="94"/>
        <v>#N/A</v>
      </c>
      <c r="P276" s="2">
        <f ca="1">SUMIF(MICRO!AP:AP,O276,MICRO!AS:AS)</f>
        <v>0</v>
      </c>
      <c r="Q276">
        <f ca="1">SUMIF(MICRO!AP:AP,O276,MICRO!AT:AT)</f>
        <v>0</v>
      </c>
      <c r="R276">
        <f ca="1">SUMIF(MICRO!AP:AP,O:O,MICRO!AU:AU)</f>
        <v>0</v>
      </c>
    </row>
    <row r="277" spans="4:18" ht="16.5" thickBot="1" x14ac:dyDescent="0.3">
      <c r="D277" s="110" t="s">
        <v>1200</v>
      </c>
      <c r="E277" s="111" t="e">
        <f ca="1">VLOOKUP(Tabela2[[#This Row],[TAG]],MICRO!J:L,3,0)</f>
        <v>#N/A</v>
      </c>
      <c r="F277" s="111" t="e">
        <f ca="1">_xlfn.XLOOKUP(Tabela2[[#This Row],[PEDIDO]],MICRO!L:L,MICRO!K:K,)</f>
        <v>#N/A</v>
      </c>
      <c r="G277" s="112">
        <f ca="1">SUMIF(MICRO!AP:AP,O:O,MICRO!H:H)</f>
        <v>0</v>
      </c>
      <c r="H277" s="113">
        <f ca="1">SUMIF(MICRO!AP:AP,O:O,MICRO!R:R)</f>
        <v>0</v>
      </c>
      <c r="I277" s="113">
        <f ca="1">SUMIF(MICRO!AP:AP,O:O,MICRO!T:T)</f>
        <v>0</v>
      </c>
      <c r="J277" s="114">
        <f t="shared" ref="J277:J285" ca="1" si="95">IF(G277 = 0,0,H277/G277)</f>
        <v>0</v>
      </c>
      <c r="K277" s="113">
        <f ca="1">SUMIF(MICRO!AP:AP,O:O,MICRO!X:X)</f>
        <v>0</v>
      </c>
      <c r="L277" s="114" t="str">
        <f t="shared" ref="L277:L285" ca="1" si="96">IF(G277&lt;&gt;0,SUM(K277/G277*1),"0%")</f>
        <v>0%</v>
      </c>
      <c r="M277" s="113">
        <f t="shared" ref="M277:M285" ca="1" si="97">G277-K277</f>
        <v>0</v>
      </c>
      <c r="N277" s="56" t="e">
        <f t="shared" ref="N277:N285" ca="1" si="98">E277&amp;F277</f>
        <v>#N/A</v>
      </c>
      <c r="O277" s="56" t="e">
        <f t="shared" ref="O277:O285" ca="1" si="99">D277&amp;E277&amp;F277</f>
        <v>#N/A</v>
      </c>
      <c r="P277" s="2">
        <f ca="1">SUMIF(MICRO!AP:AP,O277,MICRO!AS:AS)</f>
        <v>0</v>
      </c>
      <c r="Q277">
        <f ca="1">SUMIF(MICRO!AP:AP,O277,MICRO!AT:AT)</f>
        <v>0</v>
      </c>
      <c r="R277">
        <f ca="1">SUMIF(MICRO!AP:AP,O:O,MICRO!AU:AU)</f>
        <v>0</v>
      </c>
    </row>
    <row r="278" spans="4:18" ht="16.5" thickBot="1" x14ac:dyDescent="0.3">
      <c r="D278" s="110" t="s">
        <v>1149</v>
      </c>
      <c r="E278" s="111" t="e">
        <f ca="1">VLOOKUP(Tabela2[[#This Row],[TAG]],MICRO!J:L,3,0)</f>
        <v>#N/A</v>
      </c>
      <c r="F278" s="111" t="e">
        <f ca="1">_xlfn.XLOOKUP(Tabela2[[#This Row],[PEDIDO]],MICRO!L:L,MICRO!K:K,)</f>
        <v>#N/A</v>
      </c>
      <c r="G278" s="112">
        <f ca="1">SUMIF(MICRO!AP:AP,O:O,MICRO!H:H)</f>
        <v>0</v>
      </c>
      <c r="H278" s="113">
        <f ca="1">SUMIF(MICRO!AP:AP,O:O,MICRO!R:R)</f>
        <v>0</v>
      </c>
      <c r="I278" s="113">
        <f ca="1">SUMIF(MICRO!AP:AP,O:O,MICRO!T:T)</f>
        <v>0</v>
      </c>
      <c r="J278" s="114">
        <f t="shared" ca="1" si="95"/>
        <v>0</v>
      </c>
      <c r="K278" s="113">
        <f ca="1">SUMIF(MICRO!AP:AP,O:O,MICRO!X:X)</f>
        <v>0</v>
      </c>
      <c r="L278" s="114" t="str">
        <f t="shared" ca="1" si="96"/>
        <v>0%</v>
      </c>
      <c r="M278" s="113">
        <f t="shared" ca="1" si="97"/>
        <v>0</v>
      </c>
      <c r="N278" s="56" t="e">
        <f t="shared" ca="1" si="98"/>
        <v>#N/A</v>
      </c>
      <c r="O278" s="56" t="e">
        <f t="shared" ca="1" si="99"/>
        <v>#N/A</v>
      </c>
      <c r="P278" s="2">
        <f ca="1">SUMIF(MICRO!AP:AP,O278,MICRO!AS:AS)</f>
        <v>0</v>
      </c>
      <c r="Q278">
        <f ca="1">SUMIF(MICRO!AP:AP,O278,MICRO!AT:AT)</f>
        <v>0</v>
      </c>
      <c r="R278">
        <f ca="1">SUMIF(MICRO!AP:AP,O:O,MICRO!AU:AU)</f>
        <v>0</v>
      </c>
    </row>
    <row r="279" spans="4:18" ht="16.5" thickBot="1" x14ac:dyDescent="0.3">
      <c r="D279" s="110" t="s">
        <v>1148</v>
      </c>
      <c r="E279" s="111" t="e">
        <f ca="1">VLOOKUP(Tabela2[[#This Row],[TAG]],MICRO!J:L,3,0)</f>
        <v>#N/A</v>
      </c>
      <c r="F279" s="111" t="e">
        <f ca="1">_xlfn.XLOOKUP(Tabela2[[#This Row],[PEDIDO]],MICRO!L:L,MICRO!K:K,)</f>
        <v>#N/A</v>
      </c>
      <c r="G279" s="112">
        <f ca="1">SUMIF(MICRO!AP:AP,O:O,MICRO!H:H)</f>
        <v>0</v>
      </c>
      <c r="H279" s="113">
        <f ca="1">SUMIF(MICRO!AP:AP,O:O,MICRO!R:R)</f>
        <v>0</v>
      </c>
      <c r="I279" s="113">
        <f ca="1">SUMIF(MICRO!AP:AP,O:O,MICRO!T:T)</f>
        <v>0</v>
      </c>
      <c r="J279" s="114">
        <f t="shared" ca="1" si="95"/>
        <v>0</v>
      </c>
      <c r="K279" s="113">
        <f ca="1">SUMIF(MICRO!AP:AP,O:O,MICRO!X:X)</f>
        <v>0</v>
      </c>
      <c r="L279" s="114" t="str">
        <f t="shared" ca="1" si="96"/>
        <v>0%</v>
      </c>
      <c r="M279" s="113">
        <f t="shared" ca="1" si="97"/>
        <v>0</v>
      </c>
      <c r="N279" s="56" t="e">
        <f t="shared" ca="1" si="98"/>
        <v>#N/A</v>
      </c>
      <c r="O279" s="56" t="e">
        <f t="shared" ca="1" si="99"/>
        <v>#N/A</v>
      </c>
      <c r="P279" s="2">
        <f ca="1">SUMIF(MICRO!AP:AP,O279,MICRO!AS:AS)</f>
        <v>0</v>
      </c>
      <c r="Q279">
        <f ca="1">SUMIF(MICRO!AP:AP,O279,MICRO!AT:AT)</f>
        <v>0</v>
      </c>
      <c r="R279">
        <f ca="1">SUMIF(MICRO!AP:AP,O:O,MICRO!AU:AU)</f>
        <v>0</v>
      </c>
    </row>
    <row r="280" spans="4:18" ht="16.5" thickBot="1" x14ac:dyDescent="0.3">
      <c r="D280" s="110" t="s">
        <v>1197</v>
      </c>
      <c r="E280" s="111" t="e">
        <f ca="1">VLOOKUP(Tabela2[[#This Row],[TAG]],MICRO!J:L,3,0)</f>
        <v>#N/A</v>
      </c>
      <c r="F280" s="111" t="e">
        <f ca="1">_xlfn.XLOOKUP(Tabela2[[#This Row],[PEDIDO]],MICRO!L:L,MICRO!K:K,)</f>
        <v>#N/A</v>
      </c>
      <c r="G280" s="112">
        <f ca="1">SUMIF(MICRO!AP:AP,O:O,MICRO!H:H)</f>
        <v>0</v>
      </c>
      <c r="H280" s="113">
        <f ca="1">SUMIF(MICRO!AP:AP,O:O,MICRO!R:R)</f>
        <v>0</v>
      </c>
      <c r="I280" s="113">
        <f ca="1">SUMIF(MICRO!AP:AP,O:O,MICRO!T:T)</f>
        <v>0</v>
      </c>
      <c r="J280" s="114">
        <f t="shared" ca="1" si="95"/>
        <v>0</v>
      </c>
      <c r="K280" s="113">
        <f ca="1">SUMIF(MICRO!AP:AP,O:O,MICRO!X:X)</f>
        <v>0</v>
      </c>
      <c r="L280" s="114" t="str">
        <f t="shared" ca="1" si="96"/>
        <v>0%</v>
      </c>
      <c r="M280" s="113">
        <f t="shared" ca="1" si="97"/>
        <v>0</v>
      </c>
      <c r="N280" s="56" t="e">
        <f t="shared" ca="1" si="98"/>
        <v>#N/A</v>
      </c>
      <c r="O280" s="56" t="e">
        <f t="shared" ca="1" si="99"/>
        <v>#N/A</v>
      </c>
      <c r="P280" s="2">
        <f ca="1">SUMIF(MICRO!AP:AP,O280,MICRO!AS:AS)</f>
        <v>0</v>
      </c>
      <c r="Q280">
        <f ca="1">SUMIF(MICRO!AP:AP,O280,MICRO!AT:AT)</f>
        <v>0</v>
      </c>
      <c r="R280">
        <f ca="1">SUMIF(MICRO!AP:AP,O:O,MICRO!AU:AU)</f>
        <v>0</v>
      </c>
    </row>
    <row r="281" spans="4:18" ht="16.5" thickBot="1" x14ac:dyDescent="0.3">
      <c r="D281" s="110" t="s">
        <v>1196</v>
      </c>
      <c r="E281" s="111" t="e">
        <f ca="1">VLOOKUP(Tabela2[[#This Row],[TAG]],MICRO!J:L,3,0)</f>
        <v>#N/A</v>
      </c>
      <c r="F281" s="111" t="e">
        <f ca="1">_xlfn.XLOOKUP(Tabela2[[#This Row],[PEDIDO]],MICRO!L:L,MICRO!K:K,)</f>
        <v>#N/A</v>
      </c>
      <c r="G281" s="112">
        <f ca="1">SUMIF(MICRO!AP:AP,O:O,MICRO!H:H)</f>
        <v>0</v>
      </c>
      <c r="H281" s="113">
        <f ca="1">SUMIF(MICRO!AP:AP,O:O,MICRO!R:R)</f>
        <v>0</v>
      </c>
      <c r="I281" s="113">
        <f ca="1">SUMIF(MICRO!AP:AP,O:O,MICRO!T:T)</f>
        <v>0</v>
      </c>
      <c r="J281" s="114">
        <f t="shared" ca="1" si="95"/>
        <v>0</v>
      </c>
      <c r="K281" s="113">
        <f ca="1">SUMIF(MICRO!AP:AP,O:O,MICRO!X:X)</f>
        <v>0</v>
      </c>
      <c r="L281" s="114" t="str">
        <f t="shared" ca="1" si="96"/>
        <v>0%</v>
      </c>
      <c r="M281" s="113">
        <f t="shared" ca="1" si="97"/>
        <v>0</v>
      </c>
      <c r="N281" s="56" t="e">
        <f t="shared" ca="1" si="98"/>
        <v>#N/A</v>
      </c>
      <c r="O281" s="56" t="e">
        <f t="shared" ca="1" si="99"/>
        <v>#N/A</v>
      </c>
      <c r="P281" s="2">
        <f ca="1">SUMIF(MICRO!AP:AP,O281,MICRO!AS:AS)</f>
        <v>0</v>
      </c>
      <c r="Q281">
        <f ca="1">SUMIF(MICRO!AP:AP,O281,MICRO!AT:AT)</f>
        <v>0</v>
      </c>
      <c r="R281">
        <f ca="1">SUMIF(MICRO!AP:AP,O:O,MICRO!AU:AU)</f>
        <v>0</v>
      </c>
    </row>
    <row r="282" spans="4:18" ht="16.5" thickBot="1" x14ac:dyDescent="0.3">
      <c r="D282" s="110" t="s">
        <v>1189</v>
      </c>
      <c r="E282" s="111" t="e">
        <f ca="1">VLOOKUP(Tabela2[[#This Row],[TAG]],MICRO!J:L,3,0)</f>
        <v>#N/A</v>
      </c>
      <c r="F282" s="111" t="e">
        <f ca="1">_xlfn.XLOOKUP(Tabela2[[#This Row],[PEDIDO]],MICRO!L:L,MICRO!K:K,)</f>
        <v>#N/A</v>
      </c>
      <c r="G282" s="112">
        <f ca="1">SUMIF(MICRO!AP:AP,O:O,MICRO!H:H)</f>
        <v>0</v>
      </c>
      <c r="H282" s="113">
        <f ca="1">SUMIF(MICRO!AP:AP,O:O,MICRO!R:R)</f>
        <v>0</v>
      </c>
      <c r="I282" s="113">
        <f ca="1">SUMIF(MICRO!AP:AP,O:O,MICRO!T:T)</f>
        <v>0</v>
      </c>
      <c r="J282" s="114">
        <f t="shared" ca="1" si="95"/>
        <v>0</v>
      </c>
      <c r="K282" s="113">
        <f ca="1">SUMIF(MICRO!AP:AP,O:O,MICRO!X:X)</f>
        <v>0</v>
      </c>
      <c r="L282" s="114" t="str">
        <f t="shared" ca="1" si="96"/>
        <v>0%</v>
      </c>
      <c r="M282" s="113">
        <f t="shared" ca="1" si="97"/>
        <v>0</v>
      </c>
      <c r="N282" s="56" t="e">
        <f t="shared" ca="1" si="98"/>
        <v>#N/A</v>
      </c>
      <c r="O282" s="56" t="e">
        <f t="shared" ca="1" si="99"/>
        <v>#N/A</v>
      </c>
      <c r="P282" s="2">
        <f ca="1">SUMIF(MICRO!AP:AP,O282,MICRO!AS:AS)</f>
        <v>0</v>
      </c>
      <c r="Q282">
        <f ca="1">SUMIF(MICRO!AP:AP,O282,MICRO!AT:AT)</f>
        <v>0</v>
      </c>
      <c r="R282">
        <f ca="1">SUMIF(MICRO!AP:AP,O:O,MICRO!AU:AU)</f>
        <v>0</v>
      </c>
    </row>
    <row r="283" spans="4:18" ht="16.5" thickBot="1" x14ac:dyDescent="0.3">
      <c r="D283" s="110" t="s">
        <v>1198</v>
      </c>
      <c r="E283" s="111" t="e">
        <f ca="1">VLOOKUP(Tabela2[[#This Row],[TAG]],MICRO!J:L,3,0)</f>
        <v>#N/A</v>
      </c>
      <c r="F283" s="111" t="e">
        <f ca="1">_xlfn.XLOOKUP(Tabela2[[#This Row],[PEDIDO]],MICRO!L:L,MICRO!K:K,)</f>
        <v>#N/A</v>
      </c>
      <c r="G283" s="112">
        <f ca="1">SUMIF(MICRO!AP:AP,O:O,MICRO!H:H)</f>
        <v>0</v>
      </c>
      <c r="H283" s="113">
        <f ca="1">SUMIF(MICRO!AP:AP,O:O,MICRO!R:R)</f>
        <v>0</v>
      </c>
      <c r="I283" s="113">
        <f ca="1">SUMIF(MICRO!AP:AP,O:O,MICRO!T:T)</f>
        <v>0</v>
      </c>
      <c r="J283" s="114">
        <f t="shared" ca="1" si="95"/>
        <v>0</v>
      </c>
      <c r="K283" s="113">
        <f ca="1">SUMIF(MICRO!AP:AP,O:O,MICRO!X:X)</f>
        <v>0</v>
      </c>
      <c r="L283" s="114" t="str">
        <f t="shared" ca="1" si="96"/>
        <v>0%</v>
      </c>
      <c r="M283" s="113">
        <f t="shared" ca="1" si="97"/>
        <v>0</v>
      </c>
      <c r="N283" s="56" t="e">
        <f t="shared" ca="1" si="98"/>
        <v>#N/A</v>
      </c>
      <c r="O283" s="56" t="e">
        <f t="shared" ca="1" si="99"/>
        <v>#N/A</v>
      </c>
      <c r="P283" s="2">
        <f ca="1">SUMIF(MICRO!AP:AP,O283,MICRO!AS:AS)</f>
        <v>0</v>
      </c>
      <c r="Q283">
        <f ca="1">SUMIF(MICRO!AP:AP,O283,MICRO!AT:AT)</f>
        <v>0</v>
      </c>
      <c r="R283">
        <f ca="1">SUMIF(MICRO!AP:AP,O:O,MICRO!AU:AU)</f>
        <v>0</v>
      </c>
    </row>
    <row r="284" spans="4:18" ht="16.5" thickBot="1" x14ac:dyDescent="0.3">
      <c r="D284" s="110" t="s">
        <v>1188</v>
      </c>
      <c r="E284" s="111" t="e">
        <f ca="1">VLOOKUP(Tabela2[[#This Row],[TAG]],MICRO!J:L,3,0)</f>
        <v>#N/A</v>
      </c>
      <c r="F284" s="111" t="e">
        <f ca="1">_xlfn.XLOOKUP(Tabela2[[#This Row],[PEDIDO]],MICRO!L:L,MICRO!K:K,)</f>
        <v>#N/A</v>
      </c>
      <c r="G284" s="112">
        <f ca="1">SUMIF(MICRO!AP:AP,O:O,MICRO!H:H)</f>
        <v>0</v>
      </c>
      <c r="H284" s="113">
        <f ca="1">SUMIF(MICRO!AP:AP,O:O,MICRO!R:R)</f>
        <v>0</v>
      </c>
      <c r="I284" s="113">
        <f ca="1">SUMIF(MICRO!AP:AP,O:O,MICRO!T:T)</f>
        <v>0</v>
      </c>
      <c r="J284" s="114">
        <f t="shared" ca="1" si="95"/>
        <v>0</v>
      </c>
      <c r="K284" s="113">
        <f ca="1">SUMIF(MICRO!AP:AP,O:O,MICRO!X:X)</f>
        <v>0</v>
      </c>
      <c r="L284" s="114" t="str">
        <f t="shared" ca="1" si="96"/>
        <v>0%</v>
      </c>
      <c r="M284" s="113">
        <f t="shared" ca="1" si="97"/>
        <v>0</v>
      </c>
      <c r="N284" s="56" t="e">
        <f t="shared" ca="1" si="98"/>
        <v>#N/A</v>
      </c>
      <c r="O284" s="56" t="e">
        <f t="shared" ca="1" si="99"/>
        <v>#N/A</v>
      </c>
      <c r="P284" s="2">
        <f ca="1">SUMIF(MICRO!AP:AP,O284,MICRO!AS:AS)</f>
        <v>0</v>
      </c>
      <c r="Q284">
        <f ca="1">SUMIF(MICRO!AP:AP,O284,MICRO!AT:AT)</f>
        <v>0</v>
      </c>
      <c r="R284">
        <f ca="1">SUMIF(MICRO!AP:AP,O:O,MICRO!AU:AU)</f>
        <v>0</v>
      </c>
    </row>
    <row r="285" spans="4:18" ht="18.75" thickBot="1" x14ac:dyDescent="0.3">
      <c r="D285" s="110"/>
      <c r="E285" s="111" t="e">
        <f ca="1">VLOOKUP(Tabela2[[#This Row],[TAG]],MICRO!J:L,3,0)</f>
        <v>#N/A</v>
      </c>
      <c r="F285" s="109"/>
      <c r="G285" s="112">
        <f ca="1">SUMIF(MICRO!AP:AP,O:O,MICRO!H:H)</f>
        <v>0</v>
      </c>
      <c r="H285" s="113">
        <f ca="1">SUMIF(MICRO!AP:AP,O:O,MICRO!R:R)</f>
        <v>0</v>
      </c>
      <c r="I285" s="113">
        <f ca="1">SUMIF(MICRO!AP:AP,O:O,MICRO!T:T)</f>
        <v>0</v>
      </c>
      <c r="J285" s="114">
        <f t="shared" ca="1" si="95"/>
        <v>0</v>
      </c>
      <c r="K285" s="113">
        <f ca="1">SUMIF(MICRO!AP:AP,O:O,MICRO!X:X)</f>
        <v>0</v>
      </c>
      <c r="L285" s="114" t="str">
        <f t="shared" ca="1" si="96"/>
        <v>0%</v>
      </c>
      <c r="M285" s="113">
        <f t="shared" ca="1" si="97"/>
        <v>0</v>
      </c>
      <c r="N285" s="56" t="e">
        <f t="shared" ca="1" si="98"/>
        <v>#N/A</v>
      </c>
      <c r="O285" s="56" t="e">
        <f t="shared" ca="1" si="99"/>
        <v>#N/A</v>
      </c>
      <c r="P285" s="2">
        <f ca="1">SUMIF(MICRO!AP:AP,O285,MICRO!AS:AS)</f>
        <v>0</v>
      </c>
      <c r="Q285">
        <f ca="1">SUMIF(MICRO!AP:AP,O285,MICRO!AT:AT)</f>
        <v>0</v>
      </c>
      <c r="R285">
        <f ca="1">SUMIF(MICRO!AP:AP,O:O,MICRO!AU:AU)</f>
        <v>0</v>
      </c>
    </row>
    <row r="286" spans="4:18" ht="18.75" thickBot="1" x14ac:dyDescent="0.3">
      <c r="D286" s="110"/>
      <c r="E286" s="111" t="e">
        <f ca="1">VLOOKUP(Tabela2[[#This Row],[TAG]],MICRO!J:L,3,0)</f>
        <v>#N/A</v>
      </c>
      <c r="F286" s="109"/>
      <c r="G286" s="112">
        <f ca="1">SUMIF(MICRO!AP:AP,O:O,MICRO!H:H)</f>
        <v>0</v>
      </c>
      <c r="H286" s="113">
        <f ca="1">SUMIF(MICRO!AP:AP,O:O,MICRO!R:R)</f>
        <v>0</v>
      </c>
      <c r="I286" s="113">
        <f ca="1">SUMIF(MICRO!AP:AP,O:O,MICRO!T:T)</f>
        <v>0</v>
      </c>
      <c r="J286" s="114">
        <f t="shared" ca="1" si="90"/>
        <v>0</v>
      </c>
      <c r="K286" s="113">
        <f ca="1">SUMIF(MICRO!AP:AP,O:O,MICRO!X:X)</f>
        <v>0</v>
      </c>
      <c r="L286" s="114" t="str">
        <f t="shared" ca="1" si="91"/>
        <v>0%</v>
      </c>
      <c r="M286" s="113">
        <f t="shared" ca="1" si="92"/>
        <v>0</v>
      </c>
      <c r="N286" s="56" t="e">
        <f t="shared" ca="1" si="93"/>
        <v>#N/A</v>
      </c>
      <c r="O286" s="56" t="e">
        <f t="shared" ca="1" si="94"/>
        <v>#N/A</v>
      </c>
      <c r="P286" s="2">
        <f ca="1">SUMIF(MICRO!AP:AP,O286,MICRO!AS:AS)</f>
        <v>0</v>
      </c>
      <c r="Q286">
        <f ca="1">SUMIF(MICRO!AP:AP,O286,MICRO!AT:AT)</f>
        <v>0</v>
      </c>
      <c r="R286">
        <f ca="1">SUMIF(MICRO!AP:AP,O:O,MICRO!AU:AU)</f>
        <v>0</v>
      </c>
    </row>
    <row r="287" spans="4:18" ht="18.75" thickBot="1" x14ac:dyDescent="0.3">
      <c r="D287" s="110"/>
      <c r="E287" s="111" t="e">
        <f ca="1">VLOOKUP(Tabela2[[#This Row],[TAG]],MICRO!J:L,3,0)</f>
        <v>#N/A</v>
      </c>
      <c r="F287" s="109"/>
      <c r="G287" s="112">
        <f ca="1">SUMIF(MICRO!AP:AP,O:O,MICRO!H:H)</f>
        <v>0</v>
      </c>
      <c r="H287" s="113">
        <f ca="1">SUMIF(MICRO!AP:AP,O:O,MICRO!R:R)</f>
        <v>0</v>
      </c>
      <c r="I287" s="113">
        <f ca="1">SUMIF(MICRO!AP:AP,O:O,MICRO!T:T)</f>
        <v>0</v>
      </c>
      <c r="J287" s="114">
        <f t="shared" ca="1" si="90"/>
        <v>0</v>
      </c>
      <c r="K287" s="113">
        <f ca="1">SUMIF(MICRO!AP:AP,O:O,MICRO!X:X)</f>
        <v>0</v>
      </c>
      <c r="L287" s="114" t="str">
        <f t="shared" ca="1" si="91"/>
        <v>0%</v>
      </c>
      <c r="M287" s="113">
        <f t="shared" ca="1" si="92"/>
        <v>0</v>
      </c>
      <c r="N287" s="56" t="e">
        <f t="shared" ca="1" si="93"/>
        <v>#N/A</v>
      </c>
      <c r="O287" s="56" t="e">
        <f t="shared" ca="1" si="94"/>
        <v>#N/A</v>
      </c>
      <c r="P287" s="2">
        <f ca="1">SUMIF(MICRO!AP:AP,O287,MICRO!AS:AS)</f>
        <v>0</v>
      </c>
      <c r="Q287">
        <f ca="1">SUMIF(MICRO!AP:AP,O287,MICRO!AT:AT)</f>
        <v>0</v>
      </c>
      <c r="R287">
        <f ca="1">SUMIF(MICRO!AP:AP,O:O,MICRO!AU:AU)</f>
        <v>0</v>
      </c>
    </row>
    <row r="288" spans="4:18" ht="18.75" thickBot="1" x14ac:dyDescent="0.3">
      <c r="D288" s="110" t="s">
        <v>652</v>
      </c>
      <c r="E288" s="111" t="e">
        <f ca="1">VLOOKUP(Tabela2[[#This Row],[TAG]],MICRO!J:L,3,0)</f>
        <v>#N/A</v>
      </c>
      <c r="F288" s="109" t="s">
        <v>31</v>
      </c>
      <c r="G288" s="112">
        <f ca="1">SUMIF(MICRO!AP:AP,O:O,MICRO!H:H)</f>
        <v>0</v>
      </c>
      <c r="H288" s="113">
        <f ca="1">SUMIF(MICRO!AP:AP,O:O,MICRO!R:R)</f>
        <v>0</v>
      </c>
      <c r="I288" s="113">
        <f ca="1">SUMIF(MICRO!AP:AP,O:O,MICRO!T:T)</f>
        <v>0</v>
      </c>
      <c r="J288" s="114">
        <f t="shared" ref="J288:J299" ca="1" si="100">IF(G288 = 0,0,H288/G288)</f>
        <v>0</v>
      </c>
      <c r="K288" s="113">
        <f ca="1">SUMIF(MICRO!AP:AP,O:O,MICRO!X:X)</f>
        <v>0</v>
      </c>
      <c r="L288" s="114" t="str">
        <f t="shared" ref="L288:L299" ca="1" si="101">IF(G288&lt;&gt;0,SUM(K288/G288*1),"0%")</f>
        <v>0%</v>
      </c>
      <c r="M288" s="113">
        <f t="shared" ref="M288:M299" ca="1" si="102">G288-K288</f>
        <v>0</v>
      </c>
      <c r="N288" s="56" t="e">
        <f t="shared" ref="N288:N299" ca="1" si="103">E288&amp;F288</f>
        <v>#N/A</v>
      </c>
      <c r="O288" s="56" t="e">
        <f t="shared" ref="O288:O299" ca="1" si="104">D288&amp;E288&amp;F288</f>
        <v>#N/A</v>
      </c>
      <c r="P288" s="2">
        <f ca="1">SUMIF(MICRO!AP:AP,O288,MICRO!AS:AS)</f>
        <v>0</v>
      </c>
      <c r="Q288">
        <f ca="1">SUMIF(MICRO!AP:AP,O288,MICRO!AT:AT)</f>
        <v>0</v>
      </c>
      <c r="R288">
        <f ca="1">SUMIF(MICRO!AP:AP,O:O,MICRO!AU:AU)</f>
        <v>0</v>
      </c>
    </row>
    <row r="289" spans="4:18" ht="18.75" thickBot="1" x14ac:dyDescent="0.3">
      <c r="D289" s="110" t="s">
        <v>652</v>
      </c>
      <c r="E289" s="111" t="e">
        <f ca="1">VLOOKUP(Tabela2[[#This Row],[TAG]],MICRO!J:L,3,0)</f>
        <v>#N/A</v>
      </c>
      <c r="F289" s="109" t="s">
        <v>22</v>
      </c>
      <c r="G289" s="112">
        <f ca="1">SUMIF(MICRO!AP:AP,O:O,MICRO!H:H)</f>
        <v>0</v>
      </c>
      <c r="H289" s="113">
        <f ca="1">SUMIF(MICRO!AP:AP,O:O,MICRO!R:R)</f>
        <v>0</v>
      </c>
      <c r="I289" s="113">
        <f ca="1">SUMIF(MICRO!AP:AP,O:O,MICRO!T:T)</f>
        <v>0</v>
      </c>
      <c r="J289" s="114">
        <f t="shared" ca="1" si="100"/>
        <v>0</v>
      </c>
      <c r="K289" s="113">
        <f ca="1">SUMIF(MICRO!AP:AP,O:O,MICRO!X:X)</f>
        <v>0</v>
      </c>
      <c r="L289" s="114" t="str">
        <f t="shared" ca="1" si="101"/>
        <v>0%</v>
      </c>
      <c r="M289" s="113">
        <f t="shared" ca="1" si="102"/>
        <v>0</v>
      </c>
      <c r="N289" s="56" t="e">
        <f t="shared" ca="1" si="103"/>
        <v>#N/A</v>
      </c>
      <c r="O289" s="56" t="e">
        <f t="shared" ca="1" si="104"/>
        <v>#N/A</v>
      </c>
      <c r="P289" s="2">
        <f ca="1">SUMIF(MICRO!AP:AP,O289,MICRO!AS:AS)</f>
        <v>0</v>
      </c>
      <c r="Q289">
        <f ca="1">SUMIF(MICRO!AP:AP,O289,MICRO!AT:AT)</f>
        <v>0</v>
      </c>
      <c r="R289">
        <f ca="1">SUMIF(MICRO!AP:AP,O:O,MICRO!AU:AU)</f>
        <v>0</v>
      </c>
    </row>
    <row r="290" spans="4:18" ht="18.75" thickBot="1" x14ac:dyDescent="0.3">
      <c r="D290" s="110" t="s">
        <v>652</v>
      </c>
      <c r="E290" s="111" t="e">
        <f ca="1">VLOOKUP(Tabela2[[#This Row],[TAG]],MICRO!J:L,3,0)</f>
        <v>#N/A</v>
      </c>
      <c r="F290" s="109" t="s">
        <v>32</v>
      </c>
      <c r="G290" s="112">
        <f ca="1">SUMIF(MICRO!AP:AP,O:O,MICRO!H:H)</f>
        <v>0</v>
      </c>
      <c r="H290" s="113">
        <f ca="1">SUMIF(MICRO!AP:AP,O:O,MICRO!R:R)</f>
        <v>0</v>
      </c>
      <c r="I290" s="113">
        <f ca="1">SUMIF(MICRO!AP:AP,O:O,MICRO!T:T)</f>
        <v>0</v>
      </c>
      <c r="J290" s="114">
        <f t="shared" ca="1" si="100"/>
        <v>0</v>
      </c>
      <c r="K290" s="113">
        <f ca="1">SUMIF(MICRO!AP:AP,O:O,MICRO!X:X)</f>
        <v>0</v>
      </c>
      <c r="L290" s="114" t="str">
        <f t="shared" ca="1" si="101"/>
        <v>0%</v>
      </c>
      <c r="M290" s="113">
        <f t="shared" ca="1" si="102"/>
        <v>0</v>
      </c>
      <c r="N290" s="56" t="e">
        <f t="shared" ca="1" si="103"/>
        <v>#N/A</v>
      </c>
      <c r="O290" s="56" t="e">
        <f t="shared" ca="1" si="104"/>
        <v>#N/A</v>
      </c>
      <c r="P290" s="2">
        <f ca="1">SUMIF(MICRO!AP:AP,O290,MICRO!AS:AS)</f>
        <v>0</v>
      </c>
      <c r="Q290">
        <f ca="1">SUMIF(MICRO!AP:AP,O290,MICRO!AT:AT)</f>
        <v>0</v>
      </c>
      <c r="R290">
        <f ca="1">SUMIF(MICRO!AP:AP,O:O,MICRO!AU:AU)</f>
        <v>0</v>
      </c>
    </row>
    <row r="291" spans="4:18" ht="18.75" thickBot="1" x14ac:dyDescent="0.3">
      <c r="D291" s="110" t="s">
        <v>652</v>
      </c>
      <c r="E291" s="111" t="e">
        <f ca="1">VLOOKUP(Tabela2[[#This Row],[TAG]],MICRO!J:L,3,0)</f>
        <v>#N/A</v>
      </c>
      <c r="F291" s="109" t="s">
        <v>33</v>
      </c>
      <c r="G291" s="112">
        <f ca="1">SUMIF(MICRO!AP:AP,O:O,MICRO!H:H)</f>
        <v>0</v>
      </c>
      <c r="H291" s="113">
        <f ca="1">SUMIF(MICRO!AP:AP,O:O,MICRO!R:R)</f>
        <v>0</v>
      </c>
      <c r="I291" s="113">
        <f ca="1">SUMIF(MICRO!AP:AP,O:O,MICRO!T:T)</f>
        <v>0</v>
      </c>
      <c r="J291" s="114">
        <f t="shared" ca="1" si="100"/>
        <v>0</v>
      </c>
      <c r="K291" s="113">
        <f ca="1">SUMIF(MICRO!AP:AP,O:O,MICRO!X:X)</f>
        <v>0</v>
      </c>
      <c r="L291" s="114" t="str">
        <f t="shared" ca="1" si="101"/>
        <v>0%</v>
      </c>
      <c r="M291" s="113">
        <f t="shared" ca="1" si="102"/>
        <v>0</v>
      </c>
      <c r="N291" s="56" t="e">
        <f t="shared" ca="1" si="103"/>
        <v>#N/A</v>
      </c>
      <c r="O291" s="56" t="e">
        <f t="shared" ca="1" si="104"/>
        <v>#N/A</v>
      </c>
      <c r="P291" s="2">
        <f ca="1">SUMIF(MICRO!AP:AP,O291,MICRO!AS:AS)</f>
        <v>0</v>
      </c>
      <c r="Q291">
        <f ca="1">SUMIF(MICRO!AP:AP,O291,MICRO!AT:AT)</f>
        <v>0</v>
      </c>
      <c r="R291">
        <f ca="1">SUMIF(MICRO!AP:AP,O:O,MICRO!AU:AU)</f>
        <v>0</v>
      </c>
    </row>
    <row r="292" spans="4:18" ht="18.75" thickBot="1" x14ac:dyDescent="0.3">
      <c r="D292" s="110" t="s">
        <v>585</v>
      </c>
      <c r="E292" s="111" t="str">
        <f ca="1">VLOOKUP(Tabela2[[#This Row],[TAG]],MICRO!J:L,3,0)</f>
        <v>P-133</v>
      </c>
      <c r="F292" s="109" t="s">
        <v>22</v>
      </c>
      <c r="G292" s="112">
        <f ca="1">SUMIF(MICRO!AP:AP,O:O,MICRO!H:H)</f>
        <v>0</v>
      </c>
      <c r="H292" s="113">
        <f ca="1">SUMIF(MICRO!AP:AP,O:O,MICRO!R:R)</f>
        <v>0</v>
      </c>
      <c r="I292" s="113">
        <f ca="1">SUMIF(MICRO!AP:AP,O:O,MICRO!T:T)</f>
        <v>0</v>
      </c>
      <c r="J292" s="114">
        <f t="shared" ca="1" si="100"/>
        <v>0</v>
      </c>
      <c r="K292" s="113">
        <f ca="1">SUMIF(MICRO!AP:AP,O:O,MICRO!X:X)</f>
        <v>0</v>
      </c>
      <c r="L292" s="114" t="str">
        <f t="shared" ca="1" si="101"/>
        <v>0%</v>
      </c>
      <c r="M292" s="113">
        <f t="shared" ca="1" si="102"/>
        <v>0</v>
      </c>
      <c r="N292" s="56" t="str">
        <f t="shared" ca="1" si="103"/>
        <v>P-133TAMBOR</v>
      </c>
      <c r="O292" s="56" t="str">
        <f t="shared" ca="1" si="104"/>
        <v>120-AL-001P-133TAMBOR</v>
      </c>
      <c r="P292" s="2">
        <f ca="1">SUMIF(MICRO!AP:AP,O292,MICRO!AS:AS)</f>
        <v>0</v>
      </c>
      <c r="Q292">
        <f ca="1">SUMIF(MICRO!AP:AP,O292,MICRO!AT:AT)</f>
        <v>0</v>
      </c>
      <c r="R292">
        <f ca="1">SUMIF(MICRO!AP:AP,O:O,MICRO!AU:AU)</f>
        <v>0</v>
      </c>
    </row>
    <row r="293" spans="4:18" ht="18.75" thickBot="1" x14ac:dyDescent="0.3">
      <c r="D293" s="110" t="s">
        <v>634</v>
      </c>
      <c r="E293" s="111" t="e">
        <f ca="1">VLOOKUP(Tabela2[[#This Row],[TAG]],MICRO!J:L,3,0)</f>
        <v>#N/A</v>
      </c>
      <c r="F293" s="109" t="s">
        <v>22</v>
      </c>
      <c r="G293" s="112">
        <f ca="1">SUMIF(MICRO!AP:AP,O:O,MICRO!H:H)</f>
        <v>0</v>
      </c>
      <c r="H293" s="113">
        <f ca="1">SUMIF(MICRO!AP:AP,O:O,MICRO!R:R)</f>
        <v>0</v>
      </c>
      <c r="I293" s="113">
        <f ca="1">SUMIF(MICRO!AP:AP,O:O,MICRO!T:T)</f>
        <v>0</v>
      </c>
      <c r="J293" s="114">
        <f t="shared" ca="1" si="100"/>
        <v>0</v>
      </c>
      <c r="K293" s="113">
        <f ca="1">SUMIF(MICRO!AP:AP,O:O,MICRO!X:X)</f>
        <v>0</v>
      </c>
      <c r="L293" s="114" t="str">
        <f t="shared" ca="1" si="101"/>
        <v>0%</v>
      </c>
      <c r="M293" s="113">
        <f t="shared" ca="1" si="102"/>
        <v>0</v>
      </c>
      <c r="N293" s="56" t="e">
        <f t="shared" ca="1" si="103"/>
        <v>#N/A</v>
      </c>
      <c r="O293" s="56" t="e">
        <f t="shared" ca="1" si="104"/>
        <v>#N/A</v>
      </c>
      <c r="P293" s="2">
        <f ca="1">SUMIF(MICRO!AP:AP,O293,MICRO!AS:AS)</f>
        <v>0</v>
      </c>
      <c r="Q293">
        <f ca="1">SUMIF(MICRO!AP:AP,O293,MICRO!AT:AT)</f>
        <v>0</v>
      </c>
      <c r="R293">
        <f ca="1">SUMIF(MICRO!AP:AP,O:O,MICRO!AU:AU)</f>
        <v>0</v>
      </c>
    </row>
    <row r="294" spans="4:18" ht="18.75" thickBot="1" x14ac:dyDescent="0.3">
      <c r="D294" s="110" t="s">
        <v>634</v>
      </c>
      <c r="E294" s="111" t="e">
        <f ca="1">VLOOKUP(Tabela2[[#This Row],[TAG]],MICRO!J:L,3,0)</f>
        <v>#N/A</v>
      </c>
      <c r="F294" s="109" t="s">
        <v>32</v>
      </c>
      <c r="G294" s="112">
        <f ca="1">SUMIF(MICRO!AP:AP,O:O,MICRO!H:H)</f>
        <v>0</v>
      </c>
      <c r="H294" s="113">
        <f ca="1">SUMIF(MICRO!AP:AP,O:O,MICRO!R:R)</f>
        <v>0</v>
      </c>
      <c r="I294" s="113">
        <f ca="1">SUMIF(MICRO!AP:AP,O:O,MICRO!T:T)</f>
        <v>0</v>
      </c>
      <c r="J294" s="114">
        <f t="shared" ca="1" si="100"/>
        <v>0</v>
      </c>
      <c r="K294" s="113">
        <f ca="1">SUMIF(MICRO!AP:AP,O:O,MICRO!X:X)</f>
        <v>0</v>
      </c>
      <c r="L294" s="114" t="str">
        <f t="shared" ca="1" si="101"/>
        <v>0%</v>
      </c>
      <c r="M294" s="113">
        <f t="shared" ca="1" si="102"/>
        <v>0</v>
      </c>
      <c r="N294" s="56" t="e">
        <f t="shared" ca="1" si="103"/>
        <v>#N/A</v>
      </c>
      <c r="O294" s="56" t="e">
        <f t="shared" ca="1" si="104"/>
        <v>#N/A</v>
      </c>
      <c r="P294" s="2">
        <f ca="1">SUMIF(MICRO!AP:AP,O294,MICRO!AS:AS)</f>
        <v>0</v>
      </c>
      <c r="Q294">
        <f ca="1">SUMIF(MICRO!AP:AP,O294,MICRO!AT:AT)</f>
        <v>0</v>
      </c>
      <c r="R294">
        <f ca="1">SUMIF(MICRO!AP:AP,O:O,MICRO!AU:AU)</f>
        <v>0</v>
      </c>
    </row>
    <row r="295" spans="4:18" ht="18.75" thickBot="1" x14ac:dyDescent="0.3">
      <c r="D295" s="110" t="s">
        <v>629</v>
      </c>
      <c r="E295" s="111" t="e">
        <f ca="1">VLOOKUP(Tabela2[[#This Row],[TAG]],MICRO!J:L,3,0)</f>
        <v>#N/A</v>
      </c>
      <c r="F295" s="109" t="s">
        <v>22</v>
      </c>
      <c r="G295" s="112">
        <f ca="1">SUMIF(MICRO!AP:AP,O:O,MICRO!H:H)</f>
        <v>0</v>
      </c>
      <c r="H295" s="113">
        <f ca="1">SUMIF(MICRO!AP:AP,O:O,MICRO!R:R)</f>
        <v>0</v>
      </c>
      <c r="I295" s="113">
        <f ca="1">SUMIF(MICRO!AP:AP,O:O,MICRO!T:T)</f>
        <v>0</v>
      </c>
      <c r="J295" s="114">
        <f t="shared" ca="1" si="100"/>
        <v>0</v>
      </c>
      <c r="K295" s="113">
        <f ca="1">SUMIF(MICRO!AP:AP,O:O,MICRO!X:X)</f>
        <v>0</v>
      </c>
      <c r="L295" s="114" t="str">
        <f t="shared" ca="1" si="101"/>
        <v>0%</v>
      </c>
      <c r="M295" s="113">
        <f t="shared" ca="1" si="102"/>
        <v>0</v>
      </c>
      <c r="N295" s="56" t="e">
        <f t="shared" ca="1" si="103"/>
        <v>#N/A</v>
      </c>
      <c r="O295" s="56" t="e">
        <f t="shared" ca="1" si="104"/>
        <v>#N/A</v>
      </c>
      <c r="P295" s="2">
        <f ca="1">SUMIF(MICRO!AP:AP,O295,MICRO!AS:AS)</f>
        <v>0</v>
      </c>
      <c r="Q295">
        <f ca="1">SUMIF(MICRO!AP:AP,O295,MICRO!AT:AT)</f>
        <v>0</v>
      </c>
      <c r="R295">
        <f ca="1">SUMIF(MICRO!AP:AP,O:O,MICRO!AU:AU)</f>
        <v>0</v>
      </c>
    </row>
    <row r="296" spans="4:18" ht="18.75" thickBot="1" x14ac:dyDescent="0.3">
      <c r="D296" s="110" t="s">
        <v>629</v>
      </c>
      <c r="E296" s="111" t="e">
        <f ca="1">VLOOKUP(Tabela2[[#This Row],[TAG]],MICRO!J:L,3,0)</f>
        <v>#N/A</v>
      </c>
      <c r="F296" s="109" t="s">
        <v>32</v>
      </c>
      <c r="G296" s="112">
        <f ca="1">SUMIF(MICRO!AP:AP,O:O,MICRO!H:H)</f>
        <v>0</v>
      </c>
      <c r="H296" s="113">
        <f ca="1">SUMIF(MICRO!AP:AP,O:O,MICRO!R:R)</f>
        <v>0</v>
      </c>
      <c r="I296" s="113">
        <f ca="1">SUMIF(MICRO!AP:AP,O:O,MICRO!T:T)</f>
        <v>0</v>
      </c>
      <c r="J296" s="114">
        <f t="shared" ca="1" si="100"/>
        <v>0</v>
      </c>
      <c r="K296" s="113">
        <f ca="1">SUMIF(MICRO!AP:AP,O:O,MICRO!X:X)</f>
        <v>0</v>
      </c>
      <c r="L296" s="114" t="str">
        <f t="shared" ca="1" si="101"/>
        <v>0%</v>
      </c>
      <c r="M296" s="113">
        <f t="shared" ca="1" si="102"/>
        <v>0</v>
      </c>
      <c r="N296" s="56" t="e">
        <f t="shared" ca="1" si="103"/>
        <v>#N/A</v>
      </c>
      <c r="O296" s="56" t="e">
        <f t="shared" ca="1" si="104"/>
        <v>#N/A</v>
      </c>
      <c r="P296" s="2">
        <f ca="1">SUMIF(MICRO!AP:AP,O296,MICRO!AS:AS)</f>
        <v>0</v>
      </c>
      <c r="Q296">
        <f ca="1">SUMIF(MICRO!AP:AP,O296,MICRO!AT:AT)</f>
        <v>0</v>
      </c>
      <c r="R296">
        <f ca="1">SUMIF(MICRO!AP:AP,O:O,MICRO!AU:AU)</f>
        <v>0</v>
      </c>
    </row>
    <row r="297" spans="4:18" ht="18.75" thickBot="1" x14ac:dyDescent="0.3">
      <c r="D297" s="110" t="s">
        <v>585</v>
      </c>
      <c r="E297" s="111" t="str">
        <f ca="1">VLOOKUP(Tabela2[[#This Row],[TAG]],MICRO!J:L,3,0)</f>
        <v>P-133</v>
      </c>
      <c r="F297" s="109" t="s">
        <v>32</v>
      </c>
      <c r="G297" s="112">
        <f ca="1">SUMIF(MICRO!AP:AP,O:O,MICRO!H:H)</f>
        <v>0</v>
      </c>
      <c r="H297" s="113">
        <f ca="1">SUMIF(MICRO!AP:AP,O:O,MICRO!R:R)</f>
        <v>0</v>
      </c>
      <c r="I297" s="113">
        <f ca="1">SUMIF(MICRO!AP:AP,O:O,MICRO!T:T)</f>
        <v>0</v>
      </c>
      <c r="J297" s="114">
        <f t="shared" ca="1" si="100"/>
        <v>0</v>
      </c>
      <c r="K297" s="113">
        <f ca="1">SUMIF(MICRO!AP:AP,O:O,MICRO!X:X)</f>
        <v>0</v>
      </c>
      <c r="L297" s="114" t="str">
        <f t="shared" ca="1" si="101"/>
        <v>0%</v>
      </c>
      <c r="M297" s="113">
        <f t="shared" ca="1" si="102"/>
        <v>0</v>
      </c>
      <c r="N297" s="56" t="str">
        <f t="shared" ca="1" si="103"/>
        <v>P-133USINAGEM</v>
      </c>
      <c r="O297" s="56" t="str">
        <f t="shared" ca="1" si="104"/>
        <v>120-AL-001P-133USINAGEM</v>
      </c>
      <c r="P297" s="2">
        <f ca="1">SUMIF(MICRO!AP:AP,O297,MICRO!AS:AS)</f>
        <v>0</v>
      </c>
      <c r="Q297">
        <f ca="1">SUMIF(MICRO!AP:AP,O297,MICRO!AT:AT)</f>
        <v>0</v>
      </c>
      <c r="R297">
        <f ca="1">SUMIF(MICRO!AP:AP,O:O,MICRO!AU:AU)</f>
        <v>0</v>
      </c>
    </row>
    <row r="298" spans="4:18" ht="18.75" thickBot="1" x14ac:dyDescent="0.3">
      <c r="D298" s="110" t="s">
        <v>589</v>
      </c>
      <c r="E298" s="111" t="e">
        <f ca="1">VLOOKUP(Tabela2[[#This Row],[TAG]],MICRO!J:L,3,0)</f>
        <v>#N/A</v>
      </c>
      <c r="F298" s="109" t="s">
        <v>22</v>
      </c>
      <c r="G298" s="112">
        <f ca="1">SUMIF(MICRO!AP:AP,O:O,MICRO!H:H)</f>
        <v>0</v>
      </c>
      <c r="H298" s="113">
        <f ca="1">SUMIF(MICRO!AP:AP,O:O,MICRO!R:R)</f>
        <v>0</v>
      </c>
      <c r="I298" s="113">
        <f ca="1">SUMIF(MICRO!AP:AP,O:O,MICRO!T:T)</f>
        <v>0</v>
      </c>
      <c r="J298" s="114">
        <f t="shared" ca="1" si="100"/>
        <v>0</v>
      </c>
      <c r="K298" s="113">
        <f ca="1">SUMIF(MICRO!AP:AP,O:O,MICRO!X:X)</f>
        <v>0</v>
      </c>
      <c r="L298" s="114" t="str">
        <f t="shared" ca="1" si="101"/>
        <v>0%</v>
      </c>
      <c r="M298" s="113">
        <f t="shared" ca="1" si="102"/>
        <v>0</v>
      </c>
      <c r="N298" s="56" t="e">
        <f t="shared" ca="1" si="103"/>
        <v>#N/A</v>
      </c>
      <c r="O298" s="56" t="e">
        <f t="shared" ca="1" si="104"/>
        <v>#N/A</v>
      </c>
      <c r="P298" s="2">
        <f ca="1">SUMIF(MICRO!AP:AP,O298,MICRO!AS:AS)</f>
        <v>0</v>
      </c>
      <c r="Q298">
        <f ca="1">SUMIF(MICRO!AP:AP,O298,MICRO!AT:AT)</f>
        <v>0</v>
      </c>
      <c r="R298">
        <f ca="1">SUMIF(MICRO!AP:AP,O:O,MICRO!AU:AU)</f>
        <v>0</v>
      </c>
    </row>
    <row r="299" spans="4:18" ht="18.75" thickBot="1" x14ac:dyDescent="0.3">
      <c r="D299" s="110" t="s">
        <v>589</v>
      </c>
      <c r="E299" s="111" t="e">
        <f ca="1">VLOOKUP(Tabela2[[#This Row],[TAG]],MICRO!J:L,3,0)</f>
        <v>#N/A</v>
      </c>
      <c r="F299" s="109" t="s">
        <v>32</v>
      </c>
      <c r="G299" s="112">
        <f ca="1">SUMIF(MICRO!AP:AP,O:O,MICRO!H:H)</f>
        <v>0</v>
      </c>
      <c r="H299" s="113">
        <f ca="1">SUMIF(MICRO!AP:AP,O:O,MICRO!R:R)</f>
        <v>0</v>
      </c>
      <c r="I299" s="113">
        <f ca="1">SUMIF(MICRO!AP:AP,O:O,MICRO!T:T)</f>
        <v>0</v>
      </c>
      <c r="J299" s="114">
        <f t="shared" ca="1" si="100"/>
        <v>0</v>
      </c>
      <c r="K299" s="113">
        <f ca="1">SUMIF(MICRO!AP:AP,O:O,MICRO!X:X)</f>
        <v>0</v>
      </c>
      <c r="L299" s="114" t="str">
        <f t="shared" ca="1" si="101"/>
        <v>0%</v>
      </c>
      <c r="M299" s="113">
        <f t="shared" ca="1" si="102"/>
        <v>0</v>
      </c>
      <c r="N299" s="56" t="e">
        <f t="shared" ca="1" si="103"/>
        <v>#N/A</v>
      </c>
      <c r="O299" s="56" t="e">
        <f t="shared" ca="1" si="104"/>
        <v>#N/A</v>
      </c>
      <c r="P299" s="2">
        <f ca="1">SUMIF(MICRO!AP:AP,O299,MICRO!AS:AS)</f>
        <v>0</v>
      </c>
      <c r="Q299">
        <f ca="1">SUMIF(MICRO!AP:AP,O299,MICRO!AT:AT)</f>
        <v>0</v>
      </c>
      <c r="R299">
        <f ca="1">SUMIF(MICRO!AP:AP,O:O,MICRO!AU:AU)</f>
        <v>0</v>
      </c>
    </row>
    <row r="300" spans="4:18" ht="18.75" thickBot="1" x14ac:dyDescent="0.3">
      <c r="D300" s="110" t="s">
        <v>948</v>
      </c>
      <c r="E300" s="111" t="e">
        <f ca="1">VLOOKUP(Tabela2[[#This Row],[TAG]],MICRO!J:L,3,0)</f>
        <v>#N/A</v>
      </c>
      <c r="F300" s="109" t="s">
        <v>23</v>
      </c>
      <c r="G300" s="112">
        <f ca="1">SUMIF(MICRO!AP:AP,O:O,MICRO!H:H)</f>
        <v>0</v>
      </c>
      <c r="H300" s="113">
        <f ca="1">SUMIF(MICRO!AP:AP,O:O,MICRO!R:R)</f>
        <v>0</v>
      </c>
      <c r="I300" s="113">
        <f ca="1">SUMIF(MICRO!AP:AP,O:O,MICRO!T:T)</f>
        <v>0</v>
      </c>
      <c r="J300" s="114">
        <f t="shared" ref="J300:J334" ca="1" si="105">IF(G300 = 0,0,H300/G300)</f>
        <v>0</v>
      </c>
      <c r="K300" s="113">
        <f ca="1">SUMIF(MICRO!AP:AP,O:O,MICRO!X:X)</f>
        <v>0</v>
      </c>
      <c r="L300" s="114" t="str">
        <f t="shared" ref="L300:L334" ca="1" si="106">IF(G300&lt;&gt;0,SUM(K300/G300*1),"0%")</f>
        <v>0%</v>
      </c>
      <c r="M300" s="113">
        <f t="shared" ref="M300:M334" ca="1" si="107">G300-K300</f>
        <v>0</v>
      </c>
      <c r="N300" s="56" t="e">
        <f t="shared" ref="N300:N334" ca="1" si="108">E300&amp;F300</f>
        <v>#N/A</v>
      </c>
      <c r="O300" s="56" t="e">
        <f t="shared" ref="O300:O334" ca="1" si="109">D300&amp;E300&amp;F300</f>
        <v>#N/A</v>
      </c>
      <c r="P300" s="2">
        <f ca="1">SUMIF(MICRO!AP:AP,O300,MICRO!AS:AS)</f>
        <v>0</v>
      </c>
      <c r="Q300">
        <f ca="1">SUMIF(MICRO!AP:AP,O300,MICRO!AT:AT)</f>
        <v>0</v>
      </c>
      <c r="R300">
        <f ca="1">SUMIF(MICRO!AP:AP,O:O,MICRO!AU:AU)</f>
        <v>0</v>
      </c>
    </row>
    <row r="301" spans="4:18" ht="18.75" thickBot="1" x14ac:dyDescent="0.3">
      <c r="D301" s="110" t="s">
        <v>1865</v>
      </c>
      <c r="E301" s="111" t="e">
        <f ca="1">VLOOKUP(Tabela2[[#This Row],[TAG]],MICRO!J:L,3,0)</f>
        <v>#N/A</v>
      </c>
      <c r="F301" s="109" t="s">
        <v>31</v>
      </c>
      <c r="G301" s="112">
        <f ca="1">SUMIF(MICRO!AP:AP,O:O,MICRO!H:H)</f>
        <v>0</v>
      </c>
      <c r="H301" s="113">
        <f ca="1">SUMIF(MICRO!AP:AP,O:O,MICRO!R:R)</f>
        <v>0</v>
      </c>
      <c r="I301" s="113">
        <f ca="1">SUMIF(MICRO!AP:AP,O:O,MICRO!T:T)</f>
        <v>0</v>
      </c>
      <c r="J301" s="114">
        <f t="shared" ca="1" si="105"/>
        <v>0</v>
      </c>
      <c r="K301" s="113">
        <f ca="1">SUMIF(MICRO!AP:AP,O:O,MICRO!X:X)</f>
        <v>0</v>
      </c>
      <c r="L301" s="114" t="str">
        <f t="shared" ca="1" si="106"/>
        <v>0%</v>
      </c>
      <c r="M301" s="113">
        <f t="shared" ca="1" si="107"/>
        <v>0</v>
      </c>
      <c r="N301" s="56" t="e">
        <f t="shared" ca="1" si="108"/>
        <v>#N/A</v>
      </c>
      <c r="O301" s="56" t="e">
        <f t="shared" ca="1" si="109"/>
        <v>#N/A</v>
      </c>
      <c r="P301" s="2">
        <f ca="1">SUMIF(MICRO!AP:AP,O301,MICRO!AS:AS)</f>
        <v>0</v>
      </c>
      <c r="Q301">
        <f ca="1">SUMIF(MICRO!AP:AP,O301,MICRO!AT:AT)</f>
        <v>0</v>
      </c>
      <c r="R301">
        <f ca="1">SUMIF(MICRO!AP:AP,O:O,MICRO!AU:AU)</f>
        <v>0</v>
      </c>
    </row>
    <row r="302" spans="4:18" ht="18.75" thickBot="1" x14ac:dyDescent="0.3">
      <c r="D302" s="110" t="s">
        <v>1865</v>
      </c>
      <c r="E302" s="111" t="e">
        <f ca="1">VLOOKUP(Tabela2[[#This Row],[TAG]],MICRO!J:L,3,0)</f>
        <v>#N/A</v>
      </c>
      <c r="F302" s="109" t="s">
        <v>44</v>
      </c>
      <c r="G302" s="112">
        <f ca="1">SUMIF(MICRO!AP:AP,O:O,MICRO!H:H)</f>
        <v>0</v>
      </c>
      <c r="H302" s="113">
        <f ca="1">SUMIF(MICRO!AP:AP,O:O,MICRO!R:R)</f>
        <v>0</v>
      </c>
      <c r="I302" s="113">
        <f ca="1">SUMIF(MICRO!AP:AP,O:O,MICRO!T:T)</f>
        <v>0</v>
      </c>
      <c r="J302" s="114">
        <f t="shared" ca="1" si="105"/>
        <v>0</v>
      </c>
      <c r="K302" s="113">
        <f ca="1">SUMIF(MICRO!AP:AP,O:O,MICRO!X:X)</f>
        <v>0</v>
      </c>
      <c r="L302" s="114" t="str">
        <f t="shared" ca="1" si="106"/>
        <v>0%</v>
      </c>
      <c r="M302" s="113">
        <f t="shared" ca="1" si="107"/>
        <v>0</v>
      </c>
      <c r="N302" s="56" t="e">
        <f t="shared" ca="1" si="108"/>
        <v>#N/A</v>
      </c>
      <c r="O302" s="56" t="e">
        <f t="shared" ca="1" si="109"/>
        <v>#N/A</v>
      </c>
      <c r="P302" s="2">
        <f ca="1">SUMIF(MICRO!AP:AP,O302,MICRO!AS:AS)</f>
        <v>0</v>
      </c>
      <c r="Q302">
        <f ca="1">SUMIF(MICRO!AP:AP,O302,MICRO!AT:AT)</f>
        <v>0</v>
      </c>
      <c r="R302">
        <f ca="1">SUMIF(MICRO!AP:AP,O:O,MICRO!AU:AU)</f>
        <v>0</v>
      </c>
    </row>
    <row r="303" spans="4:18" ht="18.75" thickBot="1" x14ac:dyDescent="0.3">
      <c r="D303" s="110" t="s">
        <v>1854</v>
      </c>
      <c r="E303" s="111" t="e">
        <f ca="1">VLOOKUP(Tabela2[[#This Row],[TAG]],MICRO!J:L,3,0)</f>
        <v>#N/A</v>
      </c>
      <c r="F303" s="109" t="s">
        <v>23</v>
      </c>
      <c r="G303" s="112">
        <f ca="1">SUMIF(MICRO!AP:AP,O:O,MICRO!H:H)</f>
        <v>0</v>
      </c>
      <c r="H303" s="113">
        <f ca="1">SUMIF(MICRO!AP:AP,O:O,MICRO!R:R)</f>
        <v>0</v>
      </c>
      <c r="I303" s="113">
        <f ca="1">SUMIF(MICRO!AP:AP,O:O,MICRO!T:T)</f>
        <v>0</v>
      </c>
      <c r="J303" s="114">
        <f t="shared" ref="J303:J312" ca="1" si="110">IF(G303 = 0,0,H303/G303)</f>
        <v>0</v>
      </c>
      <c r="K303" s="113">
        <f ca="1">SUMIF(MICRO!AP:AP,O:O,MICRO!X:X)</f>
        <v>0</v>
      </c>
      <c r="L303" s="114" t="str">
        <f t="shared" ref="L303:L312" ca="1" si="111">IF(G303&lt;&gt;0,SUM(K303/G303*1),"0%")</f>
        <v>0%</v>
      </c>
      <c r="M303" s="113">
        <f t="shared" ref="M303:M312" ca="1" si="112">G303-K303</f>
        <v>0</v>
      </c>
      <c r="N303" s="56" t="e">
        <f t="shared" ref="N303:N312" ca="1" si="113">E303&amp;F303</f>
        <v>#N/A</v>
      </c>
      <c r="O303" s="56" t="e">
        <f t="shared" ref="O303:O312" ca="1" si="114">D303&amp;E303&amp;F303</f>
        <v>#N/A</v>
      </c>
      <c r="P303" s="2">
        <f ca="1">SUMIF(MICRO!AP:AP,O303,MICRO!AS:AS)</f>
        <v>0</v>
      </c>
      <c r="Q303">
        <f ca="1">SUMIF(MICRO!AP:AP,O303,MICRO!AT:AT)</f>
        <v>0</v>
      </c>
      <c r="R303">
        <f ca="1">SUMIF(MICRO!AP:AP,O:O,MICRO!AU:AU)</f>
        <v>0</v>
      </c>
    </row>
    <row r="304" spans="4:18" ht="18.75" thickBot="1" x14ac:dyDescent="0.3">
      <c r="D304" s="110" t="s">
        <v>1855</v>
      </c>
      <c r="E304" s="111" t="e">
        <f ca="1">VLOOKUP(Tabela2[[#This Row],[TAG]],MICRO!J:L,3,0)</f>
        <v>#N/A</v>
      </c>
      <c r="F304" s="109" t="s">
        <v>23</v>
      </c>
      <c r="G304" s="112">
        <f ca="1">SUMIF(MICRO!AP:AP,O:O,MICRO!H:H)</f>
        <v>0</v>
      </c>
      <c r="H304" s="113">
        <f ca="1">SUMIF(MICRO!AP:AP,O:O,MICRO!R:R)</f>
        <v>0</v>
      </c>
      <c r="I304" s="113">
        <f ca="1">SUMIF(MICRO!AP:AP,O:O,MICRO!T:T)</f>
        <v>0</v>
      </c>
      <c r="J304" s="114">
        <f t="shared" ca="1" si="110"/>
        <v>0</v>
      </c>
      <c r="K304" s="113">
        <f ca="1">SUMIF(MICRO!AP:AP,O:O,MICRO!X:X)</f>
        <v>0</v>
      </c>
      <c r="L304" s="114" t="str">
        <f t="shared" ca="1" si="111"/>
        <v>0%</v>
      </c>
      <c r="M304" s="113">
        <f t="shared" ca="1" si="112"/>
        <v>0</v>
      </c>
      <c r="N304" s="56" t="e">
        <f t="shared" ca="1" si="113"/>
        <v>#N/A</v>
      </c>
      <c r="O304" s="56" t="e">
        <f t="shared" ca="1" si="114"/>
        <v>#N/A</v>
      </c>
      <c r="P304" s="2">
        <f ca="1">SUMIF(MICRO!AP:AP,O304,MICRO!AS:AS)</f>
        <v>0</v>
      </c>
      <c r="Q304">
        <f ca="1">SUMIF(MICRO!AP:AP,O304,MICRO!AT:AT)</f>
        <v>0</v>
      </c>
      <c r="R304">
        <f ca="1">SUMIF(MICRO!AP:AP,O:O,MICRO!AU:AU)</f>
        <v>0</v>
      </c>
    </row>
    <row r="305" spans="4:18" ht="18.75" thickBot="1" x14ac:dyDescent="0.3">
      <c r="D305" s="110" t="s">
        <v>1856</v>
      </c>
      <c r="E305" s="111" t="e">
        <f ca="1">VLOOKUP(Tabela2[[#This Row],[TAG]],MICRO!J:L,3,0)</f>
        <v>#N/A</v>
      </c>
      <c r="F305" s="109" t="s">
        <v>33</v>
      </c>
      <c r="G305" s="112">
        <f ca="1">SUMIF(MICRO!AP:AP,O:O,MICRO!H:H)</f>
        <v>0</v>
      </c>
      <c r="H305" s="113">
        <f ca="1">SUMIF(MICRO!AP:AP,O:O,MICRO!R:R)</f>
        <v>0</v>
      </c>
      <c r="I305" s="113">
        <f ca="1">SUMIF(MICRO!AP:AP,O:O,MICRO!T:T)</f>
        <v>0</v>
      </c>
      <c r="J305" s="114">
        <f t="shared" ca="1" si="110"/>
        <v>0</v>
      </c>
      <c r="K305" s="113">
        <f ca="1">SUMIF(MICRO!AP:AP,O:O,MICRO!X:X)</f>
        <v>0</v>
      </c>
      <c r="L305" s="114" t="str">
        <f t="shared" ca="1" si="111"/>
        <v>0%</v>
      </c>
      <c r="M305" s="113">
        <f t="shared" ca="1" si="112"/>
        <v>0</v>
      </c>
      <c r="N305" s="56" t="e">
        <f t="shared" ca="1" si="113"/>
        <v>#N/A</v>
      </c>
      <c r="O305" s="56" t="e">
        <f t="shared" ca="1" si="114"/>
        <v>#N/A</v>
      </c>
      <c r="P305" s="2">
        <f ca="1">SUMIF(MICRO!AP:AP,O305,MICRO!AS:AS)</f>
        <v>0</v>
      </c>
      <c r="Q305">
        <f ca="1">SUMIF(MICRO!AP:AP,O305,MICRO!AT:AT)</f>
        <v>0</v>
      </c>
      <c r="R305">
        <f ca="1">SUMIF(MICRO!AP:AP,O:O,MICRO!AU:AU)</f>
        <v>0</v>
      </c>
    </row>
    <row r="306" spans="4:18" ht="18.75" thickBot="1" x14ac:dyDescent="0.3">
      <c r="D306" s="110" t="s">
        <v>1858</v>
      </c>
      <c r="E306" s="111" t="e">
        <f ca="1">VLOOKUP(Tabela2[[#This Row],[TAG]],MICRO!J:L,3,0)</f>
        <v>#N/A</v>
      </c>
      <c r="F306" s="109" t="s">
        <v>23</v>
      </c>
      <c r="G306" s="112">
        <f ca="1">SUMIF(MICRO!AP:AP,O:O,MICRO!H:H)</f>
        <v>0</v>
      </c>
      <c r="H306" s="113">
        <f ca="1">SUMIF(MICRO!AP:AP,O:O,MICRO!R:R)</f>
        <v>0</v>
      </c>
      <c r="I306" s="113">
        <f ca="1">SUMIF(MICRO!AP:AP,O:O,MICRO!T:T)</f>
        <v>0</v>
      </c>
      <c r="J306" s="114">
        <f t="shared" ca="1" si="110"/>
        <v>0</v>
      </c>
      <c r="K306" s="113">
        <f ca="1">SUMIF(MICRO!AP:AP,O:O,MICRO!X:X)</f>
        <v>0</v>
      </c>
      <c r="L306" s="114" t="str">
        <f t="shared" ca="1" si="111"/>
        <v>0%</v>
      </c>
      <c r="M306" s="113">
        <f t="shared" ca="1" si="112"/>
        <v>0</v>
      </c>
      <c r="N306" s="56" t="e">
        <f t="shared" ca="1" si="113"/>
        <v>#N/A</v>
      </c>
      <c r="O306" s="56" t="e">
        <f t="shared" ca="1" si="114"/>
        <v>#N/A</v>
      </c>
      <c r="P306" s="2">
        <f ca="1">SUMIF(MICRO!AP:AP,O306,MICRO!AS:AS)</f>
        <v>0</v>
      </c>
      <c r="Q306">
        <f ca="1">SUMIF(MICRO!AP:AP,O306,MICRO!AT:AT)</f>
        <v>0</v>
      </c>
      <c r="R306">
        <f ca="1">SUMIF(MICRO!AP:AP,O:O,MICRO!AU:AU)</f>
        <v>0</v>
      </c>
    </row>
    <row r="307" spans="4:18" ht="18.75" thickBot="1" x14ac:dyDescent="0.3">
      <c r="D307" s="110" t="s">
        <v>1859</v>
      </c>
      <c r="E307" s="111" t="e">
        <f ca="1">VLOOKUP(Tabela2[[#This Row],[TAG]],MICRO!J:L,3,0)</f>
        <v>#N/A</v>
      </c>
      <c r="F307" s="109" t="s">
        <v>23</v>
      </c>
      <c r="G307" s="112">
        <f ca="1">SUMIF(MICRO!AP:AP,O:O,MICRO!H:H)</f>
        <v>0</v>
      </c>
      <c r="H307" s="113">
        <f ca="1">SUMIF(MICRO!AP:AP,O:O,MICRO!R:R)</f>
        <v>0</v>
      </c>
      <c r="I307" s="113">
        <f ca="1">SUMIF(MICRO!AP:AP,O:O,MICRO!T:T)</f>
        <v>0</v>
      </c>
      <c r="J307" s="114">
        <f t="shared" ca="1" si="110"/>
        <v>0</v>
      </c>
      <c r="K307" s="113">
        <f ca="1">SUMIF(MICRO!AP:AP,O:O,MICRO!X:X)</f>
        <v>0</v>
      </c>
      <c r="L307" s="114" t="str">
        <f t="shared" ca="1" si="111"/>
        <v>0%</v>
      </c>
      <c r="M307" s="113">
        <f t="shared" ca="1" si="112"/>
        <v>0</v>
      </c>
      <c r="N307" s="56" t="e">
        <f t="shared" ca="1" si="113"/>
        <v>#N/A</v>
      </c>
      <c r="O307" s="56" t="e">
        <f t="shared" ca="1" si="114"/>
        <v>#N/A</v>
      </c>
      <c r="P307" s="2">
        <f ca="1">SUMIF(MICRO!AP:AP,O307,MICRO!AS:AS)</f>
        <v>0</v>
      </c>
      <c r="Q307">
        <f ca="1">SUMIF(MICRO!AP:AP,O307,MICRO!AT:AT)</f>
        <v>0</v>
      </c>
      <c r="R307">
        <f ca="1">SUMIF(MICRO!AP:AP,O:O,MICRO!AU:AU)</f>
        <v>0</v>
      </c>
    </row>
    <row r="308" spans="4:18" ht="18.75" thickBot="1" x14ac:dyDescent="0.3">
      <c r="D308" s="110" t="s">
        <v>1861</v>
      </c>
      <c r="E308" s="111" t="e">
        <f ca="1">VLOOKUP(Tabela2[[#This Row],[TAG]],MICRO!J:L,3,0)</f>
        <v>#N/A</v>
      </c>
      <c r="F308" s="109" t="s">
        <v>23</v>
      </c>
      <c r="G308" s="112">
        <f ca="1">SUMIF(MICRO!AP:AP,O:O,MICRO!H:H)</f>
        <v>0</v>
      </c>
      <c r="H308" s="113">
        <f ca="1">SUMIF(MICRO!AP:AP,O:O,MICRO!R:R)</f>
        <v>0</v>
      </c>
      <c r="I308" s="113">
        <f ca="1">SUMIF(MICRO!AP:AP,O:O,MICRO!T:T)</f>
        <v>0</v>
      </c>
      <c r="J308" s="114">
        <f t="shared" ca="1" si="110"/>
        <v>0</v>
      </c>
      <c r="K308" s="113">
        <f ca="1">SUMIF(MICRO!AP:AP,O:O,MICRO!X:X)</f>
        <v>0</v>
      </c>
      <c r="L308" s="114" t="str">
        <f t="shared" ca="1" si="111"/>
        <v>0%</v>
      </c>
      <c r="M308" s="113">
        <f t="shared" ca="1" si="112"/>
        <v>0</v>
      </c>
      <c r="N308" s="56" t="e">
        <f t="shared" ca="1" si="113"/>
        <v>#N/A</v>
      </c>
      <c r="O308" s="56" t="e">
        <f t="shared" ca="1" si="114"/>
        <v>#N/A</v>
      </c>
      <c r="P308" s="2">
        <f ca="1">SUMIF(MICRO!AP:AP,O308,MICRO!AS:AS)</f>
        <v>0</v>
      </c>
      <c r="Q308">
        <f ca="1">SUMIF(MICRO!AP:AP,O308,MICRO!AT:AT)</f>
        <v>0</v>
      </c>
      <c r="R308">
        <f ca="1">SUMIF(MICRO!AP:AP,O:O,MICRO!AU:AU)</f>
        <v>0</v>
      </c>
    </row>
    <row r="309" spans="4:18" ht="18.75" thickBot="1" x14ac:dyDescent="0.3">
      <c r="D309" s="110" t="s">
        <v>1862</v>
      </c>
      <c r="E309" s="111" t="e">
        <f ca="1">VLOOKUP(Tabela2[[#This Row],[TAG]],MICRO!J:L,3,0)</f>
        <v>#N/A</v>
      </c>
      <c r="F309" s="109" t="s">
        <v>23</v>
      </c>
      <c r="G309" s="112">
        <f ca="1">SUMIF(MICRO!AP:AP,O:O,MICRO!H:H)</f>
        <v>0</v>
      </c>
      <c r="H309" s="113">
        <f ca="1">SUMIF(MICRO!AP:AP,O:O,MICRO!R:R)</f>
        <v>0</v>
      </c>
      <c r="I309" s="113">
        <f ca="1">SUMIF(MICRO!AP:AP,O:O,MICRO!T:T)</f>
        <v>0</v>
      </c>
      <c r="J309" s="114">
        <f t="shared" ca="1" si="110"/>
        <v>0</v>
      </c>
      <c r="K309" s="113">
        <f ca="1">SUMIF(MICRO!AP:AP,O:O,MICRO!X:X)</f>
        <v>0</v>
      </c>
      <c r="L309" s="114" t="str">
        <f t="shared" ca="1" si="111"/>
        <v>0%</v>
      </c>
      <c r="M309" s="113">
        <f t="shared" ca="1" si="112"/>
        <v>0</v>
      </c>
      <c r="N309" s="56" t="e">
        <f t="shared" ca="1" si="113"/>
        <v>#N/A</v>
      </c>
      <c r="O309" s="56" t="e">
        <f t="shared" ca="1" si="114"/>
        <v>#N/A</v>
      </c>
      <c r="P309" s="2">
        <f ca="1">SUMIF(MICRO!AP:AP,O309,MICRO!AS:AS)</f>
        <v>0</v>
      </c>
      <c r="Q309">
        <f ca="1">SUMIF(MICRO!AP:AP,O309,MICRO!AT:AT)</f>
        <v>0</v>
      </c>
      <c r="R309">
        <f ca="1">SUMIF(MICRO!AP:AP,O:O,MICRO!AU:AU)</f>
        <v>0</v>
      </c>
    </row>
    <row r="310" spans="4:18" ht="18.75" thickBot="1" x14ac:dyDescent="0.3">
      <c r="D310" s="110" t="s">
        <v>1863</v>
      </c>
      <c r="E310" s="111" t="e">
        <f ca="1">VLOOKUP(Tabela2[[#This Row],[TAG]],MICRO!J:L,3,0)</f>
        <v>#N/A</v>
      </c>
      <c r="F310" s="109" t="s">
        <v>23</v>
      </c>
      <c r="G310" s="112">
        <f ca="1">SUMIF(MICRO!AP:AP,O:O,MICRO!H:H)</f>
        <v>0</v>
      </c>
      <c r="H310" s="113">
        <f ca="1">SUMIF(MICRO!AP:AP,O:O,MICRO!R:R)</f>
        <v>0</v>
      </c>
      <c r="I310" s="113">
        <f ca="1">SUMIF(MICRO!AP:AP,O:O,MICRO!T:T)</f>
        <v>0</v>
      </c>
      <c r="J310" s="114">
        <f t="shared" ca="1" si="110"/>
        <v>0</v>
      </c>
      <c r="K310" s="113">
        <f ca="1">SUMIF(MICRO!AP:AP,O:O,MICRO!X:X)</f>
        <v>0</v>
      </c>
      <c r="L310" s="114" t="str">
        <f t="shared" ca="1" si="111"/>
        <v>0%</v>
      </c>
      <c r="M310" s="113">
        <f t="shared" ca="1" si="112"/>
        <v>0</v>
      </c>
      <c r="N310" s="56" t="e">
        <f t="shared" ca="1" si="113"/>
        <v>#N/A</v>
      </c>
      <c r="O310" s="56" t="e">
        <f t="shared" ca="1" si="114"/>
        <v>#N/A</v>
      </c>
      <c r="P310" s="2">
        <f ca="1">SUMIF(MICRO!AP:AP,O310,MICRO!AS:AS)</f>
        <v>0</v>
      </c>
      <c r="Q310">
        <f ca="1">SUMIF(MICRO!AP:AP,O310,MICRO!AT:AT)</f>
        <v>0</v>
      </c>
      <c r="R310">
        <f ca="1">SUMIF(MICRO!AP:AP,O:O,MICRO!AU:AU)</f>
        <v>0</v>
      </c>
    </row>
    <row r="311" spans="4:18" ht="18.75" thickBot="1" x14ac:dyDescent="0.3">
      <c r="D311" s="110" t="s">
        <v>1864</v>
      </c>
      <c r="E311" s="111" t="e">
        <f ca="1">VLOOKUP(Tabela2[[#This Row],[TAG]],MICRO!J:L,3,0)</f>
        <v>#N/A</v>
      </c>
      <c r="F311" s="109" t="s">
        <v>33</v>
      </c>
      <c r="G311" s="112">
        <f ca="1">SUMIF(MICRO!AP:AP,O:O,MICRO!H:H)</f>
        <v>0</v>
      </c>
      <c r="H311" s="113">
        <f ca="1">SUMIF(MICRO!AP:AP,O:O,MICRO!R:R)</f>
        <v>0</v>
      </c>
      <c r="I311" s="113">
        <f ca="1">SUMIF(MICRO!AP:AP,O:O,MICRO!T:T)</f>
        <v>0</v>
      </c>
      <c r="J311" s="114">
        <f t="shared" ca="1" si="110"/>
        <v>0</v>
      </c>
      <c r="K311" s="113">
        <f ca="1">SUMIF(MICRO!AP:AP,O:O,MICRO!X:X)</f>
        <v>0</v>
      </c>
      <c r="L311" s="114" t="str">
        <f t="shared" ca="1" si="111"/>
        <v>0%</v>
      </c>
      <c r="M311" s="113">
        <f t="shared" ca="1" si="112"/>
        <v>0</v>
      </c>
      <c r="N311" s="56" t="e">
        <f t="shared" ca="1" si="113"/>
        <v>#N/A</v>
      </c>
      <c r="O311" s="56" t="e">
        <f t="shared" ca="1" si="114"/>
        <v>#N/A</v>
      </c>
      <c r="P311" s="2">
        <f ca="1">SUMIF(MICRO!AP:AP,O311,MICRO!AS:AS)</f>
        <v>0</v>
      </c>
      <c r="Q311">
        <f ca="1">SUMIF(MICRO!AP:AP,O311,MICRO!AT:AT)</f>
        <v>0</v>
      </c>
      <c r="R311">
        <f ca="1">SUMIF(MICRO!AP:AP,O:O,MICRO!AU:AU)</f>
        <v>0</v>
      </c>
    </row>
    <row r="312" spans="4:18" ht="18.75" thickBot="1" x14ac:dyDescent="0.3">
      <c r="D312" s="110" t="s">
        <v>1867</v>
      </c>
      <c r="E312" s="111" t="e">
        <f ca="1">VLOOKUP(Tabela2[[#This Row],[TAG]],MICRO!J:L,3,0)</f>
        <v>#N/A</v>
      </c>
      <c r="F312" s="109" t="s">
        <v>23</v>
      </c>
      <c r="G312" s="112">
        <f ca="1">SUMIF(MICRO!AP:AP,O:O,MICRO!H:H)</f>
        <v>0</v>
      </c>
      <c r="H312" s="113">
        <f ca="1">SUMIF(MICRO!AP:AP,O:O,MICRO!R:R)</f>
        <v>0</v>
      </c>
      <c r="I312" s="113">
        <f ca="1">SUMIF(MICRO!AP:AP,O:O,MICRO!T:T)</f>
        <v>0</v>
      </c>
      <c r="J312" s="114">
        <f t="shared" ca="1" si="110"/>
        <v>0</v>
      </c>
      <c r="K312" s="113">
        <f ca="1">SUMIF(MICRO!AP:AP,O:O,MICRO!X:X)</f>
        <v>0</v>
      </c>
      <c r="L312" s="114" t="str">
        <f t="shared" ca="1" si="111"/>
        <v>0%</v>
      </c>
      <c r="M312" s="113">
        <f t="shared" ca="1" si="112"/>
        <v>0</v>
      </c>
      <c r="N312" s="56" t="e">
        <f t="shared" ca="1" si="113"/>
        <v>#N/A</v>
      </c>
      <c r="O312" s="56" t="e">
        <f t="shared" ca="1" si="114"/>
        <v>#N/A</v>
      </c>
      <c r="P312" s="2">
        <f ca="1">SUMIF(MICRO!AP:AP,O312,MICRO!AS:AS)</f>
        <v>0</v>
      </c>
      <c r="Q312">
        <f ca="1">SUMIF(MICRO!AP:AP,O312,MICRO!AT:AT)</f>
        <v>0</v>
      </c>
      <c r="R312">
        <f ca="1">SUMIF(MICRO!AP:AP,O:O,MICRO!AU:AU)</f>
        <v>0</v>
      </c>
    </row>
    <row r="313" spans="4:18" ht="18.75" thickBot="1" x14ac:dyDescent="0.3">
      <c r="D313" s="110" t="s">
        <v>1866</v>
      </c>
      <c r="E313" s="111" t="e">
        <f ca="1">VLOOKUP(Tabela2[[#This Row],[TAG]],MICRO!J:L,3,0)</f>
        <v>#N/A</v>
      </c>
      <c r="F313" s="109" t="s">
        <v>23</v>
      </c>
      <c r="G313" s="112">
        <f ca="1">SUMIF(MICRO!AP:AP,O:O,MICRO!H:H)</f>
        <v>0</v>
      </c>
      <c r="H313" s="113">
        <f ca="1">SUMIF(MICRO!AP:AP,O:O,MICRO!R:R)</f>
        <v>0</v>
      </c>
      <c r="I313" s="113">
        <f ca="1">SUMIF(MICRO!AP:AP,O:O,MICRO!T:T)</f>
        <v>0</v>
      </c>
      <c r="J313" s="114">
        <f t="shared" ref="J313:J320" ca="1" si="115">IF(G313 = 0,0,H313/G313)</f>
        <v>0</v>
      </c>
      <c r="K313" s="113">
        <f ca="1">SUMIF(MICRO!AP:AP,O:O,MICRO!X:X)</f>
        <v>0</v>
      </c>
      <c r="L313" s="114" t="str">
        <f t="shared" ref="L313:L320" ca="1" si="116">IF(G313&lt;&gt;0,SUM(K313/G313*1),"0%")</f>
        <v>0%</v>
      </c>
      <c r="M313" s="113">
        <f t="shared" ref="M313:M320" ca="1" si="117">G313-K313</f>
        <v>0</v>
      </c>
      <c r="N313" s="56" t="e">
        <f t="shared" ref="N313:N320" ca="1" si="118">E313&amp;F313</f>
        <v>#N/A</v>
      </c>
      <c r="O313" s="56" t="e">
        <f t="shared" ref="O313:O320" ca="1" si="119">D313&amp;E313&amp;F313</f>
        <v>#N/A</v>
      </c>
      <c r="P313" s="2">
        <f ca="1">SUMIF(MICRO!AP:AP,O313,MICRO!AS:AS)</f>
        <v>0</v>
      </c>
      <c r="Q313">
        <f ca="1">SUMIF(MICRO!AP:AP,O313,MICRO!AT:AT)</f>
        <v>0</v>
      </c>
      <c r="R313">
        <f ca="1">SUMIF(MICRO!AP:AP,O:O,MICRO!AU:AU)</f>
        <v>0</v>
      </c>
    </row>
    <row r="314" spans="4:18" ht="18.75" thickBot="1" x14ac:dyDescent="0.3">
      <c r="D314" s="110" t="s">
        <v>1857</v>
      </c>
      <c r="E314" s="111" t="e">
        <f ca="1">VLOOKUP(Tabela2[[#This Row],[TAG]],MICRO!J:L,3,0)</f>
        <v>#N/A</v>
      </c>
      <c r="F314" s="109" t="s">
        <v>45</v>
      </c>
      <c r="G314" s="112">
        <f ca="1">SUMIF(MICRO!AP:AP,O:O,MICRO!H:H)</f>
        <v>0</v>
      </c>
      <c r="H314" s="113">
        <f ca="1">SUMIF(MICRO!AP:AP,O:O,MICRO!R:R)</f>
        <v>0</v>
      </c>
      <c r="I314" s="113">
        <f ca="1">SUMIF(MICRO!AP:AP,O:O,MICRO!T:T)</f>
        <v>0</v>
      </c>
      <c r="J314" s="114">
        <f t="shared" ca="1" si="115"/>
        <v>0</v>
      </c>
      <c r="K314" s="113">
        <f ca="1">SUMIF(MICRO!AP:AP,O:O,MICRO!X:X)</f>
        <v>0</v>
      </c>
      <c r="L314" s="114" t="str">
        <f t="shared" ca="1" si="116"/>
        <v>0%</v>
      </c>
      <c r="M314" s="113">
        <f t="shared" ca="1" si="117"/>
        <v>0</v>
      </c>
      <c r="N314" s="56" t="e">
        <f t="shared" ca="1" si="118"/>
        <v>#N/A</v>
      </c>
      <c r="O314" s="56" t="e">
        <f t="shared" ca="1" si="119"/>
        <v>#N/A</v>
      </c>
      <c r="P314" s="2">
        <f ca="1">SUMIF(MICRO!AP:AP,O314,MICRO!AS:AS)</f>
        <v>0</v>
      </c>
      <c r="Q314">
        <f ca="1">SUMIF(MICRO!AP:AP,O314,MICRO!AT:AT)</f>
        <v>0</v>
      </c>
      <c r="R314">
        <f ca="1">SUMIF(MICRO!AP:AP,O:O,MICRO!AU:AU)</f>
        <v>0</v>
      </c>
    </row>
    <row r="315" spans="4:18" ht="18.75" thickBot="1" x14ac:dyDescent="0.3">
      <c r="D315" s="110" t="s">
        <v>1300</v>
      </c>
      <c r="E315" s="111" t="e">
        <f ca="1">VLOOKUP(Tabela2[[#This Row],[TAG]],MICRO!J:L,3,0)</f>
        <v>#N/A</v>
      </c>
      <c r="F315" s="109" t="s">
        <v>32</v>
      </c>
      <c r="G315" s="112">
        <f ca="1">SUMIF(MICRO!AP:AP,O:O,MICRO!H:H)</f>
        <v>0</v>
      </c>
      <c r="H315" s="113">
        <f ca="1">SUMIF(MICRO!AP:AP,O:O,MICRO!R:R)</f>
        <v>0</v>
      </c>
      <c r="I315" s="113">
        <f ca="1">SUMIF(MICRO!AP:AP,O:O,MICRO!T:T)</f>
        <v>0</v>
      </c>
      <c r="J315" s="114">
        <f t="shared" ca="1" si="115"/>
        <v>0</v>
      </c>
      <c r="K315" s="113">
        <f ca="1">SUMIF(MICRO!AP:AP,O:O,MICRO!X:X)</f>
        <v>0</v>
      </c>
      <c r="L315" s="114" t="str">
        <f t="shared" ca="1" si="116"/>
        <v>0%</v>
      </c>
      <c r="M315" s="113">
        <f t="shared" ca="1" si="117"/>
        <v>0</v>
      </c>
      <c r="N315" s="56" t="e">
        <f t="shared" ca="1" si="118"/>
        <v>#N/A</v>
      </c>
      <c r="O315" s="56" t="e">
        <f t="shared" ca="1" si="119"/>
        <v>#N/A</v>
      </c>
      <c r="P315" s="2">
        <f ca="1">SUMIF(MICRO!AP:AP,O315,MICRO!AS:AS)</f>
        <v>0</v>
      </c>
      <c r="Q315">
        <f ca="1">SUMIF(MICRO!AP:AP,O315,MICRO!AT:AT)</f>
        <v>0</v>
      </c>
      <c r="R315">
        <f ca="1">SUMIF(MICRO!AP:AP,O:O,MICRO!AU:AU)</f>
        <v>0</v>
      </c>
    </row>
    <row r="316" spans="4:18" ht="18.75" thickBot="1" x14ac:dyDescent="0.3">
      <c r="D316" s="110" t="s">
        <v>1295</v>
      </c>
      <c r="E316" s="111" t="e">
        <f ca="1">VLOOKUP(Tabela2[[#This Row],[TAG]],MICRO!J:L,3,0)</f>
        <v>#N/A</v>
      </c>
      <c r="F316" s="109" t="s">
        <v>32</v>
      </c>
      <c r="G316" s="112">
        <f ca="1">SUMIF(MICRO!AP:AP,O:O,MICRO!H:H)</f>
        <v>0</v>
      </c>
      <c r="H316" s="113">
        <f ca="1">SUMIF(MICRO!AP:AP,O:O,MICRO!R:R)</f>
        <v>0</v>
      </c>
      <c r="I316" s="113">
        <f ca="1">SUMIF(MICRO!AP:AP,O:O,MICRO!T:T)</f>
        <v>0</v>
      </c>
      <c r="J316" s="114">
        <f t="shared" ca="1" si="115"/>
        <v>0</v>
      </c>
      <c r="K316" s="113">
        <f ca="1">SUMIF(MICRO!AP:AP,O:O,MICRO!X:X)</f>
        <v>0</v>
      </c>
      <c r="L316" s="114" t="str">
        <f t="shared" ca="1" si="116"/>
        <v>0%</v>
      </c>
      <c r="M316" s="113">
        <f t="shared" ca="1" si="117"/>
        <v>0</v>
      </c>
      <c r="N316" s="56" t="e">
        <f t="shared" ca="1" si="118"/>
        <v>#N/A</v>
      </c>
      <c r="O316" s="56" t="e">
        <f t="shared" ca="1" si="119"/>
        <v>#N/A</v>
      </c>
      <c r="P316" s="2">
        <f ca="1">SUMIF(MICRO!AP:AP,O316,MICRO!AS:AS)</f>
        <v>0</v>
      </c>
      <c r="Q316">
        <f ca="1">SUMIF(MICRO!AP:AP,O316,MICRO!AT:AT)</f>
        <v>0</v>
      </c>
      <c r="R316">
        <f ca="1">SUMIF(MICRO!AP:AP,O:O,MICRO!AU:AU)</f>
        <v>0</v>
      </c>
    </row>
    <row r="317" spans="4:18" ht="18.75" thickBot="1" x14ac:dyDescent="0.3">
      <c r="D317" s="110" t="s">
        <v>1301</v>
      </c>
      <c r="E317" s="111" t="e">
        <f ca="1">VLOOKUP(Tabela2[[#This Row],[TAG]],MICRO!J:L,3,0)</f>
        <v>#N/A</v>
      </c>
      <c r="F317" s="109" t="s">
        <v>32</v>
      </c>
      <c r="G317" s="112">
        <f ca="1">SUMIF(MICRO!AP:AP,O:O,MICRO!H:H)</f>
        <v>0</v>
      </c>
      <c r="H317" s="113">
        <f ca="1">SUMIF(MICRO!AP:AP,O:O,MICRO!R:R)</f>
        <v>0</v>
      </c>
      <c r="I317" s="113">
        <f ca="1">SUMIF(MICRO!AP:AP,O:O,MICRO!T:T)</f>
        <v>0</v>
      </c>
      <c r="J317" s="114">
        <f t="shared" ca="1" si="115"/>
        <v>0</v>
      </c>
      <c r="K317" s="113">
        <f ca="1">SUMIF(MICRO!AP:AP,O:O,MICRO!X:X)</f>
        <v>0</v>
      </c>
      <c r="L317" s="114" t="str">
        <f t="shared" ca="1" si="116"/>
        <v>0%</v>
      </c>
      <c r="M317" s="113">
        <f t="shared" ca="1" si="117"/>
        <v>0</v>
      </c>
      <c r="N317" s="56" t="e">
        <f t="shared" ca="1" si="118"/>
        <v>#N/A</v>
      </c>
      <c r="O317" s="56" t="e">
        <f t="shared" ca="1" si="119"/>
        <v>#N/A</v>
      </c>
      <c r="P317" s="2">
        <f ca="1">SUMIF(MICRO!AP:AP,O317,MICRO!AS:AS)</f>
        <v>0</v>
      </c>
      <c r="Q317">
        <f ca="1">SUMIF(MICRO!AP:AP,O317,MICRO!AT:AT)</f>
        <v>0</v>
      </c>
      <c r="R317">
        <f ca="1">SUMIF(MICRO!AP:AP,O:O,MICRO!AU:AU)</f>
        <v>0</v>
      </c>
    </row>
    <row r="318" spans="4:18" ht="18.75" thickBot="1" x14ac:dyDescent="0.3">
      <c r="D318" s="110" t="s">
        <v>1290</v>
      </c>
      <c r="E318" s="111" t="e">
        <f ca="1">VLOOKUP(Tabela2[[#This Row],[TAG]],MICRO!J:L,3,0)</f>
        <v>#N/A</v>
      </c>
      <c r="F318" s="109" t="s">
        <v>32</v>
      </c>
      <c r="G318" s="112">
        <f ca="1">SUMIF(MICRO!AP:AP,O:O,MICRO!H:H)</f>
        <v>0</v>
      </c>
      <c r="H318" s="113">
        <f ca="1">SUMIF(MICRO!AP:AP,O:O,MICRO!R:R)</f>
        <v>0</v>
      </c>
      <c r="I318" s="113">
        <f ca="1">SUMIF(MICRO!AP:AP,O:O,MICRO!T:T)</f>
        <v>0</v>
      </c>
      <c r="J318" s="114">
        <f t="shared" ca="1" si="115"/>
        <v>0</v>
      </c>
      <c r="K318" s="113">
        <f ca="1">SUMIF(MICRO!AP:AP,O:O,MICRO!X:X)</f>
        <v>0</v>
      </c>
      <c r="L318" s="114" t="str">
        <f t="shared" ca="1" si="116"/>
        <v>0%</v>
      </c>
      <c r="M318" s="113">
        <f t="shared" ca="1" si="117"/>
        <v>0</v>
      </c>
      <c r="N318" s="56" t="e">
        <f t="shared" ca="1" si="118"/>
        <v>#N/A</v>
      </c>
      <c r="O318" s="56" t="e">
        <f t="shared" ca="1" si="119"/>
        <v>#N/A</v>
      </c>
      <c r="P318" s="2">
        <f ca="1">SUMIF(MICRO!AP:AP,O318,MICRO!AS:AS)</f>
        <v>0</v>
      </c>
      <c r="Q318">
        <f ca="1">SUMIF(MICRO!AP:AP,O318,MICRO!AT:AT)</f>
        <v>0</v>
      </c>
      <c r="R318">
        <f ca="1">SUMIF(MICRO!AP:AP,O:O,MICRO!AU:AU)</f>
        <v>0</v>
      </c>
    </row>
    <row r="319" spans="4:18" ht="18.75" thickBot="1" x14ac:dyDescent="0.3">
      <c r="D319" s="110" t="s">
        <v>1300</v>
      </c>
      <c r="E319" s="111" t="e">
        <f ca="1">VLOOKUP(Tabela2[[#This Row],[TAG]],MICRO!J:L,3,0)</f>
        <v>#N/A</v>
      </c>
      <c r="F319" s="109" t="s">
        <v>31</v>
      </c>
      <c r="G319" s="112">
        <f ca="1">SUMIF(MICRO!AP:AP,O:O,MICRO!H:H)</f>
        <v>0</v>
      </c>
      <c r="H319" s="113">
        <f ca="1">SUMIF(MICRO!AP:AP,O:O,MICRO!R:R)</f>
        <v>0</v>
      </c>
      <c r="I319" s="113">
        <f ca="1">SUMIF(MICRO!AP:AP,O:O,MICRO!T:T)</f>
        <v>0</v>
      </c>
      <c r="J319" s="114">
        <f t="shared" ca="1" si="115"/>
        <v>0</v>
      </c>
      <c r="K319" s="113">
        <f ca="1">SUMIF(MICRO!AP:AP,O:O,MICRO!X:X)</f>
        <v>0</v>
      </c>
      <c r="L319" s="114" t="str">
        <f t="shared" ca="1" si="116"/>
        <v>0%</v>
      </c>
      <c r="M319" s="113">
        <f t="shared" ca="1" si="117"/>
        <v>0</v>
      </c>
      <c r="N319" s="56" t="e">
        <f t="shared" ca="1" si="118"/>
        <v>#N/A</v>
      </c>
      <c r="O319" s="56" t="e">
        <f t="shared" ca="1" si="119"/>
        <v>#N/A</v>
      </c>
      <c r="P319" s="2">
        <f ca="1">SUMIF(MICRO!AP:AP,O319,MICRO!AS:AS)</f>
        <v>0</v>
      </c>
      <c r="Q319">
        <f ca="1">SUMIF(MICRO!AP:AP,O319,MICRO!AT:AT)</f>
        <v>0</v>
      </c>
      <c r="R319">
        <f ca="1">SUMIF(MICRO!AP:AP,O:O,MICRO!AU:AU)</f>
        <v>0</v>
      </c>
    </row>
    <row r="320" spans="4:18" ht="18.75" thickBot="1" x14ac:dyDescent="0.3">
      <c r="D320" s="110" t="s">
        <v>1295</v>
      </c>
      <c r="E320" s="111" t="e">
        <f ca="1">VLOOKUP(Tabela2[[#This Row],[TAG]],MICRO!J:L,3,0)</f>
        <v>#N/A</v>
      </c>
      <c r="F320" s="109" t="s">
        <v>31</v>
      </c>
      <c r="G320" s="112">
        <f ca="1">SUMIF(MICRO!AP:AP,O:O,MICRO!H:H)</f>
        <v>0</v>
      </c>
      <c r="H320" s="113">
        <f ca="1">SUMIF(MICRO!AP:AP,O:O,MICRO!R:R)</f>
        <v>0</v>
      </c>
      <c r="I320" s="113">
        <f ca="1">SUMIF(MICRO!AP:AP,O:O,MICRO!T:T)</f>
        <v>0</v>
      </c>
      <c r="J320" s="114">
        <f t="shared" ca="1" si="115"/>
        <v>0</v>
      </c>
      <c r="K320" s="113">
        <f ca="1">SUMIF(MICRO!AP:AP,O:O,MICRO!X:X)</f>
        <v>0</v>
      </c>
      <c r="L320" s="114" t="str">
        <f t="shared" ca="1" si="116"/>
        <v>0%</v>
      </c>
      <c r="M320" s="113">
        <f t="shared" ca="1" si="117"/>
        <v>0</v>
      </c>
      <c r="N320" s="56" t="e">
        <f t="shared" ca="1" si="118"/>
        <v>#N/A</v>
      </c>
      <c r="O320" s="56" t="e">
        <f t="shared" ca="1" si="119"/>
        <v>#N/A</v>
      </c>
      <c r="P320" s="2">
        <f ca="1">SUMIF(MICRO!AP:AP,O320,MICRO!AS:AS)</f>
        <v>0</v>
      </c>
      <c r="Q320">
        <f ca="1">SUMIF(MICRO!AP:AP,O320,MICRO!AT:AT)</f>
        <v>0</v>
      </c>
      <c r="R320">
        <f ca="1">SUMIF(MICRO!AP:AP,O:O,MICRO!AU:AU)</f>
        <v>0</v>
      </c>
    </row>
    <row r="321" spans="4:18" ht="18.75" thickBot="1" x14ac:dyDescent="0.3">
      <c r="D321" s="110" t="s">
        <v>1301</v>
      </c>
      <c r="E321" s="111" t="e">
        <f ca="1">VLOOKUP(Tabela2[[#This Row],[TAG]],MICRO!J:L,3,0)</f>
        <v>#N/A</v>
      </c>
      <c r="F321" s="109" t="s">
        <v>31</v>
      </c>
      <c r="G321" s="112">
        <f ca="1">SUMIF(MICRO!AP:AP,O:O,MICRO!H:H)</f>
        <v>0</v>
      </c>
      <c r="H321" s="113">
        <f ca="1">SUMIF(MICRO!AP:AP,O:O,MICRO!R:R)</f>
        <v>0</v>
      </c>
      <c r="I321" s="113">
        <f ca="1">SUMIF(MICRO!AP:AP,O:O,MICRO!T:T)</f>
        <v>0</v>
      </c>
      <c r="J321" s="114">
        <f t="shared" ref="J321:J333" ca="1" si="120">IF(G321 = 0,0,H321/G321)</f>
        <v>0</v>
      </c>
      <c r="K321" s="113">
        <f ca="1">SUMIF(MICRO!AP:AP,O:O,MICRO!X:X)</f>
        <v>0</v>
      </c>
      <c r="L321" s="114" t="str">
        <f t="shared" ref="L321:L333" ca="1" si="121">IF(G321&lt;&gt;0,SUM(K321/G321*1),"0%")</f>
        <v>0%</v>
      </c>
      <c r="M321" s="113">
        <f t="shared" ref="M321:M333" ca="1" si="122">G321-K321</f>
        <v>0</v>
      </c>
      <c r="N321" s="56" t="e">
        <f t="shared" ref="N321:N333" ca="1" si="123">E321&amp;F321</f>
        <v>#N/A</v>
      </c>
      <c r="O321" s="56" t="e">
        <f t="shared" ref="O321:O333" ca="1" si="124">D321&amp;E321&amp;F321</f>
        <v>#N/A</v>
      </c>
      <c r="P321" s="2">
        <f ca="1">SUMIF(MICRO!AP:AP,O321,MICRO!AS:AS)</f>
        <v>0</v>
      </c>
      <c r="Q321">
        <f ca="1">SUMIF(MICRO!AP:AP,O321,MICRO!AT:AT)</f>
        <v>0</v>
      </c>
      <c r="R321">
        <f ca="1">SUMIF(MICRO!AP:AP,O:O,MICRO!AU:AU)</f>
        <v>0</v>
      </c>
    </row>
    <row r="322" spans="4:18" ht="18.75" thickBot="1" x14ac:dyDescent="0.3">
      <c r="D322" s="110" t="s">
        <v>1290</v>
      </c>
      <c r="E322" s="111" t="e">
        <f ca="1">VLOOKUP(Tabela2[[#This Row],[TAG]],MICRO!J:L,3,0)</f>
        <v>#N/A</v>
      </c>
      <c r="F322" s="109" t="s">
        <v>31</v>
      </c>
      <c r="G322" s="112">
        <f ca="1">SUMIF(MICRO!AP:AP,O:O,MICRO!H:H)</f>
        <v>0</v>
      </c>
      <c r="H322" s="113">
        <f ca="1">SUMIF(MICRO!AP:AP,O:O,MICRO!R:R)</f>
        <v>0</v>
      </c>
      <c r="I322" s="113">
        <f ca="1">SUMIF(MICRO!AP:AP,O:O,MICRO!T:T)</f>
        <v>0</v>
      </c>
      <c r="J322" s="114">
        <f t="shared" ca="1" si="120"/>
        <v>0</v>
      </c>
      <c r="K322" s="113">
        <f ca="1">SUMIF(MICRO!AP:AP,O:O,MICRO!X:X)</f>
        <v>0</v>
      </c>
      <c r="L322" s="114" t="str">
        <f t="shared" ca="1" si="121"/>
        <v>0%</v>
      </c>
      <c r="M322" s="113">
        <f t="shared" ca="1" si="122"/>
        <v>0</v>
      </c>
      <c r="N322" s="56" t="e">
        <f t="shared" ca="1" si="123"/>
        <v>#N/A</v>
      </c>
      <c r="O322" s="56" t="e">
        <f t="shared" ca="1" si="124"/>
        <v>#N/A</v>
      </c>
      <c r="P322" s="2">
        <f ca="1">SUMIF(MICRO!AP:AP,O322,MICRO!AS:AS)</f>
        <v>0</v>
      </c>
      <c r="Q322">
        <f ca="1">SUMIF(MICRO!AP:AP,O322,MICRO!AT:AT)</f>
        <v>0</v>
      </c>
      <c r="R322">
        <f ca="1">SUMIF(MICRO!AP:AP,O:O,MICRO!AU:AU)</f>
        <v>0</v>
      </c>
    </row>
    <row r="323" spans="4:18" ht="18.75" thickBot="1" x14ac:dyDescent="0.3">
      <c r="D323" s="110" t="s">
        <v>1865</v>
      </c>
      <c r="E323" s="111" t="e">
        <f ca="1">VLOOKUP(Tabela2[[#This Row],[TAG]],MICRO!J:L,3,0)</f>
        <v>#N/A</v>
      </c>
      <c r="F323" s="109" t="s">
        <v>31</v>
      </c>
      <c r="G323" s="112">
        <f ca="1">SUMIF(MICRO!AP:AP,O:O,MICRO!H:H)</f>
        <v>0</v>
      </c>
      <c r="H323" s="113">
        <f ca="1">SUMIF(MICRO!AP:AP,O:O,MICRO!R:R)</f>
        <v>0</v>
      </c>
      <c r="I323" s="113">
        <f ca="1">SUMIF(MICRO!AP:AP,O:O,MICRO!T:T)</f>
        <v>0</v>
      </c>
      <c r="J323" s="114">
        <f t="shared" ca="1" si="120"/>
        <v>0</v>
      </c>
      <c r="K323" s="113">
        <f ca="1">SUMIF(MICRO!AP:AP,O:O,MICRO!X:X)</f>
        <v>0</v>
      </c>
      <c r="L323" s="114" t="str">
        <f t="shared" ca="1" si="121"/>
        <v>0%</v>
      </c>
      <c r="M323" s="113">
        <f t="shared" ca="1" si="122"/>
        <v>0</v>
      </c>
      <c r="N323" s="56" t="e">
        <f t="shared" ca="1" si="123"/>
        <v>#N/A</v>
      </c>
      <c r="O323" s="56" t="e">
        <f t="shared" ca="1" si="124"/>
        <v>#N/A</v>
      </c>
      <c r="P323" s="2">
        <f ca="1">SUMIF(MICRO!AP:AP,O323,MICRO!AS:AS)</f>
        <v>0</v>
      </c>
      <c r="Q323">
        <f ca="1">SUMIF(MICRO!AP:AP,O323,MICRO!AT:AT)</f>
        <v>0</v>
      </c>
      <c r="R323">
        <f ca="1">SUMIF(MICRO!AP:AP,O:O,MICRO!AU:AU)</f>
        <v>0</v>
      </c>
    </row>
    <row r="324" spans="4:18" ht="18.75" thickBot="1" x14ac:dyDescent="0.3">
      <c r="D324" s="110" t="s">
        <v>1377</v>
      </c>
      <c r="E324" s="111" t="e">
        <f ca="1">VLOOKUP(Tabela2[[#This Row],[TAG]],MICRO!J:L,3,0)</f>
        <v>#N/A</v>
      </c>
      <c r="F324" s="109" t="s">
        <v>23</v>
      </c>
      <c r="G324" s="112">
        <f ca="1">SUMIF(MICRO!AP:AP,O:O,MICRO!H:H)</f>
        <v>0</v>
      </c>
      <c r="H324" s="113">
        <f ca="1">SUMIF(MICRO!AP:AP,O:O,MICRO!R:R)</f>
        <v>0</v>
      </c>
      <c r="I324" s="113">
        <f ca="1">SUMIF(MICRO!AP:AP,O:O,MICRO!T:T)</f>
        <v>0</v>
      </c>
      <c r="J324" s="114">
        <f t="shared" ca="1" si="120"/>
        <v>0</v>
      </c>
      <c r="K324" s="113">
        <f ca="1">SUMIF(MICRO!AP:AP,O:O,MICRO!X:X)</f>
        <v>0</v>
      </c>
      <c r="L324" s="114" t="str">
        <f t="shared" ca="1" si="121"/>
        <v>0%</v>
      </c>
      <c r="M324" s="113">
        <f t="shared" ca="1" si="122"/>
        <v>0</v>
      </c>
      <c r="N324" s="56" t="e">
        <f t="shared" ca="1" si="123"/>
        <v>#N/A</v>
      </c>
      <c r="O324" s="56" t="e">
        <f t="shared" ca="1" si="124"/>
        <v>#N/A</v>
      </c>
      <c r="P324" s="2">
        <f ca="1">SUMIF(MICRO!AP:AP,O324,MICRO!AS:AS)</f>
        <v>0</v>
      </c>
      <c r="Q324">
        <f ca="1">SUMIF(MICRO!AP:AP,O324,MICRO!AT:AT)</f>
        <v>0</v>
      </c>
      <c r="R324">
        <f ca="1">SUMIF(MICRO!AP:AP,O:O,MICRO!AU:AU)</f>
        <v>0</v>
      </c>
    </row>
    <row r="325" spans="4:18" ht="18.75" thickBot="1" x14ac:dyDescent="0.3">
      <c r="D325" s="110" t="s">
        <v>1876</v>
      </c>
      <c r="E325" s="111" t="e">
        <f ca="1">VLOOKUP(Tabela2[[#This Row],[TAG]],MICRO!J:L,3,0)</f>
        <v>#N/A</v>
      </c>
      <c r="F325" s="109" t="s">
        <v>23</v>
      </c>
      <c r="G325" s="112">
        <f ca="1">SUMIF(MICRO!AP:AP,O:O,MICRO!H:H)</f>
        <v>0</v>
      </c>
      <c r="H325" s="113">
        <f ca="1">SUMIF(MICRO!AP:AP,O:O,MICRO!R:R)</f>
        <v>0</v>
      </c>
      <c r="I325" s="113">
        <f ca="1">SUMIF(MICRO!AP:AP,O:O,MICRO!T:T)</f>
        <v>0</v>
      </c>
      <c r="J325" s="114">
        <f t="shared" ca="1" si="120"/>
        <v>0</v>
      </c>
      <c r="K325" s="113">
        <f ca="1">SUMIF(MICRO!AP:AP,O:O,MICRO!X:X)</f>
        <v>0</v>
      </c>
      <c r="L325" s="114" t="str">
        <f t="shared" ca="1" si="121"/>
        <v>0%</v>
      </c>
      <c r="M325" s="113">
        <f t="shared" ca="1" si="122"/>
        <v>0</v>
      </c>
      <c r="N325" s="56" t="e">
        <f t="shared" ca="1" si="123"/>
        <v>#N/A</v>
      </c>
      <c r="O325" s="56" t="e">
        <f t="shared" ca="1" si="124"/>
        <v>#N/A</v>
      </c>
      <c r="P325" s="2">
        <f ca="1">SUMIF(MICRO!AP:AP,O325,MICRO!AS:AS)</f>
        <v>0</v>
      </c>
      <c r="Q325">
        <f ca="1">SUMIF(MICRO!AP:AP,O325,MICRO!AT:AT)</f>
        <v>0</v>
      </c>
      <c r="R325">
        <f ca="1">SUMIF(MICRO!AP:AP,O:O,MICRO!AU:AU)</f>
        <v>0</v>
      </c>
    </row>
    <row r="326" spans="4:18" ht="18.75" thickBot="1" x14ac:dyDescent="0.3">
      <c r="D326" s="110" t="s">
        <v>1877</v>
      </c>
      <c r="E326" s="111" t="e">
        <f ca="1">VLOOKUP(Tabela2[[#This Row],[TAG]],MICRO!J:L,3,0)</f>
        <v>#N/A</v>
      </c>
      <c r="F326" s="109" t="s">
        <v>23</v>
      </c>
      <c r="G326" s="112">
        <f ca="1">SUMIF(MICRO!AP:AP,O:O,MICRO!H:H)</f>
        <v>0</v>
      </c>
      <c r="H326" s="113">
        <f ca="1">SUMIF(MICRO!AP:AP,O:O,MICRO!R:R)</f>
        <v>0</v>
      </c>
      <c r="I326" s="113">
        <f ca="1">SUMIF(MICRO!AP:AP,O:O,MICRO!T:T)</f>
        <v>0</v>
      </c>
      <c r="J326" s="114">
        <f t="shared" ca="1" si="120"/>
        <v>0</v>
      </c>
      <c r="K326" s="113">
        <f ca="1">SUMIF(MICRO!AP:AP,O:O,MICRO!X:X)</f>
        <v>0</v>
      </c>
      <c r="L326" s="114" t="str">
        <f t="shared" ca="1" si="121"/>
        <v>0%</v>
      </c>
      <c r="M326" s="113">
        <f t="shared" ca="1" si="122"/>
        <v>0</v>
      </c>
      <c r="N326" s="56" t="e">
        <f t="shared" ca="1" si="123"/>
        <v>#N/A</v>
      </c>
      <c r="O326" s="56" t="e">
        <f t="shared" ca="1" si="124"/>
        <v>#N/A</v>
      </c>
      <c r="P326" s="2">
        <f ca="1">SUMIF(MICRO!AP:AP,O326,MICRO!AS:AS)</f>
        <v>0</v>
      </c>
      <c r="Q326">
        <f ca="1">SUMIF(MICRO!AP:AP,O326,MICRO!AT:AT)</f>
        <v>0</v>
      </c>
      <c r="R326">
        <f ca="1">SUMIF(MICRO!AP:AP,O:O,MICRO!AU:AU)</f>
        <v>0</v>
      </c>
    </row>
    <row r="327" spans="4:18" ht="18.75" thickBot="1" x14ac:dyDescent="0.3">
      <c r="D327" s="110" t="s">
        <v>2059</v>
      </c>
      <c r="E327" s="111" t="e">
        <f ca="1">VLOOKUP(Tabela2[[#This Row],[TAG]],MICRO!J:L,3,0)</f>
        <v>#N/A</v>
      </c>
      <c r="F327" s="109"/>
      <c r="G327" s="112">
        <f ca="1">SUMIF(MICRO!AP:AP,O:O,MICRO!H:H)</f>
        <v>0</v>
      </c>
      <c r="H327" s="113">
        <f ca="1">SUMIF(MICRO!AP:AP,O:O,MICRO!R:R)</f>
        <v>0</v>
      </c>
      <c r="I327" s="113">
        <f ca="1">SUMIF(MICRO!AP:AP,O:O,MICRO!T:T)</f>
        <v>0</v>
      </c>
      <c r="J327" s="114">
        <f t="shared" ca="1" si="120"/>
        <v>0</v>
      </c>
      <c r="K327" s="113">
        <f ca="1">SUMIF(MICRO!AP:AP,O:O,MICRO!X:X)</f>
        <v>0</v>
      </c>
      <c r="L327" s="114" t="str">
        <f t="shared" ca="1" si="121"/>
        <v>0%</v>
      </c>
      <c r="M327" s="113">
        <f t="shared" ca="1" si="122"/>
        <v>0</v>
      </c>
      <c r="N327" s="56" t="e">
        <f t="shared" ca="1" si="123"/>
        <v>#N/A</v>
      </c>
      <c r="O327" s="56" t="e">
        <f t="shared" ca="1" si="124"/>
        <v>#N/A</v>
      </c>
      <c r="P327" s="2">
        <f ca="1">SUMIF(MICRO!AP:AP,O327,MICRO!AS:AS)</f>
        <v>0</v>
      </c>
      <c r="Q327">
        <f ca="1">SUMIF(MICRO!AP:AP,O327,MICRO!AT:AT)</f>
        <v>0</v>
      </c>
      <c r="R327">
        <f ca="1">SUMIF(MICRO!AP:AP,O:O,MICRO!AU:AU)</f>
        <v>0</v>
      </c>
    </row>
    <row r="328" spans="4:18" ht="18.75" thickBot="1" x14ac:dyDescent="0.3">
      <c r="D328" s="110" t="s">
        <v>1878</v>
      </c>
      <c r="E328" s="111" t="e">
        <f ca="1">VLOOKUP(Tabela2[[#This Row],[TAG]],MICRO!J:L,3,0)</f>
        <v>#N/A</v>
      </c>
      <c r="F328" s="109" t="s">
        <v>33</v>
      </c>
      <c r="G328" s="112">
        <f ca="1">SUMIF(MICRO!AP:AP,O:O,MICRO!H:H)</f>
        <v>0</v>
      </c>
      <c r="H328" s="113">
        <f ca="1">SUMIF(MICRO!AP:AP,O:O,MICRO!R:R)</f>
        <v>0</v>
      </c>
      <c r="I328" s="113">
        <f ca="1">SUMIF(MICRO!AP:AP,O:O,MICRO!T:T)</f>
        <v>0</v>
      </c>
      <c r="J328" s="114">
        <f t="shared" ca="1" si="120"/>
        <v>0</v>
      </c>
      <c r="K328" s="113">
        <f ca="1">SUMIF(MICRO!AP:AP,O:O,MICRO!X:X)</f>
        <v>0</v>
      </c>
      <c r="L328" s="114" t="str">
        <f t="shared" ca="1" si="121"/>
        <v>0%</v>
      </c>
      <c r="M328" s="113">
        <f t="shared" ca="1" si="122"/>
        <v>0</v>
      </c>
      <c r="N328" s="56" t="e">
        <f t="shared" ca="1" si="123"/>
        <v>#N/A</v>
      </c>
      <c r="O328" s="56" t="e">
        <f t="shared" ca="1" si="124"/>
        <v>#N/A</v>
      </c>
      <c r="P328" s="2">
        <f ca="1">SUMIF(MICRO!AP:AP,O328,MICRO!AS:AS)</f>
        <v>0</v>
      </c>
      <c r="Q328">
        <f ca="1">SUMIF(MICRO!AP:AP,O328,MICRO!AT:AT)</f>
        <v>0</v>
      </c>
      <c r="R328">
        <f ca="1">SUMIF(MICRO!AP:AP,O:O,MICRO!AU:AU)</f>
        <v>0</v>
      </c>
    </row>
    <row r="329" spans="4:18" ht="18.75" thickBot="1" x14ac:dyDescent="0.3">
      <c r="D329" s="110" t="s">
        <v>1879</v>
      </c>
      <c r="E329" s="111" t="e">
        <f ca="1">VLOOKUP(Tabela2[[#This Row],[TAG]],MICRO!J:L,3,0)</f>
        <v>#N/A</v>
      </c>
      <c r="F329" s="109" t="s">
        <v>22</v>
      </c>
      <c r="G329" s="112">
        <f ca="1">SUMIF(MICRO!AP:AP,O:O,MICRO!H:H)</f>
        <v>0</v>
      </c>
      <c r="H329" s="113">
        <f ca="1">SUMIF(MICRO!AP:AP,O:O,MICRO!R:R)</f>
        <v>0</v>
      </c>
      <c r="I329" s="113">
        <f ca="1">SUMIF(MICRO!AP:AP,O:O,MICRO!T:T)</f>
        <v>0</v>
      </c>
      <c r="J329" s="114">
        <f t="shared" ca="1" si="120"/>
        <v>0</v>
      </c>
      <c r="K329" s="113">
        <f ca="1">SUMIF(MICRO!AP:AP,O:O,MICRO!X:X)</f>
        <v>0</v>
      </c>
      <c r="L329" s="114" t="str">
        <f t="shared" ca="1" si="121"/>
        <v>0%</v>
      </c>
      <c r="M329" s="113">
        <f t="shared" ca="1" si="122"/>
        <v>0</v>
      </c>
      <c r="N329" s="56" t="e">
        <f t="shared" ca="1" si="123"/>
        <v>#N/A</v>
      </c>
      <c r="O329" s="56" t="e">
        <f t="shared" ca="1" si="124"/>
        <v>#N/A</v>
      </c>
      <c r="P329" s="2">
        <f ca="1">SUMIF(MICRO!AP:AP,O329,MICRO!AS:AS)</f>
        <v>0</v>
      </c>
      <c r="Q329">
        <f ca="1">SUMIF(MICRO!AP:AP,O329,MICRO!AT:AT)</f>
        <v>0</v>
      </c>
      <c r="R329">
        <f ca="1">SUMIF(MICRO!AP:AP,O:O,MICRO!AU:AU)</f>
        <v>0</v>
      </c>
    </row>
    <row r="330" spans="4:18" ht="18.75" thickBot="1" x14ac:dyDescent="0.3">
      <c r="D330" s="110" t="s">
        <v>1880</v>
      </c>
      <c r="E330" s="111" t="e">
        <f ca="1">VLOOKUP(Tabela2[[#This Row],[TAG]],MICRO!J:L,3,0)</f>
        <v>#N/A</v>
      </c>
      <c r="F330" s="109" t="s">
        <v>23</v>
      </c>
      <c r="G330" s="112">
        <f ca="1">SUMIF(MICRO!AP:AP,O:O,MICRO!H:H)</f>
        <v>0</v>
      </c>
      <c r="H330" s="113">
        <f ca="1">SUMIF(MICRO!AP:AP,O:O,MICRO!R:R)</f>
        <v>0</v>
      </c>
      <c r="I330" s="113">
        <f ca="1">SUMIF(MICRO!AP:AP,O:O,MICRO!T:T)</f>
        <v>0</v>
      </c>
      <c r="J330" s="114">
        <f t="shared" ca="1" si="120"/>
        <v>0</v>
      </c>
      <c r="K330" s="113">
        <f ca="1">SUMIF(MICRO!AP:AP,O:O,MICRO!X:X)</f>
        <v>0</v>
      </c>
      <c r="L330" s="114" t="str">
        <f t="shared" ca="1" si="121"/>
        <v>0%</v>
      </c>
      <c r="M330" s="113">
        <f t="shared" ca="1" si="122"/>
        <v>0</v>
      </c>
      <c r="N330" s="56" t="e">
        <f t="shared" ca="1" si="123"/>
        <v>#N/A</v>
      </c>
      <c r="O330" s="56" t="e">
        <f t="shared" ca="1" si="124"/>
        <v>#N/A</v>
      </c>
      <c r="P330" s="2">
        <f ca="1">SUMIF(MICRO!AP:AP,O330,MICRO!AS:AS)</f>
        <v>0</v>
      </c>
      <c r="Q330">
        <f ca="1">SUMIF(MICRO!AP:AP,O330,MICRO!AT:AT)</f>
        <v>0</v>
      </c>
      <c r="R330">
        <f ca="1">SUMIF(MICRO!AP:AP,O:O,MICRO!AU:AU)</f>
        <v>0</v>
      </c>
    </row>
    <row r="331" spans="4:18" ht="18.75" thickBot="1" x14ac:dyDescent="0.3">
      <c r="D331" s="110" t="s">
        <v>1865</v>
      </c>
      <c r="E331" s="111" t="e">
        <f ca="1">VLOOKUP(Tabela2[[#This Row],[TAG]],MICRO!J:L,3,0)</f>
        <v>#N/A</v>
      </c>
      <c r="F331" s="109" t="s">
        <v>44</v>
      </c>
      <c r="G331" s="112">
        <f ca="1">SUMIF(MICRO!AP:AP,O:O,MICRO!H:H)</f>
        <v>0</v>
      </c>
      <c r="H331" s="113">
        <f ca="1">SUMIF(MICRO!AP:AP,O:O,MICRO!R:R)</f>
        <v>0</v>
      </c>
      <c r="I331" s="113">
        <f ca="1">SUMIF(MICRO!AP:AP,O:O,MICRO!T:T)</f>
        <v>0</v>
      </c>
      <c r="J331" s="114">
        <f t="shared" ca="1" si="120"/>
        <v>0</v>
      </c>
      <c r="K331" s="113">
        <f ca="1">SUMIF(MICRO!AP:AP,O:O,MICRO!X:X)</f>
        <v>0</v>
      </c>
      <c r="L331" s="114" t="str">
        <f t="shared" ca="1" si="121"/>
        <v>0%</v>
      </c>
      <c r="M331" s="113">
        <f t="shared" ca="1" si="122"/>
        <v>0</v>
      </c>
      <c r="N331" s="56" t="e">
        <f t="shared" ca="1" si="123"/>
        <v>#N/A</v>
      </c>
      <c r="O331" s="56" t="e">
        <f t="shared" ca="1" si="124"/>
        <v>#N/A</v>
      </c>
      <c r="P331" s="2">
        <f ca="1">SUMIF(MICRO!AP:AP,O331,MICRO!AS:AS)</f>
        <v>0</v>
      </c>
      <c r="Q331">
        <f ca="1">SUMIF(MICRO!AP:AP,O331,MICRO!AT:AT)</f>
        <v>0</v>
      </c>
      <c r="R331">
        <f ca="1">SUMIF(MICRO!AP:AP,O:O,MICRO!AU:AU)</f>
        <v>0</v>
      </c>
    </row>
    <row r="332" spans="4:18" ht="18.75" thickBot="1" x14ac:dyDescent="0.3">
      <c r="D332" s="110" t="s">
        <v>1879</v>
      </c>
      <c r="E332" s="111" t="e">
        <f ca="1">VLOOKUP(Tabela2[[#This Row],[TAG]],MICRO!J:L,3,0)</f>
        <v>#N/A</v>
      </c>
      <c r="F332" s="109" t="s">
        <v>31</v>
      </c>
      <c r="G332" s="112">
        <f ca="1">SUMIF(MICRO!AP:AP,O:O,MICRO!H:H)</f>
        <v>0</v>
      </c>
      <c r="H332" s="113">
        <f ca="1">SUMIF(MICRO!AP:AP,O:O,MICRO!R:R)</f>
        <v>0</v>
      </c>
      <c r="I332" s="113">
        <f ca="1">SUMIF(MICRO!AP:AP,O:O,MICRO!T:T)</f>
        <v>0</v>
      </c>
      <c r="J332" s="114">
        <f t="shared" ca="1" si="120"/>
        <v>0</v>
      </c>
      <c r="K332" s="113">
        <f ca="1">SUMIF(MICRO!AP:AP,O:O,MICRO!X:X)</f>
        <v>0</v>
      </c>
      <c r="L332" s="114" t="str">
        <f t="shared" ca="1" si="121"/>
        <v>0%</v>
      </c>
      <c r="M332" s="113">
        <f t="shared" ca="1" si="122"/>
        <v>0</v>
      </c>
      <c r="N332" s="56" t="e">
        <f t="shared" ca="1" si="123"/>
        <v>#N/A</v>
      </c>
      <c r="O332" s="56" t="e">
        <f t="shared" ca="1" si="124"/>
        <v>#N/A</v>
      </c>
      <c r="P332" s="2">
        <f ca="1">SUMIF(MICRO!AP:AP,O332,MICRO!AS:AS)</f>
        <v>0</v>
      </c>
      <c r="Q332">
        <f ca="1">SUMIF(MICRO!AP:AP,O332,MICRO!AT:AT)</f>
        <v>0</v>
      </c>
      <c r="R332">
        <f ca="1">SUMIF(MICRO!AP:AP,O:O,MICRO!AU:AU)</f>
        <v>0</v>
      </c>
    </row>
    <row r="333" spans="4:18" ht="18.75" thickBot="1" x14ac:dyDescent="0.3">
      <c r="D333" s="110" t="s">
        <v>2274</v>
      </c>
      <c r="E333" s="111" t="str">
        <f ca="1">VLOOKUP(Tabela2[[#This Row],[TAG]],MICRO!J:L,3,0)</f>
        <v>P-188</v>
      </c>
      <c r="F333" s="109" t="s">
        <v>33</v>
      </c>
      <c r="G333" s="112">
        <f ca="1">SUMIF(MICRO!AP:AP,O:O,MICRO!H:H)</f>
        <v>1074</v>
      </c>
      <c r="H333" s="113">
        <f ca="1">SUMIF(MICRO!AP:AP,O:O,MICRO!R:R)</f>
        <v>1074</v>
      </c>
      <c r="I333" s="113">
        <f ca="1">SUMIF(MICRO!AP:AP,O:O,MICRO!T:T)</f>
        <v>0</v>
      </c>
      <c r="J333" s="114">
        <f t="shared" ca="1" si="120"/>
        <v>1</v>
      </c>
      <c r="K333" s="113">
        <f ca="1">SUMIF(MICRO!AP:AP,O:O,MICRO!X:X)</f>
        <v>1074</v>
      </c>
      <c r="L333" s="114">
        <f t="shared" ca="1" si="121"/>
        <v>1</v>
      </c>
      <c r="M333" s="113">
        <f t="shared" ca="1" si="122"/>
        <v>0</v>
      </c>
      <c r="N333" s="56" t="str">
        <f t="shared" ca="1" si="123"/>
        <v>P-188BASES ROLETES</v>
      </c>
      <c r="O333" s="56" t="str">
        <f t="shared" ca="1" si="124"/>
        <v>1073-TC-006P-188BASES ROLETES</v>
      </c>
      <c r="P333" s="2">
        <f ca="1">SUMIF(MICRO!AP:AP,O333,MICRO!AS:AS)</f>
        <v>0</v>
      </c>
      <c r="Q333">
        <f ca="1">SUMIF(MICRO!AP:AP,O333,MICRO!AT:AT)</f>
        <v>0</v>
      </c>
      <c r="R333">
        <f ca="1">SUMIF(MICRO!AP:AP,O:O,MICRO!AU:AU)</f>
        <v>1074</v>
      </c>
    </row>
    <row r="334" spans="4:18" ht="18.75" thickBot="1" x14ac:dyDescent="0.3">
      <c r="D334" s="110" t="s">
        <v>2276</v>
      </c>
      <c r="E334" s="111" t="str">
        <f ca="1">VLOOKUP(Tabela2[[#This Row],[TAG]],MICRO!J:L,3,0)</f>
        <v>P-188</v>
      </c>
      <c r="F334" s="109" t="s">
        <v>33</v>
      </c>
      <c r="G334" s="112">
        <f ca="1">SUMIF(MICRO!AP:AP,O:O,MICRO!H:H)</f>
        <v>1074</v>
      </c>
      <c r="H334" s="113">
        <f ca="1">SUMIF(MICRO!AP:AP,O:O,MICRO!R:R)</f>
        <v>1074</v>
      </c>
      <c r="I334" s="113">
        <f ca="1">SUMIF(MICRO!AP:AP,O:O,MICRO!T:T)</f>
        <v>0</v>
      </c>
      <c r="J334" s="114">
        <f t="shared" ca="1" si="105"/>
        <v>1</v>
      </c>
      <c r="K334" s="113">
        <f ca="1">SUMIF(MICRO!AP:AP,O:O,MICRO!X:X)</f>
        <v>1074</v>
      </c>
      <c r="L334" s="114">
        <f t="shared" ca="1" si="106"/>
        <v>1</v>
      </c>
      <c r="M334" s="113">
        <f t="shared" ca="1" si="107"/>
        <v>0</v>
      </c>
      <c r="N334" s="56" t="str">
        <f t="shared" ca="1" si="108"/>
        <v>P-188BASES ROLETES</v>
      </c>
      <c r="O334" s="56" t="str">
        <f t="shared" ca="1" si="109"/>
        <v>1073-TC-007P-188BASES ROLETES</v>
      </c>
      <c r="P334" s="2">
        <f ca="1">SUMIF(MICRO!AP:AP,O334,MICRO!AS:AS)</f>
        <v>0</v>
      </c>
      <c r="Q334">
        <f ca="1">SUMIF(MICRO!AP:AP,O334,MICRO!AT:AT)</f>
        <v>0</v>
      </c>
      <c r="R334">
        <f ca="1">SUMIF(MICRO!AP:AP,O:O,MICRO!AU:AU)</f>
        <v>1074</v>
      </c>
    </row>
    <row r="335" spans="4:18" ht="18.75" thickBot="1" x14ac:dyDescent="0.3">
      <c r="D335" s="110" t="s">
        <v>2274</v>
      </c>
      <c r="E335" s="111" t="str">
        <f ca="1">VLOOKUP(Tabela2[[#This Row],[TAG]],MICRO!J:L,3,0)</f>
        <v>P-188</v>
      </c>
      <c r="F335" s="109" t="s">
        <v>23</v>
      </c>
      <c r="G335" s="112">
        <f ca="1">SUMIF(MICRO!AP:AP,O:O,MICRO!H:H)</f>
        <v>1332.5</v>
      </c>
      <c r="H335" s="113">
        <f ca="1">SUMIF(MICRO!AP:AP,O:O,MICRO!R:R)</f>
        <v>1332.5</v>
      </c>
      <c r="I335" s="113">
        <f ca="1">SUMIF(MICRO!AP:AP,O:O,MICRO!T:T)</f>
        <v>0</v>
      </c>
      <c r="J335" s="114">
        <f t="shared" ref="J335:J395" ca="1" si="125">IF(G335 = 0,0,H335/G335)</f>
        <v>1</v>
      </c>
      <c r="K335" s="113">
        <f ca="1">SUMIF(MICRO!AP:AP,O:O,MICRO!X:X)</f>
        <v>1353.5</v>
      </c>
      <c r="L335" s="114">
        <f t="shared" ref="L335:L395" ca="1" si="126">IF(G335&lt;&gt;0,SUM(K335/G335*1),"0%")</f>
        <v>1.0157598499061913</v>
      </c>
      <c r="M335" s="113">
        <f t="shared" ref="M335:M395" ca="1" si="127">G335-K335</f>
        <v>-21</v>
      </c>
      <c r="N335" s="56" t="str">
        <f t="shared" ref="N335:N395" ca="1" si="128">E335&amp;F335</f>
        <v>P-188ROLOS</v>
      </c>
      <c r="O335" s="56" t="str">
        <f t="shared" ref="O335:O395" ca="1" si="129">D335&amp;E335&amp;F335</f>
        <v>1073-TC-006P-188ROLOS</v>
      </c>
      <c r="P335" s="2">
        <f ca="1">SUMIF(MICRO!AP:AP,O335,MICRO!AS:AS)</f>
        <v>0</v>
      </c>
      <c r="Q335">
        <f ca="1">SUMIF(MICRO!AP:AP,O335,MICRO!AT:AT)</f>
        <v>0</v>
      </c>
      <c r="R335">
        <f ca="1">SUMIF(MICRO!AP:AP,O:O,MICRO!AU:AU)</f>
        <v>1332.5</v>
      </c>
    </row>
    <row r="336" spans="4:18" ht="18.75" thickBot="1" x14ac:dyDescent="0.3">
      <c r="D336" s="110" t="s">
        <v>2276</v>
      </c>
      <c r="E336" s="111" t="str">
        <f ca="1">VLOOKUP(Tabela2[[#This Row],[TAG]],MICRO!J:L,3,0)</f>
        <v>P-188</v>
      </c>
      <c r="F336" s="109" t="s">
        <v>23</v>
      </c>
      <c r="G336" s="112">
        <f ca="1">SUMIF(MICRO!AP:AP,O:O,MICRO!H:H)</f>
        <v>1332.5</v>
      </c>
      <c r="H336" s="113">
        <f ca="1">SUMIF(MICRO!AP:AP,O:O,MICRO!R:R)</f>
        <v>1332.5</v>
      </c>
      <c r="I336" s="113">
        <f ca="1">SUMIF(MICRO!AP:AP,O:O,MICRO!T:T)</f>
        <v>0</v>
      </c>
      <c r="J336" s="114">
        <f t="shared" ca="1" si="125"/>
        <v>1</v>
      </c>
      <c r="K336" s="113">
        <f ca="1">SUMIF(MICRO!AP:AP,O:O,MICRO!X:X)</f>
        <v>1512.1</v>
      </c>
      <c r="L336" s="114">
        <f t="shared" ca="1" si="126"/>
        <v>1.1347842401500938</v>
      </c>
      <c r="M336" s="113">
        <f t="shared" ca="1" si="127"/>
        <v>-179.59999999999991</v>
      </c>
      <c r="N336" s="56" t="str">
        <f t="shared" ca="1" si="128"/>
        <v>P-188ROLOS</v>
      </c>
      <c r="O336" s="56" t="str">
        <f t="shared" ca="1" si="129"/>
        <v>1073-TC-007P-188ROLOS</v>
      </c>
      <c r="P336" s="2">
        <f ca="1">SUMIF(MICRO!AP:AP,O336,MICRO!AS:AS)</f>
        <v>0</v>
      </c>
      <c r="Q336">
        <f ca="1">SUMIF(MICRO!AP:AP,O336,MICRO!AT:AT)</f>
        <v>0</v>
      </c>
      <c r="R336">
        <f ca="1">SUMIF(MICRO!AP:AP,O:O,MICRO!AU:AU)</f>
        <v>1332.5</v>
      </c>
    </row>
    <row r="337" spans="4:18" ht="18.75" thickBot="1" x14ac:dyDescent="0.3">
      <c r="D337" s="110" t="s">
        <v>2274</v>
      </c>
      <c r="E337" s="111" t="str">
        <f ca="1">VLOOKUP(Tabela2[[#This Row],[TAG]],MICRO!J:L,3,0)</f>
        <v>P-188</v>
      </c>
      <c r="F337" s="109" t="s">
        <v>31</v>
      </c>
      <c r="G337" s="112">
        <f ca="1">SUMIF(MICRO!AP:AP,O:O,MICRO!H:H)</f>
        <v>0</v>
      </c>
      <c r="H337" s="113">
        <f ca="1">SUMIF(MICRO!AP:AP,O:O,MICRO!R:R)</f>
        <v>0</v>
      </c>
      <c r="I337" s="113">
        <f ca="1">SUMIF(MICRO!AP:AP,O:O,MICRO!T:T)</f>
        <v>0</v>
      </c>
      <c r="J337" s="114">
        <f t="shared" ca="1" si="125"/>
        <v>0</v>
      </c>
      <c r="K337" s="113">
        <f ca="1">SUMIF(MICRO!AP:AP,O:O,MICRO!X:X)</f>
        <v>0</v>
      </c>
      <c r="L337" s="114" t="str">
        <f t="shared" ca="1" si="126"/>
        <v>0%</v>
      </c>
      <c r="M337" s="113">
        <f t="shared" ca="1" si="127"/>
        <v>0</v>
      </c>
      <c r="N337" s="56" t="str">
        <f t="shared" ca="1" si="128"/>
        <v>P-188ESTRUTURA</v>
      </c>
      <c r="O337" s="56" t="str">
        <f t="shared" ca="1" si="129"/>
        <v>1073-TC-006P-188ESTRUTURA</v>
      </c>
      <c r="P337" s="2">
        <f ca="1">SUMIF(MICRO!AP:AP,O337,MICRO!AS:AS)</f>
        <v>0</v>
      </c>
      <c r="Q337">
        <f ca="1">SUMIF(MICRO!AP:AP,O337,MICRO!AT:AT)</f>
        <v>0</v>
      </c>
      <c r="R337">
        <f ca="1">SUMIF(MICRO!AP:AP,O:O,MICRO!AU:AU)</f>
        <v>0</v>
      </c>
    </row>
    <row r="338" spans="4:18" ht="18.75" thickBot="1" x14ac:dyDescent="0.3">
      <c r="D338" s="110" t="s">
        <v>2276</v>
      </c>
      <c r="E338" s="111" t="str">
        <f ca="1">VLOOKUP(Tabela2[[#This Row],[TAG]],MICRO!J:L,3,0)</f>
        <v>P-188</v>
      </c>
      <c r="F338" s="109" t="s">
        <v>31</v>
      </c>
      <c r="G338" s="112">
        <f ca="1">SUMIF(MICRO!AP:AP,O:O,MICRO!H:H)</f>
        <v>0</v>
      </c>
      <c r="H338" s="113">
        <f ca="1">SUMIF(MICRO!AP:AP,O:O,MICRO!R:R)</f>
        <v>0</v>
      </c>
      <c r="I338" s="113">
        <f ca="1">SUMIF(MICRO!AP:AP,O:O,MICRO!T:T)</f>
        <v>0</v>
      </c>
      <c r="J338" s="114">
        <f t="shared" ca="1" si="125"/>
        <v>0</v>
      </c>
      <c r="K338" s="113">
        <f ca="1">SUMIF(MICRO!AP:AP,O:O,MICRO!X:X)</f>
        <v>0</v>
      </c>
      <c r="L338" s="114" t="str">
        <f t="shared" ca="1" si="126"/>
        <v>0%</v>
      </c>
      <c r="M338" s="113">
        <f t="shared" ca="1" si="127"/>
        <v>0</v>
      </c>
      <c r="N338" s="56" t="str">
        <f t="shared" ca="1" si="128"/>
        <v>P-188ESTRUTURA</v>
      </c>
      <c r="O338" s="56" t="str">
        <f t="shared" ca="1" si="129"/>
        <v>1073-TC-007P-188ESTRUTURA</v>
      </c>
      <c r="P338" s="2">
        <f ca="1">SUMIF(MICRO!AP:AP,O338,MICRO!AS:AS)</f>
        <v>0</v>
      </c>
      <c r="Q338">
        <f ca="1">SUMIF(MICRO!AP:AP,O338,MICRO!AT:AT)</f>
        <v>0</v>
      </c>
      <c r="R338">
        <f ca="1">SUMIF(MICRO!AP:AP,O:O,MICRO!AU:AU)</f>
        <v>0</v>
      </c>
    </row>
    <row r="339" spans="4:18" ht="18.75" thickBot="1" x14ac:dyDescent="0.3">
      <c r="D339" s="110" t="s">
        <v>2274</v>
      </c>
      <c r="E339" s="111" t="str">
        <f ca="1">VLOOKUP(Tabela2[[#This Row],[TAG]],MICRO!J:L,3,0)</f>
        <v>P-188</v>
      </c>
      <c r="F339" s="109" t="s">
        <v>22</v>
      </c>
      <c r="G339" s="112">
        <f ca="1">SUMIF(MICRO!AP:AP,O:O,MICRO!H:H)</f>
        <v>0</v>
      </c>
      <c r="H339" s="113">
        <f ca="1">SUMIF(MICRO!AP:AP,O:O,MICRO!R:R)</f>
        <v>0</v>
      </c>
      <c r="I339" s="113">
        <f ca="1">SUMIF(MICRO!AP:AP,O:O,MICRO!T:T)</f>
        <v>0</v>
      </c>
      <c r="J339" s="114">
        <f t="shared" ca="1" si="125"/>
        <v>0</v>
      </c>
      <c r="K339" s="113">
        <f ca="1">SUMIF(MICRO!AP:AP,O:O,MICRO!X:X)</f>
        <v>0</v>
      </c>
      <c r="L339" s="114" t="str">
        <f t="shared" ca="1" si="126"/>
        <v>0%</v>
      </c>
      <c r="M339" s="113">
        <f t="shared" ca="1" si="127"/>
        <v>0</v>
      </c>
      <c r="N339" s="56" t="str">
        <f t="shared" ca="1" si="128"/>
        <v>P-188TAMBOR</v>
      </c>
      <c r="O339" s="56" t="str">
        <f t="shared" ca="1" si="129"/>
        <v>1073-TC-006P-188TAMBOR</v>
      </c>
      <c r="P339" s="2">
        <f ca="1">SUMIF(MICRO!AP:AP,O339,MICRO!AS:AS)</f>
        <v>0</v>
      </c>
      <c r="Q339">
        <f ca="1">SUMIF(MICRO!AP:AP,O339,MICRO!AT:AT)</f>
        <v>0</v>
      </c>
      <c r="R339">
        <f ca="1">SUMIF(MICRO!AP:AP,O:O,MICRO!AU:AU)</f>
        <v>0</v>
      </c>
    </row>
    <row r="340" spans="4:18" ht="18.75" thickBot="1" x14ac:dyDescent="0.3">
      <c r="D340" s="110" t="s">
        <v>2276</v>
      </c>
      <c r="E340" s="111" t="str">
        <f ca="1">VLOOKUP(Tabela2[[#This Row],[TAG]],MICRO!J:L,3,0)</f>
        <v>P-188</v>
      </c>
      <c r="F340" s="109" t="s">
        <v>22</v>
      </c>
      <c r="G340" s="112">
        <f ca="1">SUMIF(MICRO!AP:AP,O:O,MICRO!H:H)</f>
        <v>0</v>
      </c>
      <c r="H340" s="113">
        <f ca="1">SUMIF(MICRO!AP:AP,O:O,MICRO!R:R)</f>
        <v>0</v>
      </c>
      <c r="I340" s="113">
        <f ca="1">SUMIF(MICRO!AP:AP,O:O,MICRO!T:T)</f>
        <v>0</v>
      </c>
      <c r="J340" s="114">
        <f t="shared" ca="1" si="125"/>
        <v>0</v>
      </c>
      <c r="K340" s="113">
        <f ca="1">SUMIF(MICRO!AP:AP,O:O,MICRO!X:X)</f>
        <v>0</v>
      </c>
      <c r="L340" s="114" t="str">
        <f t="shared" ca="1" si="126"/>
        <v>0%</v>
      </c>
      <c r="M340" s="113">
        <f t="shared" ca="1" si="127"/>
        <v>0</v>
      </c>
      <c r="N340" s="56" t="str">
        <f t="shared" ca="1" si="128"/>
        <v>P-188TAMBOR</v>
      </c>
      <c r="O340" s="56" t="str">
        <f t="shared" ca="1" si="129"/>
        <v>1073-TC-007P-188TAMBOR</v>
      </c>
      <c r="P340" s="2">
        <f ca="1">SUMIF(MICRO!AP:AP,O340,MICRO!AS:AS)</f>
        <v>0</v>
      </c>
      <c r="Q340">
        <f ca="1">SUMIF(MICRO!AP:AP,O340,MICRO!AT:AT)</f>
        <v>0</v>
      </c>
      <c r="R340">
        <f ca="1">SUMIF(MICRO!AP:AP,O:O,MICRO!AU:AU)</f>
        <v>0</v>
      </c>
    </row>
    <row r="341" spans="4:18" ht="18.75" thickBot="1" x14ac:dyDescent="0.3">
      <c r="D341" s="110" t="s">
        <v>1300</v>
      </c>
      <c r="E341" s="111" t="e">
        <f ca="1">VLOOKUP(Tabela2[[#This Row],[TAG]],MICRO!J:L,3,0)</f>
        <v>#N/A</v>
      </c>
      <c r="F341" s="109" t="s">
        <v>44</v>
      </c>
      <c r="G341" s="112">
        <f ca="1">SUMIF(MICRO!AP:AP,O:O,MICRO!H:H)</f>
        <v>0</v>
      </c>
      <c r="H341" s="113">
        <f ca="1">SUMIF(MICRO!AP:AP,O:O,MICRO!R:R)</f>
        <v>0</v>
      </c>
      <c r="I341" s="113">
        <f ca="1">SUMIF(MICRO!AP:AP,O:O,MICRO!T:T)</f>
        <v>0</v>
      </c>
      <c r="J341" s="114">
        <f t="shared" ca="1" si="125"/>
        <v>0</v>
      </c>
      <c r="K341" s="113">
        <f ca="1">SUMIF(MICRO!AP:AP,O:O,MICRO!X:X)</f>
        <v>0</v>
      </c>
      <c r="L341" s="114" t="str">
        <f t="shared" ca="1" si="126"/>
        <v>0%</v>
      </c>
      <c r="M341" s="113">
        <f t="shared" ca="1" si="127"/>
        <v>0</v>
      </c>
      <c r="N341" s="56" t="e">
        <f t="shared" ca="1" si="128"/>
        <v>#N/A</v>
      </c>
      <c r="O341" s="56" t="e">
        <f t="shared" ca="1" si="129"/>
        <v>#N/A</v>
      </c>
      <c r="P341" s="2">
        <f ca="1">SUMIF(MICRO!AP:AP,O341,MICRO!AS:AS)</f>
        <v>0</v>
      </c>
      <c r="Q341">
        <f ca="1">SUMIF(MICRO!AP:AP,O341,MICRO!AT:AT)</f>
        <v>0</v>
      </c>
      <c r="R341">
        <f ca="1">SUMIF(MICRO!AP:AP,O:O,MICRO!AU:AU)</f>
        <v>0</v>
      </c>
    </row>
    <row r="342" spans="4:18" ht="18.75" thickBot="1" x14ac:dyDescent="0.3">
      <c r="D342" s="110" t="s">
        <v>1295</v>
      </c>
      <c r="E342" s="111" t="e">
        <f ca="1">VLOOKUP(Tabela2[[#This Row],[TAG]],MICRO!J:L,3,0)</f>
        <v>#N/A</v>
      </c>
      <c r="F342" s="109" t="s">
        <v>44</v>
      </c>
      <c r="G342" s="112">
        <f ca="1">SUMIF(MICRO!AP:AP,O:O,MICRO!H:H)</f>
        <v>0</v>
      </c>
      <c r="H342" s="113">
        <f ca="1">SUMIF(MICRO!AP:AP,O:O,MICRO!R:R)</f>
        <v>0</v>
      </c>
      <c r="I342" s="113">
        <f ca="1">SUMIF(MICRO!AP:AP,O:O,MICRO!T:T)</f>
        <v>0</v>
      </c>
      <c r="J342" s="114">
        <f t="shared" ca="1" si="125"/>
        <v>0</v>
      </c>
      <c r="K342" s="113">
        <f ca="1">SUMIF(MICRO!AP:AP,O:O,MICRO!X:X)</f>
        <v>0</v>
      </c>
      <c r="L342" s="114" t="str">
        <f t="shared" ca="1" si="126"/>
        <v>0%</v>
      </c>
      <c r="M342" s="113">
        <f t="shared" ca="1" si="127"/>
        <v>0</v>
      </c>
      <c r="N342" s="56" t="e">
        <f t="shared" ca="1" si="128"/>
        <v>#N/A</v>
      </c>
      <c r="O342" s="56" t="e">
        <f t="shared" ca="1" si="129"/>
        <v>#N/A</v>
      </c>
      <c r="P342" s="2">
        <f ca="1">SUMIF(MICRO!AP:AP,O342,MICRO!AS:AS)</f>
        <v>0</v>
      </c>
      <c r="Q342">
        <f ca="1">SUMIF(MICRO!AP:AP,O342,MICRO!AT:AT)</f>
        <v>0</v>
      </c>
      <c r="R342">
        <f ca="1">SUMIF(MICRO!AP:AP,O:O,MICRO!AU:AU)</f>
        <v>0</v>
      </c>
    </row>
    <row r="343" spans="4:18" ht="18.75" thickBot="1" x14ac:dyDescent="0.3">
      <c r="D343" s="110" t="s">
        <v>1301</v>
      </c>
      <c r="E343" s="111" t="e">
        <f ca="1">VLOOKUP(Tabela2[[#This Row],[TAG]],MICRO!J:L,3,0)</f>
        <v>#N/A</v>
      </c>
      <c r="F343" s="109" t="s">
        <v>44</v>
      </c>
      <c r="G343" s="112">
        <f ca="1">SUMIF(MICRO!AP:AP,O:O,MICRO!H:H)</f>
        <v>0</v>
      </c>
      <c r="H343" s="113">
        <f ca="1">SUMIF(MICRO!AP:AP,O:O,MICRO!R:R)</f>
        <v>0</v>
      </c>
      <c r="I343" s="113">
        <f ca="1">SUMIF(MICRO!AP:AP,O:O,MICRO!T:T)</f>
        <v>0</v>
      </c>
      <c r="J343" s="114">
        <f t="shared" ca="1" si="125"/>
        <v>0</v>
      </c>
      <c r="K343" s="113">
        <f ca="1">SUMIF(MICRO!AP:AP,O:O,MICRO!X:X)</f>
        <v>0</v>
      </c>
      <c r="L343" s="114" t="str">
        <f t="shared" ca="1" si="126"/>
        <v>0%</v>
      </c>
      <c r="M343" s="113">
        <f t="shared" ca="1" si="127"/>
        <v>0</v>
      </c>
      <c r="N343" s="56" t="e">
        <f t="shared" ca="1" si="128"/>
        <v>#N/A</v>
      </c>
      <c r="O343" s="56" t="e">
        <f t="shared" ca="1" si="129"/>
        <v>#N/A</v>
      </c>
      <c r="P343" s="2">
        <f ca="1">SUMIF(MICRO!AP:AP,O343,MICRO!AS:AS)</f>
        <v>0</v>
      </c>
      <c r="Q343">
        <f ca="1">SUMIF(MICRO!AP:AP,O343,MICRO!AT:AT)</f>
        <v>0</v>
      </c>
      <c r="R343">
        <f ca="1">SUMIF(MICRO!AP:AP,O:O,MICRO!AU:AU)</f>
        <v>0</v>
      </c>
    </row>
    <row r="344" spans="4:18" ht="18.75" thickBot="1" x14ac:dyDescent="0.3">
      <c r="D344" s="110" t="s">
        <v>1290</v>
      </c>
      <c r="E344" s="111" t="e">
        <f ca="1">VLOOKUP(Tabela2[[#This Row],[TAG]],MICRO!J:L,3,0)</f>
        <v>#N/A</v>
      </c>
      <c r="F344" s="109" t="s">
        <v>44</v>
      </c>
      <c r="G344" s="112">
        <f ca="1">SUMIF(MICRO!AP:AP,O:O,MICRO!H:H)</f>
        <v>0</v>
      </c>
      <c r="H344" s="113">
        <f ca="1">SUMIF(MICRO!AP:AP,O:O,MICRO!R:R)</f>
        <v>0</v>
      </c>
      <c r="I344" s="113">
        <f ca="1">SUMIF(MICRO!AP:AP,O:O,MICRO!T:T)</f>
        <v>0</v>
      </c>
      <c r="J344" s="114">
        <f t="shared" ca="1" si="125"/>
        <v>0</v>
      </c>
      <c r="K344" s="113">
        <f ca="1">SUMIF(MICRO!AP:AP,O:O,MICRO!X:X)</f>
        <v>0</v>
      </c>
      <c r="L344" s="114" t="str">
        <f t="shared" ca="1" si="126"/>
        <v>0%</v>
      </c>
      <c r="M344" s="113">
        <f t="shared" ca="1" si="127"/>
        <v>0</v>
      </c>
      <c r="N344" s="56" t="e">
        <f t="shared" ca="1" si="128"/>
        <v>#N/A</v>
      </c>
      <c r="O344" s="56" t="e">
        <f t="shared" ca="1" si="129"/>
        <v>#N/A</v>
      </c>
      <c r="P344" s="2">
        <f ca="1">SUMIF(MICRO!AP:AP,O344,MICRO!AS:AS)</f>
        <v>0</v>
      </c>
      <c r="Q344">
        <f ca="1">SUMIF(MICRO!AP:AP,O344,MICRO!AT:AT)</f>
        <v>0</v>
      </c>
      <c r="R344">
        <f ca="1">SUMIF(MICRO!AP:AP,O:O,MICRO!AU:AU)</f>
        <v>0</v>
      </c>
    </row>
    <row r="345" spans="4:18" ht="18.75" thickBot="1" x14ac:dyDescent="0.3">
      <c r="D345" s="110" t="s">
        <v>1300</v>
      </c>
      <c r="E345" s="111" t="e">
        <f ca="1">VLOOKUP(Tabela2[[#This Row],[TAG]],MICRO!J:L,3,0)</f>
        <v>#N/A</v>
      </c>
      <c r="F345" s="109" t="s">
        <v>327</v>
      </c>
      <c r="G345" s="112">
        <f ca="1">SUMIF(MICRO!AP:AP,O:O,MICRO!H:H)</f>
        <v>0</v>
      </c>
      <c r="H345" s="113">
        <f ca="1">SUMIF(MICRO!AP:AP,O:O,MICRO!R:R)</f>
        <v>0</v>
      </c>
      <c r="I345" s="113">
        <f ca="1">SUMIF(MICRO!AP:AP,O:O,MICRO!T:T)</f>
        <v>0</v>
      </c>
      <c r="J345" s="114">
        <f t="shared" ca="1" si="125"/>
        <v>0</v>
      </c>
      <c r="K345" s="113">
        <f ca="1">SUMIF(MICRO!AP:AP,O:O,MICRO!X:X)</f>
        <v>0</v>
      </c>
      <c r="L345" s="114" t="str">
        <f t="shared" ca="1" si="126"/>
        <v>0%</v>
      </c>
      <c r="M345" s="113">
        <f t="shared" ca="1" si="127"/>
        <v>0</v>
      </c>
      <c r="N345" s="56" t="e">
        <f t="shared" ca="1" si="128"/>
        <v>#N/A</v>
      </c>
      <c r="O345" s="56" t="e">
        <f t="shared" ca="1" si="129"/>
        <v>#N/A</v>
      </c>
      <c r="P345" s="2">
        <f ca="1">SUMIF(MICRO!AP:AP,O345,MICRO!AS:AS)</f>
        <v>0</v>
      </c>
      <c r="Q345">
        <f ca="1">SUMIF(MICRO!AP:AP,O345,MICRO!AT:AT)</f>
        <v>0</v>
      </c>
      <c r="R345">
        <f ca="1">SUMIF(MICRO!AP:AP,O:O,MICRO!AU:AU)</f>
        <v>0</v>
      </c>
    </row>
    <row r="346" spans="4:18" ht="18.75" thickBot="1" x14ac:dyDescent="0.3">
      <c r="D346" s="110" t="s">
        <v>1295</v>
      </c>
      <c r="E346" s="111" t="e">
        <f ca="1">VLOOKUP(Tabela2[[#This Row],[TAG]],MICRO!J:L,3,0)</f>
        <v>#N/A</v>
      </c>
      <c r="F346" s="109" t="s">
        <v>327</v>
      </c>
      <c r="G346" s="112">
        <f ca="1">SUMIF(MICRO!AP:AP,O:O,MICRO!H:H)</f>
        <v>0</v>
      </c>
      <c r="H346" s="113">
        <f ca="1">SUMIF(MICRO!AP:AP,O:O,MICRO!R:R)</f>
        <v>0</v>
      </c>
      <c r="I346" s="113">
        <f ca="1">SUMIF(MICRO!AP:AP,O:O,MICRO!T:T)</f>
        <v>0</v>
      </c>
      <c r="J346" s="114">
        <f t="shared" ca="1" si="125"/>
        <v>0</v>
      </c>
      <c r="K346" s="113">
        <f ca="1">SUMIF(MICRO!AP:AP,O:O,MICRO!X:X)</f>
        <v>0</v>
      </c>
      <c r="L346" s="114" t="str">
        <f t="shared" ca="1" si="126"/>
        <v>0%</v>
      </c>
      <c r="M346" s="113">
        <f t="shared" ca="1" si="127"/>
        <v>0</v>
      </c>
      <c r="N346" s="56" t="e">
        <f t="shared" ca="1" si="128"/>
        <v>#N/A</v>
      </c>
      <c r="O346" s="56" t="e">
        <f t="shared" ca="1" si="129"/>
        <v>#N/A</v>
      </c>
      <c r="P346" s="2">
        <f ca="1">SUMIF(MICRO!AP:AP,O346,MICRO!AS:AS)</f>
        <v>0</v>
      </c>
      <c r="Q346">
        <f ca="1">SUMIF(MICRO!AP:AP,O346,MICRO!AT:AT)</f>
        <v>0</v>
      </c>
      <c r="R346">
        <f ca="1">SUMIF(MICRO!AP:AP,O:O,MICRO!AU:AU)</f>
        <v>0</v>
      </c>
    </row>
    <row r="347" spans="4:18" ht="18.75" thickBot="1" x14ac:dyDescent="0.3">
      <c r="D347" s="110" t="s">
        <v>1301</v>
      </c>
      <c r="E347" s="111" t="e">
        <f ca="1">VLOOKUP(Tabela2[[#This Row],[TAG]],MICRO!J:L,3,0)</f>
        <v>#N/A</v>
      </c>
      <c r="F347" s="109" t="s">
        <v>327</v>
      </c>
      <c r="G347" s="112">
        <f ca="1">SUMIF(MICRO!AP:AP,O:O,MICRO!H:H)</f>
        <v>0</v>
      </c>
      <c r="H347" s="113">
        <f ca="1">SUMIF(MICRO!AP:AP,O:O,MICRO!R:R)</f>
        <v>0</v>
      </c>
      <c r="I347" s="113">
        <f ca="1">SUMIF(MICRO!AP:AP,O:O,MICRO!T:T)</f>
        <v>0</v>
      </c>
      <c r="J347" s="114">
        <f t="shared" ca="1" si="125"/>
        <v>0</v>
      </c>
      <c r="K347" s="113">
        <f ca="1">SUMIF(MICRO!AP:AP,O:O,MICRO!X:X)</f>
        <v>0</v>
      </c>
      <c r="L347" s="114" t="str">
        <f t="shared" ca="1" si="126"/>
        <v>0%</v>
      </c>
      <c r="M347" s="113">
        <f t="shared" ca="1" si="127"/>
        <v>0</v>
      </c>
      <c r="N347" s="56" t="e">
        <f t="shared" ca="1" si="128"/>
        <v>#N/A</v>
      </c>
      <c r="O347" s="56" t="e">
        <f t="shared" ca="1" si="129"/>
        <v>#N/A</v>
      </c>
      <c r="P347" s="2">
        <f ca="1">SUMIF(MICRO!AP:AP,O347,MICRO!AS:AS)</f>
        <v>0</v>
      </c>
      <c r="Q347">
        <f ca="1">SUMIF(MICRO!AP:AP,O347,MICRO!AT:AT)</f>
        <v>0</v>
      </c>
      <c r="R347">
        <f ca="1">SUMIF(MICRO!AP:AP,O:O,MICRO!AU:AU)</f>
        <v>0</v>
      </c>
    </row>
    <row r="348" spans="4:18" ht="18.75" thickBot="1" x14ac:dyDescent="0.3">
      <c r="D348" s="110" t="s">
        <v>1290</v>
      </c>
      <c r="E348" s="111" t="e">
        <f ca="1">VLOOKUP(Tabela2[[#This Row],[TAG]],MICRO!J:L,3,0)</f>
        <v>#N/A</v>
      </c>
      <c r="F348" s="109" t="s">
        <v>327</v>
      </c>
      <c r="G348" s="112">
        <f ca="1">SUMIF(MICRO!AP:AP,O:O,MICRO!H:H)</f>
        <v>0</v>
      </c>
      <c r="H348" s="113">
        <f ca="1">SUMIF(MICRO!AP:AP,O:O,MICRO!R:R)</f>
        <v>0</v>
      </c>
      <c r="I348" s="113">
        <f ca="1">SUMIF(MICRO!AP:AP,O:O,MICRO!T:T)</f>
        <v>0</v>
      </c>
      <c r="J348" s="114">
        <f t="shared" ca="1" si="125"/>
        <v>0</v>
      </c>
      <c r="K348" s="113">
        <f ca="1">SUMIF(MICRO!AP:AP,O:O,MICRO!X:X)</f>
        <v>0</v>
      </c>
      <c r="L348" s="114" t="str">
        <f t="shared" ca="1" si="126"/>
        <v>0%</v>
      </c>
      <c r="M348" s="113">
        <f t="shared" ca="1" si="127"/>
        <v>0</v>
      </c>
      <c r="N348" s="56" t="e">
        <f t="shared" ca="1" si="128"/>
        <v>#N/A</v>
      </c>
      <c r="O348" s="56" t="e">
        <f t="shared" ca="1" si="129"/>
        <v>#N/A</v>
      </c>
      <c r="P348" s="2">
        <f ca="1">SUMIF(MICRO!AP:AP,O348,MICRO!AS:AS)</f>
        <v>0</v>
      </c>
      <c r="Q348">
        <f ca="1">SUMIF(MICRO!AP:AP,O348,MICRO!AT:AT)</f>
        <v>0</v>
      </c>
      <c r="R348">
        <f ca="1">SUMIF(MICRO!AP:AP,O:O,MICRO!AU:AU)</f>
        <v>0</v>
      </c>
    </row>
    <row r="349" spans="4:18" ht="18.75" thickBot="1" x14ac:dyDescent="0.3">
      <c r="D349" s="110" t="s">
        <v>3027</v>
      </c>
      <c r="E349" s="111" t="e">
        <f ca="1">VLOOKUP(Tabela2[[#This Row],[TAG]],MICRO!J:L,3,0)</f>
        <v>#N/A</v>
      </c>
      <c r="F349" s="109" t="s">
        <v>23</v>
      </c>
      <c r="G349" s="112">
        <f ca="1">SUMIF(MICRO!AP:AP,O:O,MICRO!H:H)</f>
        <v>0</v>
      </c>
      <c r="H349" s="113">
        <f ca="1">SUMIF(MICRO!AP:AP,O:O,MICRO!R:R)</f>
        <v>0</v>
      </c>
      <c r="I349" s="113">
        <f ca="1">SUMIF(MICRO!AP:AP,O:O,MICRO!T:T)</f>
        <v>0</v>
      </c>
      <c r="J349" s="114">
        <f t="shared" ref="J349:J392" ca="1" si="130">IF(G349 = 0,0,H349/G349)</f>
        <v>0</v>
      </c>
      <c r="K349" s="113">
        <f ca="1">SUMIF(MICRO!AP:AP,O:O,MICRO!X:X)</f>
        <v>0</v>
      </c>
      <c r="L349" s="114" t="str">
        <f t="shared" ref="L349:L392" ca="1" si="131">IF(G349&lt;&gt;0,SUM(K349/G349*1),"0%")</f>
        <v>0%</v>
      </c>
      <c r="M349" s="113">
        <f t="shared" ref="M349:M392" ca="1" si="132">G349-K349</f>
        <v>0</v>
      </c>
      <c r="N349" s="56" t="e">
        <f t="shared" ref="N349:N392" ca="1" si="133">E349&amp;F349</f>
        <v>#N/A</v>
      </c>
      <c r="O349" s="56" t="e">
        <f t="shared" ref="O349:O392" ca="1" si="134">D349&amp;E349&amp;F349</f>
        <v>#N/A</v>
      </c>
      <c r="P349" s="2">
        <f ca="1">SUMIF(MICRO!AP:AP,O349,MICRO!AS:AS)</f>
        <v>0</v>
      </c>
      <c r="Q349">
        <f ca="1">SUMIF(MICRO!AP:AP,O349,MICRO!AT:AT)</f>
        <v>0</v>
      </c>
      <c r="R349">
        <f ca="1">SUMIF(MICRO!AP:AP,O:O,MICRO!AU:AU)</f>
        <v>0</v>
      </c>
    </row>
    <row r="350" spans="4:18" ht="18.75" thickBot="1" x14ac:dyDescent="0.3">
      <c r="D350" s="110" t="s">
        <v>3011</v>
      </c>
      <c r="E350" s="111" t="str">
        <f ca="1">VLOOKUP(Tabela2[[#This Row],[TAG]],MICRO!J:L,3,0)</f>
        <v>P-200</v>
      </c>
      <c r="F350" s="109" t="s">
        <v>31</v>
      </c>
      <c r="G350" s="112">
        <f ca="1">SUMIF(MICRO!AP:AP,O:O,MICRO!H:H)</f>
        <v>976</v>
      </c>
      <c r="H350" s="113">
        <f ca="1">SUMIF(MICRO!AP:AP,O:O,MICRO!R:R)</f>
        <v>976</v>
      </c>
      <c r="I350" s="113">
        <f ca="1">SUMIF(MICRO!AP:AP,O:O,MICRO!T:T)</f>
        <v>0</v>
      </c>
      <c r="J350" s="114">
        <f t="shared" ca="1" si="130"/>
        <v>1</v>
      </c>
      <c r="K350" s="113">
        <f ca="1">SUMIF(MICRO!AP:AP,O:O,MICRO!X:X)</f>
        <v>976</v>
      </c>
      <c r="L350" s="114">
        <f t="shared" ca="1" si="131"/>
        <v>1</v>
      </c>
      <c r="M350" s="113">
        <f t="shared" ca="1" si="132"/>
        <v>0</v>
      </c>
      <c r="N350" s="56" t="str">
        <f t="shared" ca="1" si="133"/>
        <v>P-200ESTRUTURA</v>
      </c>
      <c r="O350" s="56" t="str">
        <f t="shared" ca="1" si="134"/>
        <v>P200P-200ESTRUTURA</v>
      </c>
      <c r="P350" s="2">
        <f ca="1">SUMIF(MICRO!AP:AP,O350,MICRO!AS:AS)</f>
        <v>0</v>
      </c>
      <c r="Q350">
        <f ca="1">SUMIF(MICRO!AP:AP,O350,MICRO!AT:AT)</f>
        <v>0</v>
      </c>
      <c r="R350">
        <f ca="1">SUMIF(MICRO!AP:AP,O:O,MICRO!AU:AU)</f>
        <v>976</v>
      </c>
    </row>
    <row r="351" spans="4:18" ht="18.75" thickBot="1" x14ac:dyDescent="0.3">
      <c r="D351" s="110" t="s">
        <v>3013</v>
      </c>
      <c r="E351" s="111" t="str">
        <f ca="1">VLOOKUP(Tabela2[[#This Row],[TAG]],MICRO!J:L,3,0)</f>
        <v>P-201</v>
      </c>
      <c r="F351" s="109" t="s">
        <v>22</v>
      </c>
      <c r="G351" s="112">
        <f ca="1">SUMIF(MICRO!AP:AP,O:O,MICRO!H:H)</f>
        <v>213.7</v>
      </c>
      <c r="H351" s="113">
        <f ca="1">SUMIF(MICRO!AP:AP,O:O,MICRO!R:R)</f>
        <v>213.7</v>
      </c>
      <c r="I351" s="113">
        <f ca="1">SUMIF(MICRO!AP:AP,O:O,MICRO!T:T)</f>
        <v>0</v>
      </c>
      <c r="J351" s="114">
        <f t="shared" ca="1" si="130"/>
        <v>1</v>
      </c>
      <c r="K351" s="113">
        <f ca="1">SUMIF(MICRO!AP:AP,O:O,MICRO!X:X)</f>
        <v>213.7</v>
      </c>
      <c r="L351" s="114">
        <f t="shared" ca="1" si="131"/>
        <v>1</v>
      </c>
      <c r="M351" s="113">
        <f t="shared" ca="1" si="132"/>
        <v>0</v>
      </c>
      <c r="N351" s="56" t="str">
        <f t="shared" ca="1" si="133"/>
        <v>P-201TAMBOR</v>
      </c>
      <c r="O351" s="56" t="str">
        <f t="shared" ca="1" si="134"/>
        <v>P201P-201TAMBOR</v>
      </c>
      <c r="P351" s="2">
        <f ca="1">SUMIF(MICRO!AP:AP,O351,MICRO!AS:AS)</f>
        <v>0</v>
      </c>
      <c r="Q351">
        <f ca="1">SUMIF(MICRO!AP:AP,O351,MICRO!AT:AT)</f>
        <v>0</v>
      </c>
      <c r="R351">
        <f ca="1">SUMIF(MICRO!AP:AP,O:O,MICRO!AU:AU)</f>
        <v>213.7</v>
      </c>
    </row>
    <row r="352" spans="4:18" ht="18.75" thickBot="1" x14ac:dyDescent="0.3">
      <c r="D352" s="110" t="s">
        <v>3026</v>
      </c>
      <c r="E352" s="111" t="str">
        <f ca="1">VLOOKUP(Tabela2[[#This Row],[TAG]],MICRO!J:L,3,0)</f>
        <v>P-199</v>
      </c>
      <c r="F352" s="109" t="s">
        <v>22</v>
      </c>
      <c r="G352" s="112">
        <f ca="1">SUMIF(MICRO!AP:AP,O:O,MICRO!H:H)</f>
        <v>773.1</v>
      </c>
      <c r="H352" s="113">
        <f ca="1">SUMIF(MICRO!AP:AP,O:O,MICRO!R:R)</f>
        <v>773.1</v>
      </c>
      <c r="I352" s="113">
        <f ca="1">SUMIF(MICRO!AP:AP,O:O,MICRO!T:T)</f>
        <v>0</v>
      </c>
      <c r="J352" s="114">
        <f t="shared" ca="1" si="130"/>
        <v>1</v>
      </c>
      <c r="K352" s="113">
        <f ca="1">SUMIF(MICRO!AP:AP,O:O,MICRO!X:X)</f>
        <v>773.1</v>
      </c>
      <c r="L352" s="114">
        <f t="shared" ca="1" si="131"/>
        <v>1</v>
      </c>
      <c r="M352" s="113">
        <f t="shared" ca="1" si="132"/>
        <v>0</v>
      </c>
      <c r="N352" s="56" t="str">
        <f t="shared" ca="1" si="133"/>
        <v>P-199TAMBOR</v>
      </c>
      <c r="O352" s="56" t="str">
        <f t="shared" ca="1" si="134"/>
        <v>P199P-199TAMBOR</v>
      </c>
      <c r="P352" s="2" t="e">
        <f ca="1">SUMIF(MICRO!AP:AP,O352,MICRO!AS:AS)</f>
        <v>#REF!</v>
      </c>
      <c r="Q352" t="e">
        <f ca="1">SUMIF(MICRO!AP:AP,O352,MICRO!AT:AT)</f>
        <v>#REF!</v>
      </c>
      <c r="R352" t="e">
        <f ca="1">SUMIF(MICRO!AP:AP,O:O,MICRO!AU:AU)</f>
        <v>#REF!</v>
      </c>
    </row>
    <row r="353" spans="4:18" ht="18.75" thickBot="1" x14ac:dyDescent="0.3">
      <c r="D353" s="110" t="s">
        <v>3015</v>
      </c>
      <c r="E353" s="111" t="str">
        <f ca="1">VLOOKUP(Tabela2[[#This Row],[TAG]],MICRO!J:L,3,0)</f>
        <v>P-202</v>
      </c>
      <c r="F353" s="109" t="s">
        <v>23</v>
      </c>
      <c r="G353" s="112">
        <f ca="1">SUMIF(MICRO!AP:AP,O:O,MICRO!H:H)</f>
        <v>853.2</v>
      </c>
      <c r="H353" s="113">
        <f ca="1">SUMIF(MICRO!AP:AP,O:O,MICRO!R:R)</f>
        <v>853.2</v>
      </c>
      <c r="I353" s="113">
        <f ca="1">SUMIF(MICRO!AP:AP,O:O,MICRO!T:T)</f>
        <v>0</v>
      </c>
      <c r="J353" s="114">
        <f t="shared" ca="1" si="130"/>
        <v>1</v>
      </c>
      <c r="K353" s="113">
        <f ca="1">SUMIF(MICRO!AP:AP,O:O,MICRO!X:X)</f>
        <v>853.2</v>
      </c>
      <c r="L353" s="114">
        <f t="shared" ca="1" si="131"/>
        <v>1</v>
      </c>
      <c r="M353" s="113">
        <f t="shared" ca="1" si="132"/>
        <v>0</v>
      </c>
      <c r="N353" s="56" t="str">
        <f t="shared" ca="1" si="133"/>
        <v>P-202ROLOS</v>
      </c>
      <c r="O353" s="56" t="str">
        <f t="shared" ca="1" si="134"/>
        <v>P202P-202ROLOS</v>
      </c>
      <c r="P353" s="2">
        <f ca="1">SUMIF(MICRO!AP:AP,O353,MICRO!AS:AS)</f>
        <v>0</v>
      </c>
      <c r="Q353">
        <f ca="1">SUMIF(MICRO!AP:AP,O353,MICRO!AT:AT)</f>
        <v>0</v>
      </c>
      <c r="R353">
        <f ca="1">SUMIF(MICRO!AP:AP,O:O,MICRO!AU:AU)</f>
        <v>853.2</v>
      </c>
    </row>
    <row r="354" spans="4:18" ht="18.75" thickBot="1" x14ac:dyDescent="0.3">
      <c r="D354" s="110" t="s">
        <v>3020</v>
      </c>
      <c r="E354" s="111" t="str">
        <f ca="1">VLOOKUP(Tabela2[[#This Row],[TAG]],MICRO!J:L,3,0)</f>
        <v>P-203</v>
      </c>
      <c r="F354" s="109" t="s">
        <v>23</v>
      </c>
      <c r="G354" s="112">
        <f ca="1">SUMIF(MICRO!AP:AP,O:O,MICRO!H:H)</f>
        <v>99</v>
      </c>
      <c r="H354" s="113">
        <f ca="1">SUMIF(MICRO!AP:AP,O:O,MICRO!R:R)</f>
        <v>99</v>
      </c>
      <c r="I354" s="113">
        <f ca="1">SUMIF(MICRO!AP:AP,O:O,MICRO!T:T)</f>
        <v>0</v>
      </c>
      <c r="J354" s="114">
        <f t="shared" ca="1" si="130"/>
        <v>1</v>
      </c>
      <c r="K354" s="113">
        <f ca="1">SUMIF(MICRO!AP:AP,O:O,MICRO!X:X)</f>
        <v>99</v>
      </c>
      <c r="L354" s="114">
        <f t="shared" ca="1" si="131"/>
        <v>1</v>
      </c>
      <c r="M354" s="113">
        <f t="shared" ca="1" si="132"/>
        <v>0</v>
      </c>
      <c r="N354" s="56" t="str">
        <f t="shared" ca="1" si="133"/>
        <v>P-203ROLOS</v>
      </c>
      <c r="O354" s="56" t="str">
        <f t="shared" ca="1" si="134"/>
        <v>P203P-203ROLOS</v>
      </c>
      <c r="P354" s="2">
        <f ca="1">SUMIF(MICRO!AP:AP,O354,MICRO!AS:AS)</f>
        <v>0</v>
      </c>
      <c r="Q354">
        <f ca="1">SUMIF(MICRO!AP:AP,O354,MICRO!AT:AT)</f>
        <v>0</v>
      </c>
      <c r="R354">
        <f ca="1">SUMIF(MICRO!AP:AP,O:O,MICRO!AU:AU)</f>
        <v>99</v>
      </c>
    </row>
    <row r="355" spans="4:18" ht="18.75" thickBot="1" x14ac:dyDescent="0.3">
      <c r="D355" s="110" t="s">
        <v>3022</v>
      </c>
      <c r="E355" s="111" t="e">
        <f ca="1">VLOOKUP(Tabela2[[#This Row],[TAG]],MICRO!J:L,3,0)</f>
        <v>#N/A</v>
      </c>
      <c r="F355" s="109" t="s">
        <v>33</v>
      </c>
      <c r="G355" s="112">
        <f ca="1">SUMIF(MICRO!AP:AP,O:O,MICRO!H:H)</f>
        <v>0</v>
      </c>
      <c r="H355" s="113">
        <f ca="1">SUMIF(MICRO!AP:AP,O:O,MICRO!R:R)</f>
        <v>0</v>
      </c>
      <c r="I355" s="113">
        <f ca="1">SUMIF(MICRO!AP:AP,O:O,MICRO!T:T)</f>
        <v>0</v>
      </c>
      <c r="J355" s="114">
        <f t="shared" ca="1" si="130"/>
        <v>0</v>
      </c>
      <c r="K355" s="113">
        <f ca="1">SUMIF(MICRO!AP:AP,O:O,MICRO!X:X)</f>
        <v>0</v>
      </c>
      <c r="L355" s="114" t="str">
        <f t="shared" ca="1" si="131"/>
        <v>0%</v>
      </c>
      <c r="M355" s="113">
        <f t="shared" ca="1" si="132"/>
        <v>0</v>
      </c>
      <c r="N355" s="56" t="e">
        <f t="shared" ca="1" si="133"/>
        <v>#N/A</v>
      </c>
      <c r="O355" s="56" t="e">
        <f ca="1">D355&amp;E355&amp;F355</f>
        <v>#N/A</v>
      </c>
      <c r="P355" s="2">
        <f ca="1">SUMIF(MICRO!AP:AP,O355,MICRO!AS:AS)</f>
        <v>0</v>
      </c>
      <c r="Q355">
        <f ca="1">SUMIF(MICRO!AP:AP,O355,MICRO!AT:AT)</f>
        <v>0</v>
      </c>
      <c r="R355">
        <f ca="1">SUMIF(MICRO!AP:AP,O:O,MICRO!AU:AU)</f>
        <v>0</v>
      </c>
    </row>
    <row r="356" spans="4:18" ht="18.75" thickBot="1" x14ac:dyDescent="0.3">
      <c r="D356" s="110" t="s">
        <v>3021</v>
      </c>
      <c r="E356" s="111" t="e">
        <f ca="1">VLOOKUP(Tabela2[[#This Row],[TAG]],MICRO!J:L,3,0)</f>
        <v>#N/A</v>
      </c>
      <c r="F356" s="109" t="s">
        <v>33</v>
      </c>
      <c r="G356" s="112">
        <f ca="1">SUMIF(MICRO!AP:AP,O:O,MICRO!H:H)</f>
        <v>0</v>
      </c>
      <c r="H356" s="113">
        <f ca="1">SUMIF(MICRO!AP:AP,O:O,MICRO!R:R)</f>
        <v>0</v>
      </c>
      <c r="I356" s="113">
        <f ca="1">SUMIF(MICRO!AP:AP,O:O,MICRO!T:T)</f>
        <v>0</v>
      </c>
      <c r="J356" s="114">
        <f t="shared" ca="1" si="130"/>
        <v>0</v>
      </c>
      <c r="K356" s="113">
        <f ca="1">SUMIF(MICRO!AP:AP,O:O,MICRO!X:X)</f>
        <v>0</v>
      </c>
      <c r="L356" s="114" t="str">
        <f t="shared" ca="1" si="131"/>
        <v>0%</v>
      </c>
      <c r="M356" s="113">
        <f t="shared" ca="1" si="132"/>
        <v>0</v>
      </c>
      <c r="N356" s="56" t="e">
        <f t="shared" ca="1" si="133"/>
        <v>#N/A</v>
      </c>
      <c r="O356" s="56" t="e">
        <f ca="1">D356&amp;E356&amp;F356</f>
        <v>#N/A</v>
      </c>
      <c r="P356" s="2">
        <f ca="1">SUMIF(MICRO!AP:AP,O356,MICRO!AS:AS)</f>
        <v>0</v>
      </c>
      <c r="Q356">
        <f ca="1">SUMIF(MICRO!AP:AP,O356,MICRO!AT:AT)</f>
        <v>0</v>
      </c>
      <c r="R356">
        <f ca="1">SUMIF(MICRO!AP:AP,O:O,MICRO!AU:AU)</f>
        <v>0</v>
      </c>
    </row>
    <row r="357" spans="4:18" ht="18.75" thickBot="1" x14ac:dyDescent="0.3">
      <c r="D357" s="110" t="s">
        <v>3034</v>
      </c>
      <c r="E357" s="111" t="str">
        <f ca="1">VLOOKUP(Tabela2[[#This Row],[TAG]],MICRO!J:L,3,0)</f>
        <v>P-198</v>
      </c>
      <c r="F357" s="109" t="s">
        <v>31</v>
      </c>
      <c r="G357" s="112">
        <f ca="1">SUMIF(MICRO!AP:AP,O:O,MICRO!H:H)</f>
        <v>6428.3999999999987</v>
      </c>
      <c r="H357" s="113">
        <f ca="1">SUMIF(MICRO!AP:AP,O:O,MICRO!R:R)</f>
        <v>5675.338749999999</v>
      </c>
      <c r="I357" s="113">
        <f ca="1">SUMIF(MICRO!AP:AP,O:O,MICRO!T:T)</f>
        <v>-1481.1</v>
      </c>
      <c r="J357" s="114">
        <f t="shared" ca="1" si="130"/>
        <v>0.88285401499595551</v>
      </c>
      <c r="K357" s="113">
        <f ca="1">SUMIF(MICRO!AP:AP,O:O,MICRO!X:X)</f>
        <v>4808.9000000000005</v>
      </c>
      <c r="L357" s="114">
        <f t="shared" ca="1" si="131"/>
        <v>0.7480710596727026</v>
      </c>
      <c r="M357" s="113">
        <f t="shared" ca="1" si="132"/>
        <v>1619.4999999999982</v>
      </c>
      <c r="N357" s="56" t="str">
        <f t="shared" ca="1" si="133"/>
        <v>P-198ESTRUTURA</v>
      </c>
      <c r="O357" s="56" t="str">
        <f t="shared" ca="1" si="134"/>
        <v>05-CV-0001P-198ESTRUTURA</v>
      </c>
      <c r="P357" s="2">
        <f ca="1">SUMIF(MICRO!AP:AP,O357,MICRO!AS:AS)</f>
        <v>0</v>
      </c>
      <c r="Q357">
        <f ca="1">SUMIF(MICRO!AP:AP,O357,MICRO!AT:AT)</f>
        <v>137.80000000000001</v>
      </c>
      <c r="R357">
        <f ca="1">SUMIF(MICRO!AP:AP,O:O,MICRO!AU:AU)</f>
        <v>4809.5</v>
      </c>
    </row>
    <row r="358" spans="4:18" ht="18.75" thickBot="1" x14ac:dyDescent="0.3">
      <c r="D358" s="110" t="s">
        <v>3093</v>
      </c>
      <c r="E358" s="111" t="str">
        <f ca="1">VLOOKUP(Tabela2[[#This Row],[TAG]],MICRO!J:L,3,0)</f>
        <v>P-198</v>
      </c>
      <c r="F358" s="109" t="s">
        <v>31</v>
      </c>
      <c r="G358" s="112">
        <f ca="1">SUMIF(MICRO!AP:AP,O:O,MICRO!H:H)</f>
        <v>0</v>
      </c>
      <c r="H358" s="113">
        <f ca="1">SUMIF(MICRO!AP:AP,O:O,MICRO!R:R)</f>
        <v>0</v>
      </c>
      <c r="I358" s="113">
        <f ca="1">SUMIF(MICRO!AP:AP,O:O,MICRO!T:T)</f>
        <v>0</v>
      </c>
      <c r="J358" s="114">
        <f t="shared" ca="1" si="130"/>
        <v>0</v>
      </c>
      <c r="K358" s="113">
        <f ca="1">SUMIF(MICRO!AP:AP,O:O,MICRO!X:X)</f>
        <v>0</v>
      </c>
      <c r="L358" s="114" t="str">
        <f t="shared" ca="1" si="131"/>
        <v>0%</v>
      </c>
      <c r="M358" s="113">
        <f t="shared" ca="1" si="132"/>
        <v>0</v>
      </c>
      <c r="N358" s="56" t="str">
        <f t="shared" ca="1" si="133"/>
        <v>P-198ESTRUTURA</v>
      </c>
      <c r="O358" s="56" t="str">
        <f t="shared" ca="1" si="134"/>
        <v>14-AC-0001P-198ESTRUTURA</v>
      </c>
      <c r="P358" s="2">
        <f ca="1">SUMIF(MICRO!AP:AP,O358,MICRO!AS:AS)</f>
        <v>0</v>
      </c>
      <c r="Q358">
        <f ca="1">SUMIF(MICRO!AP:AP,O358,MICRO!AT:AT)</f>
        <v>0</v>
      </c>
      <c r="R358">
        <f ca="1">SUMIF(MICRO!AP:AP,O:O,MICRO!AU:AU)</f>
        <v>0</v>
      </c>
    </row>
    <row r="359" spans="4:18" ht="18.75" thickBot="1" x14ac:dyDescent="0.3">
      <c r="D359" s="110" t="s">
        <v>3045</v>
      </c>
      <c r="E359" s="111" t="str">
        <f ca="1">VLOOKUP(Tabela2[[#This Row],[TAG]],MICRO!J:L,3,0)</f>
        <v>P-198</v>
      </c>
      <c r="F359" s="109" t="s">
        <v>31</v>
      </c>
      <c r="G359" s="112">
        <f ca="1">SUMIF(MICRO!AP:AP,O:O,MICRO!H:H)</f>
        <v>1680.7</v>
      </c>
      <c r="H359" s="113">
        <f ca="1">SUMIF(MICRO!AP:AP,O:O,MICRO!R:R)</f>
        <v>1680.7</v>
      </c>
      <c r="I359" s="113">
        <f ca="1">SUMIF(MICRO!AP:AP,O:O,MICRO!T:T)</f>
        <v>0</v>
      </c>
      <c r="J359" s="114">
        <f t="shared" ca="1" si="130"/>
        <v>1</v>
      </c>
      <c r="K359" s="113">
        <f ca="1">SUMIF(MICRO!AP:AP,O:O,MICRO!X:X)</f>
        <v>1680.7</v>
      </c>
      <c r="L359" s="114">
        <f t="shared" ca="1" si="131"/>
        <v>1</v>
      </c>
      <c r="M359" s="113">
        <f t="shared" ca="1" si="132"/>
        <v>0</v>
      </c>
      <c r="N359" s="56" t="str">
        <f t="shared" ca="1" si="133"/>
        <v>P-198ESTRUTURA</v>
      </c>
      <c r="O359" s="56" t="str">
        <f t="shared" ca="1" si="134"/>
        <v>14-CV-0001P-198ESTRUTURA</v>
      </c>
      <c r="P359" s="2">
        <f ca="1">SUMIF(MICRO!AP:AP,O359,MICRO!AS:AS)</f>
        <v>0</v>
      </c>
      <c r="Q359">
        <f ca="1">SUMIF(MICRO!AP:AP,O359,MICRO!AT:AT)</f>
        <v>0</v>
      </c>
      <c r="R359">
        <f ca="1">SUMIF(MICRO!AP:AP,O:O,MICRO!AU:AU)</f>
        <v>1680.7</v>
      </c>
    </row>
    <row r="360" spans="4:18" ht="18.75" thickBot="1" x14ac:dyDescent="0.3">
      <c r="D360" s="110" t="s">
        <v>3140</v>
      </c>
      <c r="E360" s="111" t="str">
        <f ca="1">VLOOKUP(Tabela2[[#This Row],[TAG]],MICRO!J:L,3,0)</f>
        <v>P-198</v>
      </c>
      <c r="F360" s="109" t="s">
        <v>31</v>
      </c>
      <c r="G360" s="112">
        <f ca="1">SUMIF(MICRO!AP:AP,O:O,MICRO!H:H)</f>
        <v>0</v>
      </c>
      <c r="H360" s="113">
        <f ca="1">SUMIF(MICRO!AP:AP,O:O,MICRO!R:R)</f>
        <v>0</v>
      </c>
      <c r="I360" s="113">
        <f ca="1">SUMIF(MICRO!AP:AP,O:O,MICRO!T:T)</f>
        <v>0</v>
      </c>
      <c r="J360" s="114">
        <f t="shared" ca="1" si="130"/>
        <v>0</v>
      </c>
      <c r="K360" s="113">
        <f ca="1">SUMIF(MICRO!AP:AP,O:O,MICRO!X:X)</f>
        <v>0</v>
      </c>
      <c r="L360" s="114" t="str">
        <f t="shared" ca="1" si="131"/>
        <v>0%</v>
      </c>
      <c r="M360" s="113">
        <f t="shared" ca="1" si="132"/>
        <v>0</v>
      </c>
      <c r="N360" s="56" t="str">
        <f t="shared" ca="1" si="133"/>
        <v>P-198ESTRUTURA</v>
      </c>
      <c r="O360" s="56" t="str">
        <f t="shared" ca="1" si="134"/>
        <v>14-CV-0005P-198ESTRUTURA</v>
      </c>
      <c r="P360" s="2">
        <f ca="1">SUMIF(MICRO!AP:AP,O360,MICRO!AS:AS)</f>
        <v>0</v>
      </c>
      <c r="Q360">
        <f ca="1">SUMIF(MICRO!AP:AP,O360,MICRO!AT:AT)</f>
        <v>0</v>
      </c>
      <c r="R360">
        <f ca="1">SUMIF(MICRO!AP:AP,O:O,MICRO!AU:AU)</f>
        <v>0</v>
      </c>
    </row>
    <row r="361" spans="4:18" ht="18.75" thickBot="1" x14ac:dyDescent="0.3">
      <c r="D361" s="110" t="s">
        <v>3034</v>
      </c>
      <c r="E361" s="111" t="str">
        <f ca="1">VLOOKUP(Tabela2[[#This Row],[TAG]],MICRO!J:L,3,0)</f>
        <v>P-198</v>
      </c>
      <c r="F361" s="109" t="s">
        <v>23</v>
      </c>
      <c r="G361" s="112">
        <f ca="1">SUMIF(MICRO!AP:AP,O:O,MICRO!H:H)</f>
        <v>1473.6</v>
      </c>
      <c r="H361" s="113">
        <f ca="1">SUMIF(MICRO!AP:AP,O:O,MICRO!R:R)</f>
        <v>1473.6</v>
      </c>
      <c r="I361" s="113">
        <f ca="1">SUMIF(MICRO!AP:AP,O:O,MICRO!T:T)</f>
        <v>0</v>
      </c>
      <c r="J361" s="114">
        <f t="shared" ca="1" si="130"/>
        <v>1</v>
      </c>
      <c r="K361" s="113">
        <f ca="1">SUMIF(MICRO!AP:AP,O:O,MICRO!X:X)</f>
        <v>1473.6</v>
      </c>
      <c r="L361" s="114">
        <f t="shared" ca="1" si="131"/>
        <v>1</v>
      </c>
      <c r="M361" s="113">
        <f t="shared" ca="1" si="132"/>
        <v>0</v>
      </c>
      <c r="N361" s="56" t="str">
        <f t="shared" ca="1" si="133"/>
        <v>P-198ROLOS</v>
      </c>
      <c r="O361" s="56" t="str">
        <f t="shared" ca="1" si="134"/>
        <v>05-CV-0001P-198ROLOS</v>
      </c>
      <c r="P361" s="2">
        <f ca="1">SUMIF(MICRO!AP:AP,O361,MICRO!AS:AS)</f>
        <v>0</v>
      </c>
      <c r="Q361">
        <f ca="1">SUMIF(MICRO!AP:AP,O361,MICRO!AT:AT)</f>
        <v>0</v>
      </c>
      <c r="R361">
        <f ca="1">SUMIF(MICRO!AP:AP,O:O,MICRO!AU:AU)</f>
        <v>1473.6</v>
      </c>
    </row>
    <row r="362" spans="4:18" ht="18.75" thickBot="1" x14ac:dyDescent="0.3">
      <c r="D362" s="110" t="s">
        <v>3093</v>
      </c>
      <c r="E362" s="111" t="str">
        <f ca="1">VLOOKUP(Tabela2[[#This Row],[TAG]],MICRO!J:L,3,0)</f>
        <v>P-198</v>
      </c>
      <c r="F362" s="109" t="s">
        <v>23</v>
      </c>
      <c r="G362" s="112">
        <f ca="1">SUMIF(MICRO!AP:AP,O:O,MICRO!H:H)</f>
        <v>3347.8</v>
      </c>
      <c r="H362" s="113">
        <f ca="1">SUMIF(MICRO!AP:AP,O:O,MICRO!R:R)</f>
        <v>3347.8</v>
      </c>
      <c r="I362" s="113">
        <f ca="1">SUMIF(MICRO!AP:AP,O:O,MICRO!T:T)</f>
        <v>0</v>
      </c>
      <c r="J362" s="114">
        <f t="shared" ref="J362:J388" ca="1" si="135">IF(G362 = 0,0,H362/G362)</f>
        <v>1</v>
      </c>
      <c r="K362" s="113">
        <f ca="1">SUMIF(MICRO!AP:AP,O:O,MICRO!X:X)</f>
        <v>3347.8</v>
      </c>
      <c r="L362" s="114">
        <f t="shared" ref="L362:L388" ca="1" si="136">IF(G362&lt;&gt;0,SUM(K362/G362*1),"0%")</f>
        <v>1</v>
      </c>
      <c r="M362" s="113">
        <f t="shared" ref="M362:M388" ca="1" si="137">G362-K362</f>
        <v>0</v>
      </c>
      <c r="N362" s="56" t="str">
        <f t="shared" ref="N362:N388" ca="1" si="138">E362&amp;F362</f>
        <v>P-198ROLOS</v>
      </c>
      <c r="O362" s="56" t="str">
        <f t="shared" ref="O362:O388" ca="1" si="139">D362&amp;E362&amp;F362</f>
        <v>14-AC-0001P-198ROLOS</v>
      </c>
      <c r="P362" s="2">
        <f ca="1">SUMIF(MICRO!AP:AP,O362,MICRO!AS:AS)</f>
        <v>0</v>
      </c>
      <c r="Q362">
        <f ca="1">SUMIF(MICRO!AP:AP,O362,MICRO!AT:AT)</f>
        <v>0</v>
      </c>
      <c r="R362">
        <f ca="1">SUMIF(MICRO!AP:AP,O:O,MICRO!AU:AU)</f>
        <v>3347.8</v>
      </c>
    </row>
    <row r="363" spans="4:18" ht="18.75" thickBot="1" x14ac:dyDescent="0.3">
      <c r="D363" s="110" t="s">
        <v>3045</v>
      </c>
      <c r="E363" s="111" t="str">
        <f ca="1">VLOOKUP(Tabela2[[#This Row],[TAG]],MICRO!J:L,3,0)</f>
        <v>P-198</v>
      </c>
      <c r="F363" s="109" t="s">
        <v>23</v>
      </c>
      <c r="G363" s="112">
        <f ca="1">SUMIF(MICRO!AP:AP,O:O,MICRO!H:H)</f>
        <v>3548.6</v>
      </c>
      <c r="H363" s="113">
        <f ca="1">SUMIF(MICRO!AP:AP,O:O,MICRO!R:R)</f>
        <v>3548.6</v>
      </c>
      <c r="I363" s="113">
        <f ca="1">SUMIF(MICRO!AP:AP,O:O,MICRO!T:T)</f>
        <v>0</v>
      </c>
      <c r="J363" s="114">
        <f t="shared" ca="1" si="135"/>
        <v>1</v>
      </c>
      <c r="K363" s="113">
        <f ca="1">SUMIF(MICRO!AP:AP,O:O,MICRO!X:X)</f>
        <v>3548.6</v>
      </c>
      <c r="L363" s="114">
        <f t="shared" ca="1" si="136"/>
        <v>1</v>
      </c>
      <c r="M363" s="113">
        <f t="shared" ca="1" si="137"/>
        <v>0</v>
      </c>
      <c r="N363" s="56" t="str">
        <f t="shared" ca="1" si="138"/>
        <v>P-198ROLOS</v>
      </c>
      <c r="O363" s="56" t="str">
        <f t="shared" ca="1" si="139"/>
        <v>14-CV-0001P-198ROLOS</v>
      </c>
      <c r="P363" s="2">
        <f ca="1">SUMIF(MICRO!AP:AP,O363,MICRO!AS:AS)</f>
        <v>0</v>
      </c>
      <c r="Q363">
        <f ca="1">SUMIF(MICRO!AP:AP,O363,MICRO!AT:AT)</f>
        <v>0</v>
      </c>
      <c r="R363">
        <f ca="1">SUMIF(MICRO!AP:AP,O:O,MICRO!AU:AU)</f>
        <v>3548.6</v>
      </c>
    </row>
    <row r="364" spans="4:18" ht="18.75" thickBot="1" x14ac:dyDescent="0.3">
      <c r="D364" s="110" t="s">
        <v>3140</v>
      </c>
      <c r="E364" s="111" t="str">
        <f ca="1">VLOOKUP(Tabela2[[#This Row],[TAG]],MICRO!J:L,3,0)</f>
        <v>P-198</v>
      </c>
      <c r="F364" s="109" t="s">
        <v>23</v>
      </c>
      <c r="G364" s="112">
        <f ca="1">SUMIF(MICRO!AP:AP,O:O,MICRO!H:H)</f>
        <v>911.40000000000009</v>
      </c>
      <c r="H364" s="113">
        <f ca="1">SUMIF(MICRO!AP:AP,O:O,MICRO!R:R)</f>
        <v>911.40000000000009</v>
      </c>
      <c r="I364" s="113">
        <f ca="1">SUMIF(MICRO!AP:AP,O:O,MICRO!T:T)</f>
        <v>0</v>
      </c>
      <c r="J364" s="114">
        <f t="shared" ca="1" si="135"/>
        <v>1</v>
      </c>
      <c r="K364" s="113">
        <f ca="1">SUMIF(MICRO!AP:AP,O:O,MICRO!X:X)</f>
        <v>911.40000000000009</v>
      </c>
      <c r="L364" s="114">
        <f t="shared" ca="1" si="136"/>
        <v>1</v>
      </c>
      <c r="M364" s="113">
        <f t="shared" ca="1" si="137"/>
        <v>0</v>
      </c>
      <c r="N364" s="56" t="str">
        <f t="shared" ca="1" si="138"/>
        <v>P-198ROLOS</v>
      </c>
      <c r="O364" s="56" t="str">
        <f t="shared" ca="1" si="139"/>
        <v>14-CV-0005P-198ROLOS</v>
      </c>
      <c r="P364" s="2">
        <f ca="1">SUMIF(MICRO!AP:AP,O364,MICRO!AS:AS)</f>
        <v>0</v>
      </c>
      <c r="Q364">
        <f ca="1">SUMIF(MICRO!AP:AP,O364,MICRO!AT:AT)</f>
        <v>0</v>
      </c>
      <c r="R364">
        <f ca="1"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 ca="1">VLOOKUP(Tabela2[[#This Row],[TAG]],MICRO!J:L,3,0)</f>
        <v>P-198</v>
      </c>
      <c r="F365" s="109" t="s">
        <v>33</v>
      </c>
      <c r="G365" s="112">
        <f ca="1">SUMIF(MICRO!AP:AP,O:O,MICRO!H:H)</f>
        <v>2143.4</v>
      </c>
      <c r="H365" s="113">
        <f ca="1">SUMIF(MICRO!AP:AP,O:O,MICRO!R:R)</f>
        <v>2143.4</v>
      </c>
      <c r="I365" s="113">
        <f ca="1">SUMIF(MICRO!AP:AP,O:O,MICRO!T:T)</f>
        <v>0</v>
      </c>
      <c r="J365" s="114">
        <f t="shared" ca="1" si="135"/>
        <v>1</v>
      </c>
      <c r="K365" s="113">
        <f ca="1">SUMIF(MICRO!AP:AP,O:O,MICRO!X:X)</f>
        <v>2143.4</v>
      </c>
      <c r="L365" s="114">
        <f t="shared" ca="1" si="136"/>
        <v>1</v>
      </c>
      <c r="M365" s="113">
        <f t="shared" ca="1" si="137"/>
        <v>0</v>
      </c>
      <c r="N365" s="56" t="str">
        <f t="shared" ca="1" si="138"/>
        <v>P-198BASES ROLETES</v>
      </c>
      <c r="O365" s="56" t="str">
        <f t="shared" ca="1" si="139"/>
        <v>05-CV-0001P-198BASES ROLETES</v>
      </c>
      <c r="P365" s="2">
        <f ca="1">SUMIF(MICRO!AP:AP,O365,MICRO!AS:AS)</f>
        <v>0</v>
      </c>
      <c r="Q365">
        <f ca="1">SUMIF(MICRO!AP:AP,O365,MICRO!AT:AT)</f>
        <v>0</v>
      </c>
      <c r="R365">
        <f ca="1">SUMIF(MICRO!AP:AP,O:O,MICRO!AU:AU)</f>
        <v>2143.4</v>
      </c>
    </row>
    <row r="366" spans="4:18" ht="18.75" thickBot="1" x14ac:dyDescent="0.3">
      <c r="D366" s="8" t="s">
        <v>3093</v>
      </c>
      <c r="E366" s="111" t="str">
        <f ca="1">VLOOKUP(Tabela2[[#This Row],[TAG]],MICRO!J:L,3,0)</f>
        <v>P-198</v>
      </c>
      <c r="F366" s="109" t="s">
        <v>33</v>
      </c>
      <c r="G366" s="112">
        <f ca="1">SUMIF(MICRO!AP:AP,O:O,MICRO!H:H)</f>
        <v>4050.8000000000006</v>
      </c>
      <c r="H366" s="113">
        <f ca="1">SUMIF(MICRO!AP:AP,O:O,MICRO!R:R)</f>
        <v>4050.8000000000006</v>
      </c>
      <c r="I366" s="113">
        <f ca="1">SUMIF(MICRO!AP:AP,O:O,MICRO!T:T)</f>
        <v>0</v>
      </c>
      <c r="J366" s="114">
        <f t="shared" ca="1" si="135"/>
        <v>1</v>
      </c>
      <c r="K366" s="113">
        <f ca="1">SUMIF(MICRO!AP:AP,O:O,MICRO!X:X)</f>
        <v>3410.0000000000005</v>
      </c>
      <c r="L366" s="114">
        <f t="shared" ca="1" si="136"/>
        <v>0.84180902537770319</v>
      </c>
      <c r="M366" s="113">
        <f t="shared" ca="1" si="137"/>
        <v>640.80000000000018</v>
      </c>
      <c r="N366" s="56" t="str">
        <f t="shared" ca="1" si="138"/>
        <v>P-198BASES ROLETES</v>
      </c>
      <c r="O366" s="56" t="str">
        <f t="shared" ca="1" si="139"/>
        <v>14-AC-0001P-198BASES ROLETES</v>
      </c>
      <c r="P366" s="2">
        <f ca="1">SUMIF(MICRO!AP:AP,O366,MICRO!AS:AS)</f>
        <v>0</v>
      </c>
      <c r="Q366">
        <f ca="1">SUMIF(MICRO!AP:AP,O366,MICRO!AT:AT)</f>
        <v>0</v>
      </c>
      <c r="R366">
        <f ca="1">SUMIF(MICRO!AP:AP,O:O,MICRO!AU:AU)</f>
        <v>4050.8000000000006</v>
      </c>
    </row>
    <row r="367" spans="4:18" ht="18.75" thickBot="1" x14ac:dyDescent="0.3">
      <c r="D367" s="110" t="s">
        <v>3045</v>
      </c>
      <c r="E367" s="111" t="str">
        <f ca="1">VLOOKUP(Tabela2[[#This Row],[TAG]],MICRO!J:L,3,0)</f>
        <v>P-198</v>
      </c>
      <c r="F367" s="109" t="s">
        <v>33</v>
      </c>
      <c r="G367" s="112">
        <f ca="1">SUMIF(MICRO!AP:AP,O:O,MICRO!H:H)</f>
        <v>3448.3999999999996</v>
      </c>
      <c r="H367" s="113">
        <f ca="1">SUMIF(MICRO!AP:AP,O:O,MICRO!R:R)</f>
        <v>3448.3999999999996</v>
      </c>
      <c r="I367" s="113">
        <f ca="1">SUMIF(MICRO!AP:AP,O:O,MICRO!T:T)</f>
        <v>0</v>
      </c>
      <c r="J367" s="114">
        <f t="shared" ca="1" si="135"/>
        <v>1</v>
      </c>
      <c r="K367" s="113">
        <f ca="1">SUMIF(MICRO!AP:AP,O:O,MICRO!X:X)</f>
        <v>3448.3999999999996</v>
      </c>
      <c r="L367" s="114">
        <f t="shared" ca="1" si="136"/>
        <v>1</v>
      </c>
      <c r="M367" s="113">
        <f t="shared" ca="1" si="137"/>
        <v>0</v>
      </c>
      <c r="N367" s="56" t="str">
        <f t="shared" ca="1" si="138"/>
        <v>P-198BASES ROLETES</v>
      </c>
      <c r="O367" s="56" t="str">
        <f t="shared" ca="1" si="139"/>
        <v>14-CV-0001P-198BASES ROLETES</v>
      </c>
      <c r="P367" s="2">
        <f ca="1">SUMIF(MICRO!AP:AP,O367,MICRO!AS:AS)</f>
        <v>0</v>
      </c>
      <c r="Q367">
        <f ca="1">SUMIF(MICRO!AP:AP,O367,MICRO!AT:AT)</f>
        <v>0</v>
      </c>
      <c r="R367">
        <f ca="1"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 ca="1">VLOOKUP(Tabela2[[#This Row],[TAG]],MICRO!J:L,3,0)</f>
        <v>P-198</v>
      </c>
      <c r="F368" s="109" t="s">
        <v>33</v>
      </c>
      <c r="G368" s="112">
        <f ca="1">SUMIF(MICRO!AP:AP,O:O,MICRO!H:H)</f>
        <v>936.59999999999991</v>
      </c>
      <c r="H368" s="113">
        <f ca="1">SUMIF(MICRO!AP:AP,O:O,MICRO!R:R)</f>
        <v>936.59999999999991</v>
      </c>
      <c r="I368" s="113">
        <f ca="1">SUMIF(MICRO!AP:AP,O:O,MICRO!T:T)</f>
        <v>0</v>
      </c>
      <c r="J368" s="114">
        <f t="shared" ca="1" si="135"/>
        <v>1</v>
      </c>
      <c r="K368" s="113">
        <f ca="1">SUMIF(MICRO!AP:AP,O:O,MICRO!X:X)</f>
        <v>936.59999999999991</v>
      </c>
      <c r="L368" s="114">
        <f t="shared" ca="1" si="136"/>
        <v>1</v>
      </c>
      <c r="M368" s="113">
        <f t="shared" ca="1" si="137"/>
        <v>0</v>
      </c>
      <c r="N368" s="56" t="str">
        <f t="shared" ca="1" si="138"/>
        <v>P-198BASES ROLETES</v>
      </c>
      <c r="O368" s="56" t="str">
        <f t="shared" ca="1" si="139"/>
        <v>14-CV-0005P-198BASES ROLETES</v>
      </c>
      <c r="P368" s="2">
        <f ca="1">SUMIF(MICRO!AP:AP,O368,MICRO!AS:AS)</f>
        <v>0</v>
      </c>
      <c r="Q368">
        <f ca="1">SUMIF(MICRO!AP:AP,O368,MICRO!AT:AT)</f>
        <v>0</v>
      </c>
      <c r="R368">
        <f ca="1"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 ca="1">VLOOKUP(Tabela2[[#This Row],[TAG]],MICRO!J:L,3,0)</f>
        <v>P-198</v>
      </c>
      <c r="F369" s="109" t="s">
        <v>45</v>
      </c>
      <c r="G369" s="112">
        <f ca="1">SUMIF(MICRO!AP:AP,O:O,MICRO!H:H)</f>
        <v>0</v>
      </c>
      <c r="H369" s="113">
        <f ca="1">SUMIF(MICRO!AP:AP,O:O,MICRO!R:R)</f>
        <v>0</v>
      </c>
      <c r="I369" s="113">
        <f ca="1">SUMIF(MICRO!AP:AP,O:O,MICRO!T:T)</f>
        <v>0</v>
      </c>
      <c r="J369" s="114">
        <f t="shared" ca="1" si="135"/>
        <v>0</v>
      </c>
      <c r="K369" s="113">
        <f ca="1">SUMIF(MICRO!AP:AP,O:O,MICRO!X:X)</f>
        <v>0</v>
      </c>
      <c r="L369" s="114" t="str">
        <f t="shared" ca="1" si="136"/>
        <v>0%</v>
      </c>
      <c r="M369" s="113">
        <f t="shared" ca="1" si="137"/>
        <v>0</v>
      </c>
      <c r="N369" s="56" t="str">
        <f t="shared" ca="1" si="138"/>
        <v>P-198COMERCIAL</v>
      </c>
      <c r="O369" s="56" t="str">
        <f t="shared" ca="1" si="139"/>
        <v>05-CV-0001P-198COMERCIAL</v>
      </c>
      <c r="P369" s="2">
        <f ca="1">SUMIF(MICRO!AP:AP,O369,MICRO!AS:AS)</f>
        <v>0</v>
      </c>
      <c r="Q369">
        <f ca="1">SUMIF(MICRO!AP:AP,O369,MICRO!AT:AT)</f>
        <v>0</v>
      </c>
      <c r="R369">
        <f ca="1">SUMIF(MICRO!AP:AP,O:O,MICRO!AU:AU)</f>
        <v>0</v>
      </c>
    </row>
    <row r="370" spans="4:18" ht="18.75" thickBot="1" x14ac:dyDescent="0.3">
      <c r="D370" s="110" t="s">
        <v>3093</v>
      </c>
      <c r="E370" s="111" t="str">
        <f ca="1">VLOOKUP(Tabela2[[#This Row],[TAG]],MICRO!J:L,3,0)</f>
        <v>P-198</v>
      </c>
      <c r="F370" s="109" t="s">
        <v>45</v>
      </c>
      <c r="G370" s="112">
        <f ca="1">SUMIF(MICRO!AP:AP,O:O,MICRO!H:H)</f>
        <v>0</v>
      </c>
      <c r="H370" s="113">
        <f ca="1">SUMIF(MICRO!AP:AP,O:O,MICRO!R:R)</f>
        <v>0</v>
      </c>
      <c r="I370" s="113">
        <f ca="1">SUMIF(MICRO!AP:AP,O:O,MICRO!T:T)</f>
        <v>0</v>
      </c>
      <c r="J370" s="114">
        <f t="shared" ca="1" si="135"/>
        <v>0</v>
      </c>
      <c r="K370" s="113">
        <f ca="1">SUMIF(MICRO!AP:AP,O:O,MICRO!X:X)</f>
        <v>0</v>
      </c>
      <c r="L370" s="114" t="str">
        <f t="shared" ca="1" si="136"/>
        <v>0%</v>
      </c>
      <c r="M370" s="113">
        <f t="shared" ca="1" si="137"/>
        <v>0</v>
      </c>
      <c r="N370" s="56" t="str">
        <f t="shared" ca="1" si="138"/>
        <v>P-198COMERCIAL</v>
      </c>
      <c r="O370" s="56" t="str">
        <f t="shared" ca="1" si="139"/>
        <v>14-AC-0001P-198COMERCIAL</v>
      </c>
      <c r="P370" s="2">
        <f ca="1">SUMIF(MICRO!AP:AP,O370,MICRO!AS:AS)</f>
        <v>0</v>
      </c>
      <c r="Q370">
        <f ca="1">SUMIF(MICRO!AP:AP,O370,MICRO!AT:AT)</f>
        <v>0</v>
      </c>
      <c r="R370">
        <f ca="1">SUMIF(MICRO!AP:AP,O:O,MICRO!AU:AU)</f>
        <v>0</v>
      </c>
    </row>
    <row r="371" spans="4:18" ht="18.75" thickBot="1" x14ac:dyDescent="0.3">
      <c r="D371" s="110" t="s">
        <v>3045</v>
      </c>
      <c r="E371" s="111" t="str">
        <f ca="1">VLOOKUP(Tabela2[[#This Row],[TAG]],MICRO!J:L,3,0)</f>
        <v>P-198</v>
      </c>
      <c r="F371" s="109" t="s">
        <v>45</v>
      </c>
      <c r="G371" s="112">
        <f ca="1">SUMIF(MICRO!AP:AP,O:O,MICRO!H:H)</f>
        <v>0</v>
      </c>
      <c r="H371" s="113">
        <f ca="1">SUMIF(MICRO!AP:AP,O:O,MICRO!R:R)</f>
        <v>0</v>
      </c>
      <c r="I371" s="113">
        <f ca="1">SUMIF(MICRO!AP:AP,O:O,MICRO!T:T)</f>
        <v>0</v>
      </c>
      <c r="J371" s="114">
        <f t="shared" ca="1" si="135"/>
        <v>0</v>
      </c>
      <c r="K371" s="113">
        <f ca="1">SUMIF(MICRO!AP:AP,O:O,MICRO!X:X)</f>
        <v>0</v>
      </c>
      <c r="L371" s="114" t="str">
        <f t="shared" ca="1" si="136"/>
        <v>0%</v>
      </c>
      <c r="M371" s="113">
        <f t="shared" ca="1" si="137"/>
        <v>0</v>
      </c>
      <c r="N371" s="56" t="str">
        <f t="shared" ca="1" si="138"/>
        <v>P-198COMERCIAL</v>
      </c>
      <c r="O371" s="56" t="str">
        <f t="shared" ca="1" si="139"/>
        <v>14-CV-0001P-198COMERCIAL</v>
      </c>
      <c r="P371" s="2">
        <f ca="1">SUMIF(MICRO!AP:AP,O371,MICRO!AS:AS)</f>
        <v>0</v>
      </c>
      <c r="Q371">
        <f ca="1">SUMIF(MICRO!AP:AP,O371,MICRO!AT:AT)</f>
        <v>0</v>
      </c>
      <c r="R371">
        <f ca="1">SUMIF(MICRO!AP:AP,O:O,MICRO!AU:AU)</f>
        <v>0</v>
      </c>
    </row>
    <row r="372" spans="4:18" ht="18.75" thickBot="1" x14ac:dyDescent="0.3">
      <c r="D372" s="110" t="s">
        <v>3140</v>
      </c>
      <c r="E372" s="111" t="str">
        <f ca="1">VLOOKUP(Tabela2[[#This Row],[TAG]],MICRO!J:L,3,0)</f>
        <v>P-198</v>
      </c>
      <c r="F372" s="109" t="s">
        <v>45</v>
      </c>
      <c r="G372" s="112">
        <f ca="1">SUMIF(MICRO!AP:AP,O:O,MICRO!H:H)</f>
        <v>0</v>
      </c>
      <c r="H372" s="113">
        <f ca="1">SUMIF(MICRO!AP:AP,O:O,MICRO!R:R)</f>
        <v>0</v>
      </c>
      <c r="I372" s="113">
        <f ca="1">SUMIF(MICRO!AP:AP,O:O,MICRO!T:T)</f>
        <v>0</v>
      </c>
      <c r="J372" s="114">
        <f t="shared" ca="1" si="135"/>
        <v>0</v>
      </c>
      <c r="K372" s="113">
        <f ca="1">SUMIF(MICRO!AP:AP,O:O,MICRO!X:X)</f>
        <v>0</v>
      </c>
      <c r="L372" s="114" t="str">
        <f t="shared" ca="1" si="136"/>
        <v>0%</v>
      </c>
      <c r="M372" s="113">
        <f t="shared" ca="1" si="137"/>
        <v>0</v>
      </c>
      <c r="N372" s="56" t="str">
        <f t="shared" ca="1" si="138"/>
        <v>P-198COMERCIAL</v>
      </c>
      <c r="O372" s="56" t="str">
        <f t="shared" ca="1" si="139"/>
        <v>14-CV-0005P-198COMERCIAL</v>
      </c>
      <c r="P372" s="2">
        <f ca="1">SUMIF(MICRO!AP:AP,O372,MICRO!AS:AS)</f>
        <v>0</v>
      </c>
      <c r="Q372">
        <f ca="1">SUMIF(MICRO!AP:AP,O372,MICRO!AT:AT)</f>
        <v>0</v>
      </c>
      <c r="R372">
        <f ca="1">SUMIF(MICRO!AP:AP,O:O,MICRO!AU:AU)</f>
        <v>0</v>
      </c>
    </row>
    <row r="373" spans="4:18" ht="18.75" thickBot="1" x14ac:dyDescent="0.3">
      <c r="D373" s="110" t="s">
        <v>3034</v>
      </c>
      <c r="E373" s="111" t="str">
        <f ca="1">VLOOKUP(Tabela2[[#This Row],[TAG]],MICRO!J:L,3,0)</f>
        <v>P-198</v>
      </c>
      <c r="F373" s="109" t="s">
        <v>22</v>
      </c>
      <c r="G373" s="112">
        <f ca="1">SUMIF(MICRO!AP:AP,O:O,MICRO!H:H)</f>
        <v>1709.1</v>
      </c>
      <c r="H373" s="113">
        <f ca="1">SUMIF(MICRO!AP:AP,O:O,MICRO!R:R)</f>
        <v>961.36874999999998</v>
      </c>
      <c r="I373" s="113">
        <f ca="1">SUMIF(MICRO!AP:AP,O:O,MICRO!T:T)</f>
        <v>-1709.1</v>
      </c>
      <c r="J373" s="114">
        <f t="shared" ca="1" si="135"/>
        <v>0.5625</v>
      </c>
      <c r="K373" s="113">
        <f ca="1">SUMIF(MICRO!AP:AP,O:O,MICRO!X:X)</f>
        <v>0</v>
      </c>
      <c r="L373" s="114">
        <f t="shared" ca="1" si="136"/>
        <v>0</v>
      </c>
      <c r="M373" s="113">
        <f t="shared" ca="1" si="137"/>
        <v>1709.1</v>
      </c>
      <c r="N373" s="56" t="str">
        <f t="shared" ca="1" si="138"/>
        <v>P-198TAMBOR</v>
      </c>
      <c r="O373" s="56" t="str">
        <f t="shared" ca="1" si="139"/>
        <v>05-CV-0001P-198TAMBOR</v>
      </c>
      <c r="P373" s="2">
        <f ca="1">SUMIF(MICRO!AP:AP,O373,MICRO!AS:AS)</f>
        <v>0</v>
      </c>
      <c r="Q373">
        <f ca="1">SUMIF(MICRO!AP:AP,O373,MICRO!AT:AT)</f>
        <v>0</v>
      </c>
      <c r="R373">
        <f ca="1">SUMIF(MICRO!AP:AP,O:O,MICRO!AU:AU)</f>
        <v>0</v>
      </c>
    </row>
    <row r="374" spans="4:18" ht="18.75" thickBot="1" x14ac:dyDescent="0.3">
      <c r="D374" s="110" t="s">
        <v>3093</v>
      </c>
      <c r="E374" s="111" t="str">
        <f ca="1">VLOOKUP(Tabela2[[#This Row],[TAG]],MICRO!J:L,3,0)</f>
        <v>P-198</v>
      </c>
      <c r="F374" s="109" t="s">
        <v>22</v>
      </c>
      <c r="G374" s="112">
        <f ca="1">SUMIF(MICRO!AP:AP,O:O,MICRO!H:H)</f>
        <v>0</v>
      </c>
      <c r="H374" s="113">
        <f ca="1">SUMIF(MICRO!AP:AP,O:O,MICRO!R:R)</f>
        <v>0</v>
      </c>
      <c r="I374" s="113">
        <f ca="1">SUMIF(MICRO!AP:AP,O:O,MICRO!T:T)</f>
        <v>0</v>
      </c>
      <c r="J374" s="114">
        <f t="shared" ca="1" si="135"/>
        <v>0</v>
      </c>
      <c r="K374" s="113">
        <f ca="1">SUMIF(MICRO!AP:AP,O:O,MICRO!X:X)</f>
        <v>0</v>
      </c>
      <c r="L374" s="114" t="str">
        <f t="shared" ca="1" si="136"/>
        <v>0%</v>
      </c>
      <c r="M374" s="113">
        <f t="shared" ca="1" si="137"/>
        <v>0</v>
      </c>
      <c r="N374" s="56" t="str">
        <f t="shared" ca="1" si="138"/>
        <v>P-198TAMBOR</v>
      </c>
      <c r="O374" s="56" t="str">
        <f t="shared" ca="1" si="139"/>
        <v>14-AC-0001P-198TAMBOR</v>
      </c>
      <c r="P374" s="2">
        <f ca="1">SUMIF(MICRO!AP:AP,O374,MICRO!AS:AS)</f>
        <v>0</v>
      </c>
      <c r="Q374">
        <f ca="1">SUMIF(MICRO!AP:AP,O374,MICRO!AT:AT)</f>
        <v>0</v>
      </c>
      <c r="R374">
        <f ca="1">SUMIF(MICRO!AP:AP,O:O,MICRO!AU:AU)</f>
        <v>0</v>
      </c>
    </row>
    <row r="375" spans="4:18" ht="18.75" thickBot="1" x14ac:dyDescent="0.3">
      <c r="D375" s="110" t="s">
        <v>3045</v>
      </c>
      <c r="E375" s="111" t="str">
        <f ca="1">VLOOKUP(Tabela2[[#This Row],[TAG]],MICRO!J:L,3,0)</f>
        <v>P-198</v>
      </c>
      <c r="F375" s="109" t="s">
        <v>22</v>
      </c>
      <c r="G375" s="112">
        <f ca="1">SUMIF(MICRO!AP:AP,O:O,MICRO!H:H)</f>
        <v>3329.2000000000003</v>
      </c>
      <c r="H375" s="113">
        <f ca="1">SUMIF(MICRO!AP:AP,O:O,MICRO!R:R)</f>
        <v>1872.6750000000002</v>
      </c>
      <c r="I375" s="113">
        <f ca="1">SUMIF(MICRO!AP:AP,O:O,MICRO!T:T)</f>
        <v>-3329.2000000000003</v>
      </c>
      <c r="J375" s="114">
        <f t="shared" ca="1" si="135"/>
        <v>0.5625</v>
      </c>
      <c r="K375" s="113">
        <f ca="1">SUMIF(MICRO!AP:AP,O:O,MICRO!X:X)</f>
        <v>0</v>
      </c>
      <c r="L375" s="114">
        <f t="shared" ca="1" si="136"/>
        <v>0</v>
      </c>
      <c r="M375" s="113">
        <f t="shared" ca="1" si="137"/>
        <v>3329.2000000000003</v>
      </c>
      <c r="N375" s="56" t="str">
        <f t="shared" ca="1" si="138"/>
        <v>P-198TAMBOR</v>
      </c>
      <c r="O375" s="56" t="str">
        <f t="shared" ca="1" si="139"/>
        <v>14-CV-0001P-198TAMBOR</v>
      </c>
      <c r="P375" s="2">
        <f ca="1">SUMIF(MICRO!AP:AP,O375,MICRO!AS:AS)</f>
        <v>0</v>
      </c>
      <c r="Q375">
        <f ca="1">SUMIF(MICRO!AP:AP,O375,MICRO!AT:AT)</f>
        <v>0</v>
      </c>
      <c r="R375">
        <f ca="1">SUMIF(MICRO!AP:AP,O:O,MICRO!AU:AU)</f>
        <v>0</v>
      </c>
    </row>
    <row r="376" spans="4:18" ht="18.75" thickBot="1" x14ac:dyDescent="0.3">
      <c r="D376" s="110" t="s">
        <v>3140</v>
      </c>
      <c r="E376" s="111" t="str">
        <f ca="1">VLOOKUP(Tabela2[[#This Row],[TAG]],MICRO!J:L,3,0)</f>
        <v>P-198</v>
      </c>
      <c r="F376" s="109" t="s">
        <v>22</v>
      </c>
      <c r="G376" s="112">
        <f ca="1">SUMIF(MICRO!AP:AP,O:O,MICRO!H:H)</f>
        <v>471.8</v>
      </c>
      <c r="H376" s="113">
        <f ca="1">SUMIF(MICRO!AP:AP,O:O,MICRO!R:R)</f>
        <v>127.91250000000001</v>
      </c>
      <c r="I376" s="113">
        <f ca="1">SUMIF(MICRO!AP:AP,O:O,MICRO!T:T)</f>
        <v>-471.8</v>
      </c>
      <c r="J376" s="114">
        <f t="shared" ca="1" si="135"/>
        <v>0.27111593895718528</v>
      </c>
      <c r="K376" s="113">
        <f ca="1">SUMIF(MICRO!AP:AP,O:O,MICRO!X:X)</f>
        <v>0</v>
      </c>
      <c r="L376" s="114">
        <f t="shared" ca="1" si="136"/>
        <v>0</v>
      </c>
      <c r="M376" s="113">
        <f t="shared" ca="1" si="137"/>
        <v>471.8</v>
      </c>
      <c r="N376" s="56" t="str">
        <f t="shared" ca="1" si="138"/>
        <v>P-198TAMBOR</v>
      </c>
      <c r="O376" s="56" t="str">
        <f t="shared" ca="1" si="139"/>
        <v>14-CV-0005P-198TAMBOR</v>
      </c>
      <c r="P376" s="2">
        <f ca="1">SUMIF(MICRO!AP:AP,O376,MICRO!AS:AS)</f>
        <v>0</v>
      </c>
      <c r="Q376">
        <f ca="1">SUMIF(MICRO!AP:AP,O376,MICRO!AT:AT)</f>
        <v>0</v>
      </c>
      <c r="R376">
        <f ca="1">SUMIF(MICRO!AP:AP,O:O,MICRO!AU:AU)</f>
        <v>0</v>
      </c>
    </row>
    <row r="377" spans="4:18" ht="18.75" thickBot="1" x14ac:dyDescent="0.3">
      <c r="D377" s="110" t="s">
        <v>3034</v>
      </c>
      <c r="E377" s="111" t="str">
        <f ca="1">VLOOKUP(Tabela2[[#This Row],[TAG]],MICRO!J:L,3,0)</f>
        <v>P-198</v>
      </c>
      <c r="F377" s="109" t="s">
        <v>44</v>
      </c>
      <c r="G377" s="112">
        <f ca="1">SUMIF(MICRO!AP:AP,O:O,MICRO!H:H)</f>
        <v>0</v>
      </c>
      <c r="H377" s="113">
        <f ca="1">SUMIF(MICRO!AP:AP,O:O,MICRO!R:R)</f>
        <v>0</v>
      </c>
      <c r="I377" s="113">
        <f ca="1">SUMIF(MICRO!AP:AP,O:O,MICRO!T:T)</f>
        <v>0</v>
      </c>
      <c r="J377" s="114">
        <f t="shared" ca="1" si="135"/>
        <v>0</v>
      </c>
      <c r="K377" s="113">
        <f ca="1">SUMIF(MICRO!AP:AP,O:O,MICRO!X:X)</f>
        <v>0</v>
      </c>
      <c r="L377" s="114" t="str">
        <f t="shared" ca="1" si="136"/>
        <v>0%</v>
      </c>
      <c r="M377" s="113">
        <f t="shared" ca="1" si="137"/>
        <v>0</v>
      </c>
      <c r="N377" s="56" t="str">
        <f t="shared" ca="1" si="138"/>
        <v>P-198REVESTIMENTO</v>
      </c>
      <c r="O377" s="56" t="str">
        <f t="shared" ca="1" si="139"/>
        <v>05-CV-0001P-198REVESTIMENTO</v>
      </c>
      <c r="P377" s="2">
        <f ca="1">SUMIF(MICRO!AP:AP,O377,MICRO!AS:AS)</f>
        <v>0</v>
      </c>
      <c r="Q377">
        <f ca="1">SUMIF(MICRO!AP:AP,O377,MICRO!AT:AT)</f>
        <v>0</v>
      </c>
      <c r="R377">
        <f ca="1">SUMIF(MICRO!AP:AP,O:O,MICRO!AU:AU)</f>
        <v>0</v>
      </c>
    </row>
    <row r="378" spans="4:18" ht="18.75" thickBot="1" x14ac:dyDescent="0.3">
      <c r="D378" s="110" t="s">
        <v>3093</v>
      </c>
      <c r="E378" s="111" t="str">
        <f ca="1">VLOOKUP(Tabela2[[#This Row],[TAG]],MICRO!J:L,3,0)</f>
        <v>P-198</v>
      </c>
      <c r="F378" s="109" t="s">
        <v>44</v>
      </c>
      <c r="G378" s="112">
        <f ca="1">SUMIF(MICRO!AP:AP,O:O,MICRO!H:H)</f>
        <v>0</v>
      </c>
      <c r="H378" s="113">
        <f ca="1">SUMIF(MICRO!AP:AP,O:O,MICRO!R:R)</f>
        <v>0</v>
      </c>
      <c r="I378" s="113">
        <f ca="1">SUMIF(MICRO!AP:AP,O:O,MICRO!T:T)</f>
        <v>0</v>
      </c>
      <c r="J378" s="114">
        <f t="shared" ca="1" si="135"/>
        <v>0</v>
      </c>
      <c r="K378" s="113">
        <f ca="1">SUMIF(MICRO!AP:AP,O:O,MICRO!X:X)</f>
        <v>0</v>
      </c>
      <c r="L378" s="114" t="str">
        <f t="shared" ca="1" si="136"/>
        <v>0%</v>
      </c>
      <c r="M378" s="113">
        <f t="shared" ca="1" si="137"/>
        <v>0</v>
      </c>
      <c r="N378" s="56" t="str">
        <f t="shared" ca="1" si="138"/>
        <v>P-198REVESTIMENTO</v>
      </c>
      <c r="O378" s="56" t="str">
        <f t="shared" ca="1" si="139"/>
        <v>14-AC-0001P-198REVESTIMENTO</v>
      </c>
      <c r="P378" s="2">
        <f ca="1">SUMIF(MICRO!AP:AP,O378,MICRO!AS:AS)</f>
        <v>0</v>
      </c>
      <c r="Q378">
        <f ca="1">SUMIF(MICRO!AP:AP,O378,MICRO!AT:AT)</f>
        <v>0</v>
      </c>
      <c r="R378">
        <f ca="1">SUMIF(MICRO!AP:AP,O:O,MICRO!AU:AU)</f>
        <v>0</v>
      </c>
    </row>
    <row r="379" spans="4:18" ht="18.75" thickBot="1" x14ac:dyDescent="0.3">
      <c r="D379" s="110" t="s">
        <v>3045</v>
      </c>
      <c r="E379" s="111" t="str">
        <f ca="1">VLOOKUP(Tabela2[[#This Row],[TAG]],MICRO!J:L,3,0)</f>
        <v>P-198</v>
      </c>
      <c r="F379" s="109" t="s">
        <v>44</v>
      </c>
      <c r="G379" s="112">
        <f ca="1">SUMIF(MICRO!AP:AP,O:O,MICRO!H:H)</f>
        <v>0</v>
      </c>
      <c r="H379" s="113">
        <f ca="1">SUMIF(MICRO!AP:AP,O:O,MICRO!R:R)</f>
        <v>0</v>
      </c>
      <c r="I379" s="113">
        <f ca="1">SUMIF(MICRO!AP:AP,O:O,MICRO!T:T)</f>
        <v>0</v>
      </c>
      <c r="J379" s="114">
        <f t="shared" ca="1" si="135"/>
        <v>0</v>
      </c>
      <c r="K379" s="113">
        <f ca="1">SUMIF(MICRO!AP:AP,O:O,MICRO!X:X)</f>
        <v>0</v>
      </c>
      <c r="L379" s="114" t="str">
        <f t="shared" ca="1" si="136"/>
        <v>0%</v>
      </c>
      <c r="M379" s="113">
        <f t="shared" ca="1" si="137"/>
        <v>0</v>
      </c>
      <c r="N379" s="56" t="str">
        <f t="shared" ca="1" si="138"/>
        <v>P-198REVESTIMENTO</v>
      </c>
      <c r="O379" s="56" t="str">
        <f t="shared" ca="1" si="139"/>
        <v>14-CV-0001P-198REVESTIMENTO</v>
      </c>
      <c r="P379" s="2">
        <f ca="1">SUMIF(MICRO!AP:AP,O379,MICRO!AS:AS)</f>
        <v>0</v>
      </c>
      <c r="Q379">
        <f ca="1">SUMIF(MICRO!AP:AP,O379,MICRO!AT:AT)</f>
        <v>0</v>
      </c>
      <c r="R379">
        <f ca="1">SUMIF(MICRO!AP:AP,O:O,MICRO!AU:AU)</f>
        <v>0</v>
      </c>
    </row>
    <row r="380" spans="4:18" ht="18.75" thickBot="1" x14ac:dyDescent="0.3">
      <c r="D380" s="110" t="s">
        <v>3140</v>
      </c>
      <c r="E380" s="111" t="str">
        <f ca="1">VLOOKUP(Tabela2[[#This Row],[TAG]],MICRO!J:L,3,0)</f>
        <v>P-198</v>
      </c>
      <c r="F380" s="109" t="s">
        <v>44</v>
      </c>
      <c r="G380" s="112">
        <f ca="1">SUMIF(MICRO!AP:AP,O:O,MICRO!H:H)</f>
        <v>0</v>
      </c>
      <c r="H380" s="113">
        <f ca="1">SUMIF(MICRO!AP:AP,O:O,MICRO!R:R)</f>
        <v>0</v>
      </c>
      <c r="I380" s="113">
        <f ca="1">SUMIF(MICRO!AP:AP,O:O,MICRO!T:T)</f>
        <v>0</v>
      </c>
      <c r="J380" s="114">
        <f t="shared" ca="1" si="135"/>
        <v>0</v>
      </c>
      <c r="K380" s="113">
        <f ca="1">SUMIF(MICRO!AP:AP,O:O,MICRO!X:X)</f>
        <v>0</v>
      </c>
      <c r="L380" s="114" t="str">
        <f t="shared" ca="1" si="136"/>
        <v>0%</v>
      </c>
      <c r="M380" s="113">
        <f t="shared" ca="1" si="137"/>
        <v>0</v>
      </c>
      <c r="N380" s="56" t="str">
        <f t="shared" ca="1" si="138"/>
        <v>P-198REVESTIMENTO</v>
      </c>
      <c r="O380" s="56" t="str">
        <f t="shared" ca="1" si="139"/>
        <v>14-CV-0005P-198REVESTIMENTO</v>
      </c>
      <c r="P380" s="2">
        <f ca="1">SUMIF(MICRO!AP:AP,O380,MICRO!AS:AS)</f>
        <v>0</v>
      </c>
      <c r="Q380">
        <f ca="1">SUMIF(MICRO!AP:AP,O380,MICRO!AT:AT)</f>
        <v>0</v>
      </c>
      <c r="R380">
        <f ca="1">SUMIF(MICRO!AP:AP,O:O,MICRO!AU:AU)</f>
        <v>0</v>
      </c>
    </row>
    <row r="381" spans="4:18" ht="18.75" thickBot="1" x14ac:dyDescent="0.3">
      <c r="D381" s="110" t="s">
        <v>3110</v>
      </c>
      <c r="E381" s="111" t="str">
        <f ca="1">VLOOKUP(Tabela2[[#This Row],[TAG]],MICRO!J:L,3,0)</f>
        <v>P-204</v>
      </c>
      <c r="F381" s="109" t="s">
        <v>23</v>
      </c>
      <c r="G381" s="112">
        <f ca="1">SUMIF(MICRO!AP:AP,O:O,MICRO!H:H)</f>
        <v>122.99999999999999</v>
      </c>
      <c r="H381" s="113">
        <f ca="1">SUMIF(MICRO!AP:AP,O:O,MICRO!R:R)</f>
        <v>122.99999999999999</v>
      </c>
      <c r="I381" s="113">
        <f ca="1">SUMIF(MICRO!AP:AP,O:O,MICRO!T:T)</f>
        <v>0</v>
      </c>
      <c r="J381" s="114">
        <f t="shared" ca="1" si="135"/>
        <v>1</v>
      </c>
      <c r="K381" s="113">
        <f ca="1">SUMIF(MICRO!AP:AP,O:O,MICRO!X:X)</f>
        <v>122.99999999999999</v>
      </c>
      <c r="L381" s="114">
        <f t="shared" ca="1" si="136"/>
        <v>1</v>
      </c>
      <c r="M381" s="113">
        <f t="shared" ca="1" si="137"/>
        <v>0</v>
      </c>
      <c r="N381" s="56" t="str">
        <f t="shared" ca="1" si="138"/>
        <v>P-204ROLOS</v>
      </c>
      <c r="O381" s="56" t="str">
        <f t="shared" ca="1" si="139"/>
        <v>P204P-204ROLOS</v>
      </c>
      <c r="P381" s="2">
        <f ca="1">SUMIF(MICRO!AP:AP,O381,MICRO!AS:AS)</f>
        <v>0</v>
      </c>
      <c r="Q381">
        <f ca="1">SUMIF(MICRO!AP:AP,O381,MICRO!AT:AT)</f>
        <v>0</v>
      </c>
      <c r="R381">
        <f ca="1"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 ca="1">VLOOKUP(Tabela2[[#This Row],[TAG]],MICRO!J:L,3,0)</f>
        <v>P-205</v>
      </c>
      <c r="F382" s="109" t="s">
        <v>33</v>
      </c>
      <c r="G382" s="112">
        <f ca="1">SUMIF(MICRO!AP:AP,O:O,MICRO!H:H)</f>
        <v>97.199999999999989</v>
      </c>
      <c r="H382" s="113">
        <f ca="1">SUMIF(MICRO!AP:AP,O:O,MICRO!R:R)</f>
        <v>97.199999999999989</v>
      </c>
      <c r="I382" s="113">
        <f ca="1">SUMIF(MICRO!AP:AP,O:O,MICRO!T:T)</f>
        <v>0</v>
      </c>
      <c r="J382" s="114">
        <f t="shared" ca="1" si="135"/>
        <v>1</v>
      </c>
      <c r="K382" s="113">
        <f ca="1">SUMIF(MICRO!AP:AP,O:O,MICRO!X:X)</f>
        <v>97.199999999999989</v>
      </c>
      <c r="L382" s="114">
        <f t="shared" ca="1" si="136"/>
        <v>1</v>
      </c>
      <c r="M382" s="113">
        <f t="shared" ca="1" si="137"/>
        <v>0</v>
      </c>
      <c r="N382" s="56" t="str">
        <f t="shared" ca="1" si="138"/>
        <v>P-205BASES ROLETES</v>
      </c>
      <c r="O382" s="56" t="str">
        <f t="shared" ca="1" si="139"/>
        <v>P205P-205BASES ROLETES</v>
      </c>
      <c r="P382" s="2">
        <f ca="1">SUMIF(MICRO!AP:AP,O382,MICRO!AS:AS)</f>
        <v>0</v>
      </c>
      <c r="Q382">
        <f ca="1">SUMIF(MICRO!AP:AP,O382,MICRO!AT:AT)</f>
        <v>0</v>
      </c>
      <c r="R382">
        <f ca="1">SUMIF(MICRO!AP:AP,O:O,MICRO!AU:AU)</f>
        <v>97.199999999999989</v>
      </c>
    </row>
    <row r="383" spans="4:18" ht="18.75" thickBot="1" x14ac:dyDescent="0.3">
      <c r="D383" s="110" t="s">
        <v>4298</v>
      </c>
      <c r="E383" s="111" t="str">
        <f ca="1">VLOOKUP(Tabela2[[#This Row],[TAG]],MICRO!J:L,3,0)</f>
        <v>P-208</v>
      </c>
      <c r="F383" s="109" t="s">
        <v>23</v>
      </c>
      <c r="G383" s="112">
        <f ca="1">SUMIF(MICRO!AP:AP,O:O,MICRO!H:H)</f>
        <v>135</v>
      </c>
      <c r="H383" s="113">
        <f ca="1">SUMIF(MICRO!AP:AP,O:O,MICRO!R:R)</f>
        <v>116.4375</v>
      </c>
      <c r="I383" s="113">
        <f ca="1">SUMIF(MICRO!AP:AP,O:O,MICRO!T:T)</f>
        <v>-67.5</v>
      </c>
      <c r="J383" s="114">
        <f t="shared" ca="1" si="135"/>
        <v>0.86250000000000004</v>
      </c>
      <c r="K383" s="113">
        <f ca="1">SUMIF(MICRO!AP:AP,O:O,MICRO!X:X)</f>
        <v>0</v>
      </c>
      <c r="L383" s="114">
        <f t="shared" ca="1" si="136"/>
        <v>0</v>
      </c>
      <c r="M383" s="113">
        <f t="shared" ca="1" si="137"/>
        <v>135</v>
      </c>
      <c r="N383" s="56" t="str">
        <f t="shared" ca="1" si="138"/>
        <v>P-208ROLOS</v>
      </c>
      <c r="O383" s="56" t="str">
        <f t="shared" ca="1" si="139"/>
        <v>P208P-208ROLOS</v>
      </c>
      <c r="P383" s="2">
        <f ca="1">SUMIF(MICRO!AP:AP,O383,MICRO!AS:AS)</f>
        <v>0</v>
      </c>
      <c r="Q383">
        <f ca="1">SUMIF(MICRO!AP:AP,O383,MICRO!AT:AT)</f>
        <v>67.5</v>
      </c>
      <c r="R383">
        <f ca="1">SUMIF(MICRO!AP:AP,O:O,MICRO!AU:AU)</f>
        <v>0</v>
      </c>
    </row>
    <row r="384" spans="4:18" ht="18.75" thickBot="1" x14ac:dyDescent="0.3">
      <c r="D384" s="110" t="s">
        <v>4305</v>
      </c>
      <c r="E384" s="111" t="str">
        <f ca="1">VLOOKUP(Tabela2[[#This Row],[TAG]],MICRO!J:L,3,0)</f>
        <v>P-209</v>
      </c>
      <c r="F384" s="109" t="s">
        <v>32</v>
      </c>
      <c r="G384" s="112">
        <f ca="1">SUMIF(MICRO!AP:AP,O:O,MICRO!H:H)</f>
        <v>119.6</v>
      </c>
      <c r="H384" s="113">
        <f ca="1">SUMIF(MICRO!AP:AP,O:O,MICRO!R:R)</f>
        <v>100.16499999999999</v>
      </c>
      <c r="I384" s="113">
        <f ca="1">SUMIF(MICRO!AP:AP,O:O,MICRO!T:T)</f>
        <v>-119.6</v>
      </c>
      <c r="J384" s="114">
        <f t="shared" ca="1" si="135"/>
        <v>0.83750000000000002</v>
      </c>
      <c r="K384" s="113">
        <f ca="1">SUMIF(MICRO!AP:AP,O:O,MICRO!X:X)</f>
        <v>0</v>
      </c>
      <c r="L384" s="114">
        <f t="shared" ca="1" si="136"/>
        <v>0</v>
      </c>
      <c r="M384" s="113">
        <f t="shared" ca="1" si="137"/>
        <v>119.6</v>
      </c>
      <c r="N384" s="56" t="str">
        <f t="shared" ca="1" si="138"/>
        <v>P-209USINAGEM</v>
      </c>
      <c r="O384" s="56" t="str">
        <f t="shared" ca="1" si="139"/>
        <v>P209P-209USINAGEM</v>
      </c>
      <c r="P384" s="2">
        <f ca="1">SUMIF(MICRO!AP:AP,O384,MICRO!AS:AS)</f>
        <v>0</v>
      </c>
      <c r="Q384">
        <f ca="1">SUMIF(MICRO!AP:AP,O384,MICRO!AT:AT)</f>
        <v>0</v>
      </c>
      <c r="R384">
        <f ca="1">SUMIF(MICRO!AP:AP,O:O,MICRO!AU:AU)</f>
        <v>0</v>
      </c>
    </row>
    <row r="385" spans="4:18" ht="18.75" thickBot="1" x14ac:dyDescent="0.3">
      <c r="D385" s="8" t="s">
        <v>4834</v>
      </c>
      <c r="E385" s="111" t="str">
        <f ca="1">VLOOKUP(Tabela2[[#This Row],[TAG]],MICRO!J:L,3,0)</f>
        <v>P-207</v>
      </c>
      <c r="F385" s="109" t="s">
        <v>23</v>
      </c>
      <c r="G385" s="112">
        <f ca="1">SUMIF(MICRO!AP:AP,O:O,MICRO!H:H)</f>
        <v>0</v>
      </c>
      <c r="H385" s="113">
        <f ca="1">SUMIF(MICRO!AP:AP,O:O,MICRO!R:R)</f>
        <v>0</v>
      </c>
      <c r="I385" s="113">
        <f ca="1">SUMIF(MICRO!AP:AP,O:O,MICRO!T:T)</f>
        <v>0</v>
      </c>
      <c r="J385" s="114">
        <f t="shared" ca="1" si="135"/>
        <v>0</v>
      </c>
      <c r="K385" s="113">
        <f ca="1">SUMIF(MICRO!AP:AP,O:O,MICRO!X:X)</f>
        <v>0</v>
      </c>
      <c r="L385" s="114" t="str">
        <f t="shared" ca="1" si="136"/>
        <v>0%</v>
      </c>
      <c r="M385" s="113">
        <f t="shared" ca="1" si="137"/>
        <v>0</v>
      </c>
      <c r="N385" s="56" t="str">
        <f t="shared" ca="1" si="138"/>
        <v>P-207ROLOS</v>
      </c>
      <c r="O385" s="56" t="str">
        <f t="shared" ca="1" si="139"/>
        <v>0102-TC09P-207ROLOS</v>
      </c>
      <c r="P385" s="2">
        <f ca="1">SUMIF(MICRO!AP:AP,O385,MICRO!AS:AS)</f>
        <v>0</v>
      </c>
      <c r="Q385">
        <f ca="1">SUMIF(MICRO!AP:AP,O385,MICRO!AT:AT)</f>
        <v>0</v>
      </c>
      <c r="R385">
        <f ca="1">SUMIF(MICRO!AP:AP,O:O,MICRO!AU:AU)</f>
        <v>0</v>
      </c>
    </row>
    <row r="386" spans="4:18" ht="18.75" thickBot="1" x14ac:dyDescent="0.3">
      <c r="D386" s="8" t="s">
        <v>4834</v>
      </c>
      <c r="E386" s="111" t="str">
        <f ca="1">VLOOKUP(Tabela2[[#This Row],[TAG]],MICRO!J:L,3,0)</f>
        <v>P-207</v>
      </c>
      <c r="F386" s="109" t="s">
        <v>31</v>
      </c>
      <c r="G386" s="112">
        <f ca="1">SUMIF(MICRO!AP:AP,O:O,MICRO!H:H)</f>
        <v>0</v>
      </c>
      <c r="H386" s="113">
        <f ca="1">SUMIF(MICRO!AP:AP,O:O,MICRO!R:R)</f>
        <v>0</v>
      </c>
      <c r="I386" s="113">
        <f ca="1">SUMIF(MICRO!AP:AP,O:O,MICRO!T:T)</f>
        <v>0</v>
      </c>
      <c r="J386" s="114">
        <f t="shared" ca="1" si="135"/>
        <v>0</v>
      </c>
      <c r="K386" s="113">
        <f ca="1">SUMIF(MICRO!AP:AP,O:O,MICRO!X:X)</f>
        <v>0</v>
      </c>
      <c r="L386" s="114" t="str">
        <f t="shared" ca="1" si="136"/>
        <v>0%</v>
      </c>
      <c r="M386" s="113">
        <f t="shared" ca="1" si="137"/>
        <v>0</v>
      </c>
      <c r="N386" s="56" t="str">
        <f t="shared" ca="1" si="138"/>
        <v>P-207ESTRUTURA</v>
      </c>
      <c r="O386" s="56" t="str">
        <f t="shared" ca="1" si="139"/>
        <v>0102-TC09P-207ESTRUTURA</v>
      </c>
      <c r="P386" s="2">
        <f ca="1">SUMIF(MICRO!AP:AP,O386,MICRO!AS:AS)</f>
        <v>0</v>
      </c>
      <c r="Q386">
        <f ca="1">SUMIF(MICRO!AP:AP,O386,MICRO!AT:AT)</f>
        <v>0</v>
      </c>
      <c r="R386">
        <f ca="1">SUMIF(MICRO!AP:AP,O:O,MICRO!AU:AU)</f>
        <v>0</v>
      </c>
    </row>
    <row r="387" spans="4:18" ht="18.75" thickBot="1" x14ac:dyDescent="0.3">
      <c r="D387" s="8" t="s">
        <v>4834</v>
      </c>
      <c r="E387" s="111" t="str">
        <f ca="1">VLOOKUP(Tabela2[[#This Row],[TAG]],MICRO!J:L,3,0)</f>
        <v>P-207</v>
      </c>
      <c r="F387" s="109" t="s">
        <v>33</v>
      </c>
      <c r="G387" s="112">
        <f ca="1">SUMIF(MICRO!AP:AP,O:O,MICRO!H:H)</f>
        <v>0</v>
      </c>
      <c r="H387" s="113">
        <f ca="1">SUMIF(MICRO!AP:AP,O:O,MICRO!R:R)</f>
        <v>0</v>
      </c>
      <c r="I387" s="113">
        <f ca="1">SUMIF(MICRO!AP:AP,O:O,MICRO!T:T)</f>
        <v>0</v>
      </c>
      <c r="J387" s="114">
        <f t="shared" ca="1" si="135"/>
        <v>0</v>
      </c>
      <c r="K387" s="113">
        <f ca="1">SUMIF(MICRO!AP:AP,O:O,MICRO!X:X)</f>
        <v>0</v>
      </c>
      <c r="L387" s="114" t="str">
        <f t="shared" ca="1" si="136"/>
        <v>0%</v>
      </c>
      <c r="M387" s="113">
        <f t="shared" ca="1" si="137"/>
        <v>0</v>
      </c>
      <c r="N387" s="56" t="str">
        <f t="shared" ca="1" si="138"/>
        <v>P-207BASES ROLETES</v>
      </c>
      <c r="O387" s="56" t="str">
        <f t="shared" ca="1" si="139"/>
        <v>0102-TC09P-207BASES ROLETES</v>
      </c>
      <c r="P387" s="2">
        <f ca="1">SUMIF(MICRO!AP:AP,O387,MICRO!AS:AS)</f>
        <v>0</v>
      </c>
      <c r="Q387">
        <f ca="1">SUMIF(MICRO!AP:AP,O387,MICRO!AT:AT)</f>
        <v>0</v>
      </c>
      <c r="R387">
        <f ca="1">SUMIF(MICRO!AP:AP,O:O,MICRO!AU:AU)</f>
        <v>0</v>
      </c>
    </row>
    <row r="388" spans="4:18" ht="18.75" thickBot="1" x14ac:dyDescent="0.3">
      <c r="D388" s="110"/>
      <c r="E388" s="111" t="e">
        <f ca="1">VLOOKUP(Tabela2[[#This Row],[TAG]],MICRO!J:L,3,0)</f>
        <v>#N/A</v>
      </c>
      <c r="F388" s="109"/>
      <c r="G388" s="112">
        <f ca="1">SUMIF(MICRO!AP:AP,O:O,MICRO!H:H)</f>
        <v>0</v>
      </c>
      <c r="H388" s="113">
        <f ca="1">SUMIF(MICRO!AP:AP,O:O,MICRO!R:R)</f>
        <v>0</v>
      </c>
      <c r="I388" s="113">
        <f ca="1">SUMIF(MICRO!AP:AP,O:O,MICRO!T:T)</f>
        <v>0</v>
      </c>
      <c r="J388" s="114">
        <f t="shared" ca="1" si="135"/>
        <v>0</v>
      </c>
      <c r="K388" s="113">
        <f ca="1">SUMIF(MICRO!AP:AP,O:O,MICRO!X:X)</f>
        <v>0</v>
      </c>
      <c r="L388" s="114" t="str">
        <f t="shared" ca="1" si="136"/>
        <v>0%</v>
      </c>
      <c r="M388" s="113">
        <f t="shared" ca="1" si="137"/>
        <v>0</v>
      </c>
      <c r="N388" s="56" t="e">
        <f t="shared" ca="1" si="138"/>
        <v>#N/A</v>
      </c>
      <c r="O388" s="56" t="e">
        <f t="shared" ca="1" si="139"/>
        <v>#N/A</v>
      </c>
      <c r="P388" s="2">
        <f ca="1">SUMIF(MICRO!AP:AP,O388,MICRO!AS:AS)</f>
        <v>0</v>
      </c>
      <c r="Q388">
        <f ca="1">SUMIF(MICRO!AP:AP,O388,MICRO!AT:AT)</f>
        <v>0</v>
      </c>
      <c r="R388">
        <f ca="1">SUMIF(MICRO!AP:AP,O:O,MICRO!AU:AU)</f>
        <v>0</v>
      </c>
    </row>
    <row r="389" spans="4:18" ht="18.75" thickBot="1" x14ac:dyDescent="0.3">
      <c r="D389" s="110"/>
      <c r="E389" s="111" t="e">
        <f ca="1">VLOOKUP(Tabela2[[#This Row],[TAG]],MICRO!J:L,3,0)</f>
        <v>#N/A</v>
      </c>
      <c r="F389" s="109"/>
      <c r="G389" s="112">
        <f ca="1">SUMIF(MICRO!AP:AP,O:O,MICRO!H:H)</f>
        <v>0</v>
      </c>
      <c r="H389" s="113">
        <f ca="1">SUMIF(MICRO!AP:AP,O:O,MICRO!R:R)</f>
        <v>0</v>
      </c>
      <c r="I389" s="113">
        <f ca="1">SUMIF(MICRO!AP:AP,O:O,MICRO!T:T)</f>
        <v>0</v>
      </c>
      <c r="J389" s="114">
        <f t="shared" ca="1" si="130"/>
        <v>0</v>
      </c>
      <c r="K389" s="113">
        <f ca="1">SUMIF(MICRO!AP:AP,O:O,MICRO!X:X)</f>
        <v>0</v>
      </c>
      <c r="L389" s="114" t="str">
        <f t="shared" ca="1" si="131"/>
        <v>0%</v>
      </c>
      <c r="M389" s="113">
        <f t="shared" ca="1" si="132"/>
        <v>0</v>
      </c>
      <c r="N389" s="56" t="e">
        <f t="shared" ca="1" si="133"/>
        <v>#N/A</v>
      </c>
      <c r="O389" s="56" t="e">
        <f t="shared" ca="1" si="134"/>
        <v>#N/A</v>
      </c>
      <c r="P389" s="2">
        <f ca="1">SUMIF(MICRO!AP:AP,O389,MICRO!AS:AS)</f>
        <v>0</v>
      </c>
      <c r="Q389">
        <f ca="1">SUMIF(MICRO!AP:AP,O389,MICRO!AT:AT)</f>
        <v>0</v>
      </c>
      <c r="R389">
        <f ca="1">SUMIF(MICRO!AP:AP,O:O,MICRO!AU:AU)</f>
        <v>0</v>
      </c>
    </row>
    <row r="390" spans="4:18" ht="18.75" thickBot="1" x14ac:dyDescent="0.3">
      <c r="D390" s="110" t="s">
        <v>2998</v>
      </c>
      <c r="E390" s="111" t="str">
        <f ca="1">VLOOKUP(Tabela2[[#This Row],[TAG]],MICRO!J:L,3,0)</f>
        <v>P-190</v>
      </c>
      <c r="F390" s="109" t="s">
        <v>32</v>
      </c>
      <c r="G390" s="112">
        <f ca="1">SUMIF(MICRO!AP:AP,O:O,MICRO!H:H)</f>
        <v>143.6</v>
      </c>
      <c r="H390" s="113">
        <f ca="1">SUMIF(MICRO!AP:AP,O:O,MICRO!R:R)</f>
        <v>143.6</v>
      </c>
      <c r="I390" s="113">
        <f ca="1">SUMIF(MICRO!AP:AP,O:O,MICRO!T:T)</f>
        <v>0</v>
      </c>
      <c r="J390" s="114">
        <f t="shared" ca="1" si="130"/>
        <v>1</v>
      </c>
      <c r="K390" s="113">
        <f ca="1">SUMIF(MICRO!AP:AP,O:O,MICRO!X:X)</f>
        <v>143.6</v>
      </c>
      <c r="L390" s="114">
        <f t="shared" ca="1" si="131"/>
        <v>1</v>
      </c>
      <c r="M390" s="113">
        <f t="shared" ca="1" si="132"/>
        <v>0</v>
      </c>
      <c r="N390" s="56" t="str">
        <f t="shared" ca="1" si="133"/>
        <v>P-190USINAGEM</v>
      </c>
      <c r="O390" s="56" t="str">
        <f t="shared" ca="1" si="134"/>
        <v>p190P-190USINAGEM</v>
      </c>
      <c r="P390" s="2">
        <f ca="1">SUMIF(MICRO!AP:AP,O390,MICRO!AS:AS)</f>
        <v>0</v>
      </c>
      <c r="Q390">
        <f ca="1">SUMIF(MICRO!AP:AP,O390,MICRO!AT:AT)</f>
        <v>0</v>
      </c>
      <c r="R390">
        <f ca="1">SUMIF(MICRO!AP:AP,O:O,MICRO!AU:AU)</f>
        <v>143.6</v>
      </c>
    </row>
    <row r="391" spans="4:18" ht="18.75" thickBot="1" x14ac:dyDescent="0.3">
      <c r="D391" s="110" t="s">
        <v>2998</v>
      </c>
      <c r="E391" s="111" t="str">
        <f ca="1">VLOOKUP(Tabela2[[#This Row],[TAG]],MICRO!J:L,3,0)</f>
        <v>P-190</v>
      </c>
      <c r="F391" s="109" t="s">
        <v>46</v>
      </c>
      <c r="G391" s="112">
        <f ca="1">SUMIF(MICRO!AP:AP,O:O,MICRO!H:H)</f>
        <v>232.70000000000002</v>
      </c>
      <c r="H391" s="113">
        <f ca="1">SUMIF(MICRO!AP:AP,O:O,MICRO!R:R)</f>
        <v>232.70000000000002</v>
      </c>
      <c r="I391" s="113">
        <f ca="1">SUMIF(MICRO!AP:AP,O:O,MICRO!T:T)</f>
        <v>0</v>
      </c>
      <c r="J391" s="114">
        <f t="shared" ca="1" si="130"/>
        <v>1</v>
      </c>
      <c r="K391" s="113">
        <f ca="1">SUMIF(MICRO!AP:AP,O:O,MICRO!X:X)</f>
        <v>232.70000000000002</v>
      </c>
      <c r="L391" s="114">
        <f t="shared" ca="1" si="131"/>
        <v>1</v>
      </c>
      <c r="M391" s="113">
        <f t="shared" ca="1" si="132"/>
        <v>0</v>
      </c>
      <c r="N391" s="56" t="str">
        <f t="shared" ca="1" si="133"/>
        <v>P-190TECMETAL</v>
      </c>
      <c r="O391" s="56" t="str">
        <f t="shared" ca="1" si="134"/>
        <v>p190P-190TECMETAL</v>
      </c>
      <c r="P391" s="2">
        <f ca="1">SUMIF(MICRO!AP:AP,O391,MICRO!AS:AS)</f>
        <v>0</v>
      </c>
      <c r="Q391">
        <f ca="1">SUMIF(MICRO!AP:AP,O391,MICRO!AT:AT)</f>
        <v>0</v>
      </c>
      <c r="R391">
        <f ca="1"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 ca="1">VLOOKUP(Tabela2[[#This Row],[TAG]],MICRO!J:L,3,0)</f>
        <v>P-190</v>
      </c>
      <c r="F392" s="109" t="s">
        <v>31</v>
      </c>
      <c r="G392" s="112">
        <f ca="1">SUMIF(MICRO!AP:AP,O:O,MICRO!H:H)</f>
        <v>9394.4</v>
      </c>
      <c r="H392" s="113">
        <f ca="1">SUMIF(MICRO!AP:AP,O:O,MICRO!R:R)</f>
        <v>9394.4</v>
      </c>
      <c r="I392" s="113">
        <f ca="1">SUMIF(MICRO!AP:AP,O:O,MICRO!T:T)</f>
        <v>0</v>
      </c>
      <c r="J392" s="114">
        <f t="shared" ca="1" si="130"/>
        <v>1</v>
      </c>
      <c r="K392" s="113">
        <f ca="1">SUMIF(MICRO!AP:AP,O:O,MICRO!X:X)</f>
        <v>9394.4</v>
      </c>
      <c r="L392" s="114">
        <f t="shared" ca="1" si="131"/>
        <v>1</v>
      </c>
      <c r="M392" s="113">
        <f t="shared" ca="1" si="132"/>
        <v>0</v>
      </c>
      <c r="N392" s="56" t="str">
        <f t="shared" ca="1" si="133"/>
        <v>P-190ESTRUTURA</v>
      </c>
      <c r="O392" s="56" t="str">
        <f t="shared" ca="1" si="134"/>
        <v>p190P-190ESTRUTURA</v>
      </c>
      <c r="P392" s="2">
        <f ca="1">SUMIF(MICRO!AP:AP,O392,MICRO!AS:AS)</f>
        <v>0</v>
      </c>
      <c r="Q392">
        <f ca="1">SUMIF(MICRO!AP:AP,O392,MICRO!AT:AT)</f>
        <v>0</v>
      </c>
      <c r="R392">
        <f ca="1">SUMIF(MICRO!AP:AP,O:O,MICRO!AU:AU)</f>
        <v>9394.4</v>
      </c>
    </row>
    <row r="393" spans="4:18" ht="18.75" thickBot="1" x14ac:dyDescent="0.3">
      <c r="D393" s="110" t="s">
        <v>2998</v>
      </c>
      <c r="E393" s="111" t="str">
        <f ca="1">VLOOKUP(Tabela2[[#This Row],[TAG]],MICRO!J:L,3,0)</f>
        <v>P-190</v>
      </c>
      <c r="F393" s="109" t="s">
        <v>45</v>
      </c>
      <c r="G393" s="112">
        <f ca="1">SUMIF(MICRO!AP:AP,O:O,MICRO!H:H)</f>
        <v>754.75299999999993</v>
      </c>
      <c r="H393" s="113">
        <f ca="1">SUMIF(MICRO!AP:AP,O:O,MICRO!R:R)</f>
        <v>754.75299999999993</v>
      </c>
      <c r="I393" s="113">
        <f ca="1">SUMIF(MICRO!AP:AP,O:O,MICRO!T:T)</f>
        <v>0</v>
      </c>
      <c r="J393" s="114">
        <f t="shared" ca="1" si="125"/>
        <v>1</v>
      </c>
      <c r="K393" s="113">
        <f ca="1">SUMIF(MICRO!AP:AP,O:O,MICRO!X:X)</f>
        <v>754.75299999999993</v>
      </c>
      <c r="L393" s="114">
        <f t="shared" ca="1" si="126"/>
        <v>1</v>
      </c>
      <c r="M393" s="113">
        <f t="shared" ca="1" si="127"/>
        <v>0</v>
      </c>
      <c r="N393" s="56" t="str">
        <f t="shared" ca="1" si="128"/>
        <v>P-190COMERCIAL</v>
      </c>
      <c r="O393" s="56" t="str">
        <f t="shared" ca="1" si="129"/>
        <v>p190P-190COMERCIAL</v>
      </c>
      <c r="P393" s="2">
        <f ca="1">SUMIF(MICRO!AP:AP,O393,MICRO!AS:AS)</f>
        <v>0</v>
      </c>
      <c r="Q393">
        <f ca="1">SUMIF(MICRO!AP:AP,O393,MICRO!AT:AT)</f>
        <v>0</v>
      </c>
      <c r="R393">
        <f ca="1">SUMIF(MICRO!AP:AP,O:O,MICRO!AU:AU)</f>
        <v>754.75299999999993</v>
      </c>
    </row>
    <row r="394" spans="4:18" ht="18.75" thickBot="1" x14ac:dyDescent="0.3">
      <c r="D394" s="110" t="s">
        <v>820</v>
      </c>
      <c r="E394" s="111" t="e">
        <f ca="1">VLOOKUP(Tabela2[[#This Row],[TAG]],MICRO!J:L,3,0)</f>
        <v>#N/A</v>
      </c>
      <c r="F394" s="109" t="s">
        <v>23</v>
      </c>
      <c r="G394" s="112">
        <f ca="1">SUMIF(MICRO!AP:AP,O:O,MICRO!H:H)</f>
        <v>0</v>
      </c>
      <c r="H394" s="113">
        <f ca="1">SUMIF(MICRO!AP:AP,O:O,MICRO!R:R)</f>
        <v>0</v>
      </c>
      <c r="I394" s="113">
        <f ca="1">SUMIF(MICRO!AP:AP,O:O,MICRO!T:T)</f>
        <v>0</v>
      </c>
      <c r="J394" s="114">
        <f t="shared" ca="1" si="125"/>
        <v>0</v>
      </c>
      <c r="K394" s="113">
        <f ca="1">SUMIF(MICRO!AP:AP,O:O,MICRO!X:X)</f>
        <v>0</v>
      </c>
      <c r="L394" s="114" t="str">
        <f t="shared" ca="1" si="126"/>
        <v>0%</v>
      </c>
      <c r="M394" s="113">
        <f t="shared" ca="1" si="127"/>
        <v>0</v>
      </c>
      <c r="N394" s="56" t="e">
        <f t="shared" ca="1" si="128"/>
        <v>#N/A</v>
      </c>
      <c r="O394" s="56" t="e">
        <f t="shared" ca="1" si="129"/>
        <v>#N/A</v>
      </c>
      <c r="P394" s="2">
        <f ca="1">SUMIF(MICRO!AP:AP,O394,MICRO!AS:AS)</f>
        <v>0</v>
      </c>
      <c r="Q394">
        <f ca="1">SUMIF(MICRO!AP:AP,O394,MICRO!AT:AT)</f>
        <v>0</v>
      </c>
      <c r="R394">
        <f ca="1">SUMIF(MICRO!AP:AP,O:O,MICRO!AU:AU)</f>
        <v>0</v>
      </c>
    </row>
    <row r="395" spans="4:18" ht="19.5" customHeight="1" x14ac:dyDescent="0.25">
      <c r="D395" s="110" t="s">
        <v>735</v>
      </c>
      <c r="E395" s="111" t="e">
        <f ca="1">VLOOKUP(Tabela2[[#This Row],[TAG]],MICRO!J:L,3,0)</f>
        <v>#N/A</v>
      </c>
      <c r="F395" s="109" t="s">
        <v>23</v>
      </c>
      <c r="G395" s="112">
        <f ca="1">SUMIF(MICRO!AP:AP,O:O,MICRO!H:H)</f>
        <v>0</v>
      </c>
      <c r="H395" s="113">
        <f ca="1">SUMIF(MICRO!AP:AP,O:O,MICRO!R:R)</f>
        <v>0</v>
      </c>
      <c r="I395" s="113">
        <f ca="1">SUMIF(MICRO!AP:AP,O:O,MICRO!T:T)</f>
        <v>0</v>
      </c>
      <c r="J395" s="114">
        <f t="shared" ca="1" si="125"/>
        <v>0</v>
      </c>
      <c r="K395" s="113">
        <f ca="1">SUMIF(MICRO!AP:AP,O:O,MICRO!X:X)</f>
        <v>0</v>
      </c>
      <c r="L395" s="114" t="str">
        <f t="shared" ca="1" si="126"/>
        <v>0%</v>
      </c>
      <c r="M395" s="113">
        <f t="shared" ca="1" si="127"/>
        <v>0</v>
      </c>
      <c r="N395" s="56" t="e">
        <f t="shared" ca="1" si="128"/>
        <v>#N/A</v>
      </c>
      <c r="O395" s="56" t="e">
        <f t="shared" ca="1" si="129"/>
        <v>#N/A</v>
      </c>
      <c r="P395">
        <f ca="1">SUMIF(MICRO!AP:AP,O395,MICRO!AS:AS)</f>
        <v>0</v>
      </c>
      <c r="Q395">
        <f ca="1">SUMIF(MICRO!AP:AP,O395,MICRO!AT:AT)</f>
        <v>0</v>
      </c>
      <c r="R395">
        <f ca="1">SUMIF(MICRO!AP:AP,O:O,MICRO!AU:AU)</f>
        <v>0</v>
      </c>
    </row>
  </sheetData>
  <phoneticPr fontId="6" type="noConversion"/>
  <conditionalFormatting sqref="D366">
    <cfRule type="expression" dxfId="321" priority="4">
      <formula>$AI366="OK"</formula>
    </cfRule>
  </conditionalFormatting>
  <conditionalFormatting sqref="D385:D387">
    <cfRule type="expression" dxfId="320" priority="1">
      <formula>$AI385="OK"</formula>
    </cfRule>
  </conditionalFormatting>
  <conditionalFormatting sqref="F192">
    <cfRule type="expression" dxfId="319" priority="7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Fernando Silva</cp:lastModifiedBy>
  <cp:lastPrinted>2026-09-01T14:26:19Z</cp:lastPrinted>
  <dcterms:created xsi:type="dcterms:W3CDTF">2022-04-15T01:30:45Z</dcterms:created>
  <dcterms:modified xsi:type="dcterms:W3CDTF">2026-09-08T18:25:31Z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